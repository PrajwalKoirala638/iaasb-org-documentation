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jhout\Desktop\"/>
    </mc:Choice>
  </mc:AlternateContent>
  <xr:revisionPtr revIDLastSave="0" documentId="13_ncr:1_{9A86F527-1E4F-4346-885B-2D71C95D7905}" xr6:coauthVersionLast="44" xr6:coauthVersionMax="44" xr10:uidLastSave="{00000000-0000-0000-0000-000000000000}"/>
  <bookViews>
    <workbookView xWindow="-108" yWindow="-108" windowWidth="23256" windowHeight="12600" tabRatio="816" xr2:uid="{32AD4E61-4F71-4011-9E30-69C6694517E1}"/>
  </bookViews>
  <sheets>
    <sheet name="Q1 Goal and Keys to Success" sheetId="8" r:id="rId1"/>
    <sheet name="Q2 Strategy and Actions" sheetId="6" r:id="rId2"/>
    <sheet name="Q3 Framework for Activities" sheetId="7" r:id="rId3"/>
    <sheet name="Q4 WP for '20-'21" sheetId="9" r:id="rId4"/>
    <sheet name="Q5 Research - Other Topic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X74" i="6" l="1"/>
  <c r="BY74" i="6"/>
  <c r="BX80" i="6"/>
  <c r="BY80" i="6"/>
  <c r="BX88" i="6"/>
  <c r="BY88" i="6"/>
  <c r="BX98" i="6"/>
  <c r="BY98" i="6"/>
  <c r="BX108" i="6"/>
  <c r="BY108" i="6"/>
  <c r="AX74" i="6"/>
  <c r="AX80" i="6"/>
  <c r="AX88" i="6"/>
  <c r="AX98" i="6"/>
  <c r="AX72" i="6" s="1"/>
  <c r="AX108" i="6"/>
  <c r="AC74" i="6"/>
  <c r="AC108" i="6"/>
  <c r="AC98" i="6"/>
  <c r="AC88" i="6"/>
  <c r="AC80" i="6"/>
  <c r="AC72" i="6" l="1"/>
  <c r="BY72" i="6"/>
  <c r="BX72" i="6"/>
  <c r="BI108" i="6"/>
  <c r="BI98" i="6"/>
  <c r="BI88" i="6"/>
  <c r="BI80" i="6"/>
  <c r="BI74" i="6"/>
  <c r="BO98" i="6"/>
  <c r="BO88" i="6"/>
  <c r="BO80" i="6"/>
  <c r="BN74" i="6"/>
  <c r="BO74" i="6"/>
  <c r="BO108" i="6"/>
  <c r="BO72" i="6" l="1"/>
  <c r="BI72" i="6"/>
  <c r="H74" i="6"/>
  <c r="I74" i="6"/>
  <c r="J74" i="6"/>
  <c r="K74" i="6"/>
  <c r="L74" i="6"/>
  <c r="M74" i="6"/>
  <c r="N74" i="6"/>
  <c r="O74" i="6"/>
  <c r="P74" i="6"/>
  <c r="Q74" i="6"/>
  <c r="R74" i="6"/>
  <c r="S74" i="6"/>
  <c r="T74" i="6"/>
  <c r="U74" i="6"/>
  <c r="V74" i="6"/>
  <c r="W74" i="6"/>
  <c r="X74" i="6"/>
  <c r="Y74" i="6"/>
  <c r="Z74" i="6"/>
  <c r="AA74" i="6"/>
  <c r="AB74" i="6"/>
  <c r="AD74" i="6"/>
  <c r="AE74" i="6"/>
  <c r="AF74" i="6"/>
  <c r="AG74" i="6"/>
  <c r="AH74" i="6"/>
  <c r="AI74" i="6"/>
  <c r="AJ74" i="6"/>
  <c r="AK74" i="6"/>
  <c r="AL74" i="6"/>
  <c r="AM74" i="6"/>
  <c r="AN74" i="6"/>
  <c r="AO74" i="6"/>
  <c r="AP74" i="6"/>
  <c r="AQ74" i="6"/>
  <c r="AR74" i="6"/>
  <c r="AS74" i="6"/>
  <c r="AT74" i="6"/>
  <c r="AU74" i="6"/>
  <c r="AV74" i="6"/>
  <c r="AW74" i="6"/>
  <c r="AY74" i="6"/>
  <c r="AZ74" i="6"/>
  <c r="BA74" i="6"/>
  <c r="BB74" i="6"/>
  <c r="BC74" i="6"/>
  <c r="BD74" i="6"/>
  <c r="BE74" i="6"/>
  <c r="BF74" i="6"/>
  <c r="BG74" i="6"/>
  <c r="BH74" i="6"/>
  <c r="BJ74" i="6"/>
  <c r="BK74" i="6"/>
  <c r="BL74" i="6"/>
  <c r="BM74" i="6"/>
  <c r="BP74" i="6"/>
  <c r="BQ74" i="6"/>
  <c r="BR74" i="6"/>
  <c r="BS74" i="6"/>
  <c r="BT74" i="6"/>
  <c r="BU74" i="6"/>
  <c r="BV74" i="6"/>
  <c r="BW74" i="6"/>
  <c r="G74" i="6"/>
  <c r="AP73" i="9"/>
  <c r="AP71" i="9" s="1"/>
  <c r="AQ73" i="9"/>
  <c r="AR73" i="9"/>
  <c r="AP81" i="9"/>
  <c r="AQ81" i="9"/>
  <c r="AR81" i="9"/>
  <c r="AP91" i="9"/>
  <c r="AQ91" i="9"/>
  <c r="AR91" i="9"/>
  <c r="AR71" i="9" s="1"/>
  <c r="AP100" i="9"/>
  <c r="AQ100" i="9"/>
  <c r="AR100" i="9"/>
  <c r="AO73" i="9"/>
  <c r="AO71" i="9" s="1"/>
  <c r="AO81" i="9"/>
  <c r="AO91" i="9"/>
  <c r="AO100" i="9"/>
  <c r="AN73" i="9"/>
  <c r="AN81" i="9"/>
  <c r="AN91" i="9"/>
  <c r="AN100" i="9"/>
  <c r="AN71" i="9" s="1"/>
  <c r="AQ71" i="9" l="1"/>
  <c r="AK98" i="8"/>
  <c r="AK88" i="8"/>
  <c r="AK80" i="8"/>
  <c r="AK74" i="8"/>
  <c r="AK72" i="8" s="1"/>
  <c r="J98" i="8" l="1"/>
  <c r="J88" i="8"/>
  <c r="J80" i="8"/>
  <c r="J74" i="8"/>
  <c r="J72" i="8" l="1"/>
  <c r="I17" i="9"/>
  <c r="I60" i="9"/>
  <c r="G60" i="9"/>
  <c r="E60" i="9"/>
  <c r="G44" i="9"/>
  <c r="E44" i="9"/>
  <c r="G34" i="9"/>
  <c r="E34" i="9"/>
  <c r="G24" i="9"/>
  <c r="E24" i="9"/>
  <c r="G17" i="9"/>
  <c r="E17" i="9"/>
  <c r="G13" i="9"/>
  <c r="E13" i="9"/>
  <c r="G11" i="9" l="1"/>
  <c r="E11" i="9"/>
  <c r="I34" i="9"/>
  <c r="I44" i="9"/>
  <c r="I24" i="9"/>
  <c r="I13" i="9"/>
  <c r="AG98" i="8"/>
  <c r="AG88" i="8"/>
  <c r="AG80" i="8"/>
  <c r="AG74" i="8"/>
  <c r="I11" i="9" l="1"/>
  <c r="D11" i="9" s="1"/>
  <c r="H11" i="9" s="1"/>
  <c r="AG72" i="8"/>
  <c r="J11" i="9" l="1"/>
  <c r="F11" i="9"/>
  <c r="AP108" i="6"/>
  <c r="AP98" i="6"/>
  <c r="AP88" i="6"/>
  <c r="AP80" i="6"/>
  <c r="F93" i="6"/>
  <c r="AM108" i="6"/>
  <c r="AM98" i="6"/>
  <c r="AM88" i="6"/>
  <c r="AM80" i="6"/>
  <c r="AP72" i="6" l="1"/>
  <c r="AM72" i="6"/>
  <c r="AY108" i="6"/>
  <c r="AY98" i="6"/>
  <c r="AY88" i="6"/>
  <c r="AY80" i="6"/>
  <c r="AI108" i="6"/>
  <c r="AI98" i="6"/>
  <c r="AI88" i="6"/>
  <c r="AI80" i="6"/>
  <c r="AL108" i="6"/>
  <c r="AL98" i="6"/>
  <c r="AL88" i="6"/>
  <c r="AL80" i="6"/>
  <c r="AF108" i="6"/>
  <c r="AE108" i="6"/>
  <c r="AF98" i="6"/>
  <c r="AE98" i="6"/>
  <c r="AF88" i="6"/>
  <c r="AE88" i="6"/>
  <c r="AF80" i="6"/>
  <c r="AE80" i="6"/>
  <c r="BV108" i="6"/>
  <c r="BV98" i="6"/>
  <c r="BV88" i="6"/>
  <c r="BV80" i="6"/>
  <c r="H108" i="6"/>
  <c r="H98" i="6"/>
  <c r="H88" i="6"/>
  <c r="H80" i="6"/>
  <c r="AZ108" i="6"/>
  <c r="AZ98" i="6"/>
  <c r="AZ88" i="6"/>
  <c r="AZ80" i="6"/>
  <c r="BP108" i="6"/>
  <c r="BN108" i="6"/>
  <c r="BP98" i="6"/>
  <c r="BN98" i="6"/>
  <c r="BP88" i="6"/>
  <c r="BN88" i="6"/>
  <c r="BP80" i="6"/>
  <c r="BN80" i="6"/>
  <c r="BD108" i="6"/>
  <c r="BD98" i="6"/>
  <c r="BD88" i="6"/>
  <c r="BD80" i="6"/>
  <c r="BK108" i="6"/>
  <c r="BK98" i="6"/>
  <c r="BK88" i="6"/>
  <c r="BK80" i="6"/>
  <c r="BL108" i="6"/>
  <c r="BL98" i="6"/>
  <c r="BL88" i="6"/>
  <c r="BL80" i="6"/>
  <c r="BB108" i="6"/>
  <c r="BB98" i="6"/>
  <c r="BB88" i="6"/>
  <c r="BB80" i="6"/>
  <c r="F123" i="6"/>
  <c r="F122" i="6"/>
  <c r="F121" i="6"/>
  <c r="F120" i="6"/>
  <c r="F119" i="6"/>
  <c r="F118" i="6"/>
  <c r="F117" i="6"/>
  <c r="F116" i="6"/>
  <c r="F115" i="6"/>
  <c r="F114" i="6"/>
  <c r="F113" i="6"/>
  <c r="F112" i="6"/>
  <c r="F110" i="6"/>
  <c r="F106" i="6"/>
  <c r="F105" i="6"/>
  <c r="F104" i="6"/>
  <c r="F103" i="6"/>
  <c r="F102" i="6"/>
  <c r="F101" i="6"/>
  <c r="F100" i="6"/>
  <c r="F99" i="6"/>
  <c r="F96" i="6"/>
  <c r="F95" i="6"/>
  <c r="F94" i="6"/>
  <c r="F92" i="6"/>
  <c r="F91" i="6"/>
  <c r="F90" i="6"/>
  <c r="F86" i="6"/>
  <c r="F85" i="6"/>
  <c r="F84" i="6"/>
  <c r="F83" i="6"/>
  <c r="F82" i="6"/>
  <c r="F77" i="6"/>
  <c r="F76" i="6"/>
  <c r="BW108" i="6"/>
  <c r="BW98" i="6"/>
  <c r="BW88" i="6"/>
  <c r="BW80" i="6"/>
  <c r="F75" i="6"/>
  <c r="H13" i="7"/>
  <c r="G13" i="6"/>
  <c r="G13" i="12"/>
  <c r="H13" i="8"/>
  <c r="E13" i="6"/>
  <c r="F13" i="7"/>
  <c r="E13" i="12"/>
  <c r="F13" i="8"/>
  <c r="AY72" i="6" l="1"/>
  <c r="AI72" i="6"/>
  <c r="AL72" i="6"/>
  <c r="AF72" i="6"/>
  <c r="AE72" i="6"/>
  <c r="BV72" i="6"/>
  <c r="H72" i="6"/>
  <c r="AZ72" i="6"/>
  <c r="BN72" i="6"/>
  <c r="BP72" i="6"/>
  <c r="BD72" i="6"/>
  <c r="BK72" i="6"/>
  <c r="BL72" i="6"/>
  <c r="BB72" i="6"/>
  <c r="BW72" i="6"/>
  <c r="G103" i="7" l="1"/>
  <c r="G102" i="7"/>
  <c r="G101" i="7"/>
  <c r="G100" i="7"/>
  <c r="G99" i="7"/>
  <c r="G98" i="7"/>
  <c r="G97" i="7"/>
  <c r="G96" i="7"/>
  <c r="G95" i="7"/>
  <c r="G94" i="7"/>
  <c r="G91" i="7"/>
  <c r="G90" i="7"/>
  <c r="G89" i="7"/>
  <c r="G88" i="7"/>
  <c r="G87" i="7"/>
  <c r="G86" i="7"/>
  <c r="G83" i="7"/>
  <c r="G82" i="7"/>
  <c r="G81" i="7"/>
  <c r="G80" i="7"/>
  <c r="G79" i="7"/>
  <c r="G76" i="7"/>
  <c r="G75" i="7"/>
  <c r="G74" i="7"/>
  <c r="Q93" i="7"/>
  <c r="Q85" i="7"/>
  <c r="Q78" i="7"/>
  <c r="Q73" i="7"/>
  <c r="Q71" i="7" l="1"/>
  <c r="M100" i="9" l="1"/>
  <c r="J100" i="9"/>
  <c r="M91" i="9"/>
  <c r="J91" i="9"/>
  <c r="M81" i="9"/>
  <c r="J81" i="9"/>
  <c r="M73" i="9"/>
  <c r="J73" i="9"/>
  <c r="X100" i="9"/>
  <c r="X91" i="9"/>
  <c r="X81" i="9"/>
  <c r="X73" i="9"/>
  <c r="AD100" i="9"/>
  <c r="AA100" i="9"/>
  <c r="AK100" i="9"/>
  <c r="AJ100" i="9"/>
  <c r="Y100" i="9"/>
  <c r="W100" i="9"/>
  <c r="AD91" i="9"/>
  <c r="AA91" i="9"/>
  <c r="AK91" i="9"/>
  <c r="AJ91" i="9"/>
  <c r="Y91" i="9"/>
  <c r="W91" i="9"/>
  <c r="AD81" i="9"/>
  <c r="AA81" i="9"/>
  <c r="AK81" i="9"/>
  <c r="AJ81" i="9"/>
  <c r="Y81" i="9"/>
  <c r="W81" i="9"/>
  <c r="AD73" i="9"/>
  <c r="AA73" i="9"/>
  <c r="AK73" i="9"/>
  <c r="AJ73" i="9"/>
  <c r="Y73" i="9"/>
  <c r="W73" i="9"/>
  <c r="V100" i="9"/>
  <c r="AI100" i="9"/>
  <c r="AG100" i="9"/>
  <c r="AH100" i="9"/>
  <c r="T100" i="9"/>
  <c r="AE100" i="9"/>
  <c r="AL100" i="9"/>
  <c r="V91" i="9"/>
  <c r="AI91" i="9"/>
  <c r="AG91" i="9"/>
  <c r="AH91" i="9"/>
  <c r="T91" i="9"/>
  <c r="AE91" i="9"/>
  <c r="AL91" i="9"/>
  <c r="V81" i="9"/>
  <c r="AI81" i="9"/>
  <c r="AG81" i="9"/>
  <c r="AH81" i="9"/>
  <c r="T81" i="9"/>
  <c r="AE81" i="9"/>
  <c r="AL81" i="9"/>
  <c r="V73" i="9"/>
  <c r="AI73" i="9"/>
  <c r="AG73" i="9"/>
  <c r="AH73" i="9"/>
  <c r="T73" i="9"/>
  <c r="AE73" i="9"/>
  <c r="AL73" i="9"/>
  <c r="U73" i="9"/>
  <c r="U81" i="9"/>
  <c r="U91" i="9"/>
  <c r="U100" i="9"/>
  <c r="AM100" i="9"/>
  <c r="Z100" i="9"/>
  <c r="AB100" i="9"/>
  <c r="AM91" i="9"/>
  <c r="Z91" i="9"/>
  <c r="AB91" i="9"/>
  <c r="AM81" i="9"/>
  <c r="Z81" i="9"/>
  <c r="AB81" i="9"/>
  <c r="AM73" i="9"/>
  <c r="Z73" i="9"/>
  <c r="AB73" i="9"/>
  <c r="N100" i="9"/>
  <c r="L100" i="9"/>
  <c r="AF100" i="9"/>
  <c r="AC100" i="9"/>
  <c r="N91" i="9"/>
  <c r="L91" i="9"/>
  <c r="AF91" i="9"/>
  <c r="AC91" i="9"/>
  <c r="N81" i="9"/>
  <c r="L81" i="9"/>
  <c r="AF81" i="9"/>
  <c r="AC81" i="9"/>
  <c r="N73" i="9"/>
  <c r="N71" i="9" s="1"/>
  <c r="L73" i="9"/>
  <c r="L71" i="9" s="1"/>
  <c r="AF73" i="9"/>
  <c r="AF71" i="9" s="1"/>
  <c r="AC73" i="9"/>
  <c r="AC71" i="9" s="1"/>
  <c r="Q100" i="9"/>
  <c r="P100" i="9"/>
  <c r="Q91" i="9"/>
  <c r="P91" i="9"/>
  <c r="Q81" i="9"/>
  <c r="P81" i="9"/>
  <c r="Q73" i="9"/>
  <c r="P73" i="9"/>
  <c r="AK71" i="9" l="1"/>
  <c r="J71" i="9"/>
  <c r="AB71" i="9"/>
  <c r="AL71" i="9"/>
  <c r="AG71" i="9"/>
  <c r="X71" i="9"/>
  <c r="P71" i="9"/>
  <c r="M71" i="9"/>
  <c r="Q71" i="9"/>
  <c r="Z71" i="9"/>
  <c r="AE71" i="9"/>
  <c r="AI71" i="9"/>
  <c r="W71" i="9"/>
  <c r="AA71" i="9"/>
  <c r="AM71" i="9"/>
  <c r="T71" i="9"/>
  <c r="V71" i="9"/>
  <c r="Y71" i="9"/>
  <c r="AD71" i="9"/>
  <c r="U71" i="9"/>
  <c r="AH71" i="9"/>
  <c r="AJ71" i="9"/>
  <c r="T97" i="12"/>
  <c r="T88" i="12"/>
  <c r="T80" i="12"/>
  <c r="T74" i="12"/>
  <c r="K97" i="12"/>
  <c r="K88" i="12"/>
  <c r="K80" i="12"/>
  <c r="K74" i="12"/>
  <c r="AD97" i="12"/>
  <c r="AD88" i="12"/>
  <c r="AD80" i="12"/>
  <c r="AD74" i="12"/>
  <c r="Z97" i="12"/>
  <c r="Y97" i="12"/>
  <c r="Z88" i="12"/>
  <c r="Y88" i="12"/>
  <c r="Z80" i="12"/>
  <c r="Y80" i="12"/>
  <c r="Z74" i="12"/>
  <c r="Y74" i="12"/>
  <c r="AA97" i="12"/>
  <c r="AA88" i="12"/>
  <c r="AA80" i="12"/>
  <c r="AA74" i="12"/>
  <c r="R97" i="12"/>
  <c r="R88" i="12"/>
  <c r="R80" i="12"/>
  <c r="R74" i="12"/>
  <c r="X97" i="12"/>
  <c r="X88" i="12"/>
  <c r="X80" i="12"/>
  <c r="X74" i="12"/>
  <c r="W97" i="12"/>
  <c r="W88" i="12"/>
  <c r="W80" i="12"/>
  <c r="W74" i="12"/>
  <c r="L97" i="12"/>
  <c r="L88" i="12"/>
  <c r="L80" i="12"/>
  <c r="L74" i="12"/>
  <c r="Q97" i="12"/>
  <c r="Q88" i="12"/>
  <c r="Q80" i="12"/>
  <c r="Q74" i="12"/>
  <c r="M97" i="12"/>
  <c r="M88" i="12"/>
  <c r="M80" i="12"/>
  <c r="M74" i="12"/>
  <c r="J97" i="12"/>
  <c r="J88" i="12"/>
  <c r="J80" i="12"/>
  <c r="J74" i="12"/>
  <c r="AC97" i="12"/>
  <c r="AC88" i="12"/>
  <c r="AC80" i="12"/>
  <c r="AC74" i="12"/>
  <c r="AF97" i="12"/>
  <c r="AE97" i="12"/>
  <c r="AF88" i="12"/>
  <c r="AE88" i="12"/>
  <c r="AF80" i="12"/>
  <c r="AE80" i="12"/>
  <c r="AF74" i="12"/>
  <c r="AE74" i="12"/>
  <c r="V97" i="12"/>
  <c r="U97" i="12"/>
  <c r="V88" i="12"/>
  <c r="U88" i="12"/>
  <c r="V80" i="12"/>
  <c r="U80" i="12"/>
  <c r="V74" i="12"/>
  <c r="U74" i="12"/>
  <c r="G81" i="8"/>
  <c r="AM98" i="8"/>
  <c r="AM88" i="8"/>
  <c r="AM80" i="8"/>
  <c r="AM74" i="8"/>
  <c r="L98" i="8"/>
  <c r="L88" i="8"/>
  <c r="L80" i="8"/>
  <c r="L74" i="8"/>
  <c r="W98" i="8"/>
  <c r="W88" i="8"/>
  <c r="W80" i="8"/>
  <c r="W74" i="8"/>
  <c r="P98" i="8"/>
  <c r="P88" i="8"/>
  <c r="P80" i="8"/>
  <c r="P74" i="8"/>
  <c r="AI98" i="8"/>
  <c r="AI88" i="8"/>
  <c r="AI80" i="8"/>
  <c r="AI74" i="8"/>
  <c r="AD98" i="8"/>
  <c r="AH98" i="8"/>
  <c r="AD88" i="8"/>
  <c r="AH88" i="8"/>
  <c r="AD80" i="8"/>
  <c r="AH80" i="8"/>
  <c r="AD74" i="8"/>
  <c r="AH74" i="8"/>
  <c r="S98" i="8"/>
  <c r="S88" i="8"/>
  <c r="S80" i="8"/>
  <c r="S74" i="8"/>
  <c r="H98" i="8"/>
  <c r="K98" i="8"/>
  <c r="I98" i="8"/>
  <c r="H88" i="8"/>
  <c r="K88" i="8"/>
  <c r="I88" i="8"/>
  <c r="H80" i="8"/>
  <c r="K80" i="8"/>
  <c r="I80" i="8"/>
  <c r="H74" i="8"/>
  <c r="K74" i="8"/>
  <c r="I74" i="8"/>
  <c r="R98" i="8"/>
  <c r="R88" i="8"/>
  <c r="R80" i="8"/>
  <c r="R74" i="8"/>
  <c r="AL98" i="8"/>
  <c r="AL88" i="8"/>
  <c r="AL80" i="8"/>
  <c r="AL74" i="8"/>
  <c r="M98" i="8"/>
  <c r="M88" i="8"/>
  <c r="M80" i="8"/>
  <c r="M74" i="8"/>
  <c r="T98" i="8"/>
  <c r="V98" i="8"/>
  <c r="U98" i="8"/>
  <c r="T88" i="8"/>
  <c r="V88" i="8"/>
  <c r="U88" i="8"/>
  <c r="T80" i="8"/>
  <c r="V80" i="8"/>
  <c r="U80" i="8"/>
  <c r="T74" i="8"/>
  <c r="V74" i="8"/>
  <c r="U74" i="8"/>
  <c r="X98" i="8"/>
  <c r="Y98" i="8"/>
  <c r="X88" i="8"/>
  <c r="Y88" i="8"/>
  <c r="X80" i="8"/>
  <c r="Y80" i="8"/>
  <c r="X74" i="8"/>
  <c r="Y74" i="8"/>
  <c r="AA98" i="8"/>
  <c r="Z98" i="8"/>
  <c r="AA88" i="8"/>
  <c r="Z88" i="8"/>
  <c r="AA80" i="8"/>
  <c r="Z80" i="8"/>
  <c r="AA74" i="8"/>
  <c r="Z74" i="8"/>
  <c r="AN98" i="8"/>
  <c r="AE98" i="8"/>
  <c r="AN88" i="8"/>
  <c r="AE88" i="8"/>
  <c r="AN80" i="8"/>
  <c r="AE80" i="8"/>
  <c r="AN74" i="8"/>
  <c r="AE74" i="8"/>
  <c r="AO98" i="8"/>
  <c r="AJ98" i="8"/>
  <c r="AP98" i="8"/>
  <c r="AO88" i="8"/>
  <c r="AJ88" i="8"/>
  <c r="AP88" i="8"/>
  <c r="AO80" i="8"/>
  <c r="AJ80" i="8"/>
  <c r="AP80" i="8"/>
  <c r="AO74" i="8"/>
  <c r="AJ74" i="8"/>
  <c r="AP74" i="8"/>
  <c r="AB98" i="8"/>
  <c r="AF98" i="8"/>
  <c r="AB88" i="8"/>
  <c r="AF88" i="8"/>
  <c r="AB80" i="8"/>
  <c r="AF80" i="8"/>
  <c r="AB74" i="8"/>
  <c r="AF74" i="8"/>
  <c r="F104" i="12"/>
  <c r="F103" i="12"/>
  <c r="F102" i="12"/>
  <c r="F101" i="12"/>
  <c r="F100" i="12"/>
  <c r="F99" i="12"/>
  <c r="F98" i="12"/>
  <c r="S97" i="12"/>
  <c r="N97" i="12"/>
  <c r="O97" i="12"/>
  <c r="AB97" i="12"/>
  <c r="I97" i="12"/>
  <c r="H97" i="12"/>
  <c r="P97" i="12"/>
  <c r="G97" i="12"/>
  <c r="F95" i="12"/>
  <c r="F94" i="12"/>
  <c r="F93" i="12"/>
  <c r="F92" i="12"/>
  <c r="F91" i="12"/>
  <c r="F90" i="12"/>
  <c r="F89" i="12"/>
  <c r="S88" i="12"/>
  <c r="N88" i="12"/>
  <c r="O88" i="12"/>
  <c r="AB88" i="12"/>
  <c r="I88" i="12"/>
  <c r="H88" i="12"/>
  <c r="P88" i="12"/>
  <c r="G88" i="12"/>
  <c r="F86" i="12"/>
  <c r="F85" i="12"/>
  <c r="F84" i="12"/>
  <c r="F83" i="12"/>
  <c r="F82" i="12"/>
  <c r="F81" i="12"/>
  <c r="S80" i="12"/>
  <c r="N80" i="12"/>
  <c r="O80" i="12"/>
  <c r="AB80" i="12"/>
  <c r="I80" i="12"/>
  <c r="H80" i="12"/>
  <c r="P80" i="12"/>
  <c r="G80" i="12"/>
  <c r="F78" i="12"/>
  <c r="F77" i="12"/>
  <c r="F76" i="12"/>
  <c r="F75" i="12"/>
  <c r="S74" i="12"/>
  <c r="N74" i="12"/>
  <c r="O74" i="12"/>
  <c r="AB74" i="12"/>
  <c r="I74" i="12"/>
  <c r="H74" i="12"/>
  <c r="P74" i="12"/>
  <c r="G74" i="12"/>
  <c r="G60" i="12"/>
  <c r="E60" i="12"/>
  <c r="G44" i="12"/>
  <c r="E44" i="12"/>
  <c r="E97" i="12" s="1"/>
  <c r="G34" i="12"/>
  <c r="E34" i="12"/>
  <c r="E88" i="12" s="1"/>
  <c r="G24" i="12"/>
  <c r="E24" i="12"/>
  <c r="E80" i="12" s="1"/>
  <c r="G17" i="12"/>
  <c r="E17" i="12"/>
  <c r="E74" i="12" s="1"/>
  <c r="K72" i="8" l="1"/>
  <c r="I72" i="8"/>
  <c r="H72" i="8"/>
  <c r="I13" i="12"/>
  <c r="AD72" i="12"/>
  <c r="T72" i="12"/>
  <c r="K72" i="12"/>
  <c r="Z72" i="12"/>
  <c r="Y72" i="12"/>
  <c r="AA72" i="12"/>
  <c r="R72" i="12"/>
  <c r="X72" i="12"/>
  <c r="W72" i="12"/>
  <c r="Q72" i="12"/>
  <c r="L72" i="12"/>
  <c r="M72" i="12"/>
  <c r="J72" i="12"/>
  <c r="AC72" i="12"/>
  <c r="AE72" i="12"/>
  <c r="AF72" i="12"/>
  <c r="E72" i="12"/>
  <c r="U72" i="12"/>
  <c r="V72" i="12"/>
  <c r="G72" i="12"/>
  <c r="AB72" i="12"/>
  <c r="P72" i="12"/>
  <c r="O72" i="12"/>
  <c r="H72" i="12"/>
  <c r="N72" i="12"/>
  <c r="I72" i="12"/>
  <c r="S72" i="12"/>
  <c r="F74" i="12"/>
  <c r="E11" i="12"/>
  <c r="F88" i="12"/>
  <c r="I60" i="12"/>
  <c r="I17" i="12"/>
  <c r="I34" i="12"/>
  <c r="I24" i="12"/>
  <c r="I44" i="12"/>
  <c r="F80" i="12"/>
  <c r="F97" i="12"/>
  <c r="G11" i="12"/>
  <c r="AB72" i="8"/>
  <c r="U72" i="8"/>
  <c r="AM72" i="8"/>
  <c r="AA72" i="8"/>
  <c r="V72" i="8"/>
  <c r="Z72" i="8"/>
  <c r="L72" i="8"/>
  <c r="W72" i="8"/>
  <c r="AD72" i="8"/>
  <c r="Y72" i="8"/>
  <c r="AJ72" i="8"/>
  <c r="X72" i="8"/>
  <c r="AO72" i="8"/>
  <c r="P72" i="8"/>
  <c r="AE72" i="8"/>
  <c r="AF72" i="8"/>
  <c r="AH72" i="8"/>
  <c r="AI72" i="8"/>
  <c r="AN72" i="8"/>
  <c r="AP72" i="8"/>
  <c r="S72" i="8"/>
  <c r="R72" i="8"/>
  <c r="T72" i="8"/>
  <c r="AL72" i="8"/>
  <c r="M72" i="8"/>
  <c r="F72" i="12" l="1"/>
  <c r="I11" i="12"/>
  <c r="D11" i="12" s="1"/>
  <c r="H11" i="12" l="1"/>
  <c r="F11" i="12"/>
  <c r="J11" i="12"/>
  <c r="U93" i="7" l="1"/>
  <c r="T93" i="7"/>
  <c r="U85" i="7"/>
  <c r="T85" i="7"/>
  <c r="U78" i="7"/>
  <c r="T78" i="7"/>
  <c r="U73" i="7"/>
  <c r="T73" i="7"/>
  <c r="W93" i="7"/>
  <c r="W85" i="7"/>
  <c r="W78" i="7"/>
  <c r="W73" i="7"/>
  <c r="R93" i="7"/>
  <c r="O93" i="7"/>
  <c r="N93" i="7"/>
  <c r="P93" i="7"/>
  <c r="R85" i="7"/>
  <c r="O85" i="7"/>
  <c r="N85" i="7"/>
  <c r="P85" i="7"/>
  <c r="R78" i="7"/>
  <c r="O78" i="7"/>
  <c r="N78" i="7"/>
  <c r="P78" i="7"/>
  <c r="R73" i="7"/>
  <c r="O73" i="7"/>
  <c r="N73" i="7"/>
  <c r="P73" i="7"/>
  <c r="AJ93" i="7"/>
  <c r="AF93" i="7"/>
  <c r="AI93" i="7"/>
  <c r="AH93" i="7"/>
  <c r="AJ85" i="7"/>
  <c r="AF85" i="7"/>
  <c r="AI85" i="7"/>
  <c r="AH85" i="7"/>
  <c r="AJ78" i="7"/>
  <c r="AF78" i="7"/>
  <c r="AI78" i="7"/>
  <c r="AH78" i="7"/>
  <c r="AJ73" i="7"/>
  <c r="AF73" i="7"/>
  <c r="AI73" i="7"/>
  <c r="AH73" i="7"/>
  <c r="AJ71" i="7"/>
  <c r="AF71" i="7"/>
  <c r="AL93" i="7"/>
  <c r="AK93" i="7"/>
  <c r="AL85" i="7"/>
  <c r="AK85" i="7"/>
  <c r="AL78" i="7"/>
  <c r="AK78" i="7"/>
  <c r="AL73" i="7"/>
  <c r="AK73" i="7"/>
  <c r="AD93" i="7"/>
  <c r="AC93" i="7"/>
  <c r="AD85" i="7"/>
  <c r="AC85" i="7"/>
  <c r="AD78" i="7"/>
  <c r="AC78" i="7"/>
  <c r="AD73" i="7"/>
  <c r="AC73" i="7"/>
  <c r="AI71" i="7" l="1"/>
  <c r="R71" i="7"/>
  <c r="P71" i="7"/>
  <c r="O71" i="7"/>
  <c r="N71" i="7"/>
  <c r="U71" i="7"/>
  <c r="AK71" i="7"/>
  <c r="T71" i="7"/>
  <c r="W71" i="7"/>
  <c r="AH71" i="7"/>
  <c r="AD71" i="7"/>
  <c r="AL71" i="7"/>
  <c r="AC71" i="7"/>
  <c r="G108" i="6"/>
  <c r="G98" i="6"/>
  <c r="G88" i="6"/>
  <c r="G80" i="6"/>
  <c r="G72" i="6" l="1"/>
  <c r="AN93" i="7"/>
  <c r="AN85" i="7"/>
  <c r="AN78" i="7"/>
  <c r="AN73" i="7"/>
  <c r="AM93" i="7"/>
  <c r="AM85" i="7"/>
  <c r="AM78" i="7"/>
  <c r="AM73" i="7"/>
  <c r="AM71" i="7" l="1"/>
  <c r="AN71" i="7"/>
  <c r="AG93" i="7"/>
  <c r="AG85" i="7"/>
  <c r="AG78" i="7"/>
  <c r="AG73" i="7"/>
  <c r="AE93" i="7"/>
  <c r="AE85" i="7"/>
  <c r="AE78" i="7"/>
  <c r="AE73" i="7"/>
  <c r="V93" i="7"/>
  <c r="H93" i="7"/>
  <c r="S93" i="7"/>
  <c r="V85" i="7"/>
  <c r="H85" i="7"/>
  <c r="S85" i="7"/>
  <c r="V78" i="7"/>
  <c r="H78" i="7"/>
  <c r="S78" i="7"/>
  <c r="V73" i="7"/>
  <c r="H73" i="7"/>
  <c r="S73" i="7"/>
  <c r="AE71" i="7" l="1"/>
  <c r="AG71" i="7"/>
  <c r="H71" i="7"/>
  <c r="V71" i="7"/>
  <c r="S71" i="7"/>
  <c r="F114" i="9" l="1"/>
  <c r="F113" i="9"/>
  <c r="F112" i="9"/>
  <c r="F111" i="9"/>
  <c r="F110" i="9"/>
  <c r="F109" i="9"/>
  <c r="F108" i="9"/>
  <c r="F107" i="9"/>
  <c r="F106" i="9"/>
  <c r="F105" i="9"/>
  <c r="F104" i="9"/>
  <c r="F103" i="9"/>
  <c r="F102" i="9"/>
  <c r="F101" i="9"/>
  <c r="R100" i="9"/>
  <c r="K100" i="9"/>
  <c r="H100" i="9"/>
  <c r="G100" i="9"/>
  <c r="I100" i="9"/>
  <c r="S100" i="9"/>
  <c r="O100" i="9"/>
  <c r="F98" i="9"/>
  <c r="F97" i="9"/>
  <c r="F96" i="9"/>
  <c r="F95" i="9"/>
  <c r="F94" i="9"/>
  <c r="F93" i="9"/>
  <c r="F92" i="9"/>
  <c r="R91" i="9"/>
  <c r="K91" i="9"/>
  <c r="H91" i="9"/>
  <c r="G91" i="9"/>
  <c r="I91" i="9"/>
  <c r="S91" i="9"/>
  <c r="O91" i="9"/>
  <c r="F89" i="9"/>
  <c r="F88" i="9"/>
  <c r="F87" i="9"/>
  <c r="F86" i="9"/>
  <c r="F85" i="9"/>
  <c r="F84" i="9"/>
  <c r="F83" i="9"/>
  <c r="F82" i="9"/>
  <c r="R81" i="9"/>
  <c r="K81" i="9"/>
  <c r="H81" i="9"/>
  <c r="G81" i="9"/>
  <c r="I81" i="9"/>
  <c r="S81" i="9"/>
  <c r="O81" i="9"/>
  <c r="F79" i="9"/>
  <c r="F77" i="9"/>
  <c r="F76" i="9"/>
  <c r="F75" i="9"/>
  <c r="F74" i="9"/>
  <c r="R73" i="9"/>
  <c r="K73" i="9"/>
  <c r="H73" i="9"/>
  <c r="G73" i="9"/>
  <c r="I73" i="9"/>
  <c r="S73" i="9"/>
  <c r="O73" i="9"/>
  <c r="E100" i="9"/>
  <c r="E91" i="9"/>
  <c r="E81" i="9"/>
  <c r="E73" i="9"/>
  <c r="G110" i="8"/>
  <c r="G109" i="8"/>
  <c r="G108" i="8"/>
  <c r="G107" i="8"/>
  <c r="G106" i="8"/>
  <c r="G105" i="8"/>
  <c r="G104" i="8"/>
  <c r="G103" i="8"/>
  <c r="G102" i="8"/>
  <c r="G101" i="8"/>
  <c r="G100" i="8"/>
  <c r="G99" i="8"/>
  <c r="AC98" i="8"/>
  <c r="Q98" i="8"/>
  <c r="O98" i="8"/>
  <c r="N98" i="8"/>
  <c r="G96" i="8"/>
  <c r="G95" i="8"/>
  <c r="G94" i="8"/>
  <c r="G93" i="8"/>
  <c r="G92" i="8"/>
  <c r="G91" i="8"/>
  <c r="G90" i="8"/>
  <c r="G89" i="8"/>
  <c r="AC88" i="8"/>
  <c r="Q88" i="8"/>
  <c r="O88" i="8"/>
  <c r="N88" i="8"/>
  <c r="G86" i="8"/>
  <c r="G85" i="8"/>
  <c r="G84" i="8"/>
  <c r="G83" i="8"/>
  <c r="G82" i="8"/>
  <c r="AC80" i="8"/>
  <c r="Q80" i="8"/>
  <c r="O80" i="8"/>
  <c r="N80" i="8"/>
  <c r="G78" i="8"/>
  <c r="G77" i="8"/>
  <c r="G76" i="8"/>
  <c r="G75" i="8"/>
  <c r="AC74" i="8"/>
  <c r="Q74" i="8"/>
  <c r="O74" i="8"/>
  <c r="N74" i="8"/>
  <c r="H60" i="8"/>
  <c r="F60" i="8"/>
  <c r="H44" i="8"/>
  <c r="F98" i="8" s="1"/>
  <c r="F44" i="8"/>
  <c r="H34" i="8"/>
  <c r="F88" i="8" s="1"/>
  <c r="F34" i="8"/>
  <c r="H24" i="8"/>
  <c r="F80" i="8" s="1"/>
  <c r="F24" i="8"/>
  <c r="H17" i="8"/>
  <c r="F74" i="8" s="1"/>
  <c r="F17" i="8"/>
  <c r="K71" i="9" l="1"/>
  <c r="S71" i="9"/>
  <c r="G71" i="9"/>
  <c r="I71" i="9"/>
  <c r="R71" i="9"/>
  <c r="O71" i="9"/>
  <c r="H71" i="9"/>
  <c r="E71" i="9"/>
  <c r="J17" i="8"/>
  <c r="J24" i="8"/>
  <c r="J13" i="8"/>
  <c r="F91" i="9"/>
  <c r="F81" i="9"/>
  <c r="F100" i="9"/>
  <c r="F73" i="9"/>
  <c r="G80" i="8"/>
  <c r="F72" i="8"/>
  <c r="O72" i="8"/>
  <c r="Q72" i="8"/>
  <c r="AC72" i="8"/>
  <c r="N72" i="8"/>
  <c r="J60" i="8"/>
  <c r="G74" i="8"/>
  <c r="G98" i="8"/>
  <c r="G88" i="8"/>
  <c r="J34" i="8"/>
  <c r="F11" i="8"/>
  <c r="H11" i="8"/>
  <c r="J44" i="8"/>
  <c r="AB93" i="7"/>
  <c r="Z93" i="7"/>
  <c r="Y93" i="7"/>
  <c r="AA93" i="7"/>
  <c r="X93" i="7"/>
  <c r="K93" i="7"/>
  <c r="M93" i="7"/>
  <c r="J93" i="7"/>
  <c r="L93" i="7"/>
  <c r="I93" i="7"/>
  <c r="AB85" i="7"/>
  <c r="Z85" i="7"/>
  <c r="Y85" i="7"/>
  <c r="AA85" i="7"/>
  <c r="X85" i="7"/>
  <c r="K85" i="7"/>
  <c r="M85" i="7"/>
  <c r="J85" i="7"/>
  <c r="L85" i="7"/>
  <c r="I85" i="7"/>
  <c r="AB78" i="7"/>
  <c r="Z78" i="7"/>
  <c r="Y78" i="7"/>
  <c r="AA78" i="7"/>
  <c r="X78" i="7"/>
  <c r="K78" i="7"/>
  <c r="M78" i="7"/>
  <c r="J78" i="7"/>
  <c r="L78" i="7"/>
  <c r="I78" i="7"/>
  <c r="AB73" i="7"/>
  <c r="Z73" i="7"/>
  <c r="Y73" i="7"/>
  <c r="AA73" i="7"/>
  <c r="X73" i="7"/>
  <c r="K73" i="7"/>
  <c r="M73" i="7"/>
  <c r="J73" i="7"/>
  <c r="L73" i="7"/>
  <c r="I73" i="7"/>
  <c r="H60" i="7"/>
  <c r="F60" i="7"/>
  <c r="H44" i="7"/>
  <c r="F93" i="7" s="1"/>
  <c r="F44" i="7"/>
  <c r="H34" i="7"/>
  <c r="F85" i="7" s="1"/>
  <c r="F34" i="7"/>
  <c r="H24" i="7"/>
  <c r="F78" i="7" s="1"/>
  <c r="F24" i="7"/>
  <c r="H17" i="7"/>
  <c r="F73" i="7" s="1"/>
  <c r="F17" i="7"/>
  <c r="F71" i="9" l="1"/>
  <c r="G72" i="8"/>
  <c r="L71" i="7"/>
  <c r="Z71" i="7"/>
  <c r="F71" i="7"/>
  <c r="I71" i="7"/>
  <c r="K71" i="7"/>
  <c r="Y71" i="7"/>
  <c r="J71" i="7"/>
  <c r="X71" i="7"/>
  <c r="AB71" i="7"/>
  <c r="M71" i="7"/>
  <c r="AA71" i="7"/>
  <c r="G73" i="7"/>
  <c r="G78" i="7"/>
  <c r="G93" i="7"/>
  <c r="J11" i="8"/>
  <c r="E11" i="8" s="1"/>
  <c r="H11" i="7"/>
  <c r="G85" i="7"/>
  <c r="F11" i="7"/>
  <c r="G71" i="7" l="1"/>
  <c r="I11" i="8"/>
  <c r="G11" i="8"/>
  <c r="K11" i="8"/>
  <c r="AG80" i="6"/>
  <c r="AH80" i="6"/>
  <c r="AJ80" i="6"/>
  <c r="AK80" i="6"/>
  <c r="AO80" i="6"/>
  <c r="U80" i="6"/>
  <c r="AN80" i="6"/>
  <c r="AQ80" i="6"/>
  <c r="BJ80" i="6"/>
  <c r="AR80" i="6"/>
  <c r="AT80" i="6"/>
  <c r="BG80" i="6"/>
  <c r="AS80" i="6"/>
  <c r="BA80" i="6"/>
  <c r="AU80" i="6"/>
  <c r="BH80" i="6"/>
  <c r="AW80" i="6"/>
  <c r="BC80" i="6"/>
  <c r="BU80" i="6"/>
  <c r="BQ80" i="6"/>
  <c r="F81" i="6"/>
  <c r="BS80" i="6"/>
  <c r="BT80" i="6"/>
  <c r="BR80" i="6"/>
  <c r="AG88" i="6"/>
  <c r="AH88" i="6"/>
  <c r="AJ88" i="6"/>
  <c r="AK88" i="6"/>
  <c r="AO88" i="6"/>
  <c r="U88" i="6"/>
  <c r="AN88" i="6"/>
  <c r="AQ88" i="6"/>
  <c r="BJ88" i="6"/>
  <c r="AR88" i="6"/>
  <c r="AT88" i="6"/>
  <c r="BG88" i="6"/>
  <c r="AS88" i="6"/>
  <c r="BA88" i="6"/>
  <c r="AU88" i="6"/>
  <c r="BH88" i="6"/>
  <c r="AW88" i="6"/>
  <c r="BC88" i="6"/>
  <c r="BU88" i="6"/>
  <c r="BQ88" i="6"/>
  <c r="F89" i="6"/>
  <c r="BS88" i="6"/>
  <c r="BT88" i="6"/>
  <c r="BR88" i="6"/>
  <c r="AG98" i="6"/>
  <c r="AH98" i="6"/>
  <c r="AJ98" i="6"/>
  <c r="AK98" i="6"/>
  <c r="AO98" i="6"/>
  <c r="U98" i="6"/>
  <c r="AN98" i="6"/>
  <c r="AQ98" i="6"/>
  <c r="BJ98" i="6"/>
  <c r="AR98" i="6"/>
  <c r="AT98" i="6"/>
  <c r="BG98" i="6"/>
  <c r="AS98" i="6"/>
  <c r="BA98" i="6"/>
  <c r="AU98" i="6"/>
  <c r="BH98" i="6"/>
  <c r="AW98" i="6"/>
  <c r="BC98" i="6"/>
  <c r="BU98" i="6"/>
  <c r="BQ98" i="6"/>
  <c r="BS98" i="6"/>
  <c r="BT98" i="6"/>
  <c r="BR98" i="6"/>
  <c r="AG108" i="6"/>
  <c r="AH108" i="6"/>
  <c r="AJ108" i="6"/>
  <c r="AK108" i="6"/>
  <c r="AO108" i="6"/>
  <c r="U108" i="6"/>
  <c r="AN108" i="6"/>
  <c r="AQ108" i="6"/>
  <c r="BJ108" i="6"/>
  <c r="AR108" i="6"/>
  <c r="AT108" i="6"/>
  <c r="BG108" i="6"/>
  <c r="AS108" i="6"/>
  <c r="BA108" i="6"/>
  <c r="AU108" i="6"/>
  <c r="BH108" i="6"/>
  <c r="AW108" i="6"/>
  <c r="BC108" i="6"/>
  <c r="BU108" i="6"/>
  <c r="BQ108" i="6"/>
  <c r="F109" i="6"/>
  <c r="BS108" i="6"/>
  <c r="BT108" i="6"/>
  <c r="BR108" i="6"/>
  <c r="W108" i="6"/>
  <c r="AV108" i="6"/>
  <c r="BF108" i="6"/>
  <c r="AA108" i="6"/>
  <c r="BE108" i="6"/>
  <c r="P108" i="6"/>
  <c r="X108" i="6"/>
  <c r="BM108" i="6"/>
  <c r="Y108" i="6"/>
  <c r="AD108" i="6"/>
  <c r="V108" i="6"/>
  <c r="T108" i="6"/>
  <c r="S108" i="6"/>
  <c r="Q108" i="6"/>
  <c r="W98" i="6"/>
  <c r="AV98" i="6"/>
  <c r="BF98" i="6"/>
  <c r="AA98" i="6"/>
  <c r="BE98" i="6"/>
  <c r="P98" i="6"/>
  <c r="X98" i="6"/>
  <c r="BM98" i="6"/>
  <c r="Y98" i="6"/>
  <c r="AD98" i="6"/>
  <c r="V98" i="6"/>
  <c r="T98" i="6"/>
  <c r="S98" i="6"/>
  <c r="Q98" i="6"/>
  <c r="W88" i="6"/>
  <c r="AV88" i="6"/>
  <c r="BF88" i="6"/>
  <c r="AA88" i="6"/>
  <c r="BE88" i="6"/>
  <c r="P88" i="6"/>
  <c r="X88" i="6"/>
  <c r="BM88" i="6"/>
  <c r="Y88" i="6"/>
  <c r="AD88" i="6"/>
  <c r="V88" i="6"/>
  <c r="T88" i="6"/>
  <c r="S88" i="6"/>
  <c r="Q88" i="6"/>
  <c r="W80" i="6"/>
  <c r="AV80" i="6"/>
  <c r="BF80" i="6"/>
  <c r="AA80" i="6"/>
  <c r="BE80" i="6"/>
  <c r="P80" i="6"/>
  <c r="X80" i="6"/>
  <c r="BM80" i="6"/>
  <c r="Y80" i="6"/>
  <c r="AD80" i="6"/>
  <c r="V80" i="6"/>
  <c r="T80" i="6"/>
  <c r="S80" i="6"/>
  <c r="Q80" i="6"/>
  <c r="Z108" i="6"/>
  <c r="N108" i="6"/>
  <c r="R108" i="6"/>
  <c r="O108" i="6"/>
  <c r="M108" i="6"/>
  <c r="Z98" i="6"/>
  <c r="N98" i="6"/>
  <c r="R98" i="6"/>
  <c r="O98" i="6"/>
  <c r="M98" i="6"/>
  <c r="Z88" i="6"/>
  <c r="N88" i="6"/>
  <c r="R88" i="6"/>
  <c r="O88" i="6"/>
  <c r="M88" i="6"/>
  <c r="Z80" i="6"/>
  <c r="N80" i="6"/>
  <c r="R80" i="6"/>
  <c r="O80" i="6"/>
  <c r="M80" i="6"/>
  <c r="AB108" i="6"/>
  <c r="AB98" i="6"/>
  <c r="AB88" i="6"/>
  <c r="AB80" i="6"/>
  <c r="G34" i="6"/>
  <c r="E98" i="6" s="1"/>
  <c r="L108" i="6"/>
  <c r="K108" i="6"/>
  <c r="I108" i="6"/>
  <c r="J108" i="6"/>
  <c r="L98" i="6"/>
  <c r="K98" i="6"/>
  <c r="I98" i="6"/>
  <c r="J98" i="6"/>
  <c r="L88" i="6"/>
  <c r="K88" i="6"/>
  <c r="I88" i="6"/>
  <c r="J88" i="6"/>
  <c r="L80" i="6"/>
  <c r="K80" i="6"/>
  <c r="I80" i="6"/>
  <c r="J80" i="6"/>
  <c r="I60" i="6"/>
  <c r="G60" i="6"/>
  <c r="E60" i="6"/>
  <c r="G44" i="6"/>
  <c r="E108" i="6" s="1"/>
  <c r="E44" i="6"/>
  <c r="E34" i="6"/>
  <c r="G24" i="6"/>
  <c r="E88" i="6" s="1"/>
  <c r="E24" i="6"/>
  <c r="G17" i="6"/>
  <c r="E80" i="6" s="1"/>
  <c r="E17" i="6"/>
  <c r="E74" i="6"/>
  <c r="E11" i="7" l="1"/>
  <c r="J11" i="7" s="1"/>
  <c r="F74" i="6"/>
  <c r="I13" i="6"/>
  <c r="AB72" i="6"/>
  <c r="Q72" i="6"/>
  <c r="BF72" i="6"/>
  <c r="Y72" i="6"/>
  <c r="AD72" i="6"/>
  <c r="X72" i="6"/>
  <c r="AA72" i="6"/>
  <c r="W72" i="6"/>
  <c r="I72" i="6"/>
  <c r="O72" i="6"/>
  <c r="N72" i="6"/>
  <c r="BA72" i="6"/>
  <c r="AQ72" i="6"/>
  <c r="AO72" i="6"/>
  <c r="AK72" i="6"/>
  <c r="K72" i="6"/>
  <c r="BT72" i="6"/>
  <c r="BQ72" i="6"/>
  <c r="AS72" i="6"/>
  <c r="AR72" i="6"/>
  <c r="AN72" i="6"/>
  <c r="AJ72" i="6"/>
  <c r="E72" i="6"/>
  <c r="L72" i="6"/>
  <c r="S72" i="6"/>
  <c r="T72" i="6"/>
  <c r="BM72" i="6"/>
  <c r="P72" i="6"/>
  <c r="AV72" i="6"/>
  <c r="BU72" i="6"/>
  <c r="BC72" i="6"/>
  <c r="BG72" i="6"/>
  <c r="BJ72" i="6"/>
  <c r="U72" i="6"/>
  <c r="AH72" i="6"/>
  <c r="BR72" i="6"/>
  <c r="BH72" i="6"/>
  <c r="Z72" i="6"/>
  <c r="J72" i="6"/>
  <c r="M72" i="6"/>
  <c r="R72" i="6"/>
  <c r="V72" i="6"/>
  <c r="BE72" i="6"/>
  <c r="BS72" i="6"/>
  <c r="AW72" i="6"/>
  <c r="AU72" i="6"/>
  <c r="AT72" i="6"/>
  <c r="AG72" i="6"/>
  <c r="F98" i="6"/>
  <c r="F88" i="6"/>
  <c r="F108" i="6"/>
  <c r="F80" i="6"/>
  <c r="I44" i="6"/>
  <c r="E11" i="6"/>
  <c r="I24" i="6"/>
  <c r="I17" i="6"/>
  <c r="I34" i="6"/>
  <c r="G11" i="6"/>
  <c r="I11" i="7" l="1"/>
  <c r="G11" i="7"/>
  <c r="F72" i="6"/>
  <c r="I11" i="6"/>
  <c r="D11" i="6" s="1"/>
  <c r="F11" i="6" l="1"/>
  <c r="H11" i="6"/>
  <c r="J11" i="6"/>
</calcChain>
</file>

<file path=xl/sharedStrings.xml><?xml version="1.0" encoding="utf-8"?>
<sst xmlns="http://schemas.openxmlformats.org/spreadsheetml/2006/main" count="1198" uniqueCount="486">
  <si>
    <t>Responses to question 1</t>
  </si>
  <si>
    <t>You agree with Our Goal, Keys to Success and Stakeholder Value Proposition, as well as the Environmental Drivers.</t>
  </si>
  <si>
    <t>Respondent group</t>
  </si>
  <si>
    <t>Agreed to question 1</t>
  </si>
  <si>
    <t>Agreed to question 1, with suggestions (A)</t>
  </si>
  <si>
    <t>No specific response to question 1</t>
  </si>
  <si>
    <t xml:space="preserve">    Note: Table contain hidden rows</t>
  </si>
  <si>
    <t>Count</t>
  </si>
  <si>
    <t>%</t>
  </si>
  <si>
    <t>Totals</t>
  </si>
  <si>
    <t>Monitoring Group</t>
  </si>
  <si>
    <t xml:space="preserve"> - IAIS</t>
  </si>
  <si>
    <t xml:space="preserve"> - IFIAR</t>
  </si>
  <si>
    <t xml:space="preserve">Regulators and Oversight Authorities </t>
  </si>
  <si>
    <t xml:space="preserve"> - CEAOB</t>
  </si>
  <si>
    <t xml:space="preserve"> - CPAB</t>
  </si>
  <si>
    <t xml:space="preserve"> - ESMA</t>
  </si>
  <si>
    <t xml:space="preserve"> - IAASA</t>
  </si>
  <si>
    <t xml:space="preserve"> - UKFRC</t>
  </si>
  <si>
    <t xml:space="preserve">National Auditing Standard Setters </t>
  </si>
  <si>
    <t xml:space="preserve"> - AUASB</t>
  </si>
  <si>
    <t xml:space="preserve"> - CAASB</t>
  </si>
  <si>
    <t xml:space="preserve"> - HK-CPA</t>
  </si>
  <si>
    <t xml:space="preserve"> - IDW</t>
  </si>
  <si>
    <t xml:space="preserve"> - JICPA</t>
  </si>
  <si>
    <t xml:space="preserve"> - MAASB</t>
  </si>
  <si>
    <t xml:space="preserve"> - NBA</t>
  </si>
  <si>
    <t xml:space="preserve"> - NZAASB</t>
  </si>
  <si>
    <t>Accounting Firms</t>
  </si>
  <si>
    <t xml:space="preserve"> - BDO</t>
  </si>
  <si>
    <t xml:space="preserve"> - CI</t>
  </si>
  <si>
    <t xml:space="preserve"> - DTT</t>
  </si>
  <si>
    <t xml:space="preserve"> - ETY</t>
  </si>
  <si>
    <t xml:space="preserve"> - EY</t>
  </si>
  <si>
    <t xml:space="preserve"> - GTI</t>
  </si>
  <si>
    <t xml:space="preserve"> - KPMG</t>
  </si>
  <si>
    <t xml:space="preserve"> - PwC</t>
  </si>
  <si>
    <t xml:space="preserve"> - RSM</t>
  </si>
  <si>
    <t xml:space="preserve">Member Bodies and Other Professional Organizations </t>
  </si>
  <si>
    <t xml:space="preserve"> - ACCA- CAANZ</t>
  </si>
  <si>
    <t xml:space="preserve"> - AE</t>
  </si>
  <si>
    <t xml:space="preserve"> - CPAA</t>
  </si>
  <si>
    <t xml:space="preserve"> - EFAA</t>
  </si>
  <si>
    <t xml:space="preserve"> - FACPCE</t>
  </si>
  <si>
    <t xml:space="preserve"> - ICAEW</t>
  </si>
  <si>
    <t xml:space="preserve"> - ICAS</t>
  </si>
  <si>
    <t xml:space="preserve"> - ICPAU</t>
  </si>
  <si>
    <t xml:space="preserve"> - IIA</t>
  </si>
  <si>
    <t xml:space="preserve"> - ISCA</t>
  </si>
  <si>
    <t xml:space="preserve"> - MICPA</t>
  </si>
  <si>
    <t xml:space="preserve"> - NFPA</t>
  </si>
  <si>
    <t xml:space="preserve"> - SAICA</t>
  </si>
  <si>
    <t xml:space="preserve"> - SMPC</t>
  </si>
  <si>
    <t xml:space="preserve"> - WPK</t>
  </si>
  <si>
    <t>Academics</t>
  </si>
  <si>
    <t xml:space="preserve"> - FAR</t>
  </si>
  <si>
    <t>(A) Analysis of those respondents who agreed to question 1 with suggestions</t>
  </si>
  <si>
    <t>Respondents</t>
  </si>
  <si>
    <t>Agreed to question 1, subject to further considerations</t>
  </si>
  <si>
    <t>Further Considerations</t>
  </si>
  <si>
    <t>Number of respondents</t>
  </si>
  <si>
    <t>Number of suggestions / comments</t>
  </si>
  <si>
    <t>TOTALS</t>
  </si>
  <si>
    <t xml:space="preserve"> </t>
  </si>
  <si>
    <t>6. IAASA</t>
  </si>
  <si>
    <t xml:space="preserve">Abbreviations: </t>
  </si>
  <si>
    <r>
      <rPr>
        <b/>
        <sz val="11"/>
        <color theme="1"/>
        <rFont val="Calibri"/>
        <family val="2"/>
        <scheme val="minor"/>
      </rPr>
      <t>NSS</t>
    </r>
    <r>
      <rPr>
        <sz val="11"/>
        <color theme="1"/>
        <rFont val="Calibri"/>
        <family val="2"/>
        <scheme val="minor"/>
      </rPr>
      <t>: National Standard Setters</t>
    </r>
  </si>
  <si>
    <t>Goal, Keys to Success and Stakeholder Value Proposition (Page 6)</t>
  </si>
  <si>
    <t>Environmental Drivers (Page 7)</t>
  </si>
  <si>
    <t>Goal</t>
  </si>
  <si>
    <t>Key to Success</t>
  </si>
  <si>
    <t>Stakeholder Value Proposition</t>
  </si>
  <si>
    <t>Incorporate the increasing demand for assurance and related services beyond FS audits</t>
  </si>
  <si>
    <r>
      <rPr>
        <b/>
        <sz val="11"/>
        <color theme="1"/>
        <rFont val="Calibri"/>
        <family val="2"/>
        <scheme val="minor"/>
      </rPr>
      <t>FS</t>
    </r>
    <r>
      <rPr>
        <sz val="11"/>
        <color theme="1"/>
        <rFont val="Calibri"/>
        <family val="2"/>
        <scheme val="minor"/>
      </rPr>
      <t>: Financial Statements</t>
    </r>
  </si>
  <si>
    <t>Define the 'Public Interest" concept and develop its framework</t>
  </si>
  <si>
    <r>
      <rPr>
        <b/>
        <sz val="11"/>
        <color theme="1"/>
        <rFont val="Calibri"/>
        <family val="2"/>
        <scheme val="minor"/>
      </rPr>
      <t>IASB</t>
    </r>
    <r>
      <rPr>
        <sz val="11"/>
        <color theme="1"/>
        <rFont val="Calibri"/>
        <family val="2"/>
        <scheme val="minor"/>
      </rPr>
      <t>: International Accounting Standards Board</t>
    </r>
  </si>
  <si>
    <r>
      <rPr>
        <b/>
        <sz val="11"/>
        <color theme="1"/>
        <rFont val="Calibri"/>
        <family val="2"/>
        <scheme val="minor"/>
      </rPr>
      <t>SME</t>
    </r>
    <r>
      <rPr>
        <sz val="11"/>
        <color theme="1"/>
        <rFont val="Calibri"/>
        <family val="2"/>
        <scheme val="minor"/>
      </rPr>
      <t xml:space="preserve"> : Small and Medium-sized Entities</t>
    </r>
  </si>
  <si>
    <r>
      <rPr>
        <b/>
        <sz val="11"/>
        <color theme="1"/>
        <rFont val="Calibri"/>
        <family val="2"/>
        <scheme val="minor"/>
      </rPr>
      <t>LCE</t>
    </r>
    <r>
      <rPr>
        <sz val="11"/>
        <color theme="1"/>
        <rFont val="Calibri"/>
        <family val="2"/>
        <scheme val="minor"/>
      </rPr>
      <t xml:space="preserve"> : Less Complex Entities</t>
    </r>
  </si>
  <si>
    <t>Clearly articulate how Environmental Drivers and the risks address strategy themes and work plans</t>
  </si>
  <si>
    <t>Add a proper implementation as a key</t>
  </si>
  <si>
    <t>Include public expectations on ethics</t>
  </si>
  <si>
    <t>Research the future of audit and how it is impacted by environmental drivers</t>
  </si>
  <si>
    <t xml:space="preserve"> - IRBA</t>
  </si>
  <si>
    <t xml:space="preserve"> - CNCC-CSOEC</t>
  </si>
  <si>
    <t>Suggestions</t>
  </si>
  <si>
    <t>Theme E – Deepen connectivity and collaboration</t>
  </si>
  <si>
    <t>Provide authoritative guidance to address expectation gap</t>
  </si>
  <si>
    <t>Theme A – Complete current projects</t>
  </si>
  <si>
    <r>
      <rPr>
        <b/>
        <sz val="11"/>
        <color theme="1"/>
        <rFont val="Calibri"/>
        <family val="2"/>
        <scheme val="minor"/>
      </rPr>
      <t>GC</t>
    </r>
    <r>
      <rPr>
        <sz val="11"/>
        <color theme="1"/>
        <rFont val="Calibri"/>
        <family val="2"/>
        <scheme val="minor"/>
      </rPr>
      <t>: Going Concern</t>
    </r>
  </si>
  <si>
    <r>
      <rPr>
        <b/>
        <sz val="11"/>
        <color theme="1"/>
        <rFont val="Calibri"/>
        <family val="2"/>
        <scheme val="minor"/>
      </rPr>
      <t>SWP</t>
    </r>
    <r>
      <rPr>
        <sz val="11"/>
        <color theme="1"/>
        <rFont val="Calibri"/>
        <family val="2"/>
        <scheme val="minor"/>
      </rPr>
      <t>: Strategy and Work Plan</t>
    </r>
  </si>
  <si>
    <t>Incorporate lessons learned from implementation of previous SWP into this SWP</t>
  </si>
  <si>
    <t>Add consideration of joint audit engagements when identifying and prioritizing future actions</t>
  </si>
  <si>
    <t>Theme D –  Develop and implement framework for future activities</t>
  </si>
  <si>
    <t>Develop criteria to define the "right work at the right time" and specify in the "Framework"</t>
  </si>
  <si>
    <t>Theme C –  Develop ways to address complexity</t>
  </si>
  <si>
    <t>Should not expand the roles of auditors in connection with fraud and NOCLAR, and GC</t>
  </si>
  <si>
    <t>Theme B – Enhance the fundamentals of standards</t>
  </si>
  <si>
    <r>
      <rPr>
        <b/>
        <sz val="11"/>
        <color theme="1"/>
        <rFont val="Calibri"/>
        <family val="2"/>
        <scheme val="minor"/>
      </rPr>
      <t>NOCLAR</t>
    </r>
    <r>
      <rPr>
        <sz val="11"/>
        <color theme="1"/>
        <rFont val="Calibri"/>
        <family val="2"/>
        <scheme val="minor"/>
      </rPr>
      <t>: Non-Compliance with Laws and Regulations</t>
    </r>
  </si>
  <si>
    <r>
      <rPr>
        <b/>
        <sz val="11"/>
        <color theme="1"/>
        <rFont val="Calibri"/>
        <family val="2"/>
        <scheme val="minor"/>
      </rPr>
      <t>MG</t>
    </r>
    <r>
      <rPr>
        <sz val="11"/>
        <color theme="1"/>
        <rFont val="Calibri"/>
        <family val="2"/>
        <scheme val="minor"/>
      </rPr>
      <t>: Monitoring Group</t>
    </r>
  </si>
  <si>
    <t>Consider or remain adaptable to MG's view and changes to the standard setting model</t>
  </si>
  <si>
    <t>IESBA</t>
  </si>
  <si>
    <t>NSS</t>
  </si>
  <si>
    <t>LCE</t>
  </si>
  <si>
    <r>
      <rPr>
        <b/>
        <sz val="11"/>
        <color theme="1"/>
        <rFont val="Calibri"/>
        <family val="2"/>
        <scheme val="minor"/>
      </rPr>
      <t>SMP</t>
    </r>
    <r>
      <rPr>
        <sz val="11"/>
        <color theme="1"/>
        <rFont val="Calibri"/>
        <family val="2"/>
        <scheme val="minor"/>
      </rPr>
      <t xml:space="preserve">: Small- and Medium-sized Practices </t>
    </r>
  </si>
  <si>
    <r>
      <rPr>
        <b/>
        <sz val="11"/>
        <color theme="1"/>
        <rFont val="Calibri"/>
        <family val="2"/>
        <scheme val="minor"/>
      </rPr>
      <t>IAESB</t>
    </r>
    <r>
      <rPr>
        <sz val="11"/>
        <color theme="1"/>
        <rFont val="Calibri"/>
        <family val="2"/>
        <scheme val="minor"/>
      </rPr>
      <t>: International Accounting Education Standards Board</t>
    </r>
  </si>
  <si>
    <r>
      <rPr>
        <b/>
        <sz val="11"/>
        <color theme="1"/>
        <rFont val="Calibri"/>
        <family val="2"/>
        <scheme val="minor"/>
      </rPr>
      <t>EER</t>
    </r>
    <r>
      <rPr>
        <sz val="11"/>
        <color theme="1"/>
        <rFont val="Calibri"/>
        <family val="2"/>
        <scheme val="minor"/>
      </rPr>
      <t>: Extended External Reporting</t>
    </r>
  </si>
  <si>
    <t>Specify outputs expected from the strategy, focus and planned strategic actions</t>
  </si>
  <si>
    <t>MG</t>
  </si>
  <si>
    <t>Decouple the long-term strategy and the short-term work program in the future for effective consultation</t>
  </si>
  <si>
    <t>Audit Committee</t>
  </si>
  <si>
    <t>GC</t>
  </si>
  <si>
    <t>IASB</t>
  </si>
  <si>
    <t>Provide non-authoritative guidance on the auditor's fraud considerations by industry or for LCE</t>
  </si>
  <si>
    <t>Apply revised approach to ED-315 to other exposure drafts when drafting or finalizing current projects</t>
  </si>
  <si>
    <t xml:space="preserve">Develop advocacy projects to educate all stakeholders to address expectation gap </t>
  </si>
  <si>
    <t>Prioritize timeliness of response to issues (second bullet of Theme D)</t>
  </si>
  <si>
    <t>Provide non-authoritative guidance on implementation shortly after a standard is issued</t>
  </si>
  <si>
    <t xml:space="preserve">Provide industry specific guidance in the form of non-authoritative guidance </t>
  </si>
  <si>
    <t>Provide illustrations and guidance to address the scalability issue</t>
  </si>
  <si>
    <t>Revise not-in-clarity format standards (ISRE 2410 - Review Engagement and ISAE 3400 - Examination of Prospective Financial Information)</t>
  </si>
  <si>
    <t>ISA 600</t>
  </si>
  <si>
    <t>Consider technology's pervasive impact on the future audits and provide additional detail on this topic (including data analytics)</t>
  </si>
  <si>
    <t>Use technology/external resources to enhance collaboration and timely dialogue between staff, board members and other stakeholders</t>
  </si>
  <si>
    <t>Further clarify "challenging the fundamentals" or delete "the fundamentals of"</t>
  </si>
  <si>
    <t>Engage in effective two-way and balanced communication</t>
  </si>
  <si>
    <t>Focus on maintenance of existing standard</t>
  </si>
  <si>
    <t>Set realistic deadlines and take adequate time to reflect on stakeholder feedback when finalizing the revisions to the standards</t>
  </si>
  <si>
    <t xml:space="preserve">Enhance non-authoritative guidance beyond current guidance to enhance the explanatory value </t>
  </si>
  <si>
    <t>Increase usability and availability of standards by using automated tools (e.g. IESBA's e-Code)</t>
  </si>
  <si>
    <t>There needs to be a period of stability where no new or revised standards become effective after current EDs become effective</t>
  </si>
  <si>
    <t>(A) Analysis of those respondents who agreed to question 3 with suggestions</t>
  </si>
  <si>
    <t>Agreed to question 3 with suggestions</t>
  </si>
  <si>
    <t>(A) Analysis of those respondents who agreed to question 4 with suggestions</t>
  </si>
  <si>
    <t>Agreed to question 4 with suggestions</t>
  </si>
  <si>
    <t>Responses to question 4</t>
  </si>
  <si>
    <t>You support the actions that have been identified in our detailed Work Plan for 2020–2021. If not, what other actions do you believe the IAASB should prioritize?</t>
  </si>
  <si>
    <t>Revising and Developing Standards</t>
  </si>
  <si>
    <t>Outreach</t>
  </si>
  <si>
    <t>Suggestions: Theme D - Develop and implement framework for future activities</t>
  </si>
  <si>
    <t>Research Phase</t>
  </si>
  <si>
    <t>Narrow Scope Maintenance of Standards</t>
  </si>
  <si>
    <t>Developing Non-Authoritative Guidance</t>
  </si>
  <si>
    <t>Implementation and Application of Standards</t>
  </si>
  <si>
    <t>Link</t>
  </si>
  <si>
    <r>
      <t>–– Developing</t>
    </r>
    <r>
      <rPr>
        <b/>
        <sz val="11"/>
        <color theme="1"/>
        <rFont val="Calibri"/>
        <family val="2"/>
        <scheme val="minor"/>
      </rPr>
      <t xml:space="preserve"> non-authoritative practical guidance</t>
    </r>
    <r>
      <rPr>
        <sz val="11"/>
        <color theme="1"/>
        <rFont val="Calibri"/>
        <family val="2"/>
        <scheme val="minor"/>
      </rPr>
      <t>.</t>
    </r>
  </si>
  <si>
    <r>
      <t>–– Developing a process for</t>
    </r>
    <r>
      <rPr>
        <b/>
        <sz val="11"/>
        <color theme="1"/>
        <rFont val="Calibri"/>
        <family val="2"/>
        <scheme val="minor"/>
      </rPr>
      <t xml:space="preserve"> ‘limited-scope’ revisions to standards </t>
    </r>
    <r>
      <rPr>
        <sz val="11"/>
        <color theme="1"/>
        <rFont val="Calibri"/>
        <family val="2"/>
        <scheme val="minor"/>
      </rPr>
      <t>(with appropriate due process to support more timely changes).</t>
    </r>
  </si>
  <si>
    <r>
      <t>–– Considering whether to implement an</t>
    </r>
    <r>
      <rPr>
        <b/>
        <sz val="11"/>
        <color theme="1"/>
        <rFont val="Calibri"/>
        <family val="2"/>
        <scheme val="minor"/>
      </rPr>
      <t xml:space="preserve"> ‘interpretations’ mechanism</t>
    </r>
    <r>
      <rPr>
        <sz val="11"/>
        <color theme="1"/>
        <rFont val="Calibri"/>
        <family val="2"/>
        <scheme val="minor"/>
      </rPr>
      <t xml:space="preserve"> to help communicate Board intentions when originally setting the standards.</t>
    </r>
  </si>
  <si>
    <t>(*1) Page 12 - Mechanisms for addressing issues and challenges on a more timely basis, including:</t>
  </si>
  <si>
    <t>Framework for Activities</t>
  </si>
  <si>
    <t>Developing Non-authoritative Guidance</t>
  </si>
  <si>
    <t>Balance the time spent on drafting standards with research and implementation activities</t>
  </si>
  <si>
    <t>Responses to question 2</t>
  </si>
  <si>
    <t>Responses to question 3, 5</t>
  </si>
  <si>
    <t>You agree with Our Strategy and Focus and Our Strategic Actions for 2020–2023.</t>
  </si>
  <si>
    <t>Agreed to question 2</t>
  </si>
  <si>
    <t>Agreed to question 2, with suggestions (A)</t>
  </si>
  <si>
    <t>No specific response to question 2</t>
  </si>
  <si>
    <t>Reduce the detail of meeting papers produced to increase accessibility and transparency</t>
  </si>
  <si>
    <t>Increase use of technology in the board's operations to improve efficiency and reduce costs</t>
  </si>
  <si>
    <t>PIR</t>
  </si>
  <si>
    <t>See Q2</t>
  </si>
  <si>
    <t>Emphasize that the public interest is the most important consideration in setting goals and priorities</t>
  </si>
  <si>
    <t>Include the increasing government's regulation around auditing profession in Environmental Drivers</t>
  </si>
  <si>
    <t>Add "Education" in "Our Method" and develop guidance and education material concurrently with standard development</t>
  </si>
  <si>
    <t>Clarity, editorial and other comments</t>
  </si>
  <si>
    <t>Concerns that the new standards are getting lengthier and less scalable</t>
  </si>
  <si>
    <t>Address the desired behavior of practitioners</t>
  </si>
  <si>
    <t>Explicitly recognize that NSS, regulators and other stakeholders have the critical roles in quality financial reporting</t>
  </si>
  <si>
    <t>Expand description of "public-interest focused activities" to clarify what activities are included</t>
  </si>
  <si>
    <t>Explicitly address the importance of standards' capability to be applied to audits and other engagements for all entities</t>
  </si>
  <si>
    <t>Develop a framework to identify, assess and filter emerging trends and to determine the response</t>
  </si>
  <si>
    <t>Identify stakeholders and their needs to respond varying stakeholders including different jurisdictional needs</t>
  </si>
  <si>
    <t>Identify the cause or nature of the issues in a strategic manner to respond when developing standards</t>
  </si>
  <si>
    <t>Incorporate IAASB's objectives in Goal, Keys and stakeholder value proposition (similar to ISQM1 effective quality management)</t>
  </si>
  <si>
    <t>Address the competence and capabilities of IAASB, supporting staff and advisory groups</t>
  </si>
  <si>
    <t>Clarify how the keys to success and stakeholder value proposition relate to each other and the other sections of SWP</t>
  </si>
  <si>
    <t>Use staff publication to respond to the use of automated tools and techniques</t>
  </si>
  <si>
    <t>Prioritize the proposed actions</t>
  </si>
  <si>
    <t>Consider the skills required by the auditor in the future given the significant advancements in technology</t>
  </si>
  <si>
    <t>Clarify the difference between/ understand the underlying issues of changing reporting needs of stakeholders, failures in audit and the "expectation gap" to determine effective responses</t>
  </si>
  <si>
    <t>Monitor developments in regulatory environments and their impacts on audit quality</t>
  </si>
  <si>
    <t>Provide further implementation support and guidance for quality management standards</t>
  </si>
  <si>
    <t>Strengthen the coordination with IESBA, IAESB, IASB, NSS and regulators and oversight authorities</t>
  </si>
  <si>
    <t>Lesson learned</t>
  </si>
  <si>
    <t>Resource</t>
  </si>
  <si>
    <t>Priority</t>
  </si>
  <si>
    <t>Technology</t>
  </si>
  <si>
    <t>(A) Analysis of those respondents who agreed to question 2 with suggestions</t>
  </si>
  <si>
    <t>You agree with the IAASB’s proposed Framework for Activities, and the possible nature of such activities</t>
  </si>
  <si>
    <t>There are any other topics that should be considered by the IAASB when determining its ‘informationgathering and research activities’ in accordance with the new Framework for Activities. The IAASB has provided its views on tentative topics to be included in its ‘information-gathering and research activities’.</t>
  </si>
  <si>
    <t>Responses to question 5</t>
  </si>
  <si>
    <t>See Q5</t>
  </si>
  <si>
    <t>See Q1</t>
  </si>
  <si>
    <t>Underlying issues</t>
  </si>
  <si>
    <t>Consider to use transparency reports by audit firms to enhance audit quality</t>
  </si>
  <si>
    <t>Review Framework to ensure that standards and guidance meet user needs for external reporting beyond financial reporting</t>
  </si>
  <si>
    <t>Digitize ISAs</t>
  </si>
  <si>
    <t>Explore areas of assurance and related services beyond FS audits to enhance perceived value of audit</t>
  </si>
  <si>
    <t>Agreed to question 3</t>
  </si>
  <si>
    <t>Agreed to question 3 with suggestions (A)</t>
  </si>
  <si>
    <t>No additional suggestions to question 5</t>
  </si>
  <si>
    <t>Additional suggestions to question 5 (A)</t>
  </si>
  <si>
    <t>Role</t>
  </si>
  <si>
    <t>Include culture and behavior (soft controls) in new/revised standards</t>
  </si>
  <si>
    <t>Old standards</t>
  </si>
  <si>
    <t>Concern of little progress in addressing "technology"</t>
  </si>
  <si>
    <t>Include IESBA projects that impact on audit and assurance standards in research phase</t>
  </si>
  <si>
    <t>Include non-audit stakeholders (e.g. experts or companies in the various technology fields, think tanks, etc.)</t>
  </si>
  <si>
    <t xml:space="preserve">Assess the impact of ISA 315(Revised)  (Risk assessment) before amending ISA 330 (Response to assessed risk) </t>
  </si>
  <si>
    <t>Converge ISAs and US GAAS</t>
  </si>
  <si>
    <t>Strengthen cooperation with IASB to clarify the evidentiary requirements and the responsibilities of preparers</t>
  </si>
  <si>
    <t>Strengthen collaboration with professional bodies and NSS to address fraud and expectation gap</t>
  </si>
  <si>
    <t>Consider expectations of the role of auditors in connection with fraud and GC issues</t>
  </si>
  <si>
    <t xml:space="preserve"> Include the topic on "public interest" </t>
  </si>
  <si>
    <t>(A) Analysis of those respondents who have suggestions to question 5</t>
  </si>
  <si>
    <t>Suggestions to question 5</t>
  </si>
  <si>
    <t>Prof. Skepticism</t>
  </si>
  <si>
    <t>Fraud</t>
  </si>
  <si>
    <t>Related Parties</t>
  </si>
  <si>
    <r>
      <t>ESG</t>
    </r>
    <r>
      <rPr>
        <sz val="10"/>
        <color theme="1"/>
        <rFont val="Arial"/>
        <family val="2"/>
      </rPr>
      <t>: Environmental, Social and Governance</t>
    </r>
  </si>
  <si>
    <t>Strengthen auditor's role of non-GAAP measures which are included in the annual report but not within the FS</t>
  </si>
  <si>
    <t>Provide further information on whether there are other standards to be revised in '20-'21 as current projects are expected to be completed by '20 Q1</t>
  </si>
  <si>
    <t>Prioritize to revise ISA 320 (Materiality)</t>
  </si>
  <si>
    <t>Prioritize to revise ISA 550 (Related parties)</t>
  </si>
  <si>
    <t>Expert</t>
  </si>
  <si>
    <t>Develop non-authoritative guidance for ISA 620 (Auditor's expert)</t>
  </si>
  <si>
    <t>Consider to include a project related to joint audit engagements</t>
  </si>
  <si>
    <t>Suggested priorities or new topics</t>
  </si>
  <si>
    <r>
      <t>PIR</t>
    </r>
    <r>
      <rPr>
        <sz val="10"/>
        <color theme="1"/>
        <rFont val="Arial"/>
        <family val="2"/>
      </rPr>
      <t>: Post Implementation Review</t>
    </r>
  </si>
  <si>
    <r>
      <rPr>
        <b/>
        <sz val="10"/>
        <color theme="1"/>
        <rFont val="Arial"/>
        <family val="2"/>
      </rPr>
      <t>FN</t>
    </r>
    <r>
      <rPr>
        <sz val="10"/>
        <color theme="1"/>
        <rFont val="Arial"/>
        <family val="2"/>
      </rPr>
      <t>: Footnote</t>
    </r>
  </si>
  <si>
    <t>Include Framework for Activities in Work Plan</t>
  </si>
  <si>
    <t>Framework</t>
  </si>
  <si>
    <t>Amend ISA 330 (Response to assessed risk) and other related standards to reflect the revision of  ISA 315(Revised)  (Risk assessment)</t>
  </si>
  <si>
    <t>Include implementation activities of ISRS 4400(Revised) AUP in the Work Plan</t>
  </si>
  <si>
    <t>Joint Audit</t>
  </si>
  <si>
    <t>Provide further detail on the expected outcome and timing of the research to monitor the progress</t>
  </si>
  <si>
    <t>Prioritize to revise ISA 240 (Fraud) and provide link between Strategy and Work Plan</t>
  </si>
  <si>
    <t>Prioritize to revise ISA 570 (GC) and provide link between Strategy and Work Plan</t>
  </si>
  <si>
    <t>Develop non-authoritative guidance with examples to indicate what "professional skepticism looks like in practice"</t>
  </si>
  <si>
    <t>Collaboration</t>
  </si>
  <si>
    <t>Take into account the IESBA SWP '19-'23
(e.g., Non-audit services and fees, definition of PIE, emerging or new models of service delivery)</t>
  </si>
  <si>
    <t>Embed professional skepticism in the existing projects instead of creating a project of itself</t>
  </si>
  <si>
    <t>Consider to extend the implementation period for ISA 315(Revised) and Quality Management Standards</t>
  </si>
  <si>
    <t>Concerns for insufficient time and resources allocated to Work Plan</t>
  </si>
  <si>
    <r>
      <rPr>
        <b/>
        <sz val="10"/>
        <color theme="1"/>
        <rFont val="Arial"/>
        <family val="2"/>
      </rPr>
      <t>PIE</t>
    </r>
    <r>
      <rPr>
        <sz val="10"/>
        <color theme="1"/>
        <rFont val="Arial"/>
        <family val="2"/>
      </rPr>
      <t>: Public Interest Entity</t>
    </r>
  </si>
  <si>
    <t>Prioritize LCE project and/or audit for SME or Non-PIEs</t>
  </si>
  <si>
    <t>Include a project for expectations of the role of auditors in connection with NOCLAR and fraud in Work Plan</t>
  </si>
  <si>
    <t>Prioritize the PIR of Auditor Reporting standards including ISA 720(Revised) (Other information) or UK developments</t>
  </si>
  <si>
    <t>Clarify how Theme D (Framework) and Theme E (Collaboration) connect to '20-'21 Work Plan</t>
  </si>
  <si>
    <t>Prioritize to develop standards/non-authoritative guidance related to data analytics and new technologies with defined timeframe
 (e.g., ISA 500 (Audit evidence) - ISA 530 (Audit sampling), ISA 330 (Responses to assessed risks))</t>
  </si>
  <si>
    <t>Define "Public Interest"</t>
  </si>
  <si>
    <t>Incorporate responses to discussion paper for audit of LCE in '20-'21 Work Plan</t>
  </si>
  <si>
    <t>Include PIR for ISRS 4410(Revised) (Compilations) and ISRE 2400(Revised) (Reviews) in Work Plan</t>
  </si>
  <si>
    <t>Implementation</t>
  </si>
  <si>
    <t>Materiality</t>
  </si>
  <si>
    <t>Define targets with tangible outcomes and the expected time for delivery</t>
  </si>
  <si>
    <t>Identify areas for improvements by examining the current standard setting process</t>
  </si>
  <si>
    <t xml:space="preserve"> Clarify the mechanisms on page 12 (*1) to specify how they operate in practice</t>
  </si>
  <si>
    <t>Identify the fundamental underlying issues  and make sure there are no broader issues before addressing those issues</t>
  </si>
  <si>
    <t>Focus to address issues contemplated in the project proposal to avoid "scope creep"</t>
  </si>
  <si>
    <t>Consider the costs and benefits before starting a standard setting project</t>
  </si>
  <si>
    <t>Establish criteria to start a limited-scope revisions to standards</t>
  </si>
  <si>
    <t>Provide non-authoritative guidance in a timely manner to improve the quality of implementation of standards</t>
  </si>
  <si>
    <t>Consider to shorten due process for limited scope revisions to standards to benefit all stakeholders (e.g., cooperation with PIOB)</t>
  </si>
  <si>
    <t>Set a protocol that implementation materials are provided either concurrent with the issuance of a new standard or very early in the transition period</t>
  </si>
  <si>
    <t>Consider both audits and the demand for other assurance services when analyzing emerging topics</t>
  </si>
  <si>
    <t>Clarify that a combination of options can be appropriate response to issues</t>
  </si>
  <si>
    <t>Prioritize narrow scope maintenance of standards over development of non-authoritative guidance to maintain the relevance of standards</t>
  </si>
  <si>
    <t>Not support the implementation of an "interpretations" mechanism to avoid overload of consultation and Eds</t>
  </si>
  <si>
    <t>Prioritize the project for LCE</t>
  </si>
  <si>
    <t>Include a requirement to consider LCE and technology in each phase of work</t>
  </si>
  <si>
    <t>Improvements</t>
  </si>
  <si>
    <t>Incorporate lessons learned from recent consultations into this SWP</t>
  </si>
  <si>
    <t xml:space="preserve">Clarify what an "interpretations" mechanism represents </t>
  </si>
  <si>
    <t>Collaborate with external stakeholders
(e.g. NSS, professional bodies, academics, auditing firms, regulators, etc.) to increase capability and capacity</t>
  </si>
  <si>
    <t>Clarify the differences between non-authoritative guidance and implementation material</t>
  </si>
  <si>
    <t>Prioritize non-authoritative guidance to address issues and consider revising and developing standard as the last option</t>
  </si>
  <si>
    <t xml:space="preserve">Ensure that the scope of the audit does not go beyond auditors responsibilities </t>
  </si>
  <si>
    <t>&lt;“undertake the work within a realistic timeframe”&gt;
Prioritize its projects to make the most effective use of resources and regularly examine the appropriateness of resource allocation</t>
  </si>
  <si>
    <t>Clarify the benefit of Framework to indicate how Framework links to "do the right work at the right time"</t>
  </si>
  <si>
    <t>Non-Financial</t>
  </si>
  <si>
    <t>Non-GAAP</t>
  </si>
  <si>
    <t>LCE / Technology</t>
  </si>
  <si>
    <t>Highlight explicitly that research phase includes pre- and post-implementation activities to avoid duplicated efforts</t>
  </si>
  <si>
    <t xml:space="preserve"> - BCBS </t>
  </si>
  <si>
    <t>1. BCBS </t>
  </si>
  <si>
    <t>2. IAIS</t>
  </si>
  <si>
    <t>3. IFIAR</t>
  </si>
  <si>
    <t>4. CEAOB</t>
  </si>
  <si>
    <t>5. CPAB</t>
  </si>
  <si>
    <t>6. ESMA</t>
  </si>
  <si>
    <t>7. IAASA</t>
  </si>
  <si>
    <t>8. IRBA</t>
  </si>
  <si>
    <t>9. UKFRC</t>
  </si>
  <si>
    <t>10. AUASB</t>
  </si>
  <si>
    <t>11. CAASB</t>
  </si>
  <si>
    <t>12. CNCC-CSOEC</t>
  </si>
  <si>
    <t>13. HK-CPA</t>
  </si>
  <si>
    <t>14. IDW</t>
  </si>
  <si>
    <t>15. JICPA</t>
  </si>
  <si>
    <t>16. MAASB</t>
  </si>
  <si>
    <t>17. NBA</t>
  </si>
  <si>
    <t>18. NZAASB</t>
  </si>
  <si>
    <t>19. BDO</t>
  </si>
  <si>
    <t>20. CI</t>
  </si>
  <si>
    <t>21. DTT</t>
  </si>
  <si>
    <t>22. ETY</t>
  </si>
  <si>
    <t>23. EY</t>
  </si>
  <si>
    <t>24. GTI</t>
  </si>
  <si>
    <t>25. KPMG</t>
  </si>
  <si>
    <t>26. PwC</t>
  </si>
  <si>
    <t>27. RSM</t>
  </si>
  <si>
    <t>28. ACCA- CAANZ</t>
  </si>
  <si>
    <t>29. AE</t>
  </si>
  <si>
    <t>30. CPAA</t>
  </si>
  <si>
    <t>31. EFAA</t>
  </si>
  <si>
    <t>32. FACPCE</t>
  </si>
  <si>
    <t>33. ICAEW</t>
  </si>
  <si>
    <t>34. ICAS</t>
  </si>
  <si>
    <t>35. ICPAU</t>
  </si>
  <si>
    <t>36. IIA</t>
  </si>
  <si>
    <t>37. ISCA</t>
  </si>
  <si>
    <t>38. MICPA</t>
  </si>
  <si>
    <t>39. NFPA</t>
  </si>
  <si>
    <t>40. SAICA</t>
  </si>
  <si>
    <t>41. SMPC</t>
  </si>
  <si>
    <t>42. WPK</t>
  </si>
  <si>
    <t>Identify key stakeholders and proactively reach to them in order to hear all relevant views</t>
  </si>
  <si>
    <t>Output</t>
  </si>
  <si>
    <t>Scope multiple standards that share common issues and revise those  standards at the same time</t>
  </si>
  <si>
    <t>Revise the Work Plan to set realistic timeline to maintain the quality of standards 
(e.g. finalization of ED-ISA 315 (Risk assessment) and Quality Management Standards)</t>
  </si>
  <si>
    <t>Link Environmental Drivers to strategy and strategic actions</t>
  </si>
  <si>
    <t>Develop criteria to evaluate whether the proposed output of a project has addressed certain common attributes prior to exposure 
(e.g., clarity, understandability, scalability etc.)</t>
  </si>
  <si>
    <t>See Q4</t>
  </si>
  <si>
    <t>Set priorities  with defined objectives, expected outputs and timeframes to increase transparency of work performed</t>
  </si>
  <si>
    <t xml:space="preserve">Set a low priority for audit of LCE </t>
  </si>
  <si>
    <t>Increase usability and availability of standards by using automated tools 
(e.g. IESBA's e-Code)</t>
  </si>
  <si>
    <t>Provide timely implementation support for recently-revised standards
(ISA 540  (Accounting estimates), ISA 315(Revised) (Risk assessment), Quality Management Standards)</t>
  </si>
  <si>
    <t>Incorporate lessons learned from previous experiences into this SWP</t>
  </si>
  <si>
    <t>Lesson Learned</t>
  </si>
  <si>
    <t>Priority / Resource</t>
  </si>
  <si>
    <t>Provide timely implementation support for recently revised standards
(ISA 540  (Accounting estimates), ISA 315(Revised) (Risk assessment), Quality Management Standards)</t>
  </si>
  <si>
    <t>Tech / Prof. Skep.</t>
  </si>
  <si>
    <t>Prioritize to develop standards related to data analytics and new technologies with defined timeframe
 (e.g., ISA 500 (Audit evidence) - ISA 530 (Audit sampling), ISA 330 (Responses to assessed risks))</t>
  </si>
  <si>
    <t>Education</t>
  </si>
  <si>
    <t>Incorporate responses to LCE Consultation Paper to SWP</t>
  </si>
  <si>
    <t>Exp. Gap</t>
  </si>
  <si>
    <t>Include the application of professional skepticism in ISA 500 (Audit evidence)</t>
  </si>
  <si>
    <t>Include GC matters in PIR of auditor's report</t>
  </si>
  <si>
    <r>
      <rPr>
        <b/>
        <sz val="11"/>
        <color theme="1"/>
        <rFont val="Calibri"/>
        <family val="2"/>
        <scheme val="minor"/>
      </rPr>
      <t>PIR</t>
    </r>
    <r>
      <rPr>
        <sz val="11"/>
        <color theme="1"/>
        <rFont val="Calibri"/>
        <family val="2"/>
        <scheme val="minor"/>
      </rPr>
      <t>: Post Implementation Review</t>
    </r>
  </si>
  <si>
    <t>Consider whether ISA 570 (GC) remains fit for purpose</t>
  </si>
  <si>
    <t>IAESB</t>
  </si>
  <si>
    <t>Collaborate with IESBA proactively and effectively to address common issues</t>
  </si>
  <si>
    <t>Clarify how to prioritize future strategic actions and resources affected</t>
  </si>
  <si>
    <t>Prioritize ISA 600 (Group audit) as amendments have been significantly delayed</t>
  </si>
  <si>
    <t>Fraud / NOCLAR / GC</t>
  </si>
  <si>
    <t>Develop a robust framework for assurance on non-financial reporting 
(e.g. ESG factors)</t>
  </si>
  <si>
    <t>Reflect the audit committee's role in strategy for audit quality</t>
  </si>
  <si>
    <t>Provide industry specific guidance in authoritative guidance</t>
  </si>
  <si>
    <t>Industry specific</t>
  </si>
  <si>
    <t>Strengthen the collaboration with IASB
(e.g. for GC, accounting estimates, materiality, etc.)</t>
  </si>
  <si>
    <t>Strengthen the collaboration with IAESB to enhance auditors' skills or the application of professional skepticism</t>
  </si>
  <si>
    <t>Tool</t>
  </si>
  <si>
    <t>Underlying Issues</t>
  </si>
  <si>
    <t>Old Standards</t>
  </si>
  <si>
    <t>Identify underlying issues (e.g. weakness in the standards or implementation issues) before determining next project</t>
  </si>
  <si>
    <t>Prioritize the project for audit of LCE</t>
  </si>
  <si>
    <t>Develop assurance standards and guidance that meet user needs for external reporting beyond historical reporting</t>
  </si>
  <si>
    <t>Embed technology and/or professional skepticism in each project, instead of treating these as separate projects</t>
  </si>
  <si>
    <t>Timeliness</t>
  </si>
  <si>
    <t>Period of Stability</t>
  </si>
  <si>
    <t>Focus more on developing principles-based standards before developing implementation support as the needs for implementation support suggests standards lack clarity</t>
  </si>
  <si>
    <t>Board members should be able to block and interpretation which he/she disagrees with</t>
  </si>
  <si>
    <t>Understand the nature, size, categories and levels of LCE to appropriately address their needs</t>
  </si>
  <si>
    <t>Prefer to less complex, principles-based standards instead of developing separate standard for LCE</t>
  </si>
  <si>
    <t>ISA 315 Structure</t>
  </si>
  <si>
    <t>Collaborate with NSS to address emerging issues of global relevance, to identify implementation risks and for more resources</t>
  </si>
  <si>
    <t>Others</t>
  </si>
  <si>
    <t>Further explain the terms "scalability" and "proportionately"</t>
  </si>
  <si>
    <t>Concerns</t>
  </si>
  <si>
    <t>Agreed to question 2 with suggestions</t>
  </si>
  <si>
    <t>More work should be done and go beyond information-gathering and research on LCE audits and/or the magnitude of the underlying issues can be better reflected in the strategy</t>
  </si>
  <si>
    <t>Prioritize narrow scope amendments to standards to enhance timeliness</t>
  </si>
  <si>
    <t>Focus on maintenance of existing standard rather than developing new standards</t>
  </si>
  <si>
    <t>Realistic Timeline</t>
  </si>
  <si>
    <t>Focus on the future of audit and/or proactively monitor global developments in research activities including Brydon Review</t>
  </si>
  <si>
    <t>Recent Stds</t>
  </si>
  <si>
    <t>AUP</t>
  </si>
  <si>
    <t>Prioritize/consider projects on auditor's responsibilities for fraud and GC</t>
  </si>
  <si>
    <t>Roles of auditors in connection with fraud and NOCLAR, and GC should not be expanded</t>
  </si>
  <si>
    <t>Address how new / revised standards enhance the value of auditing and assurance in further detail as part of research phase</t>
  </si>
  <si>
    <t/>
  </si>
  <si>
    <t>: Nodes are created.</t>
  </si>
  <si>
    <t>Coordination</t>
  </si>
  <si>
    <t>Outputs</t>
  </si>
  <si>
    <t>Tech - Pervasive Impact</t>
  </si>
  <si>
    <t>Tech - Prioritize to develop the related Stds</t>
  </si>
  <si>
    <t>Digitize Stds</t>
  </si>
  <si>
    <t>LCE - More Work</t>
  </si>
  <si>
    <t>LCE - High Priority</t>
  </si>
  <si>
    <t>LCE - Low Priority</t>
  </si>
  <si>
    <t>Research - Outputs and Timeframe</t>
  </si>
  <si>
    <t>Collaborate with IFAC, member bodies, professional bodies, SMP &amp; SME, regulatory oversight bodies, investors and others</t>
  </si>
  <si>
    <t>Perform PIR or implementation support for ISRS 4400(Revised) (AUP)</t>
  </si>
  <si>
    <t>Research - Future of Audit</t>
  </si>
  <si>
    <t>Prioritize the support and implementation as a focus area</t>
  </si>
  <si>
    <t>Set timeline or indicate when to develop, finalize and implement the Framework activities and/or include Framework into '20-'21 Work Plan</t>
  </si>
  <si>
    <t>Embed technology and professional skepticism in all projects, instead of treating these as separate projects</t>
  </si>
  <si>
    <t>Emphasize PI</t>
  </si>
  <si>
    <t>Define PI</t>
  </si>
  <si>
    <t>Stakeholders' needs</t>
  </si>
  <si>
    <t>Responsibility - Fraud/GC</t>
  </si>
  <si>
    <t>Provide implementation support before finalizing the standards or prior to the effective date</t>
  </si>
  <si>
    <t>LCE CP</t>
  </si>
  <si>
    <t>ISA 500 and Prof. Skepticism</t>
  </si>
  <si>
    <t>Impact of ISA 315(Revised) - ISA 330 and others</t>
  </si>
  <si>
    <t>Reassess whether the current resource model is the most effective one going forward and/or address actions to attract, retain and develop staff</t>
  </si>
  <si>
    <t>Coordination - IESBA</t>
  </si>
  <si>
    <t>ISA 720</t>
  </si>
  <si>
    <t>Role - Fraud/GC</t>
  </si>
  <si>
    <t>Clearly articulate the actions of professional skepticism
(Do not support professional skepticism working group being amalgamated into the Audit Evidence projects (see FN on page 10))</t>
  </si>
  <si>
    <t>Coordination - Others</t>
  </si>
  <si>
    <t>Set Timeline</t>
  </si>
  <si>
    <t>See Q3</t>
  </si>
  <si>
    <t>No specific response to question 3</t>
  </si>
  <si>
    <t>Q5 (2)</t>
  </si>
  <si>
    <t>See Q2 (2)</t>
  </si>
  <si>
    <t>\</t>
  </si>
  <si>
    <t>See Q2 (3)</t>
  </si>
  <si>
    <t>Q3 (1)</t>
  </si>
  <si>
    <t>See Q2 (4)</t>
  </si>
  <si>
    <t>q1 (1)</t>
  </si>
  <si>
    <t>q1</t>
  </si>
  <si>
    <t>see Q5 - include in 2</t>
  </si>
  <si>
    <t>Included in Q4</t>
  </si>
  <si>
    <t>Q4 -1</t>
  </si>
  <si>
    <t>Q2 - 3</t>
  </si>
  <si>
    <t>Q2 - 1</t>
  </si>
  <si>
    <t>Kept both in Q1 and Q2</t>
  </si>
  <si>
    <t>Kept part in Q1</t>
  </si>
  <si>
    <t>Q1 - 5, Q3 - 3</t>
  </si>
  <si>
    <t>Q5 - 3</t>
  </si>
  <si>
    <t>Q1 -1</t>
  </si>
  <si>
    <t>Q3 -1, Q4 - 3</t>
  </si>
  <si>
    <t>Q3 - 7, Q1 - 7</t>
  </si>
  <si>
    <t>Q5 - 2</t>
  </si>
  <si>
    <t xml:space="preserve">Lessons learned - Point also mentioned in Q1, Q2 and Q5. Those are included in Q5. This one is good to include in Q3 as specifically relates to Framework of activities </t>
  </si>
  <si>
    <t>Q2 - 3, Q3 -2</t>
  </si>
  <si>
    <t>See Q4 - 6</t>
  </si>
  <si>
    <t>Q1 -3, Q4 -1</t>
  </si>
  <si>
    <t>Q3 -1, Q4 - 1</t>
  </si>
  <si>
    <t>Q4 - 2</t>
  </si>
  <si>
    <t>Q1 - 1, Q4 - 1, Q5 - 5</t>
  </si>
  <si>
    <t>Q2 -1, Q5 -1</t>
  </si>
  <si>
    <t xml:space="preserve">Q2 - 2, Q5 -2 </t>
  </si>
  <si>
    <t>Q2 - cell Z69</t>
  </si>
  <si>
    <t>Q1 -1 , Q2 - cell Z69</t>
  </si>
  <si>
    <t>Q2 - cell Z69, Q5 - 3</t>
  </si>
  <si>
    <t>See Q2 - 2</t>
  </si>
  <si>
    <t>Q2 - 2</t>
  </si>
  <si>
    <t>See Q1 - 4</t>
  </si>
  <si>
    <t>See Q1 - 2</t>
  </si>
  <si>
    <t>Q1 - 2, Q2 - 6</t>
  </si>
  <si>
    <t xml:space="preserve">Q1 -1, Q2 -10 and Q5 -1 </t>
  </si>
  <si>
    <t>specific projects</t>
  </si>
  <si>
    <t>informtion gathering</t>
  </si>
  <si>
    <t>NO</t>
  </si>
  <si>
    <t>45. IOSCO</t>
  </si>
  <si>
    <t>Internal control</t>
  </si>
  <si>
    <t>ISA 402</t>
  </si>
  <si>
    <t>ISA 540 (Revised)</t>
  </si>
  <si>
    <t>ISA 305</t>
  </si>
  <si>
    <t>44. AICPA</t>
  </si>
  <si>
    <t>Prioritize standards for PIE</t>
  </si>
  <si>
    <t>In Work Program, add plenary time for implementation activities</t>
  </si>
  <si>
    <t>Add plenary time for developing non authoritative guidance</t>
  </si>
  <si>
    <t>Recognize that other stakeholders also have an important role to play</t>
  </si>
  <si>
    <t>Have rapid response sub-committee</t>
  </si>
  <si>
    <t>Support continued interaction with CAG - also on ad-hoc basis</t>
  </si>
  <si>
    <t>Robust engagement with users of financial statements</t>
  </si>
  <si>
    <t>Excel Summary</t>
  </si>
  <si>
    <t>Consultation Paper on the Strategy and Work Plan: Analysis of Comments in Relation to  Question 5</t>
  </si>
  <si>
    <t>Consultation Paper on the Strategy and Work Plan: Analysis of Comments in Relation to  Question 4</t>
  </si>
  <si>
    <t>Consultation Paper on the Strategy and Work Plan: Analysis of Comments in Relation to Question 3</t>
  </si>
  <si>
    <t>Consultation Paper on the Strategy and Work Plan: Analysis of Comments in Relation to Question 2</t>
  </si>
  <si>
    <t>Consultation Paper on the Strategy and Work Plan: Analysis of Comments in Relation to Question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</si>
</sst>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b/>
      <sz val="12"/>
      <color theme="1"/>
      <name val="Arial"/>
      <family val="2"/>
    </font>
    <font>
      <b/>
      <u/>
      <sz val="10"/>
      <color theme="1"/>
      <name val="Arial"/>
      <family val="2"/>
    </font>
    <font>
      <b/>
      <sz val="9"/>
      <color theme="1"/>
      <name val="Arial"/>
      <family val="2"/>
    </font>
    <font>
      <b/>
      <sz val="8"/>
      <name val="Arial"/>
      <family val="2"/>
    </font>
    <font>
      <sz val="8"/>
      <name val="Calibri"/>
      <family val="2"/>
      <scheme val="minor"/>
    </font>
    <font>
      <b/>
      <sz val="8"/>
      <color theme="1"/>
      <name val="Arial"/>
      <family val="2"/>
    </font>
    <font>
      <sz val="8"/>
      <color theme="1"/>
      <name val="Calibri"/>
      <family val="2"/>
      <scheme val="minor"/>
    </font>
    <font>
      <sz val="9"/>
      <color theme="1"/>
      <name val="Calibri"/>
      <family val="2"/>
      <scheme val="minor"/>
    </font>
    <font>
      <i/>
      <sz val="8"/>
      <color theme="1"/>
      <name val="Arial"/>
      <family val="2"/>
    </font>
    <font>
      <sz val="9"/>
      <color theme="1"/>
      <name val="Arial"/>
      <family val="2"/>
    </font>
    <font>
      <b/>
      <sz val="10"/>
      <color theme="1"/>
      <name val="Arial"/>
      <family val="2"/>
    </font>
    <font>
      <b/>
      <sz val="10"/>
      <color rgb="FF00B0F0"/>
      <name val="Arial"/>
      <family val="2"/>
    </font>
    <font>
      <b/>
      <sz val="10"/>
      <color rgb="FFFF0000"/>
      <name val="Arial"/>
      <family val="2"/>
    </font>
    <font>
      <i/>
      <sz val="10"/>
      <color theme="1"/>
      <name val="Arial"/>
      <family val="2"/>
    </font>
    <font>
      <sz val="10"/>
      <color rgb="FF000000"/>
      <name val="Arial"/>
      <family val="2"/>
    </font>
    <font>
      <sz val="11"/>
      <color rgb="FF000000"/>
      <name val="Calibri"/>
      <family val="2"/>
      <scheme val="minor"/>
    </font>
    <font>
      <sz val="8"/>
      <color theme="1"/>
      <name val="Arial"/>
      <family val="2"/>
    </font>
    <font>
      <b/>
      <sz val="10"/>
      <color rgb="FF0070C0"/>
      <name val="Arial"/>
      <family val="2"/>
    </font>
    <font>
      <b/>
      <sz val="10"/>
      <name val="Arial"/>
      <family val="2"/>
    </font>
    <font>
      <sz val="10"/>
      <color rgb="FFFF0000"/>
      <name val="Arial"/>
      <family val="2"/>
    </font>
    <font>
      <sz val="10"/>
      <name val="Arial"/>
      <family val="2"/>
    </font>
    <font>
      <u/>
      <sz val="8"/>
      <color theme="1"/>
      <name val="Arial"/>
      <family val="2"/>
    </font>
  </fonts>
  <fills count="12">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18" fillId="0" borderId="0"/>
  </cellStyleXfs>
  <cellXfs count="183">
    <xf numFmtId="0" fontId="0" fillId="0" borderId="0" xfId="0"/>
    <xf numFmtId="0" fontId="3" fillId="0" borderId="0" xfId="0" applyFont="1"/>
    <xf numFmtId="0" fontId="3" fillId="0" borderId="0" xfId="0" applyFont="1" applyAlignment="1">
      <alignment horizontal="center"/>
    </xf>
    <xf numFmtId="0" fontId="3" fillId="0" borderId="0" xfId="0" applyFont="1" applyFill="1" applyBorder="1" applyAlignment="1">
      <alignment horizontal="center"/>
    </xf>
    <xf numFmtId="0" fontId="3" fillId="0" borderId="0" xfId="0" applyFont="1" applyFill="1" applyAlignment="1">
      <alignment horizontal="center"/>
    </xf>
    <xf numFmtId="0" fontId="4" fillId="0" borderId="0" xfId="0" applyFont="1"/>
    <xf numFmtId="0" fontId="5" fillId="0" borderId="0" xfId="0" applyFont="1" applyFill="1"/>
    <xf numFmtId="0" fontId="3" fillId="0" borderId="0" xfId="0" applyFont="1" applyFill="1" applyBorder="1" applyAlignment="1"/>
    <xf numFmtId="0" fontId="3" fillId="0" borderId="3" xfId="0" applyFont="1" applyFill="1" applyBorder="1" applyAlignment="1">
      <alignment horizontal="center"/>
    </xf>
    <xf numFmtId="0" fontId="3" fillId="0" borderId="0" xfId="0" applyFont="1" applyFill="1" applyBorder="1"/>
    <xf numFmtId="0" fontId="3" fillId="0" borderId="0" xfId="0" applyFont="1" applyBorder="1" applyAlignment="1">
      <alignment horizontal="center"/>
    </xf>
    <xf numFmtId="0" fontId="3" fillId="0" borderId="0" xfId="0" applyFont="1" applyBorder="1"/>
    <xf numFmtId="0" fontId="11" fillId="0" borderId="0" xfId="0" applyFont="1" applyFill="1" applyBorder="1" applyAlignment="1">
      <alignment horizontal="center" vertical="center" wrapText="1"/>
    </xf>
    <xf numFmtId="0" fontId="9" fillId="3" borderId="9" xfId="0" applyFont="1" applyFill="1" applyBorder="1" applyAlignment="1">
      <alignment horizontal="center"/>
    </xf>
    <xf numFmtId="0" fontId="9" fillId="3" borderId="7" xfId="0" applyFont="1" applyFill="1" applyBorder="1" applyAlignment="1">
      <alignment horizontal="center"/>
    </xf>
    <xf numFmtId="0" fontId="9" fillId="3" borderId="2" xfId="0" quotePrefix="1" applyFont="1" applyFill="1" applyBorder="1" applyAlignment="1">
      <alignment horizontal="center"/>
    </xf>
    <xf numFmtId="0" fontId="13" fillId="0" borderId="0" xfId="0" quotePrefix="1" applyFont="1" applyFill="1" applyBorder="1" applyAlignment="1">
      <alignment horizontal="center"/>
    </xf>
    <xf numFmtId="0" fontId="13" fillId="0" borderId="0" xfId="0" applyFont="1" applyFill="1" applyBorder="1" applyAlignment="1">
      <alignment horizontal="center"/>
    </xf>
    <xf numFmtId="0" fontId="3" fillId="0" borderId="4" xfId="0" applyFont="1" applyBorder="1" applyAlignment="1"/>
    <xf numFmtId="0" fontId="3" fillId="0" borderId="5" xfId="0" applyFont="1" applyBorder="1" applyAlignment="1"/>
    <xf numFmtId="0" fontId="3" fillId="0" borderId="10"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14" fillId="0" borderId="11" xfId="0" applyFont="1" applyBorder="1" applyAlignment="1"/>
    <xf numFmtId="0" fontId="14" fillId="0" borderId="0" xfId="0" applyFont="1" applyBorder="1" applyAlignment="1"/>
    <xf numFmtId="1" fontId="14" fillId="0" borderId="0" xfId="0" applyNumberFormat="1" applyFont="1" applyBorder="1" applyAlignment="1">
      <alignment horizontal="center"/>
    </xf>
    <xf numFmtId="0" fontId="3" fillId="0" borderId="12" xfId="0" applyFont="1" applyBorder="1" applyAlignment="1">
      <alignment horizontal="center"/>
    </xf>
    <xf numFmtId="9" fontId="14" fillId="0" borderId="0" xfId="1" applyFont="1" applyBorder="1" applyAlignment="1">
      <alignment horizontal="center"/>
    </xf>
    <xf numFmtId="1" fontId="15" fillId="0" borderId="12" xfId="1" applyNumberFormat="1" applyFont="1" applyBorder="1" applyAlignment="1">
      <alignment horizontal="center"/>
    </xf>
    <xf numFmtId="9" fontId="14" fillId="0" borderId="13" xfId="1" applyFont="1" applyBorder="1" applyAlignment="1">
      <alignment horizontal="center"/>
    </xf>
    <xf numFmtId="9" fontId="14" fillId="0" borderId="0" xfId="1" applyFont="1" applyFill="1" applyBorder="1" applyAlignment="1">
      <alignment horizontal="center"/>
    </xf>
    <xf numFmtId="0" fontId="16" fillId="0" borderId="0" xfId="0" applyFont="1" applyFill="1" applyBorder="1" applyAlignment="1">
      <alignment horizontal="center"/>
    </xf>
    <xf numFmtId="9" fontId="3" fillId="0" borderId="0" xfId="0" applyNumberFormat="1" applyFont="1" applyFill="1" applyBorder="1" applyAlignment="1">
      <alignment horizontal="center"/>
    </xf>
    <xf numFmtId="0" fontId="17" fillId="0" borderId="11" xfId="0" applyFont="1" applyFill="1" applyBorder="1" applyAlignment="1"/>
    <xf numFmtId="0" fontId="3" fillId="0" borderId="12" xfId="0" applyFont="1" applyFill="1" applyBorder="1" applyAlignment="1">
      <alignment horizontal="center"/>
    </xf>
    <xf numFmtId="1" fontId="3" fillId="0" borderId="12" xfId="0" applyNumberFormat="1" applyFont="1" applyFill="1" applyBorder="1" applyAlignment="1">
      <alignment horizontal="center"/>
    </xf>
    <xf numFmtId="0" fontId="3" fillId="0" borderId="13" xfId="0" applyFont="1" applyFill="1" applyBorder="1" applyAlignment="1">
      <alignment horizontal="center"/>
    </xf>
    <xf numFmtId="0" fontId="3" fillId="4" borderId="11" xfId="0" applyFont="1" applyFill="1" applyBorder="1"/>
    <xf numFmtId="0" fontId="3" fillId="4" borderId="0" xfId="0" applyFont="1" applyFill="1" applyBorder="1" applyAlignment="1"/>
    <xf numFmtId="0" fontId="3" fillId="4" borderId="0" xfId="0" applyFont="1" applyFill="1" applyBorder="1" applyAlignment="1">
      <alignment horizontal="center"/>
    </xf>
    <xf numFmtId="0" fontId="3" fillId="4" borderId="12" xfId="0" applyFont="1" applyFill="1" applyBorder="1" applyAlignment="1">
      <alignment horizontal="center"/>
    </xf>
    <xf numFmtId="1" fontId="3" fillId="4" borderId="12" xfId="0" applyNumberFormat="1" applyFont="1" applyFill="1" applyBorder="1" applyAlignment="1">
      <alignment horizontal="center"/>
    </xf>
    <xf numFmtId="0" fontId="3" fillId="4" borderId="13" xfId="0" applyFont="1" applyFill="1" applyBorder="1" applyAlignment="1">
      <alignment horizontal="center"/>
    </xf>
    <xf numFmtId="0" fontId="19" fillId="0" borderId="11" xfId="2" applyFont="1" applyBorder="1"/>
    <xf numFmtId="0" fontId="3" fillId="5" borderId="12" xfId="0" applyFont="1" applyFill="1" applyBorder="1" applyAlignment="1">
      <alignment horizontal="center"/>
    </xf>
    <xf numFmtId="1" fontId="3" fillId="5" borderId="12" xfId="0" applyNumberFormat="1" applyFont="1" applyFill="1" applyBorder="1" applyAlignment="1">
      <alignment horizontal="center"/>
    </xf>
    <xf numFmtId="0" fontId="3" fillId="0" borderId="11" xfId="0" applyFont="1" applyFill="1" applyBorder="1"/>
    <xf numFmtId="0" fontId="0" fillId="0" borderId="11" xfId="0" applyBorder="1"/>
    <xf numFmtId="0" fontId="3" fillId="0" borderId="0" xfId="0" applyFont="1" applyFill="1" applyBorder="1" applyAlignment="1">
      <alignment horizontal="left"/>
    </xf>
    <xf numFmtId="0" fontId="17" fillId="0" borderId="8" xfId="0" applyFont="1" applyFill="1" applyBorder="1" applyAlignment="1"/>
    <xf numFmtId="0" fontId="3" fillId="0" borderId="3" xfId="0" applyFont="1" applyFill="1" applyBorder="1" applyAlignment="1"/>
    <xf numFmtId="0" fontId="3" fillId="0" borderId="14" xfId="0" applyFont="1" applyFill="1" applyBorder="1" applyAlignment="1">
      <alignment horizontal="center"/>
    </xf>
    <xf numFmtId="1" fontId="3" fillId="0" borderId="14" xfId="0" applyNumberFormat="1" applyFont="1" applyFill="1" applyBorder="1" applyAlignment="1">
      <alignment horizontal="center"/>
    </xf>
    <xf numFmtId="0" fontId="3" fillId="0" borderId="15" xfId="0" applyFont="1" applyFill="1" applyBorder="1" applyAlignment="1">
      <alignment horizontal="center"/>
    </xf>
    <xf numFmtId="0" fontId="17" fillId="0" borderId="0" xfId="0" applyFont="1" applyFill="1" applyBorder="1" applyAlignment="1"/>
    <xf numFmtId="0" fontId="17" fillId="0" borderId="0" xfId="0" applyFont="1" applyFill="1" applyBorder="1" applyAlignment="1">
      <alignment horizontal="center"/>
    </xf>
    <xf numFmtId="0" fontId="14" fillId="0" borderId="0" xfId="0" applyFont="1" applyFill="1" applyBorder="1" applyAlignment="1"/>
    <xf numFmtId="0" fontId="20" fillId="3" borderId="10" xfId="0" applyFont="1" applyFill="1" applyBorder="1" applyAlignment="1">
      <alignment vertical="center" wrapText="1"/>
    </xf>
    <xf numFmtId="0" fontId="20" fillId="3" borderId="5" xfId="0" applyFont="1" applyFill="1" applyBorder="1" applyAlignment="1">
      <alignment vertical="center" wrapText="1"/>
    </xf>
    <xf numFmtId="0" fontId="20" fillId="3" borderId="9" xfId="0" applyFont="1" applyFill="1" applyBorder="1" applyAlignment="1">
      <alignment horizontal="center" vertical="center" wrapText="1"/>
    </xf>
    <xf numFmtId="0" fontId="14" fillId="0" borderId="0" xfId="0" applyFont="1" applyFill="1" applyBorder="1" applyAlignment="1">
      <alignment horizontal="center"/>
    </xf>
    <xf numFmtId="0" fontId="3" fillId="0" borderId="12" xfId="0" applyFont="1" applyFill="1" applyBorder="1"/>
    <xf numFmtId="0" fontId="3" fillId="0" borderId="14" xfId="0" applyFont="1" applyFill="1" applyBorder="1" applyAlignment="1"/>
    <xf numFmtId="0" fontId="14" fillId="6" borderId="1" xfId="0" applyFont="1" applyFill="1" applyBorder="1"/>
    <xf numFmtId="0" fontId="3" fillId="6" borderId="7" xfId="0" applyFont="1" applyFill="1" applyBorder="1"/>
    <xf numFmtId="0" fontId="14" fillId="6" borderId="7" xfId="0" applyFont="1" applyFill="1" applyBorder="1" applyAlignment="1">
      <alignment horizontal="center"/>
    </xf>
    <xf numFmtId="1" fontId="21" fillId="6" borderId="9" xfId="0" applyNumberFormat="1" applyFont="1" applyFill="1" applyBorder="1" applyAlignment="1">
      <alignment horizontal="center"/>
    </xf>
    <xf numFmtId="0" fontId="22" fillId="6" borderId="9" xfId="0" applyFont="1" applyFill="1" applyBorder="1" applyAlignment="1">
      <alignment horizontal="center"/>
    </xf>
    <xf numFmtId="0" fontId="22" fillId="6" borderId="7" xfId="0" applyFont="1" applyFill="1" applyBorder="1" applyAlignment="1">
      <alignment horizontal="center"/>
    </xf>
    <xf numFmtId="0" fontId="3" fillId="0" borderId="10" xfId="0" applyFont="1" applyFill="1" applyBorder="1"/>
    <xf numFmtId="0" fontId="3" fillId="0" borderId="10" xfId="0" applyFont="1" applyFill="1" applyBorder="1" applyAlignment="1">
      <alignment horizontal="center"/>
    </xf>
    <xf numFmtId="0" fontId="3" fillId="0" borderId="12" xfId="0" applyFont="1" applyFill="1" applyBorder="1" applyAlignment="1"/>
    <xf numFmtId="0" fontId="14" fillId="0" borderId="11" xfId="0" applyFont="1" applyFill="1" applyBorder="1"/>
    <xf numFmtId="0" fontId="14" fillId="0" borderId="0" xfId="0" applyFont="1" applyFill="1" applyBorder="1"/>
    <xf numFmtId="1" fontId="14" fillId="0" borderId="12" xfId="0" applyNumberFormat="1" applyFont="1" applyFill="1" applyBorder="1" applyAlignment="1">
      <alignment horizontal="center"/>
    </xf>
    <xf numFmtId="0" fontId="14" fillId="0" borderId="12" xfId="0" applyFont="1" applyFill="1" applyBorder="1" applyAlignment="1">
      <alignment horizontal="center"/>
    </xf>
    <xf numFmtId="0" fontId="3" fillId="7" borderId="12" xfId="0" applyFont="1" applyFill="1" applyBorder="1" applyAlignment="1">
      <alignment horizontal="center"/>
    </xf>
    <xf numFmtId="0" fontId="3" fillId="7" borderId="0" xfId="0" applyFont="1" applyFill="1" applyBorder="1" applyAlignment="1">
      <alignment horizontal="center"/>
    </xf>
    <xf numFmtId="0" fontId="3" fillId="0" borderId="0" xfId="0" applyFont="1" applyFill="1"/>
    <xf numFmtId="0" fontId="0" fillId="0" borderId="11" xfId="0" applyFill="1" applyBorder="1"/>
    <xf numFmtId="0" fontId="2" fillId="0" borderId="11" xfId="0" applyFont="1" applyFill="1" applyBorder="1"/>
    <xf numFmtId="0" fontId="0" fillId="0" borderId="0" xfId="0" applyBorder="1"/>
    <xf numFmtId="1" fontId="2" fillId="0" borderId="12" xfId="0" applyNumberFormat="1" applyFont="1" applyBorder="1" applyAlignment="1">
      <alignment horizontal="center"/>
    </xf>
    <xf numFmtId="0" fontId="2" fillId="0" borderId="12" xfId="0" applyFont="1" applyBorder="1" applyAlignment="1">
      <alignment horizontal="center"/>
    </xf>
    <xf numFmtId="0" fontId="2" fillId="0" borderId="0" xfId="0" applyFont="1" applyBorder="1" applyAlignment="1">
      <alignment horizontal="center"/>
    </xf>
    <xf numFmtId="0" fontId="0" fillId="0" borderId="12" xfId="0" applyBorder="1"/>
    <xf numFmtId="0" fontId="0" fillId="7" borderId="12" xfId="0" applyFill="1" applyBorder="1" applyAlignment="1">
      <alignment horizontal="center"/>
    </xf>
    <xf numFmtId="0" fontId="0" fillId="7" borderId="0" xfId="0" applyFill="1" applyBorder="1" applyAlignment="1">
      <alignment horizontal="center"/>
    </xf>
    <xf numFmtId="0" fontId="0" fillId="0" borderId="0" xfId="0" applyFill="1" applyBorder="1"/>
    <xf numFmtId="0" fontId="0" fillId="0" borderId="12" xfId="0" applyFill="1" applyBorder="1"/>
    <xf numFmtId="0" fontId="0" fillId="0" borderId="0" xfId="0" applyFill="1"/>
    <xf numFmtId="0" fontId="0" fillId="0" borderId="12" xfId="0" applyBorder="1" applyAlignment="1">
      <alignment horizontal="center"/>
    </xf>
    <xf numFmtId="0" fontId="0" fillId="0" borderId="12" xfId="0" applyFill="1" applyBorder="1" applyAlignment="1">
      <alignment horizontal="center"/>
    </xf>
    <xf numFmtId="0" fontId="0" fillId="0" borderId="8" xfId="0" applyBorder="1"/>
    <xf numFmtId="0" fontId="0" fillId="0" borderId="3" xfId="0" applyBorder="1"/>
    <xf numFmtId="0" fontId="0" fillId="0" borderId="14" xfId="0" applyBorder="1"/>
    <xf numFmtId="0" fontId="5" fillId="0" borderId="0" xfId="0" applyFont="1" applyFill="1" applyBorder="1" applyAlignment="1"/>
    <xf numFmtId="0" fontId="6" fillId="5" borderId="7" xfId="0" applyFont="1" applyFill="1" applyBorder="1" applyAlignment="1">
      <alignment vertical="center" wrapText="1"/>
    </xf>
    <xf numFmtId="0" fontId="6" fillId="5" borderId="2" xfId="0" applyFont="1" applyFill="1" applyBorder="1" applyAlignment="1">
      <alignment vertical="center" wrapText="1"/>
    </xf>
    <xf numFmtId="0" fontId="6" fillId="5" borderId="7" xfId="0" applyFont="1" applyFill="1" applyBorder="1" applyAlignment="1">
      <alignment vertical="center"/>
    </xf>
    <xf numFmtId="0" fontId="20" fillId="3" borderId="14"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6" fillId="5" borderId="1" xfId="0" applyFont="1" applyFill="1" applyBorder="1" applyAlignment="1">
      <alignment vertical="center"/>
    </xf>
    <xf numFmtId="0" fontId="6" fillId="5" borderId="3" xfId="0" applyFont="1" applyFill="1" applyBorder="1" applyAlignment="1">
      <alignment vertical="center"/>
    </xf>
    <xf numFmtId="0" fontId="6" fillId="5" borderId="3" xfId="0" applyFont="1" applyFill="1" applyBorder="1" applyAlignment="1">
      <alignment vertical="center" wrapText="1"/>
    </xf>
    <xf numFmtId="0" fontId="20" fillId="3" borderId="12" xfId="0" applyFont="1" applyFill="1" applyBorder="1" applyAlignment="1">
      <alignment vertical="center" wrapText="1"/>
    </xf>
    <xf numFmtId="0" fontId="6" fillId="0" borderId="0" xfId="0" applyFont="1" applyFill="1" applyBorder="1" applyAlignment="1">
      <alignment vertical="center" wrapText="1"/>
    </xf>
    <xf numFmtId="0" fontId="6" fillId="5" borderId="1" xfId="0" applyFont="1" applyFill="1" applyBorder="1" applyAlignment="1">
      <alignment vertical="center" wrapText="1"/>
    </xf>
    <xf numFmtId="0" fontId="6" fillId="5" borderId="2" xfId="0" applyFont="1" applyFill="1" applyBorder="1" applyAlignment="1">
      <alignment vertical="center"/>
    </xf>
    <xf numFmtId="0" fontId="23" fillId="0" borderId="0" xfId="0" applyFont="1" applyFill="1" applyBorder="1"/>
    <xf numFmtId="0" fontId="23" fillId="0" borderId="0" xfId="0" applyFont="1" applyFill="1" applyBorder="1" applyAlignment="1">
      <alignment horizontal="left"/>
    </xf>
    <xf numFmtId="0" fontId="20" fillId="3" borderId="0" xfId="0" applyFont="1" applyFill="1" applyBorder="1" applyAlignment="1">
      <alignment vertical="center" wrapText="1"/>
    </xf>
    <xf numFmtId="0" fontId="6" fillId="5" borderId="8" xfId="0" applyFont="1" applyFill="1" applyBorder="1" applyAlignment="1">
      <alignment horizontal="center" vertical="center" wrapText="1"/>
    </xf>
    <xf numFmtId="0" fontId="6" fillId="5" borderId="15" xfId="0" applyFont="1" applyFill="1" applyBorder="1" applyAlignment="1">
      <alignment vertical="center" wrapText="1"/>
    </xf>
    <xf numFmtId="0" fontId="3" fillId="0" borderId="0" xfId="0" applyFont="1" applyFill="1" applyAlignment="1">
      <alignment vertical="top" wrapText="1"/>
    </xf>
    <xf numFmtId="0" fontId="3" fillId="0" borderId="0" xfId="0" applyFont="1" applyFill="1" applyAlignment="1">
      <alignment vertical="center" wrapText="1"/>
    </xf>
    <xf numFmtId="0" fontId="6" fillId="5" borderId="8" xfId="0" applyFont="1" applyFill="1" applyBorder="1" applyAlignment="1">
      <alignment vertical="center"/>
    </xf>
    <xf numFmtId="0" fontId="0" fillId="0" borderId="0" xfId="0" applyFill="1" applyAlignment="1">
      <alignment horizontal="left" indent="1"/>
    </xf>
    <xf numFmtId="0" fontId="20" fillId="3" borderId="8" xfId="0" applyFont="1" applyFill="1" applyBorder="1" applyAlignment="1">
      <alignment horizontal="center" vertical="center" wrapText="1"/>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24" fillId="0" borderId="0" xfId="0" applyFont="1" applyFill="1" applyBorder="1" applyAlignment="1">
      <alignment horizontal="center"/>
    </xf>
    <xf numFmtId="0" fontId="20" fillId="3" borderId="10" xfId="0" applyFont="1" applyFill="1" applyBorder="1" applyAlignment="1">
      <alignment horizontal="center" vertical="center" wrapText="1"/>
    </xf>
    <xf numFmtId="0" fontId="3" fillId="0" borderId="0" xfId="0" applyFont="1" applyFill="1" applyAlignment="1">
      <alignment vertical="center"/>
    </xf>
    <xf numFmtId="0" fontId="3" fillId="0" borderId="0" xfId="0" applyFont="1" applyFill="1" applyAlignment="1">
      <alignment vertical="top"/>
    </xf>
    <xf numFmtId="0" fontId="17" fillId="8" borderId="0" xfId="0" applyFont="1" applyFill="1" applyBorder="1" applyAlignment="1"/>
    <xf numFmtId="0" fontId="3" fillId="8" borderId="0" xfId="0" applyFont="1" applyFill="1" applyBorder="1" applyAlignment="1">
      <alignment horizontal="center"/>
    </xf>
    <xf numFmtId="0" fontId="3" fillId="8" borderId="0" xfId="0" applyFont="1" applyFill="1" applyBorder="1"/>
    <xf numFmtId="0" fontId="3" fillId="0" borderId="0" xfId="0" applyFont="1" applyFill="1" applyBorder="1" applyAlignment="1">
      <alignment horizontal="center" wrapText="1"/>
    </xf>
    <xf numFmtId="0" fontId="17" fillId="0" borderId="0" xfId="0" applyFont="1" applyFill="1" applyBorder="1" applyAlignment="1">
      <alignment horizontal="center" wrapText="1"/>
    </xf>
    <xf numFmtId="0" fontId="0" fillId="0" borderId="0" xfId="0" applyAlignment="1">
      <alignment horizontal="center" wrapText="1"/>
    </xf>
    <xf numFmtId="0" fontId="0" fillId="0" borderId="0" xfId="0" applyFill="1" applyAlignment="1">
      <alignment horizontal="center" wrapText="1"/>
    </xf>
    <xf numFmtId="0" fontId="6" fillId="5" borderId="1" xfId="0" applyFont="1" applyFill="1" applyBorder="1" applyAlignment="1">
      <alignment horizontal="center" vertical="center"/>
    </xf>
    <xf numFmtId="0" fontId="10" fillId="3" borderId="2" xfId="0" applyFont="1" applyFill="1" applyBorder="1" applyAlignment="1">
      <alignment horizontal="center" vertical="center" wrapText="1"/>
    </xf>
    <xf numFmtId="0" fontId="17" fillId="0" borderId="0" xfId="0" applyFont="1" applyFill="1" applyBorder="1" applyAlignment="1">
      <alignment wrapText="1"/>
    </xf>
    <xf numFmtId="0" fontId="3" fillId="0" borderId="0" xfId="0" applyFont="1" applyFill="1" applyBorder="1" applyAlignment="1">
      <alignment wrapText="1"/>
    </xf>
    <xf numFmtId="0" fontId="3" fillId="9" borderId="0" xfId="0" applyFont="1" applyFill="1" applyBorder="1" applyAlignment="1">
      <alignment horizontal="center" wrapText="1"/>
    </xf>
    <xf numFmtId="0" fontId="3" fillId="10" borderId="0" xfId="0" applyFont="1" applyFill="1" applyBorder="1" applyAlignment="1">
      <alignment horizontal="center" wrapText="1"/>
    </xf>
    <xf numFmtId="0" fontId="0" fillId="9" borderId="0" xfId="0" applyFill="1" applyAlignment="1">
      <alignment horizontal="center" wrapText="1"/>
    </xf>
    <xf numFmtId="0" fontId="0" fillId="10" borderId="0" xfId="0" applyFill="1" applyAlignment="1">
      <alignment horizontal="center" wrapText="1"/>
    </xf>
    <xf numFmtId="0" fontId="3" fillId="9" borderId="0" xfId="0" applyFont="1" applyFill="1" applyBorder="1" applyAlignment="1">
      <alignment horizontal="center"/>
    </xf>
    <xf numFmtId="0" fontId="3" fillId="10" borderId="0" xfId="0" applyFont="1" applyFill="1" applyBorder="1" applyAlignment="1">
      <alignment horizontal="center"/>
    </xf>
    <xf numFmtId="0" fontId="23" fillId="9" borderId="0" xfId="0" applyFont="1" applyFill="1" applyBorder="1" applyAlignment="1">
      <alignment horizontal="center"/>
    </xf>
    <xf numFmtId="0" fontId="3" fillId="10" borderId="0" xfId="0" applyFont="1" applyFill="1" applyBorder="1"/>
    <xf numFmtId="0" fontId="25" fillId="3" borderId="14" xfId="0" applyFont="1" applyFill="1" applyBorder="1" applyAlignment="1">
      <alignment horizontal="center" vertical="center" wrapText="1"/>
    </xf>
    <xf numFmtId="0" fontId="24" fillId="8" borderId="0" xfId="0" applyFont="1" applyFill="1" applyBorder="1" applyAlignment="1">
      <alignment horizontal="center"/>
    </xf>
    <xf numFmtId="0" fontId="16" fillId="0" borderId="0" xfId="0" applyFont="1" applyFill="1" applyBorder="1" applyAlignment="1">
      <alignment horizontal="left"/>
    </xf>
    <xf numFmtId="0" fontId="3" fillId="8" borderId="0" xfId="0" applyFont="1" applyFill="1" applyBorder="1" applyAlignment="1">
      <alignment horizontal="center" wrapText="1"/>
    </xf>
    <xf numFmtId="0" fontId="20" fillId="11" borderId="14"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12" fillId="3" borderId="8"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4" fillId="3" borderId="4"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17" fillId="9" borderId="0" xfId="0" applyFont="1" applyFill="1" applyBorder="1" applyAlignment="1">
      <alignment horizontal="center" wrapText="1"/>
    </xf>
    <xf numFmtId="0" fontId="14" fillId="3" borderId="13"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3" fillId="0" borderId="0" xfId="0" applyFont="1" applyFill="1" applyAlignment="1">
      <alignment vertical="top" wrapText="1"/>
    </xf>
  </cellXfs>
  <cellStyles count="3">
    <cellStyle name="Normal" xfId="0" builtinId="0"/>
    <cellStyle name="Normal 3" xfId="2" xr:uid="{B2EF6B05-C645-4F70-BAF0-A2BA252971A8}"/>
    <cellStyle name="Percent"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681F-78E6-498A-AD1D-4FFA9DC8FDFA}">
  <sheetPr>
    <pageSetUpPr fitToPage="1"/>
  </sheetPr>
  <dimension ref="B1:BE122"/>
  <sheetViews>
    <sheetView tabSelected="1" topLeftCell="A7" zoomScale="95" zoomScaleNormal="95" workbookViewId="0">
      <selection activeCell="B4" sqref="B4"/>
    </sheetView>
  </sheetViews>
  <sheetFormatPr defaultRowHeight="14.4" outlineLevelRow="1" x14ac:dyDescent="0.3"/>
  <cols>
    <col min="1" max="1" width="3.109375" customWidth="1"/>
    <col min="2" max="3" width="16.44140625" customWidth="1"/>
    <col min="5" max="5" width="13.44140625" customWidth="1"/>
    <col min="6" max="7" width="12.109375" customWidth="1"/>
    <col min="8" max="15" width="17.109375" customWidth="1"/>
    <col min="16" max="16" width="15.6640625" customWidth="1"/>
    <col min="17" max="17" width="17.109375" customWidth="1"/>
    <col min="18" max="21" width="15.33203125" customWidth="1"/>
    <col min="22" max="24" width="15.5546875" customWidth="1"/>
    <col min="25" max="27" width="19.44140625" customWidth="1"/>
    <col min="28" max="28" width="17.33203125" customWidth="1"/>
    <col min="29" max="29" width="16.88671875" customWidth="1"/>
    <col min="30" max="30" width="16.6640625" customWidth="1"/>
    <col min="31" max="31" width="18.88671875" customWidth="1"/>
    <col min="32" max="32" width="16.6640625" customWidth="1"/>
    <col min="33" max="33" width="18.88671875" customWidth="1"/>
    <col min="34" max="34" width="17.33203125" customWidth="1"/>
    <col min="35" max="35" width="17.44140625" customWidth="1"/>
    <col min="36" max="36" width="20.33203125" bestFit="1" customWidth="1"/>
    <col min="37" max="39" width="16" customWidth="1"/>
    <col min="40" max="40" width="17.33203125" customWidth="1"/>
  </cols>
  <sheetData>
    <row r="1" spans="2:21" s="1" customFormat="1" ht="13.2" x14ac:dyDescent="0.25">
      <c r="E1" s="2"/>
      <c r="F1" s="2"/>
      <c r="G1" s="2"/>
      <c r="H1" s="3"/>
      <c r="I1" s="3"/>
      <c r="J1" s="3"/>
      <c r="K1" s="3"/>
      <c r="L1" s="3"/>
      <c r="M1" s="3"/>
      <c r="N1" s="3"/>
      <c r="O1" s="3"/>
      <c r="P1" s="3"/>
      <c r="Q1" s="2"/>
      <c r="R1" s="2"/>
    </row>
    <row r="2" spans="2:21" s="1" customFormat="1" ht="18.600000000000001" customHeight="1" x14ac:dyDescent="0.25">
      <c r="B2" s="151" t="s">
        <v>480</v>
      </c>
      <c r="C2" s="152"/>
      <c r="E2" s="4"/>
      <c r="F2" s="2"/>
      <c r="G2" s="2"/>
      <c r="H2" s="3"/>
      <c r="I2" s="3"/>
      <c r="J2" s="3"/>
      <c r="K2" s="3"/>
      <c r="L2" s="3"/>
      <c r="M2" s="3"/>
      <c r="N2" s="3"/>
      <c r="O2" s="3"/>
      <c r="P2" s="3"/>
      <c r="Q2" s="2"/>
      <c r="R2" s="2"/>
    </row>
    <row r="3" spans="2:21" s="1" customFormat="1" ht="20.399999999999999" customHeight="1" x14ac:dyDescent="0.3">
      <c r="B3" s="5" t="s">
        <v>485</v>
      </c>
      <c r="F3" s="2"/>
      <c r="G3" s="2"/>
      <c r="H3" s="3"/>
      <c r="I3" s="3"/>
      <c r="J3" s="3"/>
      <c r="K3" s="3"/>
      <c r="L3" s="3"/>
      <c r="M3" s="3"/>
      <c r="N3" s="3"/>
      <c r="O3" s="3"/>
      <c r="P3" s="3"/>
      <c r="Q3" s="2"/>
      <c r="R3" s="2"/>
    </row>
    <row r="4" spans="2:21" s="1" customFormat="1" ht="15.6" x14ac:dyDescent="0.3">
      <c r="B4" s="5"/>
      <c r="F4" s="2"/>
      <c r="G4" s="2"/>
      <c r="H4" s="3"/>
      <c r="I4" s="3"/>
      <c r="J4" s="3"/>
      <c r="K4" s="3"/>
      <c r="L4" s="3"/>
      <c r="M4" s="3"/>
      <c r="N4" s="3"/>
      <c r="O4" s="3"/>
      <c r="P4" s="3"/>
      <c r="Q4" s="2"/>
      <c r="R4" s="2"/>
    </row>
    <row r="5" spans="2:21" s="1" customFormat="1" ht="18.75" customHeight="1" x14ac:dyDescent="0.25">
      <c r="B5" s="6" t="s">
        <v>0</v>
      </c>
      <c r="F5" s="2"/>
      <c r="G5" s="2"/>
      <c r="H5" s="3"/>
      <c r="I5" s="3"/>
      <c r="J5" s="3"/>
      <c r="K5" s="3"/>
      <c r="L5" s="3"/>
      <c r="M5" s="3"/>
      <c r="N5" s="3"/>
      <c r="O5" s="3"/>
      <c r="P5" s="3"/>
      <c r="Q5" s="2"/>
      <c r="R5" s="2"/>
    </row>
    <row r="6" spans="2:21" s="1" customFormat="1" ht="18.75" customHeight="1" x14ac:dyDescent="0.25">
      <c r="B6" s="124" t="s">
        <v>1</v>
      </c>
      <c r="C6" s="124"/>
      <c r="D6" s="124"/>
      <c r="E6" s="124"/>
      <c r="F6" s="124"/>
      <c r="G6" s="124"/>
      <c r="H6" s="124"/>
      <c r="I6" s="124"/>
      <c r="J6" s="124"/>
      <c r="K6" s="124"/>
      <c r="L6" s="124"/>
      <c r="M6" s="124"/>
      <c r="N6" s="124"/>
      <c r="O6" s="3"/>
      <c r="P6" s="3"/>
      <c r="Q6" s="2"/>
      <c r="R6" s="2"/>
    </row>
    <row r="7" spans="2:21" s="11" customFormat="1" ht="13.2" x14ac:dyDescent="0.25">
      <c r="B7" s="7"/>
      <c r="C7" s="7"/>
      <c r="D7" s="7"/>
      <c r="E7" s="3"/>
      <c r="F7" s="8"/>
      <c r="G7" s="8"/>
      <c r="H7" s="8"/>
      <c r="I7" s="8"/>
      <c r="J7" s="12"/>
      <c r="K7" s="9"/>
      <c r="L7" s="9"/>
      <c r="M7" s="9"/>
      <c r="N7" s="3"/>
      <c r="O7" s="3"/>
      <c r="P7" s="3"/>
      <c r="Q7" s="3"/>
      <c r="R7" s="10"/>
      <c r="S7" s="10"/>
      <c r="T7" s="10"/>
      <c r="U7" s="10"/>
    </row>
    <row r="8" spans="2:21" s="1" customFormat="1" ht="53.4" customHeight="1" x14ac:dyDescent="0.25">
      <c r="B8" s="153" t="s">
        <v>2</v>
      </c>
      <c r="C8" s="154"/>
      <c r="D8" s="154"/>
      <c r="E8" s="155"/>
      <c r="F8" s="156" t="s">
        <v>3</v>
      </c>
      <c r="G8" s="157"/>
      <c r="H8" s="156" t="s">
        <v>4</v>
      </c>
      <c r="I8" s="157"/>
      <c r="J8" s="149" t="s">
        <v>5</v>
      </c>
      <c r="K8" s="150"/>
      <c r="L8" s="12"/>
      <c r="M8" s="12"/>
      <c r="N8" s="3"/>
      <c r="O8" s="3"/>
      <c r="P8" s="3"/>
      <c r="Q8" s="3"/>
      <c r="R8" s="3"/>
      <c r="S8" s="3"/>
      <c r="T8" s="2"/>
      <c r="U8" s="2"/>
    </row>
    <row r="9" spans="2:21" s="1" customFormat="1" ht="14.4" customHeight="1" x14ac:dyDescent="0.25">
      <c r="B9" s="164" t="s">
        <v>6</v>
      </c>
      <c r="C9" s="165"/>
      <c r="D9" s="165"/>
      <c r="E9" s="165"/>
      <c r="F9" s="13" t="s">
        <v>7</v>
      </c>
      <c r="G9" s="14" t="s">
        <v>8</v>
      </c>
      <c r="H9" s="13" t="s">
        <v>7</v>
      </c>
      <c r="I9" s="14" t="s">
        <v>8</v>
      </c>
      <c r="J9" s="13" t="s">
        <v>7</v>
      </c>
      <c r="K9" s="15" t="s">
        <v>8</v>
      </c>
      <c r="L9" s="16"/>
      <c r="M9" s="16"/>
      <c r="N9" s="3"/>
      <c r="O9" s="3"/>
      <c r="P9" s="3"/>
      <c r="Q9" s="3"/>
      <c r="R9" s="3"/>
      <c r="S9" s="3"/>
      <c r="T9" s="2"/>
      <c r="U9" s="2"/>
    </row>
    <row r="10" spans="2:21" s="1" customFormat="1" ht="15" customHeight="1" x14ac:dyDescent="0.25">
      <c r="B10" s="18"/>
      <c r="C10" s="19"/>
      <c r="D10" s="19"/>
      <c r="E10" s="19"/>
      <c r="F10" s="20"/>
      <c r="G10" s="21"/>
      <c r="H10" s="20"/>
      <c r="I10" s="21"/>
      <c r="J10" s="20"/>
      <c r="K10" s="22"/>
      <c r="L10" s="3"/>
      <c r="M10" s="3"/>
      <c r="N10" s="3"/>
      <c r="O10" s="3"/>
      <c r="P10" s="3"/>
      <c r="Q10" s="3"/>
      <c r="R10" s="3"/>
      <c r="S10" s="3"/>
      <c r="T10" s="2"/>
      <c r="U10" s="2"/>
    </row>
    <row r="11" spans="2:21" s="1" customFormat="1" ht="15" customHeight="1" x14ac:dyDescent="0.25">
      <c r="B11" s="23" t="s">
        <v>9</v>
      </c>
      <c r="C11" s="24"/>
      <c r="D11" s="24"/>
      <c r="E11" s="25">
        <f>SUM(F11,H11,J11)</f>
        <v>43</v>
      </c>
      <c r="F11" s="26">
        <f>SUM(F13,F17,F24,F34,F44,F60)</f>
        <v>6</v>
      </c>
      <c r="G11" s="27">
        <f>F11/$E$11</f>
        <v>0.13953488372093023</v>
      </c>
      <c r="H11" s="28">
        <f>SUM(H13,H17,H24,H34,H44,H60)</f>
        <v>30</v>
      </c>
      <c r="I11" s="27">
        <f>H11/$E$11</f>
        <v>0.69767441860465118</v>
      </c>
      <c r="J11" s="26">
        <f>SUM(J13,J17,J24,J34,J44,J60)</f>
        <v>7</v>
      </c>
      <c r="K11" s="29">
        <f>J11/$E$11</f>
        <v>0.16279069767441862</v>
      </c>
      <c r="L11" s="30"/>
      <c r="M11" s="30"/>
      <c r="N11" s="32"/>
      <c r="O11" s="32"/>
      <c r="P11" s="32"/>
      <c r="Q11" s="32"/>
      <c r="R11" s="32"/>
      <c r="S11" s="32"/>
      <c r="T11" s="2"/>
      <c r="U11" s="2"/>
    </row>
    <row r="12" spans="2:21" s="9" customFormat="1" ht="15" customHeight="1" x14ac:dyDescent="0.25">
      <c r="B12" s="33"/>
      <c r="C12" s="7"/>
      <c r="D12" s="7"/>
      <c r="E12" s="3"/>
      <c r="F12" s="34"/>
      <c r="G12" s="3"/>
      <c r="H12" s="35"/>
      <c r="I12" s="3"/>
      <c r="J12" s="34"/>
      <c r="K12" s="36"/>
      <c r="L12" s="3"/>
      <c r="M12" s="3"/>
      <c r="N12" s="3"/>
      <c r="O12" s="3"/>
      <c r="P12" s="3"/>
      <c r="Q12" s="3"/>
      <c r="R12" s="3"/>
      <c r="S12" s="3"/>
      <c r="T12" s="3"/>
      <c r="U12" s="3"/>
    </row>
    <row r="13" spans="2:21" s="9" customFormat="1" ht="15" customHeight="1" x14ac:dyDescent="0.25">
      <c r="B13" s="37" t="s">
        <v>10</v>
      </c>
      <c r="C13" s="38"/>
      <c r="D13" s="38"/>
      <c r="E13" s="39"/>
      <c r="F13" s="40">
        <f>SUM(F14:F16)</f>
        <v>0</v>
      </c>
      <c r="G13" s="39"/>
      <c r="H13" s="40">
        <f>SUM(H14:H16)</f>
        <v>0</v>
      </c>
      <c r="I13" s="39"/>
      <c r="J13" s="40">
        <f>SUM(J14:J16)</f>
        <v>3</v>
      </c>
      <c r="K13" s="42"/>
      <c r="L13" s="3"/>
      <c r="M13" s="3"/>
      <c r="N13" s="3"/>
      <c r="O13" s="3"/>
      <c r="P13" s="3"/>
      <c r="Q13" s="3"/>
      <c r="R13" s="3"/>
      <c r="S13" s="3"/>
      <c r="T13" s="3"/>
      <c r="U13" s="3"/>
    </row>
    <row r="14" spans="2:21" s="9" customFormat="1" ht="15" hidden="1" customHeight="1" outlineLevel="1" x14ac:dyDescent="0.3">
      <c r="B14" s="47" t="s">
        <v>284</v>
      </c>
      <c r="C14" s="7"/>
      <c r="D14" s="7"/>
      <c r="E14" s="3"/>
      <c r="F14" s="44"/>
      <c r="G14" s="3"/>
      <c r="H14" s="45"/>
      <c r="I14" s="3"/>
      <c r="J14" s="44">
        <v>1</v>
      </c>
      <c r="K14" s="36"/>
      <c r="L14" s="3"/>
      <c r="M14" s="3"/>
      <c r="N14" s="3"/>
      <c r="O14" s="3"/>
      <c r="P14" s="3"/>
      <c r="Q14" s="3"/>
      <c r="R14" s="3"/>
      <c r="S14" s="3"/>
      <c r="T14" s="3"/>
      <c r="U14" s="3"/>
    </row>
    <row r="15" spans="2:21" s="9" customFormat="1" ht="15" hidden="1" customHeight="1" outlineLevel="1" x14ac:dyDescent="0.3">
      <c r="B15" s="43" t="s">
        <v>11</v>
      </c>
      <c r="C15" s="7"/>
      <c r="D15" s="7"/>
      <c r="E15" s="3"/>
      <c r="F15" s="44"/>
      <c r="G15" s="3"/>
      <c r="H15" s="45"/>
      <c r="I15" s="3"/>
      <c r="J15" s="44">
        <v>1</v>
      </c>
      <c r="K15" s="36"/>
      <c r="L15" s="3"/>
      <c r="M15" s="3"/>
      <c r="N15" s="3"/>
      <c r="O15" s="3"/>
      <c r="P15" s="3"/>
      <c r="Q15" s="3"/>
      <c r="R15" s="3"/>
      <c r="S15" s="3"/>
      <c r="T15" s="3"/>
      <c r="U15" s="3"/>
    </row>
    <row r="16" spans="2:21" s="9" customFormat="1" ht="15" hidden="1" customHeight="1" outlineLevel="1" x14ac:dyDescent="0.3">
      <c r="B16" s="43" t="s">
        <v>12</v>
      </c>
      <c r="C16" s="7"/>
      <c r="D16" s="7"/>
      <c r="E16" s="3"/>
      <c r="F16" s="44"/>
      <c r="G16" s="3"/>
      <c r="H16" s="45"/>
      <c r="I16" s="3"/>
      <c r="J16" s="44">
        <v>1</v>
      </c>
      <c r="K16" s="36"/>
      <c r="L16" s="3"/>
      <c r="M16" s="3"/>
      <c r="N16" s="3"/>
      <c r="O16" s="3"/>
      <c r="P16" s="3"/>
      <c r="Q16" s="3"/>
      <c r="R16" s="3"/>
      <c r="S16" s="3"/>
      <c r="T16" s="3"/>
      <c r="U16" s="3"/>
    </row>
    <row r="17" spans="2:21" s="9" customFormat="1" ht="15" customHeight="1" collapsed="1" x14ac:dyDescent="0.25">
      <c r="B17" s="46" t="s">
        <v>13</v>
      </c>
      <c r="C17" s="7"/>
      <c r="D17" s="7"/>
      <c r="E17" s="3"/>
      <c r="F17" s="34">
        <f>SUM(F18:F23)</f>
        <v>0</v>
      </c>
      <c r="G17" s="3"/>
      <c r="H17" s="35">
        <f>SUM(H18:H23)</f>
        <v>4</v>
      </c>
      <c r="I17" s="3"/>
      <c r="J17" s="34">
        <f>SUM(J18:J23)</f>
        <v>2</v>
      </c>
      <c r="K17" s="36"/>
      <c r="L17" s="3"/>
      <c r="M17" s="3"/>
      <c r="N17" s="3"/>
      <c r="O17" s="3"/>
      <c r="P17" s="3"/>
      <c r="Q17" s="3"/>
      <c r="R17" s="3"/>
      <c r="S17" s="3"/>
      <c r="T17" s="3"/>
      <c r="U17" s="3"/>
    </row>
    <row r="18" spans="2:21" s="9" customFormat="1" ht="15" hidden="1" customHeight="1" outlineLevel="1" x14ac:dyDescent="0.3">
      <c r="B18" s="47" t="s">
        <v>14</v>
      </c>
      <c r="C18" s="7"/>
      <c r="D18" s="7"/>
      <c r="E18" s="3"/>
      <c r="F18" s="44"/>
      <c r="G18" s="3"/>
      <c r="H18" s="45">
        <v>1</v>
      </c>
      <c r="I18" s="3"/>
      <c r="J18" s="44" t="s">
        <v>391</v>
      </c>
      <c r="K18" s="36"/>
      <c r="L18" s="3"/>
      <c r="M18" s="3"/>
      <c r="N18" s="3"/>
      <c r="O18" s="3"/>
      <c r="P18" s="3"/>
      <c r="Q18" s="3"/>
      <c r="R18" s="3"/>
      <c r="S18" s="3"/>
      <c r="T18" s="3"/>
      <c r="U18" s="3"/>
    </row>
    <row r="19" spans="2:21" s="9" customFormat="1" ht="15" hidden="1" customHeight="1" outlineLevel="1" x14ac:dyDescent="0.3">
      <c r="B19" s="47" t="s">
        <v>15</v>
      </c>
      <c r="C19" s="7"/>
      <c r="D19" s="7"/>
      <c r="E19" s="3"/>
      <c r="F19" s="44"/>
      <c r="G19" s="3"/>
      <c r="H19" s="45"/>
      <c r="I19" s="3"/>
      <c r="J19" s="44">
        <v>1</v>
      </c>
      <c r="K19" s="36"/>
      <c r="L19" s="3"/>
      <c r="M19" s="3"/>
      <c r="N19" s="3"/>
      <c r="O19" s="3"/>
      <c r="P19" s="3"/>
      <c r="Q19" s="3"/>
      <c r="R19" s="3"/>
      <c r="S19" s="3"/>
      <c r="T19" s="3"/>
      <c r="U19" s="3"/>
    </row>
    <row r="20" spans="2:21" s="9" customFormat="1" ht="15" hidden="1" customHeight="1" outlineLevel="1" x14ac:dyDescent="0.3">
      <c r="B20" s="47" t="s">
        <v>16</v>
      </c>
      <c r="C20" s="7"/>
      <c r="D20" s="7"/>
      <c r="E20" s="3"/>
      <c r="F20" s="44"/>
      <c r="G20" s="3"/>
      <c r="H20" s="45"/>
      <c r="I20" s="3"/>
      <c r="J20" s="44">
        <v>1</v>
      </c>
      <c r="K20" s="36"/>
      <c r="L20" s="3"/>
      <c r="M20" s="3"/>
      <c r="N20" s="3"/>
      <c r="O20" s="3"/>
      <c r="P20" s="3"/>
      <c r="Q20" s="3"/>
      <c r="R20" s="3"/>
      <c r="S20" s="3"/>
      <c r="T20" s="3"/>
      <c r="U20" s="3"/>
    </row>
    <row r="21" spans="2:21" s="9" customFormat="1" ht="15" hidden="1" customHeight="1" outlineLevel="1" x14ac:dyDescent="0.3">
      <c r="B21" s="47" t="s">
        <v>17</v>
      </c>
      <c r="C21" s="7"/>
      <c r="D21" s="7"/>
      <c r="E21" s="3"/>
      <c r="F21" s="44"/>
      <c r="G21" s="3"/>
      <c r="H21" s="45">
        <v>1</v>
      </c>
      <c r="I21" s="3"/>
      <c r="J21" s="44" t="s">
        <v>391</v>
      </c>
      <c r="K21" s="36"/>
      <c r="L21" s="3"/>
      <c r="M21" s="3"/>
      <c r="N21" s="3"/>
      <c r="O21" s="3"/>
      <c r="P21" s="3"/>
      <c r="Q21" s="3"/>
      <c r="R21" s="3"/>
      <c r="S21" s="3"/>
      <c r="T21" s="3"/>
      <c r="U21" s="3"/>
    </row>
    <row r="22" spans="2:21" s="9" customFormat="1" ht="15" hidden="1" customHeight="1" outlineLevel="1" x14ac:dyDescent="0.3">
      <c r="B22" s="47" t="s">
        <v>82</v>
      </c>
      <c r="C22" s="7"/>
      <c r="D22" s="7"/>
      <c r="E22" s="3"/>
      <c r="F22" s="44"/>
      <c r="G22" s="3"/>
      <c r="H22" s="45">
        <v>1</v>
      </c>
      <c r="I22" s="3"/>
      <c r="J22" s="44" t="s">
        <v>391</v>
      </c>
      <c r="K22" s="36"/>
      <c r="L22" s="3"/>
      <c r="M22" s="3"/>
      <c r="N22" s="3"/>
      <c r="O22" s="3"/>
      <c r="P22" s="3"/>
      <c r="Q22" s="3"/>
      <c r="R22" s="3"/>
      <c r="S22" s="3"/>
      <c r="T22" s="3"/>
      <c r="U22" s="3"/>
    </row>
    <row r="23" spans="2:21" s="9" customFormat="1" ht="15" hidden="1" customHeight="1" outlineLevel="1" x14ac:dyDescent="0.3">
      <c r="B23" s="47" t="s">
        <v>18</v>
      </c>
      <c r="C23" s="7"/>
      <c r="D23" s="7"/>
      <c r="E23" s="3"/>
      <c r="F23" s="44"/>
      <c r="G23" s="3"/>
      <c r="H23" s="45">
        <v>1</v>
      </c>
      <c r="I23" s="3"/>
      <c r="J23" s="44" t="s">
        <v>391</v>
      </c>
      <c r="K23" s="36"/>
      <c r="L23" s="3"/>
      <c r="M23" s="3"/>
      <c r="N23" s="3"/>
      <c r="O23" s="3"/>
      <c r="P23" s="3"/>
      <c r="Q23" s="3"/>
      <c r="R23" s="3"/>
      <c r="S23" s="3"/>
      <c r="T23" s="3"/>
      <c r="U23" s="3"/>
    </row>
    <row r="24" spans="2:21" s="9" customFormat="1" ht="15" customHeight="1" collapsed="1" x14ac:dyDescent="0.25">
      <c r="B24" s="37" t="s">
        <v>19</v>
      </c>
      <c r="C24" s="38"/>
      <c r="D24" s="38"/>
      <c r="E24" s="39"/>
      <c r="F24" s="40">
        <f>SUM(F25:F33)</f>
        <v>3</v>
      </c>
      <c r="G24" s="39"/>
      <c r="H24" s="41">
        <f>SUM(H25:H33)</f>
        <v>6</v>
      </c>
      <c r="I24" s="39"/>
      <c r="J24" s="40">
        <f>SUM(J25:J33)</f>
        <v>0</v>
      </c>
      <c r="K24" s="42"/>
      <c r="L24" s="3"/>
      <c r="M24" s="3"/>
      <c r="N24" s="3"/>
      <c r="O24" s="3"/>
      <c r="P24" s="3"/>
      <c r="Q24" s="3"/>
      <c r="R24" s="3"/>
      <c r="S24" s="3"/>
      <c r="T24" s="3"/>
      <c r="U24" s="3"/>
    </row>
    <row r="25" spans="2:21" s="9" customFormat="1" ht="15" hidden="1" customHeight="1" outlineLevel="1" x14ac:dyDescent="0.3">
      <c r="B25" s="47" t="s">
        <v>20</v>
      </c>
      <c r="C25" s="7"/>
      <c r="D25" s="7"/>
      <c r="E25" s="3"/>
      <c r="F25" s="44"/>
      <c r="G25" s="3"/>
      <c r="H25" s="45">
        <v>1</v>
      </c>
      <c r="I25" s="3"/>
      <c r="J25" s="44" t="s">
        <v>391</v>
      </c>
      <c r="K25" s="36"/>
      <c r="L25" s="3"/>
      <c r="M25" s="3"/>
      <c r="N25" s="3"/>
      <c r="O25" s="3"/>
      <c r="P25" s="3"/>
      <c r="Q25" s="3"/>
      <c r="R25" s="3"/>
      <c r="S25" s="3"/>
      <c r="T25" s="3"/>
      <c r="U25" s="3"/>
    </row>
    <row r="26" spans="2:21" s="9" customFormat="1" ht="15" hidden="1" customHeight="1" outlineLevel="1" x14ac:dyDescent="0.3">
      <c r="B26" s="47" t="s">
        <v>21</v>
      </c>
      <c r="C26" s="7"/>
      <c r="D26" s="7"/>
      <c r="E26" s="3"/>
      <c r="F26" s="44"/>
      <c r="G26" s="3"/>
      <c r="H26" s="45">
        <v>1</v>
      </c>
      <c r="I26" s="3"/>
      <c r="J26" s="44" t="s">
        <v>391</v>
      </c>
      <c r="K26" s="36"/>
      <c r="L26" s="3"/>
      <c r="M26" s="3"/>
      <c r="N26" s="3"/>
      <c r="O26" s="3"/>
      <c r="P26" s="3"/>
      <c r="Q26" s="3"/>
      <c r="R26" s="3"/>
      <c r="S26" s="3"/>
      <c r="T26" s="3"/>
      <c r="U26" s="3"/>
    </row>
    <row r="27" spans="2:21" s="9" customFormat="1" ht="15" hidden="1" customHeight="1" outlineLevel="1" x14ac:dyDescent="0.3">
      <c r="B27" s="47" t="s">
        <v>83</v>
      </c>
      <c r="C27" s="7"/>
      <c r="D27" s="7"/>
      <c r="E27" s="3"/>
      <c r="F27" s="44"/>
      <c r="G27" s="3"/>
      <c r="H27" s="45">
        <v>1</v>
      </c>
      <c r="I27" s="3"/>
      <c r="J27" s="44" t="s">
        <v>391</v>
      </c>
      <c r="K27" s="36"/>
      <c r="L27" s="3"/>
      <c r="M27" s="3"/>
      <c r="N27" s="3"/>
      <c r="O27" s="3"/>
      <c r="P27" s="3"/>
      <c r="Q27" s="3"/>
      <c r="R27" s="3"/>
      <c r="S27" s="3"/>
      <c r="T27" s="3"/>
      <c r="U27" s="3"/>
    </row>
    <row r="28" spans="2:21" s="9" customFormat="1" ht="15" hidden="1" customHeight="1" outlineLevel="1" x14ac:dyDescent="0.3">
      <c r="B28" s="47" t="s">
        <v>22</v>
      </c>
      <c r="C28" s="7"/>
      <c r="D28" s="7"/>
      <c r="E28" s="3"/>
      <c r="F28" s="44">
        <v>1</v>
      </c>
      <c r="G28" s="3"/>
      <c r="H28" s="45"/>
      <c r="I28" s="3"/>
      <c r="J28" s="44" t="s">
        <v>391</v>
      </c>
      <c r="K28" s="36"/>
      <c r="L28" s="3"/>
      <c r="M28" s="3"/>
      <c r="N28" s="3"/>
      <c r="O28" s="3"/>
      <c r="P28" s="3"/>
      <c r="Q28" s="3"/>
      <c r="R28" s="3"/>
      <c r="S28" s="3"/>
      <c r="T28" s="3"/>
      <c r="U28" s="3"/>
    </row>
    <row r="29" spans="2:21" s="9" customFormat="1" ht="15" hidden="1" customHeight="1" outlineLevel="1" x14ac:dyDescent="0.3">
      <c r="B29" s="47" t="s">
        <v>23</v>
      </c>
      <c r="C29" s="7"/>
      <c r="D29" s="7"/>
      <c r="E29" s="3"/>
      <c r="F29" s="44"/>
      <c r="G29" s="3"/>
      <c r="H29" s="45">
        <v>1</v>
      </c>
      <c r="I29" s="3"/>
      <c r="J29" s="44" t="s">
        <v>391</v>
      </c>
      <c r="K29" s="36"/>
      <c r="L29" s="3"/>
      <c r="M29" s="3"/>
      <c r="N29" s="3"/>
      <c r="O29" s="3"/>
      <c r="P29" s="3"/>
      <c r="Q29" s="3"/>
      <c r="R29" s="3"/>
      <c r="S29" s="3"/>
      <c r="T29" s="3"/>
      <c r="U29" s="3"/>
    </row>
    <row r="30" spans="2:21" s="9" customFormat="1" ht="15" hidden="1" customHeight="1" outlineLevel="1" x14ac:dyDescent="0.3">
      <c r="B30" s="47" t="s">
        <v>24</v>
      </c>
      <c r="C30" s="7"/>
      <c r="D30" s="7"/>
      <c r="E30" s="3"/>
      <c r="F30" s="44">
        <v>1</v>
      </c>
      <c r="G30" s="3"/>
      <c r="H30" s="45"/>
      <c r="I30" s="3"/>
      <c r="J30" s="44" t="s">
        <v>391</v>
      </c>
      <c r="K30" s="36"/>
      <c r="L30" s="3"/>
      <c r="M30" s="3"/>
      <c r="N30" s="3"/>
      <c r="O30" s="3"/>
      <c r="P30" s="3"/>
      <c r="Q30" s="3"/>
      <c r="R30" s="3"/>
      <c r="S30" s="3"/>
      <c r="T30" s="3"/>
      <c r="U30" s="3"/>
    </row>
    <row r="31" spans="2:21" s="9" customFormat="1" ht="15" hidden="1" customHeight="1" outlineLevel="1" x14ac:dyDescent="0.3">
      <c r="B31" s="47" t="s">
        <v>25</v>
      </c>
      <c r="C31" s="7"/>
      <c r="D31" s="7"/>
      <c r="E31" s="3"/>
      <c r="F31" s="44"/>
      <c r="G31" s="3"/>
      <c r="H31" s="45">
        <v>1</v>
      </c>
      <c r="I31" s="3"/>
      <c r="J31" s="44" t="s">
        <v>391</v>
      </c>
      <c r="K31" s="36"/>
      <c r="L31" s="3"/>
      <c r="M31" s="3"/>
      <c r="N31" s="3"/>
      <c r="O31" s="3"/>
      <c r="P31" s="3"/>
      <c r="Q31" s="3"/>
      <c r="R31" s="3"/>
      <c r="S31" s="3"/>
      <c r="T31" s="3"/>
      <c r="U31" s="3"/>
    </row>
    <row r="32" spans="2:21" s="9" customFormat="1" ht="15" hidden="1" customHeight="1" outlineLevel="1" x14ac:dyDescent="0.3">
      <c r="B32" s="47" t="s">
        <v>26</v>
      </c>
      <c r="C32" s="7"/>
      <c r="D32" s="7"/>
      <c r="E32" s="3"/>
      <c r="F32" s="44"/>
      <c r="G32" s="3"/>
      <c r="H32" s="45">
        <v>1</v>
      </c>
      <c r="I32" s="3"/>
      <c r="J32" s="44" t="s">
        <v>391</v>
      </c>
      <c r="K32" s="36"/>
      <c r="L32" s="3"/>
      <c r="M32" s="3"/>
      <c r="N32" s="3"/>
      <c r="O32" s="3"/>
      <c r="P32" s="3"/>
      <c r="Q32" s="3"/>
      <c r="R32" s="3"/>
      <c r="S32" s="3"/>
      <c r="T32" s="3"/>
      <c r="U32" s="3"/>
    </row>
    <row r="33" spans="2:21" s="9" customFormat="1" ht="15" hidden="1" customHeight="1" outlineLevel="1" x14ac:dyDescent="0.3">
      <c r="B33" s="47" t="s">
        <v>27</v>
      </c>
      <c r="C33" s="7"/>
      <c r="D33" s="7"/>
      <c r="E33" s="3"/>
      <c r="F33" s="44">
        <v>1</v>
      </c>
      <c r="G33" s="3"/>
      <c r="H33" s="45"/>
      <c r="I33" s="3"/>
      <c r="J33" s="44" t="s">
        <v>391</v>
      </c>
      <c r="K33" s="36"/>
      <c r="L33" s="3"/>
      <c r="M33" s="3"/>
      <c r="N33" s="3"/>
      <c r="O33" s="3"/>
      <c r="P33" s="3"/>
      <c r="Q33" s="3"/>
      <c r="R33" s="3"/>
      <c r="S33" s="3"/>
      <c r="T33" s="3"/>
      <c r="U33" s="3"/>
    </row>
    <row r="34" spans="2:21" s="9" customFormat="1" ht="15" customHeight="1" collapsed="1" x14ac:dyDescent="0.25">
      <c r="B34" s="46" t="s">
        <v>28</v>
      </c>
      <c r="C34" s="7"/>
      <c r="D34" s="7"/>
      <c r="E34" s="3"/>
      <c r="F34" s="34">
        <f>SUM(F35:F43)</f>
        <v>1</v>
      </c>
      <c r="G34" s="3"/>
      <c r="H34" s="35">
        <f>SUM(H35:H43)</f>
        <v>8</v>
      </c>
      <c r="I34" s="3"/>
      <c r="J34" s="34">
        <f>SUM(J35:J43)</f>
        <v>0</v>
      </c>
      <c r="K34" s="36"/>
      <c r="L34" s="3"/>
      <c r="M34" s="3"/>
      <c r="N34" s="3"/>
      <c r="O34" s="3"/>
      <c r="P34" s="3"/>
      <c r="Q34" s="3"/>
      <c r="R34" s="3"/>
      <c r="S34" s="3"/>
      <c r="T34" s="3"/>
      <c r="U34" s="3"/>
    </row>
    <row r="35" spans="2:21" s="9" customFormat="1" ht="15" hidden="1" customHeight="1" outlineLevel="1" x14ac:dyDescent="0.3">
      <c r="B35" s="47" t="s">
        <v>29</v>
      </c>
      <c r="C35" s="7"/>
      <c r="D35" s="7"/>
      <c r="E35" s="3"/>
      <c r="F35" s="44"/>
      <c r="G35" s="3"/>
      <c r="H35" s="45">
        <v>1</v>
      </c>
      <c r="I35" s="3"/>
      <c r="J35" s="44" t="s">
        <v>391</v>
      </c>
      <c r="K35" s="36"/>
      <c r="L35" s="3"/>
      <c r="M35" s="3"/>
      <c r="N35" s="3"/>
      <c r="O35" s="3"/>
      <c r="P35" s="3"/>
      <c r="Q35" s="3"/>
      <c r="R35" s="3"/>
      <c r="S35" s="3"/>
      <c r="T35" s="3"/>
      <c r="U35" s="3"/>
    </row>
    <row r="36" spans="2:21" s="9" customFormat="1" ht="15" hidden="1" customHeight="1" outlineLevel="1" x14ac:dyDescent="0.3">
      <c r="B36" s="47" t="s">
        <v>30</v>
      </c>
      <c r="C36" s="7"/>
      <c r="D36" s="7"/>
      <c r="E36" s="3"/>
      <c r="F36" s="44"/>
      <c r="G36" s="3"/>
      <c r="H36" s="45">
        <v>1</v>
      </c>
      <c r="I36" s="3"/>
      <c r="J36" s="44" t="s">
        <v>391</v>
      </c>
      <c r="K36" s="36"/>
      <c r="L36" s="3"/>
      <c r="M36" s="48"/>
      <c r="N36" s="3"/>
      <c r="O36" s="3"/>
      <c r="P36" s="3"/>
      <c r="Q36" s="3"/>
      <c r="R36" s="3"/>
      <c r="S36" s="3"/>
      <c r="T36" s="3"/>
      <c r="U36" s="3"/>
    </row>
    <row r="37" spans="2:21" s="9" customFormat="1" ht="15" hidden="1" customHeight="1" outlineLevel="1" x14ac:dyDescent="0.3">
      <c r="B37" s="47" t="s">
        <v>31</v>
      </c>
      <c r="C37" s="7"/>
      <c r="D37" s="7"/>
      <c r="E37" s="3"/>
      <c r="F37" s="44"/>
      <c r="G37" s="3"/>
      <c r="H37" s="45">
        <v>1</v>
      </c>
      <c r="I37" s="3"/>
      <c r="J37" s="44" t="s">
        <v>391</v>
      </c>
      <c r="K37" s="36"/>
      <c r="L37" s="3"/>
      <c r="M37" s="3"/>
      <c r="N37" s="3"/>
      <c r="O37" s="3"/>
      <c r="P37" s="3"/>
      <c r="Q37" s="3"/>
      <c r="R37" s="3"/>
      <c r="S37" s="3"/>
      <c r="T37" s="3"/>
      <c r="U37" s="3"/>
    </row>
    <row r="38" spans="2:21" s="9" customFormat="1" ht="15" hidden="1" customHeight="1" outlineLevel="1" x14ac:dyDescent="0.3">
      <c r="B38" s="47" t="s">
        <v>32</v>
      </c>
      <c r="C38" s="7"/>
      <c r="D38" s="7"/>
      <c r="E38" s="3"/>
      <c r="F38" s="44"/>
      <c r="G38" s="3"/>
      <c r="H38" s="45">
        <v>1</v>
      </c>
      <c r="I38" s="3"/>
      <c r="J38" s="44" t="s">
        <v>391</v>
      </c>
      <c r="K38" s="36"/>
      <c r="L38" s="3"/>
      <c r="M38" s="3"/>
      <c r="N38" s="3"/>
      <c r="O38" s="3"/>
      <c r="P38" s="3"/>
      <c r="Q38" s="3"/>
      <c r="R38" s="3"/>
      <c r="S38" s="3"/>
      <c r="T38" s="3"/>
      <c r="U38" s="3"/>
    </row>
    <row r="39" spans="2:21" s="9" customFormat="1" ht="15" hidden="1" customHeight="1" outlineLevel="1" x14ac:dyDescent="0.3">
      <c r="B39" s="47" t="s">
        <v>33</v>
      </c>
      <c r="C39" s="7"/>
      <c r="D39" s="7"/>
      <c r="E39" s="3"/>
      <c r="F39" s="44"/>
      <c r="G39" s="3"/>
      <c r="H39" s="45">
        <v>1</v>
      </c>
      <c r="I39" s="3"/>
      <c r="J39" s="44" t="s">
        <v>391</v>
      </c>
      <c r="K39" s="36"/>
      <c r="L39" s="3"/>
      <c r="M39" s="3"/>
      <c r="N39" s="3"/>
      <c r="O39" s="3"/>
      <c r="P39" s="3"/>
      <c r="Q39" s="3"/>
      <c r="R39" s="3"/>
      <c r="S39" s="3"/>
      <c r="T39" s="3"/>
      <c r="U39" s="3"/>
    </row>
    <row r="40" spans="2:21" s="9" customFormat="1" ht="15" hidden="1" customHeight="1" outlineLevel="1" x14ac:dyDescent="0.3">
      <c r="B40" s="47" t="s">
        <v>34</v>
      </c>
      <c r="C40" s="7"/>
      <c r="D40" s="7"/>
      <c r="E40" s="3"/>
      <c r="F40" s="44"/>
      <c r="G40" s="3"/>
      <c r="H40" s="45">
        <v>1</v>
      </c>
      <c r="I40" s="3"/>
      <c r="J40" s="44" t="s">
        <v>391</v>
      </c>
      <c r="K40" s="36"/>
      <c r="L40" s="3"/>
      <c r="M40" s="3"/>
      <c r="N40" s="3"/>
      <c r="O40" s="3"/>
      <c r="P40" s="3"/>
      <c r="Q40" s="3"/>
      <c r="R40" s="3"/>
      <c r="S40" s="3"/>
      <c r="T40" s="3"/>
      <c r="U40" s="3"/>
    </row>
    <row r="41" spans="2:21" s="9" customFormat="1" ht="15" hidden="1" customHeight="1" outlineLevel="1" x14ac:dyDescent="0.3">
      <c r="B41" s="47" t="s">
        <v>35</v>
      </c>
      <c r="C41" s="7"/>
      <c r="D41" s="7"/>
      <c r="E41" s="3"/>
      <c r="F41" s="44">
        <v>1</v>
      </c>
      <c r="G41" s="3"/>
      <c r="H41" s="45"/>
      <c r="I41" s="3"/>
      <c r="J41" s="44" t="s">
        <v>391</v>
      </c>
      <c r="K41" s="36"/>
      <c r="L41" s="3"/>
      <c r="M41" s="3"/>
      <c r="N41" s="3"/>
      <c r="O41" s="3"/>
      <c r="P41" s="3"/>
      <c r="Q41" s="3"/>
      <c r="R41" s="3"/>
      <c r="S41" s="3"/>
      <c r="T41" s="3"/>
      <c r="U41" s="3"/>
    </row>
    <row r="42" spans="2:21" s="9" customFormat="1" ht="15" hidden="1" customHeight="1" outlineLevel="1" x14ac:dyDescent="0.3">
      <c r="B42" s="47" t="s">
        <v>36</v>
      </c>
      <c r="C42" s="7"/>
      <c r="D42" s="7"/>
      <c r="E42" s="3"/>
      <c r="F42" s="44"/>
      <c r="G42" s="3"/>
      <c r="H42" s="45">
        <v>1</v>
      </c>
      <c r="I42" s="3"/>
      <c r="J42" s="44" t="s">
        <v>391</v>
      </c>
      <c r="K42" s="36"/>
      <c r="L42" s="3"/>
      <c r="M42" s="3"/>
      <c r="N42" s="3"/>
      <c r="O42" s="3"/>
      <c r="P42" s="3"/>
      <c r="Q42" s="3"/>
      <c r="R42" s="3"/>
      <c r="S42" s="3"/>
      <c r="T42" s="3"/>
      <c r="U42" s="3"/>
    </row>
    <row r="43" spans="2:21" s="9" customFormat="1" ht="15" hidden="1" customHeight="1" outlineLevel="1" x14ac:dyDescent="0.3">
      <c r="B43" s="47" t="s">
        <v>37</v>
      </c>
      <c r="C43" s="7"/>
      <c r="D43" s="7"/>
      <c r="E43" s="3"/>
      <c r="F43" s="44"/>
      <c r="G43" s="3"/>
      <c r="H43" s="45">
        <v>1</v>
      </c>
      <c r="I43" s="3"/>
      <c r="J43" s="44" t="s">
        <v>391</v>
      </c>
      <c r="K43" s="36"/>
      <c r="L43" s="3"/>
      <c r="M43" s="3"/>
      <c r="N43" s="3"/>
      <c r="O43" s="3"/>
      <c r="P43" s="3"/>
      <c r="Q43" s="3"/>
      <c r="R43" s="3"/>
      <c r="S43" s="3"/>
      <c r="T43" s="3"/>
      <c r="U43" s="3"/>
    </row>
    <row r="44" spans="2:21" s="9" customFormat="1" ht="15" customHeight="1" collapsed="1" x14ac:dyDescent="0.25">
      <c r="B44" s="37" t="s">
        <v>38</v>
      </c>
      <c r="C44" s="38"/>
      <c r="D44" s="38"/>
      <c r="E44" s="39"/>
      <c r="F44" s="40">
        <f>SUM(F45:F59)</f>
        <v>2</v>
      </c>
      <c r="G44" s="39"/>
      <c r="H44" s="41">
        <f>SUM(H45:H59)</f>
        <v>12</v>
      </c>
      <c r="I44" s="39"/>
      <c r="J44" s="40">
        <f>SUM(J45:J59)</f>
        <v>1</v>
      </c>
      <c r="K44" s="42"/>
      <c r="L44" s="3"/>
      <c r="M44" s="3"/>
      <c r="N44" s="3"/>
      <c r="O44" s="3"/>
      <c r="P44" s="3"/>
      <c r="Q44" s="3"/>
      <c r="R44" s="3"/>
      <c r="S44" s="3"/>
      <c r="T44" s="3"/>
      <c r="U44" s="3"/>
    </row>
    <row r="45" spans="2:21" s="9" customFormat="1" ht="15" hidden="1" customHeight="1" outlineLevel="1" x14ac:dyDescent="0.3">
      <c r="B45" s="47" t="s">
        <v>39</v>
      </c>
      <c r="C45" s="7"/>
      <c r="D45" s="7"/>
      <c r="E45" s="3"/>
      <c r="F45" s="44"/>
      <c r="G45" s="3"/>
      <c r="H45" s="45">
        <v>1</v>
      </c>
      <c r="I45" s="3"/>
      <c r="J45" s="44" t="s">
        <v>391</v>
      </c>
      <c r="K45" s="36"/>
      <c r="L45" s="3"/>
      <c r="M45" s="3"/>
      <c r="N45" s="3"/>
      <c r="O45" s="3"/>
      <c r="P45" s="3"/>
      <c r="Q45" s="3"/>
      <c r="R45" s="3"/>
      <c r="S45" s="3"/>
      <c r="T45" s="3"/>
      <c r="U45" s="3"/>
    </row>
    <row r="46" spans="2:21" s="9" customFormat="1" ht="15" hidden="1" customHeight="1" outlineLevel="1" x14ac:dyDescent="0.3">
      <c r="B46" s="47" t="s">
        <v>40</v>
      </c>
      <c r="C46" s="7"/>
      <c r="D46" s="7"/>
      <c r="E46" s="3"/>
      <c r="F46" s="44"/>
      <c r="G46" s="3"/>
      <c r="H46" s="45">
        <v>1</v>
      </c>
      <c r="I46" s="3"/>
      <c r="J46" s="44" t="s">
        <v>391</v>
      </c>
      <c r="K46" s="36"/>
      <c r="L46" s="3"/>
      <c r="M46" s="3"/>
      <c r="N46" s="3"/>
      <c r="O46" s="3"/>
      <c r="P46" s="3"/>
      <c r="Q46" s="3"/>
      <c r="R46" s="3"/>
      <c r="S46" s="3"/>
      <c r="T46" s="3"/>
      <c r="U46" s="3"/>
    </row>
    <row r="47" spans="2:21" s="9" customFormat="1" ht="15" hidden="1" customHeight="1" outlineLevel="1" x14ac:dyDescent="0.3">
      <c r="B47" s="47" t="s">
        <v>41</v>
      </c>
      <c r="C47" s="7"/>
      <c r="D47" s="7"/>
      <c r="E47" s="3"/>
      <c r="F47" s="44">
        <v>1</v>
      </c>
      <c r="G47" s="3"/>
      <c r="H47" s="45"/>
      <c r="I47" s="3"/>
      <c r="J47" s="44" t="s">
        <v>391</v>
      </c>
      <c r="K47" s="36"/>
      <c r="L47" s="3"/>
      <c r="M47" s="48"/>
      <c r="N47" s="3"/>
      <c r="O47" s="3"/>
      <c r="P47" s="3"/>
      <c r="Q47" s="3"/>
      <c r="R47" s="3"/>
      <c r="S47" s="3"/>
      <c r="T47" s="3"/>
      <c r="U47" s="3"/>
    </row>
    <row r="48" spans="2:21" s="9" customFormat="1" ht="15" hidden="1" customHeight="1" outlineLevel="1" x14ac:dyDescent="0.3">
      <c r="B48" s="47" t="s">
        <v>42</v>
      </c>
      <c r="C48" s="7"/>
      <c r="D48" s="7"/>
      <c r="E48" s="3"/>
      <c r="F48" s="44"/>
      <c r="G48" s="3"/>
      <c r="H48" s="45">
        <v>1</v>
      </c>
      <c r="I48" s="3"/>
      <c r="J48" s="44" t="s">
        <v>391</v>
      </c>
      <c r="K48" s="36"/>
      <c r="L48" s="3"/>
      <c r="M48" s="3"/>
      <c r="N48" s="3"/>
      <c r="O48" s="3"/>
      <c r="P48" s="3"/>
      <c r="Q48" s="3"/>
      <c r="R48" s="3"/>
      <c r="S48" s="3"/>
      <c r="T48" s="3"/>
      <c r="U48" s="3"/>
    </row>
    <row r="49" spans="2:23" s="9" customFormat="1" ht="15" hidden="1" customHeight="1" outlineLevel="1" x14ac:dyDescent="0.3">
      <c r="B49" s="47" t="s">
        <v>43</v>
      </c>
      <c r="C49" s="7"/>
      <c r="D49" s="7"/>
      <c r="E49" s="3"/>
      <c r="F49" s="44">
        <v>1</v>
      </c>
      <c r="G49" s="3"/>
      <c r="H49" s="45"/>
      <c r="I49" s="3"/>
      <c r="J49" s="44" t="s">
        <v>391</v>
      </c>
      <c r="K49" s="36"/>
      <c r="L49" s="3"/>
      <c r="M49" s="3"/>
      <c r="N49" s="3"/>
      <c r="O49" s="3"/>
      <c r="P49" s="3"/>
      <c r="Q49" s="3"/>
      <c r="R49" s="3"/>
      <c r="S49" s="3"/>
      <c r="T49" s="3"/>
      <c r="U49" s="3"/>
    </row>
    <row r="50" spans="2:23" s="9" customFormat="1" ht="15" hidden="1" customHeight="1" outlineLevel="1" x14ac:dyDescent="0.3">
      <c r="B50" s="47" t="s">
        <v>44</v>
      </c>
      <c r="C50" s="7"/>
      <c r="D50" s="7"/>
      <c r="E50" s="3"/>
      <c r="F50" s="44"/>
      <c r="G50" s="3"/>
      <c r="H50" s="45">
        <v>1</v>
      </c>
      <c r="I50" s="3"/>
      <c r="J50" s="44" t="s">
        <v>391</v>
      </c>
      <c r="K50" s="36"/>
      <c r="L50" s="3"/>
      <c r="M50" s="3"/>
      <c r="N50" s="3"/>
      <c r="O50" s="3"/>
      <c r="P50" s="3"/>
      <c r="Q50" s="3"/>
      <c r="R50" s="3"/>
      <c r="S50" s="3"/>
      <c r="T50" s="3"/>
      <c r="U50" s="3"/>
    </row>
    <row r="51" spans="2:23" s="9" customFormat="1" ht="15" hidden="1" customHeight="1" outlineLevel="1" x14ac:dyDescent="0.3">
      <c r="B51" s="47" t="s">
        <v>45</v>
      </c>
      <c r="C51" s="7"/>
      <c r="D51" s="7"/>
      <c r="E51" s="3"/>
      <c r="F51" s="44"/>
      <c r="G51" s="3"/>
      <c r="H51" s="45">
        <v>1</v>
      </c>
      <c r="I51" s="3"/>
      <c r="J51" s="44" t="s">
        <v>391</v>
      </c>
      <c r="K51" s="36"/>
      <c r="L51" s="3"/>
      <c r="M51" s="3"/>
      <c r="N51" s="3"/>
      <c r="O51" s="3"/>
      <c r="P51" s="3"/>
      <c r="Q51" s="3"/>
      <c r="R51" s="3"/>
      <c r="S51" s="3"/>
      <c r="T51" s="3"/>
      <c r="U51" s="3"/>
    </row>
    <row r="52" spans="2:23" s="9" customFormat="1" ht="15" hidden="1" customHeight="1" outlineLevel="1" x14ac:dyDescent="0.3">
      <c r="B52" s="47" t="s">
        <v>46</v>
      </c>
      <c r="C52" s="7"/>
      <c r="D52" s="7"/>
      <c r="E52" s="3"/>
      <c r="F52" s="44"/>
      <c r="G52" s="3"/>
      <c r="H52" s="45">
        <v>1</v>
      </c>
      <c r="I52" s="3"/>
      <c r="J52" s="44" t="s">
        <v>391</v>
      </c>
      <c r="K52" s="36"/>
      <c r="L52" s="3"/>
      <c r="M52" s="3"/>
      <c r="N52" s="3"/>
      <c r="O52" s="3"/>
      <c r="P52" s="3"/>
      <c r="Q52" s="3"/>
      <c r="R52" s="3"/>
      <c r="S52" s="3"/>
      <c r="T52" s="3"/>
      <c r="U52" s="3"/>
    </row>
    <row r="53" spans="2:23" s="9" customFormat="1" ht="15" hidden="1" customHeight="1" outlineLevel="1" x14ac:dyDescent="0.3">
      <c r="B53" s="47" t="s">
        <v>47</v>
      </c>
      <c r="C53" s="7"/>
      <c r="D53" s="7"/>
      <c r="E53" s="3"/>
      <c r="F53" s="44"/>
      <c r="G53" s="3"/>
      <c r="H53" s="45"/>
      <c r="I53" s="3"/>
      <c r="J53" s="44">
        <v>1</v>
      </c>
      <c r="K53" s="36"/>
      <c r="L53" s="3"/>
      <c r="M53" s="3"/>
      <c r="N53" s="3"/>
      <c r="O53" s="3"/>
      <c r="P53" s="3"/>
      <c r="Q53" s="3"/>
      <c r="R53" s="3"/>
      <c r="S53" s="3"/>
      <c r="T53" s="3"/>
      <c r="U53" s="3"/>
    </row>
    <row r="54" spans="2:23" s="9" customFormat="1" ht="15" hidden="1" customHeight="1" outlineLevel="1" x14ac:dyDescent="0.3">
      <c r="B54" s="47" t="s">
        <v>48</v>
      </c>
      <c r="C54" s="7"/>
      <c r="D54" s="7"/>
      <c r="E54" s="3"/>
      <c r="F54" s="44"/>
      <c r="G54" s="3"/>
      <c r="H54" s="45">
        <v>1</v>
      </c>
      <c r="I54" s="3"/>
      <c r="J54" s="44" t="s">
        <v>391</v>
      </c>
      <c r="K54" s="36"/>
      <c r="L54" s="3"/>
      <c r="M54" s="3"/>
      <c r="N54" s="3"/>
      <c r="O54" s="3"/>
      <c r="P54" s="3"/>
      <c r="Q54" s="3"/>
      <c r="R54" s="3"/>
      <c r="S54" s="3"/>
      <c r="T54" s="3"/>
      <c r="U54" s="3"/>
    </row>
    <row r="55" spans="2:23" s="9" customFormat="1" ht="15" hidden="1" customHeight="1" outlineLevel="1" x14ac:dyDescent="0.3">
      <c r="B55" s="47" t="s">
        <v>49</v>
      </c>
      <c r="C55" s="7"/>
      <c r="D55" s="7"/>
      <c r="E55" s="3"/>
      <c r="F55" s="44"/>
      <c r="G55" s="3"/>
      <c r="H55" s="45">
        <v>1</v>
      </c>
      <c r="I55" s="3"/>
      <c r="J55" s="44" t="s">
        <v>391</v>
      </c>
      <c r="K55" s="36"/>
      <c r="L55" s="3"/>
      <c r="M55" s="3"/>
      <c r="N55" s="3"/>
      <c r="O55" s="3"/>
      <c r="P55" s="3"/>
      <c r="Q55" s="3"/>
      <c r="R55" s="3"/>
      <c r="S55" s="3"/>
      <c r="T55" s="3"/>
      <c r="U55" s="3"/>
    </row>
    <row r="56" spans="2:23" s="9" customFormat="1" ht="15" hidden="1" customHeight="1" outlineLevel="1" x14ac:dyDescent="0.3">
      <c r="B56" s="47" t="s">
        <v>50</v>
      </c>
      <c r="C56" s="7"/>
      <c r="D56" s="7"/>
      <c r="E56" s="3"/>
      <c r="F56" s="44"/>
      <c r="G56" s="3"/>
      <c r="H56" s="45">
        <v>1</v>
      </c>
      <c r="I56" s="3"/>
      <c r="J56" s="44" t="s">
        <v>391</v>
      </c>
      <c r="K56" s="36"/>
      <c r="L56" s="3"/>
      <c r="M56" s="3"/>
      <c r="N56" s="3"/>
      <c r="O56" s="3"/>
      <c r="P56" s="3"/>
      <c r="Q56" s="3"/>
      <c r="R56" s="3"/>
      <c r="S56" s="3"/>
      <c r="T56" s="3"/>
      <c r="U56" s="3"/>
    </row>
    <row r="57" spans="2:23" s="9" customFormat="1" ht="15" hidden="1" customHeight="1" outlineLevel="1" x14ac:dyDescent="0.3">
      <c r="B57" s="47" t="s">
        <v>51</v>
      </c>
      <c r="C57" s="7"/>
      <c r="D57" s="7"/>
      <c r="E57" s="3"/>
      <c r="F57" s="44"/>
      <c r="G57" s="3"/>
      <c r="H57" s="45">
        <v>1</v>
      </c>
      <c r="I57" s="3"/>
      <c r="J57" s="44" t="s">
        <v>391</v>
      </c>
      <c r="K57" s="36"/>
      <c r="L57" s="3"/>
      <c r="M57" s="3"/>
      <c r="N57" s="3"/>
      <c r="O57" s="3"/>
      <c r="P57" s="3"/>
      <c r="Q57" s="3"/>
      <c r="R57" s="3"/>
      <c r="S57" s="3"/>
      <c r="T57" s="3"/>
      <c r="U57" s="3"/>
    </row>
    <row r="58" spans="2:23" s="9" customFormat="1" ht="15" hidden="1" customHeight="1" outlineLevel="1" x14ac:dyDescent="0.3">
      <c r="B58" s="47" t="s">
        <v>52</v>
      </c>
      <c r="C58" s="7"/>
      <c r="D58" s="7"/>
      <c r="E58" s="3"/>
      <c r="F58" s="44"/>
      <c r="G58" s="3"/>
      <c r="H58" s="45">
        <v>1</v>
      </c>
      <c r="I58" s="3"/>
      <c r="J58" s="44" t="s">
        <v>391</v>
      </c>
      <c r="K58" s="36"/>
      <c r="L58" s="3"/>
      <c r="M58" s="3"/>
      <c r="N58" s="3"/>
      <c r="O58" s="3"/>
      <c r="P58" s="3"/>
      <c r="Q58" s="3"/>
      <c r="R58" s="3"/>
      <c r="S58" s="3"/>
      <c r="T58" s="3"/>
      <c r="U58" s="3"/>
    </row>
    <row r="59" spans="2:23" s="9" customFormat="1" ht="15" hidden="1" customHeight="1" outlineLevel="1" x14ac:dyDescent="0.3">
      <c r="B59" s="47" t="s">
        <v>53</v>
      </c>
      <c r="C59" s="7"/>
      <c r="D59" s="7"/>
      <c r="E59" s="3"/>
      <c r="F59" s="44"/>
      <c r="G59" s="3"/>
      <c r="H59" s="45">
        <v>1</v>
      </c>
      <c r="I59" s="3"/>
      <c r="J59" s="44" t="s">
        <v>391</v>
      </c>
      <c r="K59" s="36"/>
      <c r="L59" s="3"/>
      <c r="M59" s="3"/>
      <c r="N59" s="3"/>
      <c r="O59" s="3"/>
      <c r="P59" s="3"/>
      <c r="Q59" s="3"/>
      <c r="R59" s="3"/>
      <c r="S59" s="3"/>
      <c r="T59" s="3"/>
      <c r="U59" s="3"/>
    </row>
    <row r="60" spans="2:23" s="9" customFormat="1" ht="15" customHeight="1" collapsed="1" x14ac:dyDescent="0.25">
      <c r="B60" s="46" t="s">
        <v>54</v>
      </c>
      <c r="C60" s="7"/>
      <c r="D60" s="7"/>
      <c r="E60" s="3"/>
      <c r="F60" s="34">
        <f>F61</f>
        <v>0</v>
      </c>
      <c r="G60" s="3"/>
      <c r="H60" s="35">
        <f>H61</f>
        <v>0</v>
      </c>
      <c r="I60" s="3"/>
      <c r="J60" s="34">
        <f>J61</f>
        <v>1</v>
      </c>
      <c r="K60" s="36"/>
      <c r="L60" s="3"/>
      <c r="M60" s="3"/>
      <c r="N60" s="3"/>
      <c r="O60" s="3"/>
      <c r="P60" s="3"/>
      <c r="Q60" s="3"/>
      <c r="R60" s="3"/>
      <c r="S60" s="3"/>
      <c r="T60" s="3"/>
      <c r="U60" s="3"/>
    </row>
    <row r="61" spans="2:23" s="9" customFormat="1" ht="15" hidden="1" customHeight="1" outlineLevel="1" x14ac:dyDescent="0.3">
      <c r="B61" s="47" t="s">
        <v>55</v>
      </c>
      <c r="C61" s="7"/>
      <c r="D61" s="7"/>
      <c r="E61" s="3"/>
      <c r="F61" s="44"/>
      <c r="G61" s="3"/>
      <c r="H61" s="45"/>
      <c r="I61" s="3"/>
      <c r="J61" s="44">
        <v>1</v>
      </c>
      <c r="K61" s="36"/>
      <c r="L61" s="3"/>
      <c r="M61" s="3"/>
      <c r="N61" s="3"/>
      <c r="O61" s="3"/>
      <c r="P61" s="3"/>
      <c r="Q61" s="3"/>
      <c r="R61" s="3"/>
      <c r="S61" s="3"/>
      <c r="T61" s="3"/>
      <c r="U61" s="3"/>
    </row>
    <row r="62" spans="2:23" s="9" customFormat="1" ht="15" customHeight="1" collapsed="1" x14ac:dyDescent="0.25">
      <c r="B62" s="49"/>
      <c r="C62" s="50"/>
      <c r="D62" s="50"/>
      <c r="E62" s="8"/>
      <c r="F62" s="51"/>
      <c r="G62" s="8"/>
      <c r="H62" s="52"/>
      <c r="I62" s="8"/>
      <c r="J62" s="51"/>
      <c r="K62" s="53"/>
      <c r="L62" s="3"/>
      <c r="M62" s="3"/>
      <c r="N62" s="3"/>
      <c r="O62" s="3"/>
      <c r="P62" s="3"/>
      <c r="Q62" s="3"/>
      <c r="R62" s="3"/>
      <c r="S62" s="3"/>
      <c r="T62" s="3"/>
      <c r="U62" s="3"/>
    </row>
    <row r="63" spans="2:23" s="9" customFormat="1" ht="13.2" customHeight="1" x14ac:dyDescent="0.25">
      <c r="B63" s="54"/>
      <c r="C63" s="7"/>
      <c r="D63" s="7"/>
      <c r="E63" s="3"/>
      <c r="F63" s="55"/>
      <c r="G63" s="3"/>
      <c r="H63" s="3"/>
      <c r="I63" s="3"/>
      <c r="J63" s="3"/>
      <c r="K63" s="3"/>
      <c r="L63" s="55"/>
      <c r="M63" s="3"/>
      <c r="N63" s="3"/>
      <c r="O63" s="3"/>
      <c r="P63" s="3"/>
      <c r="Q63" s="3"/>
      <c r="R63" s="3"/>
      <c r="S63" s="3"/>
      <c r="T63" s="3"/>
      <c r="U63" s="3"/>
      <c r="V63" s="3"/>
      <c r="W63" s="3"/>
    </row>
    <row r="64" spans="2:23" s="9" customFormat="1" ht="13.2" customHeight="1" x14ac:dyDescent="0.25">
      <c r="B64" s="125"/>
      <c r="C64" s="7" t="s">
        <v>392</v>
      </c>
      <c r="D64" s="7"/>
      <c r="E64" s="3"/>
      <c r="F64" s="55"/>
      <c r="G64" s="3"/>
      <c r="H64" s="3"/>
      <c r="I64" s="3"/>
      <c r="J64" s="3"/>
      <c r="K64" s="3"/>
      <c r="L64" s="55"/>
      <c r="M64" s="3"/>
      <c r="N64" s="3"/>
      <c r="O64" s="3"/>
      <c r="P64" s="3"/>
      <c r="Q64" s="3"/>
      <c r="R64" s="3"/>
      <c r="S64" s="3"/>
      <c r="T64" s="3"/>
      <c r="U64" s="3"/>
      <c r="V64" s="3"/>
      <c r="W64" s="3"/>
    </row>
    <row r="65" spans="2:57" s="9" customFormat="1" ht="13.2" customHeight="1" x14ac:dyDescent="0.25">
      <c r="B65" s="56" t="s">
        <v>56</v>
      </c>
      <c r="C65" s="7"/>
      <c r="D65" s="7"/>
      <c r="E65" s="3"/>
      <c r="F65" s="55"/>
      <c r="G65" s="3"/>
      <c r="H65" s="126" t="s">
        <v>160</v>
      </c>
      <c r="I65" s="126" t="s">
        <v>191</v>
      </c>
      <c r="J65" s="126" t="s">
        <v>160</v>
      </c>
      <c r="K65" s="3"/>
      <c r="L65" s="126" t="s">
        <v>160</v>
      </c>
      <c r="M65" s="126"/>
      <c r="N65" s="126" t="s">
        <v>435</v>
      </c>
      <c r="O65" s="3"/>
      <c r="P65" s="3"/>
      <c r="Q65" s="3"/>
      <c r="R65" s="3"/>
      <c r="S65" s="126" t="s">
        <v>160</v>
      </c>
      <c r="T65" s="3"/>
      <c r="U65" s="3"/>
      <c r="V65" s="3"/>
      <c r="W65" s="3"/>
      <c r="X65" s="126" t="s">
        <v>160</v>
      </c>
      <c r="Z65" s="126" t="s">
        <v>436</v>
      </c>
      <c r="AA65" s="126" t="s">
        <v>437</v>
      </c>
      <c r="AB65" s="126" t="s">
        <v>160</v>
      </c>
      <c r="AC65" s="126" t="s">
        <v>160</v>
      </c>
      <c r="AF65" s="126" t="s">
        <v>191</v>
      </c>
      <c r="AG65" s="126" t="s">
        <v>160</v>
      </c>
      <c r="AJ65" s="126" t="s">
        <v>438</v>
      </c>
      <c r="AK65" s="126" t="s">
        <v>160</v>
      </c>
    </row>
    <row r="66" spans="2:57" s="9" customFormat="1" ht="39" customHeight="1" x14ac:dyDescent="0.3">
      <c r="B66" s="54"/>
      <c r="C66" s="7"/>
      <c r="D66" s="7"/>
      <c r="E66" s="7"/>
      <c r="F66" s="3"/>
      <c r="G66" s="55"/>
      <c r="H66" s="141" t="s">
        <v>379</v>
      </c>
      <c r="I66" s="141" t="s">
        <v>183</v>
      </c>
      <c r="J66" s="139" t="s">
        <v>398</v>
      </c>
      <c r="K66" s="3"/>
      <c r="L66" s="139" t="s">
        <v>184</v>
      </c>
      <c r="M66" s="140" t="s">
        <v>408</v>
      </c>
      <c r="N66" s="140" t="s">
        <v>409</v>
      </c>
      <c r="O66" s="3"/>
      <c r="P66" s="3"/>
      <c r="Q66" s="3"/>
      <c r="R66" s="3"/>
      <c r="S66" s="141" t="s">
        <v>393</v>
      </c>
      <c r="T66" s="55"/>
      <c r="U66" s="3" t="s">
        <v>253</v>
      </c>
      <c r="V66" s="55"/>
      <c r="W66" s="55"/>
      <c r="X66" s="139" t="s">
        <v>386</v>
      </c>
      <c r="Y66" s="3"/>
      <c r="Z66" s="140" t="s">
        <v>143</v>
      </c>
      <c r="AA66" s="140" t="s">
        <v>410</v>
      </c>
      <c r="AB66" s="141" t="s">
        <v>363</v>
      </c>
      <c r="AC66" s="141" t="s">
        <v>185</v>
      </c>
      <c r="AD66" s="55"/>
      <c r="AE66" s="55"/>
      <c r="AF66" s="137" t="s">
        <v>404</v>
      </c>
      <c r="AG66" s="137" t="s">
        <v>411</v>
      </c>
      <c r="AH66" s="3" t="s">
        <v>231</v>
      </c>
      <c r="AI66" s="3"/>
      <c r="AJ66" s="136" t="s">
        <v>395</v>
      </c>
      <c r="AK66" s="137" t="s">
        <v>395</v>
      </c>
      <c r="AL66" s="3" t="s">
        <v>186</v>
      </c>
      <c r="AM66" s="3" t="s">
        <v>186</v>
      </c>
      <c r="AN66" s="3"/>
      <c r="AO66" s="3"/>
      <c r="AP66" s="3"/>
    </row>
    <row r="67" spans="2:57" s="9" customFormat="1" ht="37.5" customHeight="1" x14ac:dyDescent="0.25">
      <c r="B67" s="166" t="s">
        <v>57</v>
      </c>
      <c r="C67" s="167"/>
      <c r="D67" s="167"/>
      <c r="E67" s="168"/>
      <c r="F67" s="173" t="s">
        <v>58</v>
      </c>
      <c r="G67" s="174"/>
      <c r="H67" s="102" t="s">
        <v>59</v>
      </c>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108"/>
    </row>
    <row r="68" spans="2:57" s="9" customFormat="1" ht="35.25" customHeight="1" x14ac:dyDescent="0.25">
      <c r="B68" s="169"/>
      <c r="C68" s="170"/>
      <c r="D68" s="170"/>
      <c r="E68" s="170"/>
      <c r="F68" s="175"/>
      <c r="G68" s="176"/>
      <c r="H68" s="57"/>
      <c r="I68" s="57"/>
      <c r="J68" s="57"/>
      <c r="K68" s="57"/>
      <c r="L68" s="57"/>
      <c r="M68" s="158" t="s">
        <v>67</v>
      </c>
      <c r="N68" s="159"/>
      <c r="O68" s="159"/>
      <c r="P68" s="159"/>
      <c r="Q68" s="159"/>
      <c r="R68" s="159"/>
      <c r="S68" s="159"/>
      <c r="T68" s="159"/>
      <c r="U68" s="159"/>
      <c r="V68" s="159"/>
      <c r="W68" s="159"/>
      <c r="X68" s="159"/>
      <c r="Y68" s="160"/>
      <c r="Z68" s="102" t="s">
        <v>68</v>
      </c>
      <c r="AA68" s="99"/>
      <c r="AB68" s="99"/>
      <c r="AC68" s="99"/>
      <c r="AD68" s="99"/>
      <c r="AE68" s="99"/>
      <c r="AF68" s="99"/>
      <c r="AG68" s="99" t="s">
        <v>464</v>
      </c>
      <c r="AH68" s="99" t="s">
        <v>465</v>
      </c>
      <c r="AI68" s="99"/>
      <c r="AJ68" s="99"/>
      <c r="AK68" s="99"/>
      <c r="AL68" s="99"/>
      <c r="AM68" s="99"/>
      <c r="AN68" s="99" t="s">
        <v>464</v>
      </c>
      <c r="AO68" s="99" t="s">
        <v>466</v>
      </c>
      <c r="AP68" s="108"/>
    </row>
    <row r="69" spans="2:57" s="9" customFormat="1" ht="35.25" customHeight="1" x14ac:dyDescent="0.25">
      <c r="B69" s="169"/>
      <c r="C69" s="170"/>
      <c r="D69" s="170"/>
      <c r="E69" s="170"/>
      <c r="F69" s="177"/>
      <c r="G69" s="178"/>
      <c r="H69" s="105"/>
      <c r="I69" s="105"/>
      <c r="J69" s="105"/>
      <c r="K69" s="105"/>
      <c r="L69" s="105"/>
      <c r="M69" s="158" t="s">
        <v>69</v>
      </c>
      <c r="N69" s="159"/>
      <c r="O69" s="160"/>
      <c r="P69" s="161" t="s">
        <v>70</v>
      </c>
      <c r="Q69" s="162"/>
      <c r="R69" s="163"/>
      <c r="S69" s="158" t="s">
        <v>71</v>
      </c>
      <c r="T69" s="159"/>
      <c r="U69" s="159"/>
      <c r="V69" s="159"/>
      <c r="W69" s="159"/>
      <c r="X69" s="159"/>
      <c r="Y69" s="160"/>
      <c r="Z69" s="105"/>
      <c r="AA69" s="105"/>
      <c r="AB69" s="105"/>
      <c r="AC69" s="105"/>
      <c r="AD69" s="105"/>
      <c r="AE69" s="105"/>
      <c r="AF69" s="105"/>
      <c r="AG69" s="105"/>
      <c r="AH69" s="105"/>
      <c r="AI69" s="105"/>
      <c r="AJ69" s="105"/>
      <c r="AK69" s="105"/>
      <c r="AL69" s="105"/>
      <c r="AM69" s="105"/>
      <c r="AN69" s="105"/>
      <c r="AO69" s="105"/>
      <c r="AP69" s="105"/>
    </row>
    <row r="70" spans="2:57" s="9" customFormat="1" ht="91.8" x14ac:dyDescent="0.25">
      <c r="B70" s="171"/>
      <c r="C70" s="172"/>
      <c r="D70" s="172"/>
      <c r="E70" s="172"/>
      <c r="F70" s="59" t="s">
        <v>60</v>
      </c>
      <c r="G70" s="59" t="s">
        <v>61</v>
      </c>
      <c r="H70" s="100" t="s">
        <v>165</v>
      </c>
      <c r="I70" s="100" t="s">
        <v>90</v>
      </c>
      <c r="J70" s="100" t="s">
        <v>381</v>
      </c>
      <c r="K70" s="100" t="s">
        <v>175</v>
      </c>
      <c r="L70" s="100" t="s">
        <v>174</v>
      </c>
      <c r="M70" s="100" t="s">
        <v>161</v>
      </c>
      <c r="N70" s="100" t="s">
        <v>74</v>
      </c>
      <c r="O70" s="148" t="s">
        <v>166</v>
      </c>
      <c r="P70" s="100" t="s">
        <v>167</v>
      </c>
      <c r="Q70" s="101" t="s">
        <v>79</v>
      </c>
      <c r="R70" s="100" t="s">
        <v>173</v>
      </c>
      <c r="S70" s="100" t="s">
        <v>182</v>
      </c>
      <c r="T70" s="100" t="s">
        <v>169</v>
      </c>
      <c r="U70" s="100" t="s">
        <v>412</v>
      </c>
      <c r="V70" s="100" t="s">
        <v>168</v>
      </c>
      <c r="W70" s="100" t="s">
        <v>180</v>
      </c>
      <c r="X70" s="100" t="s">
        <v>181</v>
      </c>
      <c r="Y70" s="100" t="s">
        <v>164</v>
      </c>
      <c r="Z70" s="100" t="s">
        <v>78</v>
      </c>
      <c r="AA70" s="100" t="s">
        <v>171</v>
      </c>
      <c r="AB70" s="100" t="s">
        <v>179</v>
      </c>
      <c r="AC70" s="100" t="s">
        <v>177</v>
      </c>
      <c r="AD70" s="100" t="s">
        <v>162</v>
      </c>
      <c r="AE70" s="100" t="s">
        <v>172</v>
      </c>
      <c r="AF70" s="100" t="s">
        <v>81</v>
      </c>
      <c r="AG70" s="100" t="s">
        <v>388</v>
      </c>
      <c r="AH70" s="100" t="s">
        <v>170</v>
      </c>
      <c r="AI70" s="100" t="s">
        <v>163</v>
      </c>
      <c r="AJ70" s="100" t="s">
        <v>121</v>
      </c>
      <c r="AK70" s="100" t="s">
        <v>121</v>
      </c>
      <c r="AL70" s="100" t="s">
        <v>176</v>
      </c>
      <c r="AM70" s="100" t="s">
        <v>178</v>
      </c>
      <c r="AN70" s="100" t="s">
        <v>72</v>
      </c>
      <c r="AO70" s="100" t="s">
        <v>80</v>
      </c>
      <c r="AP70" s="100" t="s">
        <v>164</v>
      </c>
    </row>
    <row r="71" spans="2:57" s="9" customFormat="1" ht="13.2" customHeight="1" x14ac:dyDescent="0.25">
      <c r="B71" s="46"/>
      <c r="E71" s="60"/>
      <c r="F71" s="34"/>
      <c r="G71" s="34"/>
      <c r="H71" s="61"/>
      <c r="I71" s="61"/>
      <c r="J71" s="61"/>
      <c r="K71" s="61"/>
      <c r="L71" s="61"/>
      <c r="M71" s="61"/>
      <c r="N71" s="3"/>
      <c r="O71" s="62"/>
      <c r="P71" s="61"/>
      <c r="Q71" s="62"/>
      <c r="R71" s="61"/>
      <c r="S71" s="34"/>
      <c r="T71" s="34"/>
      <c r="U71" s="34"/>
      <c r="V71" s="34"/>
      <c r="W71" s="34"/>
      <c r="X71" s="34"/>
      <c r="Y71" s="34"/>
      <c r="Z71" s="34"/>
      <c r="AA71" s="34"/>
      <c r="AB71" s="34"/>
      <c r="AC71" s="34"/>
      <c r="AD71" s="34"/>
      <c r="AE71" s="34"/>
      <c r="AF71" s="34"/>
      <c r="AG71" s="34"/>
      <c r="AH71" s="34"/>
      <c r="AI71" s="34"/>
      <c r="AJ71" s="34"/>
      <c r="AK71" s="34"/>
      <c r="AL71" s="61"/>
      <c r="AM71" s="34"/>
      <c r="AN71" s="34"/>
      <c r="AO71" s="34"/>
      <c r="AP71" s="34"/>
      <c r="AQ71" s="3"/>
      <c r="AR71" s="3"/>
      <c r="AS71" s="3"/>
      <c r="AT71" s="3"/>
      <c r="AU71" s="3"/>
      <c r="AV71" s="3"/>
      <c r="AW71" s="3"/>
      <c r="AX71" s="3"/>
      <c r="AY71" s="3"/>
      <c r="AZ71" s="3"/>
      <c r="BA71" s="3"/>
      <c r="BB71" s="3"/>
      <c r="BC71" s="3"/>
      <c r="BD71" s="3"/>
      <c r="BE71" s="3"/>
    </row>
    <row r="72" spans="2:57" s="9" customFormat="1" ht="13.2" customHeight="1" x14ac:dyDescent="0.25">
      <c r="B72" s="63" t="s">
        <v>62</v>
      </c>
      <c r="C72" s="64"/>
      <c r="D72" s="64"/>
      <c r="E72" s="65"/>
      <c r="F72" s="66">
        <f t="shared" ref="F72:AP72" si="0">SUM(F74,F80,F88,F98)</f>
        <v>30</v>
      </c>
      <c r="G72" s="67">
        <f t="shared" si="0"/>
        <v>71</v>
      </c>
      <c r="H72" s="67">
        <f t="shared" si="0"/>
        <v>4</v>
      </c>
      <c r="I72" s="67">
        <f t="shared" si="0"/>
        <v>2</v>
      </c>
      <c r="J72" s="67">
        <f t="shared" ref="J72" si="1">SUM(J74,J80,J88,J98)</f>
        <v>1</v>
      </c>
      <c r="K72" s="67">
        <f t="shared" si="0"/>
        <v>1</v>
      </c>
      <c r="L72" s="67">
        <f t="shared" si="0"/>
        <v>1</v>
      </c>
      <c r="M72" s="67">
        <f t="shared" si="0"/>
        <v>4</v>
      </c>
      <c r="N72" s="68">
        <f t="shared" si="0"/>
        <v>3</v>
      </c>
      <c r="O72" s="67">
        <f t="shared" si="0"/>
        <v>1</v>
      </c>
      <c r="P72" s="67">
        <f t="shared" si="0"/>
        <v>2</v>
      </c>
      <c r="Q72" s="67">
        <f t="shared" si="0"/>
        <v>1</v>
      </c>
      <c r="R72" s="67">
        <f t="shared" si="0"/>
        <v>1</v>
      </c>
      <c r="S72" s="67">
        <f t="shared" si="0"/>
        <v>7</v>
      </c>
      <c r="T72" s="67">
        <f t="shared" si="0"/>
        <v>2</v>
      </c>
      <c r="U72" s="67">
        <f t="shared" si="0"/>
        <v>1</v>
      </c>
      <c r="V72" s="67">
        <f t="shared" si="0"/>
        <v>1</v>
      </c>
      <c r="W72" s="67">
        <f t="shared" si="0"/>
        <v>1</v>
      </c>
      <c r="X72" s="67">
        <f t="shared" si="0"/>
        <v>1</v>
      </c>
      <c r="Y72" s="67">
        <f t="shared" si="0"/>
        <v>1</v>
      </c>
      <c r="Z72" s="67">
        <f>SUM(Z74,Z80,Z88,Z98)</f>
        <v>5</v>
      </c>
      <c r="AA72" s="67">
        <f>SUM(AA74,AA80,AA88,AA98)</f>
        <v>4</v>
      </c>
      <c r="AB72" s="67">
        <f t="shared" si="0"/>
        <v>5</v>
      </c>
      <c r="AC72" s="67">
        <f>SUM(AC74,AC80,AC88,AC98)</f>
        <v>3</v>
      </c>
      <c r="AD72" s="67">
        <f t="shared" si="0"/>
        <v>2</v>
      </c>
      <c r="AE72" s="67">
        <f t="shared" si="0"/>
        <v>2</v>
      </c>
      <c r="AF72" s="67">
        <f t="shared" si="0"/>
        <v>2</v>
      </c>
      <c r="AG72" s="67">
        <f t="shared" ref="AG72" si="2">SUM(AG74,AG80,AG88,AG98)</f>
        <v>1</v>
      </c>
      <c r="AH72" s="67">
        <f t="shared" si="0"/>
        <v>1</v>
      </c>
      <c r="AI72" s="67">
        <f t="shared" si="0"/>
        <v>1</v>
      </c>
      <c r="AJ72" s="67">
        <f t="shared" si="0"/>
        <v>4</v>
      </c>
      <c r="AK72" s="67">
        <f t="shared" ref="AK72" si="3">SUM(AK74,AK80,AK88,AK98)</f>
        <v>1</v>
      </c>
      <c r="AL72" s="67">
        <f t="shared" si="0"/>
        <v>1</v>
      </c>
      <c r="AM72" s="67">
        <f t="shared" si="0"/>
        <v>1</v>
      </c>
      <c r="AN72" s="67">
        <f t="shared" si="0"/>
        <v>1</v>
      </c>
      <c r="AO72" s="67">
        <f t="shared" si="0"/>
        <v>1</v>
      </c>
      <c r="AP72" s="67">
        <f t="shared" si="0"/>
        <v>1</v>
      </c>
      <c r="AQ72" s="3"/>
      <c r="AR72" s="3"/>
      <c r="AS72" s="3"/>
      <c r="AT72" s="3"/>
      <c r="AU72" s="3"/>
      <c r="AV72" s="3"/>
      <c r="AW72" s="3"/>
      <c r="AX72" s="3"/>
      <c r="AY72" s="3"/>
      <c r="AZ72" s="3"/>
      <c r="BA72" s="3"/>
      <c r="BB72" s="3"/>
      <c r="BC72" s="3"/>
      <c r="BD72" s="3"/>
      <c r="BE72" s="3"/>
    </row>
    <row r="73" spans="2:57" s="9" customFormat="1" ht="13.2" customHeight="1" x14ac:dyDescent="0.25">
      <c r="B73" s="46" t="s">
        <v>63</v>
      </c>
      <c r="E73" s="60"/>
      <c r="F73" s="34"/>
      <c r="G73" s="34"/>
      <c r="H73" s="71"/>
      <c r="I73" s="71"/>
      <c r="J73" s="71"/>
      <c r="K73" s="71"/>
      <c r="L73" s="71"/>
      <c r="M73" s="71"/>
      <c r="N73" s="3"/>
      <c r="O73" s="71"/>
      <c r="P73" s="71"/>
      <c r="Q73" s="71"/>
      <c r="R73" s="71"/>
      <c r="S73" s="70"/>
      <c r="T73" s="70"/>
      <c r="U73" s="34"/>
      <c r="V73" s="70"/>
      <c r="W73" s="70"/>
      <c r="X73" s="70"/>
      <c r="Y73" s="34"/>
      <c r="Z73" s="34"/>
      <c r="AA73" s="70"/>
      <c r="AB73" s="70"/>
      <c r="AC73" s="34"/>
      <c r="AD73" s="70"/>
      <c r="AE73" s="34"/>
      <c r="AF73" s="34"/>
      <c r="AG73" s="70"/>
      <c r="AH73" s="70"/>
      <c r="AI73" s="34"/>
      <c r="AJ73" s="70"/>
      <c r="AK73" s="70"/>
      <c r="AL73" s="71"/>
      <c r="AM73" s="34"/>
      <c r="AN73" s="70"/>
      <c r="AO73" s="70"/>
      <c r="AP73" s="34"/>
      <c r="AQ73" s="3"/>
      <c r="AR73" s="3"/>
      <c r="AS73" s="3"/>
      <c r="AT73" s="3"/>
      <c r="AU73" s="3"/>
      <c r="AV73" s="3"/>
      <c r="AW73" s="3"/>
      <c r="AX73" s="3"/>
      <c r="AY73" s="3"/>
      <c r="AZ73" s="3"/>
      <c r="BA73" s="3"/>
      <c r="BB73" s="3"/>
      <c r="BC73" s="3"/>
      <c r="BD73" s="3"/>
      <c r="BE73" s="3"/>
    </row>
    <row r="74" spans="2:57" s="78" customFormat="1" x14ac:dyDescent="0.3">
      <c r="B74" s="80" t="s">
        <v>13</v>
      </c>
      <c r="C74" s="7"/>
      <c r="D74" s="7"/>
      <c r="E74" s="3"/>
      <c r="F74" s="74">
        <f>H17</f>
        <v>4</v>
      </c>
      <c r="G74" s="75">
        <f t="shared" ref="G74:AP74" si="4">SUM(G75:G78)</f>
        <v>11</v>
      </c>
      <c r="H74" s="75">
        <f t="shared" si="4"/>
        <v>0</v>
      </c>
      <c r="I74" s="75">
        <f t="shared" si="4"/>
        <v>2</v>
      </c>
      <c r="J74" s="75">
        <f t="shared" ref="J74" si="5">SUM(J75:J78)</f>
        <v>0</v>
      </c>
      <c r="K74" s="75">
        <f t="shared" si="4"/>
        <v>0</v>
      </c>
      <c r="L74" s="75">
        <f t="shared" si="4"/>
        <v>0</v>
      </c>
      <c r="M74" s="75">
        <f t="shared" si="4"/>
        <v>3</v>
      </c>
      <c r="N74" s="60">
        <f t="shared" si="4"/>
        <v>0</v>
      </c>
      <c r="O74" s="75">
        <f t="shared" si="4"/>
        <v>0</v>
      </c>
      <c r="P74" s="75">
        <f t="shared" si="4"/>
        <v>0</v>
      </c>
      <c r="Q74" s="75">
        <f t="shared" si="4"/>
        <v>0</v>
      </c>
      <c r="R74" s="75">
        <f t="shared" si="4"/>
        <v>0</v>
      </c>
      <c r="S74" s="75">
        <f t="shared" si="4"/>
        <v>1</v>
      </c>
      <c r="T74" s="75">
        <f t="shared" si="4"/>
        <v>0</v>
      </c>
      <c r="U74" s="75">
        <f t="shared" si="4"/>
        <v>0</v>
      </c>
      <c r="V74" s="75">
        <f t="shared" si="4"/>
        <v>0</v>
      </c>
      <c r="W74" s="75">
        <f t="shared" si="4"/>
        <v>0</v>
      </c>
      <c r="X74" s="75">
        <f t="shared" si="4"/>
        <v>0</v>
      </c>
      <c r="Y74" s="75">
        <f t="shared" si="4"/>
        <v>0</v>
      </c>
      <c r="Z74" s="75">
        <f>SUM(Z75:Z78)</f>
        <v>0</v>
      </c>
      <c r="AA74" s="75">
        <f>SUM(AA75:AA78)</f>
        <v>3</v>
      </c>
      <c r="AB74" s="75">
        <f t="shared" si="4"/>
        <v>1</v>
      </c>
      <c r="AC74" s="75">
        <f>SUM(AC75:AC78)</f>
        <v>0</v>
      </c>
      <c r="AD74" s="75">
        <f t="shared" si="4"/>
        <v>0</v>
      </c>
      <c r="AE74" s="75">
        <f t="shared" si="4"/>
        <v>0</v>
      </c>
      <c r="AF74" s="75">
        <f t="shared" si="4"/>
        <v>1</v>
      </c>
      <c r="AG74" s="75">
        <f t="shared" ref="AG74" si="6">SUM(AG75:AG78)</f>
        <v>0</v>
      </c>
      <c r="AH74" s="75">
        <f t="shared" si="4"/>
        <v>0</v>
      </c>
      <c r="AI74" s="75">
        <f t="shared" si="4"/>
        <v>0</v>
      </c>
      <c r="AJ74" s="75">
        <f t="shared" si="4"/>
        <v>0</v>
      </c>
      <c r="AK74" s="75">
        <f t="shared" ref="AK74" si="7">SUM(AK75:AK78)</f>
        <v>0</v>
      </c>
      <c r="AL74" s="75">
        <f t="shared" si="4"/>
        <v>0</v>
      </c>
      <c r="AM74" s="75">
        <f t="shared" si="4"/>
        <v>0</v>
      </c>
      <c r="AN74" s="75">
        <f t="shared" si="4"/>
        <v>0</v>
      </c>
      <c r="AO74" s="75">
        <f t="shared" si="4"/>
        <v>0</v>
      </c>
      <c r="AP74" s="75">
        <f t="shared" si="4"/>
        <v>0</v>
      </c>
      <c r="AQ74" s="3"/>
      <c r="AR74" s="3"/>
      <c r="AS74" s="3"/>
      <c r="AT74" s="3"/>
      <c r="AU74" s="3"/>
      <c r="AV74" s="3"/>
      <c r="AW74" s="4"/>
      <c r="AX74" s="4"/>
      <c r="AY74" s="4"/>
      <c r="AZ74" s="4"/>
      <c r="BA74" s="4"/>
      <c r="BB74" s="4"/>
    </row>
    <row r="75" spans="2:57" s="78" customFormat="1" outlineLevel="1" x14ac:dyDescent="0.3">
      <c r="B75" s="47" t="s">
        <v>288</v>
      </c>
      <c r="C75" s="7"/>
      <c r="D75" s="7"/>
      <c r="E75" s="3"/>
      <c r="F75" s="34"/>
      <c r="G75" s="76">
        <f>SUM(H75:AP75)</f>
        <v>3</v>
      </c>
      <c r="H75" s="76"/>
      <c r="I75" s="76">
        <v>1</v>
      </c>
      <c r="J75" s="76"/>
      <c r="K75" s="76"/>
      <c r="L75" s="76"/>
      <c r="M75" s="76">
        <v>1</v>
      </c>
      <c r="N75" s="77"/>
      <c r="O75" s="76"/>
      <c r="P75" s="76"/>
      <c r="Q75" s="76"/>
      <c r="R75" s="76"/>
      <c r="S75" s="76"/>
      <c r="T75" s="76"/>
      <c r="U75" s="76"/>
      <c r="V75" s="76"/>
      <c r="W75" s="76"/>
      <c r="X75" s="76"/>
      <c r="Y75" s="76"/>
      <c r="Z75" s="76"/>
      <c r="AA75" s="76">
        <v>1</v>
      </c>
      <c r="AB75" s="76"/>
      <c r="AC75" s="76"/>
      <c r="AD75" s="76"/>
      <c r="AE75" s="76"/>
      <c r="AF75" s="76"/>
      <c r="AG75" s="76"/>
      <c r="AH75" s="76"/>
      <c r="AI75" s="76"/>
      <c r="AJ75" s="76"/>
      <c r="AK75" s="76"/>
      <c r="AL75" s="76"/>
      <c r="AM75" s="76"/>
      <c r="AN75" s="76"/>
      <c r="AO75" s="76"/>
      <c r="AP75" s="76"/>
      <c r="AQ75" s="3"/>
      <c r="AR75" s="3"/>
      <c r="AS75" s="3"/>
      <c r="AT75" s="3"/>
      <c r="AU75" s="3"/>
      <c r="AV75" s="3"/>
      <c r="AW75" s="4"/>
      <c r="AX75" s="4" t="s">
        <v>63</v>
      </c>
      <c r="AY75" s="4"/>
      <c r="AZ75" s="4"/>
      <c r="BA75" s="4"/>
      <c r="BB75" s="4"/>
    </row>
    <row r="76" spans="2:57" s="1" customFormat="1" outlineLevel="1" x14ac:dyDescent="0.3">
      <c r="B76" s="79" t="s">
        <v>64</v>
      </c>
      <c r="C76" s="7"/>
      <c r="D76" s="7"/>
      <c r="E76" s="3"/>
      <c r="F76" s="34"/>
      <c r="G76" s="76">
        <f>SUM(H76:AP76)</f>
        <v>3</v>
      </c>
      <c r="H76" s="76"/>
      <c r="I76" s="76">
        <v>1</v>
      </c>
      <c r="J76" s="76"/>
      <c r="K76" s="76"/>
      <c r="L76" s="76"/>
      <c r="M76" s="76">
        <v>1</v>
      </c>
      <c r="N76" s="77"/>
      <c r="O76" s="76"/>
      <c r="P76" s="76"/>
      <c r="Q76" s="76"/>
      <c r="R76" s="76"/>
      <c r="S76" s="76"/>
      <c r="T76" s="76"/>
      <c r="U76" s="76"/>
      <c r="V76" s="76"/>
      <c r="W76" s="76"/>
      <c r="X76" s="76"/>
      <c r="Y76" s="76"/>
      <c r="Z76" s="76"/>
      <c r="AA76" s="76">
        <v>1</v>
      </c>
      <c r="AB76" s="76"/>
      <c r="AC76" s="76"/>
      <c r="AD76" s="76"/>
      <c r="AE76" s="76"/>
      <c r="AF76" s="76"/>
      <c r="AG76" s="76"/>
      <c r="AH76" s="76"/>
      <c r="AI76" s="76"/>
      <c r="AJ76" s="76"/>
      <c r="AK76" s="76"/>
      <c r="AL76" s="76"/>
      <c r="AM76" s="76"/>
      <c r="AN76" s="76"/>
      <c r="AO76" s="76"/>
      <c r="AP76" s="76"/>
      <c r="AQ76" s="3"/>
      <c r="AR76" s="3"/>
      <c r="AS76" s="3"/>
      <c r="AT76" s="3"/>
      <c r="AU76" s="3"/>
      <c r="AV76" s="3"/>
      <c r="AW76" s="2"/>
      <c r="AX76" s="2"/>
      <c r="AY76" s="2"/>
      <c r="AZ76" s="2"/>
      <c r="BA76" s="2"/>
      <c r="BB76" s="2"/>
    </row>
    <row r="77" spans="2:57" s="1" customFormat="1" outlineLevel="1" x14ac:dyDescent="0.3">
      <c r="B77" s="79" t="s">
        <v>292</v>
      </c>
      <c r="C77" s="7"/>
      <c r="D77" s="7"/>
      <c r="E77" s="3"/>
      <c r="F77" s="34"/>
      <c r="G77" s="76">
        <f>SUM(H77:AP77)</f>
        <v>1</v>
      </c>
      <c r="H77" s="76"/>
      <c r="I77" s="76"/>
      <c r="J77" s="76"/>
      <c r="K77" s="76"/>
      <c r="L77" s="76"/>
      <c r="M77" s="76"/>
      <c r="N77" s="77"/>
      <c r="O77" s="76"/>
      <c r="P77" s="76"/>
      <c r="Q77" s="76"/>
      <c r="R77" s="76"/>
      <c r="S77" s="76">
        <v>1</v>
      </c>
      <c r="T77" s="76"/>
      <c r="U77" s="76"/>
      <c r="V77" s="76"/>
      <c r="W77" s="76"/>
      <c r="X77" s="76"/>
      <c r="Y77" s="76"/>
      <c r="Z77" s="76"/>
      <c r="AA77" s="76"/>
      <c r="AB77" s="76"/>
      <c r="AC77" s="76"/>
      <c r="AD77" s="76"/>
      <c r="AE77" s="76"/>
      <c r="AF77" s="76"/>
      <c r="AG77" s="76"/>
      <c r="AH77" s="76"/>
      <c r="AI77" s="76"/>
      <c r="AJ77" s="76"/>
      <c r="AK77" s="76"/>
      <c r="AL77" s="76"/>
      <c r="AM77" s="76"/>
      <c r="AN77" s="76"/>
      <c r="AO77" s="76"/>
      <c r="AP77" s="76"/>
      <c r="AQ77" s="3"/>
      <c r="AR77" s="3"/>
      <c r="AS77" s="3"/>
      <c r="AT77" s="3"/>
      <c r="AU77" s="3"/>
      <c r="AV77" s="3"/>
      <c r="AW77" s="2"/>
      <c r="AX77" s="2"/>
      <c r="AY77" s="2"/>
      <c r="AZ77" s="2"/>
      <c r="BA77" s="2"/>
      <c r="BB77" s="2"/>
    </row>
    <row r="78" spans="2:57" s="1" customFormat="1" outlineLevel="1" x14ac:dyDescent="0.3">
      <c r="B78" s="47" t="s">
        <v>293</v>
      </c>
      <c r="C78" s="7"/>
      <c r="D78" s="7"/>
      <c r="E78" s="3"/>
      <c r="F78" s="34"/>
      <c r="G78" s="76">
        <f>SUM(H78:AP78)</f>
        <v>4</v>
      </c>
      <c r="H78" s="76"/>
      <c r="I78" s="76"/>
      <c r="J78" s="76"/>
      <c r="K78" s="76"/>
      <c r="L78" s="76"/>
      <c r="M78" s="76">
        <v>1</v>
      </c>
      <c r="N78" s="77"/>
      <c r="O78" s="76"/>
      <c r="P78" s="76"/>
      <c r="Q78" s="76"/>
      <c r="R78" s="76"/>
      <c r="S78" s="76"/>
      <c r="T78" s="76"/>
      <c r="U78" s="76"/>
      <c r="V78" s="76"/>
      <c r="W78" s="76"/>
      <c r="X78" s="76"/>
      <c r="Y78" s="76"/>
      <c r="Z78" s="76"/>
      <c r="AA78" s="76">
        <v>1</v>
      </c>
      <c r="AB78" s="76">
        <v>1</v>
      </c>
      <c r="AC78" s="76"/>
      <c r="AD78" s="76"/>
      <c r="AE78" s="76"/>
      <c r="AF78" s="76">
        <v>1</v>
      </c>
      <c r="AG78" s="76"/>
      <c r="AH78" s="76"/>
      <c r="AI78" s="76"/>
      <c r="AJ78" s="76"/>
      <c r="AK78" s="76"/>
      <c r="AL78" s="76"/>
      <c r="AM78" s="76"/>
      <c r="AN78" s="76"/>
      <c r="AO78" s="76"/>
      <c r="AP78" s="76"/>
      <c r="AQ78" s="3"/>
      <c r="AR78" s="3"/>
      <c r="AS78" s="3"/>
      <c r="AT78" s="3"/>
      <c r="AU78" s="3"/>
      <c r="AV78" s="3"/>
      <c r="AW78" s="2"/>
      <c r="AX78" s="2"/>
      <c r="AY78" s="2"/>
      <c r="AZ78" s="2"/>
      <c r="BA78" s="2"/>
      <c r="BB78" s="2"/>
    </row>
    <row r="79" spans="2:57" s="78" customFormat="1" x14ac:dyDescent="0.3">
      <c r="B79" s="79"/>
      <c r="C79" s="7"/>
      <c r="D79" s="7"/>
      <c r="E79" s="3"/>
      <c r="F79" s="34"/>
      <c r="G79" s="34"/>
      <c r="H79" s="61"/>
      <c r="I79" s="61"/>
      <c r="J79" s="61"/>
      <c r="K79" s="61"/>
      <c r="L79" s="61"/>
      <c r="M79" s="61"/>
      <c r="N79" s="3"/>
      <c r="O79" s="61"/>
      <c r="P79" s="61"/>
      <c r="Q79" s="61"/>
      <c r="R79" s="61"/>
      <c r="S79" s="34"/>
      <c r="T79" s="34"/>
      <c r="U79" s="61"/>
      <c r="V79" s="34"/>
      <c r="W79" s="34"/>
      <c r="X79" s="34"/>
      <c r="Y79" s="61"/>
      <c r="Z79" s="61"/>
      <c r="AA79" s="34"/>
      <c r="AB79" s="34"/>
      <c r="AC79" s="61"/>
      <c r="AD79" s="34"/>
      <c r="AE79" s="61"/>
      <c r="AF79" s="61"/>
      <c r="AG79" s="34"/>
      <c r="AH79" s="34"/>
      <c r="AI79" s="61"/>
      <c r="AJ79" s="34"/>
      <c r="AK79" s="34"/>
      <c r="AL79" s="61"/>
      <c r="AM79" s="61"/>
      <c r="AN79" s="34"/>
      <c r="AO79" s="34"/>
      <c r="AP79" s="61"/>
      <c r="AQ79" s="3"/>
      <c r="AR79" s="3"/>
      <c r="AS79" s="3"/>
      <c r="AT79" s="3"/>
      <c r="AU79" s="3"/>
      <c r="AV79" s="3"/>
      <c r="AW79" s="4"/>
      <c r="AX79" s="4"/>
      <c r="AY79" s="4"/>
      <c r="AZ79" s="4"/>
      <c r="BA79" s="4"/>
      <c r="BB79" s="4"/>
    </row>
    <row r="80" spans="2:57" x14ac:dyDescent="0.3">
      <c r="B80" s="80" t="s">
        <v>19</v>
      </c>
      <c r="C80" s="81"/>
      <c r="D80" s="81"/>
      <c r="E80" s="81"/>
      <c r="F80" s="82">
        <f>H24</f>
        <v>6</v>
      </c>
      <c r="G80" s="83">
        <f t="shared" ref="G80:AP80" si="8">SUM(G81:G86)</f>
        <v>15</v>
      </c>
      <c r="H80" s="83">
        <f t="shared" si="8"/>
        <v>2</v>
      </c>
      <c r="I80" s="83">
        <f t="shared" si="8"/>
        <v>0</v>
      </c>
      <c r="J80" s="83">
        <f t="shared" ref="J80" si="9">SUM(J81:J86)</f>
        <v>0</v>
      </c>
      <c r="K80" s="83">
        <f t="shared" si="8"/>
        <v>1</v>
      </c>
      <c r="L80" s="83">
        <f t="shared" si="8"/>
        <v>0</v>
      </c>
      <c r="M80" s="83">
        <f t="shared" si="8"/>
        <v>0</v>
      </c>
      <c r="N80" s="84">
        <f t="shared" si="8"/>
        <v>1</v>
      </c>
      <c r="O80" s="83">
        <f t="shared" si="8"/>
        <v>1</v>
      </c>
      <c r="P80" s="83">
        <f t="shared" si="8"/>
        <v>1</v>
      </c>
      <c r="Q80" s="83">
        <f t="shared" si="8"/>
        <v>0</v>
      </c>
      <c r="R80" s="83">
        <f t="shared" si="8"/>
        <v>0</v>
      </c>
      <c r="S80" s="83">
        <f t="shared" si="8"/>
        <v>0</v>
      </c>
      <c r="T80" s="83">
        <f t="shared" si="8"/>
        <v>0</v>
      </c>
      <c r="U80" s="83">
        <f t="shared" si="8"/>
        <v>1</v>
      </c>
      <c r="V80" s="83">
        <f t="shared" si="8"/>
        <v>0</v>
      </c>
      <c r="W80" s="83">
        <f t="shared" si="8"/>
        <v>0</v>
      </c>
      <c r="X80" s="83">
        <f t="shared" si="8"/>
        <v>0</v>
      </c>
      <c r="Y80" s="83">
        <f t="shared" si="8"/>
        <v>0</v>
      </c>
      <c r="Z80" s="83">
        <f>SUM(Z81:Z86)</f>
        <v>2</v>
      </c>
      <c r="AA80" s="83">
        <f>SUM(AA81:AA86)</f>
        <v>0</v>
      </c>
      <c r="AB80" s="83">
        <f t="shared" si="8"/>
        <v>1</v>
      </c>
      <c r="AC80" s="83">
        <f>SUM(AC81:AC86)</f>
        <v>1</v>
      </c>
      <c r="AD80" s="83">
        <f t="shared" si="8"/>
        <v>1</v>
      </c>
      <c r="AE80" s="83">
        <f t="shared" si="8"/>
        <v>0</v>
      </c>
      <c r="AF80" s="83">
        <f t="shared" si="8"/>
        <v>0</v>
      </c>
      <c r="AG80" s="83">
        <f t="shared" ref="AG80" si="10">SUM(AG81:AG86)</f>
        <v>0</v>
      </c>
      <c r="AH80" s="83">
        <f t="shared" si="8"/>
        <v>0</v>
      </c>
      <c r="AI80" s="83">
        <f t="shared" si="8"/>
        <v>1</v>
      </c>
      <c r="AJ80" s="83">
        <f t="shared" si="8"/>
        <v>1</v>
      </c>
      <c r="AK80" s="83">
        <f t="shared" ref="AK80" si="11">SUM(AK81:AK86)</f>
        <v>0</v>
      </c>
      <c r="AL80" s="83">
        <f t="shared" si="8"/>
        <v>0</v>
      </c>
      <c r="AM80" s="83">
        <f t="shared" si="8"/>
        <v>0</v>
      </c>
      <c r="AN80" s="83">
        <f t="shared" si="8"/>
        <v>1</v>
      </c>
      <c r="AO80" s="83">
        <f t="shared" si="8"/>
        <v>0</v>
      </c>
      <c r="AP80" s="83">
        <f t="shared" si="8"/>
        <v>0</v>
      </c>
    </row>
    <row r="81" spans="2:42" outlineLevel="1" x14ac:dyDescent="0.3">
      <c r="B81" s="47" t="s">
        <v>294</v>
      </c>
      <c r="C81" s="81"/>
      <c r="D81" s="81"/>
      <c r="E81" s="81"/>
      <c r="F81" s="85"/>
      <c r="G81" s="76">
        <f t="shared" ref="G81:G86" si="12">SUM(H81:AP81)</f>
        <v>1</v>
      </c>
      <c r="H81" s="86"/>
      <c r="I81" s="86"/>
      <c r="J81" s="86"/>
      <c r="K81" s="86"/>
      <c r="L81" s="86"/>
      <c r="M81" s="86"/>
      <c r="N81" s="87"/>
      <c r="O81" s="86"/>
      <c r="P81" s="86"/>
      <c r="Q81" s="86"/>
      <c r="R81" s="86"/>
      <c r="S81" s="86"/>
      <c r="T81" s="86"/>
      <c r="U81" s="86"/>
      <c r="V81" s="86"/>
      <c r="W81" s="86"/>
      <c r="X81" s="86"/>
      <c r="Y81" s="86"/>
      <c r="Z81" s="86">
        <v>1</v>
      </c>
      <c r="AA81" s="86"/>
      <c r="AB81" s="86"/>
      <c r="AC81" s="86"/>
      <c r="AD81" s="86"/>
      <c r="AE81" s="86"/>
      <c r="AF81" s="86"/>
      <c r="AG81" s="86"/>
      <c r="AH81" s="86"/>
      <c r="AI81" s="86"/>
      <c r="AJ81" s="86"/>
      <c r="AK81" s="86"/>
      <c r="AL81" s="86"/>
      <c r="AM81" s="86"/>
      <c r="AN81" s="86"/>
      <c r="AO81" s="86"/>
      <c r="AP81" s="86"/>
    </row>
    <row r="82" spans="2:42" outlineLevel="1" x14ac:dyDescent="0.3">
      <c r="B82" s="47" t="s">
        <v>295</v>
      </c>
      <c r="C82" s="81"/>
      <c r="D82" s="81"/>
      <c r="E82" s="81"/>
      <c r="F82" s="85"/>
      <c r="G82" s="76">
        <f t="shared" si="12"/>
        <v>3</v>
      </c>
      <c r="H82" s="86"/>
      <c r="I82" s="86"/>
      <c r="J82" s="86"/>
      <c r="K82" s="86">
        <v>1</v>
      </c>
      <c r="L82" s="86"/>
      <c r="M82" s="86"/>
      <c r="N82" s="87"/>
      <c r="O82" s="86"/>
      <c r="P82" s="86"/>
      <c r="Q82" s="86"/>
      <c r="R82" s="86"/>
      <c r="S82" s="86"/>
      <c r="T82" s="86"/>
      <c r="U82" s="86"/>
      <c r="V82" s="86"/>
      <c r="W82" s="86"/>
      <c r="X82" s="86"/>
      <c r="Y82" s="86"/>
      <c r="Z82" s="86">
        <v>1</v>
      </c>
      <c r="AA82" s="86"/>
      <c r="AB82" s="86"/>
      <c r="AC82" s="86"/>
      <c r="AD82" s="86">
        <v>1</v>
      </c>
      <c r="AE82" s="86"/>
      <c r="AF82" s="86"/>
      <c r="AG82" s="86"/>
      <c r="AH82" s="86"/>
      <c r="AI82" s="86"/>
      <c r="AJ82" s="86"/>
      <c r="AK82" s="86"/>
      <c r="AL82" s="86"/>
      <c r="AM82" s="86"/>
      <c r="AN82" s="86"/>
      <c r="AO82" s="86"/>
      <c r="AP82" s="86"/>
    </row>
    <row r="83" spans="2:42" outlineLevel="1" x14ac:dyDescent="0.3">
      <c r="B83" s="47" t="s">
        <v>296</v>
      </c>
      <c r="C83" s="81"/>
      <c r="D83" s="81"/>
      <c r="E83" s="81"/>
      <c r="F83" s="85"/>
      <c r="G83" s="76">
        <f t="shared" si="12"/>
        <v>2</v>
      </c>
      <c r="H83" s="86"/>
      <c r="I83" s="86"/>
      <c r="J83" s="86"/>
      <c r="K83" s="86"/>
      <c r="L83" s="86"/>
      <c r="M83" s="86"/>
      <c r="N83" s="87"/>
      <c r="O83" s="86"/>
      <c r="P83" s="86"/>
      <c r="Q83" s="86"/>
      <c r="R83" s="86"/>
      <c r="S83" s="86"/>
      <c r="T83" s="86"/>
      <c r="U83" s="86"/>
      <c r="V83" s="86"/>
      <c r="W83" s="86"/>
      <c r="X83" s="86"/>
      <c r="Y83" s="86"/>
      <c r="Z83" s="86"/>
      <c r="AA83" s="86"/>
      <c r="AB83" s="86"/>
      <c r="AC83" s="86">
        <v>1</v>
      </c>
      <c r="AD83" s="86"/>
      <c r="AE83" s="86"/>
      <c r="AF83" s="86"/>
      <c r="AG83" s="86"/>
      <c r="AH83" s="86"/>
      <c r="AI83" s="86">
        <v>1</v>
      </c>
      <c r="AJ83" s="86"/>
      <c r="AK83" s="86"/>
      <c r="AL83" s="86"/>
      <c r="AM83" s="86"/>
      <c r="AN83" s="86"/>
      <c r="AO83" s="86"/>
      <c r="AP83" s="86"/>
    </row>
    <row r="84" spans="2:42" outlineLevel="1" x14ac:dyDescent="0.3">
      <c r="B84" s="47" t="s">
        <v>298</v>
      </c>
      <c r="C84" s="81"/>
      <c r="D84" s="81"/>
      <c r="E84" s="81"/>
      <c r="F84" s="85"/>
      <c r="G84" s="76">
        <f t="shared" si="12"/>
        <v>4</v>
      </c>
      <c r="H84" s="86">
        <v>1</v>
      </c>
      <c r="I84" s="86"/>
      <c r="J84" s="86"/>
      <c r="K84" s="86"/>
      <c r="L84" s="86"/>
      <c r="M84" s="86"/>
      <c r="N84" s="87"/>
      <c r="O84" s="86"/>
      <c r="P84" s="86">
        <v>1</v>
      </c>
      <c r="Q84" s="86"/>
      <c r="R84" s="86"/>
      <c r="S84" s="86"/>
      <c r="T84" s="86"/>
      <c r="U84" s="86"/>
      <c r="V84" s="86"/>
      <c r="W84" s="86"/>
      <c r="X84" s="86"/>
      <c r="Y84" s="86"/>
      <c r="Z84" s="86"/>
      <c r="AA84" s="86"/>
      <c r="AB84" s="86">
        <v>1</v>
      </c>
      <c r="AC84" s="86"/>
      <c r="AD84" s="86"/>
      <c r="AE84" s="86"/>
      <c r="AF84" s="86"/>
      <c r="AG84" s="86"/>
      <c r="AH84" s="86"/>
      <c r="AI84" s="86"/>
      <c r="AJ84" s="86"/>
      <c r="AK84" s="86"/>
      <c r="AL84" s="86"/>
      <c r="AM84" s="86"/>
      <c r="AN84" s="86">
        <v>1</v>
      </c>
      <c r="AO84" s="86"/>
      <c r="AP84" s="86"/>
    </row>
    <row r="85" spans="2:42" outlineLevel="1" x14ac:dyDescent="0.3">
      <c r="B85" s="47" t="s">
        <v>300</v>
      </c>
      <c r="C85" s="81"/>
      <c r="D85" s="81"/>
      <c r="E85" s="81"/>
      <c r="F85" s="85"/>
      <c r="G85" s="76">
        <f t="shared" si="12"/>
        <v>3</v>
      </c>
      <c r="H85" s="86">
        <v>1</v>
      </c>
      <c r="I85" s="86"/>
      <c r="J85" s="86"/>
      <c r="K85" s="86"/>
      <c r="L85" s="86"/>
      <c r="M85" s="86"/>
      <c r="N85" s="87">
        <v>1</v>
      </c>
      <c r="O85" s="86"/>
      <c r="P85" s="86"/>
      <c r="Q85" s="86"/>
      <c r="R85" s="86"/>
      <c r="S85" s="86"/>
      <c r="T85" s="86"/>
      <c r="U85" s="86"/>
      <c r="V85" s="86"/>
      <c r="W85" s="86"/>
      <c r="X85" s="86"/>
      <c r="Y85" s="86"/>
      <c r="Z85" s="86"/>
      <c r="AA85" s="86"/>
      <c r="AB85" s="86"/>
      <c r="AC85" s="86"/>
      <c r="AD85" s="86"/>
      <c r="AE85" s="86"/>
      <c r="AF85" s="86"/>
      <c r="AG85" s="86"/>
      <c r="AH85" s="86"/>
      <c r="AI85" s="86"/>
      <c r="AJ85" s="86">
        <v>1</v>
      </c>
      <c r="AK85" s="86"/>
      <c r="AL85" s="86"/>
      <c r="AM85" s="86"/>
      <c r="AN85" s="86"/>
      <c r="AO85" s="86"/>
      <c r="AP85" s="86"/>
    </row>
    <row r="86" spans="2:42" outlineLevel="1" x14ac:dyDescent="0.3">
      <c r="B86" s="47" t="s">
        <v>301</v>
      </c>
      <c r="C86" s="81"/>
      <c r="D86" s="81"/>
      <c r="E86" s="81"/>
      <c r="F86" s="85"/>
      <c r="G86" s="76">
        <f t="shared" si="12"/>
        <v>2</v>
      </c>
      <c r="H86" s="86"/>
      <c r="I86" s="86"/>
      <c r="J86" s="86"/>
      <c r="K86" s="86"/>
      <c r="L86" s="86"/>
      <c r="M86" s="86"/>
      <c r="N86" s="87"/>
      <c r="O86" s="86">
        <v>1</v>
      </c>
      <c r="P86" s="86"/>
      <c r="Q86" s="86"/>
      <c r="R86" s="86"/>
      <c r="S86" s="86"/>
      <c r="T86" s="86"/>
      <c r="U86" s="86">
        <v>1</v>
      </c>
      <c r="V86" s="86"/>
      <c r="W86" s="86"/>
      <c r="X86" s="86"/>
      <c r="Y86" s="86"/>
      <c r="Z86" s="86"/>
      <c r="AA86" s="86"/>
      <c r="AB86" s="86"/>
      <c r="AC86" s="86"/>
      <c r="AD86" s="86"/>
      <c r="AE86" s="86"/>
      <c r="AF86" s="86"/>
      <c r="AG86" s="86"/>
      <c r="AH86" s="86"/>
      <c r="AI86" s="86"/>
      <c r="AJ86" s="86"/>
      <c r="AK86" s="86"/>
      <c r="AL86" s="86"/>
      <c r="AM86" s="86"/>
      <c r="AN86" s="86"/>
      <c r="AO86" s="86"/>
      <c r="AP86" s="86"/>
    </row>
    <row r="87" spans="2:42" s="90" customFormat="1" x14ac:dyDescent="0.3">
      <c r="B87" s="79"/>
      <c r="C87" s="88"/>
      <c r="D87" s="88"/>
      <c r="E87" s="88"/>
      <c r="F87" s="89"/>
      <c r="G87" s="34"/>
      <c r="H87" s="89"/>
      <c r="I87" s="89"/>
      <c r="J87" s="89"/>
      <c r="K87" s="89"/>
      <c r="L87" s="89"/>
      <c r="M87" s="89"/>
      <c r="N87" s="88"/>
      <c r="O87" s="89"/>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row>
    <row r="88" spans="2:42" x14ac:dyDescent="0.3">
      <c r="B88" s="80" t="s">
        <v>28</v>
      </c>
      <c r="C88" s="81"/>
      <c r="D88" s="81"/>
      <c r="E88" s="81"/>
      <c r="F88" s="82">
        <f>H34</f>
        <v>8</v>
      </c>
      <c r="G88" s="83">
        <f t="shared" ref="G88:AP88" si="13">SUM(G89:G96)</f>
        <v>22</v>
      </c>
      <c r="H88" s="83">
        <f t="shared" si="13"/>
        <v>0</v>
      </c>
      <c r="I88" s="83">
        <f t="shared" si="13"/>
        <v>0</v>
      </c>
      <c r="J88" s="83">
        <f t="shared" ref="J88" si="14">SUM(J89:J96)</f>
        <v>1</v>
      </c>
      <c r="K88" s="83">
        <f t="shared" si="13"/>
        <v>0</v>
      </c>
      <c r="L88" s="83">
        <f t="shared" si="13"/>
        <v>1</v>
      </c>
      <c r="M88" s="83">
        <f t="shared" si="13"/>
        <v>1</v>
      </c>
      <c r="N88" s="84">
        <f t="shared" si="13"/>
        <v>0</v>
      </c>
      <c r="O88" s="83">
        <f t="shared" si="13"/>
        <v>0</v>
      </c>
      <c r="P88" s="83">
        <f t="shared" si="13"/>
        <v>1</v>
      </c>
      <c r="Q88" s="83">
        <f t="shared" si="13"/>
        <v>1</v>
      </c>
      <c r="R88" s="83">
        <f t="shared" si="13"/>
        <v>1</v>
      </c>
      <c r="S88" s="83">
        <f t="shared" si="13"/>
        <v>2</v>
      </c>
      <c r="T88" s="83">
        <f t="shared" si="13"/>
        <v>1</v>
      </c>
      <c r="U88" s="83">
        <f t="shared" si="13"/>
        <v>0</v>
      </c>
      <c r="V88" s="83">
        <f t="shared" si="13"/>
        <v>1</v>
      </c>
      <c r="W88" s="83">
        <f t="shared" si="13"/>
        <v>0</v>
      </c>
      <c r="X88" s="83">
        <f t="shared" si="13"/>
        <v>0</v>
      </c>
      <c r="Y88" s="83">
        <f t="shared" si="13"/>
        <v>0</v>
      </c>
      <c r="Z88" s="83">
        <f>SUM(Z89:Z96)</f>
        <v>1</v>
      </c>
      <c r="AA88" s="83">
        <f>SUM(AA89:AA96)</f>
        <v>1</v>
      </c>
      <c r="AB88" s="83">
        <f t="shared" si="13"/>
        <v>2</v>
      </c>
      <c r="AC88" s="83">
        <f>SUM(AC89:AC96)</f>
        <v>0</v>
      </c>
      <c r="AD88" s="83">
        <f t="shared" si="13"/>
        <v>1</v>
      </c>
      <c r="AE88" s="83">
        <f t="shared" si="13"/>
        <v>2</v>
      </c>
      <c r="AF88" s="83">
        <f t="shared" si="13"/>
        <v>0</v>
      </c>
      <c r="AG88" s="83">
        <f t="shared" ref="AG88" si="15">SUM(AG89:AG96)</f>
        <v>1</v>
      </c>
      <c r="AH88" s="83">
        <f t="shared" si="13"/>
        <v>1</v>
      </c>
      <c r="AI88" s="83">
        <f t="shared" si="13"/>
        <v>0</v>
      </c>
      <c r="AJ88" s="83">
        <f t="shared" si="13"/>
        <v>1</v>
      </c>
      <c r="AK88" s="83">
        <f t="shared" ref="AK88" si="16">SUM(AK89:AK96)</f>
        <v>1</v>
      </c>
      <c r="AL88" s="83">
        <f t="shared" si="13"/>
        <v>0</v>
      </c>
      <c r="AM88" s="83">
        <f t="shared" si="13"/>
        <v>0</v>
      </c>
      <c r="AN88" s="83">
        <f t="shared" si="13"/>
        <v>0</v>
      </c>
      <c r="AO88" s="83">
        <f t="shared" si="13"/>
        <v>0</v>
      </c>
      <c r="AP88" s="83">
        <f t="shared" si="13"/>
        <v>1</v>
      </c>
    </row>
    <row r="89" spans="2:42" outlineLevel="1" x14ac:dyDescent="0.3">
      <c r="B89" s="47" t="s">
        <v>303</v>
      </c>
      <c r="C89" s="81"/>
      <c r="D89" s="81"/>
      <c r="E89" s="81"/>
      <c r="F89" s="91"/>
      <c r="G89" s="76">
        <f t="shared" ref="G89:G96" si="17">SUM(H89:AP89)</f>
        <v>1</v>
      </c>
      <c r="H89" s="86"/>
      <c r="I89" s="86"/>
      <c r="J89" s="86"/>
      <c r="K89" s="86"/>
      <c r="L89" s="86"/>
      <c r="M89" s="86"/>
      <c r="N89" s="87"/>
      <c r="O89" s="86"/>
      <c r="P89" s="86"/>
      <c r="Q89" s="86"/>
      <c r="R89" s="86"/>
      <c r="S89" s="86">
        <v>1</v>
      </c>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2:42" outlineLevel="1" x14ac:dyDescent="0.3">
      <c r="B90" s="47" t="s">
        <v>304</v>
      </c>
      <c r="C90" s="81"/>
      <c r="D90" s="81"/>
      <c r="E90" s="81"/>
      <c r="F90" s="91"/>
      <c r="G90" s="76">
        <f t="shared" si="17"/>
        <v>1</v>
      </c>
      <c r="H90" s="86"/>
      <c r="I90" s="86"/>
      <c r="J90" s="86"/>
      <c r="K90" s="86"/>
      <c r="L90" s="86"/>
      <c r="M90" s="86"/>
      <c r="N90" s="87"/>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v>1</v>
      </c>
    </row>
    <row r="91" spans="2:42" outlineLevel="1" x14ac:dyDescent="0.3">
      <c r="B91" s="47" t="s">
        <v>305</v>
      </c>
      <c r="C91" s="81"/>
      <c r="D91" s="81"/>
      <c r="E91" s="81"/>
      <c r="F91" s="91"/>
      <c r="G91" s="76">
        <f t="shared" si="17"/>
        <v>1</v>
      </c>
      <c r="H91" s="86"/>
      <c r="I91" s="86"/>
      <c r="J91" s="86"/>
      <c r="K91" s="86"/>
      <c r="L91" s="86"/>
      <c r="M91" s="86"/>
      <c r="N91" s="87"/>
      <c r="O91" s="86"/>
      <c r="P91" s="86">
        <v>1</v>
      </c>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2:42" outlineLevel="1" x14ac:dyDescent="0.3">
      <c r="B92" s="47" t="s">
        <v>306</v>
      </c>
      <c r="C92" s="81"/>
      <c r="D92" s="81"/>
      <c r="E92" s="81"/>
      <c r="F92" s="91"/>
      <c r="G92" s="76">
        <f t="shared" si="17"/>
        <v>2</v>
      </c>
      <c r="H92" s="86"/>
      <c r="I92" s="86"/>
      <c r="J92" s="86"/>
      <c r="K92" s="86"/>
      <c r="L92" s="86"/>
      <c r="M92" s="86"/>
      <c r="N92" s="87"/>
      <c r="O92" s="86"/>
      <c r="P92" s="86"/>
      <c r="Q92" s="86">
        <v>1</v>
      </c>
      <c r="R92" s="86"/>
      <c r="S92" s="86"/>
      <c r="T92" s="86"/>
      <c r="U92" s="86"/>
      <c r="V92" s="86"/>
      <c r="W92" s="86"/>
      <c r="X92" s="86"/>
      <c r="Y92" s="86"/>
      <c r="Z92" s="86"/>
      <c r="AA92" s="86"/>
      <c r="AB92" s="86"/>
      <c r="AC92" s="86"/>
      <c r="AD92" s="86">
        <v>1</v>
      </c>
      <c r="AE92" s="86"/>
      <c r="AF92" s="86"/>
      <c r="AG92" s="86"/>
      <c r="AH92" s="86"/>
      <c r="AI92" s="86"/>
      <c r="AJ92" s="86"/>
      <c r="AK92" s="86"/>
      <c r="AL92" s="86"/>
      <c r="AM92" s="86"/>
      <c r="AN92" s="86"/>
      <c r="AO92" s="86"/>
      <c r="AP92" s="86"/>
    </row>
    <row r="93" spans="2:42" outlineLevel="1" x14ac:dyDescent="0.3">
      <c r="B93" s="47" t="s">
        <v>307</v>
      </c>
      <c r="C93" s="81"/>
      <c r="D93" s="81"/>
      <c r="E93" s="81"/>
      <c r="F93" s="91"/>
      <c r="G93" s="76">
        <f t="shared" si="17"/>
        <v>4</v>
      </c>
      <c r="H93" s="86"/>
      <c r="I93" s="86"/>
      <c r="J93" s="86"/>
      <c r="K93" s="86"/>
      <c r="L93" s="86">
        <v>1</v>
      </c>
      <c r="M93" s="86">
        <v>1</v>
      </c>
      <c r="N93" s="87"/>
      <c r="O93" s="86"/>
      <c r="P93" s="86"/>
      <c r="Q93" s="86"/>
      <c r="R93" s="86"/>
      <c r="S93" s="86"/>
      <c r="T93" s="86">
        <v>1</v>
      </c>
      <c r="U93" s="86"/>
      <c r="V93" s="86">
        <v>1</v>
      </c>
      <c r="W93" s="86"/>
      <c r="X93" s="86"/>
      <c r="Y93" s="86"/>
      <c r="Z93" s="86"/>
      <c r="AA93" s="86"/>
      <c r="AB93" s="86"/>
      <c r="AC93" s="86"/>
      <c r="AD93" s="86"/>
      <c r="AE93" s="86"/>
      <c r="AF93" s="86"/>
      <c r="AG93" s="86"/>
      <c r="AH93" s="86"/>
      <c r="AI93" s="86"/>
      <c r="AJ93" s="86"/>
      <c r="AK93" s="86"/>
      <c r="AL93" s="86"/>
      <c r="AM93" s="86"/>
      <c r="AN93" s="86"/>
      <c r="AO93" s="86"/>
      <c r="AP93" s="86"/>
    </row>
    <row r="94" spans="2:42" outlineLevel="1" x14ac:dyDescent="0.3">
      <c r="B94" s="47" t="s">
        <v>308</v>
      </c>
      <c r="C94" s="81"/>
      <c r="D94" s="81"/>
      <c r="E94" s="81"/>
      <c r="F94" s="91"/>
      <c r="G94" s="76">
        <f t="shared" si="17"/>
        <v>5</v>
      </c>
      <c r="H94" s="86"/>
      <c r="I94" s="86"/>
      <c r="J94" s="86"/>
      <c r="K94" s="86"/>
      <c r="L94" s="86"/>
      <c r="M94" s="86"/>
      <c r="N94" s="87"/>
      <c r="O94" s="86"/>
      <c r="P94" s="86"/>
      <c r="Q94" s="86"/>
      <c r="R94" s="86"/>
      <c r="S94" s="86">
        <v>1</v>
      </c>
      <c r="T94" s="86"/>
      <c r="U94" s="86"/>
      <c r="V94" s="86"/>
      <c r="W94" s="86"/>
      <c r="X94" s="86"/>
      <c r="Y94" s="86"/>
      <c r="Z94" s="86"/>
      <c r="AA94" s="86">
        <v>1</v>
      </c>
      <c r="AB94" s="86">
        <v>1</v>
      </c>
      <c r="AC94" s="86"/>
      <c r="AD94" s="86"/>
      <c r="AE94" s="86">
        <v>1</v>
      </c>
      <c r="AF94" s="86"/>
      <c r="AG94" s="86"/>
      <c r="AH94" s="86">
        <v>1</v>
      </c>
      <c r="AI94" s="86"/>
      <c r="AJ94" s="86"/>
      <c r="AK94" s="86"/>
      <c r="AL94" s="86"/>
      <c r="AM94" s="86"/>
      <c r="AN94" s="86"/>
      <c r="AO94" s="86"/>
      <c r="AP94" s="86"/>
    </row>
    <row r="95" spans="2:42" outlineLevel="1" x14ac:dyDescent="0.3">
      <c r="B95" s="47" t="s">
        <v>310</v>
      </c>
      <c r="C95" s="81"/>
      <c r="D95" s="81"/>
      <c r="E95" s="81"/>
      <c r="F95" s="91"/>
      <c r="G95" s="76">
        <f t="shared" si="17"/>
        <v>7</v>
      </c>
      <c r="H95" s="86"/>
      <c r="I95" s="86"/>
      <c r="J95" s="86">
        <v>1</v>
      </c>
      <c r="K95" s="86"/>
      <c r="L95" s="86"/>
      <c r="M95" s="86"/>
      <c r="N95" s="87"/>
      <c r="O95" s="86"/>
      <c r="P95" s="86"/>
      <c r="Q95" s="86"/>
      <c r="R95" s="86">
        <v>1</v>
      </c>
      <c r="S95" s="86"/>
      <c r="T95" s="86"/>
      <c r="U95" s="86"/>
      <c r="V95" s="86"/>
      <c r="W95" s="86"/>
      <c r="X95" s="86"/>
      <c r="Y95" s="86"/>
      <c r="Z95" s="86">
        <v>1</v>
      </c>
      <c r="AA95" s="86"/>
      <c r="AB95" s="86">
        <v>1</v>
      </c>
      <c r="AC95" s="86"/>
      <c r="AD95" s="86"/>
      <c r="AE95" s="86">
        <v>1</v>
      </c>
      <c r="AF95" s="86"/>
      <c r="AG95" s="86"/>
      <c r="AH95" s="86"/>
      <c r="AI95" s="86"/>
      <c r="AJ95" s="86">
        <v>1</v>
      </c>
      <c r="AK95" s="86">
        <v>1</v>
      </c>
      <c r="AL95" s="86"/>
      <c r="AM95" s="86"/>
      <c r="AN95" s="86"/>
      <c r="AO95" s="86"/>
      <c r="AP95" s="86"/>
    </row>
    <row r="96" spans="2:42" outlineLevel="1" x14ac:dyDescent="0.3">
      <c r="B96" s="47" t="s">
        <v>311</v>
      </c>
      <c r="C96" s="81"/>
      <c r="D96" s="81"/>
      <c r="E96" s="81"/>
      <c r="F96" s="91"/>
      <c r="G96" s="76">
        <f t="shared" si="17"/>
        <v>1</v>
      </c>
      <c r="H96" s="86"/>
      <c r="I96" s="86"/>
      <c r="J96" s="86"/>
      <c r="K96" s="86"/>
      <c r="L96" s="86"/>
      <c r="M96" s="86"/>
      <c r="N96" s="87"/>
      <c r="O96" s="86"/>
      <c r="P96" s="86"/>
      <c r="Q96" s="86"/>
      <c r="R96" s="86"/>
      <c r="S96" s="86"/>
      <c r="T96" s="86"/>
      <c r="U96" s="86"/>
      <c r="V96" s="86"/>
      <c r="W96" s="86"/>
      <c r="X96" s="86"/>
      <c r="Y96" s="86"/>
      <c r="Z96" s="86"/>
      <c r="AA96" s="86"/>
      <c r="AB96" s="86"/>
      <c r="AC96" s="86"/>
      <c r="AD96" s="86"/>
      <c r="AE96" s="86"/>
      <c r="AF96" s="86"/>
      <c r="AG96" s="86">
        <v>1</v>
      </c>
      <c r="AH96" s="86"/>
      <c r="AI96" s="86"/>
      <c r="AJ96" s="86"/>
      <c r="AK96" s="86"/>
      <c r="AL96" s="86"/>
      <c r="AM96" s="86"/>
      <c r="AN96" s="86"/>
      <c r="AO96" s="86"/>
      <c r="AP96" s="86"/>
    </row>
    <row r="97" spans="2:42" s="90" customFormat="1" x14ac:dyDescent="0.3">
      <c r="B97" s="79"/>
      <c r="C97" s="88"/>
      <c r="D97" s="88"/>
      <c r="E97" s="88"/>
      <c r="F97" s="92"/>
      <c r="G97" s="34"/>
      <c r="H97" s="89"/>
      <c r="I97" s="89"/>
      <c r="J97" s="89"/>
      <c r="K97" s="89"/>
      <c r="L97" s="89"/>
      <c r="M97" s="89"/>
      <c r="N97" s="88"/>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row>
    <row r="98" spans="2:42" x14ac:dyDescent="0.3">
      <c r="B98" s="80" t="s">
        <v>38</v>
      </c>
      <c r="C98" s="81"/>
      <c r="D98" s="81"/>
      <c r="E98" s="81"/>
      <c r="F98" s="82">
        <f>H44</f>
        <v>12</v>
      </c>
      <c r="G98" s="83">
        <f t="shared" ref="G98:AP98" si="18">SUM(G99:G110)</f>
        <v>23</v>
      </c>
      <c r="H98" s="83">
        <f t="shared" si="18"/>
        <v>2</v>
      </c>
      <c r="I98" s="83">
        <f t="shared" si="18"/>
        <v>0</v>
      </c>
      <c r="J98" s="83">
        <f t="shared" ref="J98" si="19">SUM(J99:J110)</f>
        <v>0</v>
      </c>
      <c r="K98" s="83">
        <f t="shared" si="18"/>
        <v>0</v>
      </c>
      <c r="L98" s="83">
        <f t="shared" si="18"/>
        <v>0</v>
      </c>
      <c r="M98" s="83">
        <f t="shared" si="18"/>
        <v>0</v>
      </c>
      <c r="N98" s="84">
        <f t="shared" si="18"/>
        <v>2</v>
      </c>
      <c r="O98" s="83">
        <f t="shared" si="18"/>
        <v>0</v>
      </c>
      <c r="P98" s="83">
        <f t="shared" si="18"/>
        <v>0</v>
      </c>
      <c r="Q98" s="83">
        <f t="shared" si="18"/>
        <v>0</v>
      </c>
      <c r="R98" s="83">
        <f t="shared" si="18"/>
        <v>0</v>
      </c>
      <c r="S98" s="83">
        <f t="shared" si="18"/>
        <v>4</v>
      </c>
      <c r="T98" s="83">
        <f t="shared" si="18"/>
        <v>1</v>
      </c>
      <c r="U98" s="83">
        <f t="shared" si="18"/>
        <v>0</v>
      </c>
      <c r="V98" s="83">
        <f t="shared" si="18"/>
        <v>0</v>
      </c>
      <c r="W98" s="83">
        <f t="shared" si="18"/>
        <v>1</v>
      </c>
      <c r="X98" s="83">
        <f t="shared" si="18"/>
        <v>1</v>
      </c>
      <c r="Y98" s="83">
        <f t="shared" si="18"/>
        <v>1</v>
      </c>
      <c r="Z98" s="83">
        <f>SUM(Z99:Z110)</f>
        <v>2</v>
      </c>
      <c r="AA98" s="83">
        <f>SUM(AA99:AA110)</f>
        <v>0</v>
      </c>
      <c r="AB98" s="83">
        <f t="shared" si="18"/>
        <v>1</v>
      </c>
      <c r="AC98" s="83">
        <f>SUM(AC99:AC110)</f>
        <v>2</v>
      </c>
      <c r="AD98" s="83">
        <f t="shared" si="18"/>
        <v>0</v>
      </c>
      <c r="AE98" s="83">
        <f t="shared" si="18"/>
        <v>0</v>
      </c>
      <c r="AF98" s="83">
        <f t="shared" si="18"/>
        <v>1</v>
      </c>
      <c r="AG98" s="83">
        <f t="shared" ref="AG98" si="20">SUM(AG99:AG110)</f>
        <v>0</v>
      </c>
      <c r="AH98" s="83">
        <f t="shared" si="18"/>
        <v>0</v>
      </c>
      <c r="AI98" s="83">
        <f t="shared" si="18"/>
        <v>0</v>
      </c>
      <c r="AJ98" s="83">
        <f t="shared" si="18"/>
        <v>2</v>
      </c>
      <c r="AK98" s="83">
        <f t="shared" ref="AK98" si="21">SUM(AK99:AK110)</f>
        <v>0</v>
      </c>
      <c r="AL98" s="83">
        <f t="shared" si="18"/>
        <v>1</v>
      </c>
      <c r="AM98" s="83">
        <f t="shared" si="18"/>
        <v>1</v>
      </c>
      <c r="AN98" s="83">
        <f t="shared" si="18"/>
        <v>0</v>
      </c>
      <c r="AO98" s="83">
        <f t="shared" si="18"/>
        <v>1</v>
      </c>
      <c r="AP98" s="83">
        <f t="shared" si="18"/>
        <v>0</v>
      </c>
    </row>
    <row r="99" spans="2:42" hidden="1" outlineLevel="1" x14ac:dyDescent="0.3">
      <c r="B99" s="47" t="s">
        <v>312</v>
      </c>
      <c r="C99" s="81"/>
      <c r="D99" s="81"/>
      <c r="E99" s="81"/>
      <c r="F99" s="91"/>
      <c r="G99" s="76">
        <f t="shared" ref="G99:G110" si="22">SUM(H99:AP99)</f>
        <v>2</v>
      </c>
      <c r="H99" s="86"/>
      <c r="I99" s="86"/>
      <c r="J99" s="86"/>
      <c r="K99" s="86"/>
      <c r="L99" s="86"/>
      <c r="M99" s="86"/>
      <c r="N99" s="87"/>
      <c r="O99" s="86"/>
      <c r="P99" s="86"/>
      <c r="Q99" s="86"/>
      <c r="R99" s="86"/>
      <c r="S99" s="86"/>
      <c r="T99" s="86"/>
      <c r="U99" s="86"/>
      <c r="V99" s="86"/>
      <c r="W99" s="86"/>
      <c r="X99" s="86"/>
      <c r="Y99" s="86">
        <v>1</v>
      </c>
      <c r="Z99" s="86"/>
      <c r="AA99" s="86"/>
      <c r="AB99" s="86"/>
      <c r="AC99" s="86"/>
      <c r="AD99" s="86"/>
      <c r="AE99" s="86"/>
      <c r="AF99" s="86"/>
      <c r="AG99" s="86"/>
      <c r="AH99" s="86"/>
      <c r="AI99" s="86"/>
      <c r="AJ99" s="86"/>
      <c r="AK99" s="86"/>
      <c r="AL99" s="86"/>
      <c r="AM99" s="86"/>
      <c r="AN99" s="86"/>
      <c r="AO99" s="86">
        <v>1</v>
      </c>
      <c r="AP99" s="86"/>
    </row>
    <row r="100" spans="2:42" hidden="1" outlineLevel="1" x14ac:dyDescent="0.3">
      <c r="B100" s="47" t="s">
        <v>313</v>
      </c>
      <c r="C100" s="81"/>
      <c r="D100" s="81"/>
      <c r="E100" s="81"/>
      <c r="F100" s="91"/>
      <c r="G100" s="76">
        <f t="shared" si="22"/>
        <v>1</v>
      </c>
      <c r="H100" s="86"/>
      <c r="I100" s="86"/>
      <c r="J100" s="86"/>
      <c r="K100" s="86"/>
      <c r="L100" s="86"/>
      <c r="M100" s="86"/>
      <c r="N100" s="87"/>
      <c r="O100" s="86"/>
      <c r="P100" s="86"/>
      <c r="Q100" s="86"/>
      <c r="R100" s="86"/>
      <c r="S100" s="86"/>
      <c r="T100" s="86"/>
      <c r="U100" s="86"/>
      <c r="V100" s="86"/>
      <c r="W100" s="86"/>
      <c r="X100" s="86"/>
      <c r="Y100" s="86"/>
      <c r="Z100" s="86">
        <v>1</v>
      </c>
      <c r="AA100" s="86"/>
      <c r="AB100" s="86"/>
      <c r="AC100" s="86"/>
      <c r="AD100" s="86"/>
      <c r="AE100" s="86"/>
      <c r="AF100" s="86"/>
      <c r="AG100" s="86"/>
      <c r="AH100" s="86"/>
      <c r="AI100" s="86"/>
      <c r="AJ100" s="86"/>
      <c r="AK100" s="86"/>
      <c r="AL100" s="86"/>
      <c r="AM100" s="86"/>
      <c r="AN100" s="86"/>
      <c r="AO100" s="86"/>
      <c r="AP100" s="86"/>
    </row>
    <row r="101" spans="2:42" hidden="1" outlineLevel="1" x14ac:dyDescent="0.3">
      <c r="B101" s="47" t="s">
        <v>315</v>
      </c>
      <c r="C101" s="81"/>
      <c r="D101" s="81"/>
      <c r="E101" s="81"/>
      <c r="F101" s="91"/>
      <c r="G101" s="76">
        <f t="shared" si="22"/>
        <v>1</v>
      </c>
      <c r="H101" s="86"/>
      <c r="I101" s="86"/>
      <c r="J101" s="86"/>
      <c r="K101" s="86"/>
      <c r="L101" s="86"/>
      <c r="M101" s="86"/>
      <c r="N101" s="87"/>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v>1</v>
      </c>
      <c r="AM101" s="86"/>
      <c r="AN101" s="86"/>
      <c r="AO101" s="86"/>
      <c r="AP101" s="86"/>
    </row>
    <row r="102" spans="2:42" hidden="1" outlineLevel="1" x14ac:dyDescent="0.3">
      <c r="B102" s="79" t="s">
        <v>317</v>
      </c>
      <c r="C102" s="81"/>
      <c r="D102" s="81"/>
      <c r="E102" s="81"/>
      <c r="F102" s="91"/>
      <c r="G102" s="76">
        <f t="shared" si="22"/>
        <v>3</v>
      </c>
      <c r="H102" s="86"/>
      <c r="I102" s="86"/>
      <c r="J102" s="86"/>
      <c r="K102" s="86"/>
      <c r="L102" s="86"/>
      <c r="M102" s="86"/>
      <c r="N102" s="87"/>
      <c r="O102" s="86"/>
      <c r="P102" s="86"/>
      <c r="Q102" s="86"/>
      <c r="R102" s="86"/>
      <c r="S102" s="86">
        <v>1</v>
      </c>
      <c r="T102" s="86"/>
      <c r="U102" s="86"/>
      <c r="V102" s="86"/>
      <c r="W102" s="86"/>
      <c r="X102" s="86"/>
      <c r="Y102" s="86"/>
      <c r="Z102" s="86">
        <v>1</v>
      </c>
      <c r="AA102" s="86"/>
      <c r="AB102" s="86"/>
      <c r="AC102" s="86"/>
      <c r="AD102" s="86"/>
      <c r="AE102" s="86"/>
      <c r="AF102" s="86">
        <v>1</v>
      </c>
      <c r="AG102" s="86"/>
      <c r="AH102" s="86"/>
      <c r="AI102" s="86"/>
      <c r="AJ102" s="86"/>
      <c r="AK102" s="86"/>
      <c r="AL102" s="86"/>
      <c r="AM102" s="86"/>
      <c r="AN102" s="86"/>
      <c r="AO102" s="86"/>
      <c r="AP102" s="86"/>
    </row>
    <row r="103" spans="2:42" hidden="1" outlineLevel="1" x14ac:dyDescent="0.3">
      <c r="B103" s="79" t="s">
        <v>318</v>
      </c>
      <c r="C103" s="81"/>
      <c r="D103" s="81"/>
      <c r="E103" s="81"/>
      <c r="F103" s="91"/>
      <c r="G103" s="76">
        <f t="shared" si="22"/>
        <v>2</v>
      </c>
      <c r="H103" s="86">
        <v>1</v>
      </c>
      <c r="I103" s="86"/>
      <c r="J103" s="86"/>
      <c r="K103" s="86"/>
      <c r="L103" s="86"/>
      <c r="M103" s="86"/>
      <c r="N103" s="87"/>
      <c r="O103" s="86"/>
      <c r="P103" s="86"/>
      <c r="Q103" s="86"/>
      <c r="R103" s="86"/>
      <c r="S103" s="86"/>
      <c r="T103" s="86"/>
      <c r="U103" s="86"/>
      <c r="V103" s="86"/>
      <c r="W103" s="86"/>
      <c r="X103" s="86"/>
      <c r="Y103" s="86"/>
      <c r="Z103" s="86"/>
      <c r="AA103" s="86"/>
      <c r="AB103" s="86"/>
      <c r="AC103" s="86">
        <v>1</v>
      </c>
      <c r="AD103" s="86"/>
      <c r="AE103" s="86"/>
      <c r="AF103" s="86"/>
      <c r="AG103" s="86"/>
      <c r="AH103" s="86"/>
      <c r="AI103" s="86"/>
      <c r="AJ103" s="86"/>
      <c r="AK103" s="86"/>
      <c r="AL103" s="86"/>
      <c r="AM103" s="86"/>
      <c r="AN103" s="86"/>
      <c r="AO103" s="86"/>
      <c r="AP103" s="86"/>
    </row>
    <row r="104" spans="2:42" hidden="1" outlineLevel="1" x14ac:dyDescent="0.3">
      <c r="B104" s="79" t="s">
        <v>319</v>
      </c>
      <c r="C104" s="81"/>
      <c r="D104" s="81"/>
      <c r="E104" s="81"/>
      <c r="F104" s="91"/>
      <c r="G104" s="76">
        <f t="shared" si="22"/>
        <v>2</v>
      </c>
      <c r="H104" s="86"/>
      <c r="I104" s="86"/>
      <c r="J104" s="86"/>
      <c r="K104" s="86"/>
      <c r="L104" s="86"/>
      <c r="M104" s="86"/>
      <c r="N104" s="87"/>
      <c r="O104" s="86"/>
      <c r="P104" s="86"/>
      <c r="Q104" s="86"/>
      <c r="R104" s="86"/>
      <c r="S104" s="86">
        <v>1</v>
      </c>
      <c r="T104" s="86"/>
      <c r="U104" s="86"/>
      <c r="V104" s="86"/>
      <c r="W104" s="86"/>
      <c r="X104" s="86"/>
      <c r="Y104" s="86"/>
      <c r="Z104" s="86"/>
      <c r="AA104" s="86"/>
      <c r="AB104" s="86"/>
      <c r="AC104" s="86"/>
      <c r="AD104" s="86"/>
      <c r="AE104" s="86"/>
      <c r="AF104" s="86"/>
      <c r="AG104" s="86"/>
      <c r="AH104" s="86"/>
      <c r="AI104" s="86"/>
      <c r="AJ104" s="86"/>
      <c r="AK104" s="86"/>
      <c r="AL104" s="86"/>
      <c r="AM104" s="86">
        <v>1</v>
      </c>
      <c r="AN104" s="86"/>
      <c r="AO104" s="86"/>
      <c r="AP104" s="86"/>
    </row>
    <row r="105" spans="2:42" hidden="1" outlineLevel="1" x14ac:dyDescent="0.3">
      <c r="B105" s="47" t="s">
        <v>321</v>
      </c>
      <c r="C105" s="81"/>
      <c r="D105" s="81"/>
      <c r="E105" s="81"/>
      <c r="F105" s="91"/>
      <c r="G105" s="76">
        <f t="shared" si="22"/>
        <v>1</v>
      </c>
      <c r="H105" s="86"/>
      <c r="I105" s="86"/>
      <c r="J105" s="86"/>
      <c r="K105" s="86"/>
      <c r="L105" s="86"/>
      <c r="M105" s="86"/>
      <c r="N105" s="87"/>
      <c r="O105" s="86"/>
      <c r="P105" s="86"/>
      <c r="Q105" s="86"/>
      <c r="R105" s="86"/>
      <c r="S105" s="86"/>
      <c r="T105" s="86"/>
      <c r="U105" s="86"/>
      <c r="V105" s="86"/>
      <c r="W105" s="86"/>
      <c r="X105" s="86"/>
      <c r="Y105" s="86"/>
      <c r="Z105" s="86"/>
      <c r="AA105" s="86"/>
      <c r="AB105" s="86"/>
      <c r="AC105" s="86"/>
      <c r="AD105" s="86"/>
      <c r="AE105" s="86"/>
      <c r="AF105" s="86"/>
      <c r="AG105" s="86"/>
      <c r="AH105" s="86"/>
      <c r="AI105" s="86"/>
      <c r="AJ105" s="86">
        <v>1</v>
      </c>
      <c r="AK105" s="86"/>
      <c r="AL105" s="86"/>
      <c r="AM105" s="86"/>
      <c r="AN105" s="86"/>
      <c r="AO105" s="86"/>
      <c r="AP105" s="86"/>
    </row>
    <row r="106" spans="2:42" hidden="1" outlineLevel="1" x14ac:dyDescent="0.3">
      <c r="B106" s="47" t="s">
        <v>322</v>
      </c>
      <c r="C106" s="81"/>
      <c r="D106" s="81"/>
      <c r="E106" s="81"/>
      <c r="F106" s="91"/>
      <c r="G106" s="76">
        <f t="shared" si="22"/>
        <v>1</v>
      </c>
      <c r="H106" s="86"/>
      <c r="I106" s="86"/>
      <c r="J106" s="86"/>
      <c r="K106" s="86"/>
      <c r="L106" s="86"/>
      <c r="M106" s="86"/>
      <c r="N106" s="87">
        <v>1</v>
      </c>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2:42" hidden="1" outlineLevel="1" x14ac:dyDescent="0.3">
      <c r="B107" s="47" t="s">
        <v>323</v>
      </c>
      <c r="C107" s="81"/>
      <c r="D107" s="81"/>
      <c r="E107" s="81"/>
      <c r="F107" s="91"/>
      <c r="G107" s="76">
        <f t="shared" si="22"/>
        <v>2</v>
      </c>
      <c r="H107" s="86"/>
      <c r="I107" s="86"/>
      <c r="J107" s="86"/>
      <c r="K107" s="86"/>
      <c r="L107" s="86"/>
      <c r="M107" s="86"/>
      <c r="N107" s="87"/>
      <c r="O107" s="86"/>
      <c r="P107" s="86"/>
      <c r="Q107" s="86"/>
      <c r="R107" s="86"/>
      <c r="S107" s="86"/>
      <c r="T107" s="86">
        <v>1</v>
      </c>
      <c r="U107" s="86"/>
      <c r="V107" s="86"/>
      <c r="W107" s="86"/>
      <c r="X107" s="86"/>
      <c r="Y107" s="86"/>
      <c r="Z107" s="86"/>
      <c r="AA107" s="86"/>
      <c r="AB107" s="86"/>
      <c r="AC107" s="86">
        <v>1</v>
      </c>
      <c r="AD107" s="86"/>
      <c r="AE107" s="86"/>
      <c r="AF107" s="86"/>
      <c r="AG107" s="86"/>
      <c r="AH107" s="86"/>
      <c r="AI107" s="86"/>
      <c r="AJ107" s="86"/>
      <c r="AK107" s="86"/>
      <c r="AL107" s="86"/>
      <c r="AM107" s="86"/>
      <c r="AN107" s="86"/>
      <c r="AO107" s="86"/>
      <c r="AP107" s="86"/>
    </row>
    <row r="108" spans="2:42" hidden="1" outlineLevel="1" x14ac:dyDescent="0.3">
      <c r="B108" s="47" t="s">
        <v>324</v>
      </c>
      <c r="C108" s="81"/>
      <c r="D108" s="81"/>
      <c r="E108" s="81"/>
      <c r="F108" s="91"/>
      <c r="G108" s="76">
        <f t="shared" si="22"/>
        <v>5</v>
      </c>
      <c r="H108" s="86"/>
      <c r="I108" s="86"/>
      <c r="J108" s="86"/>
      <c r="K108" s="86"/>
      <c r="L108" s="86"/>
      <c r="M108" s="86"/>
      <c r="N108" s="87"/>
      <c r="O108" s="86"/>
      <c r="P108" s="86"/>
      <c r="Q108" s="86"/>
      <c r="R108" s="86"/>
      <c r="S108" s="86">
        <v>1</v>
      </c>
      <c r="T108" s="86"/>
      <c r="U108" s="86"/>
      <c r="V108" s="86"/>
      <c r="W108" s="86">
        <v>1</v>
      </c>
      <c r="X108" s="86">
        <v>1</v>
      </c>
      <c r="Y108" s="86"/>
      <c r="Z108" s="86"/>
      <c r="AA108" s="86"/>
      <c r="AB108" s="86">
        <v>1</v>
      </c>
      <c r="AC108" s="86"/>
      <c r="AD108" s="86"/>
      <c r="AE108" s="86"/>
      <c r="AF108" s="86"/>
      <c r="AG108" s="86"/>
      <c r="AH108" s="86"/>
      <c r="AI108" s="86"/>
      <c r="AJ108" s="86">
        <v>1</v>
      </c>
      <c r="AK108" s="86"/>
      <c r="AL108" s="86"/>
      <c r="AM108" s="86"/>
      <c r="AN108" s="86"/>
      <c r="AO108" s="86"/>
      <c r="AP108" s="86"/>
    </row>
    <row r="109" spans="2:42" hidden="1" outlineLevel="1" x14ac:dyDescent="0.3">
      <c r="B109" s="47" t="s">
        <v>325</v>
      </c>
      <c r="C109" s="81"/>
      <c r="D109" s="81"/>
      <c r="E109" s="81"/>
      <c r="F109" s="91"/>
      <c r="G109" s="76">
        <f t="shared" si="22"/>
        <v>1</v>
      </c>
      <c r="H109" s="86">
        <v>1</v>
      </c>
      <c r="I109" s="86"/>
      <c r="J109" s="86"/>
      <c r="K109" s="86"/>
      <c r="L109" s="86"/>
      <c r="M109" s="86"/>
      <c r="N109" s="87"/>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2:42" hidden="1" outlineLevel="1" x14ac:dyDescent="0.3">
      <c r="B110" s="47" t="s">
        <v>326</v>
      </c>
      <c r="C110" s="81"/>
      <c r="D110" s="81"/>
      <c r="E110" s="81"/>
      <c r="F110" s="91"/>
      <c r="G110" s="76">
        <f t="shared" si="22"/>
        <v>2</v>
      </c>
      <c r="H110" s="86"/>
      <c r="I110" s="86"/>
      <c r="J110" s="86"/>
      <c r="K110" s="86"/>
      <c r="L110" s="86"/>
      <c r="M110" s="86"/>
      <c r="N110" s="87">
        <v>1</v>
      </c>
      <c r="O110" s="86"/>
      <c r="P110" s="86"/>
      <c r="Q110" s="86"/>
      <c r="R110" s="86"/>
      <c r="S110" s="86">
        <v>1</v>
      </c>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2:42" collapsed="1" x14ac:dyDescent="0.3">
      <c r="B111" s="93"/>
      <c r="C111" s="94"/>
      <c r="D111" s="94"/>
      <c r="E111" s="94"/>
      <c r="F111" s="95"/>
      <c r="G111" s="95"/>
      <c r="H111" s="95"/>
      <c r="I111" s="95"/>
      <c r="J111" s="95"/>
      <c r="K111" s="95"/>
      <c r="L111" s="95"/>
      <c r="M111" s="95"/>
      <c r="N111" s="94"/>
      <c r="O111" s="95"/>
      <c r="P111" s="95"/>
      <c r="Q111" s="95"/>
      <c r="R111" s="95"/>
      <c r="S111" s="95"/>
      <c r="T111" s="95"/>
      <c r="U111" s="95"/>
      <c r="V111" s="95"/>
      <c r="W111" s="95"/>
      <c r="X111" s="95"/>
      <c r="Y111" s="95"/>
      <c r="Z111" s="95"/>
      <c r="AA111" s="95"/>
      <c r="AB111" s="95"/>
      <c r="AC111" s="95"/>
      <c r="AD111" s="95"/>
      <c r="AE111" s="95"/>
      <c r="AF111" s="95"/>
      <c r="AG111" s="95"/>
      <c r="AH111" s="95"/>
      <c r="AI111" s="95"/>
      <c r="AJ111" s="95"/>
      <c r="AK111" s="95"/>
      <c r="AL111" s="95"/>
      <c r="AM111" s="95"/>
      <c r="AN111" s="95"/>
      <c r="AO111" s="95"/>
      <c r="AP111" s="95"/>
    </row>
    <row r="116" spans="2:2" x14ac:dyDescent="0.3">
      <c r="B116" s="96" t="s">
        <v>65</v>
      </c>
    </row>
    <row r="117" spans="2:2" x14ac:dyDescent="0.3">
      <c r="B117" s="90" t="s">
        <v>73</v>
      </c>
    </row>
    <row r="118" spans="2:2" x14ac:dyDescent="0.3">
      <c r="B118" s="90" t="s">
        <v>88</v>
      </c>
    </row>
    <row r="119" spans="2:2" x14ac:dyDescent="0.3">
      <c r="B119" s="90" t="s">
        <v>104</v>
      </c>
    </row>
    <row r="120" spans="2:2" x14ac:dyDescent="0.3">
      <c r="B120" s="90" t="s">
        <v>75</v>
      </c>
    </row>
    <row r="121" spans="2:2" x14ac:dyDescent="0.3">
      <c r="B121" s="90" t="s">
        <v>66</v>
      </c>
    </row>
    <row r="122" spans="2:2" x14ac:dyDescent="0.3">
      <c r="B122" t="s">
        <v>89</v>
      </c>
    </row>
  </sheetData>
  <sortState xmlns:xlrd2="http://schemas.microsoft.com/office/spreadsheetml/2017/richdata2" ref="B117:B121">
    <sortCondition ref="B117"/>
  </sortState>
  <mergeCells count="12">
    <mergeCell ref="M68:Y68"/>
    <mergeCell ref="P69:R69"/>
    <mergeCell ref="B9:E9"/>
    <mergeCell ref="B67:E70"/>
    <mergeCell ref="F67:G69"/>
    <mergeCell ref="M69:O69"/>
    <mergeCell ref="S69:Y69"/>
    <mergeCell ref="J8:K8"/>
    <mergeCell ref="B2:C2"/>
    <mergeCell ref="B8:E8"/>
    <mergeCell ref="F8:G8"/>
    <mergeCell ref="H8:I8"/>
  </mergeCells>
  <pageMargins left="0.7" right="0.7" top="0.75" bottom="0.75" header="0.3" footer="0.3"/>
  <pageSetup paperSize="5" scale="4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760E-AC57-4B09-8B9E-0805B9978A8E}">
  <sheetPr>
    <pageSetUpPr fitToPage="1"/>
  </sheetPr>
  <dimension ref="A1:CL140"/>
  <sheetViews>
    <sheetView workbookViewId="0">
      <pane xSplit="1" topLeftCell="B1" activePane="topRight" state="frozen"/>
      <selection activeCell="A70" sqref="A70"/>
      <selection pane="topRight" activeCell="A4" sqref="A4"/>
    </sheetView>
  </sheetViews>
  <sheetFormatPr defaultRowHeight="14.4" outlineLevelRow="1" x14ac:dyDescent="0.3"/>
  <cols>
    <col min="1" max="2" width="16.44140625" customWidth="1"/>
    <col min="4" max="4" width="13.44140625" customWidth="1"/>
    <col min="5" max="6" width="12.109375" customWidth="1"/>
    <col min="7" max="7" width="17.44140625" customWidth="1"/>
    <col min="8" max="12" width="17.109375" customWidth="1"/>
    <col min="13" max="19" width="15.5546875" customWidth="1"/>
    <col min="20" max="20" width="19.109375" customWidth="1"/>
    <col min="21" max="40" width="15.5546875" customWidth="1"/>
    <col min="41" max="41" width="17.109375" customWidth="1"/>
    <col min="42" max="43" width="15.5546875" customWidth="1"/>
    <col min="44" max="44" width="19.88671875" customWidth="1"/>
    <col min="45" max="51" width="15.5546875" customWidth="1"/>
    <col min="52" max="52" width="20.6640625" customWidth="1"/>
    <col min="53" max="53" width="18" customWidth="1"/>
    <col min="54" max="55" width="15.5546875" customWidth="1"/>
    <col min="56" max="56" width="18.33203125" customWidth="1"/>
    <col min="57" max="57" width="20.109375" customWidth="1"/>
    <col min="58" max="62" width="15.5546875" customWidth="1"/>
    <col min="63" max="63" width="18.88671875" customWidth="1"/>
    <col min="64" max="64" width="14.88671875" customWidth="1"/>
    <col min="65" max="65" width="18.33203125" customWidth="1"/>
    <col min="66" max="75" width="14.88671875" customWidth="1"/>
  </cols>
  <sheetData>
    <row r="1" spans="1:41" s="1" customFormat="1" ht="13.2" x14ac:dyDescent="0.25">
      <c r="D1" s="2"/>
      <c r="E1" s="2"/>
      <c r="F1" s="2"/>
      <c r="I1" s="3"/>
      <c r="J1" s="3"/>
      <c r="K1" s="3"/>
      <c r="L1" s="3"/>
      <c r="M1" s="2"/>
      <c r="AO1" s="3"/>
    </row>
    <row r="2" spans="1:41" s="1" customFormat="1" ht="18.600000000000001" customHeight="1" x14ac:dyDescent="0.25">
      <c r="A2" s="151" t="s">
        <v>480</v>
      </c>
      <c r="B2" s="152"/>
      <c r="D2" s="4"/>
      <c r="E2" s="2"/>
      <c r="F2" s="2"/>
      <c r="I2" s="3"/>
      <c r="J2" s="3"/>
      <c r="K2" s="3"/>
      <c r="L2" s="3"/>
      <c r="M2" s="2"/>
      <c r="AO2" s="3"/>
    </row>
    <row r="3" spans="1:41" s="1" customFormat="1" ht="20.399999999999999" customHeight="1" x14ac:dyDescent="0.3">
      <c r="A3" s="5" t="s">
        <v>484</v>
      </c>
      <c r="E3" s="2"/>
      <c r="F3" s="2"/>
      <c r="G3" s="3"/>
      <c r="H3" s="3"/>
      <c r="I3" s="3"/>
      <c r="J3" s="3"/>
      <c r="K3" s="3"/>
      <c r="L3" s="3"/>
      <c r="M3" s="2"/>
      <c r="AO3" s="3"/>
    </row>
    <row r="4" spans="1:41" s="1" customFormat="1" ht="15.6" x14ac:dyDescent="0.3">
      <c r="A4" s="5"/>
      <c r="E4" s="2"/>
      <c r="F4" s="2"/>
      <c r="G4" s="3"/>
      <c r="H4" s="3"/>
      <c r="I4" s="3"/>
      <c r="J4" s="3"/>
      <c r="K4" s="3"/>
      <c r="L4" s="3"/>
      <c r="M4" s="2"/>
      <c r="AO4" s="3"/>
    </row>
    <row r="5" spans="1:41" s="1" customFormat="1" ht="18.75" customHeight="1" x14ac:dyDescent="0.25">
      <c r="A5" s="6" t="s">
        <v>151</v>
      </c>
      <c r="E5" s="2"/>
      <c r="F5" s="2"/>
      <c r="G5" s="3"/>
      <c r="H5" s="3"/>
      <c r="I5" s="3"/>
      <c r="J5" s="3"/>
      <c r="K5" s="3"/>
      <c r="L5" s="3"/>
      <c r="M5" s="3"/>
      <c r="N5" s="3"/>
      <c r="O5" s="3"/>
      <c r="P5" s="3"/>
      <c r="Q5" s="3"/>
      <c r="R5" s="3"/>
      <c r="S5" s="3"/>
      <c r="T5" s="3"/>
      <c r="AO5" s="3"/>
    </row>
    <row r="6" spans="1:41" s="1" customFormat="1" ht="24" customHeight="1" x14ac:dyDescent="0.25">
      <c r="A6" s="123" t="s">
        <v>153</v>
      </c>
      <c r="B6" s="115"/>
      <c r="C6" s="115"/>
      <c r="D6" s="115"/>
      <c r="E6" s="115"/>
      <c r="F6" s="115"/>
      <c r="G6" s="115"/>
      <c r="H6" s="115"/>
      <c r="I6" s="115"/>
      <c r="J6" s="115"/>
      <c r="K6" s="115"/>
      <c r="L6" s="115"/>
      <c r="M6" s="115"/>
      <c r="N6" s="115"/>
      <c r="O6" s="115"/>
      <c r="P6" s="115"/>
      <c r="Q6" s="115"/>
      <c r="R6" s="115"/>
      <c r="S6" s="115"/>
      <c r="T6" s="115"/>
      <c r="AO6" s="115"/>
    </row>
    <row r="7" spans="1:41" s="11" customFormat="1" ht="13.2" x14ac:dyDescent="0.25">
      <c r="A7" s="7"/>
      <c r="B7" s="7"/>
      <c r="C7" s="7"/>
      <c r="D7" s="3"/>
      <c r="E7" s="8"/>
      <c r="F7" s="8"/>
      <c r="G7" s="8"/>
      <c r="H7" s="8"/>
      <c r="I7" s="12"/>
      <c r="J7" s="9"/>
      <c r="K7" s="3"/>
      <c r="L7" s="9"/>
      <c r="M7" s="3"/>
      <c r="N7" s="10"/>
      <c r="O7" s="10"/>
      <c r="P7" s="10"/>
      <c r="Q7" s="10"/>
      <c r="R7" s="10"/>
      <c r="S7" s="10"/>
      <c r="AO7" s="9"/>
    </row>
    <row r="8" spans="1:41" s="1" customFormat="1" ht="53.4" customHeight="1" x14ac:dyDescent="0.25">
      <c r="A8" s="153" t="s">
        <v>2</v>
      </c>
      <c r="B8" s="154"/>
      <c r="C8" s="154"/>
      <c r="D8" s="155"/>
      <c r="E8" s="156" t="s">
        <v>154</v>
      </c>
      <c r="F8" s="157"/>
      <c r="G8" s="156" t="s">
        <v>155</v>
      </c>
      <c r="H8" s="157"/>
      <c r="I8" s="149" t="s">
        <v>156</v>
      </c>
      <c r="J8" s="150"/>
      <c r="K8" s="12"/>
      <c r="L8" s="12"/>
      <c r="M8" s="3"/>
      <c r="N8" s="3"/>
      <c r="O8" s="3"/>
      <c r="P8" s="2"/>
      <c r="Q8" s="2"/>
      <c r="R8" s="2"/>
      <c r="S8" s="2"/>
      <c r="T8" s="2"/>
      <c r="U8" s="2"/>
      <c r="AO8" s="12"/>
    </row>
    <row r="9" spans="1:41" s="1" customFormat="1" ht="14.4" customHeight="1" x14ac:dyDescent="0.25">
      <c r="A9" s="164" t="s">
        <v>6</v>
      </c>
      <c r="B9" s="165"/>
      <c r="C9" s="165"/>
      <c r="D9" s="165"/>
      <c r="E9" s="13" t="s">
        <v>7</v>
      </c>
      <c r="F9" s="14" t="s">
        <v>8</v>
      </c>
      <c r="G9" s="13" t="s">
        <v>7</v>
      </c>
      <c r="H9" s="14" t="s">
        <v>8</v>
      </c>
      <c r="I9" s="13" t="s">
        <v>7</v>
      </c>
      <c r="J9" s="15" t="s">
        <v>8</v>
      </c>
      <c r="K9" s="16"/>
      <c r="L9" s="16"/>
      <c r="M9" s="3"/>
      <c r="N9" s="3"/>
      <c r="O9" s="3"/>
      <c r="P9" s="2"/>
      <c r="Q9" s="2"/>
      <c r="R9" s="2"/>
      <c r="S9" s="2"/>
      <c r="T9" s="2"/>
      <c r="U9" s="2"/>
      <c r="AO9" s="16"/>
    </row>
    <row r="10" spans="1:41" s="1" customFormat="1" ht="15" customHeight="1" x14ac:dyDescent="0.25">
      <c r="A10" s="18"/>
      <c r="B10" s="19"/>
      <c r="C10" s="19"/>
      <c r="D10" s="19"/>
      <c r="E10" s="20"/>
      <c r="F10" s="21"/>
      <c r="G10" s="20"/>
      <c r="H10" s="21"/>
      <c r="I10" s="20"/>
      <c r="J10" s="22"/>
      <c r="K10" s="3"/>
      <c r="L10" s="3"/>
      <c r="M10" s="3"/>
      <c r="N10" s="3"/>
      <c r="O10" s="3"/>
      <c r="P10" s="2"/>
      <c r="Q10" s="2"/>
      <c r="R10" s="2"/>
      <c r="S10" s="2"/>
      <c r="T10" s="2"/>
      <c r="U10" s="2"/>
      <c r="AO10" s="3"/>
    </row>
    <row r="11" spans="1:41" s="1" customFormat="1" ht="15" customHeight="1" x14ac:dyDescent="0.25">
      <c r="A11" s="23" t="s">
        <v>9</v>
      </c>
      <c r="B11" s="24"/>
      <c r="C11" s="24"/>
      <c r="D11" s="25">
        <f>SUM(E11,G11,I11)</f>
        <v>43</v>
      </c>
      <c r="E11" s="26">
        <f>SUM(E13,E17,E24,E34,E44,E60)</f>
        <v>4</v>
      </c>
      <c r="F11" s="27">
        <f>E11/$D$11</f>
        <v>9.3023255813953487E-2</v>
      </c>
      <c r="G11" s="28">
        <f>SUM(G13,G17,G24,G34,G44,G60)</f>
        <v>39</v>
      </c>
      <c r="H11" s="27">
        <f>G11/$D$11</f>
        <v>0.90697674418604646</v>
      </c>
      <c r="I11" s="26">
        <f>SUM(I13,I17,I24,I34,I44,I60)</f>
        <v>0</v>
      </c>
      <c r="J11" s="29">
        <f>I11/$D$11</f>
        <v>0</v>
      </c>
      <c r="K11" s="30"/>
      <c r="L11" s="30"/>
      <c r="M11" s="32"/>
      <c r="N11" s="32"/>
      <c r="O11" s="32"/>
      <c r="P11" s="2"/>
      <c r="Q11" s="2"/>
      <c r="R11" s="2"/>
      <c r="S11" s="2"/>
      <c r="T11" s="2"/>
      <c r="U11" s="2"/>
      <c r="AO11" s="30"/>
    </row>
    <row r="12" spans="1:41" s="9" customFormat="1" ht="15" customHeight="1" x14ac:dyDescent="0.25">
      <c r="A12" s="33"/>
      <c r="B12" s="7"/>
      <c r="C12" s="7"/>
      <c r="D12" s="3"/>
      <c r="E12" s="34"/>
      <c r="F12" s="3"/>
      <c r="G12" s="35"/>
      <c r="H12" s="3"/>
      <c r="I12" s="34"/>
      <c r="J12" s="36"/>
      <c r="K12" s="3"/>
      <c r="L12" s="3"/>
      <c r="M12" s="3"/>
      <c r="N12" s="3"/>
      <c r="O12" s="3"/>
      <c r="P12" s="3"/>
      <c r="Q12" s="3"/>
      <c r="R12" s="3"/>
      <c r="S12" s="3"/>
      <c r="T12" s="3"/>
      <c r="U12" s="3"/>
      <c r="AO12" s="3"/>
    </row>
    <row r="13" spans="1:41" s="9" customFormat="1" ht="15" customHeight="1" x14ac:dyDescent="0.25">
      <c r="A13" s="37" t="s">
        <v>10</v>
      </c>
      <c r="B13" s="38"/>
      <c r="C13" s="38"/>
      <c r="D13" s="39"/>
      <c r="E13" s="40">
        <f>SUM(E14:E16)</f>
        <v>0</v>
      </c>
      <c r="F13" s="39"/>
      <c r="G13" s="40">
        <f>SUM(G14:G16)</f>
        <v>3</v>
      </c>
      <c r="H13" s="39"/>
      <c r="I13" s="40">
        <f>SUM(I14:I16)</f>
        <v>0</v>
      </c>
      <c r="J13" s="42"/>
      <c r="K13" s="3"/>
      <c r="L13" s="3"/>
      <c r="M13" s="3"/>
      <c r="N13" s="3"/>
      <c r="O13" s="3"/>
      <c r="P13" s="3"/>
      <c r="Q13" s="3"/>
      <c r="R13" s="3"/>
      <c r="S13" s="3"/>
      <c r="T13" s="3"/>
      <c r="U13" s="3"/>
      <c r="AO13" s="3"/>
    </row>
    <row r="14" spans="1:41" s="9" customFormat="1" ht="15" customHeight="1" outlineLevel="1" x14ac:dyDescent="0.3">
      <c r="A14" s="47" t="s">
        <v>284</v>
      </c>
      <c r="B14" s="7"/>
      <c r="C14" s="7"/>
      <c r="D14" s="3"/>
      <c r="E14" s="44"/>
      <c r="F14" s="3"/>
      <c r="G14" s="45">
        <v>1</v>
      </c>
      <c r="H14" s="3"/>
      <c r="I14" s="44" t="s">
        <v>391</v>
      </c>
      <c r="J14" s="36"/>
      <c r="K14" s="3"/>
      <c r="L14" s="3"/>
      <c r="M14" s="3"/>
      <c r="N14" s="3"/>
      <c r="O14" s="3"/>
      <c r="P14" s="3"/>
      <c r="Q14" s="3"/>
      <c r="R14" s="3"/>
      <c r="S14" s="3"/>
      <c r="T14" s="3"/>
      <c r="U14" s="3"/>
      <c r="AO14" s="3"/>
    </row>
    <row r="15" spans="1:41" s="9" customFormat="1" ht="15" customHeight="1" outlineLevel="1" x14ac:dyDescent="0.3">
      <c r="A15" s="43" t="s">
        <v>11</v>
      </c>
      <c r="B15" s="7"/>
      <c r="C15" s="7"/>
      <c r="D15" s="3"/>
      <c r="E15" s="44"/>
      <c r="F15" s="3"/>
      <c r="G15" s="45">
        <v>1</v>
      </c>
      <c r="H15" s="3"/>
      <c r="I15" s="44" t="s">
        <v>391</v>
      </c>
      <c r="J15" s="36"/>
      <c r="K15" s="3"/>
      <c r="L15" s="3"/>
      <c r="M15" s="3"/>
      <c r="N15" s="3"/>
      <c r="O15" s="3"/>
      <c r="P15" s="3"/>
      <c r="Q15" s="3"/>
      <c r="R15" s="3"/>
      <c r="S15" s="3"/>
      <c r="T15" s="3"/>
      <c r="U15" s="3"/>
      <c r="AO15" s="3"/>
    </row>
    <row r="16" spans="1:41" s="9" customFormat="1" ht="15" customHeight="1" outlineLevel="1" x14ac:dyDescent="0.3">
      <c r="A16" s="43" t="s">
        <v>12</v>
      </c>
      <c r="B16" s="7"/>
      <c r="C16" s="7"/>
      <c r="D16" s="3"/>
      <c r="E16" s="44"/>
      <c r="F16" s="3"/>
      <c r="G16" s="45">
        <v>1</v>
      </c>
      <c r="H16" s="3"/>
      <c r="I16" s="44" t="s">
        <v>391</v>
      </c>
      <c r="J16" s="36"/>
      <c r="K16" s="3"/>
      <c r="L16" s="3"/>
      <c r="M16" s="3"/>
      <c r="N16" s="3"/>
      <c r="O16" s="3"/>
      <c r="P16" s="3"/>
      <c r="Q16" s="3"/>
      <c r="R16" s="3"/>
      <c r="S16" s="3"/>
      <c r="T16" s="3"/>
      <c r="U16" s="3"/>
      <c r="AO16" s="3"/>
    </row>
    <row r="17" spans="1:41" s="9" customFormat="1" ht="15" customHeight="1" x14ac:dyDescent="0.25">
      <c r="A17" s="46" t="s">
        <v>13</v>
      </c>
      <c r="B17" s="7"/>
      <c r="C17" s="7"/>
      <c r="D17" s="3"/>
      <c r="E17" s="34">
        <f>SUM(E18:E23)</f>
        <v>0</v>
      </c>
      <c r="F17" s="3"/>
      <c r="G17" s="35">
        <f>SUM(G18:G23)</f>
        <v>6</v>
      </c>
      <c r="H17" s="3"/>
      <c r="I17" s="34">
        <f>SUM(I18:I23)</f>
        <v>0</v>
      </c>
      <c r="J17" s="36"/>
      <c r="K17" s="3"/>
      <c r="L17" s="3"/>
      <c r="M17" s="3"/>
      <c r="N17" s="3"/>
      <c r="O17" s="3"/>
      <c r="P17" s="3"/>
      <c r="Q17" s="3"/>
      <c r="R17" s="3"/>
      <c r="S17" s="3"/>
      <c r="T17" s="3"/>
      <c r="U17" s="3"/>
      <c r="AO17" s="3"/>
    </row>
    <row r="18" spans="1:41" s="9" customFormat="1" ht="15" customHeight="1" outlineLevel="1" x14ac:dyDescent="0.3">
      <c r="A18" s="47" t="s">
        <v>14</v>
      </c>
      <c r="B18" s="7"/>
      <c r="C18" s="7"/>
      <c r="D18" s="3"/>
      <c r="E18" s="44"/>
      <c r="F18" s="3"/>
      <c r="G18" s="45">
        <v>1</v>
      </c>
      <c r="H18" s="3"/>
      <c r="I18" s="44" t="s">
        <v>391</v>
      </c>
      <c r="J18" s="36"/>
      <c r="K18" s="3"/>
      <c r="L18" s="3"/>
      <c r="M18" s="3"/>
      <c r="N18" s="3"/>
      <c r="O18" s="3"/>
      <c r="P18" s="3"/>
      <c r="Q18" s="3"/>
      <c r="R18" s="3"/>
      <c r="S18" s="3"/>
      <c r="T18" s="3"/>
      <c r="U18" s="3"/>
      <c r="AO18" s="3"/>
    </row>
    <row r="19" spans="1:41" s="9" customFormat="1" ht="15" customHeight="1" outlineLevel="1" x14ac:dyDescent="0.3">
      <c r="A19" s="47" t="s">
        <v>15</v>
      </c>
      <c r="B19" s="7"/>
      <c r="C19" s="7"/>
      <c r="D19" s="3"/>
      <c r="E19" s="44"/>
      <c r="F19" s="3"/>
      <c r="G19" s="45">
        <v>1</v>
      </c>
      <c r="H19" s="3"/>
      <c r="I19" s="44" t="s">
        <v>391</v>
      </c>
      <c r="J19" s="36"/>
      <c r="K19" s="3"/>
      <c r="L19" s="3"/>
      <c r="M19" s="3"/>
      <c r="N19" s="3"/>
      <c r="O19" s="3"/>
      <c r="P19" s="3"/>
      <c r="Q19" s="3"/>
      <c r="R19" s="3"/>
      <c r="S19" s="3"/>
      <c r="T19" s="3"/>
      <c r="U19" s="3"/>
      <c r="AO19" s="3"/>
    </row>
    <row r="20" spans="1:41" s="9" customFormat="1" ht="15" customHeight="1" outlineLevel="1" x14ac:dyDescent="0.3">
      <c r="A20" s="47" t="s">
        <v>16</v>
      </c>
      <c r="B20" s="7"/>
      <c r="C20" s="7"/>
      <c r="D20" s="3"/>
      <c r="E20" s="44"/>
      <c r="F20" s="3"/>
      <c r="G20" s="45">
        <v>1</v>
      </c>
      <c r="H20" s="3"/>
      <c r="I20" s="44" t="s">
        <v>391</v>
      </c>
      <c r="J20" s="36"/>
      <c r="K20" s="3"/>
      <c r="L20" s="3"/>
      <c r="M20" s="3"/>
      <c r="N20" s="3"/>
      <c r="O20" s="3"/>
      <c r="P20" s="3"/>
      <c r="Q20" s="3"/>
      <c r="R20" s="3"/>
      <c r="S20" s="3"/>
      <c r="T20" s="3"/>
      <c r="U20" s="3"/>
      <c r="AO20" s="3"/>
    </row>
    <row r="21" spans="1:41" s="9" customFormat="1" ht="15" customHeight="1" outlineLevel="1" x14ac:dyDescent="0.3">
      <c r="A21" s="47" t="s">
        <v>17</v>
      </c>
      <c r="B21" s="7"/>
      <c r="C21" s="7"/>
      <c r="D21" s="3"/>
      <c r="E21" s="44"/>
      <c r="F21" s="3"/>
      <c r="G21" s="45">
        <v>1</v>
      </c>
      <c r="H21" s="3"/>
      <c r="I21" s="44" t="s">
        <v>391</v>
      </c>
      <c r="J21" s="36"/>
      <c r="K21" s="3"/>
      <c r="L21" s="3"/>
      <c r="M21" s="3"/>
      <c r="N21" s="3"/>
      <c r="O21" s="3"/>
      <c r="P21" s="3"/>
      <c r="Q21" s="3"/>
      <c r="R21" s="3"/>
      <c r="S21" s="3"/>
      <c r="T21" s="3"/>
      <c r="U21" s="3"/>
      <c r="AO21" s="3"/>
    </row>
    <row r="22" spans="1:41" s="9" customFormat="1" ht="15" customHeight="1" outlineLevel="1" x14ac:dyDescent="0.3">
      <c r="A22" s="47" t="s">
        <v>82</v>
      </c>
      <c r="B22" s="7"/>
      <c r="C22" s="7"/>
      <c r="D22" s="3"/>
      <c r="E22" s="44"/>
      <c r="F22" s="3"/>
      <c r="G22" s="45">
        <v>1</v>
      </c>
      <c r="H22" s="3"/>
      <c r="I22" s="44" t="s">
        <v>391</v>
      </c>
      <c r="J22" s="36"/>
      <c r="K22" s="3"/>
      <c r="L22" s="3"/>
      <c r="M22" s="3"/>
      <c r="N22" s="3"/>
      <c r="O22" s="3"/>
      <c r="P22" s="3"/>
      <c r="Q22" s="3"/>
      <c r="R22" s="3"/>
      <c r="S22" s="3"/>
      <c r="T22" s="3"/>
      <c r="U22" s="3"/>
      <c r="AO22" s="3"/>
    </row>
    <row r="23" spans="1:41" s="9" customFormat="1" ht="15" customHeight="1" outlineLevel="1" x14ac:dyDescent="0.3">
      <c r="A23" s="47" t="s">
        <v>18</v>
      </c>
      <c r="B23" s="7"/>
      <c r="C23" s="7"/>
      <c r="D23" s="3"/>
      <c r="E23" s="44"/>
      <c r="F23" s="3"/>
      <c r="G23" s="45">
        <v>1</v>
      </c>
      <c r="H23" s="3"/>
      <c r="I23" s="44" t="s">
        <v>391</v>
      </c>
      <c r="J23" s="36"/>
      <c r="K23" s="3"/>
      <c r="L23" s="3"/>
      <c r="M23" s="3"/>
      <c r="N23" s="3"/>
      <c r="O23" s="3"/>
      <c r="P23" s="3"/>
      <c r="Q23" s="3"/>
      <c r="R23" s="3"/>
      <c r="S23" s="3"/>
      <c r="T23" s="3"/>
      <c r="U23" s="3"/>
      <c r="AO23" s="3"/>
    </row>
    <row r="24" spans="1:41" s="9" customFormat="1" ht="15" customHeight="1" x14ac:dyDescent="0.25">
      <c r="A24" s="37" t="s">
        <v>19</v>
      </c>
      <c r="B24" s="38"/>
      <c r="C24" s="38"/>
      <c r="D24" s="39"/>
      <c r="E24" s="40">
        <f>SUM(E25:E33)</f>
        <v>1</v>
      </c>
      <c r="F24" s="39"/>
      <c r="G24" s="41">
        <f>SUM(G25:G33)</f>
        <v>8</v>
      </c>
      <c r="H24" s="39"/>
      <c r="I24" s="40">
        <f>SUM(I25:I33)</f>
        <v>0</v>
      </c>
      <c r="J24" s="42"/>
      <c r="K24" s="3"/>
      <c r="L24" s="3"/>
      <c r="M24" s="3"/>
      <c r="N24" s="3"/>
      <c r="O24" s="3"/>
      <c r="P24" s="3"/>
      <c r="Q24" s="3"/>
      <c r="R24" s="3"/>
      <c r="S24" s="3"/>
      <c r="T24" s="3"/>
      <c r="U24" s="3"/>
      <c r="AO24" s="3"/>
    </row>
    <row r="25" spans="1:41" s="9" customFormat="1" ht="15" customHeight="1" outlineLevel="1" x14ac:dyDescent="0.3">
      <c r="A25" s="47" t="s">
        <v>20</v>
      </c>
      <c r="B25" s="7"/>
      <c r="C25" s="7"/>
      <c r="D25" s="3"/>
      <c r="E25" s="44"/>
      <c r="F25" s="3"/>
      <c r="G25" s="45">
        <v>1</v>
      </c>
      <c r="H25" s="3"/>
      <c r="I25" s="44" t="s">
        <v>391</v>
      </c>
      <c r="J25" s="36"/>
      <c r="K25" s="3"/>
      <c r="L25" s="3"/>
      <c r="M25" s="3"/>
      <c r="N25" s="3"/>
      <c r="O25" s="3"/>
      <c r="P25" s="3"/>
      <c r="Q25" s="3"/>
      <c r="R25" s="3"/>
      <c r="S25" s="3"/>
      <c r="T25" s="3"/>
      <c r="U25" s="3"/>
      <c r="AO25" s="3"/>
    </row>
    <row r="26" spans="1:41" s="9" customFormat="1" ht="15" customHeight="1" outlineLevel="1" x14ac:dyDescent="0.3">
      <c r="A26" s="47" t="s">
        <v>21</v>
      </c>
      <c r="B26" s="7"/>
      <c r="C26" s="7"/>
      <c r="D26" s="3"/>
      <c r="E26" s="44"/>
      <c r="F26" s="3"/>
      <c r="G26" s="45">
        <v>1</v>
      </c>
      <c r="H26" s="3"/>
      <c r="I26" s="44" t="s">
        <v>391</v>
      </c>
      <c r="J26" s="36"/>
      <c r="K26" s="3"/>
      <c r="L26" s="3"/>
      <c r="M26" s="3"/>
      <c r="N26" s="3"/>
      <c r="O26" s="3"/>
      <c r="P26" s="3"/>
      <c r="Q26" s="3"/>
      <c r="R26" s="3"/>
      <c r="S26" s="3"/>
      <c r="T26" s="3"/>
      <c r="U26" s="3"/>
      <c r="AO26" s="3"/>
    </row>
    <row r="27" spans="1:41" s="9" customFormat="1" ht="15" customHeight="1" outlineLevel="1" x14ac:dyDescent="0.3">
      <c r="A27" s="47" t="s">
        <v>83</v>
      </c>
      <c r="B27" s="7"/>
      <c r="C27" s="7"/>
      <c r="D27" s="3"/>
      <c r="E27" s="44"/>
      <c r="F27" s="3"/>
      <c r="G27" s="45">
        <v>1</v>
      </c>
      <c r="H27" s="3"/>
      <c r="I27" s="44" t="s">
        <v>391</v>
      </c>
      <c r="J27" s="36"/>
      <c r="K27" s="3"/>
      <c r="L27" s="3"/>
      <c r="M27" s="3"/>
      <c r="N27" s="3"/>
      <c r="O27" s="3"/>
      <c r="P27" s="3"/>
      <c r="Q27" s="3"/>
      <c r="R27" s="3"/>
      <c r="S27" s="3"/>
      <c r="T27" s="3"/>
      <c r="U27" s="3"/>
      <c r="AO27" s="3"/>
    </row>
    <row r="28" spans="1:41" s="9" customFormat="1" ht="15" customHeight="1" outlineLevel="1" x14ac:dyDescent="0.3">
      <c r="A28" s="47" t="s">
        <v>22</v>
      </c>
      <c r="B28" s="7"/>
      <c r="C28" s="7"/>
      <c r="D28" s="3"/>
      <c r="E28" s="44"/>
      <c r="F28" s="3"/>
      <c r="G28" s="45">
        <v>1</v>
      </c>
      <c r="H28" s="3"/>
      <c r="I28" s="44" t="s">
        <v>391</v>
      </c>
      <c r="J28" s="36"/>
      <c r="K28" s="3"/>
      <c r="L28" s="3"/>
      <c r="M28" s="3"/>
      <c r="N28" s="3"/>
      <c r="O28" s="3"/>
      <c r="P28" s="3"/>
      <c r="Q28" s="3"/>
      <c r="R28" s="3"/>
      <c r="S28" s="3"/>
      <c r="T28" s="3"/>
      <c r="U28" s="3"/>
      <c r="AO28" s="3"/>
    </row>
    <row r="29" spans="1:41" s="9" customFormat="1" ht="15" customHeight="1" outlineLevel="1" x14ac:dyDescent="0.3">
      <c r="A29" s="47" t="s">
        <v>23</v>
      </c>
      <c r="B29" s="7"/>
      <c r="C29" s="7"/>
      <c r="D29" s="3"/>
      <c r="E29" s="44"/>
      <c r="F29" s="3"/>
      <c r="G29" s="45">
        <v>1</v>
      </c>
      <c r="H29" s="3"/>
      <c r="I29" s="44" t="s">
        <v>391</v>
      </c>
      <c r="J29" s="36"/>
      <c r="K29" s="3"/>
      <c r="L29" s="3"/>
      <c r="M29" s="3"/>
      <c r="N29" s="3"/>
      <c r="O29" s="3"/>
      <c r="P29" s="3"/>
      <c r="Q29" s="3"/>
      <c r="R29" s="3"/>
      <c r="S29" s="3"/>
      <c r="T29" s="3"/>
      <c r="U29" s="3"/>
      <c r="AO29" s="3"/>
    </row>
    <row r="30" spans="1:41" s="9" customFormat="1" ht="15" customHeight="1" outlineLevel="1" x14ac:dyDescent="0.3">
      <c r="A30" s="47" t="s">
        <v>24</v>
      </c>
      <c r="B30" s="7"/>
      <c r="C30" s="7"/>
      <c r="D30" s="3"/>
      <c r="E30" s="44">
        <v>1</v>
      </c>
      <c r="F30" s="3"/>
      <c r="G30" s="45"/>
      <c r="H30" s="3"/>
      <c r="I30" s="44" t="s">
        <v>391</v>
      </c>
      <c r="J30" s="36"/>
      <c r="K30" s="3"/>
      <c r="L30" s="3"/>
      <c r="M30" s="3"/>
      <c r="N30" s="3"/>
      <c r="O30" s="3"/>
      <c r="P30" s="3"/>
      <c r="Q30" s="3"/>
      <c r="R30" s="3"/>
      <c r="S30" s="3"/>
      <c r="T30" s="3"/>
      <c r="U30" s="3"/>
      <c r="AO30" s="3"/>
    </row>
    <row r="31" spans="1:41" s="9" customFormat="1" ht="15" customHeight="1" outlineLevel="1" x14ac:dyDescent="0.3">
      <c r="A31" s="47" t="s">
        <v>25</v>
      </c>
      <c r="B31" s="7"/>
      <c r="C31" s="7"/>
      <c r="D31" s="3"/>
      <c r="E31" s="44"/>
      <c r="F31" s="3"/>
      <c r="G31" s="45">
        <v>1</v>
      </c>
      <c r="H31" s="3"/>
      <c r="I31" s="44" t="s">
        <v>391</v>
      </c>
      <c r="J31" s="36"/>
      <c r="K31" s="3"/>
      <c r="L31" s="3"/>
      <c r="M31" s="3"/>
      <c r="N31" s="3"/>
      <c r="O31" s="3"/>
      <c r="P31" s="3"/>
      <c r="Q31" s="3"/>
      <c r="R31" s="3"/>
      <c r="S31" s="3"/>
      <c r="T31" s="3"/>
      <c r="U31" s="3"/>
      <c r="AO31" s="3"/>
    </row>
    <row r="32" spans="1:41" s="9" customFormat="1" ht="15" customHeight="1" outlineLevel="1" x14ac:dyDescent="0.3">
      <c r="A32" s="47" t="s">
        <v>26</v>
      </c>
      <c r="B32" s="7"/>
      <c r="C32" s="7"/>
      <c r="D32" s="3"/>
      <c r="E32" s="44"/>
      <c r="F32" s="3"/>
      <c r="G32" s="45">
        <v>1</v>
      </c>
      <c r="H32" s="3"/>
      <c r="I32" s="44" t="s">
        <v>391</v>
      </c>
      <c r="J32" s="36"/>
      <c r="K32" s="3"/>
      <c r="L32" s="3"/>
      <c r="M32" s="3"/>
      <c r="N32" s="3"/>
      <c r="O32" s="3"/>
      <c r="P32" s="3"/>
      <c r="Q32" s="3"/>
      <c r="R32" s="3"/>
      <c r="S32" s="3"/>
      <c r="T32" s="3"/>
      <c r="U32" s="3"/>
      <c r="AO32" s="3"/>
    </row>
    <row r="33" spans="1:41" s="9" customFormat="1" ht="15" customHeight="1" outlineLevel="1" x14ac:dyDescent="0.3">
      <c r="A33" s="47" t="s">
        <v>27</v>
      </c>
      <c r="B33" s="7"/>
      <c r="C33" s="7"/>
      <c r="D33" s="3"/>
      <c r="E33" s="44"/>
      <c r="F33" s="3"/>
      <c r="G33" s="45">
        <v>1</v>
      </c>
      <c r="H33" s="3"/>
      <c r="I33" s="44" t="s">
        <v>391</v>
      </c>
      <c r="J33" s="36"/>
      <c r="K33" s="3"/>
      <c r="L33" s="3"/>
      <c r="M33" s="3"/>
      <c r="N33" s="3"/>
      <c r="O33" s="3"/>
      <c r="P33" s="3"/>
      <c r="Q33" s="3"/>
      <c r="R33" s="3"/>
      <c r="S33" s="3"/>
      <c r="T33" s="3"/>
      <c r="U33" s="3"/>
      <c r="AO33" s="3"/>
    </row>
    <row r="34" spans="1:41" s="9" customFormat="1" ht="15" customHeight="1" x14ac:dyDescent="0.25">
      <c r="A34" s="46" t="s">
        <v>28</v>
      </c>
      <c r="B34" s="7"/>
      <c r="C34" s="7"/>
      <c r="D34" s="3"/>
      <c r="E34" s="34">
        <f>SUM(E35:E43)</f>
        <v>1</v>
      </c>
      <c r="F34" s="3"/>
      <c r="G34" s="35">
        <f>SUM(G35:G43)</f>
        <v>8</v>
      </c>
      <c r="H34" s="3"/>
      <c r="I34" s="34">
        <f>SUM(I35:I43)</f>
        <v>0</v>
      </c>
      <c r="J34" s="36"/>
      <c r="K34" s="3"/>
      <c r="L34" s="3"/>
      <c r="M34" s="3"/>
      <c r="N34" s="3"/>
      <c r="O34" s="3"/>
      <c r="P34" s="3"/>
      <c r="Q34" s="3"/>
      <c r="R34" s="3"/>
      <c r="S34" s="3"/>
      <c r="T34" s="3"/>
      <c r="U34" s="3"/>
      <c r="AO34" s="3"/>
    </row>
    <row r="35" spans="1:41" s="9" customFormat="1" ht="15" customHeight="1" outlineLevel="1" x14ac:dyDescent="0.3">
      <c r="A35" s="47" t="s">
        <v>29</v>
      </c>
      <c r="B35" s="7"/>
      <c r="C35" s="7"/>
      <c r="D35" s="3"/>
      <c r="E35" s="44">
        <v>1</v>
      </c>
      <c r="F35" s="3"/>
      <c r="G35" s="45"/>
      <c r="H35" s="3"/>
      <c r="I35" s="44" t="s">
        <v>391</v>
      </c>
      <c r="J35" s="36"/>
      <c r="K35" s="3"/>
      <c r="L35" s="3"/>
      <c r="M35" s="3"/>
      <c r="N35" s="3"/>
      <c r="O35" s="3"/>
      <c r="P35" s="3"/>
      <c r="Q35" s="3"/>
      <c r="R35" s="3"/>
      <c r="S35" s="3"/>
      <c r="T35" s="3"/>
      <c r="U35" s="3"/>
      <c r="AO35" s="3"/>
    </row>
    <row r="36" spans="1:41" s="9" customFormat="1" ht="15" customHeight="1" outlineLevel="1" x14ac:dyDescent="0.3">
      <c r="A36" s="47" t="s">
        <v>30</v>
      </c>
      <c r="B36" s="7"/>
      <c r="C36" s="7"/>
      <c r="D36" s="3"/>
      <c r="E36" s="44"/>
      <c r="F36" s="3"/>
      <c r="G36" s="45">
        <v>1</v>
      </c>
      <c r="H36" s="3"/>
      <c r="I36" s="44" t="s">
        <v>391</v>
      </c>
      <c r="J36" s="36"/>
      <c r="K36" s="3"/>
      <c r="L36" s="48"/>
      <c r="M36" s="3"/>
      <c r="N36" s="3"/>
      <c r="O36" s="3"/>
      <c r="P36" s="3"/>
      <c r="Q36" s="3"/>
      <c r="R36" s="3"/>
      <c r="S36" s="3"/>
      <c r="T36" s="3"/>
      <c r="U36" s="3"/>
      <c r="AO36" s="3"/>
    </row>
    <row r="37" spans="1:41" s="9" customFormat="1" ht="15" customHeight="1" outlineLevel="1" x14ac:dyDescent="0.3">
      <c r="A37" s="47" t="s">
        <v>31</v>
      </c>
      <c r="B37" s="7"/>
      <c r="C37" s="7"/>
      <c r="D37" s="3"/>
      <c r="E37" s="44"/>
      <c r="F37" s="3"/>
      <c r="G37" s="45">
        <v>1</v>
      </c>
      <c r="H37" s="3"/>
      <c r="I37" s="44" t="s">
        <v>391</v>
      </c>
      <c r="J37" s="36"/>
      <c r="K37" s="3"/>
      <c r="L37" s="3"/>
      <c r="M37" s="3"/>
      <c r="N37" s="3"/>
      <c r="O37" s="3"/>
      <c r="P37" s="3"/>
      <c r="Q37" s="3"/>
      <c r="R37" s="3"/>
      <c r="S37" s="3"/>
      <c r="T37" s="3"/>
      <c r="U37" s="3"/>
      <c r="AO37" s="3"/>
    </row>
    <row r="38" spans="1:41" s="9" customFormat="1" ht="15" customHeight="1" outlineLevel="1" x14ac:dyDescent="0.3">
      <c r="A38" s="47" t="s">
        <v>32</v>
      </c>
      <c r="B38" s="7"/>
      <c r="C38" s="7"/>
      <c r="D38" s="3"/>
      <c r="E38" s="44"/>
      <c r="F38" s="3"/>
      <c r="G38" s="45">
        <v>1</v>
      </c>
      <c r="H38" s="3"/>
      <c r="I38" s="44" t="s">
        <v>391</v>
      </c>
      <c r="J38" s="36"/>
      <c r="K38" s="3"/>
      <c r="L38" s="3"/>
      <c r="M38" s="3"/>
      <c r="N38" s="3"/>
      <c r="O38" s="3"/>
      <c r="P38" s="3"/>
      <c r="Q38" s="3"/>
      <c r="R38" s="3"/>
      <c r="S38" s="3"/>
      <c r="T38" s="3"/>
      <c r="U38" s="3"/>
      <c r="AO38" s="3"/>
    </row>
    <row r="39" spans="1:41" s="9" customFormat="1" ht="15" customHeight="1" outlineLevel="1" x14ac:dyDescent="0.3">
      <c r="A39" s="47" t="s">
        <v>33</v>
      </c>
      <c r="B39" s="7"/>
      <c r="C39" s="7"/>
      <c r="D39" s="3"/>
      <c r="E39" s="44"/>
      <c r="F39" s="3"/>
      <c r="G39" s="45">
        <v>1</v>
      </c>
      <c r="H39" s="3"/>
      <c r="I39" s="44" t="s">
        <v>391</v>
      </c>
      <c r="J39" s="36"/>
      <c r="K39" s="3"/>
      <c r="L39" s="3"/>
      <c r="M39" s="3"/>
      <c r="N39" s="3"/>
      <c r="O39" s="3"/>
      <c r="P39" s="3"/>
      <c r="Q39" s="3"/>
      <c r="R39" s="3"/>
      <c r="S39" s="3"/>
      <c r="T39" s="3"/>
      <c r="U39" s="3"/>
      <c r="AO39" s="3"/>
    </row>
    <row r="40" spans="1:41" s="9" customFormat="1" ht="15" customHeight="1" outlineLevel="1" x14ac:dyDescent="0.3">
      <c r="A40" s="47" t="s">
        <v>34</v>
      </c>
      <c r="B40" s="7"/>
      <c r="C40" s="7"/>
      <c r="D40" s="3"/>
      <c r="E40" s="44"/>
      <c r="F40" s="3"/>
      <c r="G40" s="45">
        <v>1</v>
      </c>
      <c r="H40" s="3"/>
      <c r="I40" s="44" t="s">
        <v>391</v>
      </c>
      <c r="J40" s="36"/>
      <c r="K40" s="3"/>
      <c r="L40" s="3"/>
      <c r="M40" s="3"/>
      <c r="N40" s="3"/>
      <c r="O40" s="3"/>
      <c r="P40" s="3"/>
      <c r="Q40" s="3"/>
      <c r="R40" s="3"/>
      <c r="S40" s="3"/>
      <c r="T40" s="3"/>
      <c r="U40" s="3"/>
      <c r="AO40" s="3"/>
    </row>
    <row r="41" spans="1:41" s="9" customFormat="1" ht="15" customHeight="1" outlineLevel="1" x14ac:dyDescent="0.3">
      <c r="A41" s="47" t="s">
        <v>35</v>
      </c>
      <c r="B41" s="7"/>
      <c r="C41" s="7"/>
      <c r="D41" s="3"/>
      <c r="E41" s="44"/>
      <c r="F41" s="3"/>
      <c r="G41" s="45">
        <v>1</v>
      </c>
      <c r="H41" s="3"/>
      <c r="I41" s="44" t="s">
        <v>391</v>
      </c>
      <c r="J41" s="36"/>
      <c r="K41" s="3"/>
      <c r="L41" s="3"/>
      <c r="M41" s="3"/>
      <c r="N41" s="3"/>
      <c r="O41" s="3"/>
      <c r="P41" s="3"/>
      <c r="Q41" s="3"/>
      <c r="R41" s="3"/>
      <c r="S41" s="3"/>
      <c r="T41" s="3"/>
      <c r="U41" s="3"/>
      <c r="AO41" s="3"/>
    </row>
    <row r="42" spans="1:41" s="9" customFormat="1" ht="15" customHeight="1" outlineLevel="1" x14ac:dyDescent="0.3">
      <c r="A42" s="47" t="s">
        <v>36</v>
      </c>
      <c r="B42" s="7"/>
      <c r="C42" s="7"/>
      <c r="D42" s="3"/>
      <c r="E42" s="44"/>
      <c r="F42" s="3"/>
      <c r="G42" s="45">
        <v>1</v>
      </c>
      <c r="H42" s="3"/>
      <c r="I42" s="44" t="s">
        <v>391</v>
      </c>
      <c r="J42" s="36"/>
      <c r="K42" s="3"/>
      <c r="L42" s="3"/>
      <c r="M42" s="3"/>
      <c r="N42" s="3"/>
      <c r="O42" s="3"/>
      <c r="P42" s="3"/>
      <c r="Q42" s="3"/>
      <c r="R42" s="3"/>
      <c r="S42" s="3"/>
      <c r="T42" s="3"/>
      <c r="U42" s="3"/>
      <c r="AO42" s="3"/>
    </row>
    <row r="43" spans="1:41" s="9" customFormat="1" ht="15" customHeight="1" outlineLevel="1" x14ac:dyDescent="0.3">
      <c r="A43" s="47" t="s">
        <v>37</v>
      </c>
      <c r="B43" s="7"/>
      <c r="C43" s="7"/>
      <c r="D43" s="3"/>
      <c r="E43" s="44"/>
      <c r="F43" s="3"/>
      <c r="G43" s="45">
        <v>1</v>
      </c>
      <c r="H43" s="3"/>
      <c r="I43" s="44" t="s">
        <v>391</v>
      </c>
      <c r="J43" s="36"/>
      <c r="K43" s="3"/>
      <c r="L43" s="3"/>
      <c r="M43" s="3"/>
      <c r="N43" s="3"/>
      <c r="O43" s="3"/>
      <c r="P43" s="3"/>
      <c r="Q43" s="3"/>
      <c r="R43" s="3"/>
      <c r="S43" s="3"/>
      <c r="T43" s="3"/>
      <c r="U43" s="3"/>
      <c r="AO43" s="3"/>
    </row>
    <row r="44" spans="1:41" s="9" customFormat="1" ht="15" customHeight="1" x14ac:dyDescent="0.25">
      <c r="A44" s="37" t="s">
        <v>38</v>
      </c>
      <c r="B44" s="38"/>
      <c r="C44" s="38"/>
      <c r="D44" s="39"/>
      <c r="E44" s="40">
        <f>SUM(E45:E59)</f>
        <v>1</v>
      </c>
      <c r="F44" s="39"/>
      <c r="G44" s="41">
        <f>SUM(G45:G59)</f>
        <v>14</v>
      </c>
      <c r="H44" s="39"/>
      <c r="I44" s="40">
        <f>SUM(I45:I59)</f>
        <v>0</v>
      </c>
      <c r="J44" s="42"/>
      <c r="K44" s="3"/>
      <c r="L44" s="3"/>
      <c r="M44" s="3"/>
      <c r="N44" s="3"/>
      <c r="O44" s="3"/>
      <c r="P44" s="3"/>
      <c r="Q44" s="3"/>
      <c r="R44" s="3"/>
      <c r="S44" s="3"/>
      <c r="T44" s="3"/>
      <c r="U44" s="3"/>
      <c r="AO44" s="3"/>
    </row>
    <row r="45" spans="1:41" s="9" customFormat="1" ht="15" customHeight="1" outlineLevel="1" x14ac:dyDescent="0.3">
      <c r="A45" s="47" t="s">
        <v>39</v>
      </c>
      <c r="B45" s="7"/>
      <c r="C45" s="7"/>
      <c r="D45" s="3"/>
      <c r="E45" s="44"/>
      <c r="F45" s="3"/>
      <c r="G45" s="45">
        <v>1</v>
      </c>
      <c r="H45" s="3"/>
      <c r="I45" s="44" t="s">
        <v>391</v>
      </c>
      <c r="J45" s="36"/>
      <c r="K45" s="3"/>
      <c r="L45" s="3"/>
      <c r="M45" s="3"/>
      <c r="N45" s="3"/>
      <c r="O45" s="3"/>
      <c r="P45" s="3"/>
      <c r="Q45" s="3"/>
      <c r="R45" s="3"/>
      <c r="S45" s="3"/>
      <c r="T45" s="3"/>
      <c r="U45" s="3"/>
      <c r="AO45" s="3"/>
    </row>
    <row r="46" spans="1:41" s="9" customFormat="1" ht="15" customHeight="1" outlineLevel="1" x14ac:dyDescent="0.3">
      <c r="A46" s="47" t="s">
        <v>40</v>
      </c>
      <c r="B46" s="7"/>
      <c r="C46" s="7"/>
      <c r="D46" s="3"/>
      <c r="E46" s="44"/>
      <c r="F46" s="3"/>
      <c r="G46" s="45">
        <v>1</v>
      </c>
      <c r="H46" s="3"/>
      <c r="I46" s="44" t="s">
        <v>391</v>
      </c>
      <c r="J46" s="36"/>
      <c r="K46" s="3"/>
      <c r="L46" s="3"/>
      <c r="M46" s="3"/>
      <c r="N46" s="3"/>
      <c r="O46" s="3"/>
      <c r="P46" s="3"/>
      <c r="Q46" s="3"/>
      <c r="R46" s="3"/>
      <c r="S46" s="3"/>
      <c r="T46" s="3"/>
      <c r="U46" s="3"/>
      <c r="AO46" s="3"/>
    </row>
    <row r="47" spans="1:41" s="9" customFormat="1" ht="15" customHeight="1" outlineLevel="1" x14ac:dyDescent="0.3">
      <c r="A47" s="47" t="s">
        <v>41</v>
      </c>
      <c r="B47" s="7"/>
      <c r="C47" s="7"/>
      <c r="D47" s="3"/>
      <c r="E47" s="44"/>
      <c r="F47" s="3"/>
      <c r="G47" s="45">
        <v>1</v>
      </c>
      <c r="H47" s="3"/>
      <c r="I47" s="44" t="s">
        <v>391</v>
      </c>
      <c r="J47" s="36"/>
      <c r="K47" s="3"/>
      <c r="L47" s="48"/>
      <c r="M47" s="3"/>
      <c r="N47" s="3"/>
      <c r="O47" s="3"/>
      <c r="P47" s="3"/>
      <c r="Q47" s="3"/>
      <c r="R47" s="3"/>
      <c r="S47" s="3"/>
      <c r="T47" s="3"/>
      <c r="U47" s="3"/>
      <c r="AO47" s="3"/>
    </row>
    <row r="48" spans="1:41" s="9" customFormat="1" ht="15" customHeight="1" outlineLevel="1" x14ac:dyDescent="0.3">
      <c r="A48" s="47" t="s">
        <v>42</v>
      </c>
      <c r="B48" s="7"/>
      <c r="C48" s="7"/>
      <c r="D48" s="3"/>
      <c r="E48" s="44"/>
      <c r="F48" s="3"/>
      <c r="G48" s="45">
        <v>1</v>
      </c>
      <c r="H48" s="3"/>
      <c r="I48" s="44" t="s">
        <v>391</v>
      </c>
      <c r="J48" s="36"/>
      <c r="K48" s="3"/>
      <c r="L48" s="3"/>
      <c r="M48" s="3"/>
      <c r="N48" s="3"/>
      <c r="O48" s="3"/>
      <c r="P48" s="3"/>
      <c r="Q48" s="3"/>
      <c r="R48" s="3"/>
      <c r="S48" s="3"/>
      <c r="T48" s="3"/>
      <c r="U48" s="3"/>
      <c r="AO48" s="3"/>
    </row>
    <row r="49" spans="1:69" s="9" customFormat="1" ht="15" customHeight="1" outlineLevel="1" x14ac:dyDescent="0.3">
      <c r="A49" s="47" t="s">
        <v>43</v>
      </c>
      <c r="B49" s="7"/>
      <c r="C49" s="7"/>
      <c r="D49" s="3"/>
      <c r="E49" s="44"/>
      <c r="F49" s="3"/>
      <c r="G49" s="45">
        <v>1</v>
      </c>
      <c r="H49" s="3"/>
      <c r="I49" s="44" t="s">
        <v>391</v>
      </c>
      <c r="J49" s="36"/>
      <c r="K49" s="3"/>
      <c r="L49" s="3"/>
      <c r="M49" s="3"/>
      <c r="N49" s="3"/>
      <c r="O49" s="3"/>
      <c r="P49" s="3"/>
      <c r="Q49" s="3"/>
      <c r="R49" s="3"/>
      <c r="S49" s="3"/>
      <c r="T49" s="3"/>
      <c r="U49" s="3"/>
      <c r="AO49" s="3"/>
    </row>
    <row r="50" spans="1:69" s="9" customFormat="1" ht="15" customHeight="1" outlineLevel="1" x14ac:dyDescent="0.3">
      <c r="A50" s="47" t="s">
        <v>44</v>
      </c>
      <c r="B50" s="7"/>
      <c r="C50" s="7"/>
      <c r="D50" s="3"/>
      <c r="E50" s="44"/>
      <c r="F50" s="3"/>
      <c r="G50" s="45">
        <v>1</v>
      </c>
      <c r="H50" s="3"/>
      <c r="I50" s="44" t="s">
        <v>391</v>
      </c>
      <c r="J50" s="36"/>
      <c r="K50" s="3"/>
      <c r="L50" s="3"/>
      <c r="M50" s="3"/>
      <c r="N50" s="3"/>
      <c r="O50" s="3"/>
      <c r="P50" s="3"/>
      <c r="Q50" s="3"/>
      <c r="R50" s="3"/>
      <c r="S50" s="3"/>
      <c r="T50" s="3"/>
      <c r="U50" s="3"/>
      <c r="AO50" s="3"/>
    </row>
    <row r="51" spans="1:69" s="9" customFormat="1" ht="15" customHeight="1" outlineLevel="1" x14ac:dyDescent="0.3">
      <c r="A51" s="47" t="s">
        <v>45</v>
      </c>
      <c r="B51" s="7"/>
      <c r="C51" s="7"/>
      <c r="D51" s="3"/>
      <c r="E51" s="44"/>
      <c r="F51" s="3"/>
      <c r="G51" s="45">
        <v>1</v>
      </c>
      <c r="H51" s="3"/>
      <c r="I51" s="44" t="s">
        <v>391</v>
      </c>
      <c r="J51" s="36"/>
      <c r="K51" s="3"/>
      <c r="L51" s="3"/>
      <c r="M51" s="3"/>
      <c r="N51" s="3"/>
      <c r="O51" s="3"/>
      <c r="P51" s="3"/>
      <c r="Q51" s="3"/>
      <c r="R51" s="3"/>
      <c r="S51" s="3"/>
      <c r="T51" s="3"/>
      <c r="U51" s="3"/>
      <c r="AO51" s="3"/>
    </row>
    <row r="52" spans="1:69" s="9" customFormat="1" ht="15" customHeight="1" outlineLevel="1" x14ac:dyDescent="0.3">
      <c r="A52" s="47" t="s">
        <v>46</v>
      </c>
      <c r="B52" s="7"/>
      <c r="C52" s="7"/>
      <c r="D52" s="3"/>
      <c r="E52" s="44"/>
      <c r="F52" s="3"/>
      <c r="G52" s="45">
        <v>1</v>
      </c>
      <c r="H52" s="3"/>
      <c r="I52" s="44" t="s">
        <v>391</v>
      </c>
      <c r="J52" s="36"/>
      <c r="K52" s="3"/>
      <c r="L52" s="3"/>
      <c r="M52" s="3"/>
      <c r="N52" s="3"/>
      <c r="O52" s="3"/>
      <c r="P52" s="3"/>
      <c r="Q52" s="3"/>
      <c r="R52" s="3"/>
      <c r="S52" s="3"/>
      <c r="T52" s="3"/>
      <c r="U52" s="3"/>
      <c r="AO52" s="3"/>
    </row>
    <row r="53" spans="1:69" s="9" customFormat="1" ht="15" customHeight="1" outlineLevel="1" x14ac:dyDescent="0.3">
      <c r="A53" s="47" t="s">
        <v>47</v>
      </c>
      <c r="B53" s="7"/>
      <c r="C53" s="7"/>
      <c r="D53" s="3"/>
      <c r="E53" s="44"/>
      <c r="F53" s="3"/>
      <c r="G53" s="45">
        <v>1</v>
      </c>
      <c r="H53" s="3"/>
      <c r="I53" s="44" t="s">
        <v>391</v>
      </c>
      <c r="J53" s="36"/>
      <c r="K53" s="3"/>
      <c r="L53" s="3"/>
      <c r="M53" s="3"/>
      <c r="N53" s="3"/>
      <c r="O53" s="3"/>
      <c r="P53" s="3"/>
      <c r="Q53" s="3"/>
      <c r="R53" s="3"/>
      <c r="S53" s="3"/>
      <c r="T53" s="3"/>
      <c r="U53" s="3"/>
      <c r="AO53" s="3"/>
    </row>
    <row r="54" spans="1:69" s="9" customFormat="1" ht="15" customHeight="1" outlineLevel="1" x14ac:dyDescent="0.3">
      <c r="A54" s="47" t="s">
        <v>48</v>
      </c>
      <c r="B54" s="7"/>
      <c r="C54" s="7"/>
      <c r="D54" s="3"/>
      <c r="E54" s="44"/>
      <c r="F54" s="3"/>
      <c r="G54" s="45">
        <v>1</v>
      </c>
      <c r="H54" s="3"/>
      <c r="I54" s="44" t="s">
        <v>391</v>
      </c>
      <c r="J54" s="36"/>
      <c r="K54" s="3"/>
      <c r="L54" s="3"/>
      <c r="M54" s="3"/>
      <c r="N54" s="3"/>
      <c r="O54" s="3"/>
      <c r="P54" s="3"/>
      <c r="Q54" s="3"/>
      <c r="R54" s="3"/>
      <c r="S54" s="3"/>
      <c r="T54" s="3"/>
      <c r="U54" s="3"/>
      <c r="AO54" s="3"/>
    </row>
    <row r="55" spans="1:69" s="9" customFormat="1" ht="15" customHeight="1" outlineLevel="1" x14ac:dyDescent="0.3">
      <c r="A55" s="47" t="s">
        <v>49</v>
      </c>
      <c r="B55" s="7"/>
      <c r="C55" s="7"/>
      <c r="D55" s="3"/>
      <c r="E55" s="44">
        <v>1</v>
      </c>
      <c r="F55" s="3"/>
      <c r="G55" s="45"/>
      <c r="H55" s="3"/>
      <c r="I55" s="44" t="s">
        <v>391</v>
      </c>
      <c r="J55" s="36"/>
      <c r="K55" s="3"/>
      <c r="L55" s="3"/>
      <c r="M55" s="3"/>
      <c r="N55" s="3"/>
      <c r="O55" s="3"/>
      <c r="P55" s="3"/>
      <c r="Q55" s="3"/>
      <c r="R55" s="3"/>
      <c r="S55" s="3"/>
      <c r="T55" s="3"/>
      <c r="U55" s="3"/>
      <c r="AO55" s="3"/>
    </row>
    <row r="56" spans="1:69" s="9" customFormat="1" ht="15" customHeight="1" outlineLevel="1" x14ac:dyDescent="0.3">
      <c r="A56" s="47" t="s">
        <v>50</v>
      </c>
      <c r="B56" s="7"/>
      <c r="C56" s="7"/>
      <c r="D56" s="3"/>
      <c r="E56" s="44"/>
      <c r="F56" s="3"/>
      <c r="G56" s="45">
        <v>1</v>
      </c>
      <c r="H56" s="3"/>
      <c r="I56" s="44" t="s">
        <v>391</v>
      </c>
      <c r="J56" s="36"/>
      <c r="K56" s="3"/>
      <c r="L56" s="3"/>
      <c r="M56" s="3"/>
      <c r="N56" s="3"/>
      <c r="O56" s="3"/>
      <c r="P56" s="3"/>
      <c r="Q56" s="3"/>
      <c r="R56" s="3"/>
      <c r="S56" s="3"/>
      <c r="T56" s="3"/>
      <c r="U56" s="3"/>
      <c r="AO56" s="3"/>
    </row>
    <row r="57" spans="1:69" s="9" customFormat="1" ht="15" customHeight="1" outlineLevel="1" x14ac:dyDescent="0.3">
      <c r="A57" s="47" t="s">
        <v>51</v>
      </c>
      <c r="B57" s="7"/>
      <c r="C57" s="7"/>
      <c r="D57" s="3"/>
      <c r="E57" s="44"/>
      <c r="F57" s="3"/>
      <c r="G57" s="45">
        <v>1</v>
      </c>
      <c r="H57" s="3"/>
      <c r="I57" s="44" t="s">
        <v>391</v>
      </c>
      <c r="J57" s="36"/>
      <c r="K57" s="3"/>
      <c r="L57" s="3"/>
      <c r="M57" s="3"/>
      <c r="N57" s="3"/>
      <c r="O57" s="3"/>
      <c r="P57" s="3"/>
      <c r="Q57" s="3"/>
      <c r="R57" s="3"/>
      <c r="S57" s="3"/>
      <c r="T57" s="3"/>
      <c r="U57" s="3"/>
      <c r="AO57" s="3"/>
    </row>
    <row r="58" spans="1:69" s="9" customFormat="1" ht="15" customHeight="1" outlineLevel="1" x14ac:dyDescent="0.3">
      <c r="A58" s="47" t="s">
        <v>52</v>
      </c>
      <c r="B58" s="7"/>
      <c r="C58" s="7"/>
      <c r="D58" s="3"/>
      <c r="E58" s="44"/>
      <c r="F58" s="3"/>
      <c r="G58" s="45">
        <v>1</v>
      </c>
      <c r="H58" s="3"/>
      <c r="I58" s="44" t="s">
        <v>391</v>
      </c>
      <c r="J58" s="36"/>
      <c r="K58" s="3"/>
      <c r="L58" s="3"/>
      <c r="M58" s="3"/>
      <c r="N58" s="3"/>
      <c r="O58" s="3"/>
      <c r="P58" s="3"/>
      <c r="Q58" s="3"/>
      <c r="R58" s="3"/>
      <c r="S58" s="3"/>
      <c r="T58" s="3"/>
      <c r="U58" s="3"/>
      <c r="AO58" s="3"/>
    </row>
    <row r="59" spans="1:69" s="9" customFormat="1" ht="15" customHeight="1" outlineLevel="1" x14ac:dyDescent="0.3">
      <c r="A59" s="47" t="s">
        <v>53</v>
      </c>
      <c r="B59" s="7"/>
      <c r="C59" s="7"/>
      <c r="D59" s="3"/>
      <c r="E59" s="44"/>
      <c r="F59" s="3"/>
      <c r="G59" s="45">
        <v>1</v>
      </c>
      <c r="H59" s="3"/>
      <c r="I59" s="44" t="s">
        <v>391</v>
      </c>
      <c r="J59" s="36"/>
      <c r="K59" s="3"/>
      <c r="L59" s="3"/>
      <c r="M59" s="3"/>
      <c r="N59" s="3"/>
      <c r="O59" s="3"/>
      <c r="P59" s="3"/>
      <c r="Q59" s="3"/>
      <c r="R59" s="3"/>
      <c r="S59" s="3"/>
      <c r="T59" s="3"/>
      <c r="U59" s="3"/>
      <c r="AO59" s="3"/>
    </row>
    <row r="60" spans="1:69" s="9" customFormat="1" ht="15" customHeight="1" x14ac:dyDescent="0.25">
      <c r="A60" s="46" t="s">
        <v>54</v>
      </c>
      <c r="B60" s="7"/>
      <c r="C60" s="7"/>
      <c r="D60" s="3"/>
      <c r="E60" s="34">
        <f>E61</f>
        <v>1</v>
      </c>
      <c r="F60" s="3"/>
      <c r="G60" s="35">
        <f>G61</f>
        <v>0</v>
      </c>
      <c r="H60" s="3"/>
      <c r="I60" s="34" t="str">
        <f>I61</f>
        <v/>
      </c>
      <c r="J60" s="36"/>
      <c r="K60" s="3"/>
      <c r="L60" s="3"/>
      <c r="M60" s="3"/>
      <c r="N60" s="3"/>
      <c r="O60" s="3"/>
      <c r="P60" s="3"/>
      <c r="Q60" s="3"/>
      <c r="R60" s="3"/>
      <c r="S60" s="3"/>
      <c r="T60" s="3"/>
      <c r="U60" s="3"/>
      <c r="AO60" s="3"/>
    </row>
    <row r="61" spans="1:69" s="9" customFormat="1" ht="15" customHeight="1" outlineLevel="1" x14ac:dyDescent="0.3">
      <c r="A61" s="47" t="s">
        <v>55</v>
      </c>
      <c r="B61" s="7"/>
      <c r="C61" s="7"/>
      <c r="D61" s="3"/>
      <c r="E61" s="44">
        <v>1</v>
      </c>
      <c r="F61" s="3"/>
      <c r="G61" s="45"/>
      <c r="H61" s="3"/>
      <c r="I61" s="44" t="s">
        <v>391</v>
      </c>
      <c r="J61" s="36"/>
      <c r="K61" s="3"/>
      <c r="L61" s="3"/>
      <c r="M61" s="3"/>
      <c r="N61" s="3"/>
      <c r="O61" s="3"/>
      <c r="P61" s="3"/>
      <c r="Q61" s="3"/>
      <c r="R61" s="3"/>
      <c r="S61" s="3"/>
      <c r="T61" s="3"/>
      <c r="U61" s="3"/>
      <c r="AO61" s="3"/>
    </row>
    <row r="62" spans="1:69" s="9" customFormat="1" ht="15" customHeight="1" x14ac:dyDescent="0.25">
      <c r="A62" s="49"/>
      <c r="B62" s="50"/>
      <c r="C62" s="50"/>
      <c r="D62" s="8"/>
      <c r="E62" s="51"/>
      <c r="F62" s="8"/>
      <c r="G62" s="52"/>
      <c r="H62" s="8"/>
      <c r="I62" s="51"/>
      <c r="J62" s="53"/>
      <c r="K62" s="3"/>
      <c r="L62" s="3"/>
      <c r="M62" s="3"/>
      <c r="N62" s="3"/>
      <c r="O62" s="3"/>
      <c r="P62" s="3"/>
      <c r="Q62" s="3"/>
      <c r="R62" s="3"/>
      <c r="S62" s="3"/>
      <c r="T62" s="3"/>
      <c r="U62" s="3"/>
      <c r="AO62" s="3"/>
    </row>
    <row r="63" spans="1:69" s="9" customFormat="1" ht="13.2" customHeight="1" x14ac:dyDescent="0.25">
      <c r="A63" s="3"/>
      <c r="B63" s="48"/>
      <c r="C63" s="7"/>
      <c r="D63" s="3"/>
      <c r="E63" s="55"/>
      <c r="F63" s="3"/>
      <c r="G63" s="3"/>
      <c r="H63" s="3"/>
      <c r="J63" s="3"/>
      <c r="M63" s="48"/>
      <c r="N63" s="3"/>
      <c r="O63" s="3"/>
      <c r="P63" s="3"/>
      <c r="Q63" s="3"/>
      <c r="R63" s="3"/>
      <c r="S63" s="3"/>
      <c r="T63" s="3"/>
      <c r="U63" s="3"/>
      <c r="V63" s="3"/>
      <c r="W63" s="3"/>
      <c r="X63" s="3"/>
      <c r="Y63" s="3"/>
      <c r="Z63" s="3"/>
      <c r="AA63" s="3"/>
      <c r="AO63" s="146"/>
      <c r="AV63" s="9" t="s">
        <v>432</v>
      </c>
      <c r="BF63" s="3"/>
    </row>
    <row r="64" spans="1:69" s="9" customFormat="1" ht="13.2" customHeight="1" x14ac:dyDescent="0.25">
      <c r="A64" s="125"/>
      <c r="B64" s="7" t="s">
        <v>392</v>
      </c>
      <c r="C64" s="7"/>
      <c r="D64" s="3"/>
      <c r="E64" s="55"/>
      <c r="F64" s="3"/>
      <c r="G64" s="3"/>
      <c r="H64" s="3"/>
      <c r="J64" s="3"/>
      <c r="M64" s="3"/>
      <c r="O64" s="3"/>
      <c r="P64" s="3"/>
      <c r="Q64" s="3"/>
      <c r="R64" s="3"/>
      <c r="S64" s="3"/>
      <c r="T64" s="3" t="s">
        <v>452</v>
      </c>
      <c r="U64" s="121"/>
      <c r="W64" s="3"/>
      <c r="X64" s="3"/>
      <c r="Y64" s="3"/>
      <c r="Z64" s="3"/>
      <c r="AA64" s="3"/>
      <c r="AO64" s="110"/>
      <c r="AQ64" s="109"/>
      <c r="AR64" s="143"/>
      <c r="AS64" s="143" t="s">
        <v>431</v>
      </c>
      <c r="AT64" s="143"/>
      <c r="AU64" s="143"/>
      <c r="AV64" s="143"/>
      <c r="AW64" s="143"/>
      <c r="AX64" s="143"/>
      <c r="AY64" s="143"/>
      <c r="AZ64" s="143"/>
      <c r="BA64" s="143"/>
      <c r="BB64" s="143"/>
      <c r="BC64" s="143"/>
      <c r="BD64" s="143"/>
      <c r="BE64" s="143"/>
      <c r="BF64" s="141"/>
      <c r="BG64" s="143"/>
      <c r="BH64" s="143"/>
      <c r="BI64" s="143"/>
      <c r="BJ64" s="143"/>
      <c r="BK64" s="143"/>
      <c r="BL64" s="143"/>
      <c r="BM64" s="143"/>
      <c r="BN64" s="143"/>
      <c r="BO64" s="143"/>
      <c r="BP64" s="143"/>
      <c r="BQ64" s="143"/>
    </row>
    <row r="65" spans="1:90" s="3" customFormat="1" ht="13.2" customHeight="1" x14ac:dyDescent="0.25">
      <c r="A65" s="60" t="s">
        <v>187</v>
      </c>
      <c r="E65" s="55"/>
      <c r="G65" s="126" t="s">
        <v>425</v>
      </c>
      <c r="H65" s="126" t="s">
        <v>449</v>
      </c>
      <c r="I65" s="126"/>
      <c r="J65" s="126" t="s">
        <v>192</v>
      </c>
      <c r="K65" s="126" t="s">
        <v>191</v>
      </c>
      <c r="M65" s="145"/>
      <c r="N65" s="126" t="s">
        <v>333</v>
      </c>
      <c r="T65" s="126" t="s">
        <v>439</v>
      </c>
      <c r="U65" s="126" t="s">
        <v>440</v>
      </c>
      <c r="V65" s="126" t="s">
        <v>333</v>
      </c>
      <c r="W65" s="126" t="s">
        <v>333</v>
      </c>
      <c r="Y65" s="126" t="s">
        <v>333</v>
      </c>
      <c r="Z65" s="3" t="s">
        <v>333</v>
      </c>
      <c r="AA65" s="3" t="s">
        <v>333</v>
      </c>
      <c r="AB65" s="3" t="s">
        <v>333</v>
      </c>
      <c r="AC65" s="3" t="s">
        <v>333</v>
      </c>
      <c r="AD65" s="3" t="s">
        <v>333</v>
      </c>
      <c r="AG65" s="126" t="s">
        <v>441</v>
      </c>
      <c r="AH65" s="126" t="s">
        <v>442</v>
      </c>
      <c r="AI65" s="126" t="s">
        <v>443</v>
      </c>
      <c r="AJ65" s="126"/>
      <c r="AK65" s="126" t="s">
        <v>451</v>
      </c>
      <c r="AN65" s="126" t="s">
        <v>191</v>
      </c>
      <c r="AO65" s="126" t="s">
        <v>460</v>
      </c>
      <c r="AR65" s="126" t="s">
        <v>429</v>
      </c>
      <c r="AS65" s="126" t="s">
        <v>450</v>
      </c>
      <c r="AV65" s="126"/>
      <c r="AW65" s="126" t="s">
        <v>448</v>
      </c>
      <c r="AX65" s="126"/>
      <c r="AZ65" s="126" t="s">
        <v>433</v>
      </c>
      <c r="BB65" s="126" t="s">
        <v>333</v>
      </c>
      <c r="BE65" s="126" t="s">
        <v>333</v>
      </c>
      <c r="BM65" s="126" t="s">
        <v>333</v>
      </c>
      <c r="BN65" s="126" t="s">
        <v>333</v>
      </c>
      <c r="BO65" s="126"/>
      <c r="BR65" s="126" t="s">
        <v>451</v>
      </c>
      <c r="BS65" s="126" t="s">
        <v>444</v>
      </c>
      <c r="BT65" s="126" t="s">
        <v>445</v>
      </c>
      <c r="BU65" s="126"/>
      <c r="BV65" s="126"/>
      <c r="BW65" s="126" t="s">
        <v>192</v>
      </c>
    </row>
    <row r="66" spans="1:90" s="128" customFormat="1" ht="44.25" customHeight="1" x14ac:dyDescent="0.3">
      <c r="A66" s="129"/>
      <c r="F66" s="129"/>
      <c r="G66" s="138" t="s">
        <v>107</v>
      </c>
      <c r="H66" s="138" t="s">
        <v>340</v>
      </c>
      <c r="I66" s="136" t="s">
        <v>394</v>
      </c>
      <c r="J66" s="137" t="s">
        <v>143</v>
      </c>
      <c r="K66" s="137" t="s">
        <v>339</v>
      </c>
      <c r="M66" s="136" t="s">
        <v>370</v>
      </c>
      <c r="N66" s="137" t="s">
        <v>384</v>
      </c>
      <c r="O66" s="136" t="s">
        <v>375</v>
      </c>
      <c r="P66" s="128" t="s">
        <v>120</v>
      </c>
      <c r="Q66" s="128" t="s">
        <v>109</v>
      </c>
      <c r="T66" s="136" t="s">
        <v>395</v>
      </c>
      <c r="U66" s="136" t="s">
        <v>363</v>
      </c>
      <c r="V66" s="137" t="s">
        <v>364</v>
      </c>
      <c r="W66" s="137" t="s">
        <v>234</v>
      </c>
      <c r="Y66" s="137" t="s">
        <v>411</v>
      </c>
      <c r="Z66" s="137"/>
      <c r="AA66" s="137"/>
      <c r="AB66" s="137"/>
      <c r="AC66" s="137"/>
      <c r="AD66" s="137"/>
      <c r="AE66" s="130"/>
      <c r="AF66" s="130"/>
      <c r="AG66" s="138" t="s">
        <v>397</v>
      </c>
      <c r="AH66" s="138" t="s">
        <v>398</v>
      </c>
      <c r="AI66" s="138" t="s">
        <v>399</v>
      </c>
      <c r="AJ66" s="138" t="s">
        <v>400</v>
      </c>
      <c r="AK66" s="138" t="s">
        <v>413</v>
      </c>
      <c r="AL66" s="130"/>
      <c r="AM66" s="130"/>
      <c r="AN66" s="139" t="s">
        <v>344</v>
      </c>
      <c r="AO66" s="138" t="s">
        <v>379</v>
      </c>
      <c r="AQ66" s="130"/>
      <c r="AR66" s="139" t="s">
        <v>362</v>
      </c>
      <c r="AS66" s="138" t="s">
        <v>184</v>
      </c>
      <c r="AT66" s="131" t="s">
        <v>369</v>
      </c>
      <c r="AU66" s="131"/>
      <c r="AV66" s="137" t="s">
        <v>404</v>
      </c>
      <c r="AW66" s="136" t="s">
        <v>401</v>
      </c>
      <c r="AX66" s="136"/>
      <c r="AY66" s="131"/>
      <c r="AZ66" s="137" t="s">
        <v>396</v>
      </c>
      <c r="BA66" s="131" t="s">
        <v>342</v>
      </c>
      <c r="BB66" s="137" t="s">
        <v>414</v>
      </c>
      <c r="BC66" s="131" t="s">
        <v>359</v>
      </c>
      <c r="BD66" s="131"/>
      <c r="BE66" s="137" t="s">
        <v>415</v>
      </c>
      <c r="BF66" s="128" t="s">
        <v>346</v>
      </c>
      <c r="BG66" s="130"/>
      <c r="BH66" s="130"/>
      <c r="BI66" s="130"/>
      <c r="BJ66" s="130" t="s">
        <v>359</v>
      </c>
      <c r="BK66" s="130"/>
      <c r="BL66" s="130"/>
      <c r="BM66" s="139" t="s">
        <v>386</v>
      </c>
      <c r="BN66" s="139" t="s">
        <v>387</v>
      </c>
      <c r="BO66" s="131"/>
      <c r="BP66" s="3" t="s">
        <v>253</v>
      </c>
      <c r="BQ66" s="131"/>
      <c r="BR66" s="138"/>
      <c r="BS66" s="138"/>
      <c r="BT66" s="138"/>
      <c r="BU66" s="131"/>
      <c r="BV66" s="131"/>
      <c r="BW66" s="137" t="s">
        <v>410</v>
      </c>
    </row>
    <row r="67" spans="1:90" s="9" customFormat="1" ht="37.5" customHeight="1" x14ac:dyDescent="0.25">
      <c r="A67" s="166" t="s">
        <v>57</v>
      </c>
      <c r="B67" s="167"/>
      <c r="C67" s="167"/>
      <c r="D67" s="168"/>
      <c r="E67" s="173" t="s">
        <v>380</v>
      </c>
      <c r="F67" s="174"/>
      <c r="G67" s="107" t="s">
        <v>84</v>
      </c>
      <c r="H67" s="99"/>
      <c r="I67" s="97"/>
      <c r="J67" s="99"/>
      <c r="K67" s="97"/>
      <c r="L67" s="97"/>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c r="BC67" s="99"/>
      <c r="BD67" s="99"/>
      <c r="BE67" s="99"/>
      <c r="BF67" s="99"/>
      <c r="BG67" s="99"/>
      <c r="BH67" s="99"/>
      <c r="BI67" s="99"/>
      <c r="BJ67" s="99"/>
      <c r="BK67" s="99"/>
      <c r="BL67" s="99"/>
      <c r="BM67" s="99"/>
      <c r="BN67" s="99"/>
      <c r="BO67" s="99"/>
      <c r="BP67" s="99"/>
      <c r="BQ67" s="99"/>
      <c r="BR67" s="99"/>
      <c r="BS67" s="99"/>
      <c r="BT67" s="99"/>
      <c r="BU67" s="99"/>
      <c r="BV67" s="99"/>
      <c r="BW67" s="108"/>
      <c r="BX67" s="3"/>
      <c r="BY67" s="3"/>
      <c r="BZ67" s="3"/>
      <c r="CA67" s="3"/>
      <c r="CB67" s="3"/>
      <c r="CC67" s="3"/>
      <c r="CD67" s="3"/>
      <c r="CE67" s="3"/>
      <c r="CF67" s="3"/>
      <c r="CG67" s="3"/>
      <c r="CH67" s="3"/>
      <c r="CI67" s="3"/>
      <c r="CJ67" s="3"/>
      <c r="CK67" s="3"/>
      <c r="CL67" s="3"/>
    </row>
    <row r="68" spans="1:90" s="9" customFormat="1" ht="35.25" customHeight="1" x14ac:dyDescent="0.25">
      <c r="A68" s="169"/>
      <c r="B68" s="170"/>
      <c r="C68" s="170"/>
      <c r="D68" s="170"/>
      <c r="E68" s="175"/>
      <c r="F68" s="176"/>
      <c r="G68" s="57"/>
      <c r="H68" s="58"/>
      <c r="I68" s="57"/>
      <c r="J68" s="57"/>
      <c r="K68" s="57"/>
      <c r="L68" s="57"/>
      <c r="M68" s="99" t="s">
        <v>87</v>
      </c>
      <c r="N68" s="99"/>
      <c r="O68" s="99"/>
      <c r="P68" s="99"/>
      <c r="Q68" s="99"/>
      <c r="R68" s="99"/>
      <c r="S68" s="99"/>
      <c r="T68" s="102" t="s">
        <v>96</v>
      </c>
      <c r="U68" s="99"/>
      <c r="V68" s="99"/>
      <c r="W68" s="99"/>
      <c r="X68" s="99"/>
      <c r="Y68" s="99"/>
      <c r="Z68" s="99"/>
      <c r="AA68" s="99"/>
      <c r="AB68" s="99"/>
      <c r="AC68" s="99"/>
      <c r="AD68" s="99"/>
      <c r="AE68" s="99"/>
      <c r="AF68" s="99"/>
      <c r="AG68" s="102" t="s">
        <v>94</v>
      </c>
      <c r="AH68" s="99"/>
      <c r="AI68" s="99"/>
      <c r="AJ68" s="99"/>
      <c r="AK68" s="99"/>
      <c r="AL68" s="99"/>
      <c r="AM68" s="99"/>
      <c r="AN68" s="99"/>
      <c r="AO68" s="57"/>
      <c r="AP68" s="99"/>
      <c r="AQ68" s="99"/>
      <c r="AR68" s="102" t="s">
        <v>92</v>
      </c>
      <c r="AS68" s="99"/>
      <c r="AT68" s="99"/>
      <c r="AU68" s="99"/>
      <c r="AV68" s="99"/>
      <c r="AW68" s="99"/>
      <c r="AX68" s="99"/>
      <c r="AY68" s="99"/>
      <c r="AZ68" s="99"/>
      <c r="BA68" s="99"/>
      <c r="BB68" s="99"/>
      <c r="BC68" s="99"/>
      <c r="BD68" s="99"/>
      <c r="BE68" s="99"/>
      <c r="BF68" s="99"/>
      <c r="BG68" s="99"/>
      <c r="BH68" s="99"/>
      <c r="BI68" s="99"/>
      <c r="BJ68" s="99"/>
      <c r="BK68" s="99"/>
      <c r="BL68" s="99"/>
      <c r="BM68" s="99"/>
      <c r="BN68" s="99"/>
      <c r="BO68" s="99"/>
      <c r="BP68" s="99"/>
      <c r="BQ68" s="99"/>
      <c r="BR68" s="102" t="s">
        <v>85</v>
      </c>
      <c r="BS68" s="99"/>
      <c r="BT68" s="99"/>
      <c r="BU68" s="99"/>
      <c r="BV68" s="99"/>
      <c r="BW68" s="108"/>
      <c r="BX68" s="3"/>
      <c r="BY68" s="3"/>
      <c r="BZ68" s="3"/>
      <c r="CA68" s="3"/>
      <c r="CB68" s="3"/>
      <c r="CC68" s="3"/>
      <c r="CD68" s="3"/>
      <c r="CE68" s="3"/>
      <c r="CF68" s="3"/>
      <c r="CG68" s="3"/>
      <c r="CH68" s="3"/>
      <c r="CI68" s="3"/>
      <c r="CJ68" s="3"/>
      <c r="CK68" s="3"/>
      <c r="CL68" s="3"/>
    </row>
    <row r="69" spans="1:90" s="9" customFormat="1" ht="35.25" customHeight="1" x14ac:dyDescent="0.25">
      <c r="A69" s="169"/>
      <c r="B69" s="170"/>
      <c r="C69" s="170"/>
      <c r="D69" s="170"/>
      <c r="E69" s="177"/>
      <c r="F69" s="178"/>
      <c r="G69" s="105"/>
      <c r="H69" s="111"/>
      <c r="I69" s="105"/>
      <c r="J69" s="105"/>
      <c r="K69" s="105"/>
      <c r="L69" s="105"/>
      <c r="M69" s="105"/>
      <c r="N69" s="105"/>
      <c r="O69" s="105"/>
      <c r="P69" s="105"/>
      <c r="Q69" s="105"/>
      <c r="R69" s="105"/>
      <c r="S69" s="105"/>
      <c r="T69" s="105"/>
      <c r="U69" s="105"/>
      <c r="V69" s="105"/>
      <c r="W69" s="105"/>
      <c r="X69" s="105"/>
      <c r="Y69" s="102" t="s">
        <v>355</v>
      </c>
      <c r="Z69" s="99"/>
      <c r="AA69" s="99"/>
      <c r="AB69" s="99"/>
      <c r="AC69" s="99"/>
      <c r="AD69" s="99"/>
      <c r="AE69" s="105"/>
      <c r="AF69" s="105"/>
      <c r="AG69" s="105"/>
      <c r="AH69" s="116" t="s">
        <v>102</v>
      </c>
      <c r="AI69" s="103"/>
      <c r="AJ69" s="103"/>
      <c r="AK69" s="103"/>
      <c r="AL69" s="103"/>
      <c r="AM69" s="103"/>
      <c r="AN69" s="105"/>
      <c r="AO69" s="105"/>
      <c r="AP69" s="105"/>
      <c r="AQ69" s="105"/>
      <c r="AR69" s="105"/>
      <c r="AS69" s="105"/>
      <c r="AT69" s="105"/>
      <c r="AU69" s="105"/>
      <c r="AV69" s="116" t="s">
        <v>139</v>
      </c>
      <c r="AW69" s="103"/>
      <c r="AX69" s="103"/>
      <c r="AY69" s="103"/>
      <c r="AZ69" s="102" t="s">
        <v>136</v>
      </c>
      <c r="BA69" s="102"/>
      <c r="BB69" s="99"/>
      <c r="BC69" s="103"/>
      <c r="BD69" s="99"/>
      <c r="BE69" s="99"/>
      <c r="BF69" s="99"/>
      <c r="BG69" s="102" t="s">
        <v>141</v>
      </c>
      <c r="BH69" s="103"/>
      <c r="BI69" s="103"/>
      <c r="BJ69" s="103"/>
      <c r="BK69" s="102" t="s">
        <v>140</v>
      </c>
      <c r="BL69" s="99"/>
      <c r="BM69" s="102" t="s">
        <v>142</v>
      </c>
      <c r="BN69" s="99"/>
      <c r="BO69" s="103"/>
      <c r="BP69" s="116"/>
      <c r="BQ69" s="120" t="s">
        <v>137</v>
      </c>
      <c r="BR69" s="119" t="s">
        <v>377</v>
      </c>
      <c r="BS69" s="132" t="s">
        <v>101</v>
      </c>
      <c r="BT69" s="132" t="s">
        <v>100</v>
      </c>
      <c r="BU69" s="120" t="s">
        <v>111</v>
      </c>
      <c r="BV69" s="119" t="s">
        <v>351</v>
      </c>
      <c r="BW69" s="122"/>
      <c r="BX69" s="3"/>
      <c r="BY69" s="3"/>
      <c r="BZ69" s="3"/>
      <c r="CA69" s="3"/>
      <c r="CB69" s="3"/>
      <c r="CC69" s="3"/>
      <c r="CD69" s="3"/>
      <c r="CE69" s="3"/>
      <c r="CF69" s="3"/>
      <c r="CG69" s="3"/>
      <c r="CH69" s="3"/>
      <c r="CI69" s="3"/>
      <c r="CJ69" s="3"/>
      <c r="CK69" s="3"/>
      <c r="CL69" s="3"/>
    </row>
    <row r="70" spans="1:90" s="9" customFormat="1" ht="128.25" customHeight="1" x14ac:dyDescent="0.25">
      <c r="A70" s="171"/>
      <c r="B70" s="172"/>
      <c r="C70" s="172"/>
      <c r="D70" s="172"/>
      <c r="E70" s="59" t="s">
        <v>60</v>
      </c>
      <c r="F70" s="59" t="s">
        <v>61</v>
      </c>
      <c r="G70" s="100" t="s">
        <v>99</v>
      </c>
      <c r="H70" s="118" t="s">
        <v>353</v>
      </c>
      <c r="I70" s="100" t="s">
        <v>106</v>
      </c>
      <c r="J70" s="100" t="s">
        <v>331</v>
      </c>
      <c r="K70" s="100" t="s">
        <v>338</v>
      </c>
      <c r="L70" s="100" t="s">
        <v>108</v>
      </c>
      <c r="M70" s="100" t="s">
        <v>129</v>
      </c>
      <c r="N70" s="100" t="s">
        <v>126</v>
      </c>
      <c r="O70" s="100" t="s">
        <v>113</v>
      </c>
      <c r="P70" s="100" t="s">
        <v>354</v>
      </c>
      <c r="Q70" s="100" t="s">
        <v>357</v>
      </c>
      <c r="R70" s="100" t="s">
        <v>371</v>
      </c>
      <c r="S70" s="100" t="s">
        <v>118</v>
      </c>
      <c r="T70" s="100" t="s">
        <v>121</v>
      </c>
      <c r="U70" s="100" t="s">
        <v>365</v>
      </c>
      <c r="V70" s="100" t="s">
        <v>119</v>
      </c>
      <c r="W70" s="100" t="s">
        <v>91</v>
      </c>
      <c r="X70" s="144" t="s">
        <v>123</v>
      </c>
      <c r="Y70" s="100" t="s">
        <v>388</v>
      </c>
      <c r="Z70" s="100" t="s">
        <v>389</v>
      </c>
      <c r="AA70" s="100" t="s">
        <v>348</v>
      </c>
      <c r="AB70" s="100" t="s">
        <v>350</v>
      </c>
      <c r="AC70" s="100" t="s">
        <v>476</v>
      </c>
      <c r="AD70" s="100" t="s">
        <v>112</v>
      </c>
      <c r="AE70" s="100" t="s">
        <v>367</v>
      </c>
      <c r="AF70" s="100" t="s">
        <v>383</v>
      </c>
      <c r="AG70" s="100" t="s">
        <v>128</v>
      </c>
      <c r="AH70" s="100" t="s">
        <v>381</v>
      </c>
      <c r="AI70" s="100" t="s">
        <v>366</v>
      </c>
      <c r="AJ70" s="100" t="s">
        <v>335</v>
      </c>
      <c r="AK70" s="100" t="s">
        <v>345</v>
      </c>
      <c r="AL70" s="100" t="s">
        <v>374</v>
      </c>
      <c r="AM70" s="100" t="s">
        <v>373</v>
      </c>
      <c r="AN70" s="100" t="s">
        <v>114</v>
      </c>
      <c r="AO70" s="100" t="s">
        <v>165</v>
      </c>
      <c r="AP70" s="100" t="s">
        <v>378</v>
      </c>
      <c r="AQ70" s="100" t="s">
        <v>125</v>
      </c>
      <c r="AR70" s="100" t="s">
        <v>122</v>
      </c>
      <c r="AS70" s="100" t="s">
        <v>416</v>
      </c>
      <c r="AT70" s="100" t="s">
        <v>115</v>
      </c>
      <c r="AU70" s="100" t="s">
        <v>93</v>
      </c>
      <c r="AV70" s="100" t="s">
        <v>385</v>
      </c>
      <c r="AW70" s="100" t="s">
        <v>334</v>
      </c>
      <c r="AX70" s="100" t="s">
        <v>477</v>
      </c>
      <c r="AY70" s="100" t="s">
        <v>390</v>
      </c>
      <c r="AZ70" s="100" t="s">
        <v>343</v>
      </c>
      <c r="BA70" s="100" t="s">
        <v>368</v>
      </c>
      <c r="BB70" s="100" t="s">
        <v>347</v>
      </c>
      <c r="BC70" s="100" t="s">
        <v>358</v>
      </c>
      <c r="BD70" s="100" t="s">
        <v>329</v>
      </c>
      <c r="BE70" s="100" t="s">
        <v>232</v>
      </c>
      <c r="BF70" s="100" t="s">
        <v>86</v>
      </c>
      <c r="BG70" s="100" t="s">
        <v>116</v>
      </c>
      <c r="BH70" s="100" t="s">
        <v>127</v>
      </c>
      <c r="BI70" s="100" t="s">
        <v>475</v>
      </c>
      <c r="BJ70" s="100" t="s">
        <v>117</v>
      </c>
      <c r="BK70" s="100" t="s">
        <v>372</v>
      </c>
      <c r="BL70" s="100" t="s">
        <v>382</v>
      </c>
      <c r="BM70" s="100" t="s">
        <v>341</v>
      </c>
      <c r="BN70" s="100" t="s">
        <v>403</v>
      </c>
      <c r="BO70" s="100" t="s">
        <v>474</v>
      </c>
      <c r="BP70" s="100" t="s">
        <v>405</v>
      </c>
      <c r="BQ70" s="100" t="s">
        <v>124</v>
      </c>
      <c r="BR70" s="100" t="s">
        <v>402</v>
      </c>
      <c r="BS70" s="100" t="s">
        <v>376</v>
      </c>
      <c r="BT70" s="100" t="s">
        <v>352</v>
      </c>
      <c r="BU70" s="100" t="s">
        <v>360</v>
      </c>
      <c r="BV70" s="100" t="s">
        <v>361</v>
      </c>
      <c r="BW70" s="100" t="s">
        <v>327</v>
      </c>
      <c r="BX70" s="100" t="s">
        <v>478</v>
      </c>
      <c r="BY70" s="100" t="s">
        <v>479</v>
      </c>
      <c r="BZ70" s="3"/>
      <c r="CA70" s="3"/>
      <c r="CB70" s="3"/>
      <c r="CC70" s="3"/>
      <c r="CD70" s="3"/>
      <c r="CE70" s="3"/>
      <c r="CF70" s="3"/>
      <c r="CG70" s="3"/>
      <c r="CH70" s="3"/>
      <c r="CI70" s="3"/>
      <c r="CJ70" s="3"/>
      <c r="CK70" s="3"/>
      <c r="CL70" s="3"/>
    </row>
    <row r="71" spans="1:90" s="9" customFormat="1" ht="13.2" customHeight="1" x14ac:dyDescent="0.25">
      <c r="A71" s="46"/>
      <c r="D71" s="60"/>
      <c r="E71" s="34"/>
      <c r="F71" s="34"/>
      <c r="G71" s="34"/>
      <c r="H71" s="34"/>
      <c r="I71" s="3"/>
      <c r="J71" s="61"/>
      <c r="K71" s="51"/>
      <c r="L71" s="62"/>
      <c r="M71" s="61"/>
      <c r="N71" s="34"/>
      <c r="O71" s="34"/>
      <c r="P71" s="34"/>
      <c r="Q71" s="34"/>
      <c r="R71" s="34"/>
      <c r="S71" s="34"/>
      <c r="T71" s="34"/>
      <c r="U71" s="34"/>
      <c r="V71" s="34"/>
      <c r="W71" s="34"/>
      <c r="X71" s="34"/>
      <c r="Y71" s="34"/>
      <c r="Z71" s="61"/>
      <c r="AA71" s="34"/>
      <c r="AB71" s="34"/>
      <c r="AC71" s="34"/>
      <c r="AD71" s="34"/>
      <c r="AE71" s="34"/>
      <c r="AF71" s="34"/>
      <c r="AG71" s="34"/>
      <c r="AH71" s="61"/>
      <c r="AI71" s="34"/>
      <c r="AJ71" s="34"/>
      <c r="AK71" s="34"/>
      <c r="AL71" s="34"/>
      <c r="AM71" s="34"/>
      <c r="AN71" s="34"/>
      <c r="AO71" s="61"/>
      <c r="AP71" s="34"/>
      <c r="AQ71" s="34"/>
      <c r="AR71" s="61"/>
      <c r="AS71" s="34"/>
      <c r="AT71" s="34"/>
      <c r="AU71" s="61"/>
      <c r="AV71" s="34"/>
      <c r="AW71" s="34"/>
      <c r="AX71" s="34"/>
      <c r="AY71" s="34"/>
      <c r="AZ71" s="34"/>
      <c r="BA71" s="34"/>
      <c r="BB71" s="34"/>
      <c r="BC71" s="34"/>
      <c r="BD71" s="34"/>
      <c r="BE71" s="34"/>
      <c r="BF71" s="61"/>
      <c r="BG71" s="34"/>
      <c r="BH71" s="34"/>
      <c r="BI71" s="34"/>
      <c r="BJ71" s="34"/>
      <c r="BK71" s="34"/>
      <c r="BL71" s="34"/>
      <c r="BM71" s="34"/>
      <c r="BN71" s="34"/>
      <c r="BO71" s="34"/>
      <c r="BP71" s="34"/>
      <c r="BQ71" s="34"/>
      <c r="BR71" s="34"/>
      <c r="BS71" s="61"/>
      <c r="BT71" s="34"/>
      <c r="BU71" s="34"/>
      <c r="BV71" s="34"/>
      <c r="BW71" s="61"/>
      <c r="BX71" s="61"/>
      <c r="BY71" s="61"/>
      <c r="BZ71" s="3"/>
      <c r="CA71" s="3"/>
      <c r="CB71" s="3"/>
      <c r="CC71" s="3"/>
      <c r="CD71" s="3"/>
      <c r="CE71" s="3"/>
      <c r="CF71" s="3"/>
      <c r="CG71" s="3"/>
      <c r="CH71" s="3"/>
      <c r="CI71" s="3"/>
      <c r="CJ71" s="3"/>
      <c r="CK71" s="3"/>
      <c r="CL71" s="3"/>
    </row>
    <row r="72" spans="1:90" s="9" customFormat="1" ht="13.2" customHeight="1" x14ac:dyDescent="0.25">
      <c r="A72" s="63" t="s">
        <v>62</v>
      </c>
      <c r="B72" s="64"/>
      <c r="C72" s="64"/>
      <c r="D72" s="65"/>
      <c r="E72" s="66">
        <f t="shared" ref="E72:AF72" si="0">SUM(E74,E80,E88,E98,E108)</f>
        <v>39</v>
      </c>
      <c r="F72" s="67">
        <f t="shared" si="0"/>
        <v>179</v>
      </c>
      <c r="G72" s="67">
        <f t="shared" si="0"/>
        <v>9</v>
      </c>
      <c r="H72" s="67">
        <f t="shared" si="0"/>
        <v>5</v>
      </c>
      <c r="I72" s="68">
        <f t="shared" si="0"/>
        <v>5</v>
      </c>
      <c r="J72" s="67">
        <f t="shared" si="0"/>
        <v>3</v>
      </c>
      <c r="K72" s="67">
        <f t="shared" si="0"/>
        <v>1</v>
      </c>
      <c r="L72" s="67">
        <f t="shared" si="0"/>
        <v>1</v>
      </c>
      <c r="M72" s="67">
        <f>SUM(M74,M80,M88,M98,M108)</f>
        <v>4</v>
      </c>
      <c r="N72" s="67">
        <f t="shared" si="0"/>
        <v>3</v>
      </c>
      <c r="O72" s="67">
        <f t="shared" si="0"/>
        <v>3</v>
      </c>
      <c r="P72" s="67">
        <f t="shared" si="0"/>
        <v>2</v>
      </c>
      <c r="Q72" s="67">
        <f t="shared" si="0"/>
        <v>1</v>
      </c>
      <c r="R72" s="67">
        <f t="shared" si="0"/>
        <v>1</v>
      </c>
      <c r="S72" s="67">
        <f t="shared" si="0"/>
        <v>1</v>
      </c>
      <c r="T72" s="67">
        <f t="shared" si="0"/>
        <v>6</v>
      </c>
      <c r="U72" s="67">
        <f t="shared" si="0"/>
        <v>3</v>
      </c>
      <c r="V72" s="67">
        <f t="shared" si="0"/>
        <v>1</v>
      </c>
      <c r="W72" s="67">
        <f t="shared" si="0"/>
        <v>2</v>
      </c>
      <c r="X72" s="67">
        <f t="shared" si="0"/>
        <v>2</v>
      </c>
      <c r="Y72" s="67">
        <f t="shared" si="0"/>
        <v>2</v>
      </c>
      <c r="Z72" s="67">
        <f t="shared" si="0"/>
        <v>1</v>
      </c>
      <c r="AA72" s="67">
        <f t="shared" si="0"/>
        <v>1</v>
      </c>
      <c r="AB72" s="67">
        <f t="shared" si="0"/>
        <v>1</v>
      </c>
      <c r="AC72" s="67">
        <f t="shared" si="0"/>
        <v>1</v>
      </c>
      <c r="AD72" s="67">
        <f t="shared" si="0"/>
        <v>1</v>
      </c>
      <c r="AE72" s="67">
        <f t="shared" si="0"/>
        <v>1</v>
      </c>
      <c r="AF72" s="67">
        <f t="shared" si="0"/>
        <v>1</v>
      </c>
      <c r="AG72" s="67">
        <f t="shared" ref="AG72:BM72" si="1">SUM(AG74,AG80,AG88,AG98,AG108)</f>
        <v>7</v>
      </c>
      <c r="AH72" s="67">
        <f t="shared" si="1"/>
        <v>5</v>
      </c>
      <c r="AI72" s="67">
        <f t="shared" si="1"/>
        <v>5</v>
      </c>
      <c r="AJ72" s="67">
        <f t="shared" si="1"/>
        <v>3</v>
      </c>
      <c r="AK72" s="67">
        <f t="shared" si="1"/>
        <v>2</v>
      </c>
      <c r="AL72" s="67">
        <f t="shared" si="1"/>
        <v>1</v>
      </c>
      <c r="AM72" s="67">
        <f t="shared" si="1"/>
        <v>1</v>
      </c>
      <c r="AN72" s="67">
        <f t="shared" si="1"/>
        <v>2</v>
      </c>
      <c r="AO72" s="67">
        <f>SUM(AO74,AO80,AO88,AO98,AO108)</f>
        <v>2</v>
      </c>
      <c r="AP72" s="67">
        <f t="shared" si="1"/>
        <v>2</v>
      </c>
      <c r="AQ72" s="67">
        <f t="shared" si="1"/>
        <v>1</v>
      </c>
      <c r="AR72" s="67">
        <f t="shared" si="1"/>
        <v>3</v>
      </c>
      <c r="AS72" s="67">
        <f t="shared" si="1"/>
        <v>2</v>
      </c>
      <c r="AT72" s="67">
        <f t="shared" si="1"/>
        <v>1</v>
      </c>
      <c r="AU72" s="67">
        <f t="shared" si="1"/>
        <v>1</v>
      </c>
      <c r="AV72" s="67">
        <f t="shared" si="1"/>
        <v>6</v>
      </c>
      <c r="AW72" s="67">
        <f t="shared" si="1"/>
        <v>5</v>
      </c>
      <c r="AX72" s="67">
        <f t="shared" si="1"/>
        <v>1</v>
      </c>
      <c r="AY72" s="67">
        <f t="shared" si="1"/>
        <v>1</v>
      </c>
      <c r="AZ72" s="67">
        <f>SUM(AZ74,AZ80,AZ88,AZ98,AZ108)</f>
        <v>9</v>
      </c>
      <c r="BA72" s="67">
        <f t="shared" si="1"/>
        <v>2</v>
      </c>
      <c r="BB72" s="67">
        <f t="shared" si="1"/>
        <v>2</v>
      </c>
      <c r="BC72" s="67">
        <f t="shared" si="1"/>
        <v>1</v>
      </c>
      <c r="BD72" s="67">
        <f t="shared" si="1"/>
        <v>1</v>
      </c>
      <c r="BE72" s="67">
        <f t="shared" si="1"/>
        <v>1</v>
      </c>
      <c r="BF72" s="67">
        <f t="shared" si="1"/>
        <v>1</v>
      </c>
      <c r="BG72" s="67">
        <f t="shared" si="1"/>
        <v>1</v>
      </c>
      <c r="BH72" s="67">
        <f t="shared" si="1"/>
        <v>1</v>
      </c>
      <c r="BI72" s="67">
        <f t="shared" si="1"/>
        <v>1</v>
      </c>
      <c r="BJ72" s="67">
        <f t="shared" si="1"/>
        <v>1</v>
      </c>
      <c r="BK72" s="67">
        <f t="shared" si="1"/>
        <v>1</v>
      </c>
      <c r="BL72" s="67">
        <f t="shared" si="1"/>
        <v>1</v>
      </c>
      <c r="BM72" s="67">
        <f t="shared" si="1"/>
        <v>11</v>
      </c>
      <c r="BN72" s="67">
        <f t="shared" ref="BN72:BW72" si="2">SUM(BN74,BN80,BN88,BN98,BN108)</f>
        <v>2</v>
      </c>
      <c r="BO72" s="67">
        <f t="shared" si="2"/>
        <v>1</v>
      </c>
      <c r="BP72" s="67">
        <f t="shared" si="2"/>
        <v>1</v>
      </c>
      <c r="BQ72" s="67">
        <f t="shared" si="2"/>
        <v>2</v>
      </c>
      <c r="BR72" s="67">
        <f t="shared" si="2"/>
        <v>13</v>
      </c>
      <c r="BS72" s="67">
        <f t="shared" si="2"/>
        <v>8</v>
      </c>
      <c r="BT72" s="67">
        <f t="shared" si="2"/>
        <v>6</v>
      </c>
      <c r="BU72" s="67">
        <f t="shared" si="2"/>
        <v>5</v>
      </c>
      <c r="BV72" s="67">
        <f t="shared" si="2"/>
        <v>5</v>
      </c>
      <c r="BW72" s="67">
        <f t="shared" si="2"/>
        <v>1</v>
      </c>
      <c r="BX72" s="67">
        <f t="shared" ref="BX72:BY72" si="3">SUM(BX74,BX80,BX88,BX98,BX108)</f>
        <v>1</v>
      </c>
      <c r="BY72" s="67">
        <f t="shared" si="3"/>
        <v>1</v>
      </c>
      <c r="BZ72" s="3"/>
      <c r="CA72" s="3"/>
      <c r="CB72" s="3"/>
      <c r="CC72" s="3"/>
      <c r="CD72" s="3"/>
      <c r="CE72" s="3"/>
      <c r="CF72" s="3"/>
      <c r="CG72" s="3"/>
      <c r="CH72" s="3"/>
      <c r="CI72" s="3"/>
      <c r="CJ72" s="3"/>
      <c r="CK72" s="3"/>
      <c r="CL72" s="3"/>
    </row>
    <row r="73" spans="1:90" s="9" customFormat="1" ht="13.2" customHeight="1" x14ac:dyDescent="0.25">
      <c r="A73" s="46" t="s">
        <v>63</v>
      </c>
      <c r="D73" s="60"/>
      <c r="E73" s="34"/>
      <c r="F73" s="34"/>
      <c r="G73" s="70"/>
      <c r="H73" s="70"/>
      <c r="I73" s="3"/>
      <c r="J73" s="69"/>
      <c r="K73" s="70"/>
      <c r="L73" s="71"/>
      <c r="M73" s="71"/>
      <c r="N73" s="34"/>
      <c r="O73" s="34"/>
      <c r="P73" s="70"/>
      <c r="Q73" s="34"/>
      <c r="R73" s="70"/>
      <c r="S73" s="70"/>
      <c r="T73" s="34"/>
      <c r="U73" s="34"/>
      <c r="V73" s="34"/>
      <c r="W73" s="34"/>
      <c r="X73" s="34"/>
      <c r="Y73" s="70"/>
      <c r="Z73" s="71"/>
      <c r="AA73" s="34"/>
      <c r="AB73" s="34"/>
      <c r="AC73" s="34"/>
      <c r="AD73" s="70"/>
      <c r="AE73" s="70"/>
      <c r="AF73" s="70"/>
      <c r="AG73" s="34"/>
      <c r="AH73" s="71"/>
      <c r="AI73" s="70"/>
      <c r="AJ73" s="34"/>
      <c r="AK73" s="34"/>
      <c r="AL73" s="70"/>
      <c r="AM73" s="70"/>
      <c r="AN73" s="70"/>
      <c r="AO73" s="71"/>
      <c r="AP73" s="34"/>
      <c r="AQ73" s="70"/>
      <c r="AR73" s="71"/>
      <c r="AS73" s="70"/>
      <c r="AT73" s="34"/>
      <c r="AU73" s="71"/>
      <c r="AV73" s="34"/>
      <c r="AW73" s="70"/>
      <c r="AX73" s="70"/>
      <c r="AY73" s="70"/>
      <c r="AZ73" s="70"/>
      <c r="BA73" s="34"/>
      <c r="BB73" s="70"/>
      <c r="BC73" s="34"/>
      <c r="BD73" s="70"/>
      <c r="BE73" s="70"/>
      <c r="BF73" s="71"/>
      <c r="BG73" s="70"/>
      <c r="BH73" s="70"/>
      <c r="BI73" s="34"/>
      <c r="BJ73" s="34"/>
      <c r="BK73" s="70"/>
      <c r="BL73" s="70"/>
      <c r="BM73" s="34"/>
      <c r="BN73" s="70"/>
      <c r="BO73" s="70"/>
      <c r="BP73" s="70"/>
      <c r="BQ73" s="70"/>
      <c r="BR73" s="70"/>
      <c r="BS73" s="71"/>
      <c r="BT73" s="34"/>
      <c r="BU73" s="70"/>
      <c r="BV73" s="70"/>
      <c r="BW73" s="71"/>
      <c r="BX73" s="71"/>
      <c r="BY73" s="71"/>
      <c r="BZ73" s="3"/>
      <c r="CA73" s="3"/>
      <c r="CB73" s="3"/>
      <c r="CC73" s="3"/>
      <c r="CD73" s="3"/>
      <c r="CE73" s="3"/>
      <c r="CF73" s="3"/>
      <c r="CG73" s="3"/>
      <c r="CH73" s="3"/>
      <c r="CI73" s="3"/>
      <c r="CJ73" s="3"/>
      <c r="CK73" s="3"/>
      <c r="CL73" s="3"/>
    </row>
    <row r="74" spans="1:90" s="9" customFormat="1" ht="13.2" customHeight="1" x14ac:dyDescent="0.25">
      <c r="A74" s="72" t="s">
        <v>10</v>
      </c>
      <c r="B74" s="73"/>
      <c r="C74" s="73"/>
      <c r="D74" s="60"/>
      <c r="E74" s="74">
        <f>+G13</f>
        <v>3</v>
      </c>
      <c r="F74" s="75">
        <f t="shared" ref="F74" si="4">SUM(F75:F77)</f>
        <v>24</v>
      </c>
      <c r="G74" s="75">
        <f>SUM(G75:G78)</f>
        <v>1</v>
      </c>
      <c r="H74" s="75">
        <f t="shared" ref="H74:BW74" si="5">SUM(H75:H78)</f>
        <v>2</v>
      </c>
      <c r="I74" s="75">
        <f t="shared" si="5"/>
        <v>2</v>
      </c>
      <c r="J74" s="75">
        <f t="shared" si="5"/>
        <v>1</v>
      </c>
      <c r="K74" s="75">
        <f t="shared" si="5"/>
        <v>1</v>
      </c>
      <c r="L74" s="75">
        <f t="shared" si="5"/>
        <v>0</v>
      </c>
      <c r="M74" s="75">
        <f t="shared" si="5"/>
        <v>0</v>
      </c>
      <c r="N74" s="75">
        <f t="shared" si="5"/>
        <v>0</v>
      </c>
      <c r="O74" s="75">
        <f t="shared" si="5"/>
        <v>0</v>
      </c>
      <c r="P74" s="75">
        <f t="shared" si="5"/>
        <v>1</v>
      </c>
      <c r="Q74" s="75">
        <f t="shared" si="5"/>
        <v>0</v>
      </c>
      <c r="R74" s="75">
        <f t="shared" si="5"/>
        <v>0</v>
      </c>
      <c r="S74" s="75">
        <f t="shared" si="5"/>
        <v>0</v>
      </c>
      <c r="T74" s="75">
        <f t="shared" si="5"/>
        <v>1</v>
      </c>
      <c r="U74" s="75">
        <f t="shared" si="5"/>
        <v>0</v>
      </c>
      <c r="V74" s="75">
        <f t="shared" si="5"/>
        <v>0</v>
      </c>
      <c r="W74" s="75">
        <f t="shared" si="5"/>
        <v>0</v>
      </c>
      <c r="X74" s="75">
        <f t="shared" si="5"/>
        <v>0</v>
      </c>
      <c r="Y74" s="75">
        <f t="shared" si="5"/>
        <v>0</v>
      </c>
      <c r="Z74" s="75">
        <f t="shared" si="5"/>
        <v>0</v>
      </c>
      <c r="AA74" s="75">
        <f t="shared" si="5"/>
        <v>1</v>
      </c>
      <c r="AB74" s="75">
        <f t="shared" si="5"/>
        <v>0</v>
      </c>
      <c r="AC74" s="75">
        <f t="shared" si="5"/>
        <v>0</v>
      </c>
      <c r="AD74" s="75">
        <f t="shared" si="5"/>
        <v>0</v>
      </c>
      <c r="AE74" s="75">
        <f t="shared" si="5"/>
        <v>0</v>
      </c>
      <c r="AF74" s="75">
        <f t="shared" si="5"/>
        <v>0</v>
      </c>
      <c r="AG74" s="75">
        <f t="shared" si="5"/>
        <v>0</v>
      </c>
      <c r="AH74" s="75">
        <f t="shared" si="5"/>
        <v>0</v>
      </c>
      <c r="AI74" s="75">
        <f t="shared" si="5"/>
        <v>0</v>
      </c>
      <c r="AJ74" s="75">
        <f t="shared" si="5"/>
        <v>2</v>
      </c>
      <c r="AK74" s="75">
        <f t="shared" si="5"/>
        <v>0</v>
      </c>
      <c r="AL74" s="75">
        <f t="shared" si="5"/>
        <v>0</v>
      </c>
      <c r="AM74" s="75">
        <f t="shared" si="5"/>
        <v>0</v>
      </c>
      <c r="AN74" s="75">
        <f t="shared" si="5"/>
        <v>0</v>
      </c>
      <c r="AO74" s="75">
        <f t="shared" si="5"/>
        <v>0</v>
      </c>
      <c r="AP74" s="75">
        <f t="shared" si="5"/>
        <v>0</v>
      </c>
      <c r="AQ74" s="75">
        <f t="shared" si="5"/>
        <v>0</v>
      </c>
      <c r="AR74" s="75">
        <f t="shared" si="5"/>
        <v>0</v>
      </c>
      <c r="AS74" s="75">
        <f t="shared" si="5"/>
        <v>0</v>
      </c>
      <c r="AT74" s="75">
        <f t="shared" si="5"/>
        <v>0</v>
      </c>
      <c r="AU74" s="75">
        <f t="shared" si="5"/>
        <v>0</v>
      </c>
      <c r="AV74" s="75">
        <f t="shared" si="5"/>
        <v>1</v>
      </c>
      <c r="AW74" s="75">
        <f t="shared" si="5"/>
        <v>2</v>
      </c>
      <c r="AX74" s="75">
        <f t="shared" si="5"/>
        <v>0</v>
      </c>
      <c r="AY74" s="75">
        <f t="shared" si="5"/>
        <v>0</v>
      </c>
      <c r="AZ74" s="75">
        <f t="shared" si="5"/>
        <v>1</v>
      </c>
      <c r="BA74" s="75">
        <f t="shared" si="5"/>
        <v>0</v>
      </c>
      <c r="BB74" s="75">
        <f t="shared" si="5"/>
        <v>1</v>
      </c>
      <c r="BC74" s="75">
        <f t="shared" si="5"/>
        <v>0</v>
      </c>
      <c r="BD74" s="75">
        <f t="shared" si="5"/>
        <v>1</v>
      </c>
      <c r="BE74" s="75">
        <f t="shared" si="5"/>
        <v>1</v>
      </c>
      <c r="BF74" s="75">
        <f t="shared" si="5"/>
        <v>0</v>
      </c>
      <c r="BG74" s="75">
        <f t="shared" si="5"/>
        <v>0</v>
      </c>
      <c r="BH74" s="75">
        <f t="shared" si="5"/>
        <v>0</v>
      </c>
      <c r="BI74" s="75">
        <f t="shared" si="5"/>
        <v>0</v>
      </c>
      <c r="BJ74" s="75">
        <f t="shared" si="5"/>
        <v>0</v>
      </c>
      <c r="BK74" s="75">
        <f t="shared" si="5"/>
        <v>0</v>
      </c>
      <c r="BL74" s="75">
        <f t="shared" si="5"/>
        <v>0</v>
      </c>
      <c r="BM74" s="75">
        <f t="shared" si="5"/>
        <v>2</v>
      </c>
      <c r="BN74" s="75">
        <f>SUM(BN75:BN78)</f>
        <v>0</v>
      </c>
      <c r="BO74" s="75">
        <f t="shared" si="5"/>
        <v>0</v>
      </c>
      <c r="BP74" s="75">
        <f t="shared" si="5"/>
        <v>0</v>
      </c>
      <c r="BQ74" s="75">
        <f t="shared" si="5"/>
        <v>0</v>
      </c>
      <c r="BR74" s="75">
        <f t="shared" si="5"/>
        <v>0</v>
      </c>
      <c r="BS74" s="75">
        <f t="shared" si="5"/>
        <v>0</v>
      </c>
      <c r="BT74" s="75">
        <f t="shared" si="5"/>
        <v>2</v>
      </c>
      <c r="BU74" s="75">
        <f t="shared" si="5"/>
        <v>1</v>
      </c>
      <c r="BV74" s="75">
        <f t="shared" si="5"/>
        <v>1</v>
      </c>
      <c r="BW74" s="75">
        <f t="shared" si="5"/>
        <v>1</v>
      </c>
      <c r="BX74" s="75">
        <f t="shared" ref="BX74:BY74" si="6">SUM(BX75:BX78)</f>
        <v>0</v>
      </c>
      <c r="BY74" s="75">
        <f t="shared" si="6"/>
        <v>0</v>
      </c>
      <c r="BZ74" s="3"/>
      <c r="CA74" s="3"/>
      <c r="CB74" s="3"/>
      <c r="CC74" s="3"/>
      <c r="CD74" s="3"/>
      <c r="CE74" s="3"/>
      <c r="CF74" s="3"/>
      <c r="CG74" s="3"/>
      <c r="CH74" s="3"/>
      <c r="CI74" s="3"/>
      <c r="CJ74" s="3"/>
      <c r="CK74" s="3"/>
      <c r="CL74" s="3"/>
    </row>
    <row r="75" spans="1:90" s="78" customFormat="1" outlineLevel="1" x14ac:dyDescent="0.3">
      <c r="A75" s="79" t="s">
        <v>285</v>
      </c>
      <c r="B75" s="7"/>
      <c r="C75" s="7"/>
      <c r="D75" s="7"/>
      <c r="E75" s="34"/>
      <c r="F75" s="76">
        <f>SUM(G75:BW75)</f>
        <v>6</v>
      </c>
      <c r="G75" s="76"/>
      <c r="H75" s="76"/>
      <c r="I75" s="77"/>
      <c r="J75" s="76">
        <v>1</v>
      </c>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v>1</v>
      </c>
      <c r="AK75" s="76"/>
      <c r="AL75" s="76"/>
      <c r="AM75" s="76"/>
      <c r="AN75" s="76"/>
      <c r="AO75" s="76"/>
      <c r="AP75" s="76"/>
      <c r="AQ75" s="76"/>
      <c r="AR75" s="76"/>
      <c r="AS75" s="76"/>
      <c r="AT75" s="76"/>
      <c r="AU75" s="76"/>
      <c r="AV75" s="76">
        <v>1</v>
      </c>
      <c r="AW75" s="76"/>
      <c r="AX75" s="76"/>
      <c r="AY75" s="76"/>
      <c r="AZ75" s="76"/>
      <c r="BA75" s="76"/>
      <c r="BB75" s="76"/>
      <c r="BC75" s="76"/>
      <c r="BD75" s="76">
        <v>1</v>
      </c>
      <c r="BE75" s="76"/>
      <c r="BF75" s="76"/>
      <c r="BG75" s="76"/>
      <c r="BH75" s="76"/>
      <c r="BI75" s="76"/>
      <c r="BJ75" s="76"/>
      <c r="BK75" s="76"/>
      <c r="BL75" s="76"/>
      <c r="BM75" s="76">
        <v>1</v>
      </c>
      <c r="BN75" s="76"/>
      <c r="BO75" s="76"/>
      <c r="BP75" s="76"/>
      <c r="BQ75" s="76"/>
      <c r="BR75" s="76"/>
      <c r="BS75" s="76"/>
      <c r="BT75" s="76"/>
      <c r="BU75" s="76"/>
      <c r="BV75" s="76"/>
      <c r="BW75" s="76">
        <v>1</v>
      </c>
      <c r="BX75" s="76"/>
      <c r="BY75" s="76"/>
      <c r="BZ75" s="3"/>
      <c r="CA75" s="3"/>
      <c r="CB75" s="3"/>
      <c r="CC75" s="3"/>
      <c r="CD75" s="3"/>
      <c r="CE75" s="4"/>
      <c r="CF75" s="4"/>
      <c r="CG75" s="4"/>
      <c r="CH75" s="4"/>
      <c r="CI75" s="4"/>
      <c r="CJ75" s="4"/>
    </row>
    <row r="76" spans="1:90" s="78" customFormat="1" outlineLevel="1" x14ac:dyDescent="0.3">
      <c r="A76" s="79" t="s">
        <v>286</v>
      </c>
      <c r="B76" s="7"/>
      <c r="C76" s="7"/>
      <c r="D76" s="7"/>
      <c r="E76" s="34"/>
      <c r="F76" s="76">
        <f>SUM(G76:BW76)</f>
        <v>6</v>
      </c>
      <c r="G76" s="76"/>
      <c r="H76" s="76">
        <v>1</v>
      </c>
      <c r="I76" s="77">
        <v>1</v>
      </c>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v>1</v>
      </c>
      <c r="AK76" s="76"/>
      <c r="AL76" s="76"/>
      <c r="AM76" s="76"/>
      <c r="AN76" s="76"/>
      <c r="AO76" s="76"/>
      <c r="AP76" s="76"/>
      <c r="AQ76" s="76"/>
      <c r="AR76" s="76"/>
      <c r="AS76" s="76"/>
      <c r="AT76" s="76"/>
      <c r="AU76" s="76"/>
      <c r="AV76" s="76"/>
      <c r="AW76" s="76">
        <v>1</v>
      </c>
      <c r="AX76" s="76"/>
      <c r="AY76" s="76"/>
      <c r="AZ76" s="76">
        <v>1</v>
      </c>
      <c r="BA76" s="76"/>
      <c r="BB76" s="76"/>
      <c r="BC76" s="76"/>
      <c r="BD76" s="76"/>
      <c r="BE76" s="76"/>
      <c r="BF76" s="76"/>
      <c r="BG76" s="76"/>
      <c r="BH76" s="76"/>
      <c r="BI76" s="76"/>
      <c r="BJ76" s="76"/>
      <c r="BK76" s="76"/>
      <c r="BL76" s="76"/>
      <c r="BM76" s="76">
        <v>1</v>
      </c>
      <c r="BN76" s="76"/>
      <c r="BO76" s="76"/>
      <c r="BP76" s="76"/>
      <c r="BQ76" s="76"/>
      <c r="BR76" s="76"/>
      <c r="BS76" s="76"/>
      <c r="BT76" s="76"/>
      <c r="BU76" s="76"/>
      <c r="BV76" s="76"/>
      <c r="BW76" s="76"/>
      <c r="BX76" s="76"/>
      <c r="BY76" s="76"/>
      <c r="BZ76" s="3"/>
      <c r="CA76" s="3"/>
      <c r="CB76" s="3"/>
      <c r="CC76" s="3"/>
      <c r="CD76" s="3"/>
      <c r="CE76" s="4"/>
      <c r="CF76" s="4"/>
      <c r="CG76" s="4"/>
      <c r="CH76" s="4"/>
      <c r="CI76" s="4"/>
      <c r="CJ76" s="4"/>
    </row>
    <row r="77" spans="1:90" s="78" customFormat="1" outlineLevel="1" x14ac:dyDescent="0.3">
      <c r="A77" s="79" t="s">
        <v>287</v>
      </c>
      <c r="B77" s="7"/>
      <c r="C77" s="7"/>
      <c r="D77" s="7"/>
      <c r="E77" s="34"/>
      <c r="F77" s="76">
        <f>SUM(G77:BW77)</f>
        <v>12</v>
      </c>
      <c r="G77" s="76"/>
      <c r="H77" s="76">
        <v>1</v>
      </c>
      <c r="I77" s="77">
        <v>1</v>
      </c>
      <c r="J77" s="76"/>
      <c r="K77" s="76">
        <v>1</v>
      </c>
      <c r="L77" s="76"/>
      <c r="M77" s="76"/>
      <c r="N77" s="76"/>
      <c r="O77" s="76"/>
      <c r="P77" s="76">
        <v>1</v>
      </c>
      <c r="Q77" s="76"/>
      <c r="R77" s="76"/>
      <c r="S77" s="76"/>
      <c r="T77" s="76">
        <v>1</v>
      </c>
      <c r="U77" s="76"/>
      <c r="V77" s="76"/>
      <c r="W77" s="76"/>
      <c r="X77" s="76"/>
      <c r="Y77" s="76"/>
      <c r="Z77" s="76"/>
      <c r="AA77" s="76">
        <v>1</v>
      </c>
      <c r="AB77" s="76"/>
      <c r="AC77" s="76"/>
      <c r="AD77" s="76"/>
      <c r="AE77" s="76"/>
      <c r="AF77" s="76"/>
      <c r="AG77" s="76"/>
      <c r="AH77" s="76"/>
      <c r="AI77" s="76"/>
      <c r="AJ77" s="76"/>
      <c r="AK77" s="76"/>
      <c r="AL77" s="76"/>
      <c r="AM77" s="76"/>
      <c r="AN77" s="76"/>
      <c r="AO77" s="76"/>
      <c r="AP77" s="76"/>
      <c r="AQ77" s="76"/>
      <c r="AR77" s="76"/>
      <c r="AS77" s="76"/>
      <c r="AT77" s="76"/>
      <c r="AU77" s="76"/>
      <c r="AV77" s="76"/>
      <c r="AW77" s="76">
        <v>1</v>
      </c>
      <c r="AX77" s="76"/>
      <c r="AY77" s="76"/>
      <c r="AZ77" s="76"/>
      <c r="BA77" s="76"/>
      <c r="BB77" s="76">
        <v>1</v>
      </c>
      <c r="BC77" s="76"/>
      <c r="BD77" s="76"/>
      <c r="BE77" s="76">
        <v>1</v>
      </c>
      <c r="BF77" s="76"/>
      <c r="BG77" s="76"/>
      <c r="BH77" s="76"/>
      <c r="BI77" s="76"/>
      <c r="BJ77" s="76"/>
      <c r="BK77" s="76"/>
      <c r="BL77" s="76"/>
      <c r="BM77" s="76"/>
      <c r="BN77" s="76"/>
      <c r="BO77" s="76"/>
      <c r="BP77" s="76"/>
      <c r="BQ77" s="76"/>
      <c r="BR77" s="76"/>
      <c r="BS77" s="76"/>
      <c r="BT77" s="76">
        <v>1</v>
      </c>
      <c r="BU77" s="76">
        <v>1</v>
      </c>
      <c r="BV77" s="76">
        <v>1</v>
      </c>
      <c r="BW77" s="76"/>
      <c r="BX77" s="76"/>
      <c r="BY77" s="76"/>
      <c r="BZ77" s="3"/>
      <c r="CA77" s="3"/>
      <c r="CB77" s="3"/>
      <c r="CC77" s="3"/>
      <c r="CD77" s="3"/>
      <c r="CE77" s="4"/>
      <c r="CF77" s="4"/>
      <c r="CG77" s="4"/>
      <c r="CH77" s="4"/>
      <c r="CI77" s="4"/>
      <c r="CJ77" s="4"/>
    </row>
    <row r="78" spans="1:90" s="78" customFormat="1" outlineLevel="1" x14ac:dyDescent="0.3">
      <c r="A78" s="79" t="s">
        <v>467</v>
      </c>
      <c r="B78" s="7"/>
      <c r="C78" s="7"/>
      <c r="D78" s="7"/>
      <c r="E78" s="34"/>
      <c r="F78" s="76"/>
      <c r="G78" s="76">
        <v>1</v>
      </c>
      <c r="H78" s="76"/>
      <c r="I78" s="77"/>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v>1</v>
      </c>
      <c r="BU78" s="76"/>
      <c r="BV78" s="76"/>
      <c r="BW78" s="76"/>
      <c r="BX78" s="76"/>
      <c r="BY78" s="76"/>
      <c r="BZ78" s="3"/>
      <c r="CA78" s="3"/>
      <c r="CB78" s="3"/>
      <c r="CC78" s="3"/>
      <c r="CD78" s="3"/>
      <c r="CE78" s="4"/>
      <c r="CF78" s="4"/>
      <c r="CG78" s="4"/>
      <c r="CH78" s="4"/>
      <c r="CI78" s="4"/>
      <c r="CJ78" s="4"/>
    </row>
    <row r="79" spans="1:90" s="78" customFormat="1" x14ac:dyDescent="0.3">
      <c r="A79" s="79"/>
      <c r="B79" s="7"/>
      <c r="C79" s="7"/>
      <c r="D79" s="7"/>
      <c r="E79" s="34"/>
      <c r="F79" s="34"/>
      <c r="G79" s="61"/>
      <c r="H79" s="61"/>
      <c r="I79" s="3"/>
      <c r="J79" s="34"/>
      <c r="K79" s="34"/>
      <c r="L79" s="34"/>
      <c r="M79" s="61"/>
      <c r="N79" s="34"/>
      <c r="O79" s="61"/>
      <c r="P79" s="61"/>
      <c r="Q79" s="61"/>
      <c r="R79" s="34"/>
      <c r="S79" s="61"/>
      <c r="T79" s="61"/>
      <c r="U79" s="61"/>
      <c r="V79" s="61"/>
      <c r="W79" s="34"/>
      <c r="X79" s="61"/>
      <c r="Y79" s="34"/>
      <c r="Z79" s="61"/>
      <c r="AA79" s="34"/>
      <c r="AB79" s="61"/>
      <c r="AC79" s="61"/>
      <c r="AD79" s="61"/>
      <c r="AE79" s="61"/>
      <c r="AF79" s="61"/>
      <c r="AG79" s="34"/>
      <c r="AH79" s="61"/>
      <c r="AI79" s="61"/>
      <c r="AJ79" s="61"/>
      <c r="AK79" s="61"/>
      <c r="AL79" s="61"/>
      <c r="AM79" s="61"/>
      <c r="AN79" s="61"/>
      <c r="AO79" s="61"/>
      <c r="AP79" s="61"/>
      <c r="AQ79" s="34"/>
      <c r="AR79" s="61"/>
      <c r="AS79" s="34"/>
      <c r="AT79" s="61"/>
      <c r="AU79" s="61"/>
      <c r="AV79" s="61"/>
      <c r="AW79" s="34"/>
      <c r="AX79" s="34"/>
      <c r="AY79" s="61"/>
      <c r="AZ79" s="61"/>
      <c r="BA79" s="34"/>
      <c r="BB79" s="61"/>
      <c r="BC79" s="34"/>
      <c r="BD79" s="61"/>
      <c r="BE79" s="34"/>
      <c r="BF79" s="61"/>
      <c r="BG79" s="61"/>
      <c r="BH79" s="61"/>
      <c r="BI79" s="61"/>
      <c r="BJ79" s="34"/>
      <c r="BK79" s="61"/>
      <c r="BL79" s="61"/>
      <c r="BM79" s="34"/>
      <c r="BN79" s="61"/>
      <c r="BO79" s="61"/>
      <c r="BP79" s="61"/>
      <c r="BQ79" s="34"/>
      <c r="BR79" s="34"/>
      <c r="BS79" s="61"/>
      <c r="BT79" s="61"/>
      <c r="BU79" s="61"/>
      <c r="BV79" s="61"/>
      <c r="BW79" s="61"/>
      <c r="BX79" s="61"/>
      <c r="BY79" s="61"/>
      <c r="BZ79" s="3"/>
      <c r="CA79" s="3"/>
      <c r="CB79" s="3"/>
      <c r="CC79" s="3"/>
      <c r="CD79" s="3"/>
      <c r="CE79" s="4"/>
      <c r="CF79" s="4"/>
      <c r="CG79" s="4"/>
      <c r="CH79" s="4"/>
      <c r="CI79" s="4"/>
      <c r="CJ79" s="4"/>
    </row>
    <row r="80" spans="1:90" s="78" customFormat="1" x14ac:dyDescent="0.3">
      <c r="A80" s="80" t="s">
        <v>13</v>
      </c>
      <c r="B80" s="7"/>
      <c r="C80" s="7"/>
      <c r="D80" s="3"/>
      <c r="E80" s="74">
        <f>G17</f>
        <v>6</v>
      </c>
      <c r="F80" s="75">
        <f t="shared" ref="F80:J80" si="7">SUM(F81:F86)</f>
        <v>28</v>
      </c>
      <c r="G80" s="75">
        <f t="shared" si="7"/>
        <v>0</v>
      </c>
      <c r="H80" s="75">
        <f t="shared" si="7"/>
        <v>3</v>
      </c>
      <c r="I80" s="60">
        <f t="shared" si="7"/>
        <v>2</v>
      </c>
      <c r="J80" s="75">
        <f t="shared" si="7"/>
        <v>0</v>
      </c>
      <c r="K80" s="75">
        <f t="shared" ref="K80:AG80" si="8">SUM(K81:K86)</f>
        <v>0</v>
      </c>
      <c r="L80" s="75">
        <f t="shared" si="8"/>
        <v>1</v>
      </c>
      <c r="M80" s="75">
        <f>SUM(M81:M86)</f>
        <v>0</v>
      </c>
      <c r="N80" s="75">
        <f>SUM(N81:N86)</f>
        <v>0</v>
      </c>
      <c r="O80" s="75">
        <f t="shared" ref="O80:R80" si="9">SUM(O81:O86)</f>
        <v>0</v>
      </c>
      <c r="P80" s="75">
        <f>SUM(P81:P86)</f>
        <v>1</v>
      </c>
      <c r="Q80" s="75">
        <f>SUM(Q81:Q86)</f>
        <v>1</v>
      </c>
      <c r="R80" s="75">
        <f t="shared" si="9"/>
        <v>0</v>
      </c>
      <c r="S80" s="75">
        <f>SUM(S81:S86)</f>
        <v>0</v>
      </c>
      <c r="T80" s="75">
        <f t="shared" ref="T80" si="10">SUM(T81:T86)</f>
        <v>2</v>
      </c>
      <c r="U80" s="75">
        <f t="shared" ref="U80:AD80" si="11">SUM(U81:U86)</f>
        <v>1</v>
      </c>
      <c r="V80" s="75">
        <f t="shared" si="11"/>
        <v>0</v>
      </c>
      <c r="W80" s="75">
        <f>SUM(W81:W86)</f>
        <v>0</v>
      </c>
      <c r="X80" s="75">
        <f>SUM(X81:X86)</f>
        <v>0</v>
      </c>
      <c r="Y80" s="75">
        <f>SUM(Y81:Y86)</f>
        <v>1</v>
      </c>
      <c r="Z80" s="75">
        <f>SUM(Z81:Z86)</f>
        <v>0</v>
      </c>
      <c r="AA80" s="75">
        <f t="shared" si="11"/>
        <v>0</v>
      </c>
      <c r="AB80" s="75">
        <f>SUM(AB81:AB86)</f>
        <v>0</v>
      </c>
      <c r="AC80" s="75">
        <f>SUM(AC81:AC86)</f>
        <v>0</v>
      </c>
      <c r="AD80" s="75">
        <f t="shared" si="11"/>
        <v>1</v>
      </c>
      <c r="AE80" s="75">
        <f>SUM(AE81:AE86)</f>
        <v>0</v>
      </c>
      <c r="AF80" s="75">
        <f>SUM(AF81:AF86)</f>
        <v>0</v>
      </c>
      <c r="AG80" s="75">
        <f t="shared" si="8"/>
        <v>0</v>
      </c>
      <c r="AH80" s="75">
        <f t="shared" ref="AH80:AN80" si="12">SUM(AH81:AH86)</f>
        <v>0</v>
      </c>
      <c r="AI80" s="75">
        <f>SUM(AI81:AI86)</f>
        <v>0</v>
      </c>
      <c r="AJ80" s="75">
        <f t="shared" si="12"/>
        <v>1</v>
      </c>
      <c r="AK80" s="75">
        <f>SUM(AK81:AK86)</f>
        <v>0</v>
      </c>
      <c r="AL80" s="75">
        <f>SUM(AL81:AL86)</f>
        <v>0</v>
      </c>
      <c r="AM80" s="75">
        <f>SUM(AM81:AM86)</f>
        <v>0</v>
      </c>
      <c r="AN80" s="75">
        <f t="shared" si="12"/>
        <v>1</v>
      </c>
      <c r="AO80" s="75">
        <f>SUM(AO81:AO86)</f>
        <v>0</v>
      </c>
      <c r="AP80" s="75">
        <f>SUM(AP81:AP86)</f>
        <v>0</v>
      </c>
      <c r="AQ80" s="75">
        <f>SUM(AQ81:AQ86)</f>
        <v>0</v>
      </c>
      <c r="AR80" s="75">
        <f t="shared" ref="AR80:AU80" si="13">SUM(AR81:AR86)</f>
        <v>1</v>
      </c>
      <c r="AS80" s="75">
        <f t="shared" si="13"/>
        <v>1</v>
      </c>
      <c r="AT80" s="75">
        <f t="shared" si="13"/>
        <v>0</v>
      </c>
      <c r="AU80" s="75">
        <f t="shared" si="13"/>
        <v>0</v>
      </c>
      <c r="AV80" s="75">
        <f t="shared" ref="AV80:BC80" si="14">SUM(AV81:AV86)</f>
        <v>1</v>
      </c>
      <c r="AW80" s="75">
        <f t="shared" si="14"/>
        <v>0</v>
      </c>
      <c r="AX80" s="75">
        <f t="shared" si="14"/>
        <v>0</v>
      </c>
      <c r="AY80" s="75">
        <f>SUM(AY81:AY86)</f>
        <v>0</v>
      </c>
      <c r="AZ80" s="75">
        <f>SUM(AZ81:AZ86)</f>
        <v>2</v>
      </c>
      <c r="BA80" s="75">
        <f t="shared" si="14"/>
        <v>0</v>
      </c>
      <c r="BB80" s="75">
        <f>SUM(BB81:BB86)</f>
        <v>0</v>
      </c>
      <c r="BC80" s="75">
        <f t="shared" si="14"/>
        <v>1</v>
      </c>
      <c r="BD80" s="75">
        <f t="shared" ref="BD80:BR80" si="15">SUM(BD81:BD86)</f>
        <v>0</v>
      </c>
      <c r="BE80" s="75">
        <f t="shared" si="15"/>
        <v>0</v>
      </c>
      <c r="BF80" s="75">
        <f t="shared" si="15"/>
        <v>1</v>
      </c>
      <c r="BG80" s="75">
        <f t="shared" si="15"/>
        <v>0</v>
      </c>
      <c r="BH80" s="75">
        <f t="shared" si="15"/>
        <v>0</v>
      </c>
      <c r="BI80" s="75">
        <f t="shared" si="15"/>
        <v>0</v>
      </c>
      <c r="BJ80" s="75">
        <f t="shared" ref="BJ80" si="16">SUM(BJ81:BJ86)</f>
        <v>0</v>
      </c>
      <c r="BK80" s="75">
        <f t="shared" si="15"/>
        <v>0</v>
      </c>
      <c r="BL80" s="75">
        <f t="shared" si="15"/>
        <v>0</v>
      </c>
      <c r="BM80" s="75">
        <f t="shared" si="15"/>
        <v>1</v>
      </c>
      <c r="BN80" s="75">
        <f t="shared" si="15"/>
        <v>0</v>
      </c>
      <c r="BO80" s="75">
        <f t="shared" si="15"/>
        <v>0</v>
      </c>
      <c r="BP80" s="75">
        <f t="shared" si="15"/>
        <v>0</v>
      </c>
      <c r="BQ80" s="75">
        <f t="shared" si="15"/>
        <v>0</v>
      </c>
      <c r="BR80" s="75">
        <f t="shared" si="15"/>
        <v>2</v>
      </c>
      <c r="BS80" s="75">
        <f t="shared" ref="BS80" si="17">SUM(BS81:BS86)</f>
        <v>0</v>
      </c>
      <c r="BT80" s="75">
        <f t="shared" ref="BT80:BU80" si="18">SUM(BT81:BT86)</f>
        <v>1</v>
      </c>
      <c r="BU80" s="75">
        <f t="shared" si="18"/>
        <v>1</v>
      </c>
      <c r="BV80" s="75">
        <f>SUM(BV81:BV86)</f>
        <v>1</v>
      </c>
      <c r="BW80" s="75">
        <f t="shared" ref="BW80:BY80" si="19">SUM(BW81:BW86)</f>
        <v>0</v>
      </c>
      <c r="BX80" s="75">
        <f t="shared" si="19"/>
        <v>0</v>
      </c>
      <c r="BY80" s="75">
        <f t="shared" si="19"/>
        <v>0</v>
      </c>
      <c r="BZ80" s="3"/>
      <c r="CA80" s="3"/>
      <c r="CB80" s="3"/>
      <c r="CC80" s="3"/>
      <c r="CD80" s="4"/>
      <c r="CE80" s="4"/>
      <c r="CF80" s="4"/>
      <c r="CG80" s="4"/>
      <c r="CH80" s="4"/>
      <c r="CI80" s="4"/>
    </row>
    <row r="81" spans="1:87" s="78" customFormat="1" outlineLevel="1" x14ac:dyDescent="0.3">
      <c r="A81" s="79" t="s">
        <v>288</v>
      </c>
      <c r="B81" s="7"/>
      <c r="C81" s="7"/>
      <c r="D81" s="3"/>
      <c r="E81" s="34"/>
      <c r="F81" s="76">
        <f t="shared" ref="F81:F86" si="20">SUM(G81:BW81)</f>
        <v>2</v>
      </c>
      <c r="G81" s="76"/>
      <c r="H81" s="76">
        <v>1</v>
      </c>
      <c r="I81" s="77">
        <v>1</v>
      </c>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3"/>
      <c r="CA81" s="3"/>
      <c r="CB81" s="3"/>
      <c r="CC81" s="3"/>
      <c r="CD81" s="4"/>
      <c r="CE81" s="4" t="s">
        <v>63</v>
      </c>
      <c r="CF81" s="4"/>
      <c r="CG81" s="4"/>
      <c r="CH81" s="4"/>
      <c r="CI81" s="4"/>
    </row>
    <row r="82" spans="1:87" s="78" customFormat="1" outlineLevel="1" x14ac:dyDescent="0.3">
      <c r="A82" s="79" t="s">
        <v>289</v>
      </c>
      <c r="B82" s="7"/>
      <c r="C82" s="7"/>
      <c r="D82" s="3"/>
      <c r="E82" s="34"/>
      <c r="F82" s="76">
        <f t="shared" si="20"/>
        <v>6</v>
      </c>
      <c r="G82" s="76"/>
      <c r="H82" s="76"/>
      <c r="I82" s="77"/>
      <c r="J82" s="76"/>
      <c r="K82" s="76"/>
      <c r="L82" s="76"/>
      <c r="M82" s="76"/>
      <c r="N82" s="76"/>
      <c r="O82" s="76"/>
      <c r="P82" s="76">
        <v>1</v>
      </c>
      <c r="Q82" s="76"/>
      <c r="R82" s="76"/>
      <c r="S82" s="76"/>
      <c r="T82" s="76">
        <v>1</v>
      </c>
      <c r="U82" s="76"/>
      <c r="V82" s="76"/>
      <c r="W82" s="76"/>
      <c r="X82" s="76"/>
      <c r="Y82" s="76">
        <v>1</v>
      </c>
      <c r="Z82" s="76"/>
      <c r="AA82" s="76"/>
      <c r="AB82" s="76"/>
      <c r="AC82" s="76"/>
      <c r="AD82" s="76"/>
      <c r="AE82" s="76"/>
      <c r="AF82" s="76"/>
      <c r="AG82" s="76"/>
      <c r="AH82" s="76"/>
      <c r="AI82" s="76"/>
      <c r="AJ82" s="76">
        <v>1</v>
      </c>
      <c r="AK82" s="76"/>
      <c r="AL82" s="76"/>
      <c r="AM82" s="76"/>
      <c r="AN82" s="76"/>
      <c r="AO82" s="76"/>
      <c r="AP82" s="76"/>
      <c r="AQ82" s="76"/>
      <c r="AR82" s="76"/>
      <c r="AS82" s="76"/>
      <c r="AT82" s="76"/>
      <c r="AU82" s="76"/>
      <c r="AV82" s="76"/>
      <c r="AW82" s="76"/>
      <c r="AX82" s="76"/>
      <c r="AY82" s="76"/>
      <c r="AZ82" s="76">
        <v>1</v>
      </c>
      <c r="BA82" s="76"/>
      <c r="BB82" s="76"/>
      <c r="BC82" s="76"/>
      <c r="BD82" s="76"/>
      <c r="BE82" s="76"/>
      <c r="BF82" s="76"/>
      <c r="BG82" s="76"/>
      <c r="BH82" s="76"/>
      <c r="BI82" s="76"/>
      <c r="BJ82" s="76"/>
      <c r="BK82" s="76"/>
      <c r="BL82" s="76"/>
      <c r="BM82" s="76"/>
      <c r="BN82" s="76"/>
      <c r="BO82" s="76"/>
      <c r="BP82" s="76"/>
      <c r="BQ82" s="76"/>
      <c r="BR82" s="76">
        <v>1</v>
      </c>
      <c r="BS82" s="76"/>
      <c r="BT82" s="76"/>
      <c r="BU82" s="76"/>
      <c r="BV82" s="76"/>
      <c r="BW82" s="76"/>
      <c r="BX82" s="76"/>
      <c r="BY82" s="76"/>
      <c r="BZ82" s="3"/>
      <c r="CA82" s="3"/>
      <c r="CB82" s="3"/>
      <c r="CC82" s="3"/>
      <c r="CD82" s="4"/>
      <c r="CE82" s="4"/>
      <c r="CF82" s="4"/>
      <c r="CG82" s="4"/>
      <c r="CH82" s="4"/>
      <c r="CI82" s="4"/>
    </row>
    <row r="83" spans="1:87" s="1" customFormat="1" outlineLevel="1" x14ac:dyDescent="0.3">
      <c r="A83" s="79" t="s">
        <v>290</v>
      </c>
      <c r="B83" s="7"/>
      <c r="C83" s="7"/>
      <c r="D83" s="3"/>
      <c r="E83" s="34"/>
      <c r="F83" s="76">
        <f t="shared" si="20"/>
        <v>8</v>
      </c>
      <c r="G83" s="76"/>
      <c r="H83" s="76"/>
      <c r="I83" s="77"/>
      <c r="J83" s="76"/>
      <c r="K83" s="76"/>
      <c r="L83" s="76">
        <v>1</v>
      </c>
      <c r="M83" s="76"/>
      <c r="N83" s="76"/>
      <c r="O83" s="76"/>
      <c r="P83" s="76"/>
      <c r="Q83" s="76">
        <v>1</v>
      </c>
      <c r="R83" s="76"/>
      <c r="S83" s="76"/>
      <c r="T83" s="76">
        <v>1</v>
      </c>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v>1</v>
      </c>
      <c r="BD83" s="76"/>
      <c r="BE83" s="76"/>
      <c r="BF83" s="76">
        <v>1</v>
      </c>
      <c r="BG83" s="76"/>
      <c r="BH83" s="76"/>
      <c r="BI83" s="76"/>
      <c r="BJ83" s="76"/>
      <c r="BK83" s="76"/>
      <c r="BL83" s="76"/>
      <c r="BM83" s="76">
        <v>1</v>
      </c>
      <c r="BN83" s="76"/>
      <c r="BO83" s="76"/>
      <c r="BP83" s="76"/>
      <c r="BQ83" s="76"/>
      <c r="BR83" s="76">
        <v>1</v>
      </c>
      <c r="BS83" s="76"/>
      <c r="BT83" s="76"/>
      <c r="BU83" s="76">
        <v>1</v>
      </c>
      <c r="BV83" s="76"/>
      <c r="BW83" s="76"/>
      <c r="BX83" s="76"/>
      <c r="BY83" s="76"/>
      <c r="BZ83" s="3"/>
      <c r="CA83" s="3"/>
      <c r="CB83" s="3"/>
      <c r="CC83" s="3"/>
      <c r="CD83" s="2"/>
      <c r="CE83" s="2"/>
      <c r="CF83" s="2"/>
      <c r="CG83" s="2"/>
      <c r="CH83" s="2"/>
      <c r="CI83" s="2"/>
    </row>
    <row r="84" spans="1:87" s="1" customFormat="1" outlineLevel="1" x14ac:dyDescent="0.3">
      <c r="A84" s="79" t="s">
        <v>291</v>
      </c>
      <c r="B84" s="7"/>
      <c r="C84" s="7"/>
      <c r="D84" s="3"/>
      <c r="E84" s="34"/>
      <c r="F84" s="76">
        <f t="shared" si="20"/>
        <v>2</v>
      </c>
      <c r="G84" s="76"/>
      <c r="H84" s="76">
        <v>1</v>
      </c>
      <c r="I84" s="77">
        <v>1</v>
      </c>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3"/>
      <c r="CA84" s="3"/>
      <c r="CB84" s="3"/>
      <c r="CC84" s="3"/>
      <c r="CD84" s="2"/>
      <c r="CE84" s="2"/>
      <c r="CF84" s="2"/>
      <c r="CG84" s="2"/>
      <c r="CH84" s="2"/>
      <c r="CI84" s="2"/>
    </row>
    <row r="85" spans="1:87" s="1" customFormat="1" outlineLevel="1" x14ac:dyDescent="0.3">
      <c r="A85" s="79" t="s">
        <v>292</v>
      </c>
      <c r="B85" s="7"/>
      <c r="C85" s="7"/>
      <c r="D85" s="3"/>
      <c r="E85" s="34"/>
      <c r="F85" s="76">
        <f t="shared" si="20"/>
        <v>5</v>
      </c>
      <c r="G85" s="76"/>
      <c r="H85" s="76"/>
      <c r="I85" s="77"/>
      <c r="J85" s="76"/>
      <c r="K85" s="76"/>
      <c r="L85" s="76"/>
      <c r="M85" s="76"/>
      <c r="N85" s="76"/>
      <c r="O85" s="76"/>
      <c r="P85" s="76"/>
      <c r="Q85" s="76"/>
      <c r="R85" s="76"/>
      <c r="S85" s="76"/>
      <c r="T85" s="76"/>
      <c r="U85" s="76"/>
      <c r="V85" s="76"/>
      <c r="W85" s="76"/>
      <c r="X85" s="76"/>
      <c r="Y85" s="76"/>
      <c r="Z85" s="76"/>
      <c r="AA85" s="76"/>
      <c r="AB85" s="76"/>
      <c r="AC85" s="76"/>
      <c r="AD85" s="76">
        <v>1</v>
      </c>
      <c r="AE85" s="76"/>
      <c r="AF85" s="76"/>
      <c r="AG85" s="76"/>
      <c r="AH85" s="76"/>
      <c r="AI85" s="76"/>
      <c r="AJ85" s="76"/>
      <c r="AK85" s="76"/>
      <c r="AL85" s="76"/>
      <c r="AM85" s="76"/>
      <c r="AN85" s="76">
        <v>1</v>
      </c>
      <c r="AO85" s="76"/>
      <c r="AP85" s="76"/>
      <c r="AQ85" s="76"/>
      <c r="AR85" s="76"/>
      <c r="AS85" s="76"/>
      <c r="AT85" s="76"/>
      <c r="AU85" s="76"/>
      <c r="AV85" s="76"/>
      <c r="AW85" s="76"/>
      <c r="AX85" s="76"/>
      <c r="AY85" s="76"/>
      <c r="AZ85" s="76">
        <v>1</v>
      </c>
      <c r="BA85" s="76"/>
      <c r="BB85" s="76"/>
      <c r="BC85" s="76"/>
      <c r="BD85" s="76"/>
      <c r="BE85" s="76"/>
      <c r="BF85" s="76"/>
      <c r="BG85" s="76"/>
      <c r="BH85" s="76"/>
      <c r="BI85" s="76"/>
      <c r="BJ85" s="76"/>
      <c r="BK85" s="76"/>
      <c r="BL85" s="76"/>
      <c r="BM85" s="76"/>
      <c r="BN85" s="76"/>
      <c r="BO85" s="76"/>
      <c r="BP85" s="76"/>
      <c r="BQ85" s="76"/>
      <c r="BR85" s="76"/>
      <c r="BS85" s="76"/>
      <c r="BT85" s="76">
        <v>1</v>
      </c>
      <c r="BU85" s="76"/>
      <c r="BV85" s="76">
        <v>1</v>
      </c>
      <c r="BW85" s="76"/>
      <c r="BX85" s="76"/>
      <c r="BY85" s="76"/>
      <c r="BZ85" s="3"/>
      <c r="CA85" s="3"/>
      <c r="CB85" s="3"/>
      <c r="CC85" s="3"/>
      <c r="CD85" s="2"/>
      <c r="CE85" s="2"/>
      <c r="CF85" s="2"/>
      <c r="CG85" s="2"/>
      <c r="CH85" s="2"/>
      <c r="CI85" s="2"/>
    </row>
    <row r="86" spans="1:87" s="1" customFormat="1" outlineLevel="1" x14ac:dyDescent="0.3">
      <c r="A86" s="79" t="s">
        <v>293</v>
      </c>
      <c r="B86" s="7"/>
      <c r="C86" s="7"/>
      <c r="D86" s="3"/>
      <c r="E86" s="34"/>
      <c r="F86" s="76">
        <f t="shared" si="20"/>
        <v>5</v>
      </c>
      <c r="G86" s="76"/>
      <c r="H86" s="76">
        <v>1</v>
      </c>
      <c r="I86" s="77"/>
      <c r="J86" s="76"/>
      <c r="K86" s="76"/>
      <c r="L86" s="76"/>
      <c r="M86" s="76"/>
      <c r="N86" s="76"/>
      <c r="O86" s="76"/>
      <c r="P86" s="76"/>
      <c r="Q86" s="76"/>
      <c r="R86" s="76"/>
      <c r="S86" s="76"/>
      <c r="T86" s="76"/>
      <c r="U86" s="76">
        <v>1</v>
      </c>
      <c r="V86" s="76"/>
      <c r="W86" s="76"/>
      <c r="X86" s="76"/>
      <c r="Y86" s="76"/>
      <c r="Z86" s="76"/>
      <c r="AA86" s="76"/>
      <c r="AB86" s="76"/>
      <c r="AC86" s="76"/>
      <c r="AD86" s="76"/>
      <c r="AE86" s="76"/>
      <c r="AF86" s="76"/>
      <c r="AG86" s="76"/>
      <c r="AH86" s="76"/>
      <c r="AI86" s="76"/>
      <c r="AJ86" s="76"/>
      <c r="AK86" s="76"/>
      <c r="AL86" s="76"/>
      <c r="AM86" s="76"/>
      <c r="AN86" s="76"/>
      <c r="AO86" s="76"/>
      <c r="AP86" s="76"/>
      <c r="AQ86" s="76"/>
      <c r="AR86" s="76">
        <v>1</v>
      </c>
      <c r="AS86" s="76">
        <v>1</v>
      </c>
      <c r="AT86" s="76"/>
      <c r="AU86" s="76"/>
      <c r="AV86" s="76">
        <v>1</v>
      </c>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c r="BV86" s="76"/>
      <c r="BW86" s="76"/>
      <c r="BX86" s="76"/>
      <c r="BY86" s="76"/>
      <c r="BZ86" s="3"/>
      <c r="CA86" s="3"/>
      <c r="CB86" s="3"/>
      <c r="CC86" s="3"/>
      <c r="CD86" s="2"/>
      <c r="CE86" s="2"/>
      <c r="CF86" s="2"/>
      <c r="CG86" s="2"/>
      <c r="CH86" s="2"/>
      <c r="CI86" s="2"/>
    </row>
    <row r="87" spans="1:87" s="78" customFormat="1" x14ac:dyDescent="0.3">
      <c r="A87" s="79"/>
      <c r="B87" s="7"/>
      <c r="C87" s="7"/>
      <c r="D87" s="3"/>
      <c r="E87" s="34"/>
      <c r="F87" s="34"/>
      <c r="G87" s="34"/>
      <c r="H87" s="34"/>
      <c r="I87" s="3"/>
      <c r="J87" s="34"/>
      <c r="K87" s="34"/>
      <c r="L87" s="61"/>
      <c r="M87" s="61"/>
      <c r="N87" s="34"/>
      <c r="O87" s="61"/>
      <c r="P87" s="34"/>
      <c r="Q87" s="61"/>
      <c r="R87" s="34"/>
      <c r="S87" s="34"/>
      <c r="T87" s="61"/>
      <c r="U87" s="61"/>
      <c r="V87" s="61"/>
      <c r="W87" s="34"/>
      <c r="X87" s="61"/>
      <c r="Y87" s="34"/>
      <c r="Z87" s="61"/>
      <c r="AA87" s="34"/>
      <c r="AB87" s="61"/>
      <c r="AC87" s="61"/>
      <c r="AD87" s="34"/>
      <c r="AE87" s="34"/>
      <c r="AF87" s="34"/>
      <c r="AG87" s="34"/>
      <c r="AH87" s="61"/>
      <c r="AI87" s="34"/>
      <c r="AJ87" s="61"/>
      <c r="AK87" s="61"/>
      <c r="AL87" s="34"/>
      <c r="AM87" s="34"/>
      <c r="AN87" s="34"/>
      <c r="AO87" s="61"/>
      <c r="AP87" s="61"/>
      <c r="AQ87" s="34"/>
      <c r="AR87" s="61"/>
      <c r="AS87" s="34"/>
      <c r="AT87" s="61"/>
      <c r="AU87" s="61"/>
      <c r="AV87" s="61"/>
      <c r="AW87" s="34"/>
      <c r="AX87" s="34"/>
      <c r="AY87" s="34"/>
      <c r="AZ87" s="34"/>
      <c r="BA87" s="34"/>
      <c r="BB87" s="34"/>
      <c r="BC87" s="34"/>
      <c r="BD87" s="34"/>
      <c r="BE87" s="34"/>
      <c r="BF87" s="61"/>
      <c r="BG87" s="34"/>
      <c r="BH87" s="34"/>
      <c r="BI87" s="34"/>
      <c r="BJ87" s="34"/>
      <c r="BK87" s="34"/>
      <c r="BL87" s="34"/>
      <c r="BM87" s="34"/>
      <c r="BN87" s="34"/>
      <c r="BO87" s="34"/>
      <c r="BP87" s="34"/>
      <c r="BQ87" s="34"/>
      <c r="BR87" s="34"/>
      <c r="BS87" s="61"/>
      <c r="BT87" s="61"/>
      <c r="BU87" s="34"/>
      <c r="BV87" s="34"/>
      <c r="BW87" s="61"/>
      <c r="BX87" s="61"/>
      <c r="BY87" s="61"/>
      <c r="BZ87" s="3"/>
      <c r="CA87" s="3"/>
      <c r="CB87" s="3"/>
      <c r="CC87" s="3"/>
      <c r="CD87" s="4"/>
      <c r="CE87" s="4"/>
      <c r="CF87" s="4"/>
      <c r="CG87" s="4"/>
      <c r="CH87" s="4"/>
      <c r="CI87" s="4"/>
    </row>
    <row r="88" spans="1:87" x14ac:dyDescent="0.3">
      <c r="A88" s="80" t="s">
        <v>19</v>
      </c>
      <c r="B88" s="81"/>
      <c r="C88" s="81"/>
      <c r="D88" s="81"/>
      <c r="E88" s="82">
        <f>G24</f>
        <v>8</v>
      </c>
      <c r="F88" s="83">
        <f t="shared" ref="F88:AG88" si="21">SUM(F89:F96)</f>
        <v>45</v>
      </c>
      <c r="G88" s="83">
        <f t="shared" si="21"/>
        <v>2</v>
      </c>
      <c r="H88" s="83">
        <f t="shared" si="21"/>
        <v>0</v>
      </c>
      <c r="I88" s="84">
        <f t="shared" si="21"/>
        <v>1</v>
      </c>
      <c r="J88" s="83">
        <f t="shared" si="21"/>
        <v>2</v>
      </c>
      <c r="K88" s="83">
        <f t="shared" si="21"/>
        <v>0</v>
      </c>
      <c r="L88" s="83">
        <f t="shared" si="21"/>
        <v>0</v>
      </c>
      <c r="M88" s="83">
        <f>SUM(M89:M96)</f>
        <v>1</v>
      </c>
      <c r="N88" s="83">
        <f t="shared" si="21"/>
        <v>1</v>
      </c>
      <c r="O88" s="83">
        <f t="shared" si="21"/>
        <v>2</v>
      </c>
      <c r="P88" s="83">
        <f t="shared" si="21"/>
        <v>0</v>
      </c>
      <c r="Q88" s="83">
        <f t="shared" si="21"/>
        <v>0</v>
      </c>
      <c r="R88" s="83">
        <f t="shared" si="21"/>
        <v>1</v>
      </c>
      <c r="S88" s="83">
        <f t="shared" si="21"/>
        <v>1</v>
      </c>
      <c r="T88" s="83">
        <f t="shared" si="21"/>
        <v>1</v>
      </c>
      <c r="U88" s="83">
        <f t="shared" si="21"/>
        <v>0</v>
      </c>
      <c r="V88" s="83">
        <f t="shared" si="21"/>
        <v>1</v>
      </c>
      <c r="W88" s="83">
        <f t="shared" si="21"/>
        <v>1</v>
      </c>
      <c r="X88" s="83">
        <f t="shared" si="21"/>
        <v>0</v>
      </c>
      <c r="Y88" s="83">
        <f t="shared" si="21"/>
        <v>0</v>
      </c>
      <c r="Z88" s="83">
        <f t="shared" si="21"/>
        <v>1</v>
      </c>
      <c r="AA88" s="83">
        <f t="shared" si="21"/>
        <v>0</v>
      </c>
      <c r="AB88" s="83">
        <f t="shared" si="21"/>
        <v>0</v>
      </c>
      <c r="AC88" s="83">
        <f t="shared" si="21"/>
        <v>0</v>
      </c>
      <c r="AD88" s="83">
        <f t="shared" si="21"/>
        <v>0</v>
      </c>
      <c r="AE88" s="83">
        <f t="shared" si="21"/>
        <v>1</v>
      </c>
      <c r="AF88" s="83">
        <f t="shared" si="21"/>
        <v>0</v>
      </c>
      <c r="AG88" s="83">
        <f t="shared" si="21"/>
        <v>2</v>
      </c>
      <c r="AH88" s="83">
        <f t="shared" ref="AH88:BO88" si="22">SUM(AH89:AH96)</f>
        <v>1</v>
      </c>
      <c r="AI88" s="83">
        <f t="shared" si="22"/>
        <v>1</v>
      </c>
      <c r="AJ88" s="83">
        <f t="shared" si="22"/>
        <v>0</v>
      </c>
      <c r="AK88" s="83">
        <f t="shared" si="22"/>
        <v>1</v>
      </c>
      <c r="AL88" s="83">
        <f t="shared" si="22"/>
        <v>1</v>
      </c>
      <c r="AM88" s="83">
        <f t="shared" si="22"/>
        <v>1</v>
      </c>
      <c r="AN88" s="83">
        <f t="shared" si="22"/>
        <v>0</v>
      </c>
      <c r="AO88" s="83">
        <f>SUM(AO89:AO96)</f>
        <v>1</v>
      </c>
      <c r="AP88" s="83">
        <f t="shared" si="22"/>
        <v>0</v>
      </c>
      <c r="AQ88" s="83">
        <f t="shared" si="22"/>
        <v>0</v>
      </c>
      <c r="AR88" s="83">
        <f t="shared" si="22"/>
        <v>0</v>
      </c>
      <c r="AS88" s="83">
        <f t="shared" si="22"/>
        <v>0</v>
      </c>
      <c r="AT88" s="83">
        <f t="shared" si="22"/>
        <v>1</v>
      </c>
      <c r="AU88" s="83">
        <f t="shared" si="22"/>
        <v>1</v>
      </c>
      <c r="AV88" s="83">
        <f t="shared" si="22"/>
        <v>1</v>
      </c>
      <c r="AW88" s="83">
        <f t="shared" si="22"/>
        <v>1</v>
      </c>
      <c r="AX88" s="83">
        <f t="shared" si="22"/>
        <v>0</v>
      </c>
      <c r="AY88" s="83">
        <f t="shared" si="22"/>
        <v>1</v>
      </c>
      <c r="AZ88" s="83">
        <f>SUM(AZ89:AZ96)</f>
        <v>1</v>
      </c>
      <c r="BA88" s="83">
        <f t="shared" si="22"/>
        <v>1</v>
      </c>
      <c r="BB88" s="83">
        <f t="shared" si="22"/>
        <v>0</v>
      </c>
      <c r="BC88" s="83">
        <f t="shared" si="22"/>
        <v>0</v>
      </c>
      <c r="BD88" s="83">
        <f t="shared" si="22"/>
        <v>0</v>
      </c>
      <c r="BE88" s="83">
        <f t="shared" si="22"/>
        <v>0</v>
      </c>
      <c r="BF88" s="83">
        <f t="shared" si="22"/>
        <v>0</v>
      </c>
      <c r="BG88" s="83">
        <f t="shared" si="22"/>
        <v>1</v>
      </c>
      <c r="BH88" s="83">
        <f t="shared" si="22"/>
        <v>0</v>
      </c>
      <c r="BI88" s="83">
        <f t="shared" si="22"/>
        <v>0</v>
      </c>
      <c r="BJ88" s="83">
        <f t="shared" si="22"/>
        <v>1</v>
      </c>
      <c r="BK88" s="83">
        <f t="shared" si="22"/>
        <v>1</v>
      </c>
      <c r="BL88" s="83">
        <f t="shared" si="22"/>
        <v>0</v>
      </c>
      <c r="BM88" s="83">
        <f t="shared" si="22"/>
        <v>2</v>
      </c>
      <c r="BN88" s="83">
        <f t="shared" si="22"/>
        <v>0</v>
      </c>
      <c r="BO88" s="83">
        <f t="shared" si="22"/>
        <v>0</v>
      </c>
      <c r="BP88" s="83">
        <f t="shared" ref="BP88:BW88" si="23">SUM(BP89:BP96)</f>
        <v>0</v>
      </c>
      <c r="BQ88" s="83">
        <f t="shared" si="23"/>
        <v>1</v>
      </c>
      <c r="BR88" s="83">
        <f t="shared" si="23"/>
        <v>1</v>
      </c>
      <c r="BS88" s="83">
        <f t="shared" si="23"/>
        <v>3</v>
      </c>
      <c r="BT88" s="83">
        <f t="shared" si="23"/>
        <v>1</v>
      </c>
      <c r="BU88" s="83">
        <f t="shared" si="23"/>
        <v>2</v>
      </c>
      <c r="BV88" s="83">
        <f t="shared" si="23"/>
        <v>1</v>
      </c>
      <c r="BW88" s="83">
        <f t="shared" si="23"/>
        <v>0</v>
      </c>
      <c r="BX88" s="83">
        <f t="shared" ref="BX88:BY88" si="24">SUM(BX89:BX96)</f>
        <v>0</v>
      </c>
      <c r="BY88" s="83">
        <f t="shared" si="24"/>
        <v>0</v>
      </c>
    </row>
    <row r="89" spans="1:87" outlineLevel="1" x14ac:dyDescent="0.3">
      <c r="A89" s="79" t="s">
        <v>294</v>
      </c>
      <c r="B89" s="81"/>
      <c r="C89" s="81"/>
      <c r="D89" s="81"/>
      <c r="E89" s="85"/>
      <c r="F89" s="76">
        <f t="shared" ref="F89:F96" si="25">SUM(G89:BW89)</f>
        <v>12</v>
      </c>
      <c r="G89" s="86"/>
      <c r="H89" s="86"/>
      <c r="I89" s="87"/>
      <c r="J89" s="86">
        <v>1</v>
      </c>
      <c r="K89" s="86"/>
      <c r="L89" s="86"/>
      <c r="M89" s="86"/>
      <c r="N89" s="86"/>
      <c r="O89" s="86">
        <v>1</v>
      </c>
      <c r="P89" s="86"/>
      <c r="Q89" s="86"/>
      <c r="R89" s="86"/>
      <c r="S89" s="86"/>
      <c r="T89" s="86">
        <v>1</v>
      </c>
      <c r="U89" s="86"/>
      <c r="V89" s="86">
        <v>1</v>
      </c>
      <c r="W89" s="86"/>
      <c r="X89" s="86"/>
      <c r="Y89" s="86"/>
      <c r="Z89" s="86"/>
      <c r="AA89" s="86"/>
      <c r="AB89" s="86"/>
      <c r="AC89" s="86"/>
      <c r="AD89" s="86"/>
      <c r="AE89" s="86">
        <v>1</v>
      </c>
      <c r="AF89" s="86"/>
      <c r="AG89" s="86">
        <v>1</v>
      </c>
      <c r="AH89" s="86"/>
      <c r="AI89" s="86">
        <v>1</v>
      </c>
      <c r="AJ89" s="86"/>
      <c r="AK89" s="86">
        <v>1</v>
      </c>
      <c r="AL89" s="86"/>
      <c r="AM89" s="86"/>
      <c r="AN89" s="86"/>
      <c r="AO89" s="86">
        <v>1</v>
      </c>
      <c r="AP89" s="86"/>
      <c r="AQ89" s="86"/>
      <c r="AR89" s="86"/>
      <c r="AS89" s="86"/>
      <c r="AT89" s="86"/>
      <c r="AU89" s="86"/>
      <c r="AV89" s="86"/>
      <c r="AW89" s="86"/>
      <c r="AX89" s="86"/>
      <c r="AY89" s="86">
        <v>1</v>
      </c>
      <c r="AZ89" s="86"/>
      <c r="BA89" s="86"/>
      <c r="BB89" s="86"/>
      <c r="BC89" s="86"/>
      <c r="BD89" s="86"/>
      <c r="BE89" s="86"/>
      <c r="BF89" s="86"/>
      <c r="BG89" s="86"/>
      <c r="BH89" s="86"/>
      <c r="BI89" s="86"/>
      <c r="BJ89" s="86"/>
      <c r="BK89" s="86"/>
      <c r="BL89" s="86"/>
      <c r="BM89" s="86">
        <v>1</v>
      </c>
      <c r="BN89" s="86"/>
      <c r="BO89" s="86"/>
      <c r="BP89" s="86"/>
      <c r="BQ89" s="86"/>
      <c r="BR89" s="86"/>
      <c r="BS89" s="86"/>
      <c r="BT89" s="86"/>
      <c r="BU89" s="86">
        <v>1</v>
      </c>
      <c r="BV89" s="86"/>
      <c r="BW89" s="86"/>
      <c r="BX89" s="86"/>
      <c r="BY89" s="86"/>
    </row>
    <row r="90" spans="1:87" outlineLevel="1" x14ac:dyDescent="0.3">
      <c r="A90" s="79" t="s">
        <v>295</v>
      </c>
      <c r="B90" s="81"/>
      <c r="C90" s="81"/>
      <c r="D90" s="81"/>
      <c r="E90" s="85"/>
      <c r="F90" s="76">
        <f t="shared" si="25"/>
        <v>11</v>
      </c>
      <c r="G90" s="86"/>
      <c r="H90" s="86"/>
      <c r="I90" s="87">
        <v>1</v>
      </c>
      <c r="J90" s="86">
        <v>1</v>
      </c>
      <c r="K90" s="86"/>
      <c r="L90" s="86"/>
      <c r="M90" s="86"/>
      <c r="N90" s="86"/>
      <c r="O90" s="86"/>
      <c r="P90" s="86"/>
      <c r="Q90" s="86"/>
      <c r="R90" s="86"/>
      <c r="S90" s="86"/>
      <c r="T90" s="86"/>
      <c r="U90" s="86"/>
      <c r="V90" s="86"/>
      <c r="W90" s="86"/>
      <c r="X90" s="86"/>
      <c r="Y90" s="86"/>
      <c r="Z90" s="86"/>
      <c r="AA90" s="86"/>
      <c r="AB90" s="86"/>
      <c r="AC90" s="86"/>
      <c r="AD90" s="86"/>
      <c r="AE90" s="86"/>
      <c r="AF90" s="86"/>
      <c r="AG90" s="86">
        <v>1</v>
      </c>
      <c r="AH90" s="86">
        <v>1</v>
      </c>
      <c r="AI90" s="86"/>
      <c r="AJ90" s="86"/>
      <c r="AK90" s="86"/>
      <c r="AL90" s="86"/>
      <c r="AM90" s="86"/>
      <c r="AN90" s="86"/>
      <c r="AO90" s="86"/>
      <c r="AP90" s="86"/>
      <c r="AQ90" s="86"/>
      <c r="AR90" s="86"/>
      <c r="AS90" s="86"/>
      <c r="AT90" s="86">
        <v>1</v>
      </c>
      <c r="AU90" s="86"/>
      <c r="AV90" s="86">
        <v>1</v>
      </c>
      <c r="AW90" s="86"/>
      <c r="AX90" s="86"/>
      <c r="AY90" s="86"/>
      <c r="AZ90" s="86">
        <v>1</v>
      </c>
      <c r="BA90" s="86">
        <v>1</v>
      </c>
      <c r="BB90" s="86"/>
      <c r="BC90" s="86"/>
      <c r="BD90" s="86"/>
      <c r="BE90" s="86"/>
      <c r="BF90" s="86"/>
      <c r="BG90" s="86">
        <v>1</v>
      </c>
      <c r="BH90" s="86"/>
      <c r="BI90" s="86"/>
      <c r="BJ90" s="86"/>
      <c r="BK90" s="86"/>
      <c r="BL90" s="86"/>
      <c r="BM90" s="86">
        <v>1</v>
      </c>
      <c r="BN90" s="86"/>
      <c r="BO90" s="86"/>
      <c r="BP90" s="86"/>
      <c r="BQ90" s="86"/>
      <c r="BR90" s="86"/>
      <c r="BS90" s="86">
        <v>1</v>
      </c>
      <c r="BT90" s="86"/>
      <c r="BU90" s="86"/>
      <c r="BV90" s="86"/>
      <c r="BW90" s="86"/>
      <c r="BX90" s="86"/>
      <c r="BY90" s="86"/>
    </row>
    <row r="91" spans="1:87" outlineLevel="1" x14ac:dyDescent="0.3">
      <c r="A91" s="79" t="s">
        <v>296</v>
      </c>
      <c r="B91" s="81"/>
      <c r="C91" s="81"/>
      <c r="D91" s="81"/>
      <c r="E91" s="85"/>
      <c r="F91" s="76">
        <f t="shared" si="25"/>
        <v>7</v>
      </c>
      <c r="G91" s="86"/>
      <c r="H91" s="86"/>
      <c r="I91" s="87"/>
      <c r="J91" s="86"/>
      <c r="K91" s="86"/>
      <c r="L91" s="86"/>
      <c r="M91" s="86"/>
      <c r="N91" s="86"/>
      <c r="O91" s="86"/>
      <c r="P91" s="86"/>
      <c r="Q91" s="86"/>
      <c r="R91" s="86"/>
      <c r="S91" s="86"/>
      <c r="T91" s="86"/>
      <c r="U91" s="86"/>
      <c r="V91" s="86"/>
      <c r="W91" s="86">
        <v>1</v>
      </c>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v>1</v>
      </c>
      <c r="AV91" s="86"/>
      <c r="AW91" s="86">
        <v>1</v>
      </c>
      <c r="AX91" s="86"/>
      <c r="AY91" s="86"/>
      <c r="AZ91" s="86"/>
      <c r="BA91" s="86"/>
      <c r="BB91" s="86"/>
      <c r="BC91" s="86"/>
      <c r="BD91" s="86"/>
      <c r="BE91" s="86"/>
      <c r="BF91" s="86"/>
      <c r="BG91" s="86"/>
      <c r="BH91" s="86"/>
      <c r="BI91" s="86"/>
      <c r="BJ91" s="86">
        <v>1</v>
      </c>
      <c r="BK91" s="86"/>
      <c r="BL91" s="86"/>
      <c r="BM91" s="86"/>
      <c r="BN91" s="86"/>
      <c r="BO91" s="86"/>
      <c r="BP91" s="86"/>
      <c r="BQ91" s="86">
        <v>1</v>
      </c>
      <c r="BR91" s="86">
        <v>1</v>
      </c>
      <c r="BS91" s="86"/>
      <c r="BT91" s="86"/>
      <c r="BU91" s="86"/>
      <c r="BV91" s="86">
        <v>1</v>
      </c>
      <c r="BW91" s="86"/>
      <c r="BX91" s="86"/>
      <c r="BY91" s="86"/>
    </row>
    <row r="92" spans="1:87" outlineLevel="1" x14ac:dyDescent="0.3">
      <c r="A92" s="79" t="s">
        <v>297</v>
      </c>
      <c r="B92" s="81"/>
      <c r="C92" s="81"/>
      <c r="D92" s="81"/>
      <c r="E92" s="85"/>
      <c r="F92" s="76">
        <f t="shared" si="25"/>
        <v>2</v>
      </c>
      <c r="G92" s="86">
        <v>1</v>
      </c>
      <c r="H92" s="86"/>
      <c r="I92" s="87"/>
      <c r="J92" s="86"/>
      <c r="K92" s="86"/>
      <c r="L92" s="86"/>
      <c r="M92" s="86">
        <v>1</v>
      </c>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row>
    <row r="93" spans="1:87" outlineLevel="1" x14ac:dyDescent="0.3">
      <c r="A93" s="79" t="s">
        <v>298</v>
      </c>
      <c r="B93" s="81"/>
      <c r="C93" s="81"/>
      <c r="D93" s="81"/>
      <c r="E93" s="85"/>
      <c r="F93" s="76">
        <f t="shared" si="25"/>
        <v>4</v>
      </c>
      <c r="G93" s="86"/>
      <c r="H93" s="86"/>
      <c r="I93" s="87"/>
      <c r="J93" s="86"/>
      <c r="K93" s="86"/>
      <c r="L93" s="86"/>
      <c r="M93" s="86"/>
      <c r="N93" s="86"/>
      <c r="O93" s="86"/>
      <c r="P93" s="86"/>
      <c r="Q93" s="86"/>
      <c r="R93" s="86">
        <v>1</v>
      </c>
      <c r="S93" s="86"/>
      <c r="T93" s="86"/>
      <c r="U93" s="86"/>
      <c r="V93" s="86"/>
      <c r="W93" s="86"/>
      <c r="X93" s="86"/>
      <c r="Y93" s="86"/>
      <c r="Z93" s="86">
        <v>1</v>
      </c>
      <c r="AA93" s="86"/>
      <c r="AB93" s="86"/>
      <c r="AC93" s="86"/>
      <c r="AD93" s="86"/>
      <c r="AE93" s="86"/>
      <c r="AF93" s="86"/>
      <c r="AG93" s="86"/>
      <c r="AH93" s="86"/>
      <c r="AI93" s="86"/>
      <c r="AJ93" s="86"/>
      <c r="AK93" s="86"/>
      <c r="AL93" s="86">
        <v>1</v>
      </c>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v>1</v>
      </c>
      <c r="BL93" s="86"/>
      <c r="BM93" s="86"/>
      <c r="BN93" s="86"/>
      <c r="BO93" s="86"/>
      <c r="BP93" s="86"/>
      <c r="BQ93" s="86"/>
      <c r="BR93" s="86"/>
      <c r="BS93" s="86"/>
      <c r="BT93" s="86"/>
      <c r="BU93" s="86"/>
      <c r="BV93" s="86"/>
      <c r="BW93" s="86"/>
      <c r="BX93" s="86"/>
      <c r="BY93" s="86"/>
    </row>
    <row r="94" spans="1:87" outlineLevel="1" x14ac:dyDescent="0.3">
      <c r="A94" s="79" t="s">
        <v>300</v>
      </c>
      <c r="B94" s="81"/>
      <c r="C94" s="81"/>
      <c r="D94" s="81"/>
      <c r="E94" s="85"/>
      <c r="F94" s="76">
        <f t="shared" si="25"/>
        <v>2</v>
      </c>
      <c r="G94" s="86"/>
      <c r="H94" s="86"/>
      <c r="I94" s="87"/>
      <c r="J94" s="86"/>
      <c r="K94" s="86"/>
      <c r="L94" s="86"/>
      <c r="M94" s="86"/>
      <c r="N94" s="86"/>
      <c r="O94" s="86"/>
      <c r="P94" s="86"/>
      <c r="Q94" s="86"/>
      <c r="R94" s="86"/>
      <c r="S94" s="86">
        <v>1</v>
      </c>
      <c r="T94" s="86"/>
      <c r="U94" s="86"/>
      <c r="V94" s="86"/>
      <c r="W94" s="86"/>
      <c r="X94" s="86"/>
      <c r="Y94" s="86"/>
      <c r="Z94" s="86"/>
      <c r="AA94" s="86"/>
      <c r="AB94" s="86"/>
      <c r="AC94" s="86"/>
      <c r="AD94" s="86"/>
      <c r="AE94" s="86"/>
      <c r="AF94" s="86"/>
      <c r="AG94" s="86"/>
      <c r="AH94" s="86"/>
      <c r="AI94" s="86"/>
      <c r="AJ94" s="86"/>
      <c r="AK94" s="86"/>
      <c r="AL94" s="86"/>
      <c r="AM94" s="86">
        <v>1</v>
      </c>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row>
    <row r="95" spans="1:87" outlineLevel="1" x14ac:dyDescent="0.3">
      <c r="A95" s="79" t="s">
        <v>301</v>
      </c>
      <c r="B95" s="81"/>
      <c r="C95" s="81"/>
      <c r="D95" s="81"/>
      <c r="E95" s="85"/>
      <c r="F95" s="76">
        <f t="shared" si="25"/>
        <v>4</v>
      </c>
      <c r="G95" s="86">
        <v>1</v>
      </c>
      <c r="H95" s="86"/>
      <c r="I95" s="87"/>
      <c r="J95" s="86"/>
      <c r="K95" s="86"/>
      <c r="L95" s="86"/>
      <c r="M95" s="86"/>
      <c r="N95" s="86">
        <v>1</v>
      </c>
      <c r="O95" s="86">
        <v>1</v>
      </c>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v>1</v>
      </c>
      <c r="BT95" s="86"/>
      <c r="BU95" s="86"/>
      <c r="BV95" s="86"/>
      <c r="BW95" s="86"/>
      <c r="BX95" s="86"/>
      <c r="BY95" s="86"/>
    </row>
    <row r="96" spans="1:87" outlineLevel="1" x14ac:dyDescent="0.3">
      <c r="A96" s="79" t="s">
        <v>302</v>
      </c>
      <c r="B96" s="81"/>
      <c r="C96" s="81"/>
      <c r="D96" s="81"/>
      <c r="E96" s="85"/>
      <c r="F96" s="76">
        <f t="shared" si="25"/>
        <v>3</v>
      </c>
      <c r="G96" s="86"/>
      <c r="H96" s="86"/>
      <c r="I96" s="87"/>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c r="BS96" s="86">
        <v>1</v>
      </c>
      <c r="BT96" s="86">
        <v>1</v>
      </c>
      <c r="BU96" s="86">
        <v>1</v>
      </c>
      <c r="BV96" s="86"/>
      <c r="BW96" s="86"/>
      <c r="BX96" s="86"/>
      <c r="BY96" s="86"/>
    </row>
    <row r="97" spans="1:77" s="90" customFormat="1" x14ac:dyDescent="0.3">
      <c r="A97" s="79"/>
      <c r="B97" s="88"/>
      <c r="C97" s="88"/>
      <c r="D97" s="88"/>
      <c r="E97" s="89"/>
      <c r="F97" s="34"/>
      <c r="G97" s="89"/>
      <c r="H97" s="89"/>
      <c r="I97" s="88"/>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89"/>
      <c r="BL97" s="89"/>
      <c r="BM97" s="89"/>
      <c r="BN97" s="89"/>
      <c r="BO97" s="89"/>
      <c r="BP97" s="89"/>
      <c r="BQ97" s="89"/>
      <c r="BR97" s="89"/>
      <c r="BS97" s="89"/>
      <c r="BT97" s="89"/>
      <c r="BU97" s="89"/>
      <c r="BV97" s="89"/>
      <c r="BW97" s="89"/>
      <c r="BX97" s="89"/>
      <c r="BY97" s="89"/>
    </row>
    <row r="98" spans="1:77" x14ac:dyDescent="0.3">
      <c r="A98" s="80" t="s">
        <v>28</v>
      </c>
      <c r="B98" s="81"/>
      <c r="C98" s="81"/>
      <c r="D98" s="81"/>
      <c r="E98" s="82">
        <f>G34</f>
        <v>8</v>
      </c>
      <c r="F98" s="83">
        <f t="shared" ref="F98:AG98" si="26">SUM(F99:F106)</f>
        <v>31</v>
      </c>
      <c r="G98" s="83">
        <f t="shared" si="26"/>
        <v>4</v>
      </c>
      <c r="H98" s="83">
        <f t="shared" si="26"/>
        <v>0</v>
      </c>
      <c r="I98" s="84">
        <f t="shared" si="26"/>
        <v>0</v>
      </c>
      <c r="J98" s="83">
        <f t="shared" si="26"/>
        <v>0</v>
      </c>
      <c r="K98" s="83">
        <f t="shared" si="26"/>
        <v>0</v>
      </c>
      <c r="L98" s="83">
        <f t="shared" si="26"/>
        <v>0</v>
      </c>
      <c r="M98" s="83">
        <f>SUM(M99:M106)</f>
        <v>0</v>
      </c>
      <c r="N98" s="83">
        <f t="shared" si="26"/>
        <v>0</v>
      </c>
      <c r="O98" s="83">
        <f t="shared" si="26"/>
        <v>0</v>
      </c>
      <c r="P98" s="83">
        <f t="shared" si="26"/>
        <v>0</v>
      </c>
      <c r="Q98" s="83">
        <f t="shared" si="26"/>
        <v>0</v>
      </c>
      <c r="R98" s="83">
        <f t="shared" si="26"/>
        <v>0</v>
      </c>
      <c r="S98" s="83">
        <f t="shared" si="26"/>
        <v>0</v>
      </c>
      <c r="T98" s="83">
        <f t="shared" si="26"/>
        <v>1</v>
      </c>
      <c r="U98" s="83">
        <f t="shared" si="26"/>
        <v>1</v>
      </c>
      <c r="V98" s="83">
        <f t="shared" si="26"/>
        <v>0</v>
      </c>
      <c r="W98" s="83">
        <f t="shared" si="26"/>
        <v>1</v>
      </c>
      <c r="X98" s="83">
        <f t="shared" si="26"/>
        <v>2</v>
      </c>
      <c r="Y98" s="83">
        <f t="shared" si="26"/>
        <v>0</v>
      </c>
      <c r="Z98" s="83">
        <f t="shared" si="26"/>
        <v>0</v>
      </c>
      <c r="AA98" s="83">
        <f t="shared" si="26"/>
        <v>0</v>
      </c>
      <c r="AB98" s="83">
        <f t="shared" si="26"/>
        <v>0</v>
      </c>
      <c r="AC98" s="83">
        <f t="shared" si="26"/>
        <v>0</v>
      </c>
      <c r="AD98" s="83">
        <f t="shared" si="26"/>
        <v>0</v>
      </c>
      <c r="AE98" s="83">
        <f t="shared" si="26"/>
        <v>0</v>
      </c>
      <c r="AF98" s="83">
        <f t="shared" si="26"/>
        <v>0</v>
      </c>
      <c r="AG98" s="83">
        <f t="shared" si="26"/>
        <v>2</v>
      </c>
      <c r="AH98" s="83">
        <f t="shared" ref="AH98:BO98" si="27">SUM(AH99:AH106)</f>
        <v>1</v>
      </c>
      <c r="AI98" s="83">
        <f t="shared" si="27"/>
        <v>0</v>
      </c>
      <c r="AJ98" s="83">
        <f t="shared" si="27"/>
        <v>0</v>
      </c>
      <c r="AK98" s="83">
        <f t="shared" si="27"/>
        <v>1</v>
      </c>
      <c r="AL98" s="83">
        <f t="shared" si="27"/>
        <v>0</v>
      </c>
      <c r="AM98" s="83">
        <f t="shared" si="27"/>
        <v>0</v>
      </c>
      <c r="AN98" s="83">
        <f t="shared" si="27"/>
        <v>0</v>
      </c>
      <c r="AO98" s="83">
        <f>SUM(AO99:AO106)</f>
        <v>0</v>
      </c>
      <c r="AP98" s="83">
        <f t="shared" si="27"/>
        <v>1</v>
      </c>
      <c r="AQ98" s="83">
        <f t="shared" si="27"/>
        <v>0</v>
      </c>
      <c r="AR98" s="83">
        <f t="shared" si="27"/>
        <v>2</v>
      </c>
      <c r="AS98" s="83">
        <f t="shared" si="27"/>
        <v>1</v>
      </c>
      <c r="AT98" s="83">
        <f t="shared" si="27"/>
        <v>0</v>
      </c>
      <c r="AU98" s="83">
        <f t="shared" si="27"/>
        <v>0</v>
      </c>
      <c r="AV98" s="83">
        <f t="shared" si="27"/>
        <v>1</v>
      </c>
      <c r="AW98" s="83">
        <f t="shared" si="27"/>
        <v>0</v>
      </c>
      <c r="AX98" s="83">
        <f t="shared" si="27"/>
        <v>0</v>
      </c>
      <c r="AY98" s="83">
        <f t="shared" si="27"/>
        <v>0</v>
      </c>
      <c r="AZ98" s="83">
        <f>SUM(AZ99:AZ106)</f>
        <v>2</v>
      </c>
      <c r="BA98" s="83">
        <f t="shared" si="27"/>
        <v>0</v>
      </c>
      <c r="BB98" s="83">
        <f t="shared" si="27"/>
        <v>1</v>
      </c>
      <c r="BC98" s="83">
        <f t="shared" si="27"/>
        <v>0</v>
      </c>
      <c r="BD98" s="83">
        <f t="shared" si="27"/>
        <v>0</v>
      </c>
      <c r="BE98" s="83">
        <f t="shared" si="27"/>
        <v>0</v>
      </c>
      <c r="BF98" s="83">
        <f t="shared" si="27"/>
        <v>0</v>
      </c>
      <c r="BG98" s="83">
        <f t="shared" si="27"/>
        <v>0</v>
      </c>
      <c r="BH98" s="83">
        <f t="shared" si="27"/>
        <v>0</v>
      </c>
      <c r="BI98" s="83">
        <f t="shared" si="27"/>
        <v>0</v>
      </c>
      <c r="BJ98" s="83">
        <f t="shared" si="27"/>
        <v>0</v>
      </c>
      <c r="BK98" s="83">
        <f t="shared" si="27"/>
        <v>0</v>
      </c>
      <c r="BL98" s="83">
        <f t="shared" si="27"/>
        <v>1</v>
      </c>
      <c r="BM98" s="83">
        <f t="shared" si="27"/>
        <v>3</v>
      </c>
      <c r="BN98" s="83">
        <f t="shared" si="27"/>
        <v>0</v>
      </c>
      <c r="BO98" s="83">
        <f t="shared" si="27"/>
        <v>0</v>
      </c>
      <c r="BP98" s="83">
        <f t="shared" ref="BP98:BW98" si="28">SUM(BP99:BP106)</f>
        <v>0</v>
      </c>
      <c r="BQ98" s="83">
        <f t="shared" si="28"/>
        <v>0</v>
      </c>
      <c r="BR98" s="83">
        <f t="shared" si="28"/>
        <v>1</v>
      </c>
      <c r="BS98" s="83">
        <f t="shared" si="28"/>
        <v>3</v>
      </c>
      <c r="BT98" s="83">
        <f t="shared" si="28"/>
        <v>2</v>
      </c>
      <c r="BU98" s="83">
        <f t="shared" si="28"/>
        <v>0</v>
      </c>
      <c r="BV98" s="83">
        <f t="shared" si="28"/>
        <v>0</v>
      </c>
      <c r="BW98" s="83">
        <f t="shared" si="28"/>
        <v>0</v>
      </c>
      <c r="BX98" s="83">
        <f t="shared" ref="BX98:BY98" si="29">SUM(BX99:BX106)</f>
        <v>0</v>
      </c>
      <c r="BY98" s="83">
        <f t="shared" si="29"/>
        <v>0</v>
      </c>
    </row>
    <row r="99" spans="1:77" outlineLevel="1" x14ac:dyDescent="0.3">
      <c r="A99" s="47" t="s">
        <v>304</v>
      </c>
      <c r="B99" s="81"/>
      <c r="C99" s="81"/>
      <c r="D99" s="81"/>
      <c r="E99" s="91"/>
      <c r="F99" s="76">
        <f t="shared" ref="F99:F106" si="30">SUM(G99:BW99)</f>
        <v>1</v>
      </c>
      <c r="G99" s="86"/>
      <c r="H99" s="86"/>
      <c r="I99" s="87"/>
      <c r="J99" s="86"/>
      <c r="K99" s="86"/>
      <c r="L99" s="86"/>
      <c r="M99" s="86"/>
      <c r="N99" s="86"/>
      <c r="O99" s="86"/>
      <c r="P99" s="86"/>
      <c r="Q99" s="86"/>
      <c r="R99" s="86"/>
      <c r="S99" s="86"/>
      <c r="T99" s="86"/>
      <c r="U99" s="86"/>
      <c r="V99" s="86"/>
      <c r="W99" s="86">
        <v>1</v>
      </c>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6"/>
      <c r="BQ99" s="86"/>
      <c r="BR99" s="86"/>
      <c r="BS99" s="86"/>
      <c r="BT99" s="86"/>
      <c r="BU99" s="86"/>
      <c r="BV99" s="86"/>
      <c r="BW99" s="86"/>
      <c r="BX99" s="86"/>
      <c r="BY99" s="86"/>
    </row>
    <row r="100" spans="1:77" outlineLevel="1" x14ac:dyDescent="0.3">
      <c r="A100" s="79" t="s">
        <v>305</v>
      </c>
      <c r="B100" s="81"/>
      <c r="C100" s="81"/>
      <c r="D100" s="81"/>
      <c r="E100" s="91"/>
      <c r="F100" s="76">
        <f t="shared" si="30"/>
        <v>1</v>
      </c>
      <c r="G100" s="86">
        <v>1</v>
      </c>
      <c r="H100" s="86"/>
      <c r="I100" s="87"/>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O100" s="86"/>
      <c r="BP100" s="86"/>
      <c r="BQ100" s="86"/>
      <c r="BR100" s="86"/>
      <c r="BS100" s="86"/>
      <c r="BT100" s="86"/>
      <c r="BU100" s="86"/>
      <c r="BV100" s="86"/>
      <c r="BW100" s="86"/>
      <c r="BX100" s="86"/>
      <c r="BY100" s="86"/>
    </row>
    <row r="101" spans="1:77" outlineLevel="1" x14ac:dyDescent="0.3">
      <c r="A101" s="79" t="s">
        <v>306</v>
      </c>
      <c r="B101" s="81"/>
      <c r="C101" s="81"/>
      <c r="D101" s="81"/>
      <c r="E101" s="91"/>
      <c r="F101" s="76">
        <f t="shared" si="30"/>
        <v>1</v>
      </c>
      <c r="G101" s="86"/>
      <c r="H101" s="86"/>
      <c r="I101" s="87"/>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v>1</v>
      </c>
      <c r="BN101" s="86"/>
      <c r="BO101" s="86"/>
      <c r="BP101" s="86"/>
      <c r="BQ101" s="86"/>
      <c r="BR101" s="86"/>
      <c r="BS101" s="86"/>
      <c r="BT101" s="86"/>
      <c r="BU101" s="86"/>
      <c r="BV101" s="86"/>
      <c r="BW101" s="86"/>
      <c r="BX101" s="86"/>
      <c r="BY101" s="86"/>
    </row>
    <row r="102" spans="1:77" outlineLevel="1" x14ac:dyDescent="0.3">
      <c r="A102" s="79" t="s">
        <v>307</v>
      </c>
      <c r="B102" s="81"/>
      <c r="C102" s="81"/>
      <c r="D102" s="81"/>
      <c r="E102" s="91"/>
      <c r="F102" s="76">
        <f t="shared" si="30"/>
        <v>10</v>
      </c>
      <c r="G102" s="86">
        <v>1</v>
      </c>
      <c r="H102" s="86"/>
      <c r="I102" s="87"/>
      <c r="J102" s="86"/>
      <c r="K102" s="86"/>
      <c r="L102" s="86"/>
      <c r="M102" s="86"/>
      <c r="N102" s="86"/>
      <c r="O102" s="86"/>
      <c r="P102" s="86"/>
      <c r="Q102" s="86"/>
      <c r="R102" s="86"/>
      <c r="S102" s="86"/>
      <c r="T102" s="86"/>
      <c r="U102" s="86"/>
      <c r="V102" s="86"/>
      <c r="W102" s="86"/>
      <c r="X102" s="86">
        <v>1</v>
      </c>
      <c r="Y102" s="86"/>
      <c r="Z102" s="86"/>
      <c r="AA102" s="86"/>
      <c r="AB102" s="86"/>
      <c r="AC102" s="86"/>
      <c r="AD102" s="86"/>
      <c r="AE102" s="86"/>
      <c r="AF102" s="86"/>
      <c r="AG102" s="86"/>
      <c r="AH102" s="86"/>
      <c r="AI102" s="86"/>
      <c r="AJ102" s="86"/>
      <c r="AK102" s="86"/>
      <c r="AL102" s="86"/>
      <c r="AM102" s="86"/>
      <c r="AN102" s="86"/>
      <c r="AO102" s="86"/>
      <c r="AP102" s="86">
        <v>1</v>
      </c>
      <c r="AQ102" s="86"/>
      <c r="AR102" s="86">
        <v>1</v>
      </c>
      <c r="AS102" s="86">
        <v>1</v>
      </c>
      <c r="AT102" s="86"/>
      <c r="AU102" s="86"/>
      <c r="AV102" s="86">
        <v>1</v>
      </c>
      <c r="AW102" s="86"/>
      <c r="AX102" s="86"/>
      <c r="AY102" s="86"/>
      <c r="AZ102" s="86">
        <v>1</v>
      </c>
      <c r="BA102" s="86"/>
      <c r="BB102" s="86"/>
      <c r="BC102" s="86"/>
      <c r="BD102" s="86"/>
      <c r="BE102" s="86"/>
      <c r="BF102" s="86"/>
      <c r="BG102" s="86"/>
      <c r="BH102" s="86"/>
      <c r="BI102" s="86"/>
      <c r="BJ102" s="86"/>
      <c r="BK102" s="86"/>
      <c r="BL102" s="86"/>
      <c r="BM102" s="86"/>
      <c r="BN102" s="86"/>
      <c r="BO102" s="86"/>
      <c r="BP102" s="86"/>
      <c r="BQ102" s="86"/>
      <c r="BR102" s="86">
        <v>1</v>
      </c>
      <c r="BS102" s="86">
        <v>1</v>
      </c>
      <c r="BT102" s="86">
        <v>1</v>
      </c>
      <c r="BU102" s="86"/>
      <c r="BV102" s="86"/>
      <c r="BW102" s="86"/>
      <c r="BX102" s="86"/>
      <c r="BY102" s="86"/>
    </row>
    <row r="103" spans="1:77" outlineLevel="1" x14ac:dyDescent="0.3">
      <c r="A103" s="79" t="s">
        <v>308</v>
      </c>
      <c r="B103" s="81"/>
      <c r="C103" s="81"/>
      <c r="D103" s="81"/>
      <c r="E103" s="91"/>
      <c r="F103" s="76">
        <f t="shared" si="30"/>
        <v>3</v>
      </c>
      <c r="G103" s="86">
        <v>1</v>
      </c>
      <c r="H103" s="86"/>
      <c r="I103" s="87"/>
      <c r="J103" s="86"/>
      <c r="K103" s="86"/>
      <c r="L103" s="86"/>
      <c r="M103" s="86"/>
      <c r="N103" s="86"/>
      <c r="O103" s="86"/>
      <c r="P103" s="86"/>
      <c r="Q103" s="86"/>
      <c r="R103" s="86"/>
      <c r="S103" s="86"/>
      <c r="T103" s="86"/>
      <c r="U103" s="86"/>
      <c r="V103" s="86"/>
      <c r="W103" s="86"/>
      <c r="X103" s="86">
        <v>1</v>
      </c>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v>1</v>
      </c>
      <c r="BT103" s="86"/>
      <c r="BU103" s="86"/>
      <c r="BV103" s="86"/>
      <c r="BW103" s="86"/>
      <c r="BX103" s="86"/>
      <c r="BY103" s="86"/>
    </row>
    <row r="104" spans="1:77" outlineLevel="1" x14ac:dyDescent="0.3">
      <c r="A104" s="79" t="s">
        <v>309</v>
      </c>
      <c r="B104" s="88"/>
      <c r="C104" s="81"/>
      <c r="D104" s="81"/>
      <c r="E104" s="91"/>
      <c r="F104" s="76">
        <f t="shared" si="30"/>
        <v>2</v>
      </c>
      <c r="G104" s="86"/>
      <c r="H104" s="86"/>
      <c r="I104" s="87"/>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v>1</v>
      </c>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v>1</v>
      </c>
      <c r="BT104" s="86"/>
      <c r="BU104" s="86"/>
      <c r="BV104" s="86"/>
      <c r="BW104" s="86"/>
      <c r="BX104" s="86"/>
      <c r="BY104" s="86"/>
    </row>
    <row r="105" spans="1:77" outlineLevel="1" x14ac:dyDescent="0.3">
      <c r="A105" s="79" t="s">
        <v>310</v>
      </c>
      <c r="B105" s="88"/>
      <c r="C105" s="81"/>
      <c r="D105" s="81"/>
      <c r="E105" s="91"/>
      <c r="F105" s="76">
        <f t="shared" si="30"/>
        <v>11</v>
      </c>
      <c r="G105" s="86">
        <v>1</v>
      </c>
      <c r="H105" s="86"/>
      <c r="I105" s="87"/>
      <c r="J105" s="86"/>
      <c r="K105" s="86"/>
      <c r="L105" s="86"/>
      <c r="M105" s="86"/>
      <c r="N105" s="86"/>
      <c r="O105" s="86"/>
      <c r="P105" s="86"/>
      <c r="Q105" s="86"/>
      <c r="R105" s="86"/>
      <c r="S105" s="86"/>
      <c r="T105" s="86">
        <v>1</v>
      </c>
      <c r="U105" s="86">
        <v>1</v>
      </c>
      <c r="V105" s="86"/>
      <c r="W105" s="86"/>
      <c r="X105" s="86"/>
      <c r="Y105" s="86"/>
      <c r="Z105" s="86"/>
      <c r="AA105" s="86"/>
      <c r="AB105" s="86"/>
      <c r="AC105" s="86"/>
      <c r="AD105" s="86"/>
      <c r="AE105" s="86"/>
      <c r="AF105" s="86"/>
      <c r="AG105" s="86">
        <v>1</v>
      </c>
      <c r="AH105" s="86">
        <v>1</v>
      </c>
      <c r="AI105" s="86"/>
      <c r="AJ105" s="86"/>
      <c r="AK105" s="86">
        <v>1</v>
      </c>
      <c r="AL105" s="86"/>
      <c r="AM105" s="86"/>
      <c r="AN105" s="86"/>
      <c r="AO105" s="86"/>
      <c r="AP105" s="86"/>
      <c r="AQ105" s="86"/>
      <c r="AR105" s="86">
        <v>1</v>
      </c>
      <c r="AS105" s="86"/>
      <c r="AT105" s="86"/>
      <c r="AU105" s="86"/>
      <c r="AV105" s="86"/>
      <c r="AW105" s="86"/>
      <c r="AX105" s="86"/>
      <c r="AY105" s="86"/>
      <c r="AZ105" s="86"/>
      <c r="BA105" s="86"/>
      <c r="BB105" s="86">
        <v>1</v>
      </c>
      <c r="BC105" s="86"/>
      <c r="BD105" s="86"/>
      <c r="BE105" s="86"/>
      <c r="BF105" s="86"/>
      <c r="BG105" s="86"/>
      <c r="BH105" s="86"/>
      <c r="BI105" s="86"/>
      <c r="BJ105" s="86"/>
      <c r="BK105" s="86"/>
      <c r="BL105" s="86">
        <v>1</v>
      </c>
      <c r="BM105" s="86">
        <v>1</v>
      </c>
      <c r="BN105" s="86"/>
      <c r="BO105" s="86"/>
      <c r="BP105" s="86"/>
      <c r="BQ105" s="86"/>
      <c r="BR105" s="86"/>
      <c r="BS105" s="86"/>
      <c r="BT105" s="86">
        <v>1</v>
      </c>
      <c r="BU105" s="86"/>
      <c r="BV105" s="86"/>
      <c r="BW105" s="86"/>
      <c r="BX105" s="86"/>
      <c r="BY105" s="86"/>
    </row>
    <row r="106" spans="1:77" outlineLevel="1" x14ac:dyDescent="0.3">
      <c r="A106" s="79" t="s">
        <v>311</v>
      </c>
      <c r="B106" s="88"/>
      <c r="C106" s="81"/>
      <c r="D106" s="81"/>
      <c r="E106" s="91"/>
      <c r="F106" s="76">
        <f t="shared" si="30"/>
        <v>2</v>
      </c>
      <c r="G106" s="86"/>
      <c r="H106" s="86"/>
      <c r="I106" s="87"/>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v>1</v>
      </c>
      <c r="BA106" s="86"/>
      <c r="BB106" s="86"/>
      <c r="BC106" s="86"/>
      <c r="BD106" s="86"/>
      <c r="BE106" s="86"/>
      <c r="BF106" s="86"/>
      <c r="BG106" s="86"/>
      <c r="BH106" s="86"/>
      <c r="BI106" s="86"/>
      <c r="BJ106" s="86"/>
      <c r="BK106" s="86"/>
      <c r="BL106" s="86"/>
      <c r="BM106" s="86">
        <v>1</v>
      </c>
      <c r="BN106" s="86"/>
      <c r="BO106" s="86"/>
      <c r="BP106" s="86"/>
      <c r="BQ106" s="86"/>
      <c r="BR106" s="86"/>
      <c r="BS106" s="86"/>
      <c r="BT106" s="86"/>
      <c r="BU106" s="86"/>
      <c r="BV106" s="86"/>
      <c r="BW106" s="86"/>
      <c r="BX106" s="86"/>
      <c r="BY106" s="86"/>
    </row>
    <row r="107" spans="1:77" s="90" customFormat="1" x14ac:dyDescent="0.3">
      <c r="A107" s="79"/>
      <c r="B107" s="88"/>
      <c r="C107" s="88"/>
      <c r="D107" s="88"/>
      <c r="E107" s="92"/>
      <c r="F107" s="34"/>
      <c r="G107" s="89"/>
      <c r="H107" s="89"/>
      <c r="I107" s="88"/>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c r="BQ107" s="89"/>
      <c r="BR107" s="89"/>
      <c r="BS107" s="89"/>
      <c r="BT107" s="89"/>
      <c r="BU107" s="89"/>
      <c r="BV107" s="89"/>
      <c r="BW107" s="89"/>
      <c r="BX107" s="89"/>
      <c r="BY107" s="89"/>
    </row>
    <row r="108" spans="1:77" x14ac:dyDescent="0.3">
      <c r="A108" s="80" t="s">
        <v>38</v>
      </c>
      <c r="B108" s="81"/>
      <c r="C108" s="81"/>
      <c r="D108" s="81"/>
      <c r="E108" s="82">
        <f>G44</f>
        <v>14</v>
      </c>
      <c r="F108" s="83">
        <f t="shared" ref="F108:AG108" si="31">SUM(F109:F123)</f>
        <v>51</v>
      </c>
      <c r="G108" s="83">
        <f t="shared" si="31"/>
        <v>2</v>
      </c>
      <c r="H108" s="83">
        <f t="shared" si="31"/>
        <v>0</v>
      </c>
      <c r="I108" s="84">
        <f t="shared" si="31"/>
        <v>0</v>
      </c>
      <c r="J108" s="83">
        <f t="shared" si="31"/>
        <v>0</v>
      </c>
      <c r="K108" s="83">
        <f t="shared" si="31"/>
        <v>0</v>
      </c>
      <c r="L108" s="83">
        <f t="shared" si="31"/>
        <v>0</v>
      </c>
      <c r="M108" s="83">
        <f>SUM(M109:M123)</f>
        <v>3</v>
      </c>
      <c r="N108" s="83">
        <f t="shared" si="31"/>
        <v>2</v>
      </c>
      <c r="O108" s="83">
        <f t="shared" si="31"/>
        <v>1</v>
      </c>
      <c r="P108" s="83">
        <f t="shared" si="31"/>
        <v>0</v>
      </c>
      <c r="Q108" s="83">
        <f t="shared" si="31"/>
        <v>0</v>
      </c>
      <c r="R108" s="83">
        <f t="shared" si="31"/>
        <v>0</v>
      </c>
      <c r="S108" s="83">
        <f t="shared" si="31"/>
        <v>0</v>
      </c>
      <c r="T108" s="83">
        <f t="shared" si="31"/>
        <v>1</v>
      </c>
      <c r="U108" s="83">
        <f t="shared" si="31"/>
        <v>1</v>
      </c>
      <c r="V108" s="83">
        <f t="shared" si="31"/>
        <v>0</v>
      </c>
      <c r="W108" s="83">
        <f t="shared" si="31"/>
        <v>0</v>
      </c>
      <c r="X108" s="83">
        <f t="shared" si="31"/>
        <v>0</v>
      </c>
      <c r="Y108" s="83">
        <f t="shared" si="31"/>
        <v>1</v>
      </c>
      <c r="Z108" s="83">
        <f t="shared" si="31"/>
        <v>0</v>
      </c>
      <c r="AA108" s="83">
        <f t="shared" si="31"/>
        <v>0</v>
      </c>
      <c r="AB108" s="83">
        <f t="shared" si="31"/>
        <v>1</v>
      </c>
      <c r="AC108" s="83">
        <f t="shared" si="31"/>
        <v>1</v>
      </c>
      <c r="AD108" s="83">
        <f t="shared" si="31"/>
        <v>0</v>
      </c>
      <c r="AE108" s="83">
        <f t="shared" si="31"/>
        <v>0</v>
      </c>
      <c r="AF108" s="83">
        <f t="shared" si="31"/>
        <v>1</v>
      </c>
      <c r="AG108" s="83">
        <f t="shared" si="31"/>
        <v>3</v>
      </c>
      <c r="AH108" s="83">
        <f t="shared" ref="AH108:BO108" si="32">SUM(AH109:AH123)</f>
        <v>3</v>
      </c>
      <c r="AI108" s="83">
        <f t="shared" si="32"/>
        <v>4</v>
      </c>
      <c r="AJ108" s="83">
        <f t="shared" si="32"/>
        <v>0</v>
      </c>
      <c r="AK108" s="83">
        <f t="shared" si="32"/>
        <v>0</v>
      </c>
      <c r="AL108" s="83">
        <f t="shared" si="32"/>
        <v>0</v>
      </c>
      <c r="AM108" s="83">
        <f t="shared" si="32"/>
        <v>0</v>
      </c>
      <c r="AN108" s="83">
        <f t="shared" si="32"/>
        <v>1</v>
      </c>
      <c r="AO108" s="83">
        <f>SUM(AO109:AO123)</f>
        <v>1</v>
      </c>
      <c r="AP108" s="83">
        <f t="shared" si="32"/>
        <v>1</v>
      </c>
      <c r="AQ108" s="83">
        <f t="shared" si="32"/>
        <v>1</v>
      </c>
      <c r="AR108" s="83">
        <f t="shared" si="32"/>
        <v>0</v>
      </c>
      <c r="AS108" s="83">
        <f t="shared" si="32"/>
        <v>0</v>
      </c>
      <c r="AT108" s="83">
        <f t="shared" si="32"/>
        <v>0</v>
      </c>
      <c r="AU108" s="83">
        <f t="shared" si="32"/>
        <v>0</v>
      </c>
      <c r="AV108" s="83">
        <f t="shared" si="32"/>
        <v>2</v>
      </c>
      <c r="AW108" s="83">
        <f t="shared" si="32"/>
        <v>2</v>
      </c>
      <c r="AX108" s="83">
        <f t="shared" si="32"/>
        <v>1</v>
      </c>
      <c r="AY108" s="83">
        <f t="shared" si="32"/>
        <v>0</v>
      </c>
      <c r="AZ108" s="83">
        <f>SUM(AZ109:AZ123)</f>
        <v>3</v>
      </c>
      <c r="BA108" s="83">
        <f t="shared" si="32"/>
        <v>1</v>
      </c>
      <c r="BB108" s="83">
        <f t="shared" si="32"/>
        <v>0</v>
      </c>
      <c r="BC108" s="83">
        <f t="shared" si="32"/>
        <v>0</v>
      </c>
      <c r="BD108" s="83">
        <f t="shared" si="32"/>
        <v>0</v>
      </c>
      <c r="BE108" s="83">
        <f t="shared" si="32"/>
        <v>0</v>
      </c>
      <c r="BF108" s="83">
        <f t="shared" si="32"/>
        <v>0</v>
      </c>
      <c r="BG108" s="83">
        <f t="shared" si="32"/>
        <v>0</v>
      </c>
      <c r="BH108" s="83">
        <f t="shared" si="32"/>
        <v>1</v>
      </c>
      <c r="BI108" s="83">
        <f t="shared" si="32"/>
        <v>1</v>
      </c>
      <c r="BJ108" s="83">
        <f t="shared" si="32"/>
        <v>0</v>
      </c>
      <c r="BK108" s="83">
        <f t="shared" si="32"/>
        <v>0</v>
      </c>
      <c r="BL108" s="83">
        <f t="shared" si="32"/>
        <v>0</v>
      </c>
      <c r="BM108" s="83">
        <f t="shared" si="32"/>
        <v>3</v>
      </c>
      <c r="BN108" s="83">
        <f t="shared" si="32"/>
        <v>2</v>
      </c>
      <c r="BO108" s="83">
        <f t="shared" si="32"/>
        <v>1</v>
      </c>
      <c r="BP108" s="83">
        <f t="shared" ref="BP108:BS108" si="33">SUM(BP109:BP123)</f>
        <v>1</v>
      </c>
      <c r="BQ108" s="83">
        <f t="shared" si="33"/>
        <v>1</v>
      </c>
      <c r="BR108" s="83">
        <f t="shared" si="33"/>
        <v>9</v>
      </c>
      <c r="BS108" s="83">
        <f t="shared" si="33"/>
        <v>2</v>
      </c>
      <c r="BT108" s="83">
        <f t="shared" ref="BT108:BU108" si="34">SUM(BT109:BT123)</f>
        <v>0</v>
      </c>
      <c r="BU108" s="83">
        <f t="shared" si="34"/>
        <v>1</v>
      </c>
      <c r="BV108" s="83">
        <f>SUM(BV109:BV123)</f>
        <v>2</v>
      </c>
      <c r="BW108" s="83">
        <f>SUM(BW109:BW123)</f>
        <v>0</v>
      </c>
      <c r="BX108" s="83">
        <f t="shared" ref="BX108:BY108" si="35">SUM(BX109:BX123)</f>
        <v>1</v>
      </c>
      <c r="BY108" s="83">
        <f t="shared" si="35"/>
        <v>1</v>
      </c>
    </row>
    <row r="109" spans="1:77" outlineLevel="1" x14ac:dyDescent="0.3">
      <c r="A109" s="79" t="s">
        <v>312</v>
      </c>
      <c r="B109" s="81"/>
      <c r="C109" s="81"/>
      <c r="D109" s="81"/>
      <c r="E109" s="91"/>
      <c r="F109" s="76">
        <f t="shared" ref="F109:F123" si="36">SUM(G109:BW109)</f>
        <v>7</v>
      </c>
      <c r="G109" s="86">
        <v>1</v>
      </c>
      <c r="H109" s="86"/>
      <c r="I109" s="87"/>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v>1</v>
      </c>
      <c r="AG109" s="86"/>
      <c r="AH109" s="86"/>
      <c r="AI109" s="86">
        <v>1</v>
      </c>
      <c r="AJ109" s="86"/>
      <c r="AK109" s="86"/>
      <c r="AL109" s="86"/>
      <c r="AM109" s="86"/>
      <c r="AN109" s="86"/>
      <c r="AO109" s="86"/>
      <c r="AP109" s="86"/>
      <c r="AQ109" s="86">
        <v>1</v>
      </c>
      <c r="AR109" s="86"/>
      <c r="AS109" s="86"/>
      <c r="AT109" s="86"/>
      <c r="AU109" s="86"/>
      <c r="AV109" s="86"/>
      <c r="AW109" s="86"/>
      <c r="AX109" s="86"/>
      <c r="AY109" s="86"/>
      <c r="AZ109" s="86"/>
      <c r="BA109" s="86">
        <v>1</v>
      </c>
      <c r="BB109" s="86"/>
      <c r="BC109" s="86"/>
      <c r="BD109" s="86"/>
      <c r="BE109" s="86"/>
      <c r="BF109" s="86"/>
      <c r="BG109" s="86"/>
      <c r="BH109" s="86"/>
      <c r="BI109" s="86"/>
      <c r="BJ109" s="86"/>
      <c r="BK109" s="86"/>
      <c r="BL109" s="86"/>
      <c r="BM109" s="86">
        <v>1</v>
      </c>
      <c r="BN109" s="86">
        <v>1</v>
      </c>
      <c r="BO109" s="86"/>
      <c r="BP109" s="86"/>
      <c r="BQ109" s="86"/>
      <c r="BR109" s="86"/>
      <c r="BS109" s="86"/>
      <c r="BT109" s="86"/>
      <c r="BU109" s="86"/>
      <c r="BV109" s="86"/>
      <c r="BW109" s="86"/>
      <c r="BX109" s="86"/>
      <c r="BY109" s="86"/>
    </row>
    <row r="110" spans="1:77" outlineLevel="1" x14ac:dyDescent="0.3">
      <c r="A110" s="79" t="s">
        <v>313</v>
      </c>
      <c r="B110" s="81"/>
      <c r="C110" s="81"/>
      <c r="D110" s="81"/>
      <c r="E110" s="91"/>
      <c r="F110" s="76">
        <f t="shared" si="36"/>
        <v>9</v>
      </c>
      <c r="G110" s="86">
        <v>1</v>
      </c>
      <c r="H110" s="86"/>
      <c r="I110" s="87"/>
      <c r="J110" s="86"/>
      <c r="K110" s="86"/>
      <c r="L110" s="86"/>
      <c r="M110" s="86"/>
      <c r="N110" s="86">
        <v>1</v>
      </c>
      <c r="O110" s="86"/>
      <c r="P110" s="86"/>
      <c r="Q110" s="86"/>
      <c r="R110" s="86"/>
      <c r="S110" s="86"/>
      <c r="T110" s="86"/>
      <c r="U110" s="86"/>
      <c r="V110" s="86"/>
      <c r="W110" s="86"/>
      <c r="X110" s="86"/>
      <c r="Y110" s="86"/>
      <c r="Z110" s="86"/>
      <c r="AA110" s="86"/>
      <c r="AB110" s="86"/>
      <c r="AC110" s="86"/>
      <c r="AD110" s="86"/>
      <c r="AE110" s="86"/>
      <c r="AF110" s="86"/>
      <c r="AG110" s="86">
        <v>1</v>
      </c>
      <c r="AH110" s="86">
        <v>1</v>
      </c>
      <c r="AI110" s="86"/>
      <c r="AJ110" s="86"/>
      <c r="AK110" s="86"/>
      <c r="AL110" s="86"/>
      <c r="AM110" s="86"/>
      <c r="AN110" s="86"/>
      <c r="AO110" s="86"/>
      <c r="AP110" s="86"/>
      <c r="AQ110" s="86"/>
      <c r="AR110" s="86"/>
      <c r="AS110" s="86"/>
      <c r="AT110" s="86"/>
      <c r="AU110" s="86"/>
      <c r="AV110" s="86">
        <v>1</v>
      </c>
      <c r="AW110" s="86">
        <v>1</v>
      </c>
      <c r="AX110" s="86"/>
      <c r="AY110" s="86"/>
      <c r="AZ110" s="86"/>
      <c r="BA110" s="86"/>
      <c r="BB110" s="86"/>
      <c r="BC110" s="86"/>
      <c r="BD110" s="86"/>
      <c r="BE110" s="86"/>
      <c r="BF110" s="86"/>
      <c r="BG110" s="86"/>
      <c r="BH110" s="86"/>
      <c r="BI110" s="86"/>
      <c r="BJ110" s="86"/>
      <c r="BK110" s="86"/>
      <c r="BL110" s="86"/>
      <c r="BM110" s="86"/>
      <c r="BN110" s="86"/>
      <c r="BO110" s="86"/>
      <c r="BP110" s="86"/>
      <c r="BQ110" s="86">
        <v>1</v>
      </c>
      <c r="BR110" s="86">
        <v>1</v>
      </c>
      <c r="BS110" s="86"/>
      <c r="BT110" s="86"/>
      <c r="BU110" s="86"/>
      <c r="BV110" s="86">
        <v>1</v>
      </c>
      <c r="BW110" s="86"/>
      <c r="BX110" s="86">
        <v>1</v>
      </c>
      <c r="BY110" s="86">
        <v>1</v>
      </c>
    </row>
    <row r="111" spans="1:77" outlineLevel="1" x14ac:dyDescent="0.3">
      <c r="A111" s="79" t="s">
        <v>472</v>
      </c>
      <c r="B111" s="81"/>
      <c r="C111" s="81"/>
      <c r="D111" s="81"/>
      <c r="E111" s="91"/>
      <c r="F111" s="76"/>
      <c r="G111" s="86"/>
      <c r="H111" s="86"/>
      <c r="I111" s="87"/>
      <c r="J111" s="86"/>
      <c r="K111" s="86"/>
      <c r="L111" s="86"/>
      <c r="M111" s="86"/>
      <c r="N111" s="86"/>
      <c r="O111" s="86">
        <v>1</v>
      </c>
      <c r="P111" s="86"/>
      <c r="Q111" s="86"/>
      <c r="R111" s="86"/>
      <c r="S111" s="86"/>
      <c r="T111" s="86"/>
      <c r="U111" s="86"/>
      <c r="V111" s="86"/>
      <c r="W111" s="86"/>
      <c r="X111" s="86"/>
      <c r="Y111" s="86"/>
      <c r="Z111" s="86"/>
      <c r="AA111" s="86"/>
      <c r="AB111" s="86"/>
      <c r="AC111" s="86">
        <v>1</v>
      </c>
      <c r="AD111" s="86"/>
      <c r="AE111" s="86"/>
      <c r="AF111" s="86"/>
      <c r="AG111" s="86"/>
      <c r="AH111" s="86"/>
      <c r="AI111" s="86">
        <v>1</v>
      </c>
      <c r="AJ111" s="86"/>
      <c r="AK111" s="86"/>
      <c r="AL111" s="86"/>
      <c r="AM111" s="86"/>
      <c r="AN111" s="86"/>
      <c r="AO111" s="86"/>
      <c r="AP111" s="86"/>
      <c r="AQ111" s="86"/>
      <c r="AR111" s="86"/>
      <c r="AS111" s="86"/>
      <c r="AT111" s="86"/>
      <c r="AU111" s="86"/>
      <c r="AV111" s="86"/>
      <c r="AW111" s="86">
        <v>1</v>
      </c>
      <c r="AX111" s="86">
        <v>1</v>
      </c>
      <c r="AY111" s="86"/>
      <c r="AZ111" s="86">
        <v>1</v>
      </c>
      <c r="BA111" s="86"/>
      <c r="BB111" s="86"/>
      <c r="BC111" s="86"/>
      <c r="BD111" s="86"/>
      <c r="BE111" s="86"/>
      <c r="BF111" s="86"/>
      <c r="BG111" s="86"/>
      <c r="BH111" s="86"/>
      <c r="BI111" s="86">
        <v>1</v>
      </c>
      <c r="BJ111" s="86"/>
      <c r="BK111" s="86"/>
      <c r="BL111" s="86"/>
      <c r="BM111" s="86">
        <v>1</v>
      </c>
      <c r="BN111" s="86"/>
      <c r="BO111" s="86">
        <v>1</v>
      </c>
      <c r="BP111" s="86"/>
      <c r="BQ111" s="86"/>
      <c r="BR111" s="86">
        <v>1</v>
      </c>
      <c r="BS111" s="86"/>
      <c r="BT111" s="86"/>
      <c r="BU111" s="86"/>
      <c r="BV111" s="86"/>
      <c r="BW111" s="86"/>
      <c r="BX111" s="86"/>
      <c r="BY111" s="86"/>
    </row>
    <row r="112" spans="1:77" outlineLevel="1" x14ac:dyDescent="0.3">
      <c r="A112" s="79" t="s">
        <v>314</v>
      </c>
      <c r="B112" s="81"/>
      <c r="C112" s="81"/>
      <c r="D112" s="81"/>
      <c r="E112" s="91"/>
      <c r="F112" s="76">
        <f t="shared" si="36"/>
        <v>1</v>
      </c>
      <c r="G112" s="86"/>
      <c r="H112" s="86"/>
      <c r="I112" s="87"/>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v>1</v>
      </c>
      <c r="BA112" s="86"/>
      <c r="BB112" s="86"/>
      <c r="BC112" s="86"/>
      <c r="BD112" s="86"/>
      <c r="BE112" s="86"/>
      <c r="BF112" s="86"/>
      <c r="BG112" s="86"/>
      <c r="BH112" s="86"/>
      <c r="BI112" s="86"/>
      <c r="BJ112" s="86"/>
      <c r="BK112" s="86"/>
      <c r="BL112" s="86"/>
      <c r="BM112" s="86"/>
      <c r="BN112" s="86"/>
      <c r="BO112" s="86"/>
      <c r="BP112" s="86"/>
      <c r="BQ112" s="86"/>
      <c r="BR112" s="86"/>
      <c r="BS112" s="86"/>
      <c r="BT112" s="86"/>
      <c r="BU112" s="86"/>
      <c r="BV112" s="86"/>
      <c r="BW112" s="86"/>
      <c r="BX112" s="86"/>
      <c r="BY112" s="86"/>
    </row>
    <row r="113" spans="1:77" outlineLevel="1" x14ac:dyDescent="0.3">
      <c r="A113" s="79" t="s">
        <v>315</v>
      </c>
      <c r="B113" s="81"/>
      <c r="C113" s="81"/>
      <c r="D113" s="81"/>
      <c r="E113" s="91"/>
      <c r="F113" s="76">
        <f t="shared" si="36"/>
        <v>5</v>
      </c>
      <c r="G113" s="86"/>
      <c r="H113" s="86"/>
      <c r="I113" s="87"/>
      <c r="J113" s="86"/>
      <c r="K113" s="86"/>
      <c r="L113" s="86"/>
      <c r="M113" s="86">
        <v>1</v>
      </c>
      <c r="N113" s="86"/>
      <c r="O113" s="86"/>
      <c r="P113" s="86"/>
      <c r="Q113" s="86"/>
      <c r="R113" s="86"/>
      <c r="S113" s="86"/>
      <c r="T113" s="86"/>
      <c r="U113" s="86"/>
      <c r="V113" s="86"/>
      <c r="W113" s="86"/>
      <c r="X113" s="86"/>
      <c r="Y113" s="86"/>
      <c r="Z113" s="86"/>
      <c r="AA113" s="86"/>
      <c r="AB113" s="86"/>
      <c r="AC113" s="86"/>
      <c r="AD113" s="86"/>
      <c r="AE113" s="86"/>
      <c r="AF113" s="86"/>
      <c r="AG113" s="86"/>
      <c r="AH113" s="86"/>
      <c r="AI113" s="86">
        <v>1</v>
      </c>
      <c r="AJ113" s="86"/>
      <c r="AK113" s="86"/>
      <c r="AL113" s="86"/>
      <c r="AM113" s="86"/>
      <c r="AN113" s="86">
        <v>1</v>
      </c>
      <c r="AO113" s="86"/>
      <c r="AP113" s="86"/>
      <c r="AQ113" s="86"/>
      <c r="AR113" s="86"/>
      <c r="AS113" s="86"/>
      <c r="AT113" s="86"/>
      <c r="AU113" s="86"/>
      <c r="AV113" s="86"/>
      <c r="AW113" s="86"/>
      <c r="AX113" s="86"/>
      <c r="AY113" s="86"/>
      <c r="AZ113" s="86"/>
      <c r="BA113" s="86"/>
      <c r="BB113" s="86"/>
      <c r="BC113" s="86"/>
      <c r="BD113" s="86"/>
      <c r="BE113" s="86"/>
      <c r="BF113" s="86"/>
      <c r="BG113" s="86"/>
      <c r="BH113" s="86"/>
      <c r="BI113" s="86"/>
      <c r="BJ113" s="86"/>
      <c r="BK113" s="86"/>
      <c r="BL113" s="86"/>
      <c r="BM113" s="86"/>
      <c r="BN113" s="86">
        <v>1</v>
      </c>
      <c r="BO113" s="86"/>
      <c r="BP113" s="86"/>
      <c r="BQ113" s="86"/>
      <c r="BR113" s="86">
        <v>1</v>
      </c>
      <c r="BS113" s="86"/>
      <c r="BT113" s="86"/>
      <c r="BU113" s="86"/>
      <c r="BV113" s="86"/>
      <c r="BW113" s="86"/>
      <c r="BX113" s="86"/>
      <c r="BY113" s="86"/>
    </row>
    <row r="114" spans="1:77" outlineLevel="1" x14ac:dyDescent="0.3">
      <c r="A114" s="79" t="s">
        <v>316</v>
      </c>
      <c r="B114" s="88"/>
      <c r="C114" s="81"/>
      <c r="D114" s="81"/>
      <c r="E114" s="91"/>
      <c r="F114" s="76">
        <f t="shared" si="36"/>
        <v>1</v>
      </c>
      <c r="G114" s="86"/>
      <c r="H114" s="86"/>
      <c r="I114" s="87"/>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v>1</v>
      </c>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row>
    <row r="115" spans="1:77" outlineLevel="1" x14ac:dyDescent="0.3">
      <c r="A115" s="79" t="s">
        <v>317</v>
      </c>
      <c r="B115" s="81"/>
      <c r="C115" s="81"/>
      <c r="D115" s="81"/>
      <c r="E115" s="91"/>
      <c r="F115" s="76">
        <f t="shared" si="36"/>
        <v>9</v>
      </c>
      <c r="G115" s="86"/>
      <c r="H115" s="86"/>
      <c r="I115" s="87"/>
      <c r="J115" s="86"/>
      <c r="K115" s="86"/>
      <c r="L115" s="86"/>
      <c r="M115" s="86">
        <v>1</v>
      </c>
      <c r="N115" s="86">
        <v>1</v>
      </c>
      <c r="O115" s="86"/>
      <c r="P115" s="86"/>
      <c r="Q115" s="86"/>
      <c r="R115" s="86"/>
      <c r="S115" s="86"/>
      <c r="T115" s="86"/>
      <c r="U115" s="86"/>
      <c r="V115" s="86"/>
      <c r="W115" s="86"/>
      <c r="X115" s="86"/>
      <c r="Y115" s="86"/>
      <c r="Z115" s="86"/>
      <c r="AA115" s="86"/>
      <c r="AB115" s="86">
        <v>1</v>
      </c>
      <c r="AC115" s="86"/>
      <c r="AD115" s="86"/>
      <c r="AE115" s="86"/>
      <c r="AF115" s="86"/>
      <c r="AG115" s="86">
        <v>1</v>
      </c>
      <c r="AH115" s="86">
        <v>1</v>
      </c>
      <c r="AI115" s="86"/>
      <c r="AJ115" s="86"/>
      <c r="AK115" s="86"/>
      <c r="AL115" s="86"/>
      <c r="AM115" s="86"/>
      <c r="AN115" s="86"/>
      <c r="AO115" s="86"/>
      <c r="AP115" s="86"/>
      <c r="AQ115" s="86"/>
      <c r="AR115" s="86"/>
      <c r="AS115" s="86"/>
      <c r="AT115" s="86"/>
      <c r="AU115" s="86"/>
      <c r="AV115" s="86"/>
      <c r="AW115" s="86"/>
      <c r="AX115" s="86"/>
      <c r="AY115" s="86"/>
      <c r="AZ115" s="86">
        <v>1</v>
      </c>
      <c r="BA115" s="86"/>
      <c r="BB115" s="86"/>
      <c r="BC115" s="86"/>
      <c r="BD115" s="86"/>
      <c r="BE115" s="86"/>
      <c r="BF115" s="86"/>
      <c r="BG115" s="86"/>
      <c r="BH115" s="86">
        <v>1</v>
      </c>
      <c r="BI115" s="86"/>
      <c r="BJ115" s="86"/>
      <c r="BK115" s="86"/>
      <c r="BL115" s="86"/>
      <c r="BM115" s="86"/>
      <c r="BN115" s="86"/>
      <c r="BO115" s="86"/>
      <c r="BP115" s="86"/>
      <c r="BQ115" s="86"/>
      <c r="BR115" s="86">
        <v>1</v>
      </c>
      <c r="BS115" s="86">
        <v>1</v>
      </c>
      <c r="BT115" s="86"/>
      <c r="BU115" s="86"/>
      <c r="BV115" s="86"/>
      <c r="BW115" s="86"/>
      <c r="BX115" s="86"/>
      <c r="BY115" s="86"/>
    </row>
    <row r="116" spans="1:77" outlineLevel="1" x14ac:dyDescent="0.3">
      <c r="A116" s="79" t="s">
        <v>318</v>
      </c>
      <c r="B116" s="81"/>
      <c r="C116" s="81"/>
      <c r="D116" s="81"/>
      <c r="E116" s="91"/>
      <c r="F116" s="76">
        <f t="shared" si="36"/>
        <v>5</v>
      </c>
      <c r="G116" s="86"/>
      <c r="H116" s="86"/>
      <c r="I116" s="87"/>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v>1</v>
      </c>
      <c r="AH116" s="86"/>
      <c r="AI116" s="86">
        <v>1</v>
      </c>
      <c r="AJ116" s="86"/>
      <c r="AK116" s="86"/>
      <c r="AL116" s="86"/>
      <c r="AM116" s="86"/>
      <c r="AN116" s="86"/>
      <c r="AO116" s="86">
        <v>1</v>
      </c>
      <c r="AP116" s="86"/>
      <c r="AQ116" s="86"/>
      <c r="AR116" s="86"/>
      <c r="AS116" s="86"/>
      <c r="AT116" s="86"/>
      <c r="AU116" s="86"/>
      <c r="AV116" s="86">
        <v>1</v>
      </c>
      <c r="AW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c r="BS116" s="86"/>
      <c r="BT116" s="86"/>
      <c r="BU116" s="86">
        <v>1</v>
      </c>
      <c r="BV116" s="86"/>
      <c r="BW116" s="86"/>
      <c r="BX116" s="86"/>
      <c r="BY116" s="86"/>
    </row>
    <row r="117" spans="1:77" outlineLevel="1" x14ac:dyDescent="0.3">
      <c r="A117" s="79" t="s">
        <v>319</v>
      </c>
      <c r="B117" s="81"/>
      <c r="C117" s="81"/>
      <c r="D117" s="81"/>
      <c r="E117" s="91"/>
      <c r="F117" s="76">
        <f t="shared" si="36"/>
        <v>3</v>
      </c>
      <c r="G117" s="86"/>
      <c r="H117" s="86"/>
      <c r="I117" s="87"/>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v>1</v>
      </c>
      <c r="BQ117" s="86"/>
      <c r="BR117" s="86">
        <v>1</v>
      </c>
      <c r="BS117" s="86">
        <v>1</v>
      </c>
      <c r="BT117" s="86"/>
      <c r="BU117" s="86"/>
      <c r="BV117" s="86"/>
      <c r="BW117" s="86"/>
      <c r="BX117" s="86"/>
      <c r="BY117" s="86"/>
    </row>
    <row r="118" spans="1:77" outlineLevel="1" x14ac:dyDescent="0.3">
      <c r="A118" s="79" t="s">
        <v>320</v>
      </c>
      <c r="B118" s="81"/>
      <c r="C118" s="81"/>
      <c r="D118" s="81"/>
      <c r="E118" s="91"/>
      <c r="F118" s="76">
        <f t="shared" si="36"/>
        <v>1</v>
      </c>
      <c r="G118" s="86"/>
      <c r="H118" s="86"/>
      <c r="I118" s="87"/>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c r="BN118" s="86"/>
      <c r="BO118" s="86"/>
      <c r="BP118" s="86"/>
      <c r="BQ118" s="86"/>
      <c r="BR118" s="86">
        <v>1</v>
      </c>
      <c r="BS118" s="86"/>
      <c r="BT118" s="86"/>
      <c r="BU118" s="86"/>
      <c r="BV118" s="86"/>
      <c r="BW118" s="86"/>
      <c r="BX118" s="86"/>
      <c r="BY118" s="86"/>
    </row>
    <row r="119" spans="1:77" outlineLevel="1" x14ac:dyDescent="0.3">
      <c r="A119" s="79" t="s">
        <v>321</v>
      </c>
      <c r="B119" s="81"/>
      <c r="C119" s="81"/>
      <c r="D119" s="81"/>
      <c r="E119" s="91"/>
      <c r="F119" s="76">
        <f t="shared" si="36"/>
        <v>2</v>
      </c>
      <c r="G119" s="86"/>
      <c r="H119" s="86"/>
      <c r="I119" s="87"/>
      <c r="J119" s="86"/>
      <c r="K119" s="86"/>
      <c r="L119" s="86"/>
      <c r="M119" s="86"/>
      <c r="N119" s="86"/>
      <c r="O119" s="86"/>
      <c r="P119" s="86"/>
      <c r="Q119" s="86"/>
      <c r="R119" s="86"/>
      <c r="S119" s="86"/>
      <c r="T119" s="86">
        <v>1</v>
      </c>
      <c r="U119" s="86"/>
      <c r="V119" s="86"/>
      <c r="W119" s="86"/>
      <c r="X119" s="86"/>
      <c r="Y119" s="86">
        <v>1</v>
      </c>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c r="BN119" s="86"/>
      <c r="BO119" s="86"/>
      <c r="BP119" s="86"/>
      <c r="BQ119" s="86"/>
      <c r="BR119" s="86"/>
      <c r="BS119" s="86"/>
      <c r="BT119" s="86"/>
      <c r="BU119" s="86"/>
      <c r="BV119" s="86"/>
      <c r="BW119" s="86"/>
      <c r="BX119" s="86"/>
      <c r="BY119" s="86"/>
    </row>
    <row r="120" spans="1:77" outlineLevel="1" x14ac:dyDescent="0.3">
      <c r="A120" s="79" t="s">
        <v>323</v>
      </c>
      <c r="B120" s="81"/>
      <c r="C120" s="81"/>
      <c r="D120" s="81"/>
      <c r="E120" s="91"/>
      <c r="F120" s="76">
        <f t="shared" si="36"/>
        <v>2</v>
      </c>
      <c r="G120" s="86"/>
      <c r="H120" s="86"/>
      <c r="I120" s="87"/>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v>1</v>
      </c>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c r="BN120" s="86"/>
      <c r="BO120" s="86"/>
      <c r="BP120" s="86"/>
      <c r="BQ120" s="86"/>
      <c r="BR120" s="86">
        <v>1</v>
      </c>
      <c r="BS120" s="86"/>
      <c r="BT120" s="86"/>
      <c r="BU120" s="86"/>
      <c r="BV120" s="86"/>
      <c r="BW120" s="86"/>
      <c r="BX120" s="86"/>
      <c r="BY120" s="86"/>
    </row>
    <row r="121" spans="1:77" outlineLevel="1" x14ac:dyDescent="0.3">
      <c r="A121" s="79" t="s">
        <v>324</v>
      </c>
      <c r="B121" s="81"/>
      <c r="C121" s="81"/>
      <c r="D121" s="81"/>
      <c r="E121" s="91"/>
      <c r="F121" s="76">
        <f t="shared" si="36"/>
        <v>2</v>
      </c>
      <c r="G121" s="86"/>
      <c r="H121" s="86"/>
      <c r="I121" s="87"/>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c r="BN121" s="86"/>
      <c r="BO121" s="86"/>
      <c r="BP121" s="86"/>
      <c r="BQ121" s="86"/>
      <c r="BR121" s="86">
        <v>1</v>
      </c>
      <c r="BS121" s="86"/>
      <c r="BT121" s="86"/>
      <c r="BU121" s="86"/>
      <c r="BV121" s="86">
        <v>1</v>
      </c>
      <c r="BW121" s="86"/>
      <c r="BX121" s="86"/>
      <c r="BY121" s="86"/>
    </row>
    <row r="122" spans="1:77" outlineLevel="1" x14ac:dyDescent="0.3">
      <c r="A122" s="79" t="s">
        <v>325</v>
      </c>
      <c r="B122" s="81"/>
      <c r="C122" s="81"/>
      <c r="D122" s="81"/>
      <c r="E122" s="91"/>
      <c r="F122" s="76">
        <f t="shared" si="36"/>
        <v>3</v>
      </c>
      <c r="G122" s="86"/>
      <c r="H122" s="86"/>
      <c r="I122" s="87"/>
      <c r="J122" s="86"/>
      <c r="K122" s="86"/>
      <c r="L122" s="86"/>
      <c r="M122" s="86">
        <v>1</v>
      </c>
      <c r="N122" s="86"/>
      <c r="O122" s="86"/>
      <c r="P122" s="86"/>
      <c r="Q122" s="86"/>
      <c r="R122" s="86"/>
      <c r="S122" s="86"/>
      <c r="T122" s="86"/>
      <c r="U122" s="86">
        <v>1</v>
      </c>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c r="BC122" s="86"/>
      <c r="BD122" s="86"/>
      <c r="BE122" s="86"/>
      <c r="BF122" s="86"/>
      <c r="BG122" s="86"/>
      <c r="BH122" s="86"/>
      <c r="BI122" s="86"/>
      <c r="BJ122" s="86"/>
      <c r="BK122" s="86"/>
      <c r="BL122" s="86"/>
      <c r="BM122" s="86">
        <v>1</v>
      </c>
      <c r="BN122" s="86"/>
      <c r="BO122" s="86"/>
      <c r="BP122" s="86"/>
      <c r="BQ122" s="86"/>
      <c r="BR122" s="86"/>
      <c r="BS122" s="86"/>
      <c r="BT122" s="86"/>
      <c r="BU122" s="86"/>
      <c r="BV122" s="86"/>
      <c r="BW122" s="86"/>
      <c r="BX122" s="86"/>
      <c r="BY122" s="86"/>
    </row>
    <row r="123" spans="1:77" outlineLevel="1" x14ac:dyDescent="0.3">
      <c r="A123" s="47" t="s">
        <v>326</v>
      </c>
      <c r="B123" s="81"/>
      <c r="C123" s="81"/>
      <c r="D123" s="81"/>
      <c r="E123" s="91"/>
      <c r="F123" s="76">
        <f t="shared" si="36"/>
        <v>1</v>
      </c>
      <c r="G123" s="86"/>
      <c r="H123" s="86"/>
      <c r="I123" s="87"/>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c r="BC123" s="86"/>
      <c r="BD123" s="86"/>
      <c r="BE123" s="86"/>
      <c r="BF123" s="86"/>
      <c r="BG123" s="86"/>
      <c r="BH123" s="86"/>
      <c r="BI123" s="86"/>
      <c r="BJ123" s="86"/>
      <c r="BK123" s="86"/>
      <c r="BL123" s="86"/>
      <c r="BM123" s="86"/>
      <c r="BN123" s="86"/>
      <c r="BO123" s="86"/>
      <c r="BP123" s="86"/>
      <c r="BQ123" s="86"/>
      <c r="BR123" s="86">
        <v>1</v>
      </c>
      <c r="BS123" s="86"/>
      <c r="BT123" s="86"/>
      <c r="BU123" s="86"/>
      <c r="BV123" s="86"/>
      <c r="BW123" s="86"/>
      <c r="BX123" s="86"/>
      <c r="BY123" s="86"/>
    </row>
    <row r="124" spans="1:77" x14ac:dyDescent="0.3">
      <c r="A124" s="93"/>
      <c r="B124" s="94"/>
      <c r="C124" s="94"/>
      <c r="D124" s="94"/>
      <c r="E124" s="95"/>
      <c r="F124" s="95"/>
      <c r="G124" s="95"/>
      <c r="H124" s="95"/>
      <c r="I124" s="94"/>
      <c r="J124" s="95"/>
      <c r="K124" s="95"/>
      <c r="L124" s="95"/>
      <c r="M124" s="95"/>
      <c r="N124" s="95"/>
      <c r="O124" s="95"/>
      <c r="P124" s="95"/>
      <c r="Q124" s="95"/>
      <c r="R124" s="95"/>
      <c r="S124" s="95"/>
      <c r="T124" s="95"/>
      <c r="U124" s="95"/>
      <c r="V124" s="95"/>
      <c r="W124" s="95"/>
      <c r="X124" s="95"/>
      <c r="Y124" s="95"/>
      <c r="Z124" s="95"/>
      <c r="AA124" s="95"/>
      <c r="AB124" s="95"/>
      <c r="AC124" s="95"/>
      <c r="AD124" s="95"/>
      <c r="AE124" s="95"/>
      <c r="AF124" s="95"/>
      <c r="AG124" s="95"/>
      <c r="AH124" s="95"/>
      <c r="AI124" s="95"/>
      <c r="AJ124" s="95"/>
      <c r="AK124" s="95"/>
      <c r="AL124" s="95"/>
      <c r="AM124" s="95"/>
      <c r="AN124" s="95"/>
      <c r="AO124" s="95"/>
      <c r="AP124" s="95"/>
      <c r="AQ124" s="95"/>
      <c r="AR124" s="95"/>
      <c r="AS124" s="95"/>
      <c r="AT124" s="95"/>
      <c r="AU124" s="95"/>
      <c r="AV124" s="95"/>
      <c r="AW124" s="95"/>
      <c r="AX124" s="95"/>
      <c r="AY124" s="95"/>
      <c r="AZ124" s="95"/>
      <c r="BA124" s="95"/>
      <c r="BB124" s="95"/>
      <c r="BC124" s="95"/>
      <c r="BD124" s="95"/>
      <c r="BE124" s="95"/>
      <c r="BF124" s="95"/>
      <c r="BG124" s="95"/>
      <c r="BH124" s="95"/>
      <c r="BI124" s="95"/>
      <c r="BJ124" s="95"/>
      <c r="BK124" s="95"/>
      <c r="BL124" s="95"/>
      <c r="BM124" s="95"/>
      <c r="BN124" s="95"/>
      <c r="BO124" s="95"/>
      <c r="BP124" s="95"/>
      <c r="BQ124" s="95"/>
      <c r="BR124" s="95"/>
      <c r="BS124" s="95"/>
      <c r="BT124" s="95"/>
      <c r="BU124" s="95"/>
      <c r="BV124" s="95"/>
      <c r="BW124" s="95"/>
      <c r="BX124" s="95"/>
      <c r="BY124" s="95"/>
    </row>
    <row r="127" spans="1:77" x14ac:dyDescent="0.3">
      <c r="A127" s="96" t="s">
        <v>65</v>
      </c>
      <c r="AJ127" s="117"/>
    </row>
    <row r="128" spans="1:77" x14ac:dyDescent="0.3">
      <c r="A128" t="s">
        <v>105</v>
      </c>
      <c r="AJ128" s="117"/>
    </row>
    <row r="129" spans="1:1" x14ac:dyDescent="0.3">
      <c r="A129" s="90" t="s">
        <v>73</v>
      </c>
    </row>
    <row r="130" spans="1:1" x14ac:dyDescent="0.3">
      <c r="A130" s="90" t="s">
        <v>88</v>
      </c>
    </row>
    <row r="131" spans="1:1" x14ac:dyDescent="0.3">
      <c r="A131" s="90" t="s">
        <v>104</v>
      </c>
    </row>
    <row r="132" spans="1:1" x14ac:dyDescent="0.3">
      <c r="A132" s="90" t="s">
        <v>75</v>
      </c>
    </row>
    <row r="133" spans="1:1" x14ac:dyDescent="0.3">
      <c r="A133" s="90" t="s">
        <v>77</v>
      </c>
    </row>
    <row r="134" spans="1:1" x14ac:dyDescent="0.3">
      <c r="A134" t="s">
        <v>98</v>
      </c>
    </row>
    <row r="135" spans="1:1" x14ac:dyDescent="0.3">
      <c r="A135" s="90" t="s">
        <v>97</v>
      </c>
    </row>
    <row r="136" spans="1:1" x14ac:dyDescent="0.3">
      <c r="A136" s="90" t="s">
        <v>66</v>
      </c>
    </row>
    <row r="137" spans="1:1" x14ac:dyDescent="0.3">
      <c r="A137" t="s">
        <v>349</v>
      </c>
    </row>
    <row r="138" spans="1:1" x14ac:dyDescent="0.3">
      <c r="A138" s="90" t="s">
        <v>76</v>
      </c>
    </row>
    <row r="139" spans="1:1" x14ac:dyDescent="0.3">
      <c r="A139" s="90" t="s">
        <v>103</v>
      </c>
    </row>
    <row r="140" spans="1:1" x14ac:dyDescent="0.3">
      <c r="A140" t="s">
        <v>89</v>
      </c>
    </row>
  </sheetData>
  <sortState xmlns:xlrd2="http://schemas.microsoft.com/office/spreadsheetml/2017/richdata2" ref="A128:A140">
    <sortCondition ref="A128"/>
  </sortState>
  <mergeCells count="8">
    <mergeCell ref="I8:J8"/>
    <mergeCell ref="A9:D9"/>
    <mergeCell ref="A67:D70"/>
    <mergeCell ref="E67:F69"/>
    <mergeCell ref="A2:B2"/>
    <mergeCell ref="A8:D8"/>
    <mergeCell ref="E8:F8"/>
    <mergeCell ref="G8:H8"/>
  </mergeCells>
  <phoneticPr fontId="8" type="noConversion"/>
  <pageMargins left="0.7" right="0.7" top="0.75" bottom="0.75" header="0.3" footer="0.3"/>
  <pageSetup paperSize="5" scale="4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3ADAF-DB5C-4FAB-B38E-C85E2606862D}">
  <sheetPr>
    <pageSetUpPr fitToPage="1"/>
  </sheetPr>
  <dimension ref="B1:BC125"/>
  <sheetViews>
    <sheetView workbookViewId="0">
      <selection activeCell="B4" sqref="B4"/>
    </sheetView>
  </sheetViews>
  <sheetFormatPr defaultRowHeight="14.4" outlineLevelRow="1" x14ac:dyDescent="0.3"/>
  <cols>
    <col min="1" max="1" width="3.109375" customWidth="1"/>
    <col min="2" max="3" width="16.44140625" customWidth="1"/>
    <col min="5" max="5" width="13.44140625" customWidth="1"/>
    <col min="6" max="7" width="12.109375" customWidth="1"/>
    <col min="8" max="11" width="17.109375" customWidth="1"/>
    <col min="12" max="12" width="21.5546875" customWidth="1"/>
    <col min="13" max="21" width="17.109375" customWidth="1"/>
    <col min="22" max="22" width="20" customWidth="1"/>
    <col min="23" max="23" width="18" customWidth="1"/>
    <col min="24" max="26" width="18.88671875" customWidth="1"/>
    <col min="27" max="27" width="19.109375" customWidth="1"/>
    <col min="28" max="28" width="15.109375" customWidth="1"/>
    <col min="29" max="33" width="18.5546875" customWidth="1"/>
    <col min="34" max="34" width="17.33203125" customWidth="1"/>
    <col min="35" max="35" width="16.33203125" customWidth="1"/>
    <col min="36" max="36" width="17.33203125" customWidth="1"/>
    <col min="37" max="37" width="16.88671875" customWidth="1"/>
    <col min="38" max="38" width="16.6640625" customWidth="1"/>
    <col min="39" max="40" width="19.88671875" customWidth="1"/>
    <col min="41" max="41" width="14.5546875" customWidth="1"/>
  </cols>
  <sheetData>
    <row r="1" spans="2:23" s="1" customFormat="1" ht="13.2" x14ac:dyDescent="0.25">
      <c r="E1" s="2"/>
      <c r="F1" s="2"/>
      <c r="G1" s="2"/>
      <c r="H1" s="3"/>
      <c r="I1" s="3"/>
      <c r="J1" s="3"/>
      <c r="K1" s="3"/>
      <c r="L1" s="3"/>
      <c r="M1" s="3"/>
      <c r="N1" s="3"/>
      <c r="O1" s="3"/>
      <c r="P1" s="3"/>
      <c r="Q1" s="3"/>
      <c r="R1" s="2"/>
      <c r="S1" s="2"/>
    </row>
    <row r="2" spans="2:23" s="1" customFormat="1" ht="18.600000000000001" customHeight="1" x14ac:dyDescent="0.25">
      <c r="B2" s="151" t="s">
        <v>480</v>
      </c>
      <c r="C2" s="152"/>
      <c r="E2" s="4"/>
      <c r="F2" s="2"/>
      <c r="G2" s="2"/>
      <c r="H2" s="3"/>
      <c r="I2" s="3"/>
      <c r="J2" s="3"/>
      <c r="K2" s="3"/>
      <c r="L2" s="3"/>
      <c r="M2" s="3"/>
      <c r="N2" s="3"/>
      <c r="O2" s="3"/>
      <c r="P2" s="3"/>
      <c r="Q2" s="3"/>
      <c r="R2" s="2"/>
      <c r="S2" s="2"/>
    </row>
    <row r="3" spans="2:23" s="1" customFormat="1" ht="20.399999999999999" customHeight="1" x14ac:dyDescent="0.3">
      <c r="B3" s="5" t="s">
        <v>483</v>
      </c>
      <c r="F3" s="2"/>
      <c r="G3" s="2"/>
      <c r="H3" s="3"/>
      <c r="I3" s="3"/>
      <c r="J3" s="3"/>
      <c r="K3" s="3"/>
      <c r="L3" s="3"/>
      <c r="M3" s="3"/>
      <c r="N3" s="3"/>
      <c r="O3" s="3"/>
      <c r="P3" s="3"/>
      <c r="Q3" s="3"/>
      <c r="R3" s="2"/>
      <c r="S3" s="2"/>
    </row>
    <row r="4" spans="2:23" s="1" customFormat="1" ht="15.6" x14ac:dyDescent="0.3">
      <c r="B4" s="5"/>
      <c r="F4" s="2"/>
      <c r="G4" s="2"/>
      <c r="H4" s="3"/>
      <c r="I4" s="3"/>
      <c r="J4" s="3"/>
      <c r="K4" s="3"/>
      <c r="L4" s="3"/>
      <c r="M4" s="3"/>
      <c r="N4" s="3"/>
      <c r="O4" s="3"/>
      <c r="P4" s="3"/>
      <c r="Q4" s="3"/>
      <c r="R4" s="2"/>
      <c r="S4" s="2"/>
    </row>
    <row r="5" spans="2:23" s="1" customFormat="1" ht="18.75" customHeight="1" x14ac:dyDescent="0.25">
      <c r="B5" s="6" t="s">
        <v>152</v>
      </c>
      <c r="F5" s="2"/>
      <c r="G5" s="2"/>
      <c r="H5" s="3"/>
      <c r="I5" s="3"/>
      <c r="J5" s="3"/>
      <c r="K5" s="3"/>
      <c r="L5" s="3"/>
      <c r="M5" s="3"/>
      <c r="N5" s="3"/>
      <c r="O5" s="3"/>
      <c r="P5" s="3"/>
      <c r="Q5" s="3"/>
      <c r="R5" s="2"/>
      <c r="S5" s="2"/>
    </row>
    <row r="6" spans="2:23" s="1" customFormat="1" ht="18.75" customHeight="1" x14ac:dyDescent="0.25">
      <c r="B6" s="124" t="s">
        <v>188</v>
      </c>
      <c r="C6" s="114"/>
      <c r="D6" s="114"/>
      <c r="E6" s="114"/>
      <c r="F6" s="114"/>
      <c r="G6" s="114"/>
      <c r="H6" s="114"/>
      <c r="I6" s="114"/>
      <c r="J6" s="114"/>
      <c r="K6" s="114"/>
      <c r="L6" s="114"/>
      <c r="M6" s="114"/>
      <c r="N6" s="3"/>
      <c r="O6" s="3"/>
      <c r="P6" s="3"/>
      <c r="Q6" s="3"/>
      <c r="R6" s="2"/>
      <c r="S6" s="2"/>
    </row>
    <row r="7" spans="2:23" s="11" customFormat="1" ht="13.2" x14ac:dyDescent="0.25">
      <c r="B7" s="7"/>
      <c r="C7" s="7"/>
      <c r="D7" s="7"/>
      <c r="E7" s="3"/>
      <c r="F7" s="8"/>
      <c r="G7" s="8"/>
      <c r="H7" s="8"/>
      <c r="I7" s="8"/>
      <c r="J7" s="9"/>
      <c r="K7" s="9"/>
      <c r="L7" s="3"/>
      <c r="M7" s="3"/>
      <c r="N7" s="3"/>
      <c r="O7" s="3"/>
      <c r="P7" s="3"/>
      <c r="Q7" s="3"/>
      <c r="R7" s="3"/>
      <c r="S7" s="3"/>
      <c r="T7" s="10"/>
      <c r="U7" s="10"/>
    </row>
    <row r="8" spans="2:23" s="1" customFormat="1" ht="53.4" customHeight="1" x14ac:dyDescent="0.25">
      <c r="B8" s="153" t="s">
        <v>2</v>
      </c>
      <c r="C8" s="154"/>
      <c r="D8" s="154"/>
      <c r="E8" s="155"/>
      <c r="F8" s="156" t="s">
        <v>198</v>
      </c>
      <c r="G8" s="157"/>
      <c r="H8" s="156" t="s">
        <v>199</v>
      </c>
      <c r="I8" s="157"/>
      <c r="J8" s="133"/>
      <c r="K8" s="12"/>
      <c r="L8" s="12"/>
      <c r="M8" s="106"/>
      <c r="N8" s="106"/>
      <c r="O8" s="3"/>
      <c r="P8" s="3"/>
      <c r="Q8" s="3"/>
      <c r="R8" s="3"/>
      <c r="S8" s="3"/>
      <c r="T8" s="2"/>
      <c r="U8" s="2"/>
      <c r="V8" s="2"/>
      <c r="W8" s="2"/>
    </row>
    <row r="9" spans="2:23" s="1" customFormat="1" ht="14.4" customHeight="1" x14ac:dyDescent="0.25">
      <c r="B9" s="164" t="s">
        <v>6</v>
      </c>
      <c r="C9" s="165"/>
      <c r="D9" s="165"/>
      <c r="E9" s="165"/>
      <c r="F9" s="13" t="s">
        <v>7</v>
      </c>
      <c r="G9" s="14" t="s">
        <v>8</v>
      </c>
      <c r="H9" s="13" t="s">
        <v>7</v>
      </c>
      <c r="I9" s="14" t="s">
        <v>8</v>
      </c>
      <c r="J9" s="15" t="s">
        <v>8</v>
      </c>
      <c r="K9" s="16"/>
      <c r="L9" s="16"/>
      <c r="M9" s="17"/>
      <c r="N9" s="17"/>
      <c r="O9" s="3"/>
      <c r="P9" s="3"/>
      <c r="Q9" s="3"/>
      <c r="R9" s="3"/>
      <c r="S9" s="3"/>
      <c r="T9" s="2"/>
      <c r="U9" s="2"/>
      <c r="V9" s="2"/>
      <c r="W9" s="2"/>
    </row>
    <row r="10" spans="2:23" s="1" customFormat="1" ht="15" customHeight="1" x14ac:dyDescent="0.25">
      <c r="B10" s="18"/>
      <c r="C10" s="19"/>
      <c r="D10" s="19"/>
      <c r="E10" s="19"/>
      <c r="F10" s="20"/>
      <c r="G10" s="21"/>
      <c r="H10" s="20"/>
      <c r="I10" s="21"/>
      <c r="J10" s="22"/>
      <c r="K10" s="3"/>
      <c r="L10" s="3"/>
      <c r="M10" s="3"/>
      <c r="N10" s="3"/>
      <c r="O10" s="3"/>
      <c r="P10" s="3"/>
      <c r="Q10" s="3"/>
      <c r="R10" s="3"/>
      <c r="S10" s="3"/>
      <c r="T10" s="2"/>
      <c r="U10" s="2"/>
      <c r="V10" s="2"/>
      <c r="W10" s="2"/>
    </row>
    <row r="11" spans="2:23" s="1" customFormat="1" ht="15" customHeight="1" x14ac:dyDescent="0.25">
      <c r="B11" s="23" t="s">
        <v>9</v>
      </c>
      <c r="C11" s="24"/>
      <c r="D11" s="24"/>
      <c r="E11" s="25" t="e">
        <f>SUM(F11,H11,#REF!)</f>
        <v>#REF!</v>
      </c>
      <c r="F11" s="26">
        <f>SUM(F13,F17,F24,F34,F44,F60)</f>
        <v>11</v>
      </c>
      <c r="G11" s="27" t="e">
        <f>F11/$E$11</f>
        <v>#REF!</v>
      </c>
      <c r="H11" s="28">
        <f>SUM(H13,H17,H24,H34,H44,H60)</f>
        <v>24</v>
      </c>
      <c r="I11" s="27" t="e">
        <f>H11/$E$11</f>
        <v>#REF!</v>
      </c>
      <c r="J11" s="29" t="e">
        <f>#REF!/$E$11</f>
        <v>#REF!</v>
      </c>
      <c r="K11" s="30"/>
      <c r="L11" s="30"/>
      <c r="M11" s="31"/>
      <c r="N11" s="30"/>
      <c r="O11" s="32"/>
      <c r="P11" s="32"/>
      <c r="Q11" s="32"/>
      <c r="R11" s="32"/>
      <c r="S11" s="32"/>
      <c r="T11" s="2"/>
      <c r="U11" s="2"/>
      <c r="V11" s="2"/>
      <c r="W11" s="2"/>
    </row>
    <row r="12" spans="2:23" s="9" customFormat="1" ht="15" customHeight="1" x14ac:dyDescent="0.25">
      <c r="B12" s="33"/>
      <c r="C12" s="7"/>
      <c r="D12" s="7"/>
      <c r="E12" s="3"/>
      <c r="F12" s="34"/>
      <c r="G12" s="3"/>
      <c r="H12" s="35"/>
      <c r="I12" s="3"/>
      <c r="J12" s="36"/>
      <c r="K12" s="3"/>
      <c r="L12" s="3"/>
      <c r="M12" s="3"/>
      <c r="N12" s="3"/>
      <c r="O12" s="3"/>
      <c r="P12" s="3"/>
      <c r="Q12" s="3"/>
      <c r="R12" s="3"/>
      <c r="S12" s="3"/>
      <c r="T12" s="3"/>
      <c r="U12" s="3"/>
      <c r="V12" s="3"/>
      <c r="W12" s="3"/>
    </row>
    <row r="13" spans="2:23" s="9" customFormat="1" ht="15" customHeight="1" x14ac:dyDescent="0.25">
      <c r="B13" s="37" t="s">
        <v>10</v>
      </c>
      <c r="C13" s="38"/>
      <c r="D13" s="38"/>
      <c r="E13" s="39"/>
      <c r="F13" s="40">
        <f>SUM(F14:F16)</f>
        <v>0</v>
      </c>
      <c r="G13" s="39"/>
      <c r="H13" s="41">
        <f>SUM(H14:H16)</f>
        <v>0</v>
      </c>
      <c r="I13" s="39"/>
      <c r="J13" s="42"/>
      <c r="K13" s="3"/>
      <c r="L13" s="3"/>
      <c r="M13" s="3"/>
      <c r="N13" s="3"/>
      <c r="O13" s="3"/>
      <c r="P13" s="3"/>
      <c r="Q13" s="3"/>
      <c r="R13" s="3"/>
      <c r="S13" s="3"/>
      <c r="T13" s="3"/>
      <c r="U13" s="3"/>
      <c r="V13" s="3"/>
      <c r="W13" s="3"/>
    </row>
    <row r="14" spans="2:23" s="9" customFormat="1" ht="15" customHeight="1" outlineLevel="1" x14ac:dyDescent="0.3">
      <c r="B14" s="47" t="s">
        <v>284</v>
      </c>
      <c r="C14" s="7"/>
      <c r="D14" s="7"/>
      <c r="E14" s="3"/>
      <c r="F14" s="44"/>
      <c r="G14" s="3"/>
      <c r="H14" s="45"/>
      <c r="I14" s="3"/>
      <c r="J14" s="36"/>
      <c r="K14" s="3"/>
      <c r="L14" s="3"/>
      <c r="M14" s="3"/>
      <c r="N14" s="3"/>
      <c r="O14" s="3"/>
      <c r="P14" s="3"/>
      <c r="Q14" s="3"/>
      <c r="R14" s="3"/>
      <c r="S14" s="3"/>
      <c r="T14" s="3"/>
      <c r="U14" s="3"/>
      <c r="V14" s="3"/>
      <c r="W14" s="3"/>
    </row>
    <row r="15" spans="2:23" s="9" customFormat="1" ht="15" customHeight="1" outlineLevel="1" x14ac:dyDescent="0.3">
      <c r="B15" s="43" t="s">
        <v>11</v>
      </c>
      <c r="C15" s="7"/>
      <c r="D15" s="7"/>
      <c r="E15" s="3"/>
      <c r="F15" s="44"/>
      <c r="G15" s="3"/>
      <c r="H15" s="45"/>
      <c r="I15" s="3"/>
      <c r="J15" s="36"/>
      <c r="K15" s="3"/>
      <c r="L15" s="3"/>
      <c r="M15" s="3"/>
      <c r="N15" s="3"/>
      <c r="O15" s="3"/>
      <c r="P15" s="3"/>
      <c r="Q15" s="3"/>
      <c r="R15" s="3"/>
      <c r="S15" s="3"/>
      <c r="T15" s="3"/>
      <c r="U15" s="3"/>
      <c r="V15" s="3"/>
      <c r="W15" s="3"/>
    </row>
    <row r="16" spans="2:23" s="9" customFormat="1" ht="15" customHeight="1" outlineLevel="1" x14ac:dyDescent="0.3">
      <c r="B16" s="43" t="s">
        <v>12</v>
      </c>
      <c r="C16" s="7"/>
      <c r="D16" s="7"/>
      <c r="E16" s="3"/>
      <c r="F16" s="44"/>
      <c r="G16" s="3"/>
      <c r="H16" s="45"/>
      <c r="I16" s="3"/>
      <c r="J16" s="36"/>
      <c r="K16" s="3"/>
      <c r="L16" s="3"/>
      <c r="M16" s="3"/>
      <c r="N16" s="3"/>
      <c r="O16" s="3"/>
      <c r="P16" s="3"/>
      <c r="Q16" s="3"/>
      <c r="R16" s="3"/>
      <c r="S16" s="3"/>
      <c r="T16" s="3"/>
      <c r="U16" s="3"/>
      <c r="V16" s="3"/>
      <c r="W16" s="3"/>
    </row>
    <row r="17" spans="2:23" s="9" customFormat="1" ht="15" customHeight="1" x14ac:dyDescent="0.25">
      <c r="B17" s="46" t="s">
        <v>13</v>
      </c>
      <c r="C17" s="7"/>
      <c r="D17" s="7"/>
      <c r="E17" s="3"/>
      <c r="F17" s="34">
        <f>SUM(F18:F23)</f>
        <v>1</v>
      </c>
      <c r="G17" s="3"/>
      <c r="H17" s="35">
        <f>SUM(H18:H23)</f>
        <v>3</v>
      </c>
      <c r="I17" s="3"/>
      <c r="J17" s="36"/>
      <c r="K17" s="3"/>
      <c r="L17" s="3"/>
      <c r="M17" s="3"/>
      <c r="N17" s="3"/>
      <c r="O17" s="3"/>
      <c r="P17" s="3"/>
      <c r="Q17" s="3"/>
      <c r="R17" s="3"/>
      <c r="S17" s="3"/>
      <c r="T17" s="3"/>
      <c r="U17" s="3"/>
      <c r="V17" s="3"/>
      <c r="W17" s="3"/>
    </row>
    <row r="18" spans="2:23" s="9" customFormat="1" ht="15" customHeight="1" outlineLevel="1" x14ac:dyDescent="0.3">
      <c r="B18" s="47" t="s">
        <v>14</v>
      </c>
      <c r="C18" s="7"/>
      <c r="D18" s="7"/>
      <c r="E18" s="3"/>
      <c r="F18" s="44"/>
      <c r="G18" s="3"/>
      <c r="H18" s="45">
        <v>1</v>
      </c>
      <c r="I18" s="3"/>
      <c r="J18" s="36"/>
      <c r="K18" s="3"/>
      <c r="L18" s="3"/>
      <c r="M18" s="3"/>
      <c r="N18" s="3"/>
      <c r="O18" s="3"/>
      <c r="P18" s="3"/>
      <c r="Q18" s="3"/>
      <c r="R18" s="3"/>
      <c r="S18" s="3"/>
      <c r="T18" s="3"/>
      <c r="U18" s="3"/>
      <c r="V18" s="3"/>
      <c r="W18" s="3"/>
    </row>
    <row r="19" spans="2:23" s="9" customFormat="1" ht="15" customHeight="1" outlineLevel="1" x14ac:dyDescent="0.3">
      <c r="B19" s="47" t="s">
        <v>15</v>
      </c>
      <c r="C19" s="7"/>
      <c r="D19" s="7"/>
      <c r="E19" s="3"/>
      <c r="F19" s="44"/>
      <c r="G19" s="3"/>
      <c r="H19" s="45"/>
      <c r="I19" s="3"/>
      <c r="J19" s="36"/>
      <c r="K19" s="3"/>
      <c r="L19" s="3"/>
      <c r="M19" s="3"/>
      <c r="N19" s="3"/>
      <c r="O19" s="3"/>
      <c r="P19" s="3"/>
      <c r="Q19" s="3"/>
      <c r="R19" s="3"/>
      <c r="S19" s="3"/>
      <c r="T19" s="3"/>
      <c r="U19" s="3"/>
      <c r="V19" s="3"/>
      <c r="W19" s="3"/>
    </row>
    <row r="20" spans="2:23" s="9" customFormat="1" ht="15" customHeight="1" outlineLevel="1" x14ac:dyDescent="0.3">
      <c r="B20" s="47" t="s">
        <v>16</v>
      </c>
      <c r="C20" s="7"/>
      <c r="D20" s="7"/>
      <c r="E20" s="3"/>
      <c r="F20" s="44"/>
      <c r="G20" s="3"/>
      <c r="H20" s="45"/>
      <c r="I20" s="3"/>
      <c r="J20" s="36"/>
      <c r="K20" s="3"/>
      <c r="L20" s="3"/>
      <c r="M20" s="3"/>
      <c r="N20" s="3"/>
      <c r="O20" s="3"/>
      <c r="P20" s="3"/>
      <c r="Q20" s="3"/>
      <c r="R20" s="3"/>
      <c r="S20" s="3"/>
      <c r="T20" s="3"/>
      <c r="U20" s="3"/>
      <c r="V20" s="3"/>
      <c r="W20" s="3"/>
    </row>
    <row r="21" spans="2:23" s="9" customFormat="1" ht="15" customHeight="1" outlineLevel="1" x14ac:dyDescent="0.3">
      <c r="B21" s="47" t="s">
        <v>17</v>
      </c>
      <c r="C21" s="7"/>
      <c r="D21" s="7"/>
      <c r="E21" s="3"/>
      <c r="F21" s="44"/>
      <c r="G21" s="3"/>
      <c r="H21" s="45">
        <v>1</v>
      </c>
      <c r="I21" s="3"/>
      <c r="J21" s="36"/>
      <c r="K21" s="3"/>
      <c r="L21" s="3"/>
      <c r="M21" s="3"/>
      <c r="N21" s="3"/>
      <c r="O21" s="3"/>
      <c r="P21" s="3"/>
      <c r="Q21" s="3"/>
      <c r="R21" s="3"/>
      <c r="S21" s="3"/>
      <c r="T21" s="3"/>
      <c r="U21" s="3"/>
      <c r="V21" s="3"/>
      <c r="W21" s="3"/>
    </row>
    <row r="22" spans="2:23" s="9" customFormat="1" ht="15" customHeight="1" outlineLevel="1" x14ac:dyDescent="0.3">
      <c r="B22" s="47" t="s">
        <v>82</v>
      </c>
      <c r="C22" s="7"/>
      <c r="D22" s="7"/>
      <c r="E22" s="3"/>
      <c r="F22" s="44">
        <v>1</v>
      </c>
      <c r="G22" s="3"/>
      <c r="H22" s="45"/>
      <c r="I22" s="3"/>
      <c r="J22" s="36"/>
      <c r="K22" s="3"/>
      <c r="L22" s="3"/>
      <c r="M22" s="3"/>
      <c r="N22" s="3"/>
      <c r="O22" s="3"/>
      <c r="P22" s="3"/>
      <c r="Q22" s="3"/>
      <c r="R22" s="3"/>
      <c r="S22" s="3"/>
      <c r="T22" s="3"/>
      <c r="U22" s="3"/>
      <c r="V22" s="3"/>
      <c r="W22" s="3"/>
    </row>
    <row r="23" spans="2:23" s="9" customFormat="1" ht="15" customHeight="1" outlineLevel="1" x14ac:dyDescent="0.3">
      <c r="B23" s="47" t="s">
        <v>18</v>
      </c>
      <c r="C23" s="7"/>
      <c r="D23" s="7"/>
      <c r="E23" s="3"/>
      <c r="F23" s="44"/>
      <c r="G23" s="3"/>
      <c r="H23" s="45">
        <v>1</v>
      </c>
      <c r="I23" s="3"/>
      <c r="J23" s="36"/>
      <c r="K23" s="3"/>
      <c r="L23" s="3"/>
      <c r="M23" s="3"/>
      <c r="N23" s="3"/>
      <c r="O23" s="3"/>
      <c r="P23" s="3"/>
      <c r="Q23" s="3"/>
      <c r="R23" s="3"/>
      <c r="S23" s="3"/>
      <c r="T23" s="3"/>
      <c r="U23" s="3"/>
      <c r="V23" s="3"/>
      <c r="W23" s="3"/>
    </row>
    <row r="24" spans="2:23" s="9" customFormat="1" ht="15" customHeight="1" x14ac:dyDescent="0.25">
      <c r="B24" s="37" t="s">
        <v>19</v>
      </c>
      <c r="C24" s="38"/>
      <c r="D24" s="38"/>
      <c r="E24" s="39"/>
      <c r="F24" s="40">
        <f>SUM(F25:F33)</f>
        <v>3</v>
      </c>
      <c r="G24" s="39"/>
      <c r="H24" s="41">
        <f>SUM(H25:H33)</f>
        <v>5</v>
      </c>
      <c r="I24" s="39"/>
      <c r="J24" s="42"/>
      <c r="K24" s="3"/>
      <c r="L24" s="3"/>
      <c r="M24" s="3"/>
      <c r="N24" s="3"/>
      <c r="O24" s="3"/>
      <c r="P24" s="3"/>
      <c r="Q24" s="3"/>
      <c r="R24" s="3"/>
      <c r="S24" s="3"/>
      <c r="T24" s="3"/>
      <c r="U24" s="3"/>
      <c r="V24" s="3"/>
      <c r="W24" s="3"/>
    </row>
    <row r="25" spans="2:23" s="9" customFormat="1" ht="15" customHeight="1" outlineLevel="1" x14ac:dyDescent="0.3">
      <c r="B25" s="47" t="s">
        <v>20</v>
      </c>
      <c r="C25" s="7"/>
      <c r="D25" s="7"/>
      <c r="E25" s="3"/>
      <c r="F25" s="44"/>
      <c r="G25" s="3"/>
      <c r="H25" s="45">
        <v>1</v>
      </c>
      <c r="I25" s="3"/>
      <c r="J25" s="36"/>
      <c r="K25" s="3"/>
      <c r="L25" s="3"/>
      <c r="M25" s="3"/>
      <c r="N25" s="3"/>
      <c r="O25" s="3"/>
      <c r="P25" s="3"/>
      <c r="Q25" s="3"/>
      <c r="R25" s="3"/>
      <c r="S25" s="3"/>
      <c r="T25" s="3"/>
      <c r="U25" s="3"/>
      <c r="V25" s="3"/>
      <c r="W25" s="3"/>
    </row>
    <row r="26" spans="2:23" s="9" customFormat="1" ht="15" customHeight="1" outlineLevel="1" x14ac:dyDescent="0.3">
      <c r="B26" s="47" t="s">
        <v>21</v>
      </c>
      <c r="C26" s="7"/>
      <c r="D26" s="7"/>
      <c r="E26" s="3"/>
      <c r="F26" s="44"/>
      <c r="G26" s="3"/>
      <c r="H26" s="45">
        <v>1</v>
      </c>
      <c r="I26" s="3"/>
      <c r="J26" s="36"/>
      <c r="K26" s="3"/>
      <c r="L26" s="3"/>
      <c r="M26" s="3"/>
      <c r="N26" s="3"/>
      <c r="O26" s="3"/>
      <c r="P26" s="3"/>
      <c r="Q26" s="3"/>
      <c r="R26" s="3"/>
      <c r="S26" s="3"/>
      <c r="T26" s="3"/>
      <c r="U26" s="3"/>
      <c r="V26" s="3"/>
      <c r="W26" s="3"/>
    </row>
    <row r="27" spans="2:23" s="9" customFormat="1" ht="15" customHeight="1" outlineLevel="1" x14ac:dyDescent="0.3">
      <c r="B27" s="47" t="s">
        <v>83</v>
      </c>
      <c r="C27" s="7"/>
      <c r="D27" s="7"/>
      <c r="E27" s="3"/>
      <c r="F27" s="44">
        <v>1</v>
      </c>
      <c r="G27" s="3"/>
      <c r="H27" s="45"/>
      <c r="I27" s="3"/>
      <c r="J27" s="36"/>
      <c r="K27" s="3"/>
      <c r="L27" s="3"/>
      <c r="M27" s="3"/>
      <c r="N27" s="3"/>
      <c r="O27" s="3"/>
      <c r="P27" s="3"/>
      <c r="Q27" s="3"/>
      <c r="R27" s="3"/>
      <c r="S27" s="3"/>
      <c r="T27" s="3"/>
      <c r="U27" s="3"/>
      <c r="V27" s="3"/>
      <c r="W27" s="3"/>
    </row>
    <row r="28" spans="2:23" s="9" customFormat="1" ht="15" customHeight="1" outlineLevel="1" x14ac:dyDescent="0.3">
      <c r="B28" s="47" t="s">
        <v>22</v>
      </c>
      <c r="C28" s="7"/>
      <c r="D28" s="7"/>
      <c r="E28" s="3"/>
      <c r="F28" s="44"/>
      <c r="G28" s="3"/>
      <c r="H28" s="45"/>
      <c r="I28" s="3"/>
      <c r="J28" s="36"/>
      <c r="K28" s="3"/>
      <c r="L28" s="3"/>
      <c r="M28" s="3"/>
      <c r="N28" s="3"/>
      <c r="O28" s="3"/>
      <c r="P28" s="3"/>
      <c r="Q28" s="3"/>
      <c r="R28" s="3"/>
      <c r="S28" s="3"/>
      <c r="T28" s="3"/>
      <c r="U28" s="3"/>
      <c r="V28" s="3"/>
      <c r="W28" s="3"/>
    </row>
    <row r="29" spans="2:23" s="9" customFormat="1" ht="15" customHeight="1" outlineLevel="1" x14ac:dyDescent="0.3">
      <c r="B29" s="47" t="s">
        <v>23</v>
      </c>
      <c r="C29" s="7"/>
      <c r="D29" s="7"/>
      <c r="E29" s="3"/>
      <c r="F29" s="44"/>
      <c r="G29" s="3"/>
      <c r="H29" s="45">
        <v>1</v>
      </c>
      <c r="I29" s="3"/>
      <c r="J29" s="36"/>
      <c r="K29" s="3"/>
      <c r="L29" s="3"/>
      <c r="M29" s="3"/>
      <c r="N29" s="3"/>
      <c r="O29" s="3"/>
      <c r="P29" s="3"/>
      <c r="Q29" s="3"/>
      <c r="R29" s="3"/>
      <c r="S29" s="3"/>
      <c r="T29" s="3"/>
      <c r="U29" s="3"/>
      <c r="V29" s="3"/>
      <c r="W29" s="3"/>
    </row>
    <row r="30" spans="2:23" s="9" customFormat="1" ht="15" customHeight="1" outlineLevel="1" x14ac:dyDescent="0.3">
      <c r="B30" s="47" t="s">
        <v>24</v>
      </c>
      <c r="C30" s="7"/>
      <c r="D30" s="7"/>
      <c r="E30" s="3"/>
      <c r="F30" s="44"/>
      <c r="G30" s="3"/>
      <c r="H30" s="45">
        <v>1</v>
      </c>
      <c r="I30" s="3"/>
      <c r="J30" s="36"/>
      <c r="K30" s="3"/>
      <c r="L30" s="3"/>
      <c r="M30" s="3"/>
      <c r="N30" s="3"/>
      <c r="O30" s="3"/>
      <c r="P30" s="3"/>
      <c r="Q30" s="3"/>
      <c r="R30" s="3"/>
      <c r="S30" s="3"/>
      <c r="T30" s="3"/>
      <c r="U30" s="3"/>
      <c r="V30" s="3"/>
      <c r="W30" s="3"/>
    </row>
    <row r="31" spans="2:23" s="9" customFormat="1" ht="15" customHeight="1" outlineLevel="1" x14ac:dyDescent="0.3">
      <c r="B31" s="47" t="s">
        <v>25</v>
      </c>
      <c r="C31" s="7"/>
      <c r="D31" s="7"/>
      <c r="E31" s="3"/>
      <c r="F31" s="44">
        <v>1</v>
      </c>
      <c r="G31" s="3"/>
      <c r="H31" s="45"/>
      <c r="I31" s="3"/>
      <c r="J31" s="36"/>
      <c r="K31" s="3"/>
      <c r="L31" s="3"/>
      <c r="M31" s="3"/>
      <c r="N31" s="3"/>
      <c r="O31" s="3"/>
      <c r="P31" s="3"/>
      <c r="Q31" s="3"/>
      <c r="R31" s="3"/>
      <c r="S31" s="3"/>
      <c r="T31" s="3"/>
      <c r="U31" s="3"/>
      <c r="V31" s="3"/>
      <c r="W31" s="3"/>
    </row>
    <row r="32" spans="2:23" s="9" customFormat="1" ht="15" customHeight="1" outlineLevel="1" x14ac:dyDescent="0.3">
      <c r="B32" s="47" t="s">
        <v>26</v>
      </c>
      <c r="C32" s="7"/>
      <c r="D32" s="7"/>
      <c r="E32" s="3"/>
      <c r="F32" s="44"/>
      <c r="G32" s="3"/>
      <c r="H32" s="45">
        <v>1</v>
      </c>
      <c r="I32" s="3"/>
      <c r="J32" s="36"/>
      <c r="K32" s="3"/>
      <c r="L32" s="3"/>
      <c r="M32" s="3"/>
      <c r="N32" s="3"/>
      <c r="O32" s="3"/>
      <c r="P32" s="3"/>
      <c r="Q32" s="3"/>
      <c r="R32" s="3"/>
      <c r="S32" s="3"/>
      <c r="T32" s="3"/>
      <c r="U32" s="3"/>
      <c r="V32" s="3"/>
      <c r="W32" s="3"/>
    </row>
    <row r="33" spans="2:23" s="9" customFormat="1" ht="15" customHeight="1" outlineLevel="1" x14ac:dyDescent="0.3">
      <c r="B33" s="47" t="s">
        <v>27</v>
      </c>
      <c r="C33" s="7"/>
      <c r="D33" s="7"/>
      <c r="E33" s="3"/>
      <c r="F33" s="44">
        <v>1</v>
      </c>
      <c r="G33" s="3"/>
      <c r="H33" s="45"/>
      <c r="I33" s="3"/>
      <c r="J33" s="36"/>
      <c r="K33" s="3"/>
      <c r="L33" s="3"/>
      <c r="M33" s="3"/>
      <c r="N33" s="3"/>
      <c r="O33" s="3"/>
      <c r="P33" s="3"/>
      <c r="Q33" s="3"/>
      <c r="R33" s="3"/>
      <c r="S33" s="3"/>
      <c r="T33" s="3"/>
      <c r="U33" s="3"/>
      <c r="V33" s="3"/>
      <c r="W33" s="3"/>
    </row>
    <row r="34" spans="2:23" s="9" customFormat="1" ht="15" customHeight="1" x14ac:dyDescent="0.25">
      <c r="B34" s="46" t="s">
        <v>28</v>
      </c>
      <c r="C34" s="7"/>
      <c r="D34" s="7"/>
      <c r="E34" s="3"/>
      <c r="F34" s="34">
        <f>SUM(F35:F43)</f>
        <v>3</v>
      </c>
      <c r="G34" s="3"/>
      <c r="H34" s="35">
        <f>SUM(H35:H43)</f>
        <v>6</v>
      </c>
      <c r="I34" s="3"/>
      <c r="J34" s="36"/>
      <c r="K34" s="3"/>
      <c r="L34" s="3"/>
      <c r="M34" s="3"/>
      <c r="N34" s="3"/>
      <c r="O34" s="3"/>
      <c r="P34" s="3"/>
      <c r="Q34" s="3"/>
      <c r="R34" s="3"/>
      <c r="S34" s="3"/>
      <c r="T34" s="3"/>
      <c r="U34" s="3"/>
      <c r="V34" s="3"/>
      <c r="W34" s="3"/>
    </row>
    <row r="35" spans="2:23" s="9" customFormat="1" ht="15" customHeight="1" outlineLevel="1" x14ac:dyDescent="0.3">
      <c r="B35" s="47" t="s">
        <v>29</v>
      </c>
      <c r="C35" s="7"/>
      <c r="D35" s="7"/>
      <c r="E35" s="3"/>
      <c r="F35" s="44"/>
      <c r="G35" s="3"/>
      <c r="H35" s="45">
        <v>1</v>
      </c>
      <c r="I35" s="3"/>
      <c r="J35" s="36"/>
      <c r="K35" s="3"/>
      <c r="L35" s="3"/>
      <c r="M35" s="3"/>
      <c r="N35" s="3"/>
      <c r="O35" s="3"/>
      <c r="P35" s="3"/>
      <c r="Q35" s="3"/>
      <c r="R35" s="3"/>
      <c r="S35" s="3"/>
      <c r="T35" s="3"/>
      <c r="U35" s="3"/>
      <c r="V35" s="3"/>
      <c r="W35" s="3"/>
    </row>
    <row r="36" spans="2:23" s="9" customFormat="1" ht="15" customHeight="1" outlineLevel="1" x14ac:dyDescent="0.3">
      <c r="B36" s="47" t="s">
        <v>30</v>
      </c>
      <c r="C36" s="7"/>
      <c r="D36" s="7"/>
      <c r="E36" s="3"/>
      <c r="F36" s="44">
        <v>1</v>
      </c>
      <c r="G36" s="3"/>
      <c r="H36" s="45"/>
      <c r="I36" s="3"/>
      <c r="J36" s="36"/>
      <c r="K36" s="3"/>
      <c r="L36" s="3"/>
      <c r="M36" s="3"/>
      <c r="N36" s="3"/>
      <c r="O36" s="3"/>
      <c r="P36" s="3"/>
      <c r="Q36" s="3"/>
      <c r="R36" s="3"/>
      <c r="S36" s="3"/>
      <c r="T36" s="3"/>
      <c r="U36" s="3"/>
      <c r="V36" s="3"/>
      <c r="W36" s="3"/>
    </row>
    <row r="37" spans="2:23" s="9" customFormat="1" ht="15" customHeight="1" outlineLevel="1" x14ac:dyDescent="0.3">
      <c r="B37" s="47" t="s">
        <v>31</v>
      </c>
      <c r="C37" s="7"/>
      <c r="D37" s="7"/>
      <c r="E37" s="3"/>
      <c r="F37" s="44"/>
      <c r="G37" s="3"/>
      <c r="H37" s="45">
        <v>1</v>
      </c>
      <c r="I37" s="3"/>
      <c r="J37" s="36"/>
      <c r="K37" s="3"/>
      <c r="L37" s="3"/>
      <c r="M37" s="3"/>
      <c r="N37" s="3"/>
      <c r="O37" s="3"/>
      <c r="P37" s="3"/>
      <c r="Q37" s="3"/>
      <c r="R37" s="3"/>
      <c r="S37" s="3"/>
      <c r="T37" s="3"/>
      <c r="U37" s="3"/>
      <c r="V37" s="3"/>
      <c r="W37" s="3"/>
    </row>
    <row r="38" spans="2:23" s="9" customFormat="1" ht="15" customHeight="1" outlineLevel="1" x14ac:dyDescent="0.3">
      <c r="B38" s="47" t="s">
        <v>32</v>
      </c>
      <c r="C38" s="7"/>
      <c r="D38" s="7"/>
      <c r="E38" s="3"/>
      <c r="F38" s="44">
        <v>1</v>
      </c>
      <c r="G38" s="3"/>
      <c r="H38" s="45"/>
      <c r="I38" s="3"/>
      <c r="J38" s="36"/>
      <c r="K38" s="3"/>
      <c r="L38" s="3"/>
      <c r="M38" s="3"/>
      <c r="N38" s="3"/>
      <c r="O38" s="3"/>
      <c r="P38" s="3"/>
      <c r="Q38" s="3"/>
      <c r="R38" s="3"/>
      <c r="S38" s="3"/>
      <c r="T38" s="3"/>
      <c r="U38" s="3"/>
      <c r="V38" s="3"/>
      <c r="W38" s="3"/>
    </row>
    <row r="39" spans="2:23" s="9" customFormat="1" ht="15" customHeight="1" outlineLevel="1" x14ac:dyDescent="0.3">
      <c r="B39" s="47" t="s">
        <v>33</v>
      </c>
      <c r="C39" s="7"/>
      <c r="D39" s="7"/>
      <c r="E39" s="3"/>
      <c r="F39" s="44"/>
      <c r="G39" s="3"/>
      <c r="H39" s="45">
        <v>1</v>
      </c>
      <c r="I39" s="3"/>
      <c r="J39" s="36"/>
      <c r="K39" s="3"/>
      <c r="L39" s="3"/>
      <c r="M39" s="3"/>
      <c r="N39" s="3"/>
      <c r="O39" s="3"/>
      <c r="P39" s="3"/>
      <c r="Q39" s="3"/>
      <c r="R39" s="3"/>
      <c r="S39" s="3"/>
      <c r="T39" s="3"/>
      <c r="U39" s="3"/>
      <c r="V39" s="3"/>
      <c r="W39" s="3"/>
    </row>
    <row r="40" spans="2:23" s="9" customFormat="1" ht="15" customHeight="1" outlineLevel="1" x14ac:dyDescent="0.3">
      <c r="B40" s="47" t="s">
        <v>34</v>
      </c>
      <c r="C40" s="7"/>
      <c r="D40" s="7"/>
      <c r="E40" s="3"/>
      <c r="F40" s="44"/>
      <c r="G40" s="3"/>
      <c r="H40" s="45">
        <v>1</v>
      </c>
      <c r="I40" s="3"/>
      <c r="J40" s="36"/>
      <c r="K40" s="3"/>
      <c r="L40" s="3"/>
      <c r="M40" s="3"/>
      <c r="N40" s="3"/>
      <c r="O40" s="3"/>
      <c r="P40" s="3"/>
      <c r="Q40" s="3"/>
      <c r="R40" s="3"/>
      <c r="S40" s="3"/>
      <c r="T40" s="3"/>
      <c r="U40" s="3"/>
      <c r="V40" s="3"/>
      <c r="W40" s="3"/>
    </row>
    <row r="41" spans="2:23" s="9" customFormat="1" ht="15" customHeight="1" outlineLevel="1" x14ac:dyDescent="0.3">
      <c r="B41" s="47" t="s">
        <v>35</v>
      </c>
      <c r="C41" s="7"/>
      <c r="D41" s="7"/>
      <c r="E41" s="3"/>
      <c r="F41" s="44">
        <v>1</v>
      </c>
      <c r="G41" s="3"/>
      <c r="H41" s="45"/>
      <c r="I41" s="3"/>
      <c r="J41" s="36"/>
      <c r="K41" s="3"/>
      <c r="L41" s="3"/>
      <c r="M41" s="3"/>
      <c r="N41" s="3"/>
      <c r="O41" s="3"/>
      <c r="P41" s="3"/>
      <c r="Q41" s="3"/>
      <c r="R41" s="3"/>
      <c r="S41" s="3"/>
      <c r="T41" s="3"/>
      <c r="U41" s="3"/>
      <c r="V41" s="3"/>
      <c r="W41" s="3"/>
    </row>
    <row r="42" spans="2:23" s="9" customFormat="1" ht="15" customHeight="1" outlineLevel="1" x14ac:dyDescent="0.3">
      <c r="B42" s="47" t="s">
        <v>36</v>
      </c>
      <c r="C42" s="7"/>
      <c r="D42" s="7"/>
      <c r="E42" s="3"/>
      <c r="F42" s="44"/>
      <c r="G42" s="3"/>
      <c r="H42" s="45">
        <v>1</v>
      </c>
      <c r="I42" s="3"/>
      <c r="J42" s="36"/>
      <c r="K42" s="3"/>
      <c r="L42" s="3"/>
      <c r="M42" s="3"/>
      <c r="N42" s="3"/>
      <c r="O42" s="3"/>
      <c r="P42" s="3"/>
      <c r="Q42" s="3"/>
      <c r="R42" s="3"/>
      <c r="S42" s="3"/>
      <c r="T42" s="3"/>
      <c r="U42" s="3"/>
      <c r="V42" s="3"/>
      <c r="W42" s="3"/>
    </row>
    <row r="43" spans="2:23" s="9" customFormat="1" ht="15" customHeight="1" outlineLevel="1" x14ac:dyDescent="0.3">
      <c r="B43" s="47" t="s">
        <v>37</v>
      </c>
      <c r="C43" s="7"/>
      <c r="D43" s="7"/>
      <c r="E43" s="3"/>
      <c r="F43" s="44"/>
      <c r="G43" s="3"/>
      <c r="H43" s="45">
        <v>1</v>
      </c>
      <c r="I43" s="3"/>
      <c r="J43" s="36"/>
      <c r="K43" s="3"/>
      <c r="L43" s="3"/>
      <c r="M43" s="3"/>
      <c r="N43" s="3"/>
      <c r="O43" s="3"/>
      <c r="P43" s="3"/>
      <c r="Q43" s="3"/>
      <c r="R43" s="3"/>
      <c r="S43" s="3"/>
      <c r="T43" s="3"/>
      <c r="U43" s="3"/>
      <c r="V43" s="3"/>
      <c r="W43" s="3"/>
    </row>
    <row r="44" spans="2:23" s="9" customFormat="1" ht="15" customHeight="1" x14ac:dyDescent="0.25">
      <c r="B44" s="37" t="s">
        <v>38</v>
      </c>
      <c r="C44" s="38"/>
      <c r="D44" s="38"/>
      <c r="E44" s="39"/>
      <c r="F44" s="40">
        <f>SUM(F45:F59)</f>
        <v>4</v>
      </c>
      <c r="G44" s="39"/>
      <c r="H44" s="41">
        <f>SUM(H45:H59)</f>
        <v>10</v>
      </c>
      <c r="I44" s="39"/>
      <c r="J44" s="42"/>
      <c r="K44" s="3"/>
      <c r="L44" s="3"/>
      <c r="M44" s="3"/>
      <c r="N44" s="3"/>
      <c r="O44" s="3"/>
      <c r="P44" s="3"/>
      <c r="Q44" s="3"/>
      <c r="R44" s="3"/>
      <c r="S44" s="3"/>
      <c r="T44" s="3"/>
      <c r="U44" s="3"/>
      <c r="V44" s="3"/>
      <c r="W44" s="3"/>
    </row>
    <row r="45" spans="2:23" s="9" customFormat="1" ht="15" customHeight="1" outlineLevel="1" x14ac:dyDescent="0.3">
      <c r="B45" s="47" t="s">
        <v>39</v>
      </c>
      <c r="C45" s="7"/>
      <c r="D45" s="7"/>
      <c r="E45" s="3"/>
      <c r="F45" s="44"/>
      <c r="G45" s="3"/>
      <c r="H45" s="45">
        <v>1</v>
      </c>
      <c r="I45" s="3"/>
      <c r="J45" s="36"/>
      <c r="K45" s="3"/>
      <c r="L45" s="3"/>
      <c r="M45" s="3"/>
      <c r="N45" s="3"/>
      <c r="O45" s="3"/>
      <c r="P45" s="3"/>
      <c r="Q45" s="3"/>
      <c r="R45" s="3"/>
      <c r="S45" s="3"/>
      <c r="T45" s="3"/>
      <c r="U45" s="3"/>
      <c r="V45" s="3"/>
      <c r="W45" s="3"/>
    </row>
    <row r="46" spans="2:23" s="9" customFormat="1" ht="15" customHeight="1" outlineLevel="1" x14ac:dyDescent="0.3">
      <c r="B46" s="47" t="s">
        <v>40</v>
      </c>
      <c r="C46" s="7"/>
      <c r="D46" s="7"/>
      <c r="E46" s="3"/>
      <c r="F46" s="44"/>
      <c r="G46" s="3"/>
      <c r="H46" s="45">
        <v>1</v>
      </c>
      <c r="I46" s="3"/>
      <c r="J46" s="36"/>
      <c r="K46" s="3"/>
      <c r="L46" s="3"/>
      <c r="M46" s="3"/>
      <c r="N46" s="3"/>
      <c r="O46" s="3"/>
      <c r="P46" s="3"/>
      <c r="Q46" s="3"/>
      <c r="R46" s="3"/>
      <c r="S46" s="3"/>
      <c r="T46" s="3"/>
      <c r="U46" s="3"/>
      <c r="V46" s="3"/>
      <c r="W46" s="3"/>
    </row>
    <row r="47" spans="2:23" s="9" customFormat="1" ht="15" customHeight="1" outlineLevel="1" x14ac:dyDescent="0.3">
      <c r="B47" s="47" t="s">
        <v>41</v>
      </c>
      <c r="C47" s="7"/>
      <c r="D47" s="7"/>
      <c r="E47" s="3"/>
      <c r="F47" s="44">
        <v>1</v>
      </c>
      <c r="G47" s="3"/>
      <c r="H47" s="45"/>
      <c r="I47" s="3"/>
      <c r="J47" s="36"/>
      <c r="K47" s="3"/>
      <c r="L47" s="3"/>
      <c r="M47" s="3"/>
      <c r="N47" s="3"/>
      <c r="O47" s="3"/>
      <c r="P47" s="3"/>
      <c r="Q47" s="3"/>
      <c r="R47" s="3"/>
      <c r="S47" s="3"/>
      <c r="T47" s="3"/>
      <c r="U47" s="3"/>
      <c r="V47" s="3"/>
      <c r="W47" s="3"/>
    </row>
    <row r="48" spans="2:23" s="9" customFormat="1" ht="15" customHeight="1" outlineLevel="1" x14ac:dyDescent="0.3">
      <c r="B48" s="47" t="s">
        <v>42</v>
      </c>
      <c r="C48" s="7"/>
      <c r="D48" s="7"/>
      <c r="E48" s="3"/>
      <c r="F48" s="44"/>
      <c r="G48" s="3"/>
      <c r="H48" s="45">
        <v>1</v>
      </c>
      <c r="I48" s="3"/>
      <c r="J48" s="36"/>
      <c r="K48" s="3"/>
      <c r="L48" s="3"/>
      <c r="M48" s="3"/>
      <c r="N48" s="3"/>
      <c r="O48" s="3"/>
      <c r="P48" s="3"/>
      <c r="Q48" s="3"/>
      <c r="R48" s="3"/>
      <c r="S48" s="3"/>
      <c r="T48" s="3"/>
      <c r="U48" s="3"/>
      <c r="V48" s="3"/>
      <c r="W48" s="3"/>
    </row>
    <row r="49" spans="2:29" s="9" customFormat="1" ht="15" customHeight="1" outlineLevel="1" x14ac:dyDescent="0.3">
      <c r="B49" s="47" t="s">
        <v>43</v>
      </c>
      <c r="C49" s="7"/>
      <c r="D49" s="7"/>
      <c r="E49" s="3"/>
      <c r="F49" s="44"/>
      <c r="G49" s="3"/>
      <c r="H49" s="45">
        <v>1</v>
      </c>
      <c r="I49" s="3"/>
      <c r="J49" s="36"/>
      <c r="K49" s="3"/>
      <c r="L49" s="3"/>
      <c r="M49" s="3"/>
      <c r="N49" s="3"/>
      <c r="O49" s="3"/>
      <c r="P49" s="3"/>
      <c r="Q49" s="3"/>
      <c r="R49" s="3"/>
      <c r="S49" s="3"/>
      <c r="T49" s="3"/>
      <c r="U49" s="3"/>
      <c r="V49" s="3"/>
      <c r="W49" s="3"/>
    </row>
    <row r="50" spans="2:29" s="9" customFormat="1" ht="15" customHeight="1" outlineLevel="1" x14ac:dyDescent="0.3">
      <c r="B50" s="47" t="s">
        <v>44</v>
      </c>
      <c r="C50" s="7"/>
      <c r="D50" s="7"/>
      <c r="E50" s="3"/>
      <c r="F50" s="44"/>
      <c r="G50" s="3"/>
      <c r="H50" s="45">
        <v>1</v>
      </c>
      <c r="I50" s="3"/>
      <c r="J50" s="36"/>
      <c r="K50" s="3"/>
      <c r="L50" s="3"/>
      <c r="M50" s="3"/>
      <c r="N50" s="3"/>
      <c r="O50" s="3"/>
      <c r="P50" s="3"/>
      <c r="Q50" s="3"/>
      <c r="R50" s="3"/>
      <c r="S50" s="3"/>
      <c r="T50" s="3"/>
      <c r="U50" s="3"/>
      <c r="V50" s="3"/>
      <c r="W50" s="3"/>
    </row>
    <row r="51" spans="2:29" s="9" customFormat="1" ht="15" customHeight="1" outlineLevel="1" x14ac:dyDescent="0.3">
      <c r="B51" s="47" t="s">
        <v>45</v>
      </c>
      <c r="C51" s="7"/>
      <c r="D51" s="7"/>
      <c r="E51" s="3"/>
      <c r="F51" s="44"/>
      <c r="G51" s="3"/>
      <c r="H51" s="45">
        <v>1</v>
      </c>
      <c r="I51" s="3"/>
      <c r="J51" s="36"/>
      <c r="K51" s="3"/>
      <c r="L51" s="3"/>
      <c r="M51" s="3"/>
      <c r="N51" s="3"/>
      <c r="O51" s="3"/>
      <c r="P51" s="3"/>
      <c r="Q51" s="3"/>
      <c r="R51" s="3"/>
      <c r="S51" s="3"/>
      <c r="T51" s="3"/>
      <c r="U51" s="3"/>
      <c r="V51" s="3"/>
      <c r="W51" s="3"/>
    </row>
    <row r="52" spans="2:29" s="9" customFormat="1" ht="15" customHeight="1" outlineLevel="1" x14ac:dyDescent="0.3">
      <c r="B52" s="47" t="s">
        <v>46</v>
      </c>
      <c r="C52" s="7"/>
      <c r="D52" s="7"/>
      <c r="E52" s="3"/>
      <c r="F52" s="44"/>
      <c r="G52" s="3"/>
      <c r="H52" s="45">
        <v>1</v>
      </c>
      <c r="I52" s="3"/>
      <c r="J52" s="36"/>
      <c r="K52" s="3"/>
      <c r="L52" s="3"/>
      <c r="M52" s="3"/>
      <c r="N52" s="3"/>
      <c r="O52" s="3"/>
      <c r="P52" s="3"/>
      <c r="Q52" s="3"/>
      <c r="R52" s="3"/>
      <c r="S52" s="3"/>
      <c r="T52" s="3"/>
      <c r="U52" s="3"/>
      <c r="V52" s="3"/>
      <c r="W52" s="3"/>
    </row>
    <row r="53" spans="2:29" s="9" customFormat="1" ht="15" customHeight="1" outlineLevel="1" x14ac:dyDescent="0.3">
      <c r="B53" s="47" t="s">
        <v>47</v>
      </c>
      <c r="C53" s="7"/>
      <c r="D53" s="7"/>
      <c r="E53" s="3"/>
      <c r="F53" s="44"/>
      <c r="G53" s="3"/>
      <c r="H53" s="45"/>
      <c r="I53" s="3"/>
      <c r="J53" s="36"/>
      <c r="K53" s="3"/>
      <c r="L53" s="3"/>
      <c r="M53" s="3"/>
      <c r="N53" s="3"/>
      <c r="O53" s="3"/>
      <c r="P53" s="3"/>
      <c r="Q53" s="3"/>
      <c r="R53" s="3"/>
      <c r="S53" s="3"/>
      <c r="T53" s="3"/>
      <c r="U53" s="3"/>
      <c r="V53" s="3"/>
      <c r="W53" s="3"/>
    </row>
    <row r="54" spans="2:29" s="9" customFormat="1" ht="15" customHeight="1" outlineLevel="1" x14ac:dyDescent="0.3">
      <c r="B54" s="47" t="s">
        <v>48</v>
      </c>
      <c r="C54" s="7"/>
      <c r="D54" s="7"/>
      <c r="E54" s="3"/>
      <c r="F54" s="44">
        <v>1</v>
      </c>
      <c r="G54" s="3"/>
      <c r="H54" s="45"/>
      <c r="I54" s="3"/>
      <c r="J54" s="36"/>
      <c r="K54" s="3"/>
      <c r="L54" s="3"/>
      <c r="M54" s="3"/>
      <c r="N54" s="3"/>
      <c r="O54" s="3"/>
      <c r="P54" s="3"/>
      <c r="Q54" s="3"/>
      <c r="R54" s="3"/>
      <c r="S54" s="3"/>
      <c r="T54" s="3"/>
      <c r="U54" s="3"/>
      <c r="V54" s="3"/>
      <c r="W54" s="3"/>
    </row>
    <row r="55" spans="2:29" s="9" customFormat="1" ht="15" customHeight="1" outlineLevel="1" x14ac:dyDescent="0.3">
      <c r="B55" s="47" t="s">
        <v>49</v>
      </c>
      <c r="C55" s="7"/>
      <c r="D55" s="7"/>
      <c r="E55" s="3"/>
      <c r="F55" s="44">
        <v>1</v>
      </c>
      <c r="G55" s="3"/>
      <c r="H55" s="45"/>
      <c r="I55" s="3"/>
      <c r="J55" s="36"/>
      <c r="K55" s="3"/>
      <c r="L55" s="3"/>
      <c r="M55" s="3"/>
      <c r="N55" s="3"/>
      <c r="O55" s="3"/>
      <c r="P55" s="3"/>
      <c r="Q55" s="3"/>
      <c r="R55" s="3"/>
      <c r="S55" s="3"/>
      <c r="T55" s="3"/>
      <c r="U55" s="3"/>
      <c r="V55" s="3"/>
      <c r="W55" s="3"/>
    </row>
    <row r="56" spans="2:29" s="9" customFormat="1" ht="15" customHeight="1" outlineLevel="1" x14ac:dyDescent="0.3">
      <c r="B56" s="47" t="s">
        <v>50</v>
      </c>
      <c r="C56" s="7"/>
      <c r="D56" s="7"/>
      <c r="E56" s="3"/>
      <c r="F56" s="44"/>
      <c r="G56" s="3"/>
      <c r="H56" s="45">
        <v>1</v>
      </c>
      <c r="I56" s="3"/>
      <c r="J56" s="36"/>
      <c r="K56" s="3"/>
      <c r="L56" s="3"/>
      <c r="M56" s="3"/>
      <c r="N56" s="3"/>
      <c r="O56" s="3"/>
      <c r="P56" s="3"/>
      <c r="Q56" s="3"/>
      <c r="R56" s="3"/>
      <c r="S56" s="3"/>
      <c r="T56" s="3"/>
      <c r="U56" s="3"/>
      <c r="V56" s="3"/>
      <c r="W56" s="3"/>
    </row>
    <row r="57" spans="2:29" s="9" customFormat="1" ht="15" customHeight="1" outlineLevel="1" x14ac:dyDescent="0.3">
      <c r="B57" s="47" t="s">
        <v>51</v>
      </c>
      <c r="C57" s="7"/>
      <c r="D57" s="7"/>
      <c r="E57" s="3"/>
      <c r="F57" s="44">
        <v>1</v>
      </c>
      <c r="G57" s="3"/>
      <c r="H57" s="45"/>
      <c r="I57" s="3"/>
      <c r="J57" s="36"/>
      <c r="K57" s="3"/>
      <c r="L57" s="3"/>
      <c r="M57" s="3"/>
      <c r="N57" s="3"/>
      <c r="O57" s="3"/>
      <c r="P57" s="3"/>
      <c r="Q57" s="3"/>
      <c r="R57" s="3"/>
      <c r="S57" s="3"/>
      <c r="T57" s="3"/>
      <c r="U57" s="3"/>
      <c r="V57" s="3"/>
      <c r="W57" s="3"/>
    </row>
    <row r="58" spans="2:29" s="9" customFormat="1" ht="15" customHeight="1" outlineLevel="1" x14ac:dyDescent="0.3">
      <c r="B58" s="47" t="s">
        <v>52</v>
      </c>
      <c r="C58" s="7"/>
      <c r="D58" s="7"/>
      <c r="E58" s="3"/>
      <c r="F58" s="44"/>
      <c r="G58" s="3"/>
      <c r="H58" s="45">
        <v>1</v>
      </c>
      <c r="I58" s="3"/>
      <c r="J58" s="36"/>
      <c r="K58" s="3"/>
      <c r="L58" s="3"/>
      <c r="M58" s="3"/>
      <c r="N58" s="3"/>
      <c r="O58" s="3"/>
      <c r="P58" s="3"/>
      <c r="Q58" s="3"/>
      <c r="R58" s="3"/>
      <c r="S58" s="3"/>
      <c r="T58" s="3"/>
      <c r="U58" s="3"/>
      <c r="V58" s="3"/>
      <c r="W58" s="3"/>
    </row>
    <row r="59" spans="2:29" s="9" customFormat="1" ht="15" customHeight="1" outlineLevel="1" x14ac:dyDescent="0.3">
      <c r="B59" s="47" t="s">
        <v>53</v>
      </c>
      <c r="C59" s="7"/>
      <c r="D59" s="7"/>
      <c r="E59" s="3"/>
      <c r="F59" s="44"/>
      <c r="G59" s="3"/>
      <c r="H59" s="45">
        <v>1</v>
      </c>
      <c r="I59" s="3"/>
      <c r="J59" s="36"/>
      <c r="K59" s="3"/>
      <c r="L59" s="3"/>
      <c r="M59" s="3"/>
      <c r="N59" s="3"/>
      <c r="O59" s="3"/>
      <c r="P59" s="3"/>
      <c r="Q59" s="3"/>
      <c r="R59" s="3"/>
      <c r="S59" s="3"/>
      <c r="T59" s="3"/>
      <c r="U59" s="3"/>
      <c r="V59" s="3"/>
      <c r="W59" s="3"/>
    </row>
    <row r="60" spans="2:29" s="9" customFormat="1" ht="15" customHeight="1" x14ac:dyDescent="0.25">
      <c r="B60" s="46" t="s">
        <v>54</v>
      </c>
      <c r="C60" s="7"/>
      <c r="D60" s="7"/>
      <c r="E60" s="3"/>
      <c r="F60" s="34">
        <f>F61</f>
        <v>0</v>
      </c>
      <c r="G60" s="3"/>
      <c r="H60" s="35">
        <f>H61</f>
        <v>0</v>
      </c>
      <c r="I60" s="3"/>
      <c r="J60" s="36"/>
      <c r="K60" s="3"/>
      <c r="L60" s="3"/>
      <c r="M60" s="3"/>
      <c r="N60" s="3"/>
      <c r="O60" s="3"/>
      <c r="P60" s="3"/>
      <c r="Q60" s="3"/>
      <c r="R60" s="3"/>
      <c r="S60" s="3"/>
      <c r="T60" s="3"/>
      <c r="U60" s="3"/>
      <c r="V60" s="3"/>
      <c r="W60" s="3"/>
    </row>
    <row r="61" spans="2:29" s="9" customFormat="1" ht="15" customHeight="1" outlineLevel="1" x14ac:dyDescent="0.3">
      <c r="B61" s="47" t="s">
        <v>55</v>
      </c>
      <c r="C61" s="7"/>
      <c r="D61" s="7"/>
      <c r="E61" s="3"/>
      <c r="F61" s="44"/>
      <c r="G61" s="3"/>
      <c r="H61" s="45"/>
      <c r="I61" s="3"/>
      <c r="J61" s="36"/>
      <c r="K61" s="3"/>
      <c r="L61" s="3"/>
      <c r="M61" s="3"/>
      <c r="N61" s="3"/>
      <c r="O61" s="3"/>
      <c r="P61" s="3"/>
      <c r="Q61" s="3"/>
      <c r="R61" s="3"/>
      <c r="S61" s="3"/>
      <c r="T61" s="3"/>
      <c r="U61" s="3"/>
      <c r="V61" s="3"/>
      <c r="W61" s="3"/>
    </row>
    <row r="62" spans="2:29" s="9" customFormat="1" ht="15" customHeight="1" x14ac:dyDescent="0.25">
      <c r="B62" s="49"/>
      <c r="C62" s="50"/>
      <c r="D62" s="50"/>
      <c r="E62" s="8"/>
      <c r="F62" s="51"/>
      <c r="G62" s="8"/>
      <c r="H62" s="52"/>
      <c r="I62" s="8"/>
      <c r="J62" s="53"/>
      <c r="K62" s="3"/>
      <c r="L62" s="3"/>
      <c r="M62" s="3"/>
      <c r="N62" s="3"/>
      <c r="O62" s="3"/>
      <c r="P62" s="3"/>
      <c r="Q62" s="3"/>
      <c r="R62" s="3"/>
      <c r="S62" s="3"/>
      <c r="T62" s="3"/>
      <c r="U62" s="3"/>
      <c r="V62" s="3"/>
      <c r="W62" s="3"/>
    </row>
    <row r="63" spans="2:29" s="9" customFormat="1" ht="57.6" customHeight="1" x14ac:dyDescent="0.25">
      <c r="B63" s="7"/>
      <c r="C63" s="7"/>
      <c r="D63" s="7"/>
      <c r="E63" s="3"/>
      <c r="F63" s="55"/>
      <c r="G63" s="3"/>
      <c r="H63" s="3"/>
      <c r="I63" s="3"/>
      <c r="J63" s="3"/>
      <c r="K63" s="179" t="s">
        <v>446</v>
      </c>
      <c r="L63" s="179"/>
      <c r="M63" s="3"/>
      <c r="N63" s="3"/>
      <c r="O63" s="3"/>
      <c r="P63" s="3"/>
      <c r="Q63" s="3"/>
      <c r="R63" s="3"/>
      <c r="S63" s="3"/>
      <c r="T63" s="3"/>
      <c r="U63" s="3"/>
      <c r="V63" s="3"/>
      <c r="W63" s="3"/>
      <c r="X63" s="3"/>
      <c r="Y63" s="3"/>
      <c r="Z63" s="3"/>
      <c r="AA63" s="3"/>
    </row>
    <row r="64" spans="2:29" s="9" customFormat="1" ht="13.2" customHeight="1" x14ac:dyDescent="0.25">
      <c r="B64" s="125"/>
      <c r="C64" s="7" t="s">
        <v>392</v>
      </c>
      <c r="D64" s="7"/>
      <c r="E64" s="3"/>
      <c r="F64" s="55"/>
      <c r="G64" s="3"/>
      <c r="I64" s="48"/>
      <c r="J64" s="3"/>
      <c r="K64" s="55"/>
      <c r="L64" s="3"/>
      <c r="M64" s="3"/>
      <c r="N64" s="55"/>
      <c r="O64" s="3"/>
      <c r="P64" s="3"/>
      <c r="Q64" s="3"/>
      <c r="R64" s="3"/>
      <c r="S64" s="3"/>
      <c r="T64" s="3"/>
      <c r="U64" s="3"/>
      <c r="V64" s="3"/>
      <c r="W64" s="3"/>
      <c r="X64" s="3"/>
      <c r="Y64" s="3"/>
      <c r="Z64" s="3"/>
      <c r="AA64" s="3"/>
      <c r="AB64" s="3"/>
      <c r="AC64" s="3"/>
    </row>
    <row r="65" spans="2:55" s="9" customFormat="1" ht="13.2" customHeight="1" x14ac:dyDescent="0.25">
      <c r="B65" s="56" t="s">
        <v>130</v>
      </c>
      <c r="C65" s="7"/>
      <c r="D65" s="7"/>
      <c r="E65" s="3"/>
      <c r="F65" s="55"/>
      <c r="G65" s="3"/>
      <c r="H65" s="126" t="s">
        <v>160</v>
      </c>
      <c r="I65" s="126" t="s">
        <v>435</v>
      </c>
      <c r="J65" s="127"/>
      <c r="K65" s="126"/>
      <c r="L65" s="55"/>
      <c r="M65" s="3"/>
      <c r="N65" s="126" t="s">
        <v>428</v>
      </c>
      <c r="O65" s="126" t="s">
        <v>426</v>
      </c>
      <c r="P65" s="3"/>
      <c r="Q65" s="3"/>
      <c r="R65" s="3"/>
      <c r="S65" s="126" t="s">
        <v>430</v>
      </c>
      <c r="T65" s="3"/>
      <c r="U65" s="3"/>
      <c r="V65" s="3"/>
      <c r="W65" s="3"/>
      <c r="X65" s="3"/>
      <c r="Y65" s="3"/>
      <c r="Z65" s="3"/>
      <c r="AA65" s="3"/>
      <c r="AB65" s="126"/>
      <c r="AC65" s="3"/>
    </row>
    <row r="66" spans="2:55" s="9" customFormat="1" ht="31.5" customHeight="1" x14ac:dyDescent="0.3">
      <c r="B66" s="54"/>
      <c r="C66" s="7"/>
      <c r="D66" s="7"/>
      <c r="E66" s="7"/>
      <c r="F66" s="3"/>
      <c r="G66" s="55"/>
      <c r="H66" s="141" t="s">
        <v>239</v>
      </c>
      <c r="I66" s="136" t="s">
        <v>422</v>
      </c>
      <c r="J66" s="140" t="s">
        <v>271</v>
      </c>
      <c r="K66" s="140" t="s">
        <v>183</v>
      </c>
      <c r="L66" s="3"/>
      <c r="M66" s="3" t="s">
        <v>282</v>
      </c>
      <c r="N66" s="140" t="s">
        <v>362</v>
      </c>
      <c r="O66" s="138" t="s">
        <v>184</v>
      </c>
      <c r="P66" s="3"/>
      <c r="R66" s="3"/>
      <c r="S66" s="136" t="s">
        <v>401</v>
      </c>
      <c r="T66"/>
      <c r="U66" s="3"/>
      <c r="V66" s="3"/>
      <c r="W66" s="3"/>
      <c r="X66" s="141"/>
      <c r="Y66" s="3"/>
      <c r="Z66" s="3" t="s">
        <v>328</v>
      </c>
      <c r="AA66" s="3"/>
      <c r="AB66" s="139" t="s">
        <v>399</v>
      </c>
      <c r="AC66" s="3"/>
      <c r="AD66" s="3"/>
      <c r="AE66" s="3"/>
      <c r="AF66" s="3"/>
      <c r="AG66" s="3"/>
      <c r="AI66" s="3"/>
      <c r="AK66" s="3"/>
      <c r="AM66" s="3" t="s">
        <v>253</v>
      </c>
    </row>
    <row r="67" spans="2:55" s="9" customFormat="1" ht="37.5" customHeight="1" x14ac:dyDescent="0.25">
      <c r="B67" s="166" t="s">
        <v>57</v>
      </c>
      <c r="C67" s="167"/>
      <c r="D67" s="167"/>
      <c r="E67" s="168"/>
      <c r="F67" s="173" t="s">
        <v>131</v>
      </c>
      <c r="G67" s="174"/>
      <c r="H67" s="102" t="s">
        <v>138</v>
      </c>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8"/>
      <c r="AO67" s="3"/>
      <c r="AP67" s="3"/>
      <c r="AQ67" s="3"/>
      <c r="AR67" s="3"/>
      <c r="AS67" s="3"/>
      <c r="AT67" s="3"/>
      <c r="AU67" s="3"/>
      <c r="AV67" s="3"/>
      <c r="AW67" s="3"/>
      <c r="AX67" s="3"/>
      <c r="AY67" s="3"/>
      <c r="AZ67" s="3"/>
      <c r="BA67" s="3"/>
      <c r="BB67" s="3"/>
      <c r="BC67" s="3"/>
    </row>
    <row r="68" spans="2:55" s="9" customFormat="1" ht="35.25" customHeight="1" x14ac:dyDescent="0.25">
      <c r="B68" s="169"/>
      <c r="C68" s="170"/>
      <c r="D68" s="170"/>
      <c r="E68" s="170"/>
      <c r="F68" s="177"/>
      <c r="G68" s="178"/>
      <c r="H68" s="99" t="s">
        <v>148</v>
      </c>
      <c r="I68" s="99"/>
      <c r="J68" s="97"/>
      <c r="K68" s="97"/>
      <c r="L68" s="97"/>
      <c r="M68" s="97"/>
      <c r="N68" s="97"/>
      <c r="O68" s="97"/>
      <c r="P68" s="97"/>
      <c r="Q68" s="97"/>
      <c r="R68" s="97"/>
      <c r="S68" s="107" t="s">
        <v>139</v>
      </c>
      <c r="T68" s="97"/>
      <c r="U68" s="97"/>
      <c r="V68" s="97"/>
      <c r="W68" s="97"/>
      <c r="X68" s="102" t="s">
        <v>136</v>
      </c>
      <c r="Y68" s="97"/>
      <c r="Z68" s="97"/>
      <c r="AA68" s="97"/>
      <c r="AB68" s="97"/>
      <c r="AC68" s="102" t="s">
        <v>149</v>
      </c>
      <c r="AD68" s="97"/>
      <c r="AE68" s="97"/>
      <c r="AF68" s="102" t="s">
        <v>140</v>
      </c>
      <c r="AG68" s="97"/>
      <c r="AH68" s="97"/>
      <c r="AI68" s="97"/>
      <c r="AJ68" s="97"/>
      <c r="AK68" s="97"/>
      <c r="AL68" s="97"/>
      <c r="AM68" s="102" t="s">
        <v>142</v>
      </c>
      <c r="AN68" s="98"/>
      <c r="AO68" s="3"/>
      <c r="AP68" s="3"/>
      <c r="AQ68" s="3"/>
      <c r="AR68" s="3"/>
      <c r="AS68" s="3"/>
      <c r="AT68" s="3"/>
      <c r="AU68" s="3"/>
      <c r="AV68" s="3"/>
      <c r="AW68" s="3"/>
      <c r="AX68" s="3"/>
      <c r="AY68" s="3"/>
      <c r="AZ68" s="3"/>
      <c r="BA68" s="3"/>
      <c r="BB68" s="3"/>
      <c r="BC68" s="3"/>
    </row>
    <row r="69" spans="2:55" s="3" customFormat="1" ht="118.5" customHeight="1" x14ac:dyDescent="0.25">
      <c r="B69" s="171"/>
      <c r="C69" s="172"/>
      <c r="D69" s="172"/>
      <c r="E69" s="172"/>
      <c r="F69" s="59" t="s">
        <v>60</v>
      </c>
      <c r="G69" s="59" t="s">
        <v>61</v>
      </c>
      <c r="H69" s="100" t="s">
        <v>274</v>
      </c>
      <c r="I69" s="100" t="s">
        <v>406</v>
      </c>
      <c r="J69" s="100" t="s">
        <v>256</v>
      </c>
      <c r="K69" s="101" t="s">
        <v>272</v>
      </c>
      <c r="L69" s="59" t="s">
        <v>257</v>
      </c>
      <c r="M69" s="100" t="s">
        <v>270</v>
      </c>
      <c r="N69" s="100" t="s">
        <v>158</v>
      </c>
      <c r="O69" s="100" t="s">
        <v>416</v>
      </c>
      <c r="P69" s="100" t="s">
        <v>157</v>
      </c>
      <c r="Q69" s="100" t="s">
        <v>279</v>
      </c>
      <c r="R69" s="100" t="s">
        <v>164</v>
      </c>
      <c r="S69" s="100" t="s">
        <v>255</v>
      </c>
      <c r="T69" s="100" t="s">
        <v>283</v>
      </c>
      <c r="U69" s="100" t="s">
        <v>277</v>
      </c>
      <c r="V69" s="100" t="s">
        <v>265</v>
      </c>
      <c r="W69" s="100" t="s">
        <v>266</v>
      </c>
      <c r="X69" s="100" t="s">
        <v>278</v>
      </c>
      <c r="Y69" s="100" t="s">
        <v>260</v>
      </c>
      <c r="Z69" s="100" t="s">
        <v>332</v>
      </c>
      <c r="AA69" s="100" t="s">
        <v>150</v>
      </c>
      <c r="AB69" s="100" t="s">
        <v>269</v>
      </c>
      <c r="AC69" s="100" t="s">
        <v>262</v>
      </c>
      <c r="AD69" s="100" t="s">
        <v>275</v>
      </c>
      <c r="AE69" s="100" t="s">
        <v>276</v>
      </c>
      <c r="AF69" s="100" t="s">
        <v>263</v>
      </c>
      <c r="AG69" s="100" t="s">
        <v>258</v>
      </c>
      <c r="AH69" s="100" t="s">
        <v>259</v>
      </c>
      <c r="AI69" s="100" t="s">
        <v>261</v>
      </c>
      <c r="AJ69" s="100" t="s">
        <v>267</v>
      </c>
      <c r="AK69" s="100" t="s">
        <v>268</v>
      </c>
      <c r="AL69" s="100" t="s">
        <v>273</v>
      </c>
      <c r="AM69" s="100" t="s">
        <v>412</v>
      </c>
      <c r="AN69" s="100" t="s">
        <v>264</v>
      </c>
    </row>
    <row r="70" spans="2:55" s="9" customFormat="1" ht="13.2" customHeight="1" x14ac:dyDescent="0.25">
      <c r="B70" s="46"/>
      <c r="E70" s="60"/>
      <c r="F70" s="34"/>
      <c r="G70" s="34"/>
      <c r="H70" s="61"/>
      <c r="I70" s="61"/>
      <c r="J70" s="51"/>
      <c r="K70" s="62"/>
      <c r="L70" s="3"/>
      <c r="M70" s="62"/>
      <c r="N70" s="62"/>
      <c r="O70" s="62"/>
      <c r="P70" s="62"/>
      <c r="Q70" s="34"/>
      <c r="R70" s="62"/>
      <c r="S70" s="34"/>
      <c r="T70" s="34"/>
      <c r="U70" s="34"/>
      <c r="V70" s="34"/>
      <c r="W70" s="34"/>
      <c r="X70" s="34"/>
      <c r="Y70" s="34"/>
      <c r="Z70" s="34"/>
      <c r="AA70" s="61"/>
      <c r="AB70" s="34"/>
      <c r="AC70" s="61"/>
      <c r="AD70" s="34"/>
      <c r="AE70" s="34"/>
      <c r="AF70" s="34"/>
      <c r="AG70" s="61"/>
      <c r="AH70" s="34"/>
      <c r="AI70" s="34"/>
      <c r="AJ70" s="34"/>
      <c r="AK70" s="34"/>
      <c r="AL70" s="34"/>
      <c r="AM70" s="34"/>
      <c r="AN70" s="34"/>
      <c r="AO70" s="3"/>
      <c r="AP70" s="3"/>
      <c r="AQ70" s="3"/>
      <c r="AR70" s="3"/>
      <c r="AS70" s="3"/>
      <c r="AT70" s="3"/>
      <c r="AU70" s="3"/>
      <c r="AV70" s="3"/>
      <c r="AW70" s="3"/>
      <c r="AX70" s="3"/>
      <c r="AY70" s="3"/>
      <c r="AZ70" s="3"/>
      <c r="BA70" s="3"/>
      <c r="BB70" s="3"/>
      <c r="BC70" s="3"/>
    </row>
    <row r="71" spans="2:55" s="9" customFormat="1" ht="13.2" customHeight="1" x14ac:dyDescent="0.25">
      <c r="B71" s="63" t="s">
        <v>62</v>
      </c>
      <c r="C71" s="64"/>
      <c r="D71" s="64"/>
      <c r="E71" s="65"/>
      <c r="F71" s="66">
        <f t="shared" ref="F71:AN71" si="0">SUM(F73,F78,F85,F93)</f>
        <v>24</v>
      </c>
      <c r="G71" s="67">
        <f t="shared" si="0"/>
        <v>54</v>
      </c>
      <c r="H71" s="67">
        <f t="shared" si="0"/>
        <v>7</v>
      </c>
      <c r="I71" s="67">
        <f t="shared" si="0"/>
        <v>6</v>
      </c>
      <c r="J71" s="67">
        <f t="shared" si="0"/>
        <v>3</v>
      </c>
      <c r="K71" s="67">
        <f t="shared" si="0"/>
        <v>1</v>
      </c>
      <c r="L71" s="68">
        <f t="shared" si="0"/>
        <v>2</v>
      </c>
      <c r="M71" s="67">
        <f t="shared" si="0"/>
        <v>1</v>
      </c>
      <c r="N71" s="67">
        <f t="shared" si="0"/>
        <v>1</v>
      </c>
      <c r="O71" s="67">
        <f t="shared" si="0"/>
        <v>1</v>
      </c>
      <c r="P71" s="67">
        <f t="shared" si="0"/>
        <v>1</v>
      </c>
      <c r="Q71" s="67">
        <f t="shared" si="0"/>
        <v>1</v>
      </c>
      <c r="R71" s="67">
        <f t="shared" si="0"/>
        <v>1</v>
      </c>
      <c r="S71" s="67">
        <f t="shared" si="0"/>
        <v>3</v>
      </c>
      <c r="T71" s="67">
        <f t="shared" si="0"/>
        <v>2</v>
      </c>
      <c r="U71" s="67">
        <f t="shared" si="0"/>
        <v>1</v>
      </c>
      <c r="V71" s="67">
        <f t="shared" si="0"/>
        <v>1</v>
      </c>
      <c r="W71" s="67">
        <f t="shared" si="0"/>
        <v>1</v>
      </c>
      <c r="X71" s="67">
        <f t="shared" si="0"/>
        <v>2</v>
      </c>
      <c r="Y71" s="67">
        <f t="shared" si="0"/>
        <v>2</v>
      </c>
      <c r="Z71" s="67">
        <f t="shared" si="0"/>
        <v>2</v>
      </c>
      <c r="AA71" s="67">
        <f t="shared" si="0"/>
        <v>1</v>
      </c>
      <c r="AB71" s="67">
        <f t="shared" si="0"/>
        <v>1</v>
      </c>
      <c r="AC71" s="67">
        <f t="shared" si="0"/>
        <v>1</v>
      </c>
      <c r="AD71" s="67">
        <f t="shared" si="0"/>
        <v>1</v>
      </c>
      <c r="AE71" s="67">
        <f t="shared" si="0"/>
        <v>1</v>
      </c>
      <c r="AF71" s="67">
        <f t="shared" si="0"/>
        <v>2</v>
      </c>
      <c r="AG71" s="67">
        <f t="shared" si="0"/>
        <v>1</v>
      </c>
      <c r="AH71" s="67">
        <f t="shared" si="0"/>
        <v>1</v>
      </c>
      <c r="AI71" s="67">
        <f t="shared" si="0"/>
        <v>1</v>
      </c>
      <c r="AJ71" s="67">
        <f t="shared" si="0"/>
        <v>1</v>
      </c>
      <c r="AK71" s="67">
        <f t="shared" si="0"/>
        <v>1</v>
      </c>
      <c r="AL71" s="67">
        <f t="shared" si="0"/>
        <v>1</v>
      </c>
      <c r="AM71" s="67">
        <f t="shared" si="0"/>
        <v>1</v>
      </c>
      <c r="AN71" s="67">
        <f t="shared" si="0"/>
        <v>1</v>
      </c>
      <c r="AO71" s="3"/>
      <c r="AP71" s="3"/>
      <c r="AQ71" s="3"/>
      <c r="AR71" s="3"/>
      <c r="AS71" s="3"/>
      <c r="AT71" s="3"/>
      <c r="AU71" s="3"/>
      <c r="AV71" s="3"/>
      <c r="AW71" s="3"/>
      <c r="AX71" s="3"/>
      <c r="AY71" s="3"/>
      <c r="AZ71" s="3"/>
      <c r="BA71" s="3"/>
      <c r="BB71" s="3"/>
      <c r="BC71" s="3"/>
    </row>
    <row r="72" spans="2:55" s="9" customFormat="1" ht="13.2" customHeight="1" x14ac:dyDescent="0.25">
      <c r="B72" s="46" t="s">
        <v>63</v>
      </c>
      <c r="E72" s="60"/>
      <c r="F72" s="34"/>
      <c r="G72" s="34"/>
      <c r="H72" s="71"/>
      <c r="I72" s="69"/>
      <c r="J72" s="70"/>
      <c r="K72" s="71"/>
      <c r="L72" s="3"/>
      <c r="M72" s="71"/>
      <c r="N72" s="71"/>
      <c r="O72" s="71"/>
      <c r="P72" s="71"/>
      <c r="Q72" s="34"/>
      <c r="R72" s="71"/>
      <c r="S72" s="71"/>
      <c r="T72" s="70"/>
      <c r="U72" s="70"/>
      <c r="V72" s="34"/>
      <c r="W72" s="70"/>
      <c r="X72" s="71"/>
      <c r="Y72" s="34"/>
      <c r="Z72" s="34"/>
      <c r="AA72" s="71"/>
      <c r="AB72" s="70"/>
      <c r="AC72" s="71"/>
      <c r="AD72" s="34"/>
      <c r="AE72" s="71"/>
      <c r="AF72" s="34"/>
      <c r="AG72" s="71"/>
      <c r="AH72" s="34"/>
      <c r="AI72" s="34"/>
      <c r="AJ72" s="34"/>
      <c r="AK72" s="34"/>
      <c r="AL72" s="34"/>
      <c r="AM72" s="34"/>
      <c r="AN72" s="34"/>
      <c r="AO72" s="3"/>
      <c r="AP72" s="3"/>
      <c r="AQ72" s="3"/>
      <c r="AR72" s="3"/>
      <c r="AS72" s="3"/>
      <c r="AT72" s="3"/>
      <c r="AU72" s="3"/>
      <c r="AV72" s="3"/>
      <c r="AW72" s="3"/>
      <c r="AX72" s="3"/>
      <c r="AY72" s="3"/>
      <c r="AZ72" s="3"/>
      <c r="BA72" s="3"/>
      <c r="BB72" s="3"/>
      <c r="BC72" s="3"/>
    </row>
    <row r="73" spans="2:55" s="78" customFormat="1" x14ac:dyDescent="0.3">
      <c r="B73" s="80" t="s">
        <v>13</v>
      </c>
      <c r="C73" s="7"/>
      <c r="D73" s="7"/>
      <c r="E73" s="3"/>
      <c r="F73" s="74">
        <f>H17</f>
        <v>3</v>
      </c>
      <c r="G73" s="75">
        <f t="shared" ref="G73:AB73" si="1">SUM(G74:G76)</f>
        <v>16</v>
      </c>
      <c r="H73" s="75">
        <f>SUM(H74:H76)</f>
        <v>1</v>
      </c>
      <c r="I73" s="75">
        <f t="shared" si="1"/>
        <v>2</v>
      </c>
      <c r="J73" s="75">
        <f>SUM(J74:J76)</f>
        <v>2</v>
      </c>
      <c r="K73" s="75">
        <f>SUM(K74:K76)</f>
        <v>0</v>
      </c>
      <c r="L73" s="60">
        <f t="shared" si="1"/>
        <v>2</v>
      </c>
      <c r="M73" s="75">
        <f>SUM(M74:M76)</f>
        <v>0</v>
      </c>
      <c r="N73" s="75">
        <f t="shared" si="1"/>
        <v>0</v>
      </c>
      <c r="O73" s="75">
        <f t="shared" ref="O73:R73" si="2">SUM(O74:O76)</f>
        <v>0</v>
      </c>
      <c r="P73" s="75">
        <f>SUM(P74:P76)</f>
        <v>0</v>
      </c>
      <c r="Q73" s="75">
        <f>SUM(Q74:Q76)</f>
        <v>0</v>
      </c>
      <c r="R73" s="75">
        <f t="shared" si="2"/>
        <v>0</v>
      </c>
      <c r="S73" s="75">
        <f t="shared" ref="S73:V73" si="3">SUM(S74:S76)</f>
        <v>3</v>
      </c>
      <c r="T73" s="75">
        <f>SUM(T74:T76)</f>
        <v>1</v>
      </c>
      <c r="U73" s="75">
        <f t="shared" ref="U73" si="4">SUM(U74:U76)</f>
        <v>0</v>
      </c>
      <c r="V73" s="75">
        <f t="shared" si="3"/>
        <v>0</v>
      </c>
      <c r="W73" s="75">
        <f>SUM(W74:W76)</f>
        <v>0</v>
      </c>
      <c r="X73" s="75">
        <f t="shared" si="1"/>
        <v>2</v>
      </c>
      <c r="Y73" s="75">
        <f>SUM(Y74:Y76)</f>
        <v>0</v>
      </c>
      <c r="Z73" s="75">
        <f>SUM(Z74:Z76)</f>
        <v>0</v>
      </c>
      <c r="AA73" s="75">
        <f t="shared" si="1"/>
        <v>1</v>
      </c>
      <c r="AB73" s="75">
        <f t="shared" si="1"/>
        <v>0</v>
      </c>
      <c r="AC73" s="75">
        <f t="shared" ref="AC73:AD73" si="5">SUM(AC74:AC76)</f>
        <v>0</v>
      </c>
      <c r="AD73" s="75">
        <f t="shared" si="5"/>
        <v>0</v>
      </c>
      <c r="AE73" s="75">
        <f>SUM(AE74:AE76)</f>
        <v>0</v>
      </c>
      <c r="AF73" s="75">
        <f>SUM(AF74:AF76)</f>
        <v>0</v>
      </c>
      <c r="AG73" s="75">
        <f t="shared" ref="AG73:AI73" si="6">SUM(AG74:AG76)</f>
        <v>1</v>
      </c>
      <c r="AH73" s="75">
        <f t="shared" si="6"/>
        <v>0</v>
      </c>
      <c r="AI73" s="75">
        <f t="shared" si="6"/>
        <v>0</v>
      </c>
      <c r="AJ73" s="75">
        <f t="shared" ref="AJ73" si="7">SUM(AJ74:AJ76)</f>
        <v>0</v>
      </c>
      <c r="AK73" s="75">
        <f t="shared" ref="AK73:AL73" si="8">SUM(AK74:AK76)</f>
        <v>0</v>
      </c>
      <c r="AL73" s="75">
        <f t="shared" si="8"/>
        <v>0</v>
      </c>
      <c r="AM73" s="75">
        <f t="shared" ref="AM73" si="9">SUM(AM74:AM76)</f>
        <v>1</v>
      </c>
      <c r="AN73" s="75">
        <f t="shared" ref="AN73" si="10">SUM(AN74:AN76)</f>
        <v>0</v>
      </c>
      <c r="AO73" s="3"/>
      <c r="AP73" s="3"/>
      <c r="AQ73" s="3"/>
      <c r="AR73" s="3"/>
      <c r="AS73" s="3"/>
      <c r="AT73" s="3"/>
      <c r="AU73" s="4"/>
      <c r="AV73" s="4"/>
      <c r="AW73" s="4"/>
      <c r="AX73" s="4"/>
      <c r="AY73" s="4"/>
      <c r="AZ73" s="4"/>
    </row>
    <row r="74" spans="2:55" s="78" customFormat="1" outlineLevel="1" x14ac:dyDescent="0.3">
      <c r="B74" s="47" t="s">
        <v>288</v>
      </c>
      <c r="C74" s="7"/>
      <c r="D74" s="7"/>
      <c r="E74" s="3"/>
      <c r="F74" s="34"/>
      <c r="G74" s="76">
        <f>SUM(H74:AN74)</f>
        <v>5</v>
      </c>
      <c r="H74" s="76"/>
      <c r="I74" s="76">
        <v>1</v>
      </c>
      <c r="J74" s="76">
        <v>1</v>
      </c>
      <c r="K74" s="76"/>
      <c r="L74" s="77">
        <v>1</v>
      </c>
      <c r="M74" s="76"/>
      <c r="N74" s="76"/>
      <c r="O74" s="76"/>
      <c r="P74" s="76"/>
      <c r="Q74" s="76"/>
      <c r="R74" s="76"/>
      <c r="S74" s="76">
        <v>1</v>
      </c>
      <c r="T74" s="76"/>
      <c r="U74" s="76"/>
      <c r="V74" s="76"/>
      <c r="W74" s="76"/>
      <c r="X74" s="76">
        <v>1</v>
      </c>
      <c r="Y74" s="76"/>
      <c r="Z74" s="76"/>
      <c r="AA74" s="76"/>
      <c r="AB74" s="76"/>
      <c r="AC74" s="76"/>
      <c r="AD74" s="76"/>
      <c r="AE74" s="76"/>
      <c r="AF74" s="76"/>
      <c r="AG74" s="76"/>
      <c r="AH74" s="76"/>
      <c r="AI74" s="76"/>
      <c r="AJ74" s="76"/>
      <c r="AK74" s="76"/>
      <c r="AL74" s="76"/>
      <c r="AM74" s="76"/>
      <c r="AN74" s="76"/>
      <c r="AO74" s="3"/>
      <c r="AP74" s="3"/>
      <c r="AQ74" s="3"/>
      <c r="AR74" s="3"/>
      <c r="AS74" s="3"/>
      <c r="AT74" s="3"/>
      <c r="AU74" s="4"/>
      <c r="AV74" s="4" t="s">
        <v>63</v>
      </c>
      <c r="AW74" s="4"/>
      <c r="AX74" s="4"/>
      <c r="AY74" s="4"/>
      <c r="AZ74" s="4"/>
    </row>
    <row r="75" spans="2:55" s="1" customFormat="1" outlineLevel="1" x14ac:dyDescent="0.3">
      <c r="B75" s="47" t="s">
        <v>291</v>
      </c>
      <c r="C75" s="7"/>
      <c r="D75" s="7"/>
      <c r="E75" s="3"/>
      <c r="F75" s="34"/>
      <c r="G75" s="76">
        <f>SUM(H75:AN75)</f>
        <v>5</v>
      </c>
      <c r="H75" s="76"/>
      <c r="I75" s="76">
        <v>1</v>
      </c>
      <c r="J75" s="76">
        <v>1</v>
      </c>
      <c r="K75" s="76"/>
      <c r="L75" s="77">
        <v>1</v>
      </c>
      <c r="M75" s="76"/>
      <c r="N75" s="76"/>
      <c r="O75" s="76"/>
      <c r="P75" s="76"/>
      <c r="Q75" s="76"/>
      <c r="R75" s="76"/>
      <c r="S75" s="76">
        <v>1</v>
      </c>
      <c r="T75" s="76"/>
      <c r="U75" s="76"/>
      <c r="V75" s="76"/>
      <c r="W75" s="76"/>
      <c r="X75" s="76">
        <v>1</v>
      </c>
      <c r="Y75" s="76"/>
      <c r="Z75" s="76"/>
      <c r="AA75" s="76"/>
      <c r="AB75" s="76"/>
      <c r="AC75" s="76"/>
      <c r="AD75" s="76"/>
      <c r="AE75" s="76"/>
      <c r="AF75" s="76"/>
      <c r="AG75" s="76"/>
      <c r="AH75" s="76"/>
      <c r="AI75" s="76"/>
      <c r="AJ75" s="76"/>
      <c r="AK75" s="76"/>
      <c r="AL75" s="76"/>
      <c r="AM75" s="76"/>
      <c r="AN75" s="76"/>
      <c r="AO75" s="3"/>
      <c r="AP75" s="3"/>
      <c r="AQ75" s="3"/>
      <c r="AR75" s="3"/>
      <c r="AS75" s="3"/>
      <c r="AT75" s="3"/>
      <c r="AU75" s="2"/>
      <c r="AV75" s="2"/>
      <c r="AW75" s="2"/>
      <c r="AX75" s="2"/>
      <c r="AY75" s="2"/>
      <c r="AZ75" s="2"/>
    </row>
    <row r="76" spans="2:55" s="1" customFormat="1" outlineLevel="1" x14ac:dyDescent="0.3">
      <c r="B76" s="47" t="s">
        <v>293</v>
      </c>
      <c r="C76" s="7"/>
      <c r="D76" s="7"/>
      <c r="E76" s="3"/>
      <c r="F76" s="34"/>
      <c r="G76" s="76">
        <f>SUM(H76:AN76)</f>
        <v>6</v>
      </c>
      <c r="H76" s="76">
        <v>1</v>
      </c>
      <c r="I76" s="76"/>
      <c r="J76" s="76"/>
      <c r="K76" s="76"/>
      <c r="L76" s="77"/>
      <c r="M76" s="76"/>
      <c r="N76" s="76"/>
      <c r="O76" s="76"/>
      <c r="P76" s="76"/>
      <c r="Q76" s="76"/>
      <c r="R76" s="76"/>
      <c r="S76" s="76">
        <v>1</v>
      </c>
      <c r="T76" s="76">
        <v>1</v>
      </c>
      <c r="U76" s="76"/>
      <c r="V76" s="76"/>
      <c r="W76" s="76"/>
      <c r="X76" s="76"/>
      <c r="Y76" s="76"/>
      <c r="Z76" s="76"/>
      <c r="AA76" s="76">
        <v>1</v>
      </c>
      <c r="AB76" s="76"/>
      <c r="AC76" s="76"/>
      <c r="AD76" s="76"/>
      <c r="AE76" s="76"/>
      <c r="AF76" s="76"/>
      <c r="AG76" s="76">
        <v>1</v>
      </c>
      <c r="AH76" s="76"/>
      <c r="AI76" s="76"/>
      <c r="AJ76" s="76"/>
      <c r="AK76" s="76"/>
      <c r="AL76" s="76"/>
      <c r="AM76" s="76">
        <v>1</v>
      </c>
      <c r="AN76" s="76"/>
      <c r="AO76" s="3"/>
      <c r="AP76" s="3"/>
      <c r="AQ76" s="3"/>
      <c r="AR76" s="3"/>
      <c r="AS76" s="3"/>
      <c r="AT76" s="3"/>
      <c r="AU76" s="2"/>
      <c r="AV76" s="2"/>
      <c r="AW76" s="2"/>
      <c r="AX76" s="2"/>
      <c r="AY76" s="2"/>
      <c r="AZ76" s="2"/>
    </row>
    <row r="77" spans="2:55" s="78" customFormat="1" x14ac:dyDescent="0.3">
      <c r="B77" s="79"/>
      <c r="C77" s="7"/>
      <c r="D77" s="7"/>
      <c r="E77" s="3"/>
      <c r="F77" s="34"/>
      <c r="G77" s="34"/>
      <c r="H77" s="61"/>
      <c r="I77" s="34"/>
      <c r="J77" s="34"/>
      <c r="K77" s="61"/>
      <c r="L77" s="3"/>
      <c r="M77" s="61"/>
      <c r="N77" s="61"/>
      <c r="O77" s="61"/>
      <c r="P77" s="61"/>
      <c r="Q77" s="34"/>
      <c r="R77" s="61"/>
      <c r="S77" s="61"/>
      <c r="T77" s="34"/>
      <c r="U77" s="34"/>
      <c r="V77" s="61"/>
      <c r="W77" s="34"/>
      <c r="X77" s="61"/>
      <c r="Y77" s="61"/>
      <c r="Z77" s="61"/>
      <c r="AA77" s="61"/>
      <c r="AB77" s="34"/>
      <c r="AC77" s="61"/>
      <c r="AD77" s="61"/>
      <c r="AE77" s="61"/>
      <c r="AF77" s="61"/>
      <c r="AG77" s="61"/>
      <c r="AH77" s="61"/>
      <c r="AI77" s="61"/>
      <c r="AJ77" s="61"/>
      <c r="AK77" s="61"/>
      <c r="AL77" s="61"/>
      <c r="AM77" s="61"/>
      <c r="AN77" s="61"/>
      <c r="AO77" s="3"/>
      <c r="AP77" s="3"/>
      <c r="AQ77" s="3"/>
      <c r="AR77" s="3"/>
      <c r="AS77" s="3"/>
      <c r="AT77" s="3"/>
      <c r="AU77" s="4"/>
      <c r="AV77" s="4"/>
      <c r="AW77" s="4"/>
      <c r="AX77" s="4"/>
      <c r="AY77" s="4"/>
      <c r="AZ77" s="4"/>
    </row>
    <row r="78" spans="2:55" x14ac:dyDescent="0.3">
      <c r="B78" s="80" t="s">
        <v>19</v>
      </c>
      <c r="C78" s="81"/>
      <c r="D78" s="81"/>
      <c r="E78" s="81"/>
      <c r="F78" s="82">
        <f>H24</f>
        <v>5</v>
      </c>
      <c r="G78" s="83">
        <f t="shared" ref="G78:AN78" si="11">SUM(G79:G83)</f>
        <v>8</v>
      </c>
      <c r="H78" s="83">
        <f t="shared" si="11"/>
        <v>1</v>
      </c>
      <c r="I78" s="83">
        <f t="shared" si="11"/>
        <v>0</v>
      </c>
      <c r="J78" s="83">
        <f t="shared" si="11"/>
        <v>0</v>
      </c>
      <c r="K78" s="83">
        <f t="shared" si="11"/>
        <v>0</v>
      </c>
      <c r="L78" s="84">
        <f t="shared" si="11"/>
        <v>0</v>
      </c>
      <c r="M78" s="83">
        <f t="shared" si="11"/>
        <v>0</v>
      </c>
      <c r="N78" s="83">
        <f t="shared" si="11"/>
        <v>1</v>
      </c>
      <c r="O78" s="83">
        <f t="shared" si="11"/>
        <v>0</v>
      </c>
      <c r="P78" s="83">
        <f t="shared" si="11"/>
        <v>1</v>
      </c>
      <c r="Q78" s="83">
        <f t="shared" si="11"/>
        <v>0</v>
      </c>
      <c r="R78" s="83">
        <f t="shared" si="11"/>
        <v>1</v>
      </c>
      <c r="S78" s="83">
        <f t="shared" si="11"/>
        <v>0</v>
      </c>
      <c r="T78" s="83">
        <f t="shared" si="11"/>
        <v>0</v>
      </c>
      <c r="U78" s="83">
        <f t="shared" si="11"/>
        <v>0</v>
      </c>
      <c r="V78" s="83">
        <f t="shared" si="11"/>
        <v>0</v>
      </c>
      <c r="W78" s="83">
        <f t="shared" si="11"/>
        <v>0</v>
      </c>
      <c r="X78" s="83">
        <f t="shared" si="11"/>
        <v>0</v>
      </c>
      <c r="Y78" s="83">
        <f t="shared" si="11"/>
        <v>1</v>
      </c>
      <c r="Z78" s="83">
        <f t="shared" si="11"/>
        <v>0</v>
      </c>
      <c r="AA78" s="83">
        <f t="shared" si="11"/>
        <v>0</v>
      </c>
      <c r="AB78" s="83">
        <f t="shared" si="11"/>
        <v>0</v>
      </c>
      <c r="AC78" s="83">
        <f t="shared" si="11"/>
        <v>0</v>
      </c>
      <c r="AD78" s="83">
        <f t="shared" si="11"/>
        <v>0</v>
      </c>
      <c r="AE78" s="83">
        <f t="shared" si="11"/>
        <v>0</v>
      </c>
      <c r="AF78" s="83">
        <f t="shared" si="11"/>
        <v>1</v>
      </c>
      <c r="AG78" s="83">
        <f t="shared" si="11"/>
        <v>0</v>
      </c>
      <c r="AH78" s="83">
        <f t="shared" si="11"/>
        <v>1</v>
      </c>
      <c r="AI78" s="83">
        <f t="shared" si="11"/>
        <v>1</v>
      </c>
      <c r="AJ78" s="83">
        <f t="shared" si="11"/>
        <v>0</v>
      </c>
      <c r="AK78" s="83">
        <f t="shared" si="11"/>
        <v>0</v>
      </c>
      <c r="AL78" s="83">
        <f t="shared" si="11"/>
        <v>0</v>
      </c>
      <c r="AM78" s="83">
        <f t="shared" si="11"/>
        <v>0</v>
      </c>
      <c r="AN78" s="83">
        <f t="shared" si="11"/>
        <v>0</v>
      </c>
    </row>
    <row r="79" spans="2:55" outlineLevel="1" x14ac:dyDescent="0.3">
      <c r="B79" s="47" t="s">
        <v>294</v>
      </c>
      <c r="C79" s="81"/>
      <c r="D79" s="81"/>
      <c r="E79" s="81"/>
      <c r="F79" s="85"/>
      <c r="G79" s="76">
        <f>SUM(H79:AN79)</f>
        <v>3</v>
      </c>
      <c r="H79" s="86">
        <v>1</v>
      </c>
      <c r="I79" s="86"/>
      <c r="J79" s="86"/>
      <c r="K79" s="86"/>
      <c r="L79" s="87"/>
      <c r="M79" s="86"/>
      <c r="N79" s="86">
        <v>1</v>
      </c>
      <c r="O79" s="86"/>
      <c r="P79" s="86">
        <v>1</v>
      </c>
      <c r="Q79" s="86"/>
      <c r="R79" s="86"/>
      <c r="S79" s="86"/>
      <c r="T79" s="86"/>
      <c r="U79" s="86"/>
      <c r="V79" s="86"/>
      <c r="W79" s="86"/>
      <c r="X79" s="86"/>
      <c r="Y79" s="86"/>
      <c r="Z79" s="86"/>
      <c r="AA79" s="86"/>
      <c r="AB79" s="86"/>
      <c r="AC79" s="86"/>
      <c r="AD79" s="86"/>
      <c r="AE79" s="86"/>
      <c r="AF79" s="86"/>
      <c r="AG79" s="86"/>
      <c r="AH79" s="86"/>
      <c r="AI79" s="86"/>
      <c r="AJ79" s="86"/>
      <c r="AK79" s="86"/>
      <c r="AL79" s="86"/>
      <c r="AM79" s="86"/>
      <c r="AN79" s="86"/>
    </row>
    <row r="80" spans="2:55" outlineLevel="1" x14ac:dyDescent="0.3">
      <c r="B80" s="47" t="s">
        <v>295</v>
      </c>
      <c r="C80" s="81"/>
      <c r="D80" s="81"/>
      <c r="E80" s="81"/>
      <c r="F80" s="85"/>
      <c r="G80" s="76">
        <f>SUM(H80:AN80)</f>
        <v>1</v>
      </c>
      <c r="H80" s="86"/>
      <c r="I80" s="86"/>
      <c r="J80" s="86"/>
      <c r="K80" s="86"/>
      <c r="L80" s="87"/>
      <c r="M80" s="86"/>
      <c r="N80" s="86"/>
      <c r="O80" s="86"/>
      <c r="P80" s="86"/>
      <c r="Q80" s="86"/>
      <c r="R80" s="86"/>
      <c r="S80" s="86"/>
      <c r="T80" s="86"/>
      <c r="U80" s="86"/>
      <c r="V80" s="86"/>
      <c r="W80" s="86"/>
      <c r="X80" s="86"/>
      <c r="Y80" s="86"/>
      <c r="Z80" s="86"/>
      <c r="AA80" s="86"/>
      <c r="AB80" s="86"/>
      <c r="AC80" s="86"/>
      <c r="AD80" s="86"/>
      <c r="AE80" s="86"/>
      <c r="AF80" s="86"/>
      <c r="AG80" s="86"/>
      <c r="AH80" s="86">
        <v>1</v>
      </c>
      <c r="AI80" s="86"/>
      <c r="AJ80" s="86"/>
      <c r="AK80" s="86"/>
      <c r="AL80" s="86"/>
      <c r="AM80" s="86"/>
      <c r="AN80" s="86"/>
    </row>
    <row r="81" spans="2:40" outlineLevel="1" x14ac:dyDescent="0.3">
      <c r="B81" s="47" t="s">
        <v>298</v>
      </c>
      <c r="C81" s="81"/>
      <c r="D81" s="81"/>
      <c r="E81" s="81"/>
      <c r="F81" s="85"/>
      <c r="G81" s="76">
        <f>SUM(H81:AN81)</f>
        <v>1</v>
      </c>
      <c r="H81" s="86"/>
      <c r="I81" s="86"/>
      <c r="J81" s="86"/>
      <c r="K81" s="86"/>
      <c r="L81" s="87"/>
      <c r="M81" s="86"/>
      <c r="N81" s="86"/>
      <c r="O81" s="86"/>
      <c r="P81" s="86"/>
      <c r="Q81" s="86"/>
      <c r="R81" s="86"/>
      <c r="S81" s="86"/>
      <c r="T81" s="86"/>
      <c r="U81" s="86"/>
      <c r="V81" s="86"/>
      <c r="W81" s="86"/>
      <c r="X81" s="86"/>
      <c r="Y81" s="86">
        <v>1</v>
      </c>
      <c r="Z81" s="86"/>
      <c r="AA81" s="86"/>
      <c r="AB81" s="86"/>
      <c r="AC81" s="86"/>
      <c r="AD81" s="86"/>
      <c r="AE81" s="86"/>
      <c r="AF81" s="86"/>
      <c r="AG81" s="86"/>
      <c r="AH81" s="86"/>
      <c r="AI81" s="86"/>
      <c r="AJ81" s="86"/>
      <c r="AK81" s="86"/>
      <c r="AL81" s="86"/>
      <c r="AM81" s="86"/>
      <c r="AN81" s="86"/>
    </row>
    <row r="82" spans="2:40" outlineLevel="1" x14ac:dyDescent="0.3">
      <c r="B82" s="47" t="s">
        <v>299</v>
      </c>
      <c r="C82" s="81"/>
      <c r="D82" s="81"/>
      <c r="E82" s="81"/>
      <c r="F82" s="85"/>
      <c r="G82" s="76">
        <f>SUM(H82:AN82)</f>
        <v>2</v>
      </c>
      <c r="H82" s="86"/>
      <c r="I82" s="86"/>
      <c r="J82" s="86"/>
      <c r="K82" s="86"/>
      <c r="L82" s="87"/>
      <c r="M82" s="86"/>
      <c r="N82" s="86"/>
      <c r="O82" s="86"/>
      <c r="P82" s="86"/>
      <c r="Q82" s="86"/>
      <c r="R82" s="86">
        <v>1</v>
      </c>
      <c r="S82" s="86"/>
      <c r="T82" s="86"/>
      <c r="U82" s="86"/>
      <c r="V82" s="86"/>
      <c r="W82" s="86"/>
      <c r="X82" s="86"/>
      <c r="Y82" s="86"/>
      <c r="Z82" s="86"/>
      <c r="AA82" s="86"/>
      <c r="AB82" s="86"/>
      <c r="AC82" s="86"/>
      <c r="AD82" s="86"/>
      <c r="AE82" s="86"/>
      <c r="AF82" s="86"/>
      <c r="AG82" s="86"/>
      <c r="AH82" s="86"/>
      <c r="AI82" s="86">
        <v>1</v>
      </c>
      <c r="AJ82" s="86"/>
      <c r="AK82" s="86"/>
      <c r="AL82" s="86"/>
      <c r="AM82" s="86"/>
      <c r="AN82" s="86"/>
    </row>
    <row r="83" spans="2:40" outlineLevel="1" x14ac:dyDescent="0.3">
      <c r="B83" s="47" t="s">
        <v>301</v>
      </c>
      <c r="C83" s="81"/>
      <c r="D83" s="81"/>
      <c r="E83" s="81"/>
      <c r="F83" s="85"/>
      <c r="G83" s="76">
        <f>SUM(H83:AN83)</f>
        <v>1</v>
      </c>
      <c r="H83" s="86"/>
      <c r="I83" s="86"/>
      <c r="J83" s="86"/>
      <c r="K83" s="86"/>
      <c r="L83" s="87"/>
      <c r="M83" s="86"/>
      <c r="N83" s="86"/>
      <c r="O83" s="86"/>
      <c r="P83" s="86"/>
      <c r="Q83" s="86"/>
      <c r="R83" s="86"/>
      <c r="S83" s="86"/>
      <c r="T83" s="86"/>
      <c r="U83" s="86"/>
      <c r="V83" s="86"/>
      <c r="W83" s="86"/>
      <c r="X83" s="86"/>
      <c r="Y83" s="86"/>
      <c r="Z83" s="86"/>
      <c r="AA83" s="86"/>
      <c r="AB83" s="86"/>
      <c r="AC83" s="86"/>
      <c r="AD83" s="86"/>
      <c r="AE83" s="86"/>
      <c r="AF83" s="86">
        <v>1</v>
      </c>
      <c r="AG83" s="86"/>
      <c r="AH83" s="86"/>
      <c r="AI83" s="86"/>
      <c r="AJ83" s="86"/>
      <c r="AK83" s="86"/>
      <c r="AL83" s="86"/>
      <c r="AM83" s="86"/>
      <c r="AN83" s="86"/>
    </row>
    <row r="84" spans="2:40" s="90" customFormat="1" x14ac:dyDescent="0.3">
      <c r="B84" s="79"/>
      <c r="C84" s="88"/>
      <c r="D84" s="88"/>
      <c r="E84" s="88"/>
      <c r="F84" s="89"/>
      <c r="G84" s="34"/>
      <c r="H84" s="89"/>
      <c r="I84" s="89"/>
      <c r="J84" s="89"/>
      <c r="K84" s="89"/>
      <c r="L84" s="88"/>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row>
    <row r="85" spans="2:40" x14ac:dyDescent="0.3">
      <c r="B85" s="80" t="s">
        <v>28</v>
      </c>
      <c r="C85" s="81"/>
      <c r="D85" s="81"/>
      <c r="E85" s="81"/>
      <c r="F85" s="82">
        <f>H34</f>
        <v>6</v>
      </c>
      <c r="G85" s="83">
        <f t="shared" ref="G85:AN85" si="12">SUM(G86:G91)</f>
        <v>13</v>
      </c>
      <c r="H85" s="83">
        <f t="shared" si="12"/>
        <v>2</v>
      </c>
      <c r="I85" s="83">
        <f t="shared" si="12"/>
        <v>2</v>
      </c>
      <c r="J85" s="83">
        <f t="shared" si="12"/>
        <v>1</v>
      </c>
      <c r="K85" s="83">
        <f t="shared" si="12"/>
        <v>0</v>
      </c>
      <c r="L85" s="84">
        <f t="shared" si="12"/>
        <v>0</v>
      </c>
      <c r="M85" s="83">
        <f t="shared" si="12"/>
        <v>0</v>
      </c>
      <c r="N85" s="83">
        <f t="shared" si="12"/>
        <v>0</v>
      </c>
      <c r="O85" s="83">
        <f t="shared" si="12"/>
        <v>1</v>
      </c>
      <c r="P85" s="83">
        <f t="shared" si="12"/>
        <v>0</v>
      </c>
      <c r="Q85" s="83">
        <f t="shared" si="12"/>
        <v>0</v>
      </c>
      <c r="R85" s="83">
        <f t="shared" si="12"/>
        <v>0</v>
      </c>
      <c r="S85" s="83">
        <f t="shared" si="12"/>
        <v>0</v>
      </c>
      <c r="T85" s="83">
        <f t="shared" si="12"/>
        <v>1</v>
      </c>
      <c r="U85" s="83">
        <f t="shared" si="12"/>
        <v>0</v>
      </c>
      <c r="V85" s="83">
        <f t="shared" si="12"/>
        <v>1</v>
      </c>
      <c r="W85" s="83">
        <f t="shared" si="12"/>
        <v>1</v>
      </c>
      <c r="X85" s="83">
        <f t="shared" si="12"/>
        <v>0</v>
      </c>
      <c r="Y85" s="83">
        <f t="shared" si="12"/>
        <v>0</v>
      </c>
      <c r="Z85" s="83">
        <f t="shared" si="12"/>
        <v>1</v>
      </c>
      <c r="AA85" s="83">
        <f t="shared" si="12"/>
        <v>0</v>
      </c>
      <c r="AB85" s="83">
        <f t="shared" si="12"/>
        <v>0</v>
      </c>
      <c r="AC85" s="83">
        <f t="shared" si="12"/>
        <v>1</v>
      </c>
      <c r="AD85" s="83">
        <f t="shared" si="12"/>
        <v>0</v>
      </c>
      <c r="AE85" s="83">
        <f t="shared" si="12"/>
        <v>0</v>
      </c>
      <c r="AF85" s="83">
        <f t="shared" si="12"/>
        <v>1</v>
      </c>
      <c r="AG85" s="83">
        <f t="shared" si="12"/>
        <v>0</v>
      </c>
      <c r="AH85" s="83">
        <f t="shared" si="12"/>
        <v>0</v>
      </c>
      <c r="AI85" s="83">
        <f t="shared" si="12"/>
        <v>0</v>
      </c>
      <c r="AJ85" s="83">
        <f t="shared" si="12"/>
        <v>0</v>
      </c>
      <c r="AK85" s="83">
        <f t="shared" si="12"/>
        <v>0</v>
      </c>
      <c r="AL85" s="83">
        <f t="shared" si="12"/>
        <v>0</v>
      </c>
      <c r="AM85" s="83">
        <f t="shared" si="12"/>
        <v>0</v>
      </c>
      <c r="AN85" s="83">
        <f t="shared" si="12"/>
        <v>1</v>
      </c>
    </row>
    <row r="86" spans="2:40" outlineLevel="1" x14ac:dyDescent="0.3">
      <c r="B86" s="47" t="s">
        <v>303</v>
      </c>
      <c r="C86" s="81"/>
      <c r="D86" s="81"/>
      <c r="E86" s="81"/>
      <c r="F86" s="91"/>
      <c r="G86" s="76">
        <f t="shared" ref="G86:G91" si="13">SUM(H86:AN86)</f>
        <v>2</v>
      </c>
      <c r="H86" s="86"/>
      <c r="I86" s="86"/>
      <c r="J86" s="86"/>
      <c r="K86" s="86"/>
      <c r="L86" s="87"/>
      <c r="M86" s="86"/>
      <c r="N86" s="86"/>
      <c r="O86" s="86"/>
      <c r="P86" s="86"/>
      <c r="Q86" s="86"/>
      <c r="R86" s="86"/>
      <c r="S86" s="86"/>
      <c r="T86" s="86"/>
      <c r="U86" s="86"/>
      <c r="V86" s="86"/>
      <c r="W86" s="86"/>
      <c r="X86" s="86"/>
      <c r="Y86" s="86"/>
      <c r="Z86" s="86"/>
      <c r="AA86" s="86"/>
      <c r="AB86" s="86"/>
      <c r="AC86" s="86">
        <v>1</v>
      </c>
      <c r="AD86" s="86"/>
      <c r="AE86" s="86"/>
      <c r="AF86" s="86">
        <v>1</v>
      </c>
      <c r="AG86" s="86"/>
      <c r="AH86" s="86"/>
      <c r="AI86" s="86"/>
      <c r="AJ86" s="86"/>
      <c r="AK86" s="86"/>
      <c r="AL86" s="86"/>
      <c r="AM86" s="86"/>
      <c r="AN86" s="86"/>
    </row>
    <row r="87" spans="2:40" outlineLevel="1" x14ac:dyDescent="0.3">
      <c r="B87" s="47" t="s">
        <v>305</v>
      </c>
      <c r="C87" s="81"/>
      <c r="D87" s="81"/>
      <c r="E87" s="81"/>
      <c r="F87" s="91"/>
      <c r="G87" s="76">
        <f t="shared" si="13"/>
        <v>1</v>
      </c>
      <c r="H87" s="86">
        <v>1</v>
      </c>
      <c r="I87" s="86"/>
      <c r="J87" s="86"/>
      <c r="K87" s="86"/>
      <c r="L87" s="87"/>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row>
    <row r="88" spans="2:40" outlineLevel="1" x14ac:dyDescent="0.3">
      <c r="B88" s="47" t="s">
        <v>307</v>
      </c>
      <c r="C88" s="81"/>
      <c r="D88" s="81"/>
      <c r="E88" s="81"/>
      <c r="F88" s="91"/>
      <c r="G88" s="76">
        <f t="shared" si="13"/>
        <v>5</v>
      </c>
      <c r="H88" s="86">
        <v>1</v>
      </c>
      <c r="I88" s="86">
        <v>1</v>
      </c>
      <c r="J88" s="86"/>
      <c r="K88" s="86"/>
      <c r="L88" s="87"/>
      <c r="M88" s="86"/>
      <c r="N88" s="86"/>
      <c r="O88" s="86">
        <v>1</v>
      </c>
      <c r="P88" s="86"/>
      <c r="Q88" s="86"/>
      <c r="R88" s="86"/>
      <c r="S88" s="86"/>
      <c r="T88" s="86"/>
      <c r="U88" s="86"/>
      <c r="V88" s="86">
        <v>1</v>
      </c>
      <c r="W88" s="86"/>
      <c r="X88" s="86"/>
      <c r="Y88" s="86"/>
      <c r="Z88" s="86"/>
      <c r="AA88" s="86"/>
      <c r="AB88" s="86"/>
      <c r="AC88" s="86"/>
      <c r="AD88" s="86"/>
      <c r="AE88" s="86"/>
      <c r="AF88" s="86"/>
      <c r="AG88" s="86"/>
      <c r="AH88" s="86"/>
      <c r="AI88" s="86"/>
      <c r="AJ88" s="86"/>
      <c r="AK88" s="86"/>
      <c r="AL88" s="86"/>
      <c r="AM88" s="86"/>
      <c r="AN88" s="86">
        <v>1</v>
      </c>
    </row>
    <row r="89" spans="2:40" outlineLevel="1" x14ac:dyDescent="0.3">
      <c r="B89" s="47" t="s">
        <v>308</v>
      </c>
      <c r="C89" s="81"/>
      <c r="D89" s="81"/>
      <c r="E89" s="81"/>
      <c r="F89" s="91"/>
      <c r="G89" s="76">
        <f t="shared" si="13"/>
        <v>1</v>
      </c>
      <c r="H89" s="86"/>
      <c r="I89" s="86"/>
      <c r="J89" s="86"/>
      <c r="K89" s="86"/>
      <c r="L89" s="87"/>
      <c r="M89" s="86"/>
      <c r="N89" s="86"/>
      <c r="O89" s="86"/>
      <c r="P89" s="86"/>
      <c r="Q89" s="86"/>
      <c r="R89" s="86"/>
      <c r="S89" s="86"/>
      <c r="T89" s="86"/>
      <c r="U89" s="86"/>
      <c r="V89" s="86"/>
      <c r="W89" s="86">
        <v>1</v>
      </c>
      <c r="X89" s="86"/>
      <c r="Y89" s="86"/>
      <c r="Z89" s="86"/>
      <c r="AA89" s="86"/>
      <c r="AB89" s="86"/>
      <c r="AC89" s="86"/>
      <c r="AD89" s="86"/>
      <c r="AE89" s="86"/>
      <c r="AF89" s="86"/>
      <c r="AG89" s="86"/>
      <c r="AH89" s="86"/>
      <c r="AI89" s="86"/>
      <c r="AJ89" s="86"/>
      <c r="AK89" s="86"/>
      <c r="AL89" s="86"/>
      <c r="AM89" s="86"/>
      <c r="AN89" s="86"/>
    </row>
    <row r="90" spans="2:40" outlineLevel="1" x14ac:dyDescent="0.3">
      <c r="B90" s="47" t="s">
        <v>310</v>
      </c>
      <c r="C90" s="81"/>
      <c r="D90" s="81"/>
      <c r="E90" s="81"/>
      <c r="F90" s="91"/>
      <c r="G90" s="76">
        <f t="shared" si="13"/>
        <v>3</v>
      </c>
      <c r="H90" s="86"/>
      <c r="I90" s="86"/>
      <c r="J90" s="86">
        <v>1</v>
      </c>
      <c r="K90" s="86"/>
      <c r="L90" s="87"/>
      <c r="M90" s="86"/>
      <c r="N90" s="86"/>
      <c r="O90" s="86"/>
      <c r="P90" s="86"/>
      <c r="Q90" s="86"/>
      <c r="R90" s="86"/>
      <c r="S90" s="86"/>
      <c r="T90" s="86">
        <v>1</v>
      </c>
      <c r="U90" s="86"/>
      <c r="V90" s="86"/>
      <c r="W90" s="86"/>
      <c r="X90" s="86"/>
      <c r="Y90" s="86"/>
      <c r="Z90" s="86">
        <v>1</v>
      </c>
      <c r="AA90" s="86"/>
      <c r="AB90" s="86"/>
      <c r="AC90" s="86"/>
      <c r="AD90" s="86"/>
      <c r="AE90" s="86"/>
      <c r="AF90" s="86"/>
      <c r="AG90" s="86"/>
      <c r="AH90" s="86"/>
      <c r="AI90" s="86"/>
      <c r="AJ90" s="86"/>
      <c r="AK90" s="86"/>
      <c r="AL90" s="86"/>
      <c r="AM90" s="86"/>
      <c r="AN90" s="86"/>
    </row>
    <row r="91" spans="2:40" outlineLevel="1" x14ac:dyDescent="0.3">
      <c r="B91" s="47" t="s">
        <v>311</v>
      </c>
      <c r="C91" s="81"/>
      <c r="D91" s="81"/>
      <c r="E91" s="81"/>
      <c r="F91" s="91"/>
      <c r="G91" s="76">
        <f t="shared" si="13"/>
        <v>1</v>
      </c>
      <c r="H91" s="86"/>
      <c r="I91" s="86">
        <v>1</v>
      </c>
      <c r="J91" s="86"/>
      <c r="K91" s="86"/>
      <c r="L91" s="87"/>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row>
    <row r="92" spans="2:40" s="90" customFormat="1" x14ac:dyDescent="0.3">
      <c r="B92" s="79"/>
      <c r="C92" s="88"/>
      <c r="D92" s="88"/>
      <c r="E92" s="88"/>
      <c r="F92" s="92"/>
      <c r="G92" s="34"/>
      <c r="H92" s="89"/>
      <c r="I92" s="89"/>
      <c r="J92" s="89"/>
      <c r="K92" s="89"/>
      <c r="L92" s="88"/>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row>
    <row r="93" spans="2:40" x14ac:dyDescent="0.3">
      <c r="B93" s="80" t="s">
        <v>38</v>
      </c>
      <c r="C93" s="81"/>
      <c r="D93" s="81"/>
      <c r="E93" s="81"/>
      <c r="F93" s="82">
        <f>H44</f>
        <v>10</v>
      </c>
      <c r="G93" s="83">
        <f t="shared" ref="G93:AN93" si="14">SUM(G94:G103)</f>
        <v>17</v>
      </c>
      <c r="H93" s="83">
        <f t="shared" si="14"/>
        <v>3</v>
      </c>
      <c r="I93" s="83">
        <f t="shared" si="14"/>
        <v>2</v>
      </c>
      <c r="J93" s="83">
        <f t="shared" si="14"/>
        <v>0</v>
      </c>
      <c r="K93" s="83">
        <f t="shared" si="14"/>
        <v>1</v>
      </c>
      <c r="L93" s="84">
        <f t="shared" si="14"/>
        <v>0</v>
      </c>
      <c r="M93" s="83">
        <f t="shared" si="14"/>
        <v>1</v>
      </c>
      <c r="N93" s="83">
        <f t="shared" si="14"/>
        <v>0</v>
      </c>
      <c r="O93" s="83">
        <f t="shared" si="14"/>
        <v>0</v>
      </c>
      <c r="P93" s="83">
        <f t="shared" si="14"/>
        <v>0</v>
      </c>
      <c r="Q93" s="83">
        <f t="shared" si="14"/>
        <v>1</v>
      </c>
      <c r="R93" s="83">
        <f t="shared" si="14"/>
        <v>0</v>
      </c>
      <c r="S93" s="83">
        <f t="shared" si="14"/>
        <v>0</v>
      </c>
      <c r="T93" s="83">
        <f t="shared" si="14"/>
        <v>0</v>
      </c>
      <c r="U93" s="83">
        <f t="shared" si="14"/>
        <v>1</v>
      </c>
      <c r="V93" s="83">
        <f t="shared" si="14"/>
        <v>0</v>
      </c>
      <c r="W93" s="83">
        <f t="shared" si="14"/>
        <v>0</v>
      </c>
      <c r="X93" s="83">
        <f t="shared" si="14"/>
        <v>0</v>
      </c>
      <c r="Y93" s="83">
        <f t="shared" si="14"/>
        <v>1</v>
      </c>
      <c r="Z93" s="83">
        <f t="shared" si="14"/>
        <v>1</v>
      </c>
      <c r="AA93" s="83">
        <f t="shared" si="14"/>
        <v>0</v>
      </c>
      <c r="AB93" s="83">
        <f t="shared" si="14"/>
        <v>1</v>
      </c>
      <c r="AC93" s="83">
        <f t="shared" si="14"/>
        <v>0</v>
      </c>
      <c r="AD93" s="83">
        <f t="shared" si="14"/>
        <v>1</v>
      </c>
      <c r="AE93" s="83">
        <f t="shared" si="14"/>
        <v>1</v>
      </c>
      <c r="AF93" s="83">
        <f t="shared" si="14"/>
        <v>0</v>
      </c>
      <c r="AG93" s="83">
        <f t="shared" si="14"/>
        <v>0</v>
      </c>
      <c r="AH93" s="83">
        <f t="shared" si="14"/>
        <v>0</v>
      </c>
      <c r="AI93" s="83">
        <f t="shared" si="14"/>
        <v>0</v>
      </c>
      <c r="AJ93" s="83">
        <f t="shared" si="14"/>
        <v>1</v>
      </c>
      <c r="AK93" s="83">
        <f t="shared" si="14"/>
        <v>1</v>
      </c>
      <c r="AL93" s="83">
        <f t="shared" si="14"/>
        <v>1</v>
      </c>
      <c r="AM93" s="83">
        <f t="shared" si="14"/>
        <v>0</v>
      </c>
      <c r="AN93" s="83">
        <f t="shared" si="14"/>
        <v>0</v>
      </c>
    </row>
    <row r="94" spans="2:40" outlineLevel="1" x14ac:dyDescent="0.3">
      <c r="B94" s="47" t="s">
        <v>312</v>
      </c>
      <c r="C94" s="81"/>
      <c r="D94" s="81"/>
      <c r="E94" s="81"/>
      <c r="F94" s="91"/>
      <c r="G94" s="76">
        <f t="shared" ref="G94:G103" si="15">SUM(H94:AN94)</f>
        <v>2</v>
      </c>
      <c r="H94" s="86"/>
      <c r="I94" s="86">
        <v>1</v>
      </c>
      <c r="J94" s="86"/>
      <c r="K94" s="86"/>
      <c r="L94" s="87"/>
      <c r="M94" s="86"/>
      <c r="N94" s="86"/>
      <c r="O94" s="86"/>
      <c r="P94" s="86"/>
      <c r="Q94" s="86"/>
      <c r="R94" s="86"/>
      <c r="S94" s="86"/>
      <c r="T94" s="86"/>
      <c r="U94" s="86"/>
      <c r="V94" s="86"/>
      <c r="W94" s="86"/>
      <c r="X94" s="86"/>
      <c r="Y94" s="86"/>
      <c r="Z94" s="86"/>
      <c r="AA94" s="86"/>
      <c r="AB94" s="86"/>
      <c r="AC94" s="86"/>
      <c r="AD94" s="86"/>
      <c r="AE94" s="86"/>
      <c r="AF94" s="86"/>
      <c r="AG94" s="86"/>
      <c r="AH94" s="86"/>
      <c r="AI94" s="86"/>
      <c r="AJ94" s="86">
        <v>1</v>
      </c>
      <c r="AK94" s="86"/>
      <c r="AL94" s="86"/>
      <c r="AM94" s="86"/>
      <c r="AN94" s="86"/>
    </row>
    <row r="95" spans="2:40" outlineLevel="1" x14ac:dyDescent="0.3">
      <c r="B95" s="47" t="s">
        <v>313</v>
      </c>
      <c r="C95" s="81"/>
      <c r="D95" s="81"/>
      <c r="E95" s="81"/>
      <c r="F95" s="91"/>
      <c r="G95" s="76">
        <f t="shared" si="15"/>
        <v>2</v>
      </c>
      <c r="H95" s="86"/>
      <c r="I95" s="86">
        <v>1</v>
      </c>
      <c r="J95" s="86"/>
      <c r="K95" s="86"/>
      <c r="L95" s="87"/>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v>1</v>
      </c>
      <c r="AL95" s="86"/>
      <c r="AM95" s="86"/>
      <c r="AN95" s="86"/>
    </row>
    <row r="96" spans="2:40" outlineLevel="1" x14ac:dyDescent="0.3">
      <c r="B96" s="47" t="s">
        <v>315</v>
      </c>
      <c r="C96" s="81"/>
      <c r="D96" s="81"/>
      <c r="E96" s="81"/>
      <c r="F96" s="91"/>
      <c r="G96" s="76">
        <f t="shared" si="15"/>
        <v>1</v>
      </c>
      <c r="H96" s="86">
        <v>1</v>
      </c>
      <c r="I96" s="86"/>
      <c r="J96" s="86"/>
      <c r="K96" s="86"/>
      <c r="L96" s="87"/>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row>
    <row r="97" spans="2:40" outlineLevel="1" x14ac:dyDescent="0.3">
      <c r="B97" s="47" t="s">
        <v>316</v>
      </c>
      <c r="C97" s="81"/>
      <c r="D97" s="81"/>
      <c r="E97" s="81"/>
      <c r="F97" s="91"/>
      <c r="G97" s="76">
        <f t="shared" si="15"/>
        <v>1</v>
      </c>
      <c r="H97" s="86"/>
      <c r="I97" s="86"/>
      <c r="J97" s="86"/>
      <c r="K97" s="86"/>
      <c r="L97" s="87"/>
      <c r="M97" s="86"/>
      <c r="N97" s="86"/>
      <c r="O97" s="86"/>
      <c r="P97" s="86"/>
      <c r="Q97" s="86"/>
      <c r="R97" s="86"/>
      <c r="S97" s="86"/>
      <c r="T97" s="86"/>
      <c r="U97" s="86"/>
      <c r="V97" s="86"/>
      <c r="W97" s="86"/>
      <c r="X97" s="86"/>
      <c r="Y97" s="86"/>
      <c r="Z97" s="86"/>
      <c r="AA97" s="86"/>
      <c r="AB97" s="86">
        <v>1</v>
      </c>
      <c r="AC97" s="86"/>
      <c r="AD97" s="86"/>
      <c r="AE97" s="86"/>
      <c r="AF97" s="86"/>
      <c r="AG97" s="86"/>
      <c r="AH97" s="86"/>
      <c r="AI97" s="86"/>
      <c r="AJ97" s="86"/>
      <c r="AK97" s="86"/>
      <c r="AL97" s="86"/>
      <c r="AM97" s="86"/>
      <c r="AN97" s="86"/>
    </row>
    <row r="98" spans="2:40" outlineLevel="1" x14ac:dyDescent="0.3">
      <c r="B98" s="47" t="s">
        <v>317</v>
      </c>
      <c r="C98" s="81"/>
      <c r="D98" s="81"/>
      <c r="E98" s="81"/>
      <c r="F98" s="91"/>
      <c r="G98" s="76">
        <f t="shared" si="15"/>
        <v>3</v>
      </c>
      <c r="H98" s="86"/>
      <c r="I98" s="86"/>
      <c r="J98" s="86"/>
      <c r="K98" s="86">
        <v>1</v>
      </c>
      <c r="L98" s="87"/>
      <c r="M98" s="86">
        <v>1</v>
      </c>
      <c r="N98" s="86"/>
      <c r="O98" s="86"/>
      <c r="P98" s="86"/>
      <c r="Q98" s="86"/>
      <c r="R98" s="86"/>
      <c r="S98" s="86"/>
      <c r="T98" s="86"/>
      <c r="U98" s="86"/>
      <c r="V98" s="86"/>
      <c r="W98" s="86"/>
      <c r="X98" s="86"/>
      <c r="Y98" s="86"/>
      <c r="Z98" s="86">
        <v>1</v>
      </c>
      <c r="AA98" s="86"/>
      <c r="AB98" s="86"/>
      <c r="AC98" s="86"/>
      <c r="AD98" s="86"/>
      <c r="AE98" s="86"/>
      <c r="AF98" s="86"/>
      <c r="AG98" s="86"/>
      <c r="AH98" s="86"/>
      <c r="AI98" s="86"/>
      <c r="AJ98" s="86"/>
      <c r="AK98" s="86"/>
      <c r="AL98" s="86"/>
      <c r="AM98" s="86"/>
      <c r="AN98" s="86"/>
    </row>
    <row r="99" spans="2:40" outlineLevel="1" x14ac:dyDescent="0.3">
      <c r="B99" s="47" t="s">
        <v>318</v>
      </c>
      <c r="C99" s="81"/>
      <c r="D99" s="81"/>
      <c r="E99" s="81"/>
      <c r="F99" s="91"/>
      <c r="G99" s="76">
        <f t="shared" si="15"/>
        <v>1</v>
      </c>
      <c r="H99" s="86"/>
      <c r="I99" s="86"/>
      <c r="J99" s="86"/>
      <c r="K99" s="86"/>
      <c r="L99" s="87"/>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v>1</v>
      </c>
      <c r="AM99" s="86"/>
      <c r="AN99" s="86"/>
    </row>
    <row r="100" spans="2:40" outlineLevel="1" x14ac:dyDescent="0.3">
      <c r="B100" s="47" t="s">
        <v>319</v>
      </c>
      <c r="C100" s="81"/>
      <c r="D100" s="81"/>
      <c r="E100" s="81"/>
      <c r="F100" s="91"/>
      <c r="G100" s="76">
        <f t="shared" si="15"/>
        <v>1</v>
      </c>
      <c r="H100" s="86">
        <v>1</v>
      </c>
      <c r="I100" s="86"/>
      <c r="J100" s="86"/>
      <c r="K100" s="86"/>
      <c r="L100" s="87"/>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row>
    <row r="101" spans="2:40" outlineLevel="1" x14ac:dyDescent="0.3">
      <c r="B101" s="47" t="s">
        <v>323</v>
      </c>
      <c r="C101" s="81"/>
      <c r="D101" s="81"/>
      <c r="E101" s="81"/>
      <c r="F101" s="91"/>
      <c r="G101" s="76">
        <f t="shared" si="15"/>
        <v>3</v>
      </c>
      <c r="H101" s="86"/>
      <c r="I101" s="86"/>
      <c r="J101" s="86"/>
      <c r="K101" s="86"/>
      <c r="L101" s="87"/>
      <c r="M101" s="86"/>
      <c r="N101" s="86"/>
      <c r="O101" s="86"/>
      <c r="P101" s="86"/>
      <c r="Q101" s="86"/>
      <c r="R101" s="86"/>
      <c r="S101" s="86"/>
      <c r="T101" s="86"/>
      <c r="U101" s="86"/>
      <c r="V101" s="86"/>
      <c r="W101" s="86"/>
      <c r="X101" s="86"/>
      <c r="Y101" s="86">
        <v>1</v>
      </c>
      <c r="Z101" s="86"/>
      <c r="AA101" s="86"/>
      <c r="AB101" s="86"/>
      <c r="AC101" s="86"/>
      <c r="AD101" s="86">
        <v>1</v>
      </c>
      <c r="AE101" s="86">
        <v>1</v>
      </c>
      <c r="AF101" s="86"/>
      <c r="AG101" s="86"/>
      <c r="AH101" s="86"/>
      <c r="AI101" s="86"/>
      <c r="AJ101" s="86"/>
      <c r="AK101" s="86"/>
      <c r="AL101" s="86"/>
      <c r="AM101" s="86"/>
      <c r="AN101" s="86"/>
    </row>
    <row r="102" spans="2:40" outlineLevel="1" x14ac:dyDescent="0.3">
      <c r="B102" s="47" t="s">
        <v>325</v>
      </c>
      <c r="C102" s="81"/>
      <c r="D102" s="81"/>
      <c r="E102" s="81"/>
      <c r="F102" s="91"/>
      <c r="G102" s="76">
        <f t="shared" si="15"/>
        <v>2</v>
      </c>
      <c r="H102" s="86">
        <v>1</v>
      </c>
      <c r="I102" s="86"/>
      <c r="J102" s="86"/>
      <c r="K102" s="86"/>
      <c r="L102" s="87"/>
      <c r="M102" s="86"/>
      <c r="N102" s="86"/>
      <c r="O102" s="86"/>
      <c r="P102" s="86"/>
      <c r="Q102" s="86"/>
      <c r="R102" s="86"/>
      <c r="S102" s="86"/>
      <c r="T102" s="86"/>
      <c r="U102" s="86">
        <v>1</v>
      </c>
      <c r="V102" s="86"/>
      <c r="W102" s="86"/>
      <c r="X102" s="86"/>
      <c r="Y102" s="86"/>
      <c r="Z102" s="86"/>
      <c r="AA102" s="86"/>
      <c r="AB102" s="86"/>
      <c r="AC102" s="86"/>
      <c r="AD102" s="86"/>
      <c r="AE102" s="86"/>
      <c r="AF102" s="86"/>
      <c r="AG102" s="86"/>
      <c r="AH102" s="86"/>
      <c r="AI102" s="86"/>
      <c r="AJ102" s="86"/>
      <c r="AK102" s="86"/>
      <c r="AL102" s="86"/>
      <c r="AM102" s="86"/>
      <c r="AN102" s="86"/>
    </row>
    <row r="103" spans="2:40" outlineLevel="1" x14ac:dyDescent="0.3">
      <c r="B103" s="47" t="s">
        <v>326</v>
      </c>
      <c r="C103" s="81"/>
      <c r="D103" s="81"/>
      <c r="E103" s="81"/>
      <c r="F103" s="91"/>
      <c r="G103" s="76">
        <f t="shared" si="15"/>
        <v>1</v>
      </c>
      <c r="H103" s="86"/>
      <c r="I103" s="86"/>
      <c r="J103" s="86"/>
      <c r="K103" s="86"/>
      <c r="L103" s="87"/>
      <c r="M103" s="86"/>
      <c r="N103" s="86"/>
      <c r="O103" s="86"/>
      <c r="P103" s="86"/>
      <c r="Q103" s="86">
        <v>1</v>
      </c>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row>
    <row r="104" spans="2:40" x14ac:dyDescent="0.3">
      <c r="B104" s="93"/>
      <c r="C104" s="94"/>
      <c r="D104" s="94"/>
      <c r="E104" s="94"/>
      <c r="F104" s="95"/>
      <c r="G104" s="95"/>
      <c r="H104" s="95"/>
      <c r="I104" s="95"/>
      <c r="J104" s="95"/>
      <c r="K104" s="95"/>
      <c r="L104" s="94"/>
      <c r="M104" s="95"/>
      <c r="N104" s="95"/>
      <c r="O104" s="95"/>
      <c r="P104" s="95"/>
      <c r="Q104" s="95"/>
      <c r="R104" s="95"/>
      <c r="S104" s="95"/>
      <c r="T104" s="95"/>
      <c r="U104" s="95"/>
      <c r="V104" s="95"/>
      <c r="W104" s="95"/>
      <c r="X104" s="95"/>
      <c r="Y104" s="95"/>
      <c r="Z104" s="95"/>
      <c r="AA104" s="95"/>
      <c r="AB104" s="95"/>
      <c r="AC104" s="95"/>
      <c r="AD104" s="95"/>
      <c r="AE104" s="95"/>
      <c r="AF104" s="95"/>
      <c r="AG104" s="95"/>
      <c r="AH104" s="95"/>
      <c r="AI104" s="95"/>
      <c r="AJ104" s="95"/>
      <c r="AK104" s="95"/>
      <c r="AL104" s="95"/>
      <c r="AM104" s="95"/>
      <c r="AN104" s="95"/>
    </row>
    <row r="106" spans="2:40" x14ac:dyDescent="0.3">
      <c r="B106" t="s">
        <v>147</v>
      </c>
    </row>
    <row r="107" spans="2:40" x14ac:dyDescent="0.3">
      <c r="B107" t="s">
        <v>144</v>
      </c>
    </row>
    <row r="108" spans="2:40" x14ac:dyDescent="0.3">
      <c r="B108" t="s">
        <v>145</v>
      </c>
    </row>
    <row r="109" spans="2:40" x14ac:dyDescent="0.3">
      <c r="B109" t="s">
        <v>146</v>
      </c>
    </row>
    <row r="111" spans="2:40" x14ac:dyDescent="0.3">
      <c r="B111" s="96" t="s">
        <v>65</v>
      </c>
    </row>
    <row r="112" spans="2:40" x14ac:dyDescent="0.3">
      <c r="B112" s="90" t="s">
        <v>77</v>
      </c>
    </row>
    <row r="113" spans="2:2" x14ac:dyDescent="0.3">
      <c r="B113" s="90" t="s">
        <v>66</v>
      </c>
    </row>
    <row r="114" spans="2:2" x14ac:dyDescent="0.3">
      <c r="B114" s="56" t="s">
        <v>228</v>
      </c>
    </row>
    <row r="115" spans="2:2" x14ac:dyDescent="0.3">
      <c r="B115" s="90" t="s">
        <v>76</v>
      </c>
    </row>
    <row r="116" spans="2:2" x14ac:dyDescent="0.3">
      <c r="B116" t="s">
        <v>89</v>
      </c>
    </row>
    <row r="120" spans="2:2" x14ac:dyDescent="0.3">
      <c r="B120" s="90"/>
    </row>
    <row r="121" spans="2:2" x14ac:dyDescent="0.3">
      <c r="B121" s="56"/>
    </row>
    <row r="122" spans="2:2" x14ac:dyDescent="0.3">
      <c r="B122" s="7"/>
    </row>
    <row r="123" spans="2:2" x14ac:dyDescent="0.3">
      <c r="B123" s="90"/>
    </row>
    <row r="124" spans="2:2" x14ac:dyDescent="0.3">
      <c r="B124" s="90"/>
    </row>
    <row r="125" spans="2:2" x14ac:dyDescent="0.3">
      <c r="B125" s="7"/>
    </row>
  </sheetData>
  <mergeCells count="8">
    <mergeCell ref="B67:E69"/>
    <mergeCell ref="F67:G68"/>
    <mergeCell ref="B2:C2"/>
    <mergeCell ref="B8:E8"/>
    <mergeCell ref="F8:G8"/>
    <mergeCell ref="K63:L63"/>
    <mergeCell ref="H8:I8"/>
    <mergeCell ref="B9:E9"/>
  </mergeCells>
  <conditionalFormatting sqref="T69:U69">
    <cfRule type="duplicateValues" dxfId="3" priority="1"/>
  </conditionalFormatting>
  <conditionalFormatting sqref="W69">
    <cfRule type="duplicateValues" dxfId="2" priority="2"/>
  </conditionalFormatting>
  <conditionalFormatting sqref="N69:P69 R69">
    <cfRule type="duplicateValues" dxfId="1" priority="3"/>
  </conditionalFormatting>
  <conditionalFormatting sqref="V69 H69 S69 K69 M69">
    <cfRule type="duplicateValues" dxfId="0" priority="4"/>
  </conditionalFormatting>
  <pageMargins left="0.7" right="0.7" top="0.75" bottom="0.75" header="0.3" footer="0.3"/>
  <pageSetup paperSize="5" scale="4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C401-98FF-4C03-B332-A2A412F68F27}">
  <sheetPr>
    <pageSetUpPr fitToPage="1"/>
  </sheetPr>
  <dimension ref="A1:BB136"/>
  <sheetViews>
    <sheetView workbookViewId="0">
      <pane xSplit="1" topLeftCell="B1" activePane="topRight" state="frozen"/>
      <selection activeCell="A70" sqref="A70"/>
      <selection pane="topRight" activeCell="A4" sqref="A4"/>
    </sheetView>
  </sheetViews>
  <sheetFormatPr defaultRowHeight="14.4" outlineLevelRow="1" x14ac:dyDescent="0.3"/>
  <cols>
    <col min="1" max="2" width="16.44140625" customWidth="1"/>
    <col min="4" max="4" width="13.44140625" customWidth="1"/>
    <col min="5" max="6" width="12.109375" customWidth="1"/>
    <col min="7" max="17" width="17.109375" customWidth="1"/>
    <col min="18" max="18" width="20.6640625" customWidth="1"/>
    <col min="19" max="19" width="23" customWidth="1"/>
    <col min="20" max="39" width="17.109375" customWidth="1"/>
    <col min="40" max="42" width="13.6640625" customWidth="1"/>
  </cols>
  <sheetData>
    <row r="1" spans="1:48" s="1" customFormat="1" ht="13.2" x14ac:dyDescent="0.25">
      <c r="D1" s="2"/>
      <c r="E1" s="2"/>
      <c r="F1" s="2"/>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2"/>
      <c r="AN1" s="2"/>
    </row>
    <row r="2" spans="1:48" s="1" customFormat="1" ht="18.600000000000001" customHeight="1" x14ac:dyDescent="0.25">
      <c r="A2" s="151" t="s">
        <v>480</v>
      </c>
      <c r="B2" s="152"/>
      <c r="D2" s="4"/>
      <c r="E2" s="2"/>
      <c r="F2" s="2"/>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2"/>
      <c r="AN2" s="2"/>
    </row>
    <row r="3" spans="1:48" s="1" customFormat="1" ht="20.399999999999999" customHeight="1" x14ac:dyDescent="0.3">
      <c r="A3" s="5" t="s">
        <v>482</v>
      </c>
      <c r="E3" s="2"/>
      <c r="F3" s="2"/>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2"/>
      <c r="AN3" s="2"/>
    </row>
    <row r="4" spans="1:48" s="1" customFormat="1" ht="15.6" x14ac:dyDescent="0.3">
      <c r="A4" s="5"/>
      <c r="E4" s="2"/>
      <c r="F4" s="2"/>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2"/>
      <c r="AN4" s="2"/>
    </row>
    <row r="5" spans="1:48" s="1" customFormat="1" ht="18.75" customHeight="1" x14ac:dyDescent="0.25">
      <c r="A5" s="6" t="s">
        <v>134</v>
      </c>
      <c r="E5" s="2"/>
      <c r="F5" s="2"/>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2"/>
      <c r="AN5" s="2"/>
    </row>
    <row r="6" spans="1:48" s="1" customFormat="1" ht="18.75" customHeight="1" x14ac:dyDescent="0.25">
      <c r="A6" s="124" t="s">
        <v>135</v>
      </c>
      <c r="B6" s="124"/>
      <c r="C6" s="124"/>
      <c r="D6" s="124"/>
      <c r="E6" s="124"/>
      <c r="F6" s="124"/>
      <c r="G6" s="124"/>
      <c r="H6" s="124"/>
      <c r="I6" s="124"/>
      <c r="J6" s="124"/>
      <c r="K6" s="124"/>
      <c r="L6" s="124"/>
      <c r="M6" s="124"/>
      <c r="N6" s="124"/>
      <c r="O6" s="3"/>
      <c r="P6" s="3"/>
      <c r="Q6" s="3"/>
      <c r="R6" s="3"/>
      <c r="S6" s="3"/>
      <c r="T6" s="3"/>
      <c r="U6" s="3"/>
      <c r="V6" s="3"/>
      <c r="W6" s="3"/>
      <c r="X6" s="3"/>
      <c r="Y6" s="3"/>
      <c r="Z6" s="3"/>
      <c r="AA6" s="3"/>
      <c r="AB6" s="3"/>
      <c r="AC6" s="3"/>
      <c r="AD6" s="3"/>
      <c r="AE6" s="3"/>
      <c r="AF6" s="3"/>
      <c r="AG6" s="3"/>
      <c r="AH6" s="3"/>
      <c r="AI6" s="3"/>
      <c r="AJ6" s="3"/>
      <c r="AK6" s="3"/>
      <c r="AL6" s="3"/>
      <c r="AM6" s="2"/>
      <c r="AN6" s="2"/>
    </row>
    <row r="7" spans="1:48" s="11" customFormat="1" ht="13.2" x14ac:dyDescent="0.25">
      <c r="A7" s="7"/>
      <c r="B7" s="7"/>
      <c r="C7" s="7"/>
      <c r="D7" s="3"/>
      <c r="E7" s="8"/>
      <c r="F7" s="8"/>
      <c r="G7" s="8"/>
      <c r="H7" s="8"/>
      <c r="I7" s="9"/>
      <c r="J7" s="9"/>
      <c r="K7" s="9"/>
      <c r="L7" s="3"/>
      <c r="M7" s="3"/>
      <c r="N7" s="9"/>
      <c r="O7" s="3"/>
      <c r="P7" s="3"/>
      <c r="Q7" s="9"/>
      <c r="R7" s="3"/>
      <c r="S7" s="9"/>
      <c r="T7" s="3"/>
      <c r="U7" s="9"/>
      <c r="V7" s="3"/>
      <c r="W7" s="3"/>
      <c r="X7" s="3"/>
      <c r="Y7" s="9"/>
      <c r="Z7" s="3"/>
      <c r="AA7" s="3"/>
      <c r="AB7" s="3"/>
      <c r="AC7" s="3"/>
      <c r="AD7" s="9"/>
      <c r="AE7" s="3"/>
      <c r="AF7" s="3"/>
      <c r="AG7" s="9"/>
      <c r="AH7" s="3"/>
      <c r="AI7" s="3"/>
      <c r="AJ7" s="3"/>
      <c r="AK7" s="3"/>
      <c r="AL7" s="3"/>
      <c r="AM7" s="3"/>
      <c r="AN7" s="3"/>
      <c r="AO7" s="10"/>
      <c r="AP7" s="10"/>
      <c r="AQ7" s="10"/>
      <c r="AR7" s="10"/>
      <c r="AS7" s="10"/>
      <c r="AT7" s="10"/>
    </row>
    <row r="8" spans="1:48" s="1" customFormat="1" ht="53.4" customHeight="1" x14ac:dyDescent="0.25">
      <c r="A8" s="153" t="s">
        <v>2</v>
      </c>
      <c r="B8" s="154"/>
      <c r="C8" s="154"/>
      <c r="D8" s="155"/>
      <c r="E8" s="156" t="s">
        <v>198</v>
      </c>
      <c r="F8" s="157"/>
      <c r="G8" s="156" t="s">
        <v>199</v>
      </c>
      <c r="H8" s="157"/>
      <c r="I8" s="149" t="s">
        <v>424</v>
      </c>
      <c r="J8" s="150"/>
      <c r="K8" s="12"/>
      <c r="L8" s="106"/>
      <c r="M8" s="106"/>
      <c r="N8" s="12"/>
      <c r="O8" s="106"/>
      <c r="P8" s="106"/>
      <c r="Q8" s="12"/>
      <c r="R8" s="3"/>
      <c r="S8" s="12"/>
      <c r="T8" s="106"/>
      <c r="U8" s="12"/>
      <c r="V8" s="106"/>
      <c r="W8" s="106"/>
      <c r="X8" s="3"/>
      <c r="Y8" s="12"/>
      <c r="Z8" s="3"/>
      <c r="AA8" s="106"/>
      <c r="AB8" s="106"/>
      <c r="AC8" s="3"/>
      <c r="AD8" s="12"/>
      <c r="AE8" s="106"/>
      <c r="AF8" s="3"/>
      <c r="AG8" s="12"/>
      <c r="AH8" s="106"/>
      <c r="AI8" s="3"/>
      <c r="AJ8" s="3"/>
      <c r="AK8" s="3"/>
      <c r="AL8" s="3"/>
      <c r="AM8" s="3"/>
      <c r="AN8" s="3"/>
      <c r="AO8" s="3"/>
      <c r="AP8" s="3"/>
      <c r="AQ8" s="2"/>
      <c r="AR8" s="2"/>
      <c r="AS8" s="2"/>
      <c r="AT8" s="2"/>
      <c r="AU8" s="2"/>
      <c r="AV8" s="2"/>
    </row>
    <row r="9" spans="1:48" s="1" customFormat="1" ht="14.4" customHeight="1" x14ac:dyDescent="0.25">
      <c r="A9" s="164" t="s">
        <v>6</v>
      </c>
      <c r="B9" s="165"/>
      <c r="C9" s="165"/>
      <c r="D9" s="165"/>
      <c r="E9" s="13" t="s">
        <v>7</v>
      </c>
      <c r="F9" s="14" t="s">
        <v>8</v>
      </c>
      <c r="G9" s="13" t="s">
        <v>7</v>
      </c>
      <c r="H9" s="14" t="s">
        <v>8</v>
      </c>
      <c r="I9" s="13" t="s">
        <v>7</v>
      </c>
      <c r="J9" s="15" t="s">
        <v>8</v>
      </c>
      <c r="K9" s="16"/>
      <c r="L9" s="17"/>
      <c r="M9" s="17"/>
      <c r="N9" s="16"/>
      <c r="O9" s="17"/>
      <c r="P9" s="17"/>
      <c r="Q9" s="16"/>
      <c r="R9" s="3"/>
      <c r="S9" s="16"/>
      <c r="T9" s="17"/>
      <c r="U9" s="16"/>
      <c r="V9" s="17"/>
      <c r="W9" s="17"/>
      <c r="X9" s="3"/>
      <c r="Y9" s="16"/>
      <c r="Z9" s="3"/>
      <c r="AA9" s="17"/>
      <c r="AB9" s="17"/>
      <c r="AC9" s="3"/>
      <c r="AD9" s="16"/>
      <c r="AE9" s="17"/>
      <c r="AF9" s="3"/>
      <c r="AG9" s="16"/>
      <c r="AH9" s="17"/>
      <c r="AI9" s="3"/>
      <c r="AJ9" s="3"/>
      <c r="AK9" s="3"/>
      <c r="AL9" s="3"/>
      <c r="AM9" s="3"/>
      <c r="AN9" s="3"/>
      <c r="AO9" s="3"/>
      <c r="AP9" s="3"/>
      <c r="AQ9" s="2"/>
      <c r="AR9" s="2"/>
      <c r="AS9" s="2"/>
      <c r="AT9" s="2"/>
      <c r="AU9" s="2"/>
      <c r="AV9" s="2"/>
    </row>
    <row r="10" spans="1:48" s="1" customFormat="1" ht="15" customHeight="1" x14ac:dyDescent="0.25">
      <c r="A10" s="18"/>
      <c r="B10" s="19"/>
      <c r="C10" s="19"/>
      <c r="D10" s="19"/>
      <c r="E10" s="20"/>
      <c r="F10" s="21"/>
      <c r="G10" s="20"/>
      <c r="H10" s="21"/>
      <c r="I10" s="20"/>
      <c r="J10" s="22"/>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2"/>
      <c r="AR10" s="2"/>
      <c r="AS10" s="2"/>
      <c r="AT10" s="2"/>
      <c r="AU10" s="2"/>
      <c r="AV10" s="2"/>
    </row>
    <row r="11" spans="1:48" s="1" customFormat="1" ht="15" customHeight="1" x14ac:dyDescent="0.25">
      <c r="A11" s="23" t="s">
        <v>9</v>
      </c>
      <c r="B11" s="24"/>
      <c r="C11" s="24"/>
      <c r="D11" s="25">
        <f>SUM(E11,G11,I11)</f>
        <v>47</v>
      </c>
      <c r="E11" s="26">
        <f>SUM(E13,E17,E24,E34,E44,E60)</f>
        <v>6</v>
      </c>
      <c r="F11" s="27">
        <f>E11/$D$11</f>
        <v>0.1276595744680851</v>
      </c>
      <c r="G11" s="28">
        <f>SUM(G13,G17,G24,G34,G44,G60)</f>
        <v>34</v>
      </c>
      <c r="H11" s="27">
        <f>G11/$D$11</f>
        <v>0.72340425531914898</v>
      </c>
      <c r="I11" s="26">
        <f>SUM(I13,I17,I24,I34,I44,I60)</f>
        <v>7</v>
      </c>
      <c r="J11" s="29">
        <f>I11/$D$11</f>
        <v>0.14893617021276595</v>
      </c>
      <c r="K11" s="30"/>
      <c r="L11" s="31"/>
      <c r="M11" s="30"/>
      <c r="N11" s="30"/>
      <c r="O11" s="31"/>
      <c r="P11" s="30"/>
      <c r="Q11" s="30"/>
      <c r="R11" s="32"/>
      <c r="S11" s="30"/>
      <c r="T11" s="30"/>
      <c r="U11" s="30"/>
      <c r="V11" s="31"/>
      <c r="W11" s="30"/>
      <c r="X11" s="32"/>
      <c r="Y11" s="30"/>
      <c r="Z11" s="32"/>
      <c r="AA11" s="31"/>
      <c r="AB11" s="30"/>
      <c r="AC11" s="32"/>
      <c r="AD11" s="30"/>
      <c r="AE11" s="31"/>
      <c r="AF11" s="32"/>
      <c r="AG11" s="30"/>
      <c r="AH11" s="30"/>
      <c r="AI11" s="32"/>
      <c r="AJ11" s="32"/>
      <c r="AK11" s="32"/>
      <c r="AL11" s="32"/>
      <c r="AM11" s="32"/>
      <c r="AN11" s="32"/>
      <c r="AO11" s="32"/>
      <c r="AP11" s="32"/>
      <c r="AQ11" s="2"/>
      <c r="AR11" s="2"/>
      <c r="AS11" s="2"/>
      <c r="AT11" s="2"/>
      <c r="AU11" s="2"/>
      <c r="AV11" s="2"/>
    </row>
    <row r="12" spans="1:48" s="9" customFormat="1" ht="15" customHeight="1" x14ac:dyDescent="0.25">
      <c r="A12" s="33"/>
      <c r="B12" s="7"/>
      <c r="C12" s="7"/>
      <c r="D12" s="3"/>
      <c r="E12" s="34"/>
      <c r="F12" s="3"/>
      <c r="G12" s="35"/>
      <c r="H12" s="3"/>
      <c r="I12" s="34"/>
      <c r="J12" s="36"/>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row>
    <row r="13" spans="1:48" s="9" customFormat="1" ht="15" customHeight="1" x14ac:dyDescent="0.25">
      <c r="A13" s="37" t="s">
        <v>10</v>
      </c>
      <c r="B13" s="38"/>
      <c r="C13" s="38"/>
      <c r="D13" s="39"/>
      <c r="E13" s="40">
        <f>SUM(E14:E16)</f>
        <v>0</v>
      </c>
      <c r="F13" s="39"/>
      <c r="G13" s="41">
        <f>SUM(G14:G16)</f>
        <v>0</v>
      </c>
      <c r="H13" s="39"/>
      <c r="I13" s="40">
        <f>SUM(I14:I16)</f>
        <v>3</v>
      </c>
      <c r="J13" s="42"/>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row>
    <row r="14" spans="1:48" s="9" customFormat="1" ht="15" customHeight="1" outlineLevel="1" x14ac:dyDescent="0.3">
      <c r="A14" s="47" t="s">
        <v>284</v>
      </c>
      <c r="B14" s="7"/>
      <c r="C14" s="7"/>
      <c r="D14" s="3"/>
      <c r="E14" s="44"/>
      <c r="F14" s="3"/>
      <c r="G14" s="45"/>
      <c r="H14" s="3"/>
      <c r="I14" s="44">
        <v>1</v>
      </c>
      <c r="J14" s="36"/>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row>
    <row r="15" spans="1:48" s="9" customFormat="1" ht="15" customHeight="1" outlineLevel="1" x14ac:dyDescent="0.3">
      <c r="A15" s="43" t="s">
        <v>11</v>
      </c>
      <c r="B15" s="7"/>
      <c r="C15" s="7"/>
      <c r="D15" s="3"/>
      <c r="E15" s="44"/>
      <c r="F15" s="3"/>
      <c r="G15" s="45"/>
      <c r="H15" s="3"/>
      <c r="I15" s="44">
        <v>1</v>
      </c>
      <c r="J15" s="36"/>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row>
    <row r="16" spans="1:48" s="9" customFormat="1" ht="15" customHeight="1" outlineLevel="1" x14ac:dyDescent="0.3">
      <c r="A16" s="43" t="s">
        <v>12</v>
      </c>
      <c r="B16" s="7"/>
      <c r="C16" s="7"/>
      <c r="D16" s="3"/>
      <c r="E16" s="44"/>
      <c r="F16" s="3"/>
      <c r="G16" s="45"/>
      <c r="H16" s="3"/>
      <c r="I16" s="44">
        <v>1</v>
      </c>
      <c r="J16" s="36"/>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row>
    <row r="17" spans="1:48" s="9" customFormat="1" ht="15" customHeight="1" x14ac:dyDescent="0.25">
      <c r="A17" s="46" t="s">
        <v>13</v>
      </c>
      <c r="B17" s="7"/>
      <c r="C17" s="7"/>
      <c r="D17" s="3"/>
      <c r="E17" s="34">
        <f>SUM(E18:E23)</f>
        <v>1</v>
      </c>
      <c r="F17" s="3"/>
      <c r="G17" s="35">
        <f>SUM(G18:G23)</f>
        <v>5</v>
      </c>
      <c r="H17" s="3"/>
      <c r="I17" s="34">
        <f>SUM(I18:I23)</f>
        <v>1</v>
      </c>
      <c r="J17" s="36"/>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row>
    <row r="18" spans="1:48" s="9" customFormat="1" ht="15" customHeight="1" outlineLevel="1" x14ac:dyDescent="0.3">
      <c r="A18" s="47" t="s">
        <v>14</v>
      </c>
      <c r="B18" s="7"/>
      <c r="C18" s="7"/>
      <c r="D18" s="3"/>
      <c r="E18" s="44"/>
      <c r="F18" s="3"/>
      <c r="G18" s="45">
        <v>1</v>
      </c>
      <c r="H18" s="3"/>
      <c r="I18" s="44" t="s">
        <v>391</v>
      </c>
      <c r="J18" s="36"/>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row>
    <row r="19" spans="1:48" s="9" customFormat="1" ht="15" customHeight="1" outlineLevel="1" x14ac:dyDescent="0.3">
      <c r="A19" s="47" t="s">
        <v>15</v>
      </c>
      <c r="B19" s="7"/>
      <c r="C19" s="7"/>
      <c r="D19" s="3"/>
      <c r="E19" s="44"/>
      <c r="F19" s="3"/>
      <c r="G19" s="45"/>
      <c r="H19" s="3"/>
      <c r="I19" s="44">
        <v>1</v>
      </c>
      <c r="J19" s="36"/>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row>
    <row r="20" spans="1:48" s="9" customFormat="1" ht="15" customHeight="1" outlineLevel="1" x14ac:dyDescent="0.3">
      <c r="A20" s="47" t="s">
        <v>16</v>
      </c>
      <c r="B20" s="7"/>
      <c r="C20" s="7"/>
      <c r="D20" s="3"/>
      <c r="E20" s="44"/>
      <c r="F20" s="3"/>
      <c r="G20" s="45">
        <v>1</v>
      </c>
      <c r="H20" s="3"/>
      <c r="I20" s="44" t="s">
        <v>391</v>
      </c>
      <c r="J20" s="36"/>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s="9" customFormat="1" ht="15" customHeight="1" outlineLevel="1" x14ac:dyDescent="0.3">
      <c r="A21" s="47" t="s">
        <v>17</v>
      </c>
      <c r="B21" s="7"/>
      <c r="C21" s="7"/>
      <c r="D21" s="3"/>
      <c r="E21" s="44"/>
      <c r="F21" s="3"/>
      <c r="G21" s="45">
        <v>1</v>
      </c>
      <c r="H21" s="3"/>
      <c r="I21" s="44" t="s">
        <v>391</v>
      </c>
      <c r="J21" s="36"/>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s="9" customFormat="1" ht="15" customHeight="1" outlineLevel="1" x14ac:dyDescent="0.3">
      <c r="A22" s="47" t="s">
        <v>82</v>
      </c>
      <c r="B22" s="7"/>
      <c r="C22" s="7"/>
      <c r="D22" s="3"/>
      <c r="E22" s="44">
        <v>1</v>
      </c>
      <c r="F22" s="3"/>
      <c r="G22" s="45">
        <v>1</v>
      </c>
      <c r="H22" s="3"/>
      <c r="I22" s="44" t="s">
        <v>391</v>
      </c>
      <c r="J22" s="36"/>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s="9" customFormat="1" ht="15" customHeight="1" outlineLevel="1" x14ac:dyDescent="0.3">
      <c r="A23" s="47" t="s">
        <v>18</v>
      </c>
      <c r="B23" s="7"/>
      <c r="C23" s="7"/>
      <c r="D23" s="3"/>
      <c r="E23" s="44"/>
      <c r="F23" s="3"/>
      <c r="G23" s="45">
        <v>1</v>
      </c>
      <c r="H23" s="3"/>
      <c r="I23" s="44" t="s">
        <v>391</v>
      </c>
      <c r="J23" s="36"/>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s="9" customFormat="1" ht="15" customHeight="1" x14ac:dyDescent="0.25">
      <c r="A24" s="37" t="s">
        <v>19</v>
      </c>
      <c r="B24" s="38"/>
      <c r="C24" s="38"/>
      <c r="D24" s="39"/>
      <c r="E24" s="40">
        <f>SUM(E25:E33)</f>
        <v>3</v>
      </c>
      <c r="F24" s="39"/>
      <c r="G24" s="41">
        <f>SUM(G25:G33)</f>
        <v>8</v>
      </c>
      <c r="H24" s="39"/>
      <c r="I24" s="40">
        <f>SUM(I25:I33)</f>
        <v>1</v>
      </c>
      <c r="J24" s="42"/>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s="9" customFormat="1" ht="15" customHeight="1" outlineLevel="1" x14ac:dyDescent="0.3">
      <c r="A25" s="47" t="s">
        <v>20</v>
      </c>
      <c r="B25" s="7"/>
      <c r="C25" s="7"/>
      <c r="D25" s="3"/>
      <c r="E25" s="44"/>
      <c r="F25" s="3"/>
      <c r="G25" s="45">
        <v>1</v>
      </c>
      <c r="H25" s="3"/>
      <c r="I25" s="44" t="s">
        <v>391</v>
      </c>
      <c r="J25" s="36"/>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s="9" customFormat="1" ht="15" customHeight="1" outlineLevel="1" x14ac:dyDescent="0.3">
      <c r="A26" s="47" t="s">
        <v>21</v>
      </c>
      <c r="B26" s="7"/>
      <c r="C26" s="7"/>
      <c r="D26" s="3"/>
      <c r="E26" s="44"/>
      <c r="F26" s="3"/>
      <c r="G26" s="45">
        <v>1</v>
      </c>
      <c r="H26" s="3"/>
      <c r="I26" s="44" t="s">
        <v>391</v>
      </c>
      <c r="J26" s="36"/>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s="9" customFormat="1" ht="15" customHeight="1" outlineLevel="1" x14ac:dyDescent="0.3">
      <c r="A27" s="47" t="s">
        <v>83</v>
      </c>
      <c r="B27" s="7"/>
      <c r="C27" s="7"/>
      <c r="D27" s="3"/>
      <c r="E27" s="44">
        <v>1</v>
      </c>
      <c r="F27" s="3"/>
      <c r="G27" s="45">
        <v>1</v>
      </c>
      <c r="H27" s="3"/>
      <c r="I27" s="44" t="s">
        <v>391</v>
      </c>
      <c r="J27" s="36"/>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s="9" customFormat="1" ht="15" customHeight="1" outlineLevel="1" x14ac:dyDescent="0.3">
      <c r="A28" s="47" t="s">
        <v>22</v>
      </c>
      <c r="B28" s="7"/>
      <c r="C28" s="7"/>
      <c r="D28" s="3"/>
      <c r="E28" s="44"/>
      <c r="F28" s="3"/>
      <c r="G28" s="45"/>
      <c r="H28" s="3"/>
      <c r="I28" s="44">
        <v>1</v>
      </c>
      <c r="J28" s="36"/>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s="9" customFormat="1" ht="15" customHeight="1" outlineLevel="1" x14ac:dyDescent="0.3">
      <c r="A29" s="47" t="s">
        <v>23</v>
      </c>
      <c r="B29" s="7"/>
      <c r="C29" s="7"/>
      <c r="D29" s="3"/>
      <c r="E29" s="44"/>
      <c r="F29" s="3"/>
      <c r="G29" s="45">
        <v>1</v>
      </c>
      <c r="H29" s="3"/>
      <c r="I29" s="44" t="s">
        <v>391</v>
      </c>
      <c r="J29" s="36"/>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s="9" customFormat="1" ht="15" customHeight="1" outlineLevel="1" x14ac:dyDescent="0.3">
      <c r="A30" s="47" t="s">
        <v>24</v>
      </c>
      <c r="B30" s="7"/>
      <c r="C30" s="7"/>
      <c r="D30" s="3"/>
      <c r="E30" s="44"/>
      <c r="F30" s="3"/>
      <c r="G30" s="45">
        <v>1</v>
      </c>
      <c r="H30" s="3"/>
      <c r="I30" s="44" t="s">
        <v>391</v>
      </c>
      <c r="J30" s="36"/>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s="9" customFormat="1" ht="15" customHeight="1" outlineLevel="1" x14ac:dyDescent="0.3">
      <c r="A31" s="47" t="s">
        <v>25</v>
      </c>
      <c r="B31" s="7"/>
      <c r="C31" s="7"/>
      <c r="D31" s="3"/>
      <c r="E31" s="44">
        <v>1</v>
      </c>
      <c r="F31" s="3"/>
      <c r="G31" s="45">
        <v>1</v>
      </c>
      <c r="H31" s="3"/>
      <c r="I31" s="44" t="s">
        <v>391</v>
      </c>
      <c r="J31" s="36"/>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s="9" customFormat="1" ht="15" customHeight="1" outlineLevel="1" x14ac:dyDescent="0.3">
      <c r="A32" s="47" t="s">
        <v>26</v>
      </c>
      <c r="B32" s="7"/>
      <c r="C32" s="7"/>
      <c r="D32" s="3"/>
      <c r="E32" s="44"/>
      <c r="F32" s="3"/>
      <c r="G32" s="45">
        <v>1</v>
      </c>
      <c r="H32" s="3"/>
      <c r="I32" s="44" t="s">
        <v>391</v>
      </c>
      <c r="J32" s="36"/>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s="9" customFormat="1" ht="15" customHeight="1" outlineLevel="1" x14ac:dyDescent="0.3">
      <c r="A33" s="47" t="s">
        <v>27</v>
      </c>
      <c r="B33" s="7"/>
      <c r="C33" s="7"/>
      <c r="D33" s="3"/>
      <c r="E33" s="44">
        <v>1</v>
      </c>
      <c r="F33" s="3"/>
      <c r="G33" s="45">
        <v>1</v>
      </c>
      <c r="H33" s="3"/>
      <c r="I33" s="44" t="s">
        <v>391</v>
      </c>
      <c r="J33" s="36"/>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s="9" customFormat="1" ht="15" customHeight="1" x14ac:dyDescent="0.25">
      <c r="A34" s="46" t="s">
        <v>28</v>
      </c>
      <c r="B34" s="7"/>
      <c r="C34" s="7"/>
      <c r="D34" s="3"/>
      <c r="E34" s="34">
        <f>SUM(E35:E43)</f>
        <v>2</v>
      </c>
      <c r="F34" s="3"/>
      <c r="G34" s="35">
        <f>SUM(G35:G43)</f>
        <v>7</v>
      </c>
      <c r="H34" s="3"/>
      <c r="I34" s="34">
        <f>SUM(I35:I43)</f>
        <v>0</v>
      </c>
      <c r="J34" s="36"/>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row>
    <row r="35" spans="1:48" s="9" customFormat="1" ht="15" customHeight="1" outlineLevel="1" x14ac:dyDescent="0.3">
      <c r="A35" s="47" t="s">
        <v>29</v>
      </c>
      <c r="B35" s="7"/>
      <c r="C35" s="7"/>
      <c r="D35" s="3"/>
      <c r="E35" s="44"/>
      <c r="F35" s="3"/>
      <c r="G35" s="45">
        <v>1</v>
      </c>
      <c r="H35" s="3"/>
      <c r="I35" s="44" t="s">
        <v>391</v>
      </c>
      <c r="J35" s="36"/>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row>
    <row r="36" spans="1:48" s="9" customFormat="1" ht="15" customHeight="1" outlineLevel="1" x14ac:dyDescent="0.3">
      <c r="A36" s="47" t="s">
        <v>30</v>
      </c>
      <c r="B36" s="7"/>
      <c r="C36" s="7"/>
      <c r="D36" s="3"/>
      <c r="E36" s="44"/>
      <c r="F36" s="3"/>
      <c r="G36" s="45">
        <v>1</v>
      </c>
      <c r="H36" s="3"/>
      <c r="I36" s="44" t="s">
        <v>391</v>
      </c>
      <c r="J36" s="36"/>
      <c r="K36" s="48"/>
      <c r="L36" s="3"/>
      <c r="M36" s="3"/>
      <c r="N36" s="48"/>
      <c r="O36" s="3"/>
      <c r="P36" s="3"/>
      <c r="Q36" s="48"/>
      <c r="R36" s="3"/>
      <c r="S36" s="48"/>
      <c r="T36" s="3"/>
      <c r="U36" s="48"/>
      <c r="V36" s="3"/>
      <c r="W36" s="3"/>
      <c r="X36" s="3"/>
      <c r="Y36" s="48"/>
      <c r="Z36" s="3"/>
      <c r="AA36" s="3"/>
      <c r="AB36" s="3"/>
      <c r="AC36" s="3"/>
      <c r="AD36" s="48"/>
      <c r="AE36" s="3"/>
      <c r="AF36" s="3"/>
      <c r="AG36" s="48"/>
      <c r="AH36" s="3"/>
      <c r="AI36" s="3"/>
      <c r="AJ36" s="3"/>
      <c r="AK36" s="3"/>
      <c r="AL36" s="3"/>
      <c r="AM36" s="3"/>
      <c r="AN36" s="3"/>
      <c r="AO36" s="3"/>
      <c r="AP36" s="3"/>
      <c r="AQ36" s="3"/>
      <c r="AR36" s="3"/>
      <c r="AS36" s="3"/>
      <c r="AT36" s="3"/>
      <c r="AU36" s="3"/>
      <c r="AV36" s="3"/>
    </row>
    <row r="37" spans="1:48" s="9" customFormat="1" ht="15" customHeight="1" outlineLevel="1" x14ac:dyDescent="0.3">
      <c r="A37" s="47" t="s">
        <v>31</v>
      </c>
      <c r="B37" s="7"/>
      <c r="C37" s="7"/>
      <c r="D37" s="3"/>
      <c r="E37" s="44"/>
      <c r="F37" s="3"/>
      <c r="G37" s="45">
        <v>1</v>
      </c>
      <c r="H37" s="3"/>
      <c r="I37" s="44" t="s">
        <v>391</v>
      </c>
      <c r="J37" s="36"/>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spans="1:48" s="9" customFormat="1" ht="15" customHeight="1" outlineLevel="1" x14ac:dyDescent="0.3">
      <c r="A38" s="47" t="s">
        <v>32</v>
      </c>
      <c r="B38" s="7"/>
      <c r="C38" s="7"/>
      <c r="D38" s="3"/>
      <c r="E38" s="44">
        <v>1</v>
      </c>
      <c r="F38" s="3"/>
      <c r="G38" s="45"/>
      <c r="H38" s="3"/>
      <c r="I38" s="44" t="s">
        <v>391</v>
      </c>
      <c r="J38" s="36"/>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spans="1:48" s="9" customFormat="1" ht="15" customHeight="1" outlineLevel="1" x14ac:dyDescent="0.3">
      <c r="A39" s="47" t="s">
        <v>33</v>
      </c>
      <c r="B39" s="7"/>
      <c r="C39" s="7"/>
      <c r="D39" s="3"/>
      <c r="E39" s="44"/>
      <c r="F39" s="3"/>
      <c r="G39" s="45">
        <v>1</v>
      </c>
      <c r="H39" s="3"/>
      <c r="I39" s="44" t="s">
        <v>391</v>
      </c>
      <c r="J39" s="36"/>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spans="1:48" s="9" customFormat="1" ht="15" customHeight="1" outlineLevel="1" x14ac:dyDescent="0.3">
      <c r="A40" s="47" t="s">
        <v>34</v>
      </c>
      <c r="B40" s="7"/>
      <c r="C40" s="7"/>
      <c r="D40" s="3"/>
      <c r="E40" s="44"/>
      <c r="F40" s="3"/>
      <c r="G40" s="45">
        <v>1</v>
      </c>
      <c r="H40" s="3"/>
      <c r="I40" s="44" t="s">
        <v>391</v>
      </c>
      <c r="J40" s="36"/>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spans="1:48" s="9" customFormat="1" ht="15" customHeight="1" outlineLevel="1" x14ac:dyDescent="0.3">
      <c r="A41" s="47" t="s">
        <v>35</v>
      </c>
      <c r="B41" s="7"/>
      <c r="C41" s="7"/>
      <c r="D41" s="3"/>
      <c r="E41" s="44">
        <v>1</v>
      </c>
      <c r="F41" s="3"/>
      <c r="G41" s="45"/>
      <c r="H41" s="3"/>
      <c r="I41" s="44" t="s">
        <v>391</v>
      </c>
      <c r="J41" s="36"/>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spans="1:48" s="9" customFormat="1" ht="15" customHeight="1" outlineLevel="1" x14ac:dyDescent="0.3">
      <c r="A42" s="47" t="s">
        <v>36</v>
      </c>
      <c r="B42" s="7"/>
      <c r="C42" s="7"/>
      <c r="D42" s="3"/>
      <c r="E42" s="44"/>
      <c r="F42" s="3"/>
      <c r="G42" s="45">
        <v>1</v>
      </c>
      <c r="H42" s="3"/>
      <c r="I42" s="44" t="s">
        <v>391</v>
      </c>
      <c r="J42" s="36"/>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spans="1:48" s="9" customFormat="1" ht="15" customHeight="1" outlineLevel="1" x14ac:dyDescent="0.3">
      <c r="A43" s="47" t="s">
        <v>37</v>
      </c>
      <c r="B43" s="7"/>
      <c r="C43" s="7"/>
      <c r="D43" s="3"/>
      <c r="E43" s="44"/>
      <c r="F43" s="3"/>
      <c r="G43" s="45">
        <v>1</v>
      </c>
      <c r="H43" s="3"/>
      <c r="I43" s="44" t="s">
        <v>391</v>
      </c>
      <c r="J43" s="36"/>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spans="1:48" s="9" customFormat="1" ht="15" customHeight="1" x14ac:dyDescent="0.25">
      <c r="A44" s="37" t="s">
        <v>38</v>
      </c>
      <c r="B44" s="38"/>
      <c r="C44" s="38"/>
      <c r="D44" s="39"/>
      <c r="E44" s="40">
        <f>SUM(E45:E59)</f>
        <v>0</v>
      </c>
      <c r="F44" s="39"/>
      <c r="G44" s="41">
        <f>SUM(G45:G59)</f>
        <v>14</v>
      </c>
      <c r="H44" s="39"/>
      <c r="I44" s="40">
        <f>SUM(I45:I59)</f>
        <v>1</v>
      </c>
      <c r="J44" s="42"/>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spans="1:48" s="9" customFormat="1" ht="15" customHeight="1" outlineLevel="1" x14ac:dyDescent="0.3">
      <c r="A45" s="47" t="s">
        <v>39</v>
      </c>
      <c r="B45" s="7"/>
      <c r="C45" s="7"/>
      <c r="D45" s="3"/>
      <c r="E45" s="44"/>
      <c r="F45" s="3"/>
      <c r="G45" s="45">
        <v>1</v>
      </c>
      <c r="H45" s="3"/>
      <c r="I45" s="44" t="s">
        <v>391</v>
      </c>
      <c r="J45" s="36"/>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spans="1:48" s="9" customFormat="1" ht="15" customHeight="1" outlineLevel="1" x14ac:dyDescent="0.3">
      <c r="A46" s="47" t="s">
        <v>40</v>
      </c>
      <c r="B46" s="7"/>
      <c r="C46" s="7"/>
      <c r="D46" s="3"/>
      <c r="E46" s="44"/>
      <c r="F46" s="3"/>
      <c r="G46" s="45">
        <v>1</v>
      </c>
      <c r="H46" s="3"/>
      <c r="I46" s="44" t="s">
        <v>391</v>
      </c>
      <c r="J46" s="36"/>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spans="1:48" s="9" customFormat="1" ht="15" customHeight="1" outlineLevel="1" x14ac:dyDescent="0.3">
      <c r="A47" s="47" t="s">
        <v>41</v>
      </c>
      <c r="B47" s="7"/>
      <c r="C47" s="7"/>
      <c r="D47" s="3"/>
      <c r="E47" s="44"/>
      <c r="F47" s="3"/>
      <c r="G47" s="45">
        <v>1</v>
      </c>
      <c r="H47" s="3"/>
      <c r="I47" s="44" t="s">
        <v>391</v>
      </c>
      <c r="J47" s="36"/>
      <c r="K47" s="48"/>
      <c r="L47" s="3"/>
      <c r="M47" s="3"/>
      <c r="N47" s="48"/>
      <c r="O47" s="3"/>
      <c r="P47" s="3"/>
      <c r="Q47" s="48"/>
      <c r="R47" s="3"/>
      <c r="S47" s="48"/>
      <c r="T47" s="3"/>
      <c r="U47" s="48"/>
      <c r="V47" s="3"/>
      <c r="W47" s="3"/>
      <c r="X47" s="3"/>
      <c r="Y47" s="48"/>
      <c r="Z47" s="3"/>
      <c r="AA47" s="3"/>
      <c r="AB47" s="3"/>
      <c r="AC47" s="3"/>
      <c r="AD47" s="48"/>
      <c r="AE47" s="3"/>
      <c r="AF47" s="3"/>
      <c r="AG47" s="48"/>
      <c r="AH47" s="3"/>
      <c r="AI47" s="3"/>
      <c r="AJ47" s="3"/>
      <c r="AK47" s="3"/>
      <c r="AL47" s="3"/>
      <c r="AM47" s="3"/>
      <c r="AN47" s="3"/>
      <c r="AO47" s="3"/>
      <c r="AP47" s="3"/>
      <c r="AQ47" s="3"/>
      <c r="AR47" s="3"/>
      <c r="AS47" s="3"/>
      <c r="AT47" s="3"/>
      <c r="AU47" s="3"/>
      <c r="AV47" s="3"/>
    </row>
    <row r="48" spans="1:48" s="9" customFormat="1" ht="15" customHeight="1" outlineLevel="1" x14ac:dyDescent="0.3">
      <c r="A48" s="47" t="s">
        <v>42</v>
      </c>
      <c r="B48" s="7"/>
      <c r="C48" s="7"/>
      <c r="D48" s="3"/>
      <c r="E48" s="44"/>
      <c r="F48" s="3"/>
      <c r="G48" s="45">
        <v>1</v>
      </c>
      <c r="H48" s="3"/>
      <c r="I48" s="44" t="s">
        <v>391</v>
      </c>
      <c r="J48" s="36"/>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spans="1:52" s="9" customFormat="1" ht="15" customHeight="1" outlineLevel="1" x14ac:dyDescent="0.3">
      <c r="A49" s="47" t="s">
        <v>43</v>
      </c>
      <c r="B49" s="7"/>
      <c r="C49" s="7"/>
      <c r="D49" s="3"/>
      <c r="E49" s="44"/>
      <c r="F49" s="3"/>
      <c r="G49" s="45">
        <v>1</v>
      </c>
      <c r="H49" s="3"/>
      <c r="I49" s="44" t="s">
        <v>391</v>
      </c>
      <c r="J49" s="36"/>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spans="1:52" s="9" customFormat="1" ht="15" customHeight="1" outlineLevel="1" x14ac:dyDescent="0.3">
      <c r="A50" s="47" t="s">
        <v>44</v>
      </c>
      <c r="B50" s="7"/>
      <c r="C50" s="7"/>
      <c r="D50" s="3"/>
      <c r="E50" s="44"/>
      <c r="F50" s="3"/>
      <c r="G50" s="45">
        <v>1</v>
      </c>
      <c r="H50" s="3"/>
      <c r="I50" s="44" t="s">
        <v>391</v>
      </c>
      <c r="J50" s="36"/>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spans="1:52" s="9" customFormat="1" ht="15" customHeight="1" outlineLevel="1" x14ac:dyDescent="0.3">
      <c r="A51" s="47" t="s">
        <v>45</v>
      </c>
      <c r="B51" s="7"/>
      <c r="C51" s="7"/>
      <c r="D51" s="3"/>
      <c r="E51" s="44"/>
      <c r="F51" s="3"/>
      <c r="G51" s="45">
        <v>1</v>
      </c>
      <c r="H51" s="3"/>
      <c r="I51" s="44" t="s">
        <v>391</v>
      </c>
      <c r="J51" s="36"/>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spans="1:52" s="9" customFormat="1" ht="15" customHeight="1" outlineLevel="1" x14ac:dyDescent="0.3">
      <c r="A52" s="47" t="s">
        <v>46</v>
      </c>
      <c r="B52" s="7"/>
      <c r="C52" s="7"/>
      <c r="D52" s="3"/>
      <c r="E52" s="44"/>
      <c r="F52" s="3"/>
      <c r="G52" s="45">
        <v>1</v>
      </c>
      <c r="H52" s="3"/>
      <c r="I52" s="44" t="s">
        <v>391</v>
      </c>
      <c r="J52" s="36"/>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spans="1:52" s="9" customFormat="1" ht="15" customHeight="1" outlineLevel="1" x14ac:dyDescent="0.3">
      <c r="A53" s="47" t="s">
        <v>47</v>
      </c>
      <c r="B53" s="7"/>
      <c r="C53" s="7"/>
      <c r="D53" s="3"/>
      <c r="E53" s="44"/>
      <c r="F53" s="3"/>
      <c r="G53" s="45"/>
      <c r="H53" s="3"/>
      <c r="I53" s="44">
        <v>1</v>
      </c>
      <c r="J53" s="36"/>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spans="1:52" s="9" customFormat="1" ht="15" customHeight="1" outlineLevel="1" x14ac:dyDescent="0.3">
      <c r="A54" s="47" t="s">
        <v>48</v>
      </c>
      <c r="B54" s="7"/>
      <c r="C54" s="7"/>
      <c r="D54" s="3"/>
      <c r="E54" s="44"/>
      <c r="F54" s="3"/>
      <c r="G54" s="45">
        <v>1</v>
      </c>
      <c r="H54" s="3"/>
      <c r="I54" s="44" t="s">
        <v>391</v>
      </c>
      <c r="J54" s="36"/>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spans="1:52" s="9" customFormat="1" ht="15" customHeight="1" outlineLevel="1" x14ac:dyDescent="0.3">
      <c r="A55" s="47" t="s">
        <v>49</v>
      </c>
      <c r="B55" s="7"/>
      <c r="C55" s="7"/>
      <c r="D55" s="3"/>
      <c r="E55" s="44"/>
      <c r="F55" s="3"/>
      <c r="G55" s="45">
        <v>1</v>
      </c>
      <c r="H55" s="3"/>
      <c r="I55" s="44" t="s">
        <v>391</v>
      </c>
      <c r="J55" s="36"/>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spans="1:52" s="9" customFormat="1" ht="15" customHeight="1" outlineLevel="1" x14ac:dyDescent="0.3">
      <c r="A56" s="47" t="s">
        <v>50</v>
      </c>
      <c r="B56" s="7"/>
      <c r="C56" s="7"/>
      <c r="D56" s="3"/>
      <c r="E56" s="44"/>
      <c r="F56" s="3"/>
      <c r="G56" s="45">
        <v>1</v>
      </c>
      <c r="H56" s="3"/>
      <c r="I56" s="44" t="s">
        <v>391</v>
      </c>
      <c r="J56" s="36"/>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spans="1:52" s="9" customFormat="1" ht="15" customHeight="1" outlineLevel="1" x14ac:dyDescent="0.3">
      <c r="A57" s="47" t="s">
        <v>51</v>
      </c>
      <c r="B57" s="7"/>
      <c r="C57" s="7"/>
      <c r="D57" s="3"/>
      <c r="E57" s="44"/>
      <c r="F57" s="3"/>
      <c r="G57" s="45">
        <v>1</v>
      </c>
      <c r="H57" s="3"/>
      <c r="I57" s="44" t="s">
        <v>391</v>
      </c>
      <c r="J57" s="36"/>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spans="1:52" s="9" customFormat="1" ht="15" customHeight="1" outlineLevel="1" x14ac:dyDescent="0.3">
      <c r="A58" s="47" t="s">
        <v>52</v>
      </c>
      <c r="B58" s="7"/>
      <c r="C58" s="7"/>
      <c r="D58" s="3"/>
      <c r="E58" s="44"/>
      <c r="F58" s="3"/>
      <c r="G58" s="45">
        <v>1</v>
      </c>
      <c r="H58" s="3"/>
      <c r="I58" s="44" t="s">
        <v>391</v>
      </c>
      <c r="J58" s="36"/>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spans="1:52" s="9" customFormat="1" ht="15" customHeight="1" outlineLevel="1" x14ac:dyDescent="0.3">
      <c r="A59" s="47" t="s">
        <v>53</v>
      </c>
      <c r="B59" s="7"/>
      <c r="C59" s="7"/>
      <c r="D59" s="3"/>
      <c r="E59" s="44"/>
      <c r="F59" s="3"/>
      <c r="G59" s="45">
        <v>1</v>
      </c>
      <c r="H59" s="3"/>
      <c r="I59" s="44" t="s">
        <v>391</v>
      </c>
      <c r="J59" s="36"/>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spans="1:52" s="9" customFormat="1" ht="15" customHeight="1" x14ac:dyDescent="0.25">
      <c r="A60" s="46" t="s">
        <v>54</v>
      </c>
      <c r="B60" s="7"/>
      <c r="C60" s="7"/>
      <c r="D60" s="3"/>
      <c r="E60" s="34">
        <f>E61</f>
        <v>0</v>
      </c>
      <c r="F60" s="3"/>
      <c r="G60" s="35">
        <f>G61</f>
        <v>0</v>
      </c>
      <c r="H60" s="3"/>
      <c r="I60" s="34">
        <f>I61</f>
        <v>1</v>
      </c>
      <c r="J60" s="36"/>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spans="1:52" s="9" customFormat="1" ht="15" customHeight="1" outlineLevel="1" x14ac:dyDescent="0.3">
      <c r="A61" s="47" t="s">
        <v>55</v>
      </c>
      <c r="B61" s="7"/>
      <c r="C61" s="7"/>
      <c r="D61" s="3"/>
      <c r="E61" s="44"/>
      <c r="F61" s="3"/>
      <c r="G61" s="45"/>
      <c r="H61" s="3"/>
      <c r="I61" s="44">
        <v>1</v>
      </c>
      <c r="J61" s="36"/>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spans="1:52" s="9" customFormat="1" ht="15" customHeight="1" x14ac:dyDescent="0.25">
      <c r="A62" s="49"/>
      <c r="B62" s="50"/>
      <c r="C62" s="50"/>
      <c r="D62" s="8"/>
      <c r="E62" s="51"/>
      <c r="F62" s="8"/>
      <c r="G62" s="52"/>
      <c r="H62" s="8"/>
      <c r="I62" s="51"/>
      <c r="J62" s="5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spans="1:52" s="9" customFormat="1" ht="13.2" customHeight="1" x14ac:dyDescent="0.25">
      <c r="A63" s="54"/>
      <c r="B63" s="7"/>
      <c r="C63" s="7"/>
      <c r="D63" s="3"/>
      <c r="E63" s="55"/>
      <c r="F63" s="3"/>
      <c r="G63" s="3"/>
      <c r="H63" s="3"/>
      <c r="I63" s="3"/>
      <c r="J63" s="3"/>
      <c r="K63" s="55"/>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spans="1:52" s="9" customFormat="1" ht="13.2" customHeight="1" x14ac:dyDescent="0.25">
      <c r="A64" s="125"/>
      <c r="B64" s="7" t="s">
        <v>392</v>
      </c>
      <c r="C64" s="7"/>
      <c r="D64" s="3"/>
      <c r="E64" s="55"/>
      <c r="F64" s="3"/>
      <c r="G64" s="3"/>
      <c r="H64" s="3"/>
      <c r="I64" s="3"/>
      <c r="J64" s="3"/>
      <c r="K64" s="55"/>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spans="1:54" s="9" customFormat="1" ht="27.6" customHeight="1" x14ac:dyDescent="0.25">
      <c r="A65" s="56" t="s">
        <v>132</v>
      </c>
      <c r="B65" s="7"/>
      <c r="C65" s="7"/>
      <c r="D65" s="3"/>
      <c r="E65" s="55"/>
      <c r="F65" s="3"/>
      <c r="G65" s="126" t="s">
        <v>447</v>
      </c>
      <c r="H65" s="126" t="s">
        <v>160</v>
      </c>
      <c r="I65" s="3"/>
      <c r="J65" s="126"/>
      <c r="K65" s="126" t="s">
        <v>423</v>
      </c>
      <c r="L65" s="3"/>
      <c r="M65" s="126" t="s">
        <v>160</v>
      </c>
      <c r="N65" s="126" t="s">
        <v>160</v>
      </c>
      <c r="O65" s="126" t="s">
        <v>160</v>
      </c>
      <c r="P65" s="126" t="s">
        <v>160</v>
      </c>
      <c r="Q65" s="3"/>
      <c r="R65" s="126" t="s">
        <v>453</v>
      </c>
      <c r="S65" s="126" t="s">
        <v>454</v>
      </c>
      <c r="T65" s="3"/>
      <c r="U65" s="3"/>
      <c r="V65" s="3"/>
      <c r="W65" s="3"/>
      <c r="X65" s="3" t="s">
        <v>456</v>
      </c>
      <c r="Y65" s="3" t="s">
        <v>455</v>
      </c>
      <c r="Z65" s="126" t="s">
        <v>457</v>
      </c>
      <c r="AA65" s="3"/>
      <c r="AB65" s="126" t="s">
        <v>160</v>
      </c>
      <c r="AC65" s="126" t="s">
        <v>160</v>
      </c>
      <c r="AD65" s="3"/>
      <c r="AE65" s="126"/>
      <c r="AF65" s="3"/>
      <c r="AG65" s="147" t="s">
        <v>463</v>
      </c>
      <c r="AH65" s="126" t="s">
        <v>458</v>
      </c>
      <c r="AI65" s="3"/>
      <c r="AJ65" s="3"/>
      <c r="AK65" s="3"/>
      <c r="AL65" s="126" t="s">
        <v>459</v>
      </c>
      <c r="AM65" s="126" t="s">
        <v>192</v>
      </c>
      <c r="AN65" s="3"/>
      <c r="AO65" s="3"/>
      <c r="AP65" s="3"/>
      <c r="AQ65" s="3"/>
      <c r="AR65" s="3"/>
      <c r="AS65" s="3"/>
      <c r="AT65" s="3"/>
      <c r="AU65" s="3"/>
      <c r="AV65" s="3"/>
      <c r="AW65" s="3"/>
      <c r="AX65" s="3"/>
      <c r="AY65" s="3"/>
      <c r="AZ65" s="3"/>
    </row>
    <row r="66" spans="1:54" s="9" customFormat="1" ht="42.75" customHeight="1" x14ac:dyDescent="0.3">
      <c r="A66" s="54"/>
      <c r="B66" s="7"/>
      <c r="C66" s="7"/>
      <c r="D66" s="7"/>
      <c r="E66" s="3"/>
      <c r="F66" s="55"/>
      <c r="G66" s="136" t="s">
        <v>384</v>
      </c>
      <c r="H66" s="137" t="s">
        <v>401</v>
      </c>
      <c r="I66" s="3"/>
      <c r="J66" s="128" t="s">
        <v>417</v>
      </c>
      <c r="K66" s="137" t="s">
        <v>422</v>
      </c>
      <c r="L66" s="3" t="s">
        <v>231</v>
      </c>
      <c r="M66" s="139" t="s">
        <v>340</v>
      </c>
      <c r="N66" s="141" t="s">
        <v>184</v>
      </c>
      <c r="O66" s="141" t="s">
        <v>393</v>
      </c>
      <c r="P66" s="137" t="s">
        <v>395</v>
      </c>
      <c r="Q66" s="3"/>
      <c r="R66" s="136" t="s">
        <v>415</v>
      </c>
      <c r="S66" s="136" t="s">
        <v>396</v>
      </c>
      <c r="T66" s="142" t="s">
        <v>216</v>
      </c>
      <c r="U66" s="142" t="s">
        <v>216</v>
      </c>
      <c r="V66" s="142" t="s">
        <v>216</v>
      </c>
      <c r="W66" s="3" t="s">
        <v>254</v>
      </c>
      <c r="X66" s="142" t="s">
        <v>110</v>
      </c>
      <c r="Y66" s="142" t="s">
        <v>217</v>
      </c>
      <c r="Z66" s="142" t="s">
        <v>419</v>
      </c>
      <c r="AA66" s="3" t="s">
        <v>218</v>
      </c>
      <c r="AB66" s="139" t="s">
        <v>399</v>
      </c>
      <c r="AC66" s="139" t="s">
        <v>413</v>
      </c>
      <c r="AD66" s="3" t="s">
        <v>224</v>
      </c>
      <c r="AE66" s="140" t="s">
        <v>418</v>
      </c>
      <c r="AF66" s="3" t="s">
        <v>159</v>
      </c>
      <c r="AG66" s="138" t="s">
        <v>386</v>
      </c>
      <c r="AH66" s="138" t="s">
        <v>387</v>
      </c>
      <c r="AI66" s="3"/>
      <c r="AJ66" s="3" t="s">
        <v>280</v>
      </c>
      <c r="AK66" s="3" t="s">
        <v>281</v>
      </c>
      <c r="AL66" s="140" t="s">
        <v>234</v>
      </c>
      <c r="AM66" s="141" t="s">
        <v>409</v>
      </c>
      <c r="AN66" s="3"/>
      <c r="AO66" s="3"/>
      <c r="AP66" s="3"/>
      <c r="AQ66" s="3"/>
      <c r="AR66" s="3"/>
      <c r="AS66" s="3"/>
      <c r="AT66" s="3"/>
      <c r="AU66" s="3"/>
      <c r="AV66" s="3"/>
      <c r="AW66" s="3"/>
      <c r="AX66" s="3"/>
      <c r="AY66" s="3"/>
      <c r="AZ66" s="3"/>
      <c r="BA66" s="3"/>
      <c r="BB66" s="3"/>
    </row>
    <row r="67" spans="1:54" s="9" customFormat="1" ht="37.5" customHeight="1" x14ac:dyDescent="0.25">
      <c r="A67" s="166" t="s">
        <v>57</v>
      </c>
      <c r="B67" s="167"/>
      <c r="C67" s="167"/>
      <c r="D67" s="168"/>
      <c r="E67" s="173" t="s">
        <v>133</v>
      </c>
      <c r="F67" s="174"/>
      <c r="G67" s="107" t="s">
        <v>84</v>
      </c>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8"/>
      <c r="AN67" s="3"/>
      <c r="AO67" s="3"/>
      <c r="AP67" s="3"/>
      <c r="AQ67" s="3"/>
      <c r="AR67" s="3"/>
      <c r="AS67" s="3"/>
      <c r="AT67" s="3"/>
      <c r="AU67" s="3"/>
      <c r="AV67" s="3"/>
      <c r="AW67" s="3"/>
      <c r="AX67" s="3"/>
      <c r="AY67" s="3"/>
      <c r="AZ67" s="3"/>
      <c r="BA67" s="3"/>
      <c r="BB67" s="3"/>
    </row>
    <row r="68" spans="1:54" s="9" customFormat="1" ht="35.25" customHeight="1" x14ac:dyDescent="0.25">
      <c r="A68" s="169"/>
      <c r="B68" s="170"/>
      <c r="C68" s="170"/>
      <c r="D68" s="170"/>
      <c r="E68" s="177"/>
      <c r="F68" s="178"/>
      <c r="G68" s="57"/>
      <c r="H68" s="57"/>
      <c r="I68" s="57"/>
      <c r="J68" s="57"/>
      <c r="K68" s="57"/>
      <c r="L68" s="57"/>
      <c r="M68" s="57"/>
      <c r="N68" s="57"/>
      <c r="O68" s="58"/>
      <c r="P68" s="57"/>
      <c r="Q68" s="57"/>
      <c r="R68" s="103" t="s">
        <v>227</v>
      </c>
      <c r="S68" s="104"/>
      <c r="T68" s="104"/>
      <c r="U68" s="104"/>
      <c r="V68" s="104"/>
      <c r="W68" s="104"/>
      <c r="X68" s="104"/>
      <c r="Y68" s="104"/>
      <c r="Z68" s="104"/>
      <c r="AA68" s="104"/>
      <c r="AB68" s="104"/>
      <c r="AC68" s="104"/>
      <c r="AD68" s="104"/>
      <c r="AE68" s="104"/>
      <c r="AF68" s="104"/>
      <c r="AG68" s="104"/>
      <c r="AH68" s="104"/>
      <c r="AI68" s="104"/>
      <c r="AJ68" s="104"/>
      <c r="AK68" s="104"/>
      <c r="AL68" s="104"/>
      <c r="AM68" s="113"/>
      <c r="AN68" s="3"/>
      <c r="AO68" s="3"/>
      <c r="AP68" s="3"/>
      <c r="AQ68" s="3"/>
      <c r="AR68" s="3"/>
      <c r="AS68" s="3"/>
      <c r="AT68" s="3"/>
      <c r="AU68" s="3"/>
      <c r="AV68" s="3"/>
      <c r="AW68" s="3"/>
      <c r="AX68" s="3"/>
      <c r="AY68" s="3"/>
      <c r="AZ68" s="3"/>
      <c r="BA68" s="3"/>
      <c r="BB68" s="3"/>
    </row>
    <row r="69" spans="1:54" s="3" customFormat="1" ht="126.75" customHeight="1" x14ac:dyDescent="0.25">
      <c r="A69" s="171"/>
      <c r="B69" s="172"/>
      <c r="C69" s="172"/>
      <c r="D69" s="172"/>
      <c r="E69" s="59" t="s">
        <v>60</v>
      </c>
      <c r="F69" s="59" t="s">
        <v>61</v>
      </c>
      <c r="G69" s="100" t="s">
        <v>330</v>
      </c>
      <c r="H69" s="100" t="s">
        <v>235</v>
      </c>
      <c r="I69" s="100" t="s">
        <v>221</v>
      </c>
      <c r="J69" s="100" t="s">
        <v>240</v>
      </c>
      <c r="K69" s="100" t="s">
        <v>406</v>
      </c>
      <c r="L69" s="100" t="s">
        <v>230</v>
      </c>
      <c r="M69" s="118" t="s">
        <v>353</v>
      </c>
      <c r="N69" s="100" t="s">
        <v>243</v>
      </c>
      <c r="O69" s="100" t="s">
        <v>182</v>
      </c>
      <c r="P69" s="100" t="s">
        <v>121</v>
      </c>
      <c r="Q69" s="100" t="s">
        <v>248</v>
      </c>
      <c r="R69" s="100" t="s">
        <v>232</v>
      </c>
      <c r="S69" s="100" t="s">
        <v>249</v>
      </c>
      <c r="T69" s="100" t="s">
        <v>420</v>
      </c>
      <c r="U69" s="100" t="s">
        <v>241</v>
      </c>
      <c r="V69" s="100" t="s">
        <v>238</v>
      </c>
      <c r="W69" s="100" t="s">
        <v>222</v>
      </c>
      <c r="X69" s="100" t="s">
        <v>237</v>
      </c>
      <c r="Y69" s="100" t="s">
        <v>236</v>
      </c>
      <c r="Z69" s="100" t="s">
        <v>246</v>
      </c>
      <c r="AA69" s="100" t="s">
        <v>223</v>
      </c>
      <c r="AB69" s="100" t="s">
        <v>245</v>
      </c>
      <c r="AC69" s="100" t="s">
        <v>251</v>
      </c>
      <c r="AD69" s="100" t="s">
        <v>225</v>
      </c>
      <c r="AE69" s="100" t="s">
        <v>247</v>
      </c>
      <c r="AF69" s="100" t="s">
        <v>252</v>
      </c>
      <c r="AG69" s="100" t="s">
        <v>337</v>
      </c>
      <c r="AH69" s="100" t="s">
        <v>233</v>
      </c>
      <c r="AI69" s="100" t="s">
        <v>242</v>
      </c>
      <c r="AJ69" s="100" t="s">
        <v>356</v>
      </c>
      <c r="AK69" s="100" t="s">
        <v>220</v>
      </c>
      <c r="AL69" s="100" t="s">
        <v>226</v>
      </c>
      <c r="AM69" s="100" t="s">
        <v>250</v>
      </c>
      <c r="AN69" s="100" t="s">
        <v>470</v>
      </c>
      <c r="AO69" s="100" t="s">
        <v>468</v>
      </c>
      <c r="AP69" s="100" t="s">
        <v>469</v>
      </c>
      <c r="AQ69" s="100" t="s">
        <v>471</v>
      </c>
      <c r="AR69" s="100" t="s">
        <v>473</v>
      </c>
    </row>
    <row r="70" spans="1:54" s="9" customFormat="1" ht="13.2" customHeight="1" x14ac:dyDescent="0.25">
      <c r="A70" s="46"/>
      <c r="D70" s="60"/>
      <c r="E70" s="34"/>
      <c r="F70" s="34"/>
      <c r="G70" s="62"/>
      <c r="H70" s="62"/>
      <c r="I70" s="62"/>
      <c r="J70" s="62"/>
      <c r="K70" s="34"/>
      <c r="L70" s="34"/>
      <c r="M70" s="34"/>
      <c r="N70" s="34"/>
      <c r="O70" s="3"/>
      <c r="P70" s="34"/>
      <c r="Q70" s="34"/>
      <c r="R70" s="61"/>
      <c r="S70" s="51"/>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
      <c r="AT70" s="3"/>
      <c r="AU70" s="3"/>
      <c r="AV70" s="3"/>
      <c r="AW70" s="3"/>
      <c r="AX70" s="3"/>
      <c r="AY70" s="3"/>
      <c r="AZ70" s="3"/>
      <c r="BA70" s="3"/>
      <c r="BB70" s="3"/>
    </row>
    <row r="71" spans="1:54" s="9" customFormat="1" ht="13.2" customHeight="1" x14ac:dyDescent="0.25">
      <c r="A71" s="63" t="s">
        <v>62</v>
      </c>
      <c r="B71" s="64"/>
      <c r="C71" s="64"/>
      <c r="D71" s="65"/>
      <c r="E71" s="66">
        <f>SUM(E73,E81,E91,E100)</f>
        <v>34</v>
      </c>
      <c r="F71" s="67">
        <f t="shared" ref="F71:AM71" si="0">SUM(F73,F81,F91,F100)</f>
        <v>74</v>
      </c>
      <c r="G71" s="67">
        <f t="shared" si="0"/>
        <v>9</v>
      </c>
      <c r="H71" s="67">
        <f t="shared" si="0"/>
        <v>6</v>
      </c>
      <c r="I71" s="67">
        <f t="shared" si="0"/>
        <v>2</v>
      </c>
      <c r="J71" s="67">
        <f t="shared" si="0"/>
        <v>2</v>
      </c>
      <c r="K71" s="67">
        <f t="shared" si="0"/>
        <v>1</v>
      </c>
      <c r="L71" s="67">
        <f t="shared" si="0"/>
        <v>1</v>
      </c>
      <c r="M71" s="67">
        <f t="shared" si="0"/>
        <v>1</v>
      </c>
      <c r="N71" s="67">
        <f t="shared" si="0"/>
        <v>1</v>
      </c>
      <c r="O71" s="68">
        <f t="shared" si="0"/>
        <v>2</v>
      </c>
      <c r="P71" s="67">
        <f t="shared" si="0"/>
        <v>2</v>
      </c>
      <c r="Q71" s="67">
        <f t="shared" si="0"/>
        <v>1</v>
      </c>
      <c r="R71" s="67">
        <f t="shared" si="0"/>
        <v>6</v>
      </c>
      <c r="S71" s="67">
        <f t="shared" si="0"/>
        <v>9</v>
      </c>
      <c r="T71" s="67">
        <f t="shared" si="0"/>
        <v>1</v>
      </c>
      <c r="U71" s="67">
        <f t="shared" si="0"/>
        <v>1</v>
      </c>
      <c r="V71" s="67">
        <f t="shared" si="0"/>
        <v>1</v>
      </c>
      <c r="W71" s="67">
        <f t="shared" si="0"/>
        <v>3</v>
      </c>
      <c r="X71" s="67">
        <f t="shared" si="0"/>
        <v>2</v>
      </c>
      <c r="Y71" s="67">
        <f t="shared" si="0"/>
        <v>3</v>
      </c>
      <c r="Z71" s="67">
        <f>SUM(Z73,Z81,Z91,Z100)</f>
        <v>1</v>
      </c>
      <c r="AA71" s="67">
        <f t="shared" si="0"/>
        <v>1</v>
      </c>
      <c r="AB71" s="67">
        <f t="shared" si="0"/>
        <v>3</v>
      </c>
      <c r="AC71" s="67">
        <f t="shared" si="0"/>
        <v>2</v>
      </c>
      <c r="AD71" s="67">
        <f t="shared" si="0"/>
        <v>2</v>
      </c>
      <c r="AE71" s="67">
        <f t="shared" si="0"/>
        <v>3</v>
      </c>
      <c r="AF71" s="67">
        <f t="shared" si="0"/>
        <v>2</v>
      </c>
      <c r="AG71" s="67">
        <f t="shared" si="0"/>
        <v>5</v>
      </c>
      <c r="AH71" s="67">
        <f t="shared" si="0"/>
        <v>1</v>
      </c>
      <c r="AI71" s="67">
        <f t="shared" si="0"/>
        <v>2</v>
      </c>
      <c r="AJ71" s="67">
        <f t="shared" si="0"/>
        <v>1</v>
      </c>
      <c r="AK71" s="67">
        <f t="shared" si="0"/>
        <v>1</v>
      </c>
      <c r="AL71" s="67">
        <f t="shared" si="0"/>
        <v>1</v>
      </c>
      <c r="AM71" s="67">
        <f t="shared" si="0"/>
        <v>1</v>
      </c>
      <c r="AN71" s="67">
        <f t="shared" ref="AN71:AO71" si="1">SUM(AN73,AN81,AN91,AN100)</f>
        <v>1</v>
      </c>
      <c r="AO71" s="67">
        <f t="shared" si="1"/>
        <v>1</v>
      </c>
      <c r="AP71" s="67">
        <f t="shared" ref="AP71:AR71" si="2">SUM(AP73,AP81,AP91,AP100)</f>
        <v>1</v>
      </c>
      <c r="AQ71" s="67">
        <f t="shared" si="2"/>
        <v>1</v>
      </c>
      <c r="AR71" s="67">
        <f t="shared" si="2"/>
        <v>1</v>
      </c>
      <c r="AS71" s="3"/>
      <c r="AT71" s="3"/>
      <c r="AU71" s="3"/>
      <c r="AV71" s="3"/>
      <c r="AW71" s="3"/>
      <c r="AX71" s="3"/>
      <c r="AY71" s="3"/>
      <c r="AZ71" s="3"/>
      <c r="BA71" s="3"/>
      <c r="BB71" s="3"/>
    </row>
    <row r="72" spans="1:54" s="9" customFormat="1" ht="13.2" customHeight="1" x14ac:dyDescent="0.25">
      <c r="A72" s="46" t="s">
        <v>63</v>
      </c>
      <c r="D72" s="60"/>
      <c r="E72" s="34"/>
      <c r="F72" s="34"/>
      <c r="G72" s="71"/>
      <c r="H72" s="71"/>
      <c r="I72" s="71"/>
      <c r="J72" s="71"/>
      <c r="K72" s="71"/>
      <c r="L72" s="70"/>
      <c r="M72" s="71"/>
      <c r="N72" s="70"/>
      <c r="O72" s="3"/>
      <c r="P72" s="34"/>
      <c r="Q72" s="70"/>
      <c r="R72" s="71"/>
      <c r="S72" s="70"/>
      <c r="T72" s="70"/>
      <c r="U72" s="70"/>
      <c r="V72" s="70"/>
      <c r="W72" s="34"/>
      <c r="X72" s="70"/>
      <c r="Y72" s="70"/>
      <c r="Z72" s="70"/>
      <c r="AA72" s="70"/>
      <c r="AB72" s="34"/>
      <c r="AC72" s="34"/>
      <c r="AD72" s="70"/>
      <c r="AE72" s="70"/>
      <c r="AF72" s="34"/>
      <c r="AG72" s="34"/>
      <c r="AH72" s="34"/>
      <c r="AI72" s="70"/>
      <c r="AJ72" s="70"/>
      <c r="AK72" s="34"/>
      <c r="AL72" s="34"/>
      <c r="AM72" s="70"/>
      <c r="AN72" s="70"/>
      <c r="AO72" s="70"/>
      <c r="AP72" s="70"/>
      <c r="AQ72" s="70"/>
      <c r="AR72" s="70"/>
      <c r="AS72" s="3"/>
      <c r="AT72" s="3"/>
      <c r="AU72" s="3"/>
      <c r="AV72" s="3"/>
      <c r="AW72" s="3"/>
      <c r="AX72" s="3"/>
      <c r="AY72" s="3"/>
      <c r="AZ72" s="3"/>
      <c r="BA72" s="3"/>
      <c r="BB72" s="3"/>
    </row>
    <row r="73" spans="1:54" s="78" customFormat="1" x14ac:dyDescent="0.3">
      <c r="A73" s="80" t="s">
        <v>13</v>
      </c>
      <c r="B73" s="7"/>
      <c r="C73" s="7"/>
      <c r="D73" s="3"/>
      <c r="E73" s="74">
        <f>G17</f>
        <v>5</v>
      </c>
      <c r="F73" s="75">
        <f t="shared" ref="F73:AM73" si="3">SUM(F74:F79)</f>
        <v>21</v>
      </c>
      <c r="G73" s="75">
        <f t="shared" si="3"/>
        <v>0</v>
      </c>
      <c r="H73" s="75">
        <f t="shared" si="3"/>
        <v>2</v>
      </c>
      <c r="I73" s="75">
        <f t="shared" si="3"/>
        <v>2</v>
      </c>
      <c r="J73" s="75">
        <f t="shared" si="3"/>
        <v>1</v>
      </c>
      <c r="K73" s="75">
        <f t="shared" si="3"/>
        <v>0</v>
      </c>
      <c r="L73" s="75">
        <f t="shared" si="3"/>
        <v>0</v>
      </c>
      <c r="M73" s="75">
        <f>SUM(M74:M79)</f>
        <v>1</v>
      </c>
      <c r="N73" s="75">
        <f t="shared" si="3"/>
        <v>0</v>
      </c>
      <c r="O73" s="60">
        <f t="shared" si="3"/>
        <v>0</v>
      </c>
      <c r="P73" s="75">
        <f t="shared" si="3"/>
        <v>1</v>
      </c>
      <c r="Q73" s="75">
        <f t="shared" si="3"/>
        <v>0</v>
      </c>
      <c r="R73" s="75">
        <f t="shared" si="3"/>
        <v>4</v>
      </c>
      <c r="S73" s="75">
        <f t="shared" si="3"/>
        <v>4</v>
      </c>
      <c r="T73" s="75">
        <f t="shared" si="3"/>
        <v>0</v>
      </c>
      <c r="U73" s="75">
        <f t="shared" si="3"/>
        <v>0</v>
      </c>
      <c r="V73" s="75">
        <f t="shared" si="3"/>
        <v>0</v>
      </c>
      <c r="W73" s="75">
        <f t="shared" si="3"/>
        <v>3</v>
      </c>
      <c r="X73" s="75">
        <f t="shared" si="3"/>
        <v>1</v>
      </c>
      <c r="Y73" s="75">
        <f t="shared" si="3"/>
        <v>2</v>
      </c>
      <c r="Z73" s="75">
        <f>SUM(Z74:Z79)</f>
        <v>0</v>
      </c>
      <c r="AA73" s="75">
        <f t="shared" si="3"/>
        <v>1</v>
      </c>
      <c r="AB73" s="75">
        <f t="shared" si="3"/>
        <v>0</v>
      </c>
      <c r="AC73" s="75">
        <f t="shared" si="3"/>
        <v>0</v>
      </c>
      <c r="AD73" s="75">
        <f t="shared" si="3"/>
        <v>2</v>
      </c>
      <c r="AE73" s="75">
        <f t="shared" si="3"/>
        <v>0</v>
      </c>
      <c r="AF73" s="75">
        <f t="shared" si="3"/>
        <v>0</v>
      </c>
      <c r="AG73" s="75">
        <f>SUM(AG74:AG79)</f>
        <v>0</v>
      </c>
      <c r="AH73" s="75">
        <f t="shared" si="3"/>
        <v>0</v>
      </c>
      <c r="AI73" s="75">
        <f t="shared" si="3"/>
        <v>0</v>
      </c>
      <c r="AJ73" s="75">
        <f t="shared" si="3"/>
        <v>1</v>
      </c>
      <c r="AK73" s="75">
        <f t="shared" si="3"/>
        <v>1</v>
      </c>
      <c r="AL73" s="75">
        <f t="shared" si="3"/>
        <v>1</v>
      </c>
      <c r="AM73" s="75">
        <f t="shared" si="3"/>
        <v>0</v>
      </c>
      <c r="AN73" s="75">
        <f t="shared" ref="AN73:AO73" si="4">SUM(AN74:AN79)</f>
        <v>1</v>
      </c>
      <c r="AO73" s="75">
        <f t="shared" si="4"/>
        <v>1</v>
      </c>
      <c r="AP73" s="75">
        <f t="shared" ref="AP73:AR73" si="5">SUM(AP74:AP79)</f>
        <v>1</v>
      </c>
      <c r="AQ73" s="75">
        <f t="shared" si="5"/>
        <v>1</v>
      </c>
      <c r="AR73" s="75">
        <f t="shared" si="5"/>
        <v>1</v>
      </c>
      <c r="AS73" s="3"/>
      <c r="AT73" s="4"/>
      <c r="AU73" s="4"/>
      <c r="AV73" s="4"/>
      <c r="AW73" s="4"/>
      <c r="AX73" s="4"/>
      <c r="AY73" s="4"/>
    </row>
    <row r="74" spans="1:54" s="78" customFormat="1" outlineLevel="1" x14ac:dyDescent="0.3">
      <c r="A74" s="47" t="s">
        <v>288</v>
      </c>
      <c r="B74" s="7"/>
      <c r="C74" s="7"/>
      <c r="D74" s="3"/>
      <c r="E74" s="34"/>
      <c r="F74" s="76">
        <f>SUM(G74:AM74)</f>
        <v>5</v>
      </c>
      <c r="G74" s="76"/>
      <c r="H74" s="76">
        <v>1</v>
      </c>
      <c r="I74" s="76">
        <v>1</v>
      </c>
      <c r="J74" s="76"/>
      <c r="K74" s="76"/>
      <c r="L74" s="76"/>
      <c r="M74" s="76"/>
      <c r="N74" s="76"/>
      <c r="O74" s="77"/>
      <c r="P74" s="76"/>
      <c r="Q74" s="76"/>
      <c r="R74" s="76">
        <v>1</v>
      </c>
      <c r="S74" s="76">
        <v>1</v>
      </c>
      <c r="T74" s="76"/>
      <c r="U74" s="76"/>
      <c r="V74" s="76"/>
      <c r="W74" s="76">
        <v>1</v>
      </c>
      <c r="X74" s="76"/>
      <c r="Y74" s="76"/>
      <c r="Z74" s="76"/>
      <c r="AA74" s="76"/>
      <c r="AB74" s="76"/>
      <c r="AC74" s="76"/>
      <c r="AD74" s="76"/>
      <c r="AE74" s="76"/>
      <c r="AF74" s="76"/>
      <c r="AG74" s="76"/>
      <c r="AH74" s="76"/>
      <c r="AI74" s="76"/>
      <c r="AJ74" s="76"/>
      <c r="AK74" s="76"/>
      <c r="AL74" s="76"/>
      <c r="AM74" s="76"/>
      <c r="AN74" s="76"/>
      <c r="AO74" s="76"/>
      <c r="AP74" s="76"/>
      <c r="AQ74" s="76"/>
      <c r="AR74" s="76"/>
      <c r="AS74" s="3"/>
      <c r="AT74" s="4"/>
      <c r="AU74" s="4" t="s">
        <v>63</v>
      </c>
      <c r="AV74" s="4"/>
      <c r="AW74" s="4"/>
      <c r="AX74" s="4"/>
      <c r="AY74" s="4"/>
    </row>
    <row r="75" spans="1:54" s="1" customFormat="1" outlineLevel="1" x14ac:dyDescent="0.3">
      <c r="A75" s="47" t="s">
        <v>290</v>
      </c>
      <c r="B75" s="7"/>
      <c r="C75" s="7"/>
      <c r="D75" s="3"/>
      <c r="E75" s="34"/>
      <c r="F75" s="76">
        <f>SUM(G75:AM75)</f>
        <v>4</v>
      </c>
      <c r="G75" s="76"/>
      <c r="H75" s="76"/>
      <c r="I75" s="76"/>
      <c r="J75" s="76"/>
      <c r="K75" s="76"/>
      <c r="L75" s="76"/>
      <c r="M75" s="76"/>
      <c r="N75" s="76"/>
      <c r="O75" s="77"/>
      <c r="P75" s="76"/>
      <c r="Q75" s="76"/>
      <c r="R75" s="76"/>
      <c r="S75" s="76">
        <v>1</v>
      </c>
      <c r="T75" s="76"/>
      <c r="U75" s="76"/>
      <c r="V75" s="76"/>
      <c r="W75" s="76"/>
      <c r="X75" s="76">
        <v>1</v>
      </c>
      <c r="Y75" s="76"/>
      <c r="Z75" s="76"/>
      <c r="AA75" s="76"/>
      <c r="AB75" s="76"/>
      <c r="AC75" s="76"/>
      <c r="AD75" s="76"/>
      <c r="AE75" s="76"/>
      <c r="AF75" s="76"/>
      <c r="AG75" s="76"/>
      <c r="AH75" s="76"/>
      <c r="AI75" s="76"/>
      <c r="AJ75" s="76">
        <v>1</v>
      </c>
      <c r="AK75" s="76">
        <v>1</v>
      </c>
      <c r="AL75" s="76"/>
      <c r="AM75" s="76"/>
      <c r="AN75" s="76"/>
      <c r="AO75" s="76"/>
      <c r="AP75" s="76"/>
      <c r="AQ75" s="76"/>
      <c r="AR75" s="76"/>
      <c r="AS75" s="3"/>
      <c r="AT75" s="2"/>
      <c r="AU75" s="2"/>
      <c r="AV75" s="2"/>
      <c r="AW75" s="2"/>
      <c r="AX75" s="2"/>
      <c r="AY75" s="2"/>
    </row>
    <row r="76" spans="1:54" s="1" customFormat="1" outlineLevel="1" x14ac:dyDescent="0.3">
      <c r="A76" s="47" t="s">
        <v>291</v>
      </c>
      <c r="B76" s="7"/>
      <c r="C76" s="7"/>
      <c r="D76" s="3"/>
      <c r="E76" s="34"/>
      <c r="F76" s="76">
        <f>SUM(G76:AM76)</f>
        <v>5</v>
      </c>
      <c r="G76" s="76"/>
      <c r="H76" s="76">
        <v>1</v>
      </c>
      <c r="I76" s="76">
        <v>1</v>
      </c>
      <c r="J76" s="76"/>
      <c r="K76" s="76"/>
      <c r="L76" s="76"/>
      <c r="M76" s="76"/>
      <c r="N76" s="76"/>
      <c r="O76" s="77"/>
      <c r="P76" s="76"/>
      <c r="Q76" s="76"/>
      <c r="R76" s="76">
        <v>1</v>
      </c>
      <c r="S76" s="76">
        <v>1</v>
      </c>
      <c r="T76" s="76"/>
      <c r="U76" s="76"/>
      <c r="V76" s="76"/>
      <c r="W76" s="76">
        <v>1</v>
      </c>
      <c r="X76" s="76"/>
      <c r="Y76" s="76"/>
      <c r="Z76" s="76"/>
      <c r="AA76" s="76"/>
      <c r="AB76" s="76"/>
      <c r="AC76" s="76"/>
      <c r="AD76" s="76"/>
      <c r="AE76" s="76"/>
      <c r="AF76" s="76"/>
      <c r="AG76" s="76"/>
      <c r="AH76" s="76"/>
      <c r="AI76" s="76"/>
      <c r="AJ76" s="76"/>
      <c r="AK76" s="76"/>
      <c r="AL76" s="76"/>
      <c r="AM76" s="76"/>
      <c r="AN76" s="76"/>
      <c r="AO76" s="76"/>
      <c r="AP76" s="76"/>
      <c r="AQ76" s="76"/>
      <c r="AR76" s="76"/>
      <c r="AS76" s="3"/>
      <c r="AT76" s="2"/>
      <c r="AU76" s="2"/>
      <c r="AV76" s="2"/>
      <c r="AW76" s="2"/>
      <c r="AX76" s="2"/>
      <c r="AY76" s="2"/>
    </row>
    <row r="77" spans="1:54" s="1" customFormat="1" outlineLevel="1" x14ac:dyDescent="0.3">
      <c r="A77" s="47" t="s">
        <v>292</v>
      </c>
      <c r="B77" s="7"/>
      <c r="C77" s="7"/>
      <c r="D77" s="3"/>
      <c r="E77" s="34"/>
      <c r="F77" s="76">
        <f>SUM(G77:AM77)</f>
        <v>6</v>
      </c>
      <c r="G77" s="76"/>
      <c r="H77" s="76"/>
      <c r="I77" s="76"/>
      <c r="J77" s="76">
        <v>1</v>
      </c>
      <c r="K77" s="76"/>
      <c r="L77" s="76"/>
      <c r="M77" s="76"/>
      <c r="N77" s="76"/>
      <c r="O77" s="77"/>
      <c r="P77" s="76"/>
      <c r="Q77" s="76"/>
      <c r="R77" s="76">
        <v>1</v>
      </c>
      <c r="S77" s="76"/>
      <c r="T77" s="76"/>
      <c r="U77" s="76"/>
      <c r="V77" s="76"/>
      <c r="W77" s="76"/>
      <c r="X77" s="76"/>
      <c r="Y77" s="76">
        <v>1</v>
      </c>
      <c r="Z77" s="76"/>
      <c r="AA77" s="76">
        <v>1</v>
      </c>
      <c r="AB77" s="76"/>
      <c r="AC77" s="76"/>
      <c r="AD77" s="76">
        <v>1</v>
      </c>
      <c r="AE77" s="76"/>
      <c r="AF77" s="76"/>
      <c r="AG77" s="76"/>
      <c r="AH77" s="76"/>
      <c r="AI77" s="76"/>
      <c r="AJ77" s="76"/>
      <c r="AK77" s="76"/>
      <c r="AL77" s="76">
        <v>1</v>
      </c>
      <c r="AM77" s="76"/>
      <c r="AN77" s="76"/>
      <c r="AO77" s="76"/>
      <c r="AP77" s="76"/>
      <c r="AQ77" s="76"/>
      <c r="AR77" s="76"/>
      <c r="AS77" s="3"/>
      <c r="AT77" s="2"/>
      <c r="AU77" s="2"/>
      <c r="AV77" s="2"/>
      <c r="AW77" s="2"/>
      <c r="AX77" s="2"/>
      <c r="AY77" s="2"/>
    </row>
    <row r="78" spans="1:54" s="1" customFormat="1" outlineLevel="1" x14ac:dyDescent="0.3">
      <c r="A78" s="47" t="s">
        <v>467</v>
      </c>
      <c r="B78" s="7"/>
      <c r="C78" s="7"/>
      <c r="D78" s="3"/>
      <c r="E78" s="34"/>
      <c r="F78" s="76"/>
      <c r="G78" s="76"/>
      <c r="H78" s="76"/>
      <c r="I78" s="76"/>
      <c r="J78" s="76"/>
      <c r="K78" s="76"/>
      <c r="L78" s="76"/>
      <c r="M78" s="76"/>
      <c r="N78" s="76"/>
      <c r="O78" s="77"/>
      <c r="P78" s="76">
        <v>1</v>
      </c>
      <c r="Q78" s="76"/>
      <c r="R78" s="76">
        <v>1</v>
      </c>
      <c r="S78" s="76">
        <v>1</v>
      </c>
      <c r="T78" s="76"/>
      <c r="U78" s="76"/>
      <c r="V78" s="76"/>
      <c r="W78" s="76">
        <v>1</v>
      </c>
      <c r="X78" s="76"/>
      <c r="Y78" s="76">
        <v>1</v>
      </c>
      <c r="Z78" s="76"/>
      <c r="AA78" s="76"/>
      <c r="AB78" s="76"/>
      <c r="AC78" s="76"/>
      <c r="AD78" s="76">
        <v>1</v>
      </c>
      <c r="AE78" s="76"/>
      <c r="AF78" s="76"/>
      <c r="AG78" s="76"/>
      <c r="AH78" s="76"/>
      <c r="AI78" s="76"/>
      <c r="AJ78" s="76"/>
      <c r="AK78" s="76"/>
      <c r="AL78" s="76"/>
      <c r="AM78" s="76"/>
      <c r="AN78" s="76">
        <v>1</v>
      </c>
      <c r="AO78" s="76">
        <v>1</v>
      </c>
      <c r="AP78" s="76">
        <v>1</v>
      </c>
      <c r="AQ78" s="76">
        <v>1</v>
      </c>
      <c r="AR78" s="76">
        <v>1</v>
      </c>
      <c r="AS78" s="3"/>
      <c r="AT78" s="2"/>
      <c r="AU78" s="2"/>
      <c r="AV78" s="2"/>
      <c r="AW78" s="2"/>
      <c r="AX78" s="2"/>
      <c r="AY78" s="2"/>
    </row>
    <row r="79" spans="1:54" s="1" customFormat="1" outlineLevel="1" x14ac:dyDescent="0.3">
      <c r="A79" s="47" t="s">
        <v>293</v>
      </c>
      <c r="B79" s="7"/>
      <c r="C79" s="7"/>
      <c r="D79" s="3"/>
      <c r="E79" s="34"/>
      <c r="F79" s="76">
        <f>SUM(G79:AM79)</f>
        <v>1</v>
      </c>
      <c r="G79" s="76"/>
      <c r="H79" s="76"/>
      <c r="I79" s="76"/>
      <c r="J79" s="76"/>
      <c r="K79" s="76"/>
      <c r="L79" s="76"/>
      <c r="M79" s="76">
        <v>1</v>
      </c>
      <c r="N79" s="76"/>
      <c r="O79" s="77"/>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3"/>
      <c r="AT79" s="2"/>
      <c r="AU79" s="2"/>
      <c r="AV79" s="2"/>
      <c r="AW79" s="2"/>
      <c r="AX79" s="2"/>
      <c r="AY79" s="2"/>
    </row>
    <row r="80" spans="1:54" s="78" customFormat="1" x14ac:dyDescent="0.3">
      <c r="A80" s="79"/>
      <c r="B80" s="7"/>
      <c r="C80" s="7"/>
      <c r="D80" s="3"/>
      <c r="E80" s="34"/>
      <c r="F80" s="34"/>
      <c r="G80" s="61"/>
      <c r="H80" s="61"/>
      <c r="I80" s="61"/>
      <c r="J80" s="61"/>
      <c r="K80" s="61"/>
      <c r="L80" s="34"/>
      <c r="M80" s="61"/>
      <c r="N80" s="34"/>
      <c r="O80" s="3"/>
      <c r="P80" s="61"/>
      <c r="Q80" s="34"/>
      <c r="R80" s="61"/>
      <c r="S80" s="34"/>
      <c r="T80" s="34"/>
      <c r="U80" s="34"/>
      <c r="V80" s="34"/>
      <c r="W80" s="61"/>
      <c r="X80" s="34"/>
      <c r="Y80" s="34"/>
      <c r="Z80" s="34"/>
      <c r="AA80" s="34"/>
      <c r="AB80" s="61"/>
      <c r="AC80" s="61"/>
      <c r="AD80" s="34"/>
      <c r="AE80" s="34"/>
      <c r="AF80" s="61"/>
      <c r="AG80" s="61"/>
      <c r="AH80" s="61"/>
      <c r="AI80" s="34"/>
      <c r="AJ80" s="34"/>
      <c r="AK80" s="61"/>
      <c r="AL80" s="61"/>
      <c r="AM80" s="34"/>
      <c r="AN80" s="34"/>
      <c r="AO80" s="34"/>
      <c r="AP80" s="34"/>
      <c r="AQ80" s="34"/>
      <c r="AR80" s="34"/>
      <c r="AS80" s="3"/>
      <c r="AT80" s="4"/>
      <c r="AU80" s="4"/>
      <c r="AV80" s="4"/>
      <c r="AW80" s="4"/>
      <c r="AX80" s="4"/>
      <c r="AY80" s="4"/>
    </row>
    <row r="81" spans="1:44" x14ac:dyDescent="0.3">
      <c r="A81" s="80" t="s">
        <v>19</v>
      </c>
      <c r="B81" s="81"/>
      <c r="C81" s="81"/>
      <c r="D81" s="81"/>
      <c r="E81" s="82">
        <f>G24</f>
        <v>8</v>
      </c>
      <c r="F81" s="83">
        <f t="shared" ref="F81:AM81" si="6">SUM(F82:F89)</f>
        <v>16</v>
      </c>
      <c r="G81" s="83">
        <f t="shared" si="6"/>
        <v>5</v>
      </c>
      <c r="H81" s="83">
        <f t="shared" si="6"/>
        <v>1</v>
      </c>
      <c r="I81" s="83">
        <f t="shared" si="6"/>
        <v>0</v>
      </c>
      <c r="J81" s="83">
        <f t="shared" si="6"/>
        <v>0</v>
      </c>
      <c r="K81" s="83">
        <f t="shared" si="6"/>
        <v>1</v>
      </c>
      <c r="L81" s="83">
        <f t="shared" si="6"/>
        <v>1</v>
      </c>
      <c r="M81" s="83">
        <f>SUM(M82:M89)</f>
        <v>0</v>
      </c>
      <c r="N81" s="83">
        <f t="shared" si="6"/>
        <v>0</v>
      </c>
      <c r="O81" s="84">
        <f t="shared" si="6"/>
        <v>0</v>
      </c>
      <c r="P81" s="83">
        <f t="shared" si="6"/>
        <v>0</v>
      </c>
      <c r="Q81" s="83">
        <f t="shared" si="6"/>
        <v>0</v>
      </c>
      <c r="R81" s="83">
        <f t="shared" si="6"/>
        <v>1</v>
      </c>
      <c r="S81" s="83">
        <f t="shared" si="6"/>
        <v>1</v>
      </c>
      <c r="T81" s="83">
        <f t="shared" si="6"/>
        <v>1</v>
      </c>
      <c r="U81" s="83">
        <f t="shared" si="6"/>
        <v>0</v>
      </c>
      <c r="V81" s="83">
        <f t="shared" si="6"/>
        <v>0</v>
      </c>
      <c r="W81" s="83">
        <f t="shared" si="6"/>
        <v>0</v>
      </c>
      <c r="X81" s="83">
        <f t="shared" si="6"/>
        <v>1</v>
      </c>
      <c r="Y81" s="83">
        <f t="shared" si="6"/>
        <v>1</v>
      </c>
      <c r="Z81" s="83">
        <f>SUM(Z82:Z89)</f>
        <v>0</v>
      </c>
      <c r="AA81" s="83">
        <f t="shared" si="6"/>
        <v>0</v>
      </c>
      <c r="AB81" s="83">
        <f t="shared" si="6"/>
        <v>0</v>
      </c>
      <c r="AC81" s="83">
        <f t="shared" si="6"/>
        <v>0</v>
      </c>
      <c r="AD81" s="83">
        <f t="shared" si="6"/>
        <v>0</v>
      </c>
      <c r="AE81" s="83">
        <f t="shared" si="6"/>
        <v>0</v>
      </c>
      <c r="AF81" s="83">
        <f t="shared" si="6"/>
        <v>0</v>
      </c>
      <c r="AG81" s="83">
        <f>SUM(AG82:AG89)</f>
        <v>2</v>
      </c>
      <c r="AH81" s="83">
        <f t="shared" si="6"/>
        <v>1</v>
      </c>
      <c r="AI81" s="83">
        <f t="shared" si="6"/>
        <v>0</v>
      </c>
      <c r="AJ81" s="83">
        <f t="shared" si="6"/>
        <v>0</v>
      </c>
      <c r="AK81" s="83">
        <f t="shared" si="6"/>
        <v>0</v>
      </c>
      <c r="AL81" s="83">
        <f t="shared" si="6"/>
        <v>0</v>
      </c>
      <c r="AM81" s="83">
        <f t="shared" si="6"/>
        <v>0</v>
      </c>
      <c r="AN81" s="83">
        <f t="shared" ref="AN81:AO81" si="7">SUM(AN82:AN89)</f>
        <v>0</v>
      </c>
      <c r="AO81" s="83">
        <f t="shared" si="7"/>
        <v>0</v>
      </c>
      <c r="AP81" s="83">
        <f t="shared" ref="AP81:AR81" si="8">SUM(AP82:AP89)</f>
        <v>0</v>
      </c>
      <c r="AQ81" s="83">
        <f t="shared" si="8"/>
        <v>0</v>
      </c>
      <c r="AR81" s="83">
        <f t="shared" si="8"/>
        <v>0</v>
      </c>
    </row>
    <row r="82" spans="1:44" outlineLevel="1" x14ac:dyDescent="0.3">
      <c r="A82" s="47" t="s">
        <v>294</v>
      </c>
      <c r="B82" s="81"/>
      <c r="C82" s="81"/>
      <c r="D82" s="81"/>
      <c r="E82" s="85"/>
      <c r="F82" s="76">
        <f t="shared" ref="F82:F89" si="9">SUM(G82:AM82)</f>
        <v>2</v>
      </c>
      <c r="G82" s="86"/>
      <c r="H82" s="86"/>
      <c r="I82" s="86"/>
      <c r="J82" s="86"/>
      <c r="K82" s="86"/>
      <c r="L82" s="86"/>
      <c r="M82" s="86"/>
      <c r="N82" s="86"/>
      <c r="O82" s="87"/>
      <c r="P82" s="86"/>
      <c r="Q82" s="86"/>
      <c r="R82" s="86"/>
      <c r="S82" s="86"/>
      <c r="T82" s="86">
        <v>1</v>
      </c>
      <c r="U82" s="86"/>
      <c r="V82" s="86"/>
      <c r="W82" s="86"/>
      <c r="X82" s="86"/>
      <c r="Y82" s="86"/>
      <c r="Z82" s="86"/>
      <c r="AA82" s="86"/>
      <c r="AB82" s="86"/>
      <c r="AC82" s="86"/>
      <c r="AD82" s="86"/>
      <c r="AE82" s="86"/>
      <c r="AF82" s="86"/>
      <c r="AG82" s="86">
        <v>1</v>
      </c>
      <c r="AH82" s="86"/>
      <c r="AI82" s="86"/>
      <c r="AJ82" s="86"/>
      <c r="AK82" s="86"/>
      <c r="AL82" s="86"/>
      <c r="AM82" s="86"/>
      <c r="AN82" s="86"/>
      <c r="AO82" s="86"/>
      <c r="AP82" s="86"/>
      <c r="AQ82" s="86"/>
      <c r="AR82" s="86"/>
    </row>
    <row r="83" spans="1:44" outlineLevel="1" x14ac:dyDescent="0.3">
      <c r="A83" s="47" t="s">
        <v>295</v>
      </c>
      <c r="B83" s="81"/>
      <c r="C83" s="81"/>
      <c r="D83" s="81"/>
      <c r="E83" s="85"/>
      <c r="F83" s="76">
        <f t="shared" si="9"/>
        <v>2</v>
      </c>
      <c r="G83" s="86">
        <v>1</v>
      </c>
      <c r="H83" s="86"/>
      <c r="I83" s="86"/>
      <c r="J83" s="86"/>
      <c r="K83" s="86">
        <v>1</v>
      </c>
      <c r="L83" s="86"/>
      <c r="M83" s="86"/>
      <c r="N83" s="86"/>
      <c r="O83" s="87"/>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row>
    <row r="84" spans="1:44" outlineLevel="1" x14ac:dyDescent="0.3">
      <c r="A84" s="47" t="s">
        <v>296</v>
      </c>
      <c r="B84" s="81"/>
      <c r="C84" s="81"/>
      <c r="D84" s="81"/>
      <c r="E84" s="85"/>
      <c r="F84" s="76">
        <f t="shared" si="9"/>
        <v>2</v>
      </c>
      <c r="G84" s="86">
        <v>1</v>
      </c>
      <c r="H84" s="86"/>
      <c r="I84" s="86"/>
      <c r="J84" s="86"/>
      <c r="K84" s="86"/>
      <c r="L84" s="86">
        <v>1</v>
      </c>
      <c r="M84" s="86"/>
      <c r="N84" s="86"/>
      <c r="O84" s="87"/>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row>
    <row r="85" spans="1:44" outlineLevel="1" x14ac:dyDescent="0.3">
      <c r="A85" s="47" t="s">
        <v>298</v>
      </c>
      <c r="B85" s="81"/>
      <c r="C85" s="81"/>
      <c r="D85" s="81"/>
      <c r="E85" s="85"/>
      <c r="F85" s="76">
        <f t="shared" si="9"/>
        <v>1</v>
      </c>
      <c r="G85" s="86">
        <v>1</v>
      </c>
      <c r="H85" s="86"/>
      <c r="I85" s="86"/>
      <c r="J85" s="86"/>
      <c r="K85" s="86"/>
      <c r="L85" s="86"/>
      <c r="M85" s="86"/>
      <c r="N85" s="86"/>
      <c r="O85" s="87"/>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row>
    <row r="86" spans="1:44" outlineLevel="1" x14ac:dyDescent="0.3">
      <c r="A86" s="47" t="s">
        <v>299</v>
      </c>
      <c r="B86" s="81"/>
      <c r="C86" s="81"/>
      <c r="D86" s="81"/>
      <c r="E86" s="85"/>
      <c r="F86" s="76">
        <f t="shared" si="9"/>
        <v>2</v>
      </c>
      <c r="G86" s="86">
        <v>1</v>
      </c>
      <c r="H86" s="86"/>
      <c r="I86" s="86"/>
      <c r="J86" s="86"/>
      <c r="K86" s="86"/>
      <c r="L86" s="86"/>
      <c r="M86" s="86"/>
      <c r="N86" s="86"/>
      <c r="O86" s="87"/>
      <c r="P86" s="86"/>
      <c r="Q86" s="86"/>
      <c r="R86" s="86">
        <v>1</v>
      </c>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row>
    <row r="87" spans="1:44" outlineLevel="1" x14ac:dyDescent="0.3">
      <c r="A87" s="47" t="s">
        <v>300</v>
      </c>
      <c r="B87" s="81"/>
      <c r="C87" s="81"/>
      <c r="D87" s="81"/>
      <c r="E87" s="85"/>
      <c r="F87" s="76">
        <f t="shared" si="9"/>
        <v>1</v>
      </c>
      <c r="G87" s="86"/>
      <c r="H87" s="86"/>
      <c r="I87" s="86"/>
      <c r="J87" s="86"/>
      <c r="K87" s="86"/>
      <c r="L87" s="86"/>
      <c r="M87" s="86"/>
      <c r="N87" s="86"/>
      <c r="O87" s="87"/>
      <c r="P87" s="86"/>
      <c r="Q87" s="86"/>
      <c r="R87" s="86"/>
      <c r="S87" s="86"/>
      <c r="T87" s="86"/>
      <c r="U87" s="86"/>
      <c r="V87" s="86"/>
      <c r="W87" s="86"/>
      <c r="X87" s="86"/>
      <c r="Y87" s="86"/>
      <c r="Z87" s="86"/>
      <c r="AA87" s="86"/>
      <c r="AB87" s="86"/>
      <c r="AC87" s="86"/>
      <c r="AD87" s="86"/>
      <c r="AE87" s="86"/>
      <c r="AF87" s="86"/>
      <c r="AG87" s="86"/>
      <c r="AH87" s="86">
        <v>1</v>
      </c>
      <c r="AI87" s="86"/>
      <c r="AJ87" s="86"/>
      <c r="AK87" s="86"/>
      <c r="AL87" s="86"/>
      <c r="AM87" s="86"/>
      <c r="AN87" s="86"/>
      <c r="AO87" s="86"/>
      <c r="AP87" s="86"/>
      <c r="AQ87" s="86"/>
      <c r="AR87" s="86"/>
    </row>
    <row r="88" spans="1:44" outlineLevel="1" x14ac:dyDescent="0.3">
      <c r="A88" s="47" t="s">
        <v>301</v>
      </c>
      <c r="B88" s="81"/>
      <c r="C88" s="81"/>
      <c r="D88" s="81"/>
      <c r="E88" s="85"/>
      <c r="F88" s="76">
        <f t="shared" si="9"/>
        <v>4</v>
      </c>
      <c r="G88" s="86">
        <v>1</v>
      </c>
      <c r="H88" s="86">
        <v>1</v>
      </c>
      <c r="I88" s="86"/>
      <c r="J88" s="86"/>
      <c r="K88" s="86"/>
      <c r="L88" s="86"/>
      <c r="M88" s="86"/>
      <c r="N88" s="86"/>
      <c r="O88" s="87"/>
      <c r="P88" s="86"/>
      <c r="Q88" s="86"/>
      <c r="R88" s="86"/>
      <c r="S88" s="86"/>
      <c r="T88" s="86"/>
      <c r="U88" s="86"/>
      <c r="V88" s="86"/>
      <c r="W88" s="86"/>
      <c r="X88" s="86">
        <v>1</v>
      </c>
      <c r="Y88" s="86">
        <v>1</v>
      </c>
      <c r="Z88" s="86"/>
      <c r="AA88" s="86"/>
      <c r="AB88" s="86"/>
      <c r="AC88" s="86"/>
      <c r="AD88" s="86"/>
      <c r="AE88" s="86"/>
      <c r="AF88" s="86"/>
      <c r="AG88" s="86"/>
      <c r="AH88" s="86"/>
      <c r="AI88" s="86"/>
      <c r="AJ88" s="86"/>
      <c r="AK88" s="86"/>
      <c r="AL88" s="86"/>
      <c r="AM88" s="86"/>
      <c r="AN88" s="86"/>
      <c r="AO88" s="86"/>
      <c r="AP88" s="86"/>
      <c r="AQ88" s="86"/>
      <c r="AR88" s="86"/>
    </row>
    <row r="89" spans="1:44" outlineLevel="1" x14ac:dyDescent="0.3">
      <c r="A89" s="47" t="s">
        <v>302</v>
      </c>
      <c r="B89" s="81"/>
      <c r="C89" s="81"/>
      <c r="D89" s="81"/>
      <c r="E89" s="85"/>
      <c r="F89" s="76">
        <f t="shared" si="9"/>
        <v>2</v>
      </c>
      <c r="G89" s="86"/>
      <c r="H89" s="86"/>
      <c r="I89" s="86"/>
      <c r="J89" s="86"/>
      <c r="K89" s="86"/>
      <c r="L89" s="86"/>
      <c r="M89" s="86"/>
      <c r="N89" s="86"/>
      <c r="O89" s="87"/>
      <c r="P89" s="86"/>
      <c r="Q89" s="86"/>
      <c r="R89" s="86"/>
      <c r="S89" s="86">
        <v>1</v>
      </c>
      <c r="T89" s="86"/>
      <c r="U89" s="86"/>
      <c r="V89" s="86"/>
      <c r="W89" s="86"/>
      <c r="X89" s="86"/>
      <c r="Y89" s="86"/>
      <c r="Z89" s="86"/>
      <c r="AA89" s="86"/>
      <c r="AB89" s="86"/>
      <c r="AC89" s="86"/>
      <c r="AD89" s="86"/>
      <c r="AE89" s="86"/>
      <c r="AF89" s="86"/>
      <c r="AG89" s="86">
        <v>1</v>
      </c>
      <c r="AH89" s="86"/>
      <c r="AI89" s="86"/>
      <c r="AJ89" s="86"/>
      <c r="AK89" s="86"/>
      <c r="AL89" s="86"/>
      <c r="AM89" s="86"/>
      <c r="AN89" s="86"/>
      <c r="AO89" s="86"/>
      <c r="AP89" s="86"/>
      <c r="AQ89" s="86"/>
      <c r="AR89" s="86"/>
    </row>
    <row r="90" spans="1:44" s="90" customFormat="1" x14ac:dyDescent="0.3">
      <c r="A90" s="79"/>
      <c r="B90" s="88"/>
      <c r="C90" s="88"/>
      <c r="D90" s="88"/>
      <c r="E90" s="89"/>
      <c r="F90" s="34"/>
      <c r="G90" s="89"/>
      <c r="H90" s="89"/>
      <c r="I90" s="89"/>
      <c r="J90" s="89"/>
      <c r="K90" s="89"/>
      <c r="L90" s="89"/>
      <c r="M90" s="89"/>
      <c r="N90" s="89"/>
      <c r="O90" s="88"/>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row>
    <row r="91" spans="1:44" x14ac:dyDescent="0.3">
      <c r="A91" s="80" t="s">
        <v>28</v>
      </c>
      <c r="B91" s="81"/>
      <c r="C91" s="81"/>
      <c r="D91" s="81"/>
      <c r="E91" s="82">
        <f>G34</f>
        <v>7</v>
      </c>
      <c r="F91" s="83">
        <f t="shared" ref="F91:AM91" si="10">SUM(F92:F98)</f>
        <v>15</v>
      </c>
      <c r="G91" s="83">
        <f t="shared" si="10"/>
        <v>1</v>
      </c>
      <c r="H91" s="83">
        <f t="shared" si="10"/>
        <v>2</v>
      </c>
      <c r="I91" s="83">
        <f t="shared" si="10"/>
        <v>0</v>
      </c>
      <c r="J91" s="83">
        <f t="shared" si="10"/>
        <v>1</v>
      </c>
      <c r="K91" s="83">
        <f t="shared" si="10"/>
        <v>0</v>
      </c>
      <c r="L91" s="83">
        <f t="shared" si="10"/>
        <v>0</v>
      </c>
      <c r="M91" s="83">
        <f>SUM(M92:M98)</f>
        <v>0</v>
      </c>
      <c r="N91" s="83">
        <f t="shared" si="10"/>
        <v>0</v>
      </c>
      <c r="O91" s="84">
        <f t="shared" si="10"/>
        <v>2</v>
      </c>
      <c r="P91" s="83">
        <f t="shared" si="10"/>
        <v>1</v>
      </c>
      <c r="Q91" s="83">
        <f t="shared" si="10"/>
        <v>0</v>
      </c>
      <c r="R91" s="83">
        <f t="shared" si="10"/>
        <v>0</v>
      </c>
      <c r="S91" s="83">
        <f t="shared" si="10"/>
        <v>2</v>
      </c>
      <c r="T91" s="83">
        <f t="shared" si="10"/>
        <v>0</v>
      </c>
      <c r="U91" s="83">
        <f t="shared" si="10"/>
        <v>1</v>
      </c>
      <c r="V91" s="83">
        <f t="shared" si="10"/>
        <v>1</v>
      </c>
      <c r="W91" s="83">
        <f t="shared" si="10"/>
        <v>0</v>
      </c>
      <c r="X91" s="83">
        <f t="shared" si="10"/>
        <v>0</v>
      </c>
      <c r="Y91" s="83">
        <f t="shared" si="10"/>
        <v>0</v>
      </c>
      <c r="Z91" s="83">
        <f>SUM(Z92:Z98)</f>
        <v>0</v>
      </c>
      <c r="AA91" s="83">
        <f t="shared" si="10"/>
        <v>0</v>
      </c>
      <c r="AB91" s="83">
        <f t="shared" si="10"/>
        <v>1</v>
      </c>
      <c r="AC91" s="83">
        <f t="shared" si="10"/>
        <v>0</v>
      </c>
      <c r="AD91" s="83">
        <f t="shared" si="10"/>
        <v>0</v>
      </c>
      <c r="AE91" s="83">
        <f t="shared" si="10"/>
        <v>1</v>
      </c>
      <c r="AF91" s="83">
        <f t="shared" si="10"/>
        <v>0</v>
      </c>
      <c r="AG91" s="83">
        <f>SUM(AG92:AG98)</f>
        <v>1</v>
      </c>
      <c r="AH91" s="83">
        <f t="shared" si="10"/>
        <v>0</v>
      </c>
      <c r="AI91" s="83">
        <f t="shared" si="10"/>
        <v>1</v>
      </c>
      <c r="AJ91" s="83">
        <f t="shared" si="10"/>
        <v>0</v>
      </c>
      <c r="AK91" s="83">
        <f t="shared" si="10"/>
        <v>0</v>
      </c>
      <c r="AL91" s="83">
        <f t="shared" si="10"/>
        <v>0</v>
      </c>
      <c r="AM91" s="83">
        <f t="shared" si="10"/>
        <v>0</v>
      </c>
      <c r="AN91" s="83">
        <f t="shared" ref="AN91:AO91" si="11">SUM(AN92:AN98)</f>
        <v>0</v>
      </c>
      <c r="AO91" s="83">
        <f t="shared" si="11"/>
        <v>0</v>
      </c>
      <c r="AP91" s="83">
        <f t="shared" ref="AP91:AR91" si="12">SUM(AP92:AP98)</f>
        <v>0</v>
      </c>
      <c r="AQ91" s="83">
        <f t="shared" si="12"/>
        <v>0</v>
      </c>
      <c r="AR91" s="83">
        <f t="shared" si="12"/>
        <v>0</v>
      </c>
    </row>
    <row r="92" spans="1:44" outlineLevel="1" x14ac:dyDescent="0.3">
      <c r="A92" s="47" t="s">
        <v>303</v>
      </c>
      <c r="B92" s="81"/>
      <c r="C92" s="81"/>
      <c r="D92" s="81"/>
      <c r="E92" s="91"/>
      <c r="F92" s="76">
        <f t="shared" ref="F92:F98" si="13">SUM(G92:AM92)</f>
        <v>2</v>
      </c>
      <c r="G92" s="86"/>
      <c r="H92" s="86"/>
      <c r="I92" s="86"/>
      <c r="J92" s="86"/>
      <c r="K92" s="86"/>
      <c r="L92" s="86"/>
      <c r="M92" s="86"/>
      <c r="N92" s="86"/>
      <c r="O92" s="87"/>
      <c r="P92" s="86"/>
      <c r="Q92" s="86"/>
      <c r="R92" s="86"/>
      <c r="S92" s="86">
        <v>1</v>
      </c>
      <c r="T92" s="86"/>
      <c r="U92" s="86"/>
      <c r="V92" s="86"/>
      <c r="W92" s="86"/>
      <c r="X92" s="86"/>
      <c r="Y92" s="86"/>
      <c r="Z92" s="86"/>
      <c r="AA92" s="86"/>
      <c r="AB92" s="86"/>
      <c r="AC92" s="86"/>
      <c r="AD92" s="86"/>
      <c r="AE92" s="86"/>
      <c r="AF92" s="86"/>
      <c r="AG92" s="86"/>
      <c r="AH92" s="86"/>
      <c r="AI92" s="86">
        <v>1</v>
      </c>
      <c r="AJ92" s="86"/>
      <c r="AK92" s="86"/>
      <c r="AL92" s="86"/>
      <c r="AM92" s="86"/>
      <c r="AN92" s="86"/>
      <c r="AO92" s="86"/>
      <c r="AP92" s="86"/>
      <c r="AQ92" s="86"/>
      <c r="AR92" s="86"/>
    </row>
    <row r="93" spans="1:44" outlineLevel="1" x14ac:dyDescent="0.3">
      <c r="A93" s="47" t="s">
        <v>304</v>
      </c>
      <c r="B93" s="81"/>
      <c r="C93" s="81"/>
      <c r="D93" s="81"/>
      <c r="E93" s="91"/>
      <c r="F93" s="76">
        <f t="shared" si="13"/>
        <v>1</v>
      </c>
      <c r="G93" s="86"/>
      <c r="H93" s="86">
        <v>1</v>
      </c>
      <c r="I93" s="86"/>
      <c r="J93" s="86"/>
      <c r="K93" s="86"/>
      <c r="L93" s="86"/>
      <c r="M93" s="86"/>
      <c r="N93" s="86"/>
      <c r="O93" s="87"/>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row>
    <row r="94" spans="1:44" outlineLevel="1" x14ac:dyDescent="0.3">
      <c r="A94" s="47" t="s">
        <v>305</v>
      </c>
      <c r="B94" s="81"/>
      <c r="C94" s="81"/>
      <c r="D94" s="81"/>
      <c r="E94" s="91"/>
      <c r="F94" s="76">
        <f t="shared" si="13"/>
        <v>2</v>
      </c>
      <c r="G94" s="86"/>
      <c r="H94" s="86"/>
      <c r="I94" s="86"/>
      <c r="J94" s="86"/>
      <c r="K94" s="86"/>
      <c r="L94" s="86"/>
      <c r="M94" s="86"/>
      <c r="N94" s="86"/>
      <c r="O94" s="87">
        <v>1</v>
      </c>
      <c r="P94" s="86"/>
      <c r="Q94" s="86"/>
      <c r="R94" s="86"/>
      <c r="S94" s="86"/>
      <c r="T94" s="86"/>
      <c r="U94" s="86"/>
      <c r="V94" s="86">
        <v>1</v>
      </c>
      <c r="W94" s="86"/>
      <c r="X94" s="86"/>
      <c r="Y94" s="86"/>
      <c r="Z94" s="86"/>
      <c r="AA94" s="86"/>
      <c r="AB94" s="86"/>
      <c r="AC94" s="86"/>
      <c r="AD94" s="86"/>
      <c r="AE94" s="86"/>
      <c r="AF94" s="86"/>
      <c r="AG94" s="86"/>
      <c r="AH94" s="86"/>
      <c r="AI94" s="86"/>
      <c r="AJ94" s="86"/>
      <c r="AK94" s="86"/>
      <c r="AL94" s="86"/>
      <c r="AM94" s="86"/>
      <c r="AN94" s="86"/>
      <c r="AO94" s="86"/>
      <c r="AP94" s="86"/>
      <c r="AQ94" s="86"/>
      <c r="AR94" s="86"/>
    </row>
    <row r="95" spans="1:44" outlineLevel="1" x14ac:dyDescent="0.3">
      <c r="A95" s="47" t="s">
        <v>307</v>
      </c>
      <c r="B95" s="81"/>
      <c r="C95" s="81"/>
      <c r="D95" s="81"/>
      <c r="E95" s="91"/>
      <c r="F95" s="76">
        <f t="shared" si="13"/>
        <v>3</v>
      </c>
      <c r="G95" s="86"/>
      <c r="H95" s="86"/>
      <c r="I95" s="86"/>
      <c r="J95" s="86">
        <v>1</v>
      </c>
      <c r="K95" s="86"/>
      <c r="L95" s="86"/>
      <c r="M95" s="86"/>
      <c r="N95" s="86"/>
      <c r="O95" s="87">
        <v>1</v>
      </c>
      <c r="P95" s="86"/>
      <c r="Q95" s="86"/>
      <c r="R95" s="86"/>
      <c r="S95" s="86">
        <v>1</v>
      </c>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row>
    <row r="96" spans="1:44" outlineLevel="1" x14ac:dyDescent="0.3">
      <c r="A96" s="47" t="s">
        <v>308</v>
      </c>
      <c r="B96" s="81"/>
      <c r="C96" s="81"/>
      <c r="D96" s="81"/>
      <c r="E96" s="91"/>
      <c r="F96" s="76">
        <f t="shared" si="13"/>
        <v>4</v>
      </c>
      <c r="G96" s="86">
        <v>1</v>
      </c>
      <c r="H96" s="86">
        <v>1</v>
      </c>
      <c r="I96" s="86"/>
      <c r="J96" s="86"/>
      <c r="K96" s="86"/>
      <c r="L96" s="86"/>
      <c r="M96" s="86"/>
      <c r="N96" s="86"/>
      <c r="O96" s="87"/>
      <c r="P96" s="86">
        <v>1</v>
      </c>
      <c r="Q96" s="86"/>
      <c r="R96" s="86"/>
      <c r="S96" s="86"/>
      <c r="T96" s="86"/>
      <c r="U96" s="86">
        <v>1</v>
      </c>
      <c r="V96" s="86"/>
      <c r="W96" s="86"/>
      <c r="X96" s="86"/>
      <c r="Y96" s="86"/>
      <c r="Z96" s="86"/>
      <c r="AA96" s="86"/>
      <c r="AB96" s="86"/>
      <c r="AC96" s="86"/>
      <c r="AD96" s="86"/>
      <c r="AE96" s="86"/>
      <c r="AF96" s="86"/>
      <c r="AG96" s="86"/>
      <c r="AH96" s="86"/>
      <c r="AI96" s="86"/>
      <c r="AJ96" s="86"/>
      <c r="AK96" s="86"/>
      <c r="AL96" s="86"/>
      <c r="AM96" s="86"/>
      <c r="AN96" s="86"/>
      <c r="AO96" s="86"/>
      <c r="AP96" s="86"/>
      <c r="AQ96" s="86"/>
      <c r="AR96" s="86"/>
    </row>
    <row r="97" spans="1:44" outlineLevel="1" x14ac:dyDescent="0.3">
      <c r="A97" s="47" t="s">
        <v>310</v>
      </c>
      <c r="B97" s="81"/>
      <c r="C97" s="81"/>
      <c r="D97" s="81"/>
      <c r="E97" s="91"/>
      <c r="F97" s="76">
        <f t="shared" si="13"/>
        <v>2</v>
      </c>
      <c r="G97" s="86"/>
      <c r="H97" s="86"/>
      <c r="I97" s="86"/>
      <c r="J97" s="86"/>
      <c r="K97" s="86"/>
      <c r="L97" s="86"/>
      <c r="M97" s="86"/>
      <c r="N97" s="86"/>
      <c r="O97" s="87"/>
      <c r="P97" s="86"/>
      <c r="Q97" s="86"/>
      <c r="R97" s="86"/>
      <c r="S97" s="86"/>
      <c r="T97" s="86"/>
      <c r="U97" s="86"/>
      <c r="V97" s="86"/>
      <c r="W97" s="86"/>
      <c r="X97" s="86"/>
      <c r="Y97" s="86"/>
      <c r="Z97" s="86"/>
      <c r="AA97" s="86"/>
      <c r="AB97" s="86"/>
      <c r="AC97" s="86"/>
      <c r="AD97" s="86"/>
      <c r="AE97" s="86">
        <v>1</v>
      </c>
      <c r="AF97" s="86"/>
      <c r="AG97" s="86">
        <v>1</v>
      </c>
      <c r="AH97" s="86"/>
      <c r="AI97" s="86"/>
      <c r="AJ97" s="86"/>
      <c r="AK97" s="86"/>
      <c r="AL97" s="86"/>
      <c r="AM97" s="86"/>
      <c r="AN97" s="86"/>
      <c r="AO97" s="86"/>
      <c r="AP97" s="86"/>
      <c r="AQ97" s="86"/>
      <c r="AR97" s="86"/>
    </row>
    <row r="98" spans="1:44" outlineLevel="1" x14ac:dyDescent="0.3">
      <c r="A98" s="47" t="s">
        <v>311</v>
      </c>
      <c r="B98" s="81"/>
      <c r="C98" s="81"/>
      <c r="D98" s="81"/>
      <c r="E98" s="91"/>
      <c r="F98" s="76">
        <f t="shared" si="13"/>
        <v>1</v>
      </c>
      <c r="G98" s="86"/>
      <c r="H98" s="86"/>
      <c r="I98" s="86"/>
      <c r="J98" s="86"/>
      <c r="K98" s="86"/>
      <c r="L98" s="86"/>
      <c r="M98" s="86"/>
      <c r="N98" s="86"/>
      <c r="O98" s="87"/>
      <c r="P98" s="86"/>
      <c r="Q98" s="86"/>
      <c r="R98" s="86"/>
      <c r="S98" s="86"/>
      <c r="T98" s="86"/>
      <c r="U98" s="86"/>
      <c r="V98" s="86"/>
      <c r="W98" s="86"/>
      <c r="X98" s="86"/>
      <c r="Y98" s="86"/>
      <c r="Z98" s="86"/>
      <c r="AA98" s="86"/>
      <c r="AB98" s="86">
        <v>1</v>
      </c>
      <c r="AC98" s="86"/>
      <c r="AD98" s="86"/>
      <c r="AE98" s="86"/>
      <c r="AF98" s="86"/>
      <c r="AG98" s="86"/>
      <c r="AH98" s="86"/>
      <c r="AI98" s="86"/>
      <c r="AJ98" s="86"/>
      <c r="AK98" s="86"/>
      <c r="AL98" s="86"/>
      <c r="AM98" s="86"/>
      <c r="AN98" s="86"/>
      <c r="AO98" s="86"/>
      <c r="AP98" s="86"/>
      <c r="AQ98" s="86"/>
      <c r="AR98" s="86"/>
    </row>
    <row r="99" spans="1:44" s="90" customFormat="1" x14ac:dyDescent="0.3">
      <c r="A99" s="79"/>
      <c r="B99" s="88"/>
      <c r="C99" s="88"/>
      <c r="D99" s="88"/>
      <c r="E99" s="92"/>
      <c r="F99" s="34"/>
      <c r="G99" s="89"/>
      <c r="H99" s="89"/>
      <c r="I99" s="89"/>
      <c r="J99" s="89"/>
      <c r="K99" s="89"/>
      <c r="L99" s="89"/>
      <c r="M99" s="89"/>
      <c r="N99" s="89"/>
      <c r="O99" s="88"/>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row>
    <row r="100" spans="1:44" x14ac:dyDescent="0.3">
      <c r="A100" s="80" t="s">
        <v>38</v>
      </c>
      <c r="B100" s="81"/>
      <c r="C100" s="81"/>
      <c r="D100" s="81"/>
      <c r="E100" s="82">
        <f>G44</f>
        <v>14</v>
      </c>
      <c r="F100" s="83">
        <f t="shared" ref="F100:AK100" si="14">SUM(F101:F114)</f>
        <v>22</v>
      </c>
      <c r="G100" s="83">
        <f>SUM(G101:G114)</f>
        <v>3</v>
      </c>
      <c r="H100" s="83">
        <f>SUM(H101:H114)</f>
        <v>1</v>
      </c>
      <c r="I100" s="83">
        <f t="shared" si="14"/>
        <v>0</v>
      </c>
      <c r="J100" s="83">
        <f>SUM(J101:J114)</f>
        <v>0</v>
      </c>
      <c r="K100" s="83">
        <f t="shared" si="14"/>
        <v>0</v>
      </c>
      <c r="L100" s="83">
        <f t="shared" ref="L100:Q100" si="15">SUM(L101:L114)</f>
        <v>0</v>
      </c>
      <c r="M100" s="83">
        <f>SUM(M101:M114)</f>
        <v>0</v>
      </c>
      <c r="N100" s="83">
        <f t="shared" si="15"/>
        <v>1</v>
      </c>
      <c r="O100" s="84">
        <f t="shared" si="15"/>
        <v>0</v>
      </c>
      <c r="P100" s="83">
        <f t="shared" si="15"/>
        <v>0</v>
      </c>
      <c r="Q100" s="83">
        <f t="shared" si="15"/>
        <v>1</v>
      </c>
      <c r="R100" s="83">
        <f t="shared" si="14"/>
        <v>1</v>
      </c>
      <c r="S100" s="83">
        <f>SUM(S101:S114)</f>
        <v>2</v>
      </c>
      <c r="T100" s="83">
        <f>SUM(T101:T114)</f>
        <v>0</v>
      </c>
      <c r="U100" s="83">
        <f>SUM(U101:U114)</f>
        <v>0</v>
      </c>
      <c r="V100" s="83">
        <f>SUM(V101:V114)</f>
        <v>0</v>
      </c>
      <c r="W100" s="83">
        <f t="shared" si="14"/>
        <v>0</v>
      </c>
      <c r="X100" s="83">
        <f>SUM(X101:X114)</f>
        <v>0</v>
      </c>
      <c r="Y100" s="83">
        <f t="shared" si="14"/>
        <v>0</v>
      </c>
      <c r="Z100" s="83">
        <f>SUM(Z101:Z114)</f>
        <v>1</v>
      </c>
      <c r="AA100" s="83">
        <f t="shared" ref="AA100:AI100" si="16">SUM(AA101:AA114)</f>
        <v>0</v>
      </c>
      <c r="AB100" s="83">
        <f t="shared" si="16"/>
        <v>2</v>
      </c>
      <c r="AC100" s="83">
        <f t="shared" si="16"/>
        <v>2</v>
      </c>
      <c r="AD100" s="83">
        <f t="shared" si="16"/>
        <v>0</v>
      </c>
      <c r="AE100" s="83">
        <f t="shared" si="16"/>
        <v>2</v>
      </c>
      <c r="AF100" s="83">
        <f t="shared" si="16"/>
        <v>2</v>
      </c>
      <c r="AG100" s="83">
        <f>SUM(AG101:AG114)</f>
        <v>2</v>
      </c>
      <c r="AH100" s="83">
        <f t="shared" si="16"/>
        <v>0</v>
      </c>
      <c r="AI100" s="83">
        <f t="shared" si="16"/>
        <v>1</v>
      </c>
      <c r="AJ100" s="83">
        <f t="shared" si="14"/>
        <v>0</v>
      </c>
      <c r="AK100" s="83">
        <f t="shared" si="14"/>
        <v>0</v>
      </c>
      <c r="AL100" s="83">
        <f>SUM(AL101:AL114)</f>
        <v>0</v>
      </c>
      <c r="AM100" s="83">
        <f>SUM(AM101:AM114)</f>
        <v>1</v>
      </c>
      <c r="AN100" s="83">
        <f>SUM(AN101:AN114)</f>
        <v>0</v>
      </c>
      <c r="AO100" s="83">
        <f>SUM(AO101:AO114)</f>
        <v>0</v>
      </c>
      <c r="AP100" s="83">
        <f t="shared" ref="AP100:AR100" si="17">SUM(AP101:AP114)</f>
        <v>0</v>
      </c>
      <c r="AQ100" s="83">
        <f t="shared" si="17"/>
        <v>0</v>
      </c>
      <c r="AR100" s="83">
        <f t="shared" si="17"/>
        <v>0</v>
      </c>
    </row>
    <row r="101" spans="1:44" outlineLevel="1" x14ac:dyDescent="0.3">
      <c r="A101" s="47" t="s">
        <v>312</v>
      </c>
      <c r="B101" s="81"/>
      <c r="C101" s="81"/>
      <c r="D101" s="81"/>
      <c r="E101" s="91"/>
      <c r="F101" s="76">
        <f t="shared" ref="F101:F114" si="18">SUM(G101:AM101)</f>
        <v>1</v>
      </c>
      <c r="G101" s="86"/>
      <c r="H101" s="86"/>
      <c r="I101" s="86"/>
      <c r="J101" s="86"/>
      <c r="K101" s="86"/>
      <c r="L101" s="86"/>
      <c r="M101" s="86"/>
      <c r="N101" s="86">
        <v>1</v>
      </c>
      <c r="O101" s="87"/>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row>
    <row r="102" spans="1:44" outlineLevel="1" x14ac:dyDescent="0.3">
      <c r="A102" s="47" t="s">
        <v>313</v>
      </c>
      <c r="B102" s="81"/>
      <c r="C102" s="81"/>
      <c r="D102" s="81"/>
      <c r="E102" s="91"/>
      <c r="F102" s="76">
        <f t="shared" si="18"/>
        <v>3</v>
      </c>
      <c r="G102" s="86">
        <v>1</v>
      </c>
      <c r="H102" s="86">
        <v>1</v>
      </c>
      <c r="I102" s="86"/>
      <c r="J102" s="86"/>
      <c r="K102" s="86"/>
      <c r="L102" s="86"/>
      <c r="M102" s="86"/>
      <c r="N102" s="86"/>
      <c r="O102" s="87"/>
      <c r="P102" s="86"/>
      <c r="Q102" s="86"/>
      <c r="R102" s="86"/>
      <c r="S102" s="86"/>
      <c r="T102" s="86"/>
      <c r="U102" s="86"/>
      <c r="V102" s="86"/>
      <c r="W102" s="86"/>
      <c r="X102" s="86"/>
      <c r="Y102" s="86"/>
      <c r="Z102" s="86"/>
      <c r="AA102" s="86"/>
      <c r="AB102" s="86"/>
      <c r="AC102" s="86"/>
      <c r="AD102" s="86"/>
      <c r="AE102" s="86">
        <v>1</v>
      </c>
      <c r="AF102" s="86"/>
      <c r="AG102" s="86"/>
      <c r="AH102" s="86"/>
      <c r="AI102" s="86"/>
      <c r="AJ102" s="86"/>
      <c r="AK102" s="86"/>
      <c r="AL102" s="86"/>
      <c r="AM102" s="86"/>
      <c r="AN102" s="86"/>
      <c r="AO102" s="86"/>
      <c r="AP102" s="86"/>
      <c r="AQ102" s="86"/>
      <c r="AR102" s="86"/>
    </row>
    <row r="103" spans="1:44" outlineLevel="1" x14ac:dyDescent="0.3">
      <c r="A103" s="47" t="s">
        <v>314</v>
      </c>
      <c r="B103" s="81"/>
      <c r="C103" s="81"/>
      <c r="D103" s="81"/>
      <c r="E103" s="91"/>
      <c r="F103" s="76">
        <f t="shared" si="18"/>
        <v>1</v>
      </c>
      <c r="G103" s="86"/>
      <c r="H103" s="86"/>
      <c r="I103" s="86"/>
      <c r="J103" s="86"/>
      <c r="K103" s="86"/>
      <c r="L103" s="86"/>
      <c r="M103" s="86"/>
      <c r="N103" s="86"/>
      <c r="O103" s="87"/>
      <c r="P103" s="86"/>
      <c r="Q103" s="86"/>
      <c r="R103" s="86"/>
      <c r="S103" s="86">
        <v>1</v>
      </c>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row>
    <row r="104" spans="1:44" outlineLevel="1" x14ac:dyDescent="0.3">
      <c r="A104" s="47" t="s">
        <v>315</v>
      </c>
      <c r="B104" s="81"/>
      <c r="C104" s="81"/>
      <c r="D104" s="81"/>
      <c r="E104" s="91"/>
      <c r="F104" s="76">
        <f t="shared" si="18"/>
        <v>2</v>
      </c>
      <c r="G104" s="86"/>
      <c r="H104" s="86"/>
      <c r="I104" s="86"/>
      <c r="J104" s="86"/>
      <c r="K104" s="86"/>
      <c r="L104" s="86"/>
      <c r="M104" s="86"/>
      <c r="N104" s="86"/>
      <c r="O104" s="87"/>
      <c r="P104" s="86"/>
      <c r="Q104" s="86"/>
      <c r="R104" s="86"/>
      <c r="S104" s="86"/>
      <c r="T104" s="86"/>
      <c r="U104" s="86"/>
      <c r="V104" s="86"/>
      <c r="W104" s="86"/>
      <c r="X104" s="86"/>
      <c r="Y104" s="86"/>
      <c r="Z104" s="86"/>
      <c r="AA104" s="86"/>
      <c r="AB104" s="86">
        <v>1</v>
      </c>
      <c r="AC104" s="86"/>
      <c r="AD104" s="86"/>
      <c r="AE104" s="86"/>
      <c r="AF104" s="86">
        <v>1</v>
      </c>
      <c r="AG104" s="86"/>
      <c r="AH104" s="86"/>
      <c r="AI104" s="86"/>
      <c r="AJ104" s="86"/>
      <c r="AK104" s="86"/>
      <c r="AL104" s="86"/>
      <c r="AM104" s="86"/>
      <c r="AN104" s="86"/>
      <c r="AO104" s="86"/>
      <c r="AP104" s="86"/>
      <c r="AQ104" s="86"/>
      <c r="AR104" s="86"/>
    </row>
    <row r="105" spans="1:44" outlineLevel="1" x14ac:dyDescent="0.3">
      <c r="A105" s="47" t="s">
        <v>316</v>
      </c>
      <c r="B105" s="81"/>
      <c r="C105" s="81"/>
      <c r="D105" s="81"/>
      <c r="E105" s="91"/>
      <c r="F105" s="76">
        <f t="shared" si="18"/>
        <v>1</v>
      </c>
      <c r="G105" s="86"/>
      <c r="H105" s="86"/>
      <c r="I105" s="86"/>
      <c r="J105" s="86"/>
      <c r="K105" s="86"/>
      <c r="L105" s="86"/>
      <c r="M105" s="86"/>
      <c r="N105" s="86"/>
      <c r="O105" s="87"/>
      <c r="P105" s="86"/>
      <c r="Q105" s="86"/>
      <c r="R105" s="86"/>
      <c r="S105" s="86"/>
      <c r="T105" s="86"/>
      <c r="U105" s="86"/>
      <c r="V105" s="86"/>
      <c r="W105" s="86"/>
      <c r="X105" s="86"/>
      <c r="Y105" s="86"/>
      <c r="Z105" s="86">
        <v>1</v>
      </c>
      <c r="AA105" s="86"/>
      <c r="AB105" s="86"/>
      <c r="AC105" s="86"/>
      <c r="AD105" s="86"/>
      <c r="AE105" s="86"/>
      <c r="AF105" s="86"/>
      <c r="AG105" s="86"/>
      <c r="AH105" s="86"/>
      <c r="AI105" s="86"/>
      <c r="AJ105" s="86"/>
      <c r="AK105" s="86"/>
      <c r="AL105" s="86"/>
      <c r="AM105" s="86"/>
      <c r="AN105" s="86"/>
      <c r="AO105" s="86"/>
      <c r="AP105" s="86"/>
      <c r="AQ105" s="86"/>
      <c r="AR105" s="86"/>
    </row>
    <row r="106" spans="1:44" outlineLevel="1" x14ac:dyDescent="0.3">
      <c r="A106" s="47" t="s">
        <v>317</v>
      </c>
      <c r="B106" s="81"/>
      <c r="C106" s="81"/>
      <c r="D106" s="81"/>
      <c r="E106" s="91"/>
      <c r="F106" s="76">
        <f t="shared" si="18"/>
        <v>1</v>
      </c>
      <c r="G106" s="86"/>
      <c r="H106" s="86"/>
      <c r="I106" s="86"/>
      <c r="J106" s="86"/>
      <c r="K106" s="86"/>
      <c r="L106" s="86"/>
      <c r="M106" s="86"/>
      <c r="N106" s="86"/>
      <c r="O106" s="87"/>
      <c r="P106" s="86"/>
      <c r="Q106" s="86"/>
      <c r="R106" s="86"/>
      <c r="S106" s="86"/>
      <c r="T106" s="86"/>
      <c r="U106" s="86"/>
      <c r="V106" s="86"/>
      <c r="W106" s="86"/>
      <c r="X106" s="86"/>
      <c r="Y106" s="86"/>
      <c r="Z106" s="86"/>
      <c r="AA106" s="86"/>
      <c r="AB106" s="86"/>
      <c r="AC106" s="86"/>
      <c r="AD106" s="86"/>
      <c r="AE106" s="86"/>
      <c r="AF106" s="86"/>
      <c r="AG106" s="86"/>
      <c r="AH106" s="86"/>
      <c r="AI106" s="86">
        <v>1</v>
      </c>
      <c r="AJ106" s="86"/>
      <c r="AK106" s="86"/>
      <c r="AL106" s="86"/>
      <c r="AM106" s="86"/>
      <c r="AN106" s="86"/>
      <c r="AO106" s="86"/>
      <c r="AP106" s="86"/>
      <c r="AQ106" s="86"/>
      <c r="AR106" s="86"/>
    </row>
    <row r="107" spans="1:44" outlineLevel="1" x14ac:dyDescent="0.3">
      <c r="A107" s="47" t="s">
        <v>318</v>
      </c>
      <c r="B107" s="81"/>
      <c r="C107" s="81"/>
      <c r="D107" s="81"/>
      <c r="E107" s="91"/>
      <c r="F107" s="76">
        <f t="shared" si="18"/>
        <v>2</v>
      </c>
      <c r="G107" s="86">
        <v>1</v>
      </c>
      <c r="H107" s="86"/>
      <c r="I107" s="86"/>
      <c r="J107" s="86"/>
      <c r="K107" s="86"/>
      <c r="L107" s="86"/>
      <c r="M107" s="86"/>
      <c r="N107" s="86"/>
      <c r="O107" s="87"/>
      <c r="P107" s="86"/>
      <c r="Q107" s="86"/>
      <c r="R107" s="86"/>
      <c r="S107" s="86"/>
      <c r="T107" s="86"/>
      <c r="U107" s="86"/>
      <c r="V107" s="86"/>
      <c r="W107" s="86"/>
      <c r="X107" s="86"/>
      <c r="Y107" s="86"/>
      <c r="Z107" s="86"/>
      <c r="AA107" s="86"/>
      <c r="AB107" s="86"/>
      <c r="AC107" s="86"/>
      <c r="AD107" s="86"/>
      <c r="AE107" s="86">
        <v>1</v>
      </c>
      <c r="AF107" s="86"/>
      <c r="AG107" s="86"/>
      <c r="AH107" s="86"/>
      <c r="AI107" s="86"/>
      <c r="AJ107" s="86"/>
      <c r="AK107" s="86"/>
      <c r="AL107" s="86"/>
      <c r="AM107" s="86"/>
      <c r="AN107" s="86"/>
      <c r="AO107" s="86"/>
      <c r="AP107" s="86"/>
      <c r="AQ107" s="86"/>
      <c r="AR107" s="86"/>
    </row>
    <row r="108" spans="1:44" outlineLevel="1" x14ac:dyDescent="0.3">
      <c r="A108" s="47" t="s">
        <v>319</v>
      </c>
      <c r="B108" s="81"/>
      <c r="C108" s="81"/>
      <c r="D108" s="81"/>
      <c r="E108" s="91"/>
      <c r="F108" s="76">
        <f t="shared" si="18"/>
        <v>1</v>
      </c>
      <c r="G108" s="86"/>
      <c r="H108" s="86"/>
      <c r="I108" s="86"/>
      <c r="J108" s="86"/>
      <c r="K108" s="86"/>
      <c r="L108" s="86"/>
      <c r="M108" s="86"/>
      <c r="N108" s="86"/>
      <c r="O108" s="87"/>
      <c r="P108" s="86"/>
      <c r="Q108" s="86">
        <v>1</v>
      </c>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row>
    <row r="109" spans="1:44" outlineLevel="1" x14ac:dyDescent="0.3">
      <c r="A109" s="47" t="s">
        <v>321</v>
      </c>
      <c r="B109" s="81"/>
      <c r="C109" s="81"/>
      <c r="D109" s="81"/>
      <c r="E109" s="91"/>
      <c r="F109" s="76">
        <f t="shared" si="18"/>
        <v>1</v>
      </c>
      <c r="G109" s="86"/>
      <c r="H109" s="86"/>
      <c r="I109" s="86"/>
      <c r="J109" s="86"/>
      <c r="K109" s="86"/>
      <c r="L109" s="86"/>
      <c r="M109" s="86"/>
      <c r="N109" s="86"/>
      <c r="O109" s="87"/>
      <c r="P109" s="86"/>
      <c r="Q109" s="86"/>
      <c r="R109" s="86"/>
      <c r="S109" s="86">
        <v>1</v>
      </c>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row>
    <row r="110" spans="1:44" outlineLevel="1" x14ac:dyDescent="0.3">
      <c r="A110" s="47" t="s">
        <v>322</v>
      </c>
      <c r="B110" s="81"/>
      <c r="C110" s="81"/>
      <c r="D110" s="81"/>
      <c r="E110" s="91"/>
      <c r="F110" s="76">
        <f t="shared" si="18"/>
        <v>1</v>
      </c>
      <c r="G110" s="86"/>
      <c r="H110" s="86"/>
      <c r="I110" s="86"/>
      <c r="J110" s="86"/>
      <c r="K110" s="86"/>
      <c r="L110" s="86"/>
      <c r="M110" s="86"/>
      <c r="N110" s="86"/>
      <c r="O110" s="87"/>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v>1</v>
      </c>
      <c r="AN110" s="86"/>
      <c r="AO110" s="86"/>
      <c r="AP110" s="86"/>
      <c r="AQ110" s="86"/>
      <c r="AR110" s="86"/>
    </row>
    <row r="111" spans="1:44" outlineLevel="1" x14ac:dyDescent="0.3">
      <c r="A111" s="47" t="s">
        <v>323</v>
      </c>
      <c r="B111" s="81"/>
      <c r="C111" s="81"/>
      <c r="D111" s="81"/>
      <c r="E111" s="91"/>
      <c r="F111" s="76">
        <f t="shared" si="18"/>
        <v>2</v>
      </c>
      <c r="G111" s="86">
        <v>1</v>
      </c>
      <c r="H111" s="86"/>
      <c r="I111" s="86"/>
      <c r="J111" s="86"/>
      <c r="K111" s="86"/>
      <c r="L111" s="86"/>
      <c r="M111" s="86"/>
      <c r="N111" s="86"/>
      <c r="O111" s="87"/>
      <c r="P111" s="86"/>
      <c r="Q111" s="86"/>
      <c r="R111" s="86"/>
      <c r="S111" s="86"/>
      <c r="T111" s="86"/>
      <c r="U111" s="86"/>
      <c r="V111" s="86"/>
      <c r="W111" s="86"/>
      <c r="X111" s="86"/>
      <c r="Y111" s="86"/>
      <c r="Z111" s="86"/>
      <c r="AA111" s="86"/>
      <c r="AB111" s="86"/>
      <c r="AC111" s="86">
        <v>1</v>
      </c>
      <c r="AD111" s="86"/>
      <c r="AE111" s="86"/>
      <c r="AF111" s="86"/>
      <c r="AG111" s="86"/>
      <c r="AH111" s="86"/>
      <c r="AI111" s="86"/>
      <c r="AJ111" s="86"/>
      <c r="AK111" s="86"/>
      <c r="AL111" s="86"/>
      <c r="AM111" s="86"/>
      <c r="AN111" s="86"/>
      <c r="AO111" s="86"/>
      <c r="AP111" s="86"/>
      <c r="AQ111" s="86"/>
      <c r="AR111" s="86"/>
    </row>
    <row r="112" spans="1:44" outlineLevel="1" x14ac:dyDescent="0.3">
      <c r="A112" s="47" t="s">
        <v>324</v>
      </c>
      <c r="B112" s="81"/>
      <c r="C112" s="81"/>
      <c r="D112" s="81"/>
      <c r="E112" s="91"/>
      <c r="F112" s="76">
        <f t="shared" si="18"/>
        <v>2</v>
      </c>
      <c r="G112" s="86"/>
      <c r="H112" s="86"/>
      <c r="I112" s="86"/>
      <c r="J112" s="86"/>
      <c r="K112" s="86"/>
      <c r="L112" s="86"/>
      <c r="M112" s="86"/>
      <c r="N112" s="86"/>
      <c r="O112" s="87"/>
      <c r="P112" s="86"/>
      <c r="Q112" s="86"/>
      <c r="R112" s="86">
        <v>1</v>
      </c>
      <c r="S112" s="86"/>
      <c r="T112" s="86"/>
      <c r="U112" s="86"/>
      <c r="V112" s="86"/>
      <c r="W112" s="86"/>
      <c r="X112" s="86"/>
      <c r="Y112" s="86"/>
      <c r="Z112" s="86"/>
      <c r="AA112" s="86"/>
      <c r="AB112" s="86"/>
      <c r="AC112" s="86"/>
      <c r="AD112" s="86"/>
      <c r="AE112" s="86"/>
      <c r="AF112" s="86"/>
      <c r="AG112" s="86">
        <v>1</v>
      </c>
      <c r="AH112" s="86"/>
      <c r="AI112" s="86"/>
      <c r="AJ112" s="86"/>
      <c r="AK112" s="86"/>
      <c r="AL112" s="86"/>
      <c r="AM112" s="86"/>
      <c r="AN112" s="86"/>
      <c r="AO112" s="86"/>
      <c r="AP112" s="86"/>
      <c r="AQ112" s="86"/>
      <c r="AR112" s="86"/>
    </row>
    <row r="113" spans="1:44" outlineLevel="1" x14ac:dyDescent="0.3">
      <c r="A113" s="47" t="s">
        <v>325</v>
      </c>
      <c r="B113" s="81"/>
      <c r="C113" s="81"/>
      <c r="D113" s="81"/>
      <c r="E113" s="91"/>
      <c r="F113" s="76">
        <f t="shared" si="18"/>
        <v>2</v>
      </c>
      <c r="G113" s="86"/>
      <c r="H113" s="86"/>
      <c r="I113" s="86"/>
      <c r="J113" s="86"/>
      <c r="K113" s="86"/>
      <c r="L113" s="86"/>
      <c r="M113" s="86"/>
      <c r="N113" s="86"/>
      <c r="O113" s="87"/>
      <c r="P113" s="86"/>
      <c r="Q113" s="86"/>
      <c r="R113" s="86"/>
      <c r="S113" s="86"/>
      <c r="T113" s="86"/>
      <c r="U113" s="86"/>
      <c r="V113" s="86"/>
      <c r="W113" s="86"/>
      <c r="X113" s="86"/>
      <c r="Y113" s="86"/>
      <c r="Z113" s="86"/>
      <c r="AA113" s="86"/>
      <c r="AB113" s="86"/>
      <c r="AC113" s="86">
        <v>1</v>
      </c>
      <c r="AD113" s="86"/>
      <c r="AE113" s="86"/>
      <c r="AF113" s="86">
        <v>1</v>
      </c>
      <c r="AG113" s="86"/>
      <c r="AH113" s="86"/>
      <c r="AI113" s="86"/>
      <c r="AJ113" s="86"/>
      <c r="AK113" s="86"/>
      <c r="AL113" s="86"/>
      <c r="AM113" s="86"/>
      <c r="AN113" s="86"/>
      <c r="AO113" s="86"/>
      <c r="AP113" s="86"/>
      <c r="AQ113" s="86"/>
      <c r="AR113" s="86"/>
    </row>
    <row r="114" spans="1:44" outlineLevel="1" x14ac:dyDescent="0.3">
      <c r="A114" s="47" t="s">
        <v>326</v>
      </c>
      <c r="B114" s="81"/>
      <c r="C114" s="81"/>
      <c r="D114" s="81"/>
      <c r="E114" s="91"/>
      <c r="F114" s="76">
        <f t="shared" si="18"/>
        <v>2</v>
      </c>
      <c r="G114" s="86"/>
      <c r="H114" s="86"/>
      <c r="I114" s="86"/>
      <c r="J114" s="86"/>
      <c r="K114" s="86"/>
      <c r="L114" s="86"/>
      <c r="M114" s="86"/>
      <c r="N114" s="86"/>
      <c r="O114" s="87"/>
      <c r="P114" s="86"/>
      <c r="Q114" s="86"/>
      <c r="R114" s="86"/>
      <c r="S114" s="86"/>
      <c r="T114" s="86"/>
      <c r="U114" s="86"/>
      <c r="V114" s="86"/>
      <c r="W114" s="86"/>
      <c r="X114" s="86"/>
      <c r="Y114" s="86"/>
      <c r="Z114" s="86"/>
      <c r="AA114" s="86"/>
      <c r="AB114" s="86">
        <v>1</v>
      </c>
      <c r="AC114" s="86"/>
      <c r="AD114" s="86"/>
      <c r="AE114" s="86"/>
      <c r="AF114" s="86"/>
      <c r="AG114" s="86">
        <v>1</v>
      </c>
      <c r="AH114" s="86"/>
      <c r="AI114" s="86"/>
      <c r="AJ114" s="86"/>
      <c r="AK114" s="86"/>
      <c r="AL114" s="86"/>
      <c r="AM114" s="86"/>
      <c r="AN114" s="86"/>
      <c r="AO114" s="86"/>
      <c r="AP114" s="86"/>
      <c r="AQ114" s="86"/>
      <c r="AR114" s="86"/>
    </row>
    <row r="115" spans="1:44" x14ac:dyDescent="0.3">
      <c r="A115" s="93"/>
      <c r="B115" s="94"/>
      <c r="C115" s="94"/>
      <c r="D115" s="94"/>
      <c r="E115" s="95"/>
      <c r="F115" s="95"/>
      <c r="G115" s="95"/>
      <c r="H115" s="95"/>
      <c r="I115" s="95"/>
      <c r="J115" s="95"/>
      <c r="K115" s="95"/>
      <c r="L115" s="95"/>
      <c r="M115" s="95"/>
      <c r="N115" s="95"/>
      <c r="O115" s="94"/>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row>
    <row r="118" spans="1:44" x14ac:dyDescent="0.3">
      <c r="A118" s="96" t="s">
        <v>65</v>
      </c>
    </row>
    <row r="119" spans="1:44" x14ac:dyDescent="0.3">
      <c r="A119" s="90" t="s">
        <v>88</v>
      </c>
    </row>
    <row r="120" spans="1:44" x14ac:dyDescent="0.3">
      <c r="A120" s="56" t="s">
        <v>219</v>
      </c>
    </row>
    <row r="121" spans="1:44" x14ac:dyDescent="0.3">
      <c r="A121" s="7" t="s">
        <v>229</v>
      </c>
    </row>
    <row r="122" spans="1:44" x14ac:dyDescent="0.3">
      <c r="A122" s="90" t="s">
        <v>73</v>
      </c>
    </row>
    <row r="123" spans="1:44" x14ac:dyDescent="0.3">
      <c r="A123" s="90" t="s">
        <v>77</v>
      </c>
    </row>
    <row r="124" spans="1:44" x14ac:dyDescent="0.3">
      <c r="A124" s="90" t="s">
        <v>97</v>
      </c>
    </row>
    <row r="125" spans="1:44" x14ac:dyDescent="0.3">
      <c r="A125" s="90" t="s">
        <v>66</v>
      </c>
    </row>
    <row r="126" spans="1:44" x14ac:dyDescent="0.3">
      <c r="A126" s="7" t="s">
        <v>244</v>
      </c>
    </row>
    <row r="127" spans="1:44" x14ac:dyDescent="0.3">
      <c r="A127" s="56" t="s">
        <v>228</v>
      </c>
    </row>
    <row r="128" spans="1:44" x14ac:dyDescent="0.3">
      <c r="A128" s="90" t="s">
        <v>76</v>
      </c>
    </row>
    <row r="129" spans="1:1" x14ac:dyDescent="0.3">
      <c r="A129" t="s">
        <v>89</v>
      </c>
    </row>
    <row r="130" spans="1:1" x14ac:dyDescent="0.3">
      <c r="A130" s="7"/>
    </row>
    <row r="132" spans="1:1" x14ac:dyDescent="0.3">
      <c r="A132" s="90"/>
    </row>
    <row r="133" spans="1:1" x14ac:dyDescent="0.3">
      <c r="A133" s="90"/>
    </row>
    <row r="135" spans="1:1" x14ac:dyDescent="0.3">
      <c r="A135" s="90"/>
    </row>
    <row r="136" spans="1:1" x14ac:dyDescent="0.3">
      <c r="A136" s="90"/>
    </row>
  </sheetData>
  <sortState xmlns:xlrd2="http://schemas.microsoft.com/office/spreadsheetml/2017/richdata2" ref="A120:A129">
    <sortCondition ref="A119"/>
  </sortState>
  <mergeCells count="8">
    <mergeCell ref="A2:B2"/>
    <mergeCell ref="A8:D8"/>
    <mergeCell ref="E8:F8"/>
    <mergeCell ref="I8:J8"/>
    <mergeCell ref="G8:H8"/>
    <mergeCell ref="A9:D9"/>
    <mergeCell ref="A67:D69"/>
    <mergeCell ref="E67:F68"/>
  </mergeCells>
  <pageMargins left="0.7" right="0.7" top="0.75" bottom="0.75" header="0.3" footer="0.3"/>
  <pageSetup paperSize="5" scale="40"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575B-7E77-4ED6-BAD8-3215B150307D}">
  <sheetPr>
    <pageSetUpPr fitToPage="1"/>
  </sheetPr>
  <dimension ref="A1:AU118"/>
  <sheetViews>
    <sheetView workbookViewId="0">
      <pane xSplit="1" topLeftCell="B1" activePane="topRight" state="frozen"/>
      <selection pane="topRight" activeCell="A3" sqref="A3"/>
    </sheetView>
  </sheetViews>
  <sheetFormatPr defaultRowHeight="14.4" outlineLevelRow="1" x14ac:dyDescent="0.3"/>
  <cols>
    <col min="1" max="2" width="16.44140625" customWidth="1"/>
    <col min="4" max="4" width="13.44140625" customWidth="1"/>
    <col min="5" max="6" width="12.109375" customWidth="1"/>
    <col min="7" max="23" width="17.109375" customWidth="1"/>
    <col min="24" max="24" width="17.44140625" customWidth="1"/>
    <col min="25" max="25" width="22.44140625" customWidth="1"/>
    <col min="26" max="26" width="17.109375" customWidth="1"/>
    <col min="27" max="28" width="17.5546875" customWidth="1"/>
    <col min="29" max="29" width="18.88671875" customWidth="1"/>
    <col min="30" max="30" width="17.6640625" customWidth="1"/>
    <col min="31" max="31" width="18.33203125" customWidth="1"/>
    <col min="32" max="32" width="20.33203125" customWidth="1"/>
    <col min="33" max="40" width="16" customWidth="1"/>
  </cols>
  <sheetData>
    <row r="1" spans="1:28" s="1" customFormat="1" ht="13.2" x14ac:dyDescent="0.25">
      <c r="D1" s="2"/>
      <c r="E1" s="2"/>
      <c r="F1" s="2"/>
      <c r="G1" s="3"/>
      <c r="H1" s="3"/>
      <c r="I1" s="3"/>
      <c r="J1" s="3"/>
      <c r="K1" s="3"/>
      <c r="L1" s="3"/>
      <c r="M1" s="3"/>
      <c r="N1" s="3"/>
      <c r="O1" s="3"/>
      <c r="P1" s="3"/>
      <c r="Q1" s="3"/>
      <c r="R1" s="3"/>
      <c r="S1" s="3"/>
      <c r="T1" s="3"/>
      <c r="U1" s="3"/>
      <c r="V1" s="3"/>
      <c r="W1" s="2"/>
      <c r="X1" s="2"/>
    </row>
    <row r="2" spans="1:28" s="1" customFormat="1" ht="18.600000000000001" customHeight="1" x14ac:dyDescent="0.25">
      <c r="A2" s="151" t="s">
        <v>480</v>
      </c>
      <c r="B2" s="152"/>
      <c r="D2" s="4"/>
      <c r="E2" s="2"/>
      <c r="F2" s="2"/>
      <c r="G2" s="3"/>
      <c r="H2" s="3"/>
      <c r="I2" s="3"/>
      <c r="J2" s="3"/>
      <c r="K2" s="3"/>
      <c r="L2" s="3"/>
      <c r="M2" s="3"/>
      <c r="N2" s="48"/>
      <c r="O2" s="3"/>
      <c r="P2" s="3"/>
      <c r="Q2" s="3"/>
      <c r="R2" s="48"/>
      <c r="S2" s="3"/>
      <c r="T2" s="3"/>
      <c r="U2" s="3"/>
      <c r="V2" s="3"/>
      <c r="W2" s="2"/>
      <c r="X2" s="2"/>
    </row>
    <row r="3" spans="1:28" s="1" customFormat="1" ht="20.399999999999999" customHeight="1" x14ac:dyDescent="0.3">
      <c r="A3" s="5" t="s">
        <v>481</v>
      </c>
      <c r="E3" s="2"/>
      <c r="F3" s="2"/>
      <c r="G3" s="3"/>
      <c r="H3" s="3"/>
      <c r="I3" s="3"/>
      <c r="J3" s="3"/>
      <c r="K3" s="3"/>
      <c r="L3" s="3"/>
      <c r="M3" s="3"/>
      <c r="N3" s="110"/>
      <c r="O3" s="3"/>
      <c r="P3" s="3"/>
      <c r="Q3" s="3"/>
      <c r="R3" s="110"/>
      <c r="S3" s="3"/>
      <c r="T3" s="3"/>
      <c r="U3" s="3"/>
      <c r="V3" s="3"/>
      <c r="W3" s="2"/>
      <c r="X3" s="2"/>
    </row>
    <row r="4" spans="1:28" s="1" customFormat="1" ht="15.6" x14ac:dyDescent="0.3">
      <c r="A4" s="5"/>
      <c r="E4" s="2"/>
      <c r="F4" s="2"/>
      <c r="G4" s="3"/>
      <c r="H4" s="3"/>
      <c r="I4" s="3"/>
      <c r="J4" s="3"/>
      <c r="K4" s="3"/>
      <c r="L4" s="3"/>
      <c r="M4" s="3"/>
      <c r="N4" s="3"/>
      <c r="O4" s="3"/>
      <c r="P4" s="3"/>
      <c r="Q4" s="3"/>
      <c r="R4" s="3"/>
      <c r="S4" s="3"/>
      <c r="T4" s="3"/>
      <c r="U4" s="3"/>
      <c r="V4" s="3"/>
      <c r="W4" s="2"/>
      <c r="X4" s="2"/>
    </row>
    <row r="5" spans="1:28" s="1" customFormat="1" ht="18.75" customHeight="1" x14ac:dyDescent="0.25">
      <c r="A5" s="6" t="s">
        <v>190</v>
      </c>
      <c r="E5" s="2"/>
      <c r="F5" s="2"/>
      <c r="G5" s="3"/>
      <c r="H5" s="3"/>
      <c r="I5" s="3"/>
      <c r="J5" s="3"/>
      <c r="K5" s="3"/>
      <c r="L5" s="3"/>
      <c r="M5" s="3"/>
      <c r="N5" s="3"/>
      <c r="O5" s="3"/>
      <c r="P5" s="3"/>
      <c r="Q5" s="3"/>
      <c r="R5" s="3"/>
      <c r="S5" s="3"/>
      <c r="T5" s="3"/>
      <c r="U5" s="3"/>
      <c r="V5" s="3"/>
      <c r="W5" s="2"/>
      <c r="X5" s="2"/>
    </row>
    <row r="6" spans="1:28" s="1" customFormat="1" ht="30.75" customHeight="1" x14ac:dyDescent="0.25">
      <c r="A6" s="182" t="s">
        <v>189</v>
      </c>
      <c r="B6" s="182"/>
      <c r="C6" s="182"/>
      <c r="D6" s="182"/>
      <c r="E6" s="182"/>
      <c r="F6" s="182"/>
      <c r="G6" s="182"/>
      <c r="H6" s="182"/>
      <c r="I6" s="182"/>
      <c r="J6" s="182"/>
      <c r="K6" s="182"/>
      <c r="L6" s="182"/>
      <c r="M6" s="182"/>
      <c r="N6" s="182"/>
      <c r="O6" s="3"/>
      <c r="P6" s="3"/>
      <c r="Q6" s="3"/>
      <c r="R6" s="3"/>
      <c r="S6" s="3"/>
      <c r="T6" s="3"/>
      <c r="U6" s="3"/>
      <c r="V6" s="3"/>
      <c r="W6" s="2"/>
      <c r="X6" s="2"/>
    </row>
    <row r="7" spans="1:28" s="11" customFormat="1" ht="13.2" x14ac:dyDescent="0.25">
      <c r="A7" s="7"/>
      <c r="B7" s="7"/>
      <c r="C7" s="7"/>
      <c r="D7" s="3"/>
      <c r="E7" s="8"/>
      <c r="F7" s="8"/>
      <c r="G7" s="8"/>
      <c r="H7" s="8"/>
      <c r="I7" s="12"/>
      <c r="J7" s="9"/>
      <c r="K7" s="9"/>
      <c r="L7" s="3"/>
      <c r="M7" s="9"/>
      <c r="N7" s="3"/>
      <c r="O7" s="3"/>
      <c r="P7" s="9"/>
      <c r="Q7" s="3"/>
      <c r="R7" s="3"/>
      <c r="S7" s="3"/>
      <c r="T7" s="3"/>
      <c r="U7" s="3"/>
      <c r="V7" s="3"/>
      <c r="W7" s="3"/>
      <c r="X7" s="3"/>
      <c r="Y7" s="3"/>
      <c r="Z7" s="3"/>
      <c r="AA7" s="3"/>
      <c r="AB7" s="10"/>
    </row>
    <row r="8" spans="1:28" s="1" customFormat="1" ht="53.4" customHeight="1" x14ac:dyDescent="0.25">
      <c r="A8" s="153" t="s">
        <v>2</v>
      </c>
      <c r="B8" s="154"/>
      <c r="C8" s="154"/>
      <c r="D8" s="155"/>
      <c r="E8" s="156" t="s">
        <v>201</v>
      </c>
      <c r="F8" s="157"/>
      <c r="G8" s="156" t="s">
        <v>200</v>
      </c>
      <c r="H8" s="157"/>
      <c r="I8" s="149" t="s">
        <v>5</v>
      </c>
      <c r="J8" s="150"/>
      <c r="K8" s="12"/>
      <c r="L8" s="12"/>
      <c r="M8" s="12"/>
      <c r="N8" s="106"/>
      <c r="O8" s="106"/>
      <c r="P8" s="12"/>
      <c r="Q8" s="12"/>
      <c r="R8" s="106"/>
      <c r="S8" s="106"/>
      <c r="T8" s="3"/>
      <c r="U8" s="3"/>
      <c r="V8" s="3"/>
      <c r="W8" s="3"/>
      <c r="X8" s="3"/>
      <c r="Y8" s="3"/>
      <c r="Z8" s="3"/>
      <c r="AA8" s="3"/>
      <c r="AB8" s="3"/>
    </row>
    <row r="9" spans="1:28" s="1" customFormat="1" ht="14.4" customHeight="1" x14ac:dyDescent="0.25">
      <c r="A9" s="164" t="s">
        <v>6</v>
      </c>
      <c r="B9" s="165"/>
      <c r="C9" s="165"/>
      <c r="D9" s="165"/>
      <c r="E9" s="13" t="s">
        <v>7</v>
      </c>
      <c r="F9" s="14" t="s">
        <v>8</v>
      </c>
      <c r="G9" s="13" t="s">
        <v>7</v>
      </c>
      <c r="H9" s="14" t="s">
        <v>8</v>
      </c>
      <c r="I9" s="13" t="s">
        <v>7</v>
      </c>
      <c r="J9" s="15" t="s">
        <v>8</v>
      </c>
      <c r="K9" s="16"/>
      <c r="L9" s="16"/>
      <c r="M9" s="16"/>
      <c r="N9" s="17"/>
      <c r="O9" s="17"/>
      <c r="P9" s="16"/>
      <c r="Q9" s="16"/>
      <c r="R9" s="17"/>
      <c r="S9" s="17"/>
      <c r="T9" s="3"/>
      <c r="U9" s="3"/>
      <c r="V9" s="3"/>
      <c r="W9" s="3"/>
      <c r="X9" s="3"/>
      <c r="Y9" s="3"/>
      <c r="Z9" s="3"/>
      <c r="AA9" s="3"/>
      <c r="AB9" s="3"/>
    </row>
    <row r="10" spans="1:28" s="1" customFormat="1" ht="15" customHeight="1" x14ac:dyDescent="0.25">
      <c r="A10" s="18"/>
      <c r="B10" s="19"/>
      <c r="C10" s="19"/>
      <c r="D10" s="19"/>
      <c r="E10" s="20"/>
      <c r="F10" s="21"/>
      <c r="G10" s="20"/>
      <c r="H10" s="21"/>
      <c r="I10" s="20"/>
      <c r="J10" s="22"/>
      <c r="K10" s="3"/>
      <c r="L10" s="3"/>
      <c r="M10" s="3"/>
      <c r="N10" s="3"/>
      <c r="O10" s="3"/>
      <c r="P10" s="3"/>
      <c r="Q10" s="3"/>
      <c r="R10" s="3"/>
      <c r="S10" s="3"/>
      <c r="T10" s="3"/>
      <c r="U10" s="3"/>
      <c r="V10" s="3"/>
      <c r="W10" s="3"/>
      <c r="X10" s="3"/>
      <c r="Y10" s="3"/>
      <c r="Z10" s="3"/>
      <c r="AA10" s="3"/>
      <c r="AB10" s="3"/>
    </row>
    <row r="11" spans="1:28" s="1" customFormat="1" ht="15" customHeight="1" x14ac:dyDescent="0.25">
      <c r="A11" s="23" t="s">
        <v>9</v>
      </c>
      <c r="B11" s="24"/>
      <c r="C11" s="24"/>
      <c r="D11" s="25">
        <f>SUM(E11,G11,I11)</f>
        <v>43</v>
      </c>
      <c r="E11" s="26">
        <f>SUM(E13,E17,E24,E34,E44,E60)</f>
        <v>24</v>
      </c>
      <c r="F11" s="27">
        <f>E11/$D$11</f>
        <v>0.55813953488372092</v>
      </c>
      <c r="G11" s="28">
        <f>SUM(G13,G17,G24,G34,G44,G60)</f>
        <v>10</v>
      </c>
      <c r="H11" s="27">
        <f>G11/$D$11</f>
        <v>0.23255813953488372</v>
      </c>
      <c r="I11" s="26">
        <f>SUM(I13,I17,I24,I34,I44,I60)</f>
        <v>9</v>
      </c>
      <c r="J11" s="29">
        <f>I11/$D$11</f>
        <v>0.20930232558139536</v>
      </c>
      <c r="K11" s="30"/>
      <c r="L11" s="30"/>
      <c r="M11" s="30"/>
      <c r="N11" s="31"/>
      <c r="O11" s="30"/>
      <c r="P11" s="30"/>
      <c r="Q11" s="30"/>
      <c r="R11" s="31"/>
      <c r="S11" s="30"/>
      <c r="T11" s="32"/>
      <c r="U11" s="32"/>
      <c r="V11" s="32"/>
      <c r="W11" s="32"/>
      <c r="X11" s="32"/>
      <c r="Y11" s="32"/>
      <c r="Z11" s="32"/>
      <c r="AA11" s="32"/>
      <c r="AB11" s="32"/>
    </row>
    <row r="12" spans="1:28" s="9" customFormat="1" ht="15" customHeight="1" x14ac:dyDescent="0.25">
      <c r="A12" s="33"/>
      <c r="B12" s="7"/>
      <c r="C12" s="7"/>
      <c r="D12" s="3"/>
      <c r="E12" s="34"/>
      <c r="F12" s="3"/>
      <c r="G12" s="35"/>
      <c r="H12" s="3"/>
      <c r="I12" s="34"/>
      <c r="J12" s="36"/>
      <c r="K12" s="3"/>
      <c r="L12" s="3"/>
      <c r="M12" s="3"/>
      <c r="N12" s="3"/>
      <c r="O12" s="3"/>
      <c r="P12" s="3"/>
      <c r="Q12" s="3"/>
      <c r="R12" s="3"/>
      <c r="S12" s="3"/>
      <c r="T12" s="3"/>
      <c r="U12" s="3"/>
      <c r="V12" s="3"/>
      <c r="W12" s="3"/>
      <c r="X12" s="3"/>
      <c r="Y12" s="3"/>
      <c r="Z12" s="3"/>
      <c r="AA12" s="3"/>
      <c r="AB12" s="3"/>
    </row>
    <row r="13" spans="1:28" s="9" customFormat="1" ht="15" customHeight="1" x14ac:dyDescent="0.25">
      <c r="A13" s="37" t="s">
        <v>10</v>
      </c>
      <c r="B13" s="38"/>
      <c r="C13" s="38"/>
      <c r="D13" s="39"/>
      <c r="E13" s="40">
        <f>SUM(E14:E16)</f>
        <v>0</v>
      </c>
      <c r="F13" s="39"/>
      <c r="G13" s="40">
        <f>SUM(G14:G16)</f>
        <v>0</v>
      </c>
      <c r="H13" s="39"/>
      <c r="I13" s="40">
        <f>SUM(I14:I16)</f>
        <v>3</v>
      </c>
      <c r="J13" s="42"/>
      <c r="K13" s="3"/>
      <c r="L13" s="3"/>
      <c r="M13" s="3"/>
      <c r="N13" s="3"/>
      <c r="O13" s="3"/>
      <c r="P13" s="3"/>
      <c r="Q13" s="3"/>
      <c r="R13" s="3"/>
      <c r="S13" s="3"/>
      <c r="T13" s="3"/>
      <c r="U13" s="3"/>
      <c r="V13" s="3"/>
      <c r="W13" s="3"/>
      <c r="X13" s="3"/>
      <c r="Y13" s="3"/>
      <c r="Z13" s="3"/>
      <c r="AA13" s="3"/>
      <c r="AB13" s="3"/>
    </row>
    <row r="14" spans="1:28" s="9" customFormat="1" ht="15" customHeight="1" outlineLevel="1" x14ac:dyDescent="0.3">
      <c r="A14" s="47" t="s">
        <v>284</v>
      </c>
      <c r="B14" s="7"/>
      <c r="C14" s="7"/>
      <c r="D14" s="3"/>
      <c r="E14" s="44"/>
      <c r="F14" s="3"/>
      <c r="G14" s="45"/>
      <c r="H14" s="3"/>
      <c r="I14" s="44">
        <v>1</v>
      </c>
      <c r="J14" s="36"/>
      <c r="K14" s="3"/>
      <c r="L14" s="3"/>
      <c r="M14" s="3"/>
      <c r="N14" s="3"/>
      <c r="O14" s="3"/>
      <c r="P14" s="3"/>
      <c r="Q14" s="3"/>
      <c r="R14" s="3"/>
      <c r="S14" s="3"/>
      <c r="T14" s="3"/>
      <c r="U14" s="3"/>
      <c r="V14" s="3"/>
      <c r="W14" s="3"/>
      <c r="X14" s="3"/>
      <c r="Y14" s="3"/>
      <c r="Z14" s="3"/>
      <c r="AA14" s="3"/>
      <c r="AB14" s="3"/>
    </row>
    <row r="15" spans="1:28" s="9" customFormat="1" ht="15" customHeight="1" outlineLevel="1" x14ac:dyDescent="0.3">
      <c r="A15" s="43" t="s">
        <v>11</v>
      </c>
      <c r="B15" s="7"/>
      <c r="C15" s="7"/>
      <c r="D15" s="3"/>
      <c r="E15" s="44"/>
      <c r="F15" s="3"/>
      <c r="G15" s="45"/>
      <c r="H15" s="3"/>
      <c r="I15" s="44">
        <v>1</v>
      </c>
      <c r="J15" s="36"/>
      <c r="K15" s="3"/>
      <c r="L15" s="3"/>
      <c r="M15" s="3"/>
      <c r="N15" s="3"/>
      <c r="O15" s="3"/>
      <c r="P15" s="3"/>
      <c r="Q15" s="3"/>
      <c r="R15" s="3"/>
      <c r="S15" s="3"/>
      <c r="T15" s="3"/>
      <c r="U15" s="3"/>
      <c r="V15" s="3"/>
      <c r="W15" s="3"/>
      <c r="X15" s="3"/>
      <c r="Y15" s="3"/>
      <c r="Z15" s="3"/>
      <c r="AA15" s="3"/>
      <c r="AB15" s="3"/>
    </row>
    <row r="16" spans="1:28" s="9" customFormat="1" ht="15" customHeight="1" outlineLevel="1" x14ac:dyDescent="0.3">
      <c r="A16" s="43" t="s">
        <v>12</v>
      </c>
      <c r="B16" s="7"/>
      <c r="C16" s="7"/>
      <c r="D16" s="3"/>
      <c r="E16" s="44"/>
      <c r="F16" s="3"/>
      <c r="G16" s="45"/>
      <c r="H16" s="3"/>
      <c r="I16" s="44">
        <v>1</v>
      </c>
      <c r="J16" s="36"/>
      <c r="K16" s="3"/>
      <c r="L16" s="3"/>
      <c r="M16" s="3"/>
      <c r="N16" s="3"/>
      <c r="O16" s="3"/>
      <c r="P16" s="3"/>
      <c r="Q16" s="3"/>
      <c r="R16" s="3"/>
      <c r="S16" s="3"/>
      <c r="T16" s="3"/>
      <c r="U16" s="3"/>
      <c r="V16" s="3"/>
      <c r="W16" s="3"/>
      <c r="X16" s="3"/>
      <c r="Y16" s="3"/>
      <c r="Z16" s="3"/>
      <c r="AA16" s="3"/>
      <c r="AB16" s="3"/>
    </row>
    <row r="17" spans="1:28" s="9" customFormat="1" ht="15" customHeight="1" x14ac:dyDescent="0.25">
      <c r="A17" s="46" t="s">
        <v>13</v>
      </c>
      <c r="B17" s="7"/>
      <c r="C17" s="7"/>
      <c r="D17" s="3"/>
      <c r="E17" s="34">
        <f>SUM(E18:E23)</f>
        <v>4</v>
      </c>
      <c r="F17" s="3"/>
      <c r="G17" s="35">
        <f>SUM(G18:G23)</f>
        <v>0</v>
      </c>
      <c r="H17" s="3"/>
      <c r="I17" s="34">
        <f>SUM(I18:I23)</f>
        <v>2</v>
      </c>
      <c r="J17" s="36"/>
      <c r="K17" s="3"/>
      <c r="L17" s="3"/>
      <c r="M17" s="3"/>
      <c r="N17" s="3"/>
      <c r="O17" s="3"/>
      <c r="P17" s="3"/>
      <c r="Q17" s="3"/>
      <c r="R17" s="3"/>
      <c r="S17" s="3"/>
      <c r="T17" s="3"/>
      <c r="U17" s="3"/>
      <c r="V17" s="3"/>
      <c r="W17" s="3"/>
      <c r="X17" s="3"/>
      <c r="Y17" s="3"/>
      <c r="Z17" s="3"/>
      <c r="AA17" s="3"/>
      <c r="AB17" s="3"/>
    </row>
    <row r="18" spans="1:28" s="9" customFormat="1" ht="15" customHeight="1" outlineLevel="1" x14ac:dyDescent="0.3">
      <c r="A18" s="47" t="s">
        <v>14</v>
      </c>
      <c r="B18" s="7"/>
      <c r="C18" s="7"/>
      <c r="D18" s="3"/>
      <c r="E18" s="44">
        <v>1</v>
      </c>
      <c r="F18" s="3"/>
      <c r="G18" s="45"/>
      <c r="H18" s="3"/>
      <c r="I18" s="44" t="s">
        <v>391</v>
      </c>
      <c r="J18" s="36"/>
      <c r="K18" s="3"/>
      <c r="L18" s="3"/>
      <c r="M18" s="3"/>
      <c r="N18" s="3"/>
      <c r="O18" s="3"/>
      <c r="P18" s="3"/>
      <c r="Q18" s="3"/>
      <c r="R18" s="3"/>
      <c r="S18" s="3"/>
      <c r="T18" s="3"/>
      <c r="U18" s="3"/>
      <c r="V18" s="3"/>
      <c r="W18" s="3"/>
      <c r="X18" s="3"/>
      <c r="Y18" s="3"/>
      <c r="Z18" s="3"/>
      <c r="AA18" s="3"/>
      <c r="AB18" s="3"/>
    </row>
    <row r="19" spans="1:28" s="9" customFormat="1" ht="15" customHeight="1" outlineLevel="1" x14ac:dyDescent="0.3">
      <c r="A19" s="47" t="s">
        <v>15</v>
      </c>
      <c r="B19" s="7"/>
      <c r="C19" s="7"/>
      <c r="D19" s="3"/>
      <c r="E19" s="44"/>
      <c r="F19" s="3"/>
      <c r="G19" s="45"/>
      <c r="H19" s="3"/>
      <c r="I19" s="44">
        <v>1</v>
      </c>
      <c r="J19" s="36"/>
      <c r="K19" s="3"/>
      <c r="L19" s="3"/>
      <c r="M19" s="3"/>
      <c r="N19" s="3"/>
      <c r="O19" s="3"/>
      <c r="P19" s="3"/>
      <c r="Q19" s="3"/>
      <c r="R19" s="3"/>
      <c r="S19" s="3"/>
      <c r="T19" s="3"/>
      <c r="U19" s="3"/>
      <c r="V19" s="3"/>
      <c r="W19" s="3"/>
      <c r="X19" s="3"/>
      <c r="Y19" s="3"/>
      <c r="Z19" s="3"/>
      <c r="AA19" s="3"/>
      <c r="AB19" s="3"/>
    </row>
    <row r="20" spans="1:28" s="9" customFormat="1" ht="15" customHeight="1" outlineLevel="1" x14ac:dyDescent="0.3">
      <c r="A20" s="47" t="s">
        <v>16</v>
      </c>
      <c r="B20" s="7"/>
      <c r="C20" s="7"/>
      <c r="D20" s="3"/>
      <c r="E20" s="44"/>
      <c r="F20" s="3"/>
      <c r="G20" s="45"/>
      <c r="H20" s="3"/>
      <c r="I20" s="44">
        <v>1</v>
      </c>
      <c r="J20" s="36"/>
      <c r="K20" s="3"/>
      <c r="L20" s="3"/>
      <c r="M20" s="3"/>
      <c r="N20" s="3"/>
      <c r="O20" s="3"/>
      <c r="P20" s="3"/>
      <c r="Q20" s="3"/>
      <c r="R20" s="3"/>
      <c r="S20" s="3"/>
      <c r="T20" s="3"/>
      <c r="U20" s="3"/>
      <c r="V20" s="3"/>
      <c r="W20" s="3"/>
      <c r="X20" s="3"/>
      <c r="Y20" s="3"/>
      <c r="Z20" s="3"/>
      <c r="AA20" s="3"/>
      <c r="AB20" s="3"/>
    </row>
    <row r="21" spans="1:28" s="9" customFormat="1" ht="15" customHeight="1" outlineLevel="1" x14ac:dyDescent="0.3">
      <c r="A21" s="47" t="s">
        <v>17</v>
      </c>
      <c r="B21" s="7"/>
      <c r="C21" s="7"/>
      <c r="D21" s="3"/>
      <c r="E21" s="44">
        <v>1</v>
      </c>
      <c r="F21" s="3"/>
      <c r="G21" s="45"/>
      <c r="H21" s="3"/>
      <c r="I21" s="44" t="s">
        <v>391</v>
      </c>
      <c r="J21" s="36"/>
      <c r="K21" s="3"/>
      <c r="L21" s="3"/>
      <c r="M21" s="3"/>
      <c r="N21" s="3"/>
      <c r="O21" s="3"/>
      <c r="P21" s="3"/>
      <c r="Q21" s="3"/>
      <c r="R21" s="3"/>
      <c r="S21" s="3"/>
      <c r="T21" s="3"/>
      <c r="U21" s="3"/>
      <c r="V21" s="3"/>
      <c r="W21" s="3"/>
      <c r="X21" s="3"/>
      <c r="Y21" s="3"/>
      <c r="Z21" s="3"/>
      <c r="AA21" s="3"/>
      <c r="AB21" s="3"/>
    </row>
    <row r="22" spans="1:28" s="9" customFormat="1" ht="15" customHeight="1" outlineLevel="1" x14ac:dyDescent="0.3">
      <c r="A22" s="47" t="s">
        <v>82</v>
      </c>
      <c r="B22" s="7"/>
      <c r="C22" s="7"/>
      <c r="D22" s="3"/>
      <c r="E22" s="44">
        <v>1</v>
      </c>
      <c r="F22" s="3"/>
      <c r="G22" s="45"/>
      <c r="H22" s="3"/>
      <c r="I22" s="44" t="s">
        <v>391</v>
      </c>
      <c r="J22" s="36"/>
      <c r="K22" s="3"/>
      <c r="L22" s="3"/>
      <c r="M22" s="3"/>
      <c r="N22" s="3"/>
      <c r="O22" s="3"/>
      <c r="P22" s="3"/>
      <c r="Q22" s="3"/>
      <c r="R22" s="3"/>
      <c r="S22" s="3"/>
      <c r="T22" s="3"/>
      <c r="U22" s="3"/>
      <c r="V22" s="3"/>
      <c r="W22" s="3"/>
      <c r="X22" s="3"/>
      <c r="Y22" s="3"/>
      <c r="Z22" s="3"/>
      <c r="AA22" s="3"/>
      <c r="AB22" s="3"/>
    </row>
    <row r="23" spans="1:28" s="9" customFormat="1" ht="15" customHeight="1" outlineLevel="1" x14ac:dyDescent="0.3">
      <c r="A23" s="47" t="s">
        <v>18</v>
      </c>
      <c r="B23" s="7"/>
      <c r="C23" s="7"/>
      <c r="D23" s="3"/>
      <c r="E23" s="44">
        <v>1</v>
      </c>
      <c r="F23" s="3"/>
      <c r="G23" s="45"/>
      <c r="H23" s="3"/>
      <c r="I23" s="44" t="s">
        <v>391</v>
      </c>
      <c r="J23" s="36"/>
      <c r="K23" s="3"/>
      <c r="L23" s="3"/>
      <c r="M23" s="3"/>
      <c r="N23" s="3"/>
      <c r="O23" s="3"/>
      <c r="P23" s="3"/>
      <c r="Q23" s="3"/>
      <c r="R23" s="3"/>
      <c r="S23" s="3"/>
      <c r="T23" s="3"/>
      <c r="U23" s="3"/>
      <c r="V23" s="3"/>
      <c r="W23" s="3"/>
      <c r="X23" s="3"/>
      <c r="Y23" s="3"/>
      <c r="Z23" s="3"/>
      <c r="AA23" s="3"/>
      <c r="AB23" s="3"/>
    </row>
    <row r="24" spans="1:28" s="9" customFormat="1" ht="15" customHeight="1" x14ac:dyDescent="0.25">
      <c r="A24" s="37" t="s">
        <v>19</v>
      </c>
      <c r="B24" s="38"/>
      <c r="C24" s="38"/>
      <c r="D24" s="39"/>
      <c r="E24" s="40">
        <f>SUM(E25:E33)</f>
        <v>6</v>
      </c>
      <c r="F24" s="39"/>
      <c r="G24" s="41">
        <f>SUM(G25:G33)</f>
        <v>2</v>
      </c>
      <c r="H24" s="39"/>
      <c r="I24" s="40">
        <f>SUM(I25:I33)</f>
        <v>1</v>
      </c>
      <c r="J24" s="42"/>
      <c r="K24" s="3"/>
      <c r="L24" s="3"/>
      <c r="M24" s="3"/>
      <c r="N24" s="3"/>
      <c r="O24" s="3"/>
      <c r="P24" s="3"/>
      <c r="Q24" s="3"/>
      <c r="R24" s="3"/>
      <c r="S24" s="3"/>
      <c r="T24" s="3"/>
      <c r="U24" s="3"/>
      <c r="V24" s="3"/>
      <c r="W24" s="3"/>
      <c r="X24" s="3"/>
      <c r="Y24" s="3"/>
      <c r="Z24" s="3"/>
      <c r="AA24" s="3"/>
      <c r="AB24" s="3"/>
    </row>
    <row r="25" spans="1:28" s="9" customFormat="1" ht="15" customHeight="1" outlineLevel="1" x14ac:dyDescent="0.3">
      <c r="A25" s="47" t="s">
        <v>20</v>
      </c>
      <c r="B25" s="7"/>
      <c r="C25" s="7"/>
      <c r="D25" s="3"/>
      <c r="E25" s="44">
        <v>1</v>
      </c>
      <c r="F25" s="3"/>
      <c r="G25" s="45"/>
      <c r="H25" s="3"/>
      <c r="I25" s="44" t="s">
        <v>391</v>
      </c>
      <c r="J25" s="36"/>
      <c r="K25" s="3"/>
      <c r="L25" s="3"/>
      <c r="M25" s="3"/>
      <c r="N25" s="3"/>
      <c r="O25" s="3"/>
      <c r="P25" s="3"/>
      <c r="Q25" s="3"/>
      <c r="R25" s="3"/>
      <c r="S25" s="3"/>
      <c r="T25" s="3"/>
      <c r="U25" s="3"/>
      <c r="V25" s="3"/>
      <c r="W25" s="3"/>
      <c r="X25" s="3"/>
      <c r="Y25" s="3"/>
      <c r="Z25" s="3"/>
      <c r="AA25" s="3"/>
      <c r="AB25" s="3"/>
    </row>
    <row r="26" spans="1:28" s="9" customFormat="1" ht="15" customHeight="1" outlineLevel="1" x14ac:dyDescent="0.3">
      <c r="A26" s="47" t="s">
        <v>21</v>
      </c>
      <c r="B26" s="7"/>
      <c r="C26" s="7"/>
      <c r="D26" s="3"/>
      <c r="E26" s="44">
        <v>1</v>
      </c>
      <c r="F26" s="3"/>
      <c r="G26" s="45"/>
      <c r="H26" s="3"/>
      <c r="I26" s="44" t="s">
        <v>391</v>
      </c>
      <c r="J26" s="36"/>
      <c r="K26" s="3"/>
      <c r="L26" s="3"/>
      <c r="M26" s="3"/>
      <c r="N26" s="3"/>
      <c r="O26" s="3"/>
      <c r="P26" s="3"/>
      <c r="Q26" s="3"/>
      <c r="R26" s="3"/>
      <c r="S26" s="3"/>
      <c r="T26" s="3"/>
      <c r="U26" s="3"/>
      <c r="V26" s="3"/>
      <c r="W26" s="3"/>
      <c r="X26" s="3"/>
      <c r="Y26" s="3"/>
      <c r="Z26" s="3"/>
      <c r="AA26" s="3"/>
      <c r="AB26" s="3"/>
    </row>
    <row r="27" spans="1:28" s="9" customFormat="1" ht="15" customHeight="1" outlineLevel="1" x14ac:dyDescent="0.3">
      <c r="A27" s="47" t="s">
        <v>83</v>
      </c>
      <c r="B27" s="7"/>
      <c r="C27" s="7"/>
      <c r="D27" s="3"/>
      <c r="E27" s="44"/>
      <c r="F27" s="3"/>
      <c r="G27" s="45">
        <v>1</v>
      </c>
      <c r="H27" s="3"/>
      <c r="I27" s="44" t="s">
        <v>391</v>
      </c>
      <c r="J27" s="36"/>
      <c r="K27" s="3"/>
      <c r="L27" s="3"/>
      <c r="M27" s="3"/>
      <c r="N27" s="3"/>
      <c r="O27" s="3"/>
      <c r="P27" s="3"/>
      <c r="Q27" s="3"/>
      <c r="R27" s="3"/>
      <c r="S27" s="3"/>
      <c r="T27" s="3"/>
      <c r="U27" s="3"/>
      <c r="V27" s="3"/>
      <c r="W27" s="3"/>
      <c r="X27" s="3"/>
      <c r="Y27" s="3"/>
      <c r="Z27" s="3"/>
      <c r="AA27" s="3"/>
      <c r="AB27" s="3"/>
    </row>
    <row r="28" spans="1:28" s="9" customFormat="1" ht="15" customHeight="1" outlineLevel="1" x14ac:dyDescent="0.3">
      <c r="A28" s="47" t="s">
        <v>22</v>
      </c>
      <c r="B28" s="7"/>
      <c r="C28" s="7"/>
      <c r="D28" s="3"/>
      <c r="E28" s="44"/>
      <c r="F28" s="3"/>
      <c r="G28" s="45"/>
      <c r="H28" s="3"/>
      <c r="I28" s="44">
        <v>1</v>
      </c>
      <c r="J28" s="36"/>
      <c r="K28" s="3"/>
      <c r="L28" s="3"/>
      <c r="M28" s="3"/>
      <c r="N28" s="3"/>
      <c r="O28" s="3"/>
      <c r="P28" s="3"/>
      <c r="Q28" s="3"/>
      <c r="R28" s="3"/>
      <c r="S28" s="3"/>
      <c r="T28" s="3"/>
      <c r="U28" s="3"/>
      <c r="V28" s="3"/>
      <c r="W28" s="3"/>
      <c r="X28" s="3"/>
      <c r="Y28" s="3"/>
      <c r="Z28" s="3"/>
      <c r="AA28" s="3"/>
      <c r="AB28" s="3"/>
    </row>
    <row r="29" spans="1:28" s="9" customFormat="1" ht="15" customHeight="1" outlineLevel="1" x14ac:dyDescent="0.3">
      <c r="A29" s="47" t="s">
        <v>23</v>
      </c>
      <c r="B29" s="7"/>
      <c r="C29" s="7"/>
      <c r="D29" s="3"/>
      <c r="E29" s="44">
        <v>1</v>
      </c>
      <c r="F29" s="3"/>
      <c r="G29" s="45"/>
      <c r="H29" s="3"/>
      <c r="I29" s="44" t="s">
        <v>391</v>
      </c>
      <c r="J29" s="36"/>
      <c r="K29" s="3"/>
      <c r="L29" s="3"/>
      <c r="M29" s="3"/>
      <c r="N29" s="3"/>
      <c r="O29" s="3"/>
      <c r="P29" s="3"/>
      <c r="Q29" s="3"/>
      <c r="R29" s="3"/>
      <c r="S29" s="3"/>
      <c r="T29" s="3"/>
      <c r="U29" s="3"/>
      <c r="V29" s="3"/>
      <c r="W29" s="3"/>
      <c r="X29" s="3"/>
      <c r="Y29" s="3"/>
      <c r="Z29" s="3"/>
      <c r="AA29" s="3"/>
      <c r="AB29" s="3"/>
    </row>
    <row r="30" spans="1:28" s="9" customFormat="1" ht="15" customHeight="1" outlineLevel="1" x14ac:dyDescent="0.3">
      <c r="A30" s="47" t="s">
        <v>24</v>
      </c>
      <c r="B30" s="7"/>
      <c r="C30" s="7"/>
      <c r="D30" s="3"/>
      <c r="E30" s="44">
        <v>1</v>
      </c>
      <c r="F30" s="3"/>
      <c r="G30" s="45"/>
      <c r="H30" s="3"/>
      <c r="I30" s="44" t="s">
        <v>391</v>
      </c>
      <c r="J30" s="36"/>
      <c r="K30" s="3"/>
      <c r="L30" s="3"/>
      <c r="M30" s="3"/>
      <c r="N30" s="3"/>
      <c r="O30" s="3"/>
      <c r="P30" s="3"/>
      <c r="Q30" s="3"/>
      <c r="R30" s="3"/>
      <c r="S30" s="3"/>
      <c r="T30" s="3"/>
      <c r="U30" s="3"/>
      <c r="V30" s="3"/>
      <c r="W30" s="3"/>
      <c r="X30" s="3"/>
      <c r="Y30" s="3"/>
      <c r="Z30" s="3"/>
      <c r="AA30" s="3"/>
      <c r="AB30" s="3"/>
    </row>
    <row r="31" spans="1:28" s="9" customFormat="1" ht="15" customHeight="1" outlineLevel="1" x14ac:dyDescent="0.3">
      <c r="A31" s="47" t="s">
        <v>25</v>
      </c>
      <c r="B31" s="7"/>
      <c r="C31" s="7"/>
      <c r="D31" s="3"/>
      <c r="E31" s="44"/>
      <c r="F31" s="3"/>
      <c r="G31" s="45">
        <v>1</v>
      </c>
      <c r="H31" s="3"/>
      <c r="I31" s="44" t="s">
        <v>391</v>
      </c>
      <c r="J31" s="36"/>
      <c r="K31" s="3"/>
      <c r="L31" s="3"/>
      <c r="M31" s="3"/>
      <c r="N31" s="3"/>
      <c r="O31" s="3"/>
      <c r="P31" s="3"/>
      <c r="Q31" s="3"/>
      <c r="R31" s="3"/>
      <c r="S31" s="3"/>
      <c r="T31" s="3"/>
      <c r="U31" s="3"/>
      <c r="V31" s="3"/>
      <c r="W31" s="3"/>
      <c r="X31" s="3"/>
      <c r="Y31" s="3"/>
      <c r="Z31" s="3"/>
      <c r="AA31" s="3"/>
      <c r="AB31" s="3"/>
    </row>
    <row r="32" spans="1:28" s="9" customFormat="1" ht="15" customHeight="1" outlineLevel="1" x14ac:dyDescent="0.3">
      <c r="A32" s="47" t="s">
        <v>26</v>
      </c>
      <c r="B32" s="7"/>
      <c r="C32" s="7"/>
      <c r="D32" s="3"/>
      <c r="E32" s="44">
        <v>1</v>
      </c>
      <c r="F32" s="3"/>
      <c r="G32" s="45"/>
      <c r="H32" s="3"/>
      <c r="I32" s="44" t="s">
        <v>391</v>
      </c>
      <c r="J32" s="36"/>
      <c r="K32" s="3"/>
      <c r="L32" s="3"/>
      <c r="M32" s="3"/>
      <c r="N32" s="3"/>
      <c r="O32" s="3"/>
      <c r="P32" s="3"/>
      <c r="Q32" s="3"/>
      <c r="R32" s="3"/>
      <c r="S32" s="3"/>
      <c r="T32" s="3"/>
      <c r="U32" s="3"/>
      <c r="V32" s="3"/>
      <c r="W32" s="3"/>
      <c r="X32" s="3"/>
      <c r="Y32" s="3"/>
      <c r="Z32" s="3"/>
      <c r="AA32" s="3"/>
      <c r="AB32" s="3"/>
    </row>
    <row r="33" spans="1:28" s="9" customFormat="1" ht="15" customHeight="1" outlineLevel="1" x14ac:dyDescent="0.3">
      <c r="A33" s="47" t="s">
        <v>27</v>
      </c>
      <c r="B33" s="7"/>
      <c r="C33" s="7"/>
      <c r="D33" s="3"/>
      <c r="E33" s="44">
        <v>1</v>
      </c>
      <c r="F33" s="3"/>
      <c r="G33" s="45"/>
      <c r="H33" s="3"/>
      <c r="I33" s="44" t="s">
        <v>391</v>
      </c>
      <c r="J33" s="36"/>
      <c r="K33" s="3"/>
      <c r="L33" s="3"/>
      <c r="M33" s="3"/>
      <c r="N33" s="3"/>
      <c r="O33" s="3"/>
      <c r="P33" s="3"/>
      <c r="Q33" s="3"/>
      <c r="R33" s="3"/>
      <c r="S33" s="3"/>
      <c r="T33" s="3"/>
      <c r="U33" s="3"/>
      <c r="V33" s="3"/>
      <c r="W33" s="3"/>
      <c r="X33" s="3"/>
      <c r="Y33" s="3"/>
      <c r="Z33" s="3"/>
      <c r="AA33" s="3"/>
      <c r="AB33" s="3"/>
    </row>
    <row r="34" spans="1:28" s="9" customFormat="1" ht="15" customHeight="1" x14ac:dyDescent="0.25">
      <c r="A34" s="46" t="s">
        <v>28</v>
      </c>
      <c r="B34" s="7"/>
      <c r="C34" s="7"/>
      <c r="D34" s="3"/>
      <c r="E34" s="34">
        <f>SUM(E35:E43)</f>
        <v>7</v>
      </c>
      <c r="F34" s="3"/>
      <c r="G34" s="35">
        <f>SUM(G35:G43)</f>
        <v>1</v>
      </c>
      <c r="H34" s="3"/>
      <c r="I34" s="34">
        <f>SUM(I35:I43)</f>
        <v>1</v>
      </c>
      <c r="J34" s="36"/>
      <c r="K34" s="3"/>
      <c r="L34" s="3"/>
      <c r="M34" s="3"/>
      <c r="N34" s="3"/>
      <c r="O34" s="3"/>
      <c r="P34" s="3"/>
      <c r="Q34" s="3"/>
      <c r="R34" s="3"/>
      <c r="S34" s="3"/>
      <c r="T34" s="3"/>
      <c r="U34" s="3"/>
      <c r="V34" s="3"/>
      <c r="W34" s="3"/>
      <c r="X34" s="3"/>
      <c r="Y34" s="3"/>
      <c r="Z34" s="3"/>
      <c r="AA34" s="3"/>
      <c r="AB34" s="3"/>
    </row>
    <row r="35" spans="1:28" s="9" customFormat="1" ht="15" customHeight="1" outlineLevel="1" x14ac:dyDescent="0.3">
      <c r="A35" s="47" t="s">
        <v>29</v>
      </c>
      <c r="B35" s="7"/>
      <c r="C35" s="7"/>
      <c r="D35" s="3"/>
      <c r="E35" s="44">
        <v>1</v>
      </c>
      <c r="F35" s="3"/>
      <c r="G35" s="45"/>
      <c r="H35" s="3"/>
      <c r="I35" s="44" t="s">
        <v>391</v>
      </c>
      <c r="J35" s="36"/>
      <c r="K35" s="3"/>
      <c r="L35" s="3"/>
      <c r="M35" s="3"/>
      <c r="N35" s="3"/>
      <c r="O35" s="3"/>
      <c r="P35" s="3"/>
      <c r="Q35" s="3"/>
      <c r="R35" s="3"/>
      <c r="S35" s="3"/>
      <c r="T35" s="3"/>
      <c r="U35" s="3"/>
      <c r="V35" s="3"/>
      <c r="W35" s="3"/>
      <c r="X35" s="3"/>
      <c r="Y35" s="3"/>
      <c r="Z35" s="3"/>
      <c r="AA35" s="3"/>
      <c r="AB35" s="3"/>
    </row>
    <row r="36" spans="1:28" s="9" customFormat="1" ht="15" customHeight="1" outlineLevel="1" x14ac:dyDescent="0.3">
      <c r="A36" s="47" t="s">
        <v>30</v>
      </c>
      <c r="B36" s="7"/>
      <c r="C36" s="7"/>
      <c r="D36" s="3"/>
      <c r="E36" s="44">
        <v>1</v>
      </c>
      <c r="F36" s="3"/>
      <c r="G36" s="45"/>
      <c r="H36" s="3"/>
      <c r="I36" s="44" t="s">
        <v>391</v>
      </c>
      <c r="J36" s="36"/>
      <c r="K36" s="3"/>
      <c r="L36" s="3"/>
      <c r="M36" s="48"/>
      <c r="N36" s="3"/>
      <c r="O36" s="3"/>
      <c r="P36" s="3"/>
      <c r="Q36" s="3"/>
      <c r="R36" s="3"/>
      <c r="S36" s="3"/>
      <c r="T36" s="3"/>
      <c r="U36" s="3"/>
      <c r="V36" s="3"/>
      <c r="W36" s="3"/>
      <c r="X36" s="3"/>
      <c r="Y36" s="3"/>
      <c r="Z36" s="3"/>
      <c r="AA36" s="3"/>
      <c r="AB36" s="3"/>
    </row>
    <row r="37" spans="1:28" s="9" customFormat="1" ht="15" customHeight="1" outlineLevel="1" x14ac:dyDescent="0.3">
      <c r="A37" s="47" t="s">
        <v>31</v>
      </c>
      <c r="B37" s="7"/>
      <c r="C37" s="7"/>
      <c r="D37" s="3"/>
      <c r="E37" s="44">
        <v>1</v>
      </c>
      <c r="F37" s="3"/>
      <c r="G37" s="45"/>
      <c r="H37" s="3"/>
      <c r="I37" s="44" t="s">
        <v>391</v>
      </c>
      <c r="J37" s="36"/>
      <c r="K37" s="3"/>
      <c r="L37" s="3"/>
      <c r="M37" s="3"/>
      <c r="N37" s="3"/>
      <c r="O37" s="3"/>
      <c r="P37" s="3"/>
      <c r="Q37" s="3"/>
      <c r="R37" s="3"/>
      <c r="S37" s="3"/>
      <c r="T37" s="3"/>
      <c r="U37" s="3"/>
      <c r="V37" s="3"/>
      <c r="W37" s="3"/>
      <c r="X37" s="3"/>
      <c r="Y37" s="3"/>
      <c r="Z37" s="3"/>
      <c r="AA37" s="3"/>
      <c r="AB37" s="3"/>
    </row>
    <row r="38" spans="1:28" s="9" customFormat="1" ht="15" customHeight="1" outlineLevel="1" x14ac:dyDescent="0.3">
      <c r="A38" s="47" t="s">
        <v>32</v>
      </c>
      <c r="B38" s="7"/>
      <c r="C38" s="7"/>
      <c r="D38" s="3"/>
      <c r="E38" s="44"/>
      <c r="F38" s="3"/>
      <c r="G38" s="45">
        <v>1</v>
      </c>
      <c r="H38" s="3"/>
      <c r="I38" s="44" t="s">
        <v>391</v>
      </c>
      <c r="J38" s="36"/>
      <c r="K38" s="3"/>
      <c r="L38" s="3"/>
      <c r="M38" s="3"/>
      <c r="N38" s="3"/>
      <c r="O38" s="3"/>
      <c r="P38" s="3"/>
      <c r="Q38" s="3"/>
      <c r="R38" s="3"/>
      <c r="S38" s="3"/>
      <c r="T38" s="3"/>
      <c r="U38" s="3"/>
      <c r="V38" s="3"/>
      <c r="W38" s="3"/>
      <c r="X38" s="3"/>
      <c r="Y38" s="3"/>
      <c r="Z38" s="3"/>
      <c r="AA38" s="3"/>
      <c r="AB38" s="3"/>
    </row>
    <row r="39" spans="1:28" s="9" customFormat="1" ht="15" customHeight="1" outlineLevel="1" x14ac:dyDescent="0.3">
      <c r="A39" s="47" t="s">
        <v>33</v>
      </c>
      <c r="B39" s="7"/>
      <c r="C39" s="7"/>
      <c r="D39" s="3"/>
      <c r="E39" s="44">
        <v>1</v>
      </c>
      <c r="F39" s="3"/>
      <c r="G39" s="45"/>
      <c r="H39" s="3"/>
      <c r="I39" s="44" t="s">
        <v>391</v>
      </c>
      <c r="J39" s="36"/>
      <c r="K39" s="3"/>
      <c r="L39" s="3"/>
      <c r="M39" s="3"/>
      <c r="N39" s="3"/>
      <c r="O39" s="3"/>
      <c r="P39" s="3"/>
      <c r="Q39" s="3"/>
      <c r="R39" s="3"/>
      <c r="S39" s="3"/>
      <c r="T39" s="3"/>
      <c r="U39" s="3"/>
      <c r="V39" s="3"/>
      <c r="W39" s="3"/>
      <c r="X39" s="3"/>
      <c r="Y39" s="3"/>
      <c r="Z39" s="3"/>
      <c r="AA39" s="3"/>
      <c r="AB39" s="3"/>
    </row>
    <row r="40" spans="1:28" s="9" customFormat="1" ht="15" customHeight="1" outlineLevel="1" x14ac:dyDescent="0.3">
      <c r="A40" s="47" t="s">
        <v>34</v>
      </c>
      <c r="B40" s="7"/>
      <c r="C40" s="7"/>
      <c r="D40" s="3"/>
      <c r="E40" s="44">
        <v>1</v>
      </c>
      <c r="F40" s="3"/>
      <c r="G40" s="45"/>
      <c r="H40" s="3"/>
      <c r="I40" s="44" t="s">
        <v>391</v>
      </c>
      <c r="J40" s="36"/>
      <c r="K40" s="3"/>
      <c r="L40" s="3"/>
      <c r="M40" s="3"/>
      <c r="N40" s="3"/>
      <c r="O40" s="3"/>
      <c r="P40" s="3"/>
      <c r="Q40" s="3"/>
      <c r="R40" s="3"/>
      <c r="S40" s="3"/>
      <c r="T40" s="3"/>
      <c r="U40" s="3"/>
      <c r="V40" s="3"/>
      <c r="W40" s="3"/>
      <c r="X40" s="3"/>
      <c r="Y40" s="3"/>
      <c r="Z40" s="3"/>
      <c r="AA40" s="3"/>
      <c r="AB40" s="3"/>
    </row>
    <row r="41" spans="1:28" s="9" customFormat="1" ht="15" customHeight="1" outlineLevel="1" x14ac:dyDescent="0.3">
      <c r="A41" s="47" t="s">
        <v>35</v>
      </c>
      <c r="B41" s="7"/>
      <c r="C41" s="7"/>
      <c r="D41" s="3"/>
      <c r="E41" s="44"/>
      <c r="F41" s="3"/>
      <c r="G41" s="45"/>
      <c r="H41" s="3"/>
      <c r="I41" s="44">
        <v>1</v>
      </c>
      <c r="J41" s="36"/>
      <c r="K41" s="3"/>
      <c r="L41" s="3"/>
      <c r="M41" s="3"/>
      <c r="N41" s="3"/>
      <c r="O41" s="3"/>
      <c r="P41" s="3"/>
      <c r="Q41" s="3"/>
      <c r="R41" s="3"/>
      <c r="S41" s="3"/>
      <c r="T41" s="3"/>
      <c r="U41" s="3"/>
      <c r="V41" s="3"/>
      <c r="W41" s="3"/>
      <c r="X41" s="3"/>
      <c r="Y41" s="3"/>
      <c r="Z41" s="3"/>
      <c r="AA41" s="3"/>
      <c r="AB41" s="3"/>
    </row>
    <row r="42" spans="1:28" s="9" customFormat="1" ht="15" customHeight="1" outlineLevel="1" x14ac:dyDescent="0.3">
      <c r="A42" s="47" t="s">
        <v>36</v>
      </c>
      <c r="B42" s="7"/>
      <c r="C42" s="7"/>
      <c r="D42" s="3"/>
      <c r="E42" s="44">
        <v>1</v>
      </c>
      <c r="F42" s="3"/>
      <c r="G42" s="45"/>
      <c r="H42" s="3"/>
      <c r="I42" s="44" t="s">
        <v>391</v>
      </c>
      <c r="J42" s="36"/>
      <c r="K42" s="3"/>
      <c r="L42" s="3"/>
      <c r="M42" s="3"/>
      <c r="N42" s="3"/>
      <c r="O42" s="3"/>
      <c r="P42" s="3"/>
      <c r="Q42" s="3"/>
      <c r="R42" s="3"/>
      <c r="S42" s="3"/>
      <c r="T42" s="3"/>
      <c r="U42" s="3"/>
      <c r="V42" s="3"/>
      <c r="W42" s="3"/>
      <c r="X42" s="3"/>
      <c r="Y42" s="3"/>
      <c r="Z42" s="3"/>
      <c r="AA42" s="3"/>
      <c r="AB42" s="3"/>
    </row>
    <row r="43" spans="1:28" s="9" customFormat="1" ht="15" customHeight="1" outlineLevel="1" x14ac:dyDescent="0.3">
      <c r="A43" s="47" t="s">
        <v>37</v>
      </c>
      <c r="B43" s="7"/>
      <c r="C43" s="7"/>
      <c r="D43" s="3"/>
      <c r="E43" s="44">
        <v>1</v>
      </c>
      <c r="F43" s="3"/>
      <c r="G43" s="45"/>
      <c r="H43" s="3"/>
      <c r="I43" s="44" t="s">
        <v>391</v>
      </c>
      <c r="J43" s="36"/>
      <c r="K43" s="3"/>
      <c r="L43" s="3"/>
      <c r="M43" s="3"/>
      <c r="N43" s="3"/>
      <c r="O43" s="3"/>
      <c r="P43" s="3"/>
      <c r="Q43" s="3"/>
      <c r="R43" s="3"/>
      <c r="S43" s="3"/>
      <c r="T43" s="3"/>
      <c r="U43" s="3"/>
      <c r="V43" s="3"/>
      <c r="W43" s="3"/>
      <c r="X43" s="3"/>
      <c r="Y43" s="3"/>
      <c r="Z43" s="3"/>
      <c r="AA43" s="3"/>
      <c r="AB43" s="3"/>
    </row>
    <row r="44" spans="1:28" s="9" customFormat="1" ht="15" customHeight="1" x14ac:dyDescent="0.25">
      <c r="A44" s="37" t="s">
        <v>38</v>
      </c>
      <c r="B44" s="38"/>
      <c r="C44" s="38"/>
      <c r="D44" s="39"/>
      <c r="E44" s="40">
        <f>SUM(E45:E59)</f>
        <v>7</v>
      </c>
      <c r="F44" s="39"/>
      <c r="G44" s="41">
        <f>SUM(G45:G59)</f>
        <v>7</v>
      </c>
      <c r="H44" s="39"/>
      <c r="I44" s="40">
        <f>SUM(I45:I59)</f>
        <v>1</v>
      </c>
      <c r="J44" s="42"/>
      <c r="K44" s="3"/>
      <c r="L44" s="3"/>
      <c r="M44" s="3"/>
      <c r="N44" s="3"/>
      <c r="O44" s="3"/>
      <c r="P44" s="3"/>
      <c r="Q44" s="3"/>
      <c r="R44" s="3"/>
      <c r="S44" s="3"/>
      <c r="T44" s="3"/>
      <c r="U44" s="3"/>
      <c r="V44" s="3"/>
      <c r="W44" s="3"/>
      <c r="X44" s="3"/>
      <c r="Y44" s="3"/>
      <c r="Z44" s="3"/>
      <c r="AA44" s="3"/>
      <c r="AB44" s="3"/>
    </row>
    <row r="45" spans="1:28" s="9" customFormat="1" ht="15" customHeight="1" outlineLevel="1" x14ac:dyDescent="0.3">
      <c r="A45" s="47" t="s">
        <v>39</v>
      </c>
      <c r="B45" s="7"/>
      <c r="C45" s="7"/>
      <c r="D45" s="3"/>
      <c r="E45" s="44"/>
      <c r="F45" s="3"/>
      <c r="G45" s="45">
        <v>1</v>
      </c>
      <c r="H45" s="3"/>
      <c r="I45" s="44" t="s">
        <v>391</v>
      </c>
      <c r="J45" s="36"/>
      <c r="K45" s="3"/>
      <c r="L45" s="3"/>
      <c r="M45" s="3"/>
      <c r="N45" s="3"/>
      <c r="O45" s="3"/>
      <c r="P45" s="3"/>
      <c r="Q45" s="3"/>
      <c r="R45" s="3"/>
      <c r="S45" s="3"/>
      <c r="T45" s="3"/>
      <c r="U45" s="3"/>
      <c r="V45" s="3"/>
      <c r="W45" s="3"/>
      <c r="X45" s="3"/>
      <c r="Y45" s="3"/>
      <c r="Z45" s="3"/>
      <c r="AA45" s="3"/>
      <c r="AB45" s="3"/>
    </row>
    <row r="46" spans="1:28" s="9" customFormat="1" ht="15" customHeight="1" outlineLevel="1" x14ac:dyDescent="0.3">
      <c r="A46" s="47" t="s">
        <v>40</v>
      </c>
      <c r="B46" s="7"/>
      <c r="C46" s="7"/>
      <c r="D46" s="3"/>
      <c r="E46" s="44"/>
      <c r="F46" s="3"/>
      <c r="G46" s="45">
        <v>1</v>
      </c>
      <c r="H46" s="3"/>
      <c r="I46" s="44" t="s">
        <v>391</v>
      </c>
      <c r="J46" s="36"/>
      <c r="K46" s="3"/>
      <c r="L46" s="3"/>
      <c r="M46" s="3"/>
      <c r="N46" s="3"/>
      <c r="O46" s="3"/>
      <c r="P46" s="3"/>
      <c r="Q46" s="3"/>
      <c r="R46" s="3"/>
      <c r="S46" s="3"/>
      <c r="T46" s="3"/>
      <c r="U46" s="3"/>
      <c r="V46" s="3"/>
      <c r="W46" s="3"/>
      <c r="X46" s="3"/>
      <c r="Y46" s="3"/>
      <c r="Z46" s="3"/>
      <c r="AA46" s="3"/>
      <c r="AB46" s="3"/>
    </row>
    <row r="47" spans="1:28" s="9" customFormat="1" ht="15" customHeight="1" outlineLevel="1" x14ac:dyDescent="0.3">
      <c r="A47" s="47" t="s">
        <v>41</v>
      </c>
      <c r="B47" s="7"/>
      <c r="C47" s="7"/>
      <c r="D47" s="3"/>
      <c r="E47" s="44"/>
      <c r="F47" s="3"/>
      <c r="G47" s="45">
        <v>1</v>
      </c>
      <c r="H47" s="3"/>
      <c r="I47" s="44" t="s">
        <v>391</v>
      </c>
      <c r="J47" s="36"/>
      <c r="K47" s="3"/>
      <c r="L47" s="3"/>
      <c r="M47" s="48"/>
      <c r="N47" s="3"/>
      <c r="O47" s="3"/>
      <c r="P47" s="3"/>
      <c r="Q47" s="3"/>
      <c r="R47" s="3"/>
      <c r="S47" s="3"/>
      <c r="T47" s="3"/>
      <c r="U47" s="3"/>
      <c r="V47" s="3"/>
      <c r="W47" s="3"/>
      <c r="X47" s="3"/>
      <c r="Y47" s="3"/>
      <c r="Z47" s="3"/>
      <c r="AA47" s="3"/>
      <c r="AB47" s="3"/>
    </row>
    <row r="48" spans="1:28" s="9" customFormat="1" ht="15" customHeight="1" outlineLevel="1" x14ac:dyDescent="0.3">
      <c r="A48" s="47" t="s">
        <v>42</v>
      </c>
      <c r="B48" s="7"/>
      <c r="C48" s="7"/>
      <c r="D48" s="3"/>
      <c r="E48" s="44"/>
      <c r="F48" s="3"/>
      <c r="G48" s="45">
        <v>1</v>
      </c>
      <c r="H48" s="3"/>
      <c r="I48" s="44" t="s">
        <v>391</v>
      </c>
      <c r="J48" s="36"/>
      <c r="K48" s="3"/>
      <c r="L48" s="3"/>
      <c r="M48" s="3"/>
      <c r="N48" s="3"/>
      <c r="O48" s="3"/>
      <c r="P48" s="3"/>
      <c r="Q48" s="3"/>
      <c r="R48" s="3"/>
      <c r="S48" s="3"/>
      <c r="T48" s="3"/>
      <c r="U48" s="3"/>
      <c r="V48" s="3"/>
      <c r="W48" s="3"/>
      <c r="X48" s="3"/>
      <c r="Y48" s="3"/>
      <c r="Z48" s="3"/>
      <c r="AA48" s="3"/>
      <c r="AB48" s="3"/>
    </row>
    <row r="49" spans="1:30" s="9" customFormat="1" ht="15" customHeight="1" outlineLevel="1" x14ac:dyDescent="0.3">
      <c r="A49" s="47" t="s">
        <v>43</v>
      </c>
      <c r="B49" s="7"/>
      <c r="C49" s="7"/>
      <c r="D49" s="3"/>
      <c r="E49" s="44">
        <v>1</v>
      </c>
      <c r="F49" s="3"/>
      <c r="G49" s="45"/>
      <c r="H49" s="3"/>
      <c r="I49" s="44" t="s">
        <v>391</v>
      </c>
      <c r="J49" s="36"/>
      <c r="K49" s="3"/>
      <c r="L49" s="3"/>
      <c r="M49" s="3"/>
      <c r="N49" s="3"/>
      <c r="O49" s="3"/>
      <c r="P49" s="3"/>
      <c r="Q49" s="3"/>
      <c r="R49" s="3"/>
      <c r="S49" s="3"/>
      <c r="T49" s="3"/>
      <c r="U49" s="3"/>
      <c r="V49" s="3"/>
      <c r="W49" s="3"/>
      <c r="X49" s="3"/>
      <c r="Y49" s="3"/>
      <c r="Z49" s="3"/>
      <c r="AA49" s="3"/>
      <c r="AB49" s="3"/>
    </row>
    <row r="50" spans="1:30" s="9" customFormat="1" ht="15" customHeight="1" outlineLevel="1" x14ac:dyDescent="0.3">
      <c r="A50" s="47" t="s">
        <v>44</v>
      </c>
      <c r="B50" s="7"/>
      <c r="C50" s="7"/>
      <c r="D50" s="3"/>
      <c r="E50" s="44">
        <v>1</v>
      </c>
      <c r="F50" s="3"/>
      <c r="G50" s="45"/>
      <c r="H50" s="3"/>
      <c r="I50" s="44" t="s">
        <v>391</v>
      </c>
      <c r="J50" s="36"/>
      <c r="K50" s="3"/>
      <c r="L50" s="3"/>
      <c r="M50" s="3"/>
      <c r="N50" s="3"/>
      <c r="O50" s="3"/>
      <c r="P50" s="3"/>
      <c r="Q50" s="3"/>
      <c r="R50" s="3"/>
      <c r="S50" s="3"/>
      <c r="T50" s="3"/>
      <c r="U50" s="3"/>
      <c r="V50" s="3"/>
      <c r="W50" s="3"/>
      <c r="X50" s="3"/>
      <c r="Y50" s="3"/>
      <c r="Z50" s="3"/>
      <c r="AA50" s="3"/>
      <c r="AB50" s="3"/>
    </row>
    <row r="51" spans="1:30" s="9" customFormat="1" ht="15" customHeight="1" outlineLevel="1" x14ac:dyDescent="0.3">
      <c r="A51" s="47" t="s">
        <v>45</v>
      </c>
      <c r="B51" s="7"/>
      <c r="C51" s="7"/>
      <c r="D51" s="3"/>
      <c r="E51" s="44">
        <v>1</v>
      </c>
      <c r="F51" s="3"/>
      <c r="G51" s="45"/>
      <c r="H51" s="3"/>
      <c r="I51" s="44" t="s">
        <v>391</v>
      </c>
      <c r="J51" s="36"/>
      <c r="K51" s="3"/>
      <c r="L51" s="3"/>
      <c r="M51" s="3"/>
      <c r="N51" s="3"/>
      <c r="O51" s="3"/>
      <c r="P51" s="3"/>
      <c r="Q51" s="3"/>
      <c r="R51" s="3"/>
      <c r="S51" s="3"/>
      <c r="T51" s="3"/>
      <c r="U51" s="3"/>
      <c r="V51" s="3"/>
      <c r="W51" s="3"/>
      <c r="X51" s="3"/>
      <c r="Y51" s="3"/>
      <c r="Z51" s="3"/>
      <c r="AA51" s="3"/>
      <c r="AB51" s="3"/>
    </row>
    <row r="52" spans="1:30" s="9" customFormat="1" ht="15" customHeight="1" outlineLevel="1" x14ac:dyDescent="0.3">
      <c r="A52" s="47" t="s">
        <v>46</v>
      </c>
      <c r="B52" s="7"/>
      <c r="C52" s="7"/>
      <c r="D52" s="3"/>
      <c r="E52" s="44">
        <v>1</v>
      </c>
      <c r="F52" s="3"/>
      <c r="G52" s="45"/>
      <c r="H52" s="3"/>
      <c r="I52" s="44" t="s">
        <v>391</v>
      </c>
      <c r="J52" s="36"/>
      <c r="K52" s="3"/>
      <c r="L52" s="3"/>
      <c r="M52" s="3"/>
      <c r="N52" s="3"/>
      <c r="O52" s="3"/>
      <c r="P52" s="3"/>
      <c r="Q52" s="3"/>
      <c r="R52" s="3"/>
      <c r="S52" s="3"/>
      <c r="T52" s="3"/>
      <c r="U52" s="3"/>
      <c r="V52" s="3"/>
      <c r="W52" s="3"/>
      <c r="X52" s="3"/>
      <c r="Y52" s="3"/>
      <c r="Z52" s="3"/>
      <c r="AA52" s="3"/>
      <c r="AB52" s="3"/>
    </row>
    <row r="53" spans="1:30" s="9" customFormat="1" ht="15" customHeight="1" outlineLevel="1" x14ac:dyDescent="0.3">
      <c r="A53" s="47" t="s">
        <v>47</v>
      </c>
      <c r="B53" s="7"/>
      <c r="C53" s="7"/>
      <c r="D53" s="3"/>
      <c r="E53" s="44"/>
      <c r="F53" s="3"/>
      <c r="G53" s="45"/>
      <c r="H53" s="3"/>
      <c r="I53" s="44">
        <v>1</v>
      </c>
      <c r="J53" s="36"/>
      <c r="K53" s="3"/>
      <c r="L53" s="3"/>
      <c r="M53" s="3"/>
      <c r="N53" s="3"/>
      <c r="O53" s="3"/>
      <c r="P53" s="3"/>
      <c r="Q53" s="3"/>
      <c r="R53" s="3"/>
      <c r="S53" s="3"/>
      <c r="T53" s="3"/>
      <c r="U53" s="3"/>
      <c r="V53" s="3"/>
      <c r="W53" s="3"/>
      <c r="X53" s="3"/>
      <c r="Y53" s="3"/>
      <c r="Z53" s="3"/>
      <c r="AA53" s="3"/>
      <c r="AB53" s="3"/>
    </row>
    <row r="54" spans="1:30" s="9" customFormat="1" ht="15" customHeight="1" outlineLevel="1" x14ac:dyDescent="0.3">
      <c r="A54" s="47" t="s">
        <v>48</v>
      </c>
      <c r="B54" s="7"/>
      <c r="C54" s="7"/>
      <c r="D54" s="3"/>
      <c r="E54" s="44">
        <v>1</v>
      </c>
      <c r="F54" s="3"/>
      <c r="G54" s="45"/>
      <c r="H54" s="3"/>
      <c r="I54" s="44" t="s">
        <v>391</v>
      </c>
      <c r="J54" s="36"/>
      <c r="K54" s="3"/>
      <c r="L54" s="3"/>
      <c r="M54" s="3"/>
      <c r="N54" s="3"/>
      <c r="O54" s="3"/>
      <c r="P54" s="3"/>
      <c r="Q54" s="3"/>
      <c r="R54" s="3"/>
      <c r="S54" s="3"/>
      <c r="T54" s="3"/>
      <c r="U54" s="3"/>
      <c r="V54" s="3"/>
      <c r="W54" s="3"/>
      <c r="X54" s="3"/>
      <c r="Y54" s="3"/>
      <c r="Z54" s="3"/>
      <c r="AA54" s="3"/>
      <c r="AB54" s="3"/>
    </row>
    <row r="55" spans="1:30" s="9" customFormat="1" ht="15" customHeight="1" outlineLevel="1" x14ac:dyDescent="0.3">
      <c r="A55" s="47" t="s">
        <v>49</v>
      </c>
      <c r="B55" s="7"/>
      <c r="C55" s="7"/>
      <c r="D55" s="3"/>
      <c r="E55" s="44">
        <v>1</v>
      </c>
      <c r="F55" s="3"/>
      <c r="G55" s="45"/>
      <c r="H55" s="3"/>
      <c r="I55" s="44" t="s">
        <v>391</v>
      </c>
      <c r="J55" s="36"/>
      <c r="K55" s="3"/>
      <c r="L55" s="3"/>
      <c r="M55" s="3"/>
      <c r="N55" s="3"/>
      <c r="O55" s="3"/>
      <c r="P55" s="3"/>
      <c r="Q55" s="3"/>
      <c r="R55" s="3"/>
      <c r="S55" s="3"/>
      <c r="T55" s="3"/>
      <c r="U55" s="3"/>
      <c r="V55" s="3"/>
      <c r="W55" s="3"/>
      <c r="X55" s="3"/>
      <c r="Y55" s="3"/>
      <c r="Z55" s="3"/>
      <c r="AA55" s="3"/>
      <c r="AB55" s="3"/>
    </row>
    <row r="56" spans="1:30" s="9" customFormat="1" ht="15" customHeight="1" outlineLevel="1" x14ac:dyDescent="0.3">
      <c r="A56" s="47" t="s">
        <v>50</v>
      </c>
      <c r="B56" s="7"/>
      <c r="C56" s="7"/>
      <c r="D56" s="3"/>
      <c r="E56" s="44"/>
      <c r="F56" s="3"/>
      <c r="G56" s="45">
        <v>1</v>
      </c>
      <c r="H56" s="3"/>
      <c r="I56" s="44" t="s">
        <v>391</v>
      </c>
      <c r="J56" s="36"/>
      <c r="K56" s="3"/>
      <c r="L56" s="3"/>
      <c r="M56" s="3"/>
      <c r="N56" s="3"/>
      <c r="O56" s="3"/>
      <c r="P56" s="3"/>
      <c r="Q56" s="3"/>
      <c r="R56" s="3"/>
      <c r="S56" s="3"/>
      <c r="T56" s="3"/>
      <c r="U56" s="3"/>
      <c r="V56" s="3"/>
      <c r="W56" s="3"/>
      <c r="X56" s="3"/>
      <c r="Y56" s="3"/>
      <c r="Z56" s="3"/>
      <c r="AA56" s="3"/>
      <c r="AB56" s="3"/>
    </row>
    <row r="57" spans="1:30" s="9" customFormat="1" ht="15" customHeight="1" outlineLevel="1" x14ac:dyDescent="0.3">
      <c r="A57" s="47" t="s">
        <v>51</v>
      </c>
      <c r="B57" s="7"/>
      <c r="C57" s="7"/>
      <c r="D57" s="3"/>
      <c r="E57" s="44">
        <v>1</v>
      </c>
      <c r="F57" s="3"/>
      <c r="G57" s="45"/>
      <c r="H57" s="3"/>
      <c r="I57" s="44" t="s">
        <v>391</v>
      </c>
      <c r="J57" s="36"/>
      <c r="K57" s="3"/>
      <c r="L57" s="3"/>
      <c r="M57" s="3"/>
      <c r="N57" s="3"/>
      <c r="O57" s="3"/>
      <c r="P57" s="3"/>
      <c r="Q57" s="3"/>
      <c r="R57" s="3"/>
      <c r="S57" s="3"/>
      <c r="T57" s="3"/>
      <c r="U57" s="3"/>
      <c r="V57" s="3"/>
      <c r="W57" s="3"/>
      <c r="X57" s="3"/>
      <c r="Y57" s="3"/>
      <c r="Z57" s="3"/>
      <c r="AA57" s="3"/>
      <c r="AB57" s="3"/>
    </row>
    <row r="58" spans="1:30" s="9" customFormat="1" ht="15" customHeight="1" outlineLevel="1" x14ac:dyDescent="0.3">
      <c r="A58" s="47" t="s">
        <v>52</v>
      </c>
      <c r="B58" s="7"/>
      <c r="C58" s="7"/>
      <c r="D58" s="3"/>
      <c r="E58" s="44"/>
      <c r="F58" s="3"/>
      <c r="G58" s="45">
        <v>1</v>
      </c>
      <c r="H58" s="3"/>
      <c r="I58" s="44" t="s">
        <v>391</v>
      </c>
      <c r="J58" s="36"/>
      <c r="K58" s="3"/>
      <c r="L58" s="3"/>
      <c r="M58" s="3"/>
      <c r="N58" s="3"/>
      <c r="O58" s="3"/>
      <c r="P58" s="3"/>
      <c r="Q58" s="3"/>
      <c r="R58" s="3"/>
      <c r="S58" s="3"/>
      <c r="T58" s="3"/>
      <c r="U58" s="3"/>
      <c r="V58" s="3"/>
      <c r="W58" s="3"/>
      <c r="X58" s="3"/>
      <c r="Y58" s="3"/>
      <c r="Z58" s="3"/>
      <c r="AA58" s="3"/>
      <c r="AB58" s="3"/>
    </row>
    <row r="59" spans="1:30" s="9" customFormat="1" ht="15" customHeight="1" outlineLevel="1" x14ac:dyDescent="0.3">
      <c r="A59" s="47" t="s">
        <v>53</v>
      </c>
      <c r="B59" s="7"/>
      <c r="C59" s="7"/>
      <c r="D59" s="3"/>
      <c r="E59" s="44"/>
      <c r="F59" s="3"/>
      <c r="G59" s="45">
        <v>1</v>
      </c>
      <c r="H59" s="3"/>
      <c r="I59" s="44" t="s">
        <v>391</v>
      </c>
      <c r="J59" s="36"/>
      <c r="K59" s="3"/>
      <c r="L59" s="3"/>
      <c r="M59" s="3"/>
      <c r="N59" s="3"/>
      <c r="O59" s="3"/>
      <c r="P59" s="3"/>
      <c r="Q59" s="3"/>
      <c r="R59" s="3"/>
      <c r="S59" s="3"/>
      <c r="T59" s="3"/>
      <c r="U59" s="3"/>
      <c r="V59" s="3"/>
      <c r="W59" s="3"/>
      <c r="X59" s="3"/>
      <c r="Y59" s="3"/>
      <c r="Z59" s="3"/>
      <c r="AA59" s="3"/>
      <c r="AB59" s="3"/>
    </row>
    <row r="60" spans="1:30" s="9" customFormat="1" ht="15" customHeight="1" x14ac:dyDescent="0.25">
      <c r="A60" s="46" t="s">
        <v>54</v>
      </c>
      <c r="B60" s="7"/>
      <c r="C60" s="7"/>
      <c r="D60" s="3"/>
      <c r="E60" s="34">
        <f>E61</f>
        <v>0</v>
      </c>
      <c r="F60" s="3"/>
      <c r="G60" s="35">
        <f>G61</f>
        <v>0</v>
      </c>
      <c r="H60" s="3"/>
      <c r="I60" s="34">
        <f>I61</f>
        <v>1</v>
      </c>
      <c r="J60" s="36"/>
      <c r="K60" s="3"/>
      <c r="L60" s="3"/>
      <c r="M60" s="3"/>
      <c r="N60" s="3"/>
      <c r="O60" s="3"/>
      <c r="P60" s="3"/>
      <c r="Q60" s="3"/>
      <c r="R60" s="3"/>
      <c r="S60" s="3"/>
      <c r="T60" s="3"/>
      <c r="U60" s="3"/>
      <c r="V60" s="3"/>
      <c r="W60" s="3"/>
      <c r="X60" s="3"/>
      <c r="Y60" s="3"/>
      <c r="Z60" s="3"/>
      <c r="AA60" s="3"/>
      <c r="AB60" s="3"/>
    </row>
    <row r="61" spans="1:30" s="9" customFormat="1" ht="15" customHeight="1" outlineLevel="1" x14ac:dyDescent="0.3">
      <c r="A61" s="47" t="s">
        <v>55</v>
      </c>
      <c r="B61" s="7"/>
      <c r="C61" s="7"/>
      <c r="D61" s="3"/>
      <c r="E61" s="44"/>
      <c r="F61" s="3"/>
      <c r="G61" s="45"/>
      <c r="H61" s="3"/>
      <c r="I61" s="44">
        <v>1</v>
      </c>
      <c r="J61" s="36"/>
      <c r="K61" s="3"/>
      <c r="L61" s="3"/>
      <c r="M61" s="3"/>
      <c r="N61" s="3"/>
      <c r="O61" s="3"/>
      <c r="P61" s="3"/>
      <c r="Q61" s="3"/>
      <c r="R61" s="3"/>
      <c r="S61" s="3"/>
      <c r="T61" s="3"/>
      <c r="U61" s="3"/>
      <c r="V61" s="3"/>
      <c r="W61" s="3"/>
      <c r="X61" s="3"/>
      <c r="Y61" s="3"/>
      <c r="Z61" s="3"/>
      <c r="AA61" s="3"/>
      <c r="AB61" s="3"/>
    </row>
    <row r="62" spans="1:30" s="9" customFormat="1" ht="15" customHeight="1" x14ac:dyDescent="0.25">
      <c r="A62" s="49"/>
      <c r="B62" s="50"/>
      <c r="C62" s="50"/>
      <c r="D62" s="8"/>
      <c r="E62" s="51"/>
      <c r="F62" s="8"/>
      <c r="G62" s="52"/>
      <c r="H62" s="8"/>
      <c r="I62" s="51"/>
      <c r="J62" s="53"/>
      <c r="K62" s="3"/>
      <c r="L62" s="3"/>
      <c r="M62" s="3"/>
      <c r="N62" s="3"/>
      <c r="O62" s="3"/>
      <c r="P62" s="3"/>
      <c r="Q62" s="3"/>
      <c r="R62" s="3"/>
      <c r="S62" s="3"/>
      <c r="T62" s="3"/>
      <c r="U62" s="3"/>
      <c r="V62" s="3"/>
      <c r="W62" s="3"/>
      <c r="X62" s="3"/>
      <c r="Y62" s="3"/>
      <c r="Z62" s="3"/>
      <c r="AA62" s="3"/>
      <c r="AB62" s="3"/>
    </row>
    <row r="63" spans="1:30" s="9" customFormat="1" ht="13.2" customHeight="1" x14ac:dyDescent="0.25">
      <c r="A63" s="54"/>
      <c r="B63" s="7"/>
      <c r="C63" s="7"/>
      <c r="D63" s="3"/>
      <c r="E63" s="55"/>
      <c r="F63" s="3"/>
      <c r="G63" s="3"/>
      <c r="H63" s="3"/>
      <c r="I63" s="3"/>
      <c r="J63" s="3"/>
      <c r="K63" s="55"/>
      <c r="L63" s="3"/>
      <c r="M63" s="3"/>
      <c r="N63" s="3"/>
      <c r="O63" s="3"/>
      <c r="P63" s="3"/>
      <c r="Q63" s="3" t="s">
        <v>434</v>
      </c>
      <c r="R63" s="3"/>
      <c r="S63" s="3"/>
      <c r="T63" s="3"/>
      <c r="U63" s="3"/>
      <c r="V63" s="3"/>
      <c r="W63" s="3"/>
      <c r="X63" s="3"/>
      <c r="Y63" s="3"/>
      <c r="Z63" s="3"/>
      <c r="AA63" s="3"/>
      <c r="AB63" s="3"/>
      <c r="AC63" s="3"/>
      <c r="AD63" s="3"/>
    </row>
    <row r="64" spans="1:30" s="9" customFormat="1" ht="13.2" customHeight="1" x14ac:dyDescent="0.25">
      <c r="A64" s="125"/>
      <c r="B64" s="7" t="s">
        <v>392</v>
      </c>
      <c r="C64" s="7"/>
      <c r="D64" s="3"/>
      <c r="E64" s="55"/>
      <c r="F64" s="3"/>
      <c r="G64" s="3"/>
      <c r="H64" s="3"/>
      <c r="I64" s="3"/>
      <c r="J64" s="3"/>
      <c r="K64" s="55"/>
      <c r="L64" s="3"/>
      <c r="M64" s="3"/>
      <c r="N64" s="3"/>
      <c r="O64" s="3"/>
      <c r="P64" s="3"/>
      <c r="Q64" s="3"/>
      <c r="R64" s="3"/>
      <c r="S64" s="3"/>
      <c r="T64" s="3"/>
      <c r="U64" s="3"/>
      <c r="V64" s="3"/>
      <c r="W64" s="3"/>
      <c r="X64" s="3"/>
      <c r="Y64" s="3"/>
      <c r="Z64" s="3"/>
      <c r="AA64" s="3"/>
      <c r="AB64" s="3"/>
      <c r="AC64" s="3"/>
      <c r="AD64" s="3"/>
    </row>
    <row r="65" spans="1:47" s="9" customFormat="1" ht="13.2" customHeight="1" x14ac:dyDescent="0.25">
      <c r="A65" s="56" t="s">
        <v>214</v>
      </c>
      <c r="B65" s="7"/>
      <c r="C65" s="7"/>
      <c r="D65" s="3"/>
      <c r="E65" s="55"/>
      <c r="F65" s="3"/>
      <c r="G65" s="126" t="s">
        <v>461</v>
      </c>
      <c r="H65" s="126" t="s">
        <v>160</v>
      </c>
      <c r="I65" s="3"/>
      <c r="J65" s="55"/>
      <c r="K65" s="126" t="s">
        <v>458</v>
      </c>
      <c r="L65" s="126" t="s">
        <v>160</v>
      </c>
      <c r="M65" s="3"/>
      <c r="N65" s="126" t="s">
        <v>160</v>
      </c>
      <c r="O65" s="126" t="s">
        <v>160</v>
      </c>
      <c r="P65" s="126" t="s">
        <v>192</v>
      </c>
      <c r="Q65" s="126" t="s">
        <v>160</v>
      </c>
      <c r="R65" s="126" t="s">
        <v>333</v>
      </c>
      <c r="S65" s="3"/>
      <c r="T65" s="3"/>
      <c r="U65" s="3"/>
      <c r="V65" s="3"/>
      <c r="W65" s="3"/>
      <c r="X65" s="3"/>
      <c r="Y65" s="126" t="s">
        <v>160</v>
      </c>
      <c r="Z65" s="126" t="s">
        <v>333</v>
      </c>
      <c r="AB65" s="126" t="s">
        <v>462</v>
      </c>
      <c r="AC65" s="126" t="s">
        <v>160</v>
      </c>
      <c r="AD65" s="126" t="s">
        <v>160</v>
      </c>
    </row>
    <row r="66" spans="1:47" s="135" customFormat="1" ht="51.75" customHeight="1" x14ac:dyDescent="0.3">
      <c r="A66" s="134"/>
      <c r="E66" s="128"/>
      <c r="F66" s="129"/>
      <c r="G66" s="136" t="s">
        <v>183</v>
      </c>
      <c r="H66" s="137" t="s">
        <v>107</v>
      </c>
      <c r="I66" s="128"/>
      <c r="J66" s="128"/>
      <c r="K66" s="138" t="s">
        <v>344</v>
      </c>
      <c r="L66" s="139" t="s">
        <v>386</v>
      </c>
      <c r="M66" s="128"/>
      <c r="N66" s="137" t="s">
        <v>395</v>
      </c>
      <c r="O66" s="137" t="s">
        <v>196</v>
      </c>
      <c r="P66" s="137" t="s">
        <v>193</v>
      </c>
      <c r="Q66" s="137" t="s">
        <v>204</v>
      </c>
      <c r="R66" s="137" t="s">
        <v>411</v>
      </c>
      <c r="S66" s="128" t="s">
        <v>202</v>
      </c>
      <c r="T66" s="128"/>
      <c r="U66" s="128"/>
      <c r="V66" s="128"/>
      <c r="W66" s="128"/>
      <c r="X66" s="128"/>
      <c r="Y66" s="137" t="s">
        <v>396</v>
      </c>
      <c r="Z66" s="137" t="s">
        <v>415</v>
      </c>
      <c r="AA66" s="128"/>
      <c r="AB66" s="136" t="s">
        <v>404</v>
      </c>
      <c r="AC66" s="137" t="s">
        <v>417</v>
      </c>
      <c r="AD66" s="137" t="s">
        <v>421</v>
      </c>
      <c r="AE66" s="128"/>
      <c r="AF66" s="128"/>
      <c r="AG66" s="128"/>
      <c r="AH66" s="128"/>
      <c r="AI66" s="128"/>
      <c r="AJ66" s="128"/>
      <c r="AK66" s="128"/>
      <c r="AL66" s="128"/>
      <c r="AM66" s="128"/>
      <c r="AN66" s="128"/>
      <c r="AO66" s="128"/>
      <c r="AP66" s="128"/>
      <c r="AQ66" s="128"/>
      <c r="AR66" s="128"/>
      <c r="AS66" s="128"/>
      <c r="AT66" s="128"/>
      <c r="AU66" s="128"/>
    </row>
    <row r="67" spans="1:47" s="9" customFormat="1" ht="37.5" customHeight="1" x14ac:dyDescent="0.25">
      <c r="A67" s="166" t="s">
        <v>57</v>
      </c>
      <c r="B67" s="167"/>
      <c r="C67" s="167"/>
      <c r="D67" s="168"/>
      <c r="E67" s="173" t="s">
        <v>215</v>
      </c>
      <c r="F67" s="174"/>
      <c r="G67" s="107" t="s">
        <v>84</v>
      </c>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8"/>
      <c r="AG67" s="3"/>
      <c r="AH67" s="3"/>
      <c r="AI67" s="3"/>
      <c r="AJ67" s="3"/>
      <c r="AK67" s="3"/>
      <c r="AL67" s="3"/>
      <c r="AM67" s="3"/>
      <c r="AN67" s="3"/>
      <c r="AO67" s="3"/>
      <c r="AP67" s="3"/>
      <c r="AQ67" s="3"/>
      <c r="AR67" s="3"/>
      <c r="AS67" s="3"/>
      <c r="AT67" s="3"/>
      <c r="AU67" s="3"/>
    </row>
    <row r="68" spans="1:47" s="9" customFormat="1" ht="47.25" customHeight="1" x14ac:dyDescent="0.25">
      <c r="A68" s="169"/>
      <c r="B68" s="170"/>
      <c r="C68" s="170"/>
      <c r="D68" s="180"/>
      <c r="E68" s="175"/>
      <c r="F68" s="176"/>
      <c r="G68" s="58"/>
      <c r="H68" s="57"/>
      <c r="I68" s="57"/>
      <c r="J68" s="57"/>
      <c r="K68" s="57"/>
      <c r="L68" s="57"/>
      <c r="M68" s="57"/>
      <c r="N68" s="102" t="s">
        <v>96</v>
      </c>
      <c r="O68" s="102"/>
      <c r="P68" s="99"/>
      <c r="Q68" s="99"/>
      <c r="R68" s="102" t="s">
        <v>138</v>
      </c>
      <c r="S68" s="99"/>
      <c r="T68" s="99"/>
      <c r="U68" s="99"/>
      <c r="V68" s="99"/>
      <c r="W68" s="99"/>
      <c r="X68" s="99"/>
      <c r="Y68" s="99"/>
      <c r="Z68" s="99"/>
      <c r="AA68" s="99"/>
      <c r="AB68" s="99"/>
      <c r="AC68" s="99"/>
      <c r="AD68" s="99"/>
      <c r="AE68" s="161" t="s">
        <v>85</v>
      </c>
      <c r="AF68" s="163"/>
      <c r="AG68" s="3"/>
      <c r="AH68" s="3"/>
      <c r="AI68" s="3"/>
      <c r="AJ68" s="3"/>
      <c r="AK68" s="3"/>
      <c r="AL68" s="3"/>
      <c r="AM68" s="3"/>
      <c r="AN68" s="3"/>
      <c r="AO68" s="3"/>
      <c r="AP68" s="3"/>
      <c r="AQ68" s="3"/>
      <c r="AR68" s="3"/>
      <c r="AS68" s="3"/>
      <c r="AT68" s="3"/>
      <c r="AU68" s="3"/>
    </row>
    <row r="69" spans="1:47" s="9" customFormat="1" ht="35.25" customHeight="1" x14ac:dyDescent="0.25">
      <c r="A69" s="169"/>
      <c r="B69" s="170"/>
      <c r="C69" s="170"/>
      <c r="D69" s="180"/>
      <c r="E69" s="177"/>
      <c r="F69" s="178"/>
      <c r="G69" s="111"/>
      <c r="H69" s="105"/>
      <c r="I69" s="105"/>
      <c r="J69" s="105"/>
      <c r="K69" s="105"/>
      <c r="L69" s="105"/>
      <c r="M69" s="105"/>
      <c r="N69" s="105"/>
      <c r="O69" s="105"/>
      <c r="P69" s="105"/>
      <c r="Q69" s="105"/>
      <c r="R69" s="105"/>
      <c r="S69" s="105"/>
      <c r="T69" s="105"/>
      <c r="U69" s="112" t="s">
        <v>148</v>
      </c>
      <c r="V69" s="102" t="s">
        <v>136</v>
      </c>
      <c r="W69" s="103"/>
      <c r="X69" s="103"/>
      <c r="Y69" s="103"/>
      <c r="Z69" s="103"/>
      <c r="AA69" s="103"/>
      <c r="AB69" s="102" t="s">
        <v>139</v>
      </c>
      <c r="AC69" s="103"/>
      <c r="AD69" s="132" t="s">
        <v>137</v>
      </c>
      <c r="AE69" s="105"/>
      <c r="AF69" s="105"/>
      <c r="AG69" s="3"/>
      <c r="AH69" s="3"/>
      <c r="AI69" s="3"/>
      <c r="AJ69" s="3"/>
      <c r="AK69" s="3"/>
      <c r="AL69" s="3"/>
      <c r="AM69" s="3"/>
      <c r="AN69" s="3"/>
      <c r="AO69" s="3"/>
      <c r="AP69" s="3"/>
      <c r="AQ69" s="3"/>
      <c r="AR69" s="3"/>
      <c r="AS69" s="3"/>
      <c r="AT69" s="3"/>
      <c r="AU69" s="3"/>
    </row>
    <row r="70" spans="1:47" s="3" customFormat="1" ht="92.25" customHeight="1" x14ac:dyDescent="0.25">
      <c r="A70" s="171"/>
      <c r="B70" s="172"/>
      <c r="C70" s="172"/>
      <c r="D70" s="181"/>
      <c r="E70" s="59" t="s">
        <v>60</v>
      </c>
      <c r="F70" s="59" t="s">
        <v>61</v>
      </c>
      <c r="G70" s="101" t="s">
        <v>90</v>
      </c>
      <c r="H70" s="100" t="s">
        <v>99</v>
      </c>
      <c r="I70" s="100" t="s">
        <v>194</v>
      </c>
      <c r="J70" s="100" t="s">
        <v>197</v>
      </c>
      <c r="K70" s="100" t="s">
        <v>114</v>
      </c>
      <c r="L70" s="100" t="s">
        <v>181</v>
      </c>
      <c r="M70" s="100" t="s">
        <v>164</v>
      </c>
      <c r="N70" s="100" t="s">
        <v>121</v>
      </c>
      <c r="O70" s="100" t="s">
        <v>336</v>
      </c>
      <c r="P70" s="100" t="s">
        <v>365</v>
      </c>
      <c r="Q70" s="100" t="s">
        <v>119</v>
      </c>
      <c r="R70" s="100" t="s">
        <v>212</v>
      </c>
      <c r="S70" s="100" t="s">
        <v>95</v>
      </c>
      <c r="T70" s="100" t="s">
        <v>213</v>
      </c>
      <c r="U70" s="100" t="s">
        <v>195</v>
      </c>
      <c r="V70" s="100" t="s">
        <v>407</v>
      </c>
      <c r="W70" s="100" t="s">
        <v>203</v>
      </c>
      <c r="X70" s="100" t="s">
        <v>205</v>
      </c>
      <c r="Y70" s="100" t="s">
        <v>343</v>
      </c>
      <c r="Z70" s="100" t="s">
        <v>208</v>
      </c>
      <c r="AA70" s="100" t="s">
        <v>209</v>
      </c>
      <c r="AB70" s="100" t="s">
        <v>385</v>
      </c>
      <c r="AC70" s="100" t="s">
        <v>206</v>
      </c>
      <c r="AD70" s="100" t="s">
        <v>207</v>
      </c>
      <c r="AE70" s="100" t="s">
        <v>210</v>
      </c>
      <c r="AF70" s="100" t="s">
        <v>211</v>
      </c>
    </row>
    <row r="71" spans="1:47" s="9" customFormat="1" ht="13.2" customHeight="1" x14ac:dyDescent="0.25">
      <c r="A71" s="46"/>
      <c r="D71" s="60"/>
      <c r="E71" s="34"/>
      <c r="F71" s="34"/>
      <c r="G71" s="3"/>
      <c r="H71" s="62"/>
      <c r="I71" s="62"/>
      <c r="J71" s="34"/>
      <c r="K71" s="34" t="s">
        <v>427</v>
      </c>
      <c r="L71" s="34"/>
      <c r="M71" s="34"/>
      <c r="N71" s="61"/>
      <c r="O71" s="34"/>
      <c r="P71" s="51"/>
      <c r="Q71" s="34"/>
      <c r="R71" s="34"/>
      <c r="S71" s="34"/>
      <c r="T71" s="34"/>
      <c r="U71" s="34"/>
      <c r="V71" s="61"/>
      <c r="W71" s="34"/>
      <c r="X71" s="34"/>
      <c r="Y71" s="34"/>
      <c r="Z71" s="34"/>
      <c r="AA71" s="34"/>
      <c r="AB71" s="62"/>
      <c r="AC71" s="34"/>
      <c r="AD71" s="34"/>
      <c r="AE71" s="61"/>
      <c r="AF71" s="34"/>
      <c r="AG71" s="3"/>
      <c r="AH71" s="3"/>
      <c r="AI71" s="3"/>
      <c r="AJ71" s="3"/>
      <c r="AK71" s="3"/>
      <c r="AL71" s="3"/>
      <c r="AM71" s="3"/>
      <c r="AN71" s="3"/>
      <c r="AO71" s="3"/>
      <c r="AP71" s="3"/>
      <c r="AQ71" s="3"/>
      <c r="AR71" s="3"/>
      <c r="AS71" s="3"/>
      <c r="AT71" s="3"/>
      <c r="AU71" s="3"/>
    </row>
    <row r="72" spans="1:47" s="9" customFormat="1" ht="13.2" customHeight="1" x14ac:dyDescent="0.25">
      <c r="A72" s="63" t="s">
        <v>62</v>
      </c>
      <c r="B72" s="64"/>
      <c r="C72" s="64"/>
      <c r="D72" s="65"/>
      <c r="E72" s="66">
        <f t="shared" ref="E72:AF72" si="0">SUM(E74,E80,E88,E97)</f>
        <v>24</v>
      </c>
      <c r="F72" s="67">
        <f t="shared" si="0"/>
        <v>43</v>
      </c>
      <c r="G72" s="68">
        <f t="shared" si="0"/>
        <v>2</v>
      </c>
      <c r="H72" s="67">
        <f t="shared" si="0"/>
        <v>2</v>
      </c>
      <c r="I72" s="67">
        <f t="shared" si="0"/>
        <v>1</v>
      </c>
      <c r="J72" s="67">
        <f t="shared" si="0"/>
        <v>1</v>
      </c>
      <c r="K72" s="67">
        <f t="shared" si="0"/>
        <v>1</v>
      </c>
      <c r="L72" s="67">
        <f>SUM(L74,L80,L88,L97)</f>
        <v>1</v>
      </c>
      <c r="M72" s="67">
        <f t="shared" si="0"/>
        <v>1</v>
      </c>
      <c r="N72" s="67">
        <f t="shared" si="0"/>
        <v>5</v>
      </c>
      <c r="O72" s="67">
        <f t="shared" si="0"/>
        <v>3</v>
      </c>
      <c r="P72" s="67">
        <f t="shared" si="0"/>
        <v>3</v>
      </c>
      <c r="Q72" s="67">
        <f t="shared" si="0"/>
        <v>2</v>
      </c>
      <c r="R72" s="67">
        <f t="shared" si="0"/>
        <v>3</v>
      </c>
      <c r="S72" s="67">
        <f t="shared" si="0"/>
        <v>1</v>
      </c>
      <c r="T72" s="67">
        <f t="shared" si="0"/>
        <v>1</v>
      </c>
      <c r="U72" s="67">
        <f t="shared" si="0"/>
        <v>1</v>
      </c>
      <c r="V72" s="67">
        <f t="shared" si="0"/>
        <v>1</v>
      </c>
      <c r="W72" s="67">
        <f t="shared" si="0"/>
        <v>1</v>
      </c>
      <c r="X72" s="67">
        <f t="shared" si="0"/>
        <v>1</v>
      </c>
      <c r="Y72" s="67">
        <f t="shared" si="0"/>
        <v>2</v>
      </c>
      <c r="Z72" s="67">
        <f t="shared" si="0"/>
        <v>1</v>
      </c>
      <c r="AA72" s="67">
        <f t="shared" si="0"/>
        <v>1</v>
      </c>
      <c r="AB72" s="67">
        <f t="shared" si="0"/>
        <v>3</v>
      </c>
      <c r="AC72" s="67">
        <f t="shared" si="0"/>
        <v>2</v>
      </c>
      <c r="AD72" s="67">
        <f t="shared" si="0"/>
        <v>1</v>
      </c>
      <c r="AE72" s="67">
        <f t="shared" si="0"/>
        <v>1</v>
      </c>
      <c r="AF72" s="67">
        <f t="shared" si="0"/>
        <v>1</v>
      </c>
      <c r="AG72" s="3"/>
      <c r="AH72" s="3"/>
      <c r="AI72" s="3"/>
      <c r="AJ72" s="3"/>
      <c r="AK72" s="3"/>
      <c r="AL72" s="3"/>
      <c r="AM72" s="3"/>
      <c r="AN72" s="3"/>
      <c r="AO72" s="3"/>
      <c r="AP72" s="3"/>
      <c r="AQ72" s="3"/>
      <c r="AR72" s="3"/>
      <c r="AS72" s="3"/>
      <c r="AT72" s="3"/>
      <c r="AU72" s="3"/>
    </row>
    <row r="73" spans="1:47" s="9" customFormat="1" ht="13.2" customHeight="1" x14ac:dyDescent="0.25">
      <c r="A73" s="46" t="s">
        <v>63</v>
      </c>
      <c r="D73" s="60"/>
      <c r="E73" s="34"/>
      <c r="F73" s="34"/>
      <c r="G73" s="3"/>
      <c r="H73" s="71"/>
      <c r="I73" s="71"/>
      <c r="J73" s="70"/>
      <c r="K73" s="34"/>
      <c r="L73" s="34"/>
      <c r="M73" s="34"/>
      <c r="N73" s="71"/>
      <c r="O73" s="71"/>
      <c r="P73" s="70"/>
      <c r="Q73" s="34"/>
      <c r="R73" s="70"/>
      <c r="S73" s="34"/>
      <c r="T73" s="70"/>
      <c r="U73" s="71"/>
      <c r="V73" s="71"/>
      <c r="W73" s="34"/>
      <c r="X73" s="34"/>
      <c r="Y73" s="34"/>
      <c r="Z73" s="34"/>
      <c r="AA73" s="34"/>
      <c r="AB73" s="71"/>
      <c r="AC73" s="34"/>
      <c r="AD73" s="34"/>
      <c r="AE73" s="71"/>
      <c r="AF73" s="34"/>
      <c r="AG73" s="3"/>
      <c r="AH73" s="3"/>
      <c r="AI73" s="3"/>
      <c r="AJ73" s="3"/>
      <c r="AK73" s="3"/>
      <c r="AL73" s="3"/>
      <c r="AM73" s="3"/>
      <c r="AN73" s="3"/>
      <c r="AO73" s="3"/>
      <c r="AP73" s="3"/>
      <c r="AQ73" s="3"/>
      <c r="AR73" s="3"/>
      <c r="AS73" s="3"/>
      <c r="AT73" s="3"/>
      <c r="AU73" s="3"/>
    </row>
    <row r="74" spans="1:47" s="78" customFormat="1" x14ac:dyDescent="0.3">
      <c r="A74" s="80" t="s">
        <v>13</v>
      </c>
      <c r="B74" s="7"/>
      <c r="C74" s="7"/>
      <c r="D74" s="3"/>
      <c r="E74" s="74">
        <f>+E17</f>
        <v>4</v>
      </c>
      <c r="F74" s="75">
        <f t="shared" ref="F74:AF74" si="1">SUM(F75:F78)</f>
        <v>9</v>
      </c>
      <c r="G74" s="60">
        <f t="shared" si="1"/>
        <v>2</v>
      </c>
      <c r="H74" s="75">
        <f t="shared" si="1"/>
        <v>2</v>
      </c>
      <c r="I74" s="75">
        <f t="shared" si="1"/>
        <v>1</v>
      </c>
      <c r="J74" s="75">
        <f t="shared" si="1"/>
        <v>0</v>
      </c>
      <c r="K74" s="75">
        <f t="shared" si="1"/>
        <v>0</v>
      </c>
      <c r="L74" s="75">
        <f>SUM(L75:L78)</f>
        <v>0</v>
      </c>
      <c r="M74" s="75">
        <f t="shared" si="1"/>
        <v>0</v>
      </c>
      <c r="N74" s="75">
        <f t="shared" si="1"/>
        <v>0</v>
      </c>
      <c r="O74" s="75">
        <f t="shared" si="1"/>
        <v>0</v>
      </c>
      <c r="P74" s="75">
        <f t="shared" si="1"/>
        <v>3</v>
      </c>
      <c r="Q74" s="75">
        <f t="shared" si="1"/>
        <v>0</v>
      </c>
      <c r="R74" s="75">
        <f t="shared" si="1"/>
        <v>0</v>
      </c>
      <c r="S74" s="75">
        <f t="shared" si="1"/>
        <v>0</v>
      </c>
      <c r="T74" s="75">
        <f t="shared" si="1"/>
        <v>0</v>
      </c>
      <c r="U74" s="75">
        <f t="shared" si="1"/>
        <v>0</v>
      </c>
      <c r="V74" s="75">
        <f t="shared" si="1"/>
        <v>0</v>
      </c>
      <c r="W74" s="75">
        <f t="shared" si="1"/>
        <v>0</v>
      </c>
      <c r="X74" s="75">
        <f t="shared" si="1"/>
        <v>0</v>
      </c>
      <c r="Y74" s="75">
        <f t="shared" si="1"/>
        <v>0</v>
      </c>
      <c r="Z74" s="75">
        <f t="shared" si="1"/>
        <v>0</v>
      </c>
      <c r="AA74" s="75">
        <f t="shared" si="1"/>
        <v>0</v>
      </c>
      <c r="AB74" s="75">
        <f t="shared" si="1"/>
        <v>1</v>
      </c>
      <c r="AC74" s="75">
        <f t="shared" si="1"/>
        <v>0</v>
      </c>
      <c r="AD74" s="75">
        <f t="shared" si="1"/>
        <v>0</v>
      </c>
      <c r="AE74" s="75">
        <f t="shared" si="1"/>
        <v>0</v>
      </c>
      <c r="AF74" s="75">
        <f t="shared" si="1"/>
        <v>0</v>
      </c>
      <c r="AG74" s="3"/>
      <c r="AH74" s="3"/>
      <c r="AI74" s="3"/>
      <c r="AJ74" s="3"/>
      <c r="AK74" s="3"/>
      <c r="AL74" s="3"/>
      <c r="AM74" s="4"/>
      <c r="AN74" s="4"/>
      <c r="AO74" s="4"/>
      <c r="AP74" s="4"/>
      <c r="AQ74" s="4"/>
      <c r="AR74" s="4"/>
    </row>
    <row r="75" spans="1:47" s="78" customFormat="1" outlineLevel="1" x14ac:dyDescent="0.3">
      <c r="A75" s="47" t="s">
        <v>288</v>
      </c>
      <c r="B75" s="7"/>
      <c r="C75" s="7"/>
      <c r="D75" s="3"/>
      <c r="E75" s="34"/>
      <c r="F75" s="76">
        <f>SUM(G75:AF75)</f>
        <v>3</v>
      </c>
      <c r="G75" s="77">
        <v>1</v>
      </c>
      <c r="H75" s="76">
        <v>1</v>
      </c>
      <c r="I75" s="76"/>
      <c r="J75" s="76"/>
      <c r="K75" s="76"/>
      <c r="L75" s="76"/>
      <c r="M75" s="76"/>
      <c r="N75" s="76"/>
      <c r="O75" s="76"/>
      <c r="P75" s="76">
        <v>1</v>
      </c>
      <c r="Q75" s="76"/>
      <c r="R75" s="76"/>
      <c r="S75" s="76"/>
      <c r="T75" s="76"/>
      <c r="U75" s="76"/>
      <c r="V75" s="76"/>
      <c r="W75" s="76"/>
      <c r="X75" s="76"/>
      <c r="Y75" s="76"/>
      <c r="Z75" s="76"/>
      <c r="AA75" s="76"/>
      <c r="AB75" s="76"/>
      <c r="AC75" s="76"/>
      <c r="AD75" s="76"/>
      <c r="AE75" s="76"/>
      <c r="AF75" s="76"/>
      <c r="AG75" s="3"/>
      <c r="AH75" s="3"/>
      <c r="AI75" s="3"/>
      <c r="AJ75" s="3"/>
      <c r="AK75" s="3"/>
      <c r="AL75" s="3"/>
      <c r="AM75" s="4"/>
      <c r="AN75" s="4" t="s">
        <v>63</v>
      </c>
      <c r="AO75" s="4"/>
      <c r="AP75" s="4"/>
      <c r="AQ75" s="4"/>
      <c r="AR75" s="4"/>
    </row>
    <row r="76" spans="1:47" s="1" customFormat="1" outlineLevel="1" x14ac:dyDescent="0.3">
      <c r="A76" s="47" t="s">
        <v>291</v>
      </c>
      <c r="B76" s="7"/>
      <c r="C76" s="7"/>
      <c r="D76" s="3"/>
      <c r="E76" s="34"/>
      <c r="F76" s="76">
        <f>SUM(G76:AF76)</f>
        <v>3</v>
      </c>
      <c r="G76" s="77">
        <v>1</v>
      </c>
      <c r="H76" s="76">
        <v>1</v>
      </c>
      <c r="I76" s="76"/>
      <c r="J76" s="76"/>
      <c r="K76" s="76"/>
      <c r="L76" s="76"/>
      <c r="M76" s="76"/>
      <c r="N76" s="76"/>
      <c r="O76" s="76"/>
      <c r="P76" s="76">
        <v>1</v>
      </c>
      <c r="Q76" s="76"/>
      <c r="R76" s="76"/>
      <c r="S76" s="76"/>
      <c r="T76" s="76"/>
      <c r="U76" s="76"/>
      <c r="V76" s="76"/>
      <c r="W76" s="76"/>
      <c r="X76" s="76"/>
      <c r="Y76" s="76"/>
      <c r="Z76" s="76"/>
      <c r="AA76" s="76"/>
      <c r="AB76" s="76"/>
      <c r="AC76" s="76"/>
      <c r="AD76" s="76"/>
      <c r="AE76" s="76"/>
      <c r="AF76" s="76"/>
      <c r="AG76" s="3"/>
      <c r="AH76" s="3"/>
      <c r="AI76" s="3"/>
      <c r="AJ76" s="3"/>
      <c r="AK76" s="3"/>
      <c r="AL76" s="3"/>
      <c r="AM76" s="2"/>
      <c r="AN76" s="2"/>
      <c r="AO76" s="2"/>
      <c r="AP76" s="2"/>
      <c r="AQ76" s="2"/>
      <c r="AR76" s="2"/>
    </row>
    <row r="77" spans="1:47" s="1" customFormat="1" outlineLevel="1" x14ac:dyDescent="0.3">
      <c r="A77" s="47" t="s">
        <v>292</v>
      </c>
      <c r="B77" s="7"/>
      <c r="C77" s="7"/>
      <c r="D77" s="3"/>
      <c r="E77" s="34"/>
      <c r="F77" s="76">
        <f>SUM(G77:AF77)</f>
        <v>1</v>
      </c>
      <c r="G77" s="77"/>
      <c r="H77" s="76"/>
      <c r="I77" s="76">
        <v>1</v>
      </c>
      <c r="J77" s="76"/>
      <c r="K77" s="76"/>
      <c r="L77" s="76"/>
      <c r="M77" s="76"/>
      <c r="N77" s="76"/>
      <c r="O77" s="76"/>
      <c r="P77" s="76"/>
      <c r="Q77" s="76"/>
      <c r="R77" s="76"/>
      <c r="S77" s="76"/>
      <c r="T77" s="76"/>
      <c r="U77" s="76"/>
      <c r="V77" s="76"/>
      <c r="W77" s="76"/>
      <c r="X77" s="76"/>
      <c r="Y77" s="76"/>
      <c r="Z77" s="76"/>
      <c r="AA77" s="76"/>
      <c r="AB77" s="76"/>
      <c r="AC77" s="76"/>
      <c r="AD77" s="76"/>
      <c r="AE77" s="76"/>
      <c r="AF77" s="76"/>
      <c r="AG77" s="3"/>
      <c r="AH77" s="3"/>
      <c r="AI77" s="3"/>
      <c r="AJ77" s="3"/>
      <c r="AK77" s="3"/>
      <c r="AL77" s="3"/>
      <c r="AM77" s="2"/>
      <c r="AN77" s="2"/>
      <c r="AO77" s="2"/>
      <c r="AP77" s="2"/>
      <c r="AQ77" s="2"/>
      <c r="AR77" s="2"/>
    </row>
    <row r="78" spans="1:47" s="1" customFormat="1" outlineLevel="1" x14ac:dyDescent="0.3">
      <c r="A78" s="47" t="s">
        <v>293</v>
      </c>
      <c r="B78" s="7"/>
      <c r="C78" s="7"/>
      <c r="D78" s="3"/>
      <c r="E78" s="34"/>
      <c r="F78" s="76">
        <f>SUM(G78:AF78)</f>
        <v>2</v>
      </c>
      <c r="G78" s="77"/>
      <c r="H78" s="76"/>
      <c r="I78" s="76"/>
      <c r="J78" s="76"/>
      <c r="K78" s="76"/>
      <c r="L78" s="76"/>
      <c r="M78" s="76"/>
      <c r="N78" s="76"/>
      <c r="O78" s="76"/>
      <c r="P78" s="76">
        <v>1</v>
      </c>
      <c r="Q78" s="76"/>
      <c r="R78" s="76"/>
      <c r="S78" s="76"/>
      <c r="T78" s="76"/>
      <c r="U78" s="76"/>
      <c r="V78" s="76"/>
      <c r="W78" s="76"/>
      <c r="X78" s="76"/>
      <c r="Y78" s="76"/>
      <c r="Z78" s="76"/>
      <c r="AA78" s="76"/>
      <c r="AB78" s="76">
        <v>1</v>
      </c>
      <c r="AC78" s="76"/>
      <c r="AD78" s="76"/>
      <c r="AE78" s="76"/>
      <c r="AF78" s="76"/>
      <c r="AG78" s="3"/>
      <c r="AH78" s="3"/>
      <c r="AI78" s="3"/>
      <c r="AJ78" s="3"/>
      <c r="AK78" s="3"/>
      <c r="AL78" s="3"/>
      <c r="AM78" s="2"/>
      <c r="AN78" s="2"/>
      <c r="AO78" s="2"/>
      <c r="AP78" s="2"/>
      <c r="AQ78" s="2"/>
      <c r="AR78" s="2"/>
    </row>
    <row r="79" spans="1:47" s="78" customFormat="1" x14ac:dyDescent="0.3">
      <c r="A79" s="79"/>
      <c r="B79" s="7"/>
      <c r="C79" s="7"/>
      <c r="D79" s="3"/>
      <c r="E79" s="34"/>
      <c r="F79" s="34"/>
      <c r="G79" s="3"/>
      <c r="H79" s="61"/>
      <c r="I79" s="61"/>
      <c r="J79" s="34"/>
      <c r="K79" s="34"/>
      <c r="L79" s="34"/>
      <c r="M79" s="34"/>
      <c r="N79" s="61"/>
      <c r="O79" s="61"/>
      <c r="P79" s="34"/>
      <c r="Q79" s="61"/>
      <c r="R79" s="34"/>
      <c r="S79" s="61"/>
      <c r="T79" s="34"/>
      <c r="U79" s="61"/>
      <c r="V79" s="61"/>
      <c r="W79" s="61"/>
      <c r="X79" s="61"/>
      <c r="Y79" s="61"/>
      <c r="Z79" s="61"/>
      <c r="AA79" s="61"/>
      <c r="AB79" s="61"/>
      <c r="AC79" s="61"/>
      <c r="AD79" s="61"/>
      <c r="AE79" s="61"/>
      <c r="AF79" s="61"/>
      <c r="AG79" s="3"/>
      <c r="AH79" s="3"/>
      <c r="AI79" s="3"/>
      <c r="AJ79" s="3"/>
      <c r="AK79" s="3"/>
      <c r="AL79" s="3"/>
      <c r="AM79" s="4"/>
      <c r="AN79" s="4"/>
      <c r="AO79" s="4"/>
      <c r="AP79" s="4"/>
      <c r="AQ79" s="4"/>
      <c r="AR79" s="4"/>
    </row>
    <row r="80" spans="1:47" x14ac:dyDescent="0.3">
      <c r="A80" s="80" t="s">
        <v>19</v>
      </c>
      <c r="B80" s="81"/>
      <c r="C80" s="81"/>
      <c r="D80" s="81"/>
      <c r="E80" s="82">
        <f>E24</f>
        <v>6</v>
      </c>
      <c r="F80" s="83">
        <f t="shared" ref="F80:AF80" si="2">SUM(F81:F86)</f>
        <v>13</v>
      </c>
      <c r="G80" s="84">
        <f t="shared" si="2"/>
        <v>0</v>
      </c>
      <c r="H80" s="83">
        <f t="shared" si="2"/>
        <v>0</v>
      </c>
      <c r="I80" s="83">
        <f t="shared" si="2"/>
        <v>0</v>
      </c>
      <c r="J80" s="83">
        <f t="shared" si="2"/>
        <v>1</v>
      </c>
      <c r="K80" s="83">
        <f t="shared" si="2"/>
        <v>0</v>
      </c>
      <c r="L80" s="83">
        <f>SUM(L81:L86)</f>
        <v>0</v>
      </c>
      <c r="M80" s="83">
        <f t="shared" si="2"/>
        <v>1</v>
      </c>
      <c r="N80" s="83">
        <f t="shared" si="2"/>
        <v>2</v>
      </c>
      <c r="O80" s="83">
        <f t="shared" si="2"/>
        <v>1</v>
      </c>
      <c r="P80" s="83">
        <f t="shared" si="2"/>
        <v>0</v>
      </c>
      <c r="Q80" s="83">
        <f t="shared" si="2"/>
        <v>2</v>
      </c>
      <c r="R80" s="83">
        <f t="shared" si="2"/>
        <v>0</v>
      </c>
      <c r="S80" s="83">
        <f t="shared" si="2"/>
        <v>1</v>
      </c>
      <c r="T80" s="83">
        <f t="shared" si="2"/>
        <v>0</v>
      </c>
      <c r="U80" s="83">
        <f t="shared" si="2"/>
        <v>1</v>
      </c>
      <c r="V80" s="83">
        <f t="shared" si="2"/>
        <v>1</v>
      </c>
      <c r="W80" s="83">
        <f t="shared" si="2"/>
        <v>1</v>
      </c>
      <c r="X80" s="83">
        <f t="shared" si="2"/>
        <v>0</v>
      </c>
      <c r="Y80" s="83">
        <f t="shared" si="2"/>
        <v>1</v>
      </c>
      <c r="Z80" s="83">
        <f t="shared" si="2"/>
        <v>0</v>
      </c>
      <c r="AA80" s="83">
        <f t="shared" si="2"/>
        <v>0</v>
      </c>
      <c r="AB80" s="83">
        <f t="shared" si="2"/>
        <v>0</v>
      </c>
      <c r="AC80" s="83">
        <f t="shared" si="2"/>
        <v>0</v>
      </c>
      <c r="AD80" s="83">
        <f t="shared" si="2"/>
        <v>0</v>
      </c>
      <c r="AE80" s="83">
        <f t="shared" si="2"/>
        <v>1</v>
      </c>
      <c r="AF80" s="83">
        <f t="shared" si="2"/>
        <v>0</v>
      </c>
    </row>
    <row r="81" spans="1:32" outlineLevel="1" x14ac:dyDescent="0.3">
      <c r="A81" s="47" t="s">
        <v>294</v>
      </c>
      <c r="B81" s="81"/>
      <c r="C81" s="81"/>
      <c r="D81" s="81"/>
      <c r="E81" s="85"/>
      <c r="F81" s="76">
        <f t="shared" ref="F81:F86" si="3">SUM(G81:AF81)</f>
        <v>3</v>
      </c>
      <c r="G81" s="87"/>
      <c r="H81" s="86"/>
      <c r="I81" s="86"/>
      <c r="J81" s="86"/>
      <c r="K81" s="86"/>
      <c r="L81" s="86"/>
      <c r="M81" s="86"/>
      <c r="N81" s="86"/>
      <c r="O81" s="86">
        <v>1</v>
      </c>
      <c r="P81" s="86"/>
      <c r="Q81" s="86"/>
      <c r="R81" s="86"/>
      <c r="S81" s="86"/>
      <c r="T81" s="86"/>
      <c r="U81" s="86">
        <v>1</v>
      </c>
      <c r="V81" s="86"/>
      <c r="W81" s="86"/>
      <c r="X81" s="86"/>
      <c r="Y81" s="86"/>
      <c r="Z81" s="86"/>
      <c r="AA81" s="86"/>
      <c r="AB81" s="86"/>
      <c r="AC81" s="86"/>
      <c r="AD81" s="86"/>
      <c r="AE81" s="86">
        <v>1</v>
      </c>
      <c r="AF81" s="86"/>
    </row>
    <row r="82" spans="1:32" outlineLevel="1" x14ac:dyDescent="0.3">
      <c r="A82" s="47" t="s">
        <v>295</v>
      </c>
      <c r="B82" s="81"/>
      <c r="C82" s="81"/>
      <c r="D82" s="81"/>
      <c r="E82" s="85"/>
      <c r="F82" s="76">
        <f t="shared" si="3"/>
        <v>3</v>
      </c>
      <c r="G82" s="87"/>
      <c r="H82" s="86"/>
      <c r="I82" s="86"/>
      <c r="J82" s="86">
        <v>1</v>
      </c>
      <c r="K82" s="86"/>
      <c r="L82" s="86"/>
      <c r="M82" s="86">
        <v>1</v>
      </c>
      <c r="N82" s="86">
        <v>1</v>
      </c>
      <c r="O82" s="86"/>
      <c r="P82" s="86"/>
      <c r="Q82" s="86"/>
      <c r="R82" s="86"/>
      <c r="S82" s="86"/>
      <c r="T82" s="86"/>
      <c r="U82" s="86"/>
      <c r="V82" s="86"/>
      <c r="W82" s="86"/>
      <c r="X82" s="86"/>
      <c r="Y82" s="86"/>
      <c r="Z82" s="86"/>
      <c r="AA82" s="86"/>
      <c r="AB82" s="86"/>
      <c r="AC82" s="86"/>
      <c r="AD82" s="86"/>
      <c r="AE82" s="86"/>
      <c r="AF82" s="86"/>
    </row>
    <row r="83" spans="1:32" outlineLevel="1" x14ac:dyDescent="0.3">
      <c r="A83" s="47" t="s">
        <v>298</v>
      </c>
      <c r="B83" s="81"/>
      <c r="C83" s="81"/>
      <c r="D83" s="81"/>
      <c r="E83" s="85"/>
      <c r="F83" s="76">
        <f t="shared" si="3"/>
        <v>3</v>
      </c>
      <c r="G83" s="87"/>
      <c r="H83" s="86"/>
      <c r="I83" s="86"/>
      <c r="J83" s="86"/>
      <c r="K83" s="86"/>
      <c r="L83" s="86"/>
      <c r="M83" s="86"/>
      <c r="N83" s="86">
        <v>1</v>
      </c>
      <c r="O83" s="86"/>
      <c r="P83" s="86"/>
      <c r="Q83" s="86">
        <v>1</v>
      </c>
      <c r="R83" s="86"/>
      <c r="S83" s="86">
        <v>1</v>
      </c>
      <c r="T83" s="86"/>
      <c r="U83" s="86"/>
      <c r="V83" s="86"/>
      <c r="W83" s="86"/>
      <c r="X83" s="86"/>
      <c r="Y83" s="86"/>
      <c r="Z83" s="86"/>
      <c r="AA83" s="86"/>
      <c r="AB83" s="86"/>
      <c r="AC83" s="86"/>
      <c r="AD83" s="86"/>
      <c r="AE83" s="86"/>
      <c r="AF83" s="86"/>
    </row>
    <row r="84" spans="1:32" outlineLevel="1" x14ac:dyDescent="0.3">
      <c r="A84" s="47" t="s">
        <v>299</v>
      </c>
      <c r="B84" s="81"/>
      <c r="C84" s="81"/>
      <c r="D84" s="81"/>
      <c r="E84" s="85"/>
      <c r="F84" s="76">
        <f t="shared" si="3"/>
        <v>2</v>
      </c>
      <c r="G84" s="87"/>
      <c r="H84" s="86"/>
      <c r="I84" s="86"/>
      <c r="J84" s="86"/>
      <c r="K84" s="86"/>
      <c r="L84" s="86"/>
      <c r="M84" s="86"/>
      <c r="N84" s="86"/>
      <c r="O84" s="86"/>
      <c r="P84" s="86"/>
      <c r="Q84" s="86"/>
      <c r="R84" s="86"/>
      <c r="S84" s="86"/>
      <c r="T84" s="86"/>
      <c r="U84" s="86"/>
      <c r="V84" s="86">
        <v>1</v>
      </c>
      <c r="W84" s="86"/>
      <c r="X84" s="86"/>
      <c r="Y84" s="86">
        <v>1</v>
      </c>
      <c r="Z84" s="86"/>
      <c r="AA84" s="86"/>
      <c r="AB84" s="86"/>
      <c r="AC84" s="86"/>
      <c r="AD84" s="86"/>
      <c r="AE84" s="86"/>
      <c r="AF84" s="86"/>
    </row>
    <row r="85" spans="1:32" outlineLevel="1" x14ac:dyDescent="0.3">
      <c r="A85" s="47" t="s">
        <v>301</v>
      </c>
      <c r="B85" s="81"/>
      <c r="C85" s="81"/>
      <c r="D85" s="81"/>
      <c r="E85" s="85"/>
      <c r="F85" s="76">
        <f t="shared" si="3"/>
        <v>1</v>
      </c>
      <c r="G85" s="87"/>
      <c r="H85" s="86"/>
      <c r="I85" s="86"/>
      <c r="J85" s="86"/>
      <c r="K85" s="86"/>
      <c r="L85" s="86"/>
      <c r="M85" s="86"/>
      <c r="N85" s="86"/>
      <c r="O85" s="86"/>
      <c r="P85" s="86"/>
      <c r="Q85" s="86"/>
      <c r="R85" s="86"/>
      <c r="S85" s="86"/>
      <c r="T85" s="86"/>
      <c r="U85" s="86"/>
      <c r="V85" s="86"/>
      <c r="W85" s="86">
        <v>1</v>
      </c>
      <c r="X85" s="86"/>
      <c r="Y85" s="86"/>
      <c r="Z85" s="86"/>
      <c r="AA85" s="86"/>
      <c r="AB85" s="86"/>
      <c r="AC85" s="86"/>
      <c r="AD85" s="86"/>
      <c r="AE85" s="86"/>
      <c r="AF85" s="86"/>
    </row>
    <row r="86" spans="1:32" outlineLevel="1" x14ac:dyDescent="0.3">
      <c r="A86" s="47" t="s">
        <v>302</v>
      </c>
      <c r="B86" s="81"/>
      <c r="C86" s="81"/>
      <c r="D86" s="81"/>
      <c r="E86" s="85"/>
      <c r="F86" s="76">
        <f t="shared" si="3"/>
        <v>1</v>
      </c>
      <c r="G86" s="87"/>
      <c r="H86" s="86"/>
      <c r="I86" s="86"/>
      <c r="J86" s="86"/>
      <c r="K86" s="86"/>
      <c r="L86" s="86"/>
      <c r="M86" s="86"/>
      <c r="N86" s="86"/>
      <c r="O86" s="86"/>
      <c r="P86" s="86"/>
      <c r="Q86" s="86">
        <v>1</v>
      </c>
      <c r="R86" s="86"/>
      <c r="S86" s="86"/>
      <c r="T86" s="86"/>
      <c r="U86" s="86"/>
      <c r="V86" s="86"/>
      <c r="W86" s="86"/>
      <c r="X86" s="86"/>
      <c r="Y86" s="86"/>
      <c r="Z86" s="86"/>
      <c r="AA86" s="86"/>
      <c r="AB86" s="86"/>
      <c r="AC86" s="86"/>
      <c r="AD86" s="86"/>
      <c r="AE86" s="86"/>
      <c r="AF86" s="86"/>
    </row>
    <row r="87" spans="1:32" s="90" customFormat="1" x14ac:dyDescent="0.3">
      <c r="A87" s="79"/>
      <c r="B87" s="88"/>
      <c r="C87" s="88"/>
      <c r="D87" s="88"/>
      <c r="E87" s="89"/>
      <c r="F87" s="34"/>
      <c r="G87" s="88"/>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row>
    <row r="88" spans="1:32" x14ac:dyDescent="0.3">
      <c r="A88" s="80" t="s">
        <v>28</v>
      </c>
      <c r="B88" s="81"/>
      <c r="C88" s="81"/>
      <c r="D88" s="81"/>
      <c r="E88" s="82">
        <f>E34</f>
        <v>7</v>
      </c>
      <c r="F88" s="83">
        <f t="shared" ref="F88:AF88" si="4">SUM(F89:F95)</f>
        <v>13</v>
      </c>
      <c r="G88" s="84">
        <f t="shared" si="4"/>
        <v>0</v>
      </c>
      <c r="H88" s="83">
        <f t="shared" si="4"/>
        <v>0</v>
      </c>
      <c r="I88" s="83">
        <f t="shared" si="4"/>
        <v>0</v>
      </c>
      <c r="J88" s="83">
        <f t="shared" si="4"/>
        <v>0</v>
      </c>
      <c r="K88" s="83">
        <f t="shared" si="4"/>
        <v>0</v>
      </c>
      <c r="L88" s="83">
        <f>SUM(L89:L95)</f>
        <v>0</v>
      </c>
      <c r="M88" s="83">
        <f t="shared" si="4"/>
        <v>0</v>
      </c>
      <c r="N88" s="83">
        <f t="shared" si="4"/>
        <v>2</v>
      </c>
      <c r="O88" s="83">
        <f t="shared" si="4"/>
        <v>1</v>
      </c>
      <c r="P88" s="83">
        <f t="shared" si="4"/>
        <v>0</v>
      </c>
      <c r="Q88" s="83">
        <f t="shared" si="4"/>
        <v>0</v>
      </c>
      <c r="R88" s="83">
        <f t="shared" si="4"/>
        <v>2</v>
      </c>
      <c r="S88" s="83">
        <f t="shared" si="4"/>
        <v>0</v>
      </c>
      <c r="T88" s="83">
        <f t="shared" si="4"/>
        <v>0</v>
      </c>
      <c r="U88" s="83">
        <f t="shared" si="4"/>
        <v>0</v>
      </c>
      <c r="V88" s="83">
        <f t="shared" si="4"/>
        <v>0</v>
      </c>
      <c r="W88" s="83">
        <f t="shared" si="4"/>
        <v>0</v>
      </c>
      <c r="X88" s="83">
        <f t="shared" si="4"/>
        <v>1</v>
      </c>
      <c r="Y88" s="83">
        <f t="shared" si="4"/>
        <v>1</v>
      </c>
      <c r="Z88" s="83">
        <f t="shared" si="4"/>
        <v>1</v>
      </c>
      <c r="AA88" s="83">
        <f t="shared" si="4"/>
        <v>1</v>
      </c>
      <c r="AB88" s="83">
        <f t="shared" si="4"/>
        <v>1</v>
      </c>
      <c r="AC88" s="83">
        <f t="shared" si="4"/>
        <v>2</v>
      </c>
      <c r="AD88" s="83">
        <f t="shared" si="4"/>
        <v>1</v>
      </c>
      <c r="AE88" s="83">
        <f t="shared" si="4"/>
        <v>0</v>
      </c>
      <c r="AF88" s="83">
        <f t="shared" si="4"/>
        <v>0</v>
      </c>
    </row>
    <row r="89" spans="1:32" outlineLevel="1" x14ac:dyDescent="0.3">
      <c r="A89" s="47" t="s">
        <v>303</v>
      </c>
      <c r="B89" s="81"/>
      <c r="C89" s="81"/>
      <c r="D89" s="81"/>
      <c r="E89" s="91"/>
      <c r="F89" s="76">
        <f t="shared" ref="F89:F95" si="5">SUM(G89:AF89)</f>
        <v>1</v>
      </c>
      <c r="G89" s="87"/>
      <c r="H89" s="86"/>
      <c r="I89" s="86"/>
      <c r="J89" s="86"/>
      <c r="K89" s="86"/>
      <c r="L89" s="86"/>
      <c r="M89" s="86"/>
      <c r="N89" s="86"/>
      <c r="O89" s="86">
        <v>1</v>
      </c>
      <c r="P89" s="86"/>
      <c r="Q89" s="86"/>
      <c r="R89" s="86"/>
      <c r="S89" s="86"/>
      <c r="T89" s="86"/>
      <c r="U89" s="86"/>
      <c r="V89" s="86"/>
      <c r="W89" s="86"/>
      <c r="X89" s="86"/>
      <c r="Y89" s="86"/>
      <c r="Z89" s="86"/>
      <c r="AA89" s="86"/>
      <c r="AB89" s="86"/>
      <c r="AC89" s="86"/>
      <c r="AD89" s="86"/>
      <c r="AE89" s="86"/>
      <c r="AF89" s="86"/>
    </row>
    <row r="90" spans="1:32" outlineLevel="1" x14ac:dyDescent="0.3">
      <c r="A90" s="47" t="s">
        <v>304</v>
      </c>
      <c r="B90" s="81"/>
      <c r="C90" s="81"/>
      <c r="D90" s="81"/>
      <c r="E90" s="91"/>
      <c r="F90" s="76">
        <f t="shared" si="5"/>
        <v>1</v>
      </c>
      <c r="G90" s="87"/>
      <c r="H90" s="86"/>
      <c r="I90" s="86"/>
      <c r="J90" s="86"/>
      <c r="K90" s="86"/>
      <c r="L90" s="86"/>
      <c r="M90" s="86"/>
      <c r="N90" s="86"/>
      <c r="O90" s="86"/>
      <c r="P90" s="86"/>
      <c r="Q90" s="86"/>
      <c r="R90" s="86"/>
      <c r="S90" s="86"/>
      <c r="T90" s="86"/>
      <c r="U90" s="86"/>
      <c r="V90" s="86"/>
      <c r="W90" s="86"/>
      <c r="X90" s="86">
        <v>1</v>
      </c>
      <c r="Y90" s="86"/>
      <c r="Z90" s="86"/>
      <c r="AA90" s="86"/>
      <c r="AB90" s="86"/>
      <c r="AC90" s="86"/>
      <c r="AD90" s="86"/>
      <c r="AE90" s="86"/>
      <c r="AF90" s="86"/>
    </row>
    <row r="91" spans="1:32" outlineLevel="1" x14ac:dyDescent="0.3">
      <c r="A91" s="47" t="s">
        <v>305</v>
      </c>
      <c r="B91" s="81"/>
      <c r="C91" s="81"/>
      <c r="D91" s="81"/>
      <c r="E91" s="91"/>
      <c r="F91" s="76">
        <f t="shared" si="5"/>
        <v>2</v>
      </c>
      <c r="G91" s="87"/>
      <c r="H91" s="86"/>
      <c r="I91" s="86"/>
      <c r="J91" s="86"/>
      <c r="K91" s="86"/>
      <c r="L91" s="86"/>
      <c r="M91" s="86"/>
      <c r="N91" s="86">
        <v>1</v>
      </c>
      <c r="O91" s="86"/>
      <c r="P91" s="86"/>
      <c r="Q91" s="86"/>
      <c r="R91" s="86">
        <v>1</v>
      </c>
      <c r="S91" s="86"/>
      <c r="T91" s="86"/>
      <c r="U91" s="86"/>
      <c r="V91" s="86"/>
      <c r="W91" s="86"/>
      <c r="X91" s="86"/>
      <c r="Y91" s="86"/>
      <c r="Z91" s="86"/>
      <c r="AA91" s="86"/>
      <c r="AB91" s="86"/>
      <c r="AC91" s="86"/>
      <c r="AD91" s="86"/>
      <c r="AE91" s="86"/>
      <c r="AF91" s="86"/>
    </row>
    <row r="92" spans="1:32" outlineLevel="1" x14ac:dyDescent="0.3">
      <c r="A92" s="47" t="s">
        <v>307</v>
      </c>
      <c r="B92" s="81"/>
      <c r="C92" s="81"/>
      <c r="D92" s="81"/>
      <c r="E92" s="91"/>
      <c r="F92" s="76">
        <f t="shared" si="5"/>
        <v>4</v>
      </c>
      <c r="G92" s="87"/>
      <c r="H92" s="86"/>
      <c r="I92" s="86"/>
      <c r="J92" s="86"/>
      <c r="K92" s="86"/>
      <c r="L92" s="86"/>
      <c r="M92" s="86"/>
      <c r="N92" s="86">
        <v>1</v>
      </c>
      <c r="O92" s="86"/>
      <c r="P92" s="86"/>
      <c r="Q92" s="86"/>
      <c r="R92" s="86"/>
      <c r="S92" s="86"/>
      <c r="T92" s="86"/>
      <c r="U92" s="86"/>
      <c r="V92" s="86"/>
      <c r="W92" s="86"/>
      <c r="X92" s="86"/>
      <c r="Y92" s="86">
        <v>1</v>
      </c>
      <c r="Z92" s="86"/>
      <c r="AA92" s="86"/>
      <c r="AB92" s="86">
        <v>1</v>
      </c>
      <c r="AC92" s="86">
        <v>1</v>
      </c>
      <c r="AD92" s="86"/>
      <c r="AE92" s="86"/>
      <c r="AF92" s="86"/>
    </row>
    <row r="93" spans="1:32" outlineLevel="1" x14ac:dyDescent="0.3">
      <c r="A93" s="47" t="s">
        <v>308</v>
      </c>
      <c r="B93" s="81"/>
      <c r="C93" s="81"/>
      <c r="D93" s="81"/>
      <c r="E93" s="91"/>
      <c r="F93" s="76">
        <f t="shared" si="5"/>
        <v>1</v>
      </c>
      <c r="G93" s="87"/>
      <c r="H93" s="86"/>
      <c r="I93" s="86"/>
      <c r="J93" s="86"/>
      <c r="K93" s="86"/>
      <c r="L93" s="86"/>
      <c r="M93" s="86"/>
      <c r="N93" s="86"/>
      <c r="O93" s="86"/>
      <c r="P93" s="86"/>
      <c r="Q93" s="86"/>
      <c r="R93" s="86"/>
      <c r="S93" s="86"/>
      <c r="T93" s="86"/>
      <c r="U93" s="86"/>
      <c r="V93" s="86"/>
      <c r="W93" s="86"/>
      <c r="X93" s="86"/>
      <c r="Y93" s="86"/>
      <c r="Z93" s="86"/>
      <c r="AA93" s="86"/>
      <c r="AB93" s="86"/>
      <c r="AC93" s="86"/>
      <c r="AD93" s="86">
        <v>1</v>
      </c>
      <c r="AE93" s="86"/>
      <c r="AF93" s="86"/>
    </row>
    <row r="94" spans="1:32" outlineLevel="1" x14ac:dyDescent="0.3">
      <c r="A94" s="47" t="s">
        <v>310</v>
      </c>
      <c r="B94" s="81"/>
      <c r="C94" s="81"/>
      <c r="D94" s="81"/>
      <c r="E94" s="91"/>
      <c r="F94" s="76">
        <f t="shared" si="5"/>
        <v>2</v>
      </c>
      <c r="G94" s="87"/>
      <c r="H94" s="86"/>
      <c r="I94" s="86"/>
      <c r="J94" s="86"/>
      <c r="K94" s="86"/>
      <c r="L94" s="86"/>
      <c r="M94" s="86"/>
      <c r="N94" s="86"/>
      <c r="O94" s="86"/>
      <c r="P94" s="86"/>
      <c r="Q94" s="86"/>
      <c r="R94" s="86"/>
      <c r="S94" s="86"/>
      <c r="T94" s="86"/>
      <c r="U94" s="86"/>
      <c r="V94" s="86"/>
      <c r="W94" s="86"/>
      <c r="X94" s="86"/>
      <c r="Y94" s="86"/>
      <c r="Z94" s="86">
        <v>1</v>
      </c>
      <c r="AA94" s="86"/>
      <c r="AB94" s="86"/>
      <c r="AC94" s="86">
        <v>1</v>
      </c>
      <c r="AD94" s="86"/>
      <c r="AE94" s="86"/>
      <c r="AF94" s="86"/>
    </row>
    <row r="95" spans="1:32" outlineLevel="1" x14ac:dyDescent="0.3">
      <c r="A95" s="47" t="s">
        <v>311</v>
      </c>
      <c r="B95" s="81"/>
      <c r="C95" s="81"/>
      <c r="D95" s="81"/>
      <c r="E95" s="91"/>
      <c r="F95" s="76">
        <f t="shared" si="5"/>
        <v>2</v>
      </c>
      <c r="G95" s="87"/>
      <c r="H95" s="86"/>
      <c r="I95" s="86"/>
      <c r="J95" s="86"/>
      <c r="K95" s="86"/>
      <c r="L95" s="86"/>
      <c r="M95" s="86"/>
      <c r="N95" s="86"/>
      <c r="O95" s="86"/>
      <c r="P95" s="86"/>
      <c r="Q95" s="86"/>
      <c r="R95" s="86">
        <v>1</v>
      </c>
      <c r="S95" s="86"/>
      <c r="T95" s="86"/>
      <c r="U95" s="86"/>
      <c r="V95" s="86"/>
      <c r="W95" s="86"/>
      <c r="X95" s="86"/>
      <c r="Y95" s="86"/>
      <c r="Z95" s="86"/>
      <c r="AA95" s="86">
        <v>1</v>
      </c>
      <c r="AB95" s="86"/>
      <c r="AC95" s="86"/>
      <c r="AD95" s="86"/>
      <c r="AE95" s="86"/>
      <c r="AF95" s="86"/>
    </row>
    <row r="96" spans="1:32" s="90" customFormat="1" x14ac:dyDescent="0.3">
      <c r="A96" s="79"/>
      <c r="B96" s="88"/>
      <c r="C96" s="88"/>
      <c r="D96" s="88"/>
      <c r="E96" s="92"/>
      <c r="F96" s="34"/>
      <c r="G96" s="88"/>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row>
    <row r="97" spans="1:32" x14ac:dyDescent="0.3">
      <c r="A97" s="80" t="s">
        <v>38</v>
      </c>
      <c r="B97" s="81"/>
      <c r="C97" s="81"/>
      <c r="D97" s="81"/>
      <c r="E97" s="82">
        <f>E44</f>
        <v>7</v>
      </c>
      <c r="F97" s="83">
        <f t="shared" ref="F97:AF97" si="6">SUM(F98:F104)</f>
        <v>8</v>
      </c>
      <c r="G97" s="84">
        <f t="shared" si="6"/>
        <v>0</v>
      </c>
      <c r="H97" s="83">
        <f t="shared" si="6"/>
        <v>0</v>
      </c>
      <c r="I97" s="83">
        <f t="shared" si="6"/>
        <v>0</v>
      </c>
      <c r="J97" s="83">
        <f t="shared" si="6"/>
        <v>0</v>
      </c>
      <c r="K97" s="83">
        <f t="shared" si="6"/>
        <v>1</v>
      </c>
      <c r="L97" s="83">
        <f>SUM(L98:L104)</f>
        <v>1</v>
      </c>
      <c r="M97" s="83">
        <f t="shared" si="6"/>
        <v>0</v>
      </c>
      <c r="N97" s="83">
        <f t="shared" si="6"/>
        <v>1</v>
      </c>
      <c r="O97" s="83">
        <f t="shared" si="6"/>
        <v>1</v>
      </c>
      <c r="P97" s="83">
        <f t="shared" si="6"/>
        <v>0</v>
      </c>
      <c r="Q97" s="83">
        <f t="shared" si="6"/>
        <v>0</v>
      </c>
      <c r="R97" s="83">
        <f t="shared" si="6"/>
        <v>1</v>
      </c>
      <c r="S97" s="83">
        <f t="shared" si="6"/>
        <v>0</v>
      </c>
      <c r="T97" s="83">
        <f t="shared" si="6"/>
        <v>1</v>
      </c>
      <c r="U97" s="83">
        <f t="shared" si="6"/>
        <v>0</v>
      </c>
      <c r="V97" s="83">
        <f t="shared" si="6"/>
        <v>0</v>
      </c>
      <c r="W97" s="83">
        <f t="shared" si="6"/>
        <v>0</v>
      </c>
      <c r="X97" s="83">
        <f t="shared" si="6"/>
        <v>0</v>
      </c>
      <c r="Y97" s="83">
        <f t="shared" si="6"/>
        <v>0</v>
      </c>
      <c r="Z97" s="83">
        <f t="shared" si="6"/>
        <v>0</v>
      </c>
      <c r="AA97" s="83">
        <f t="shared" si="6"/>
        <v>0</v>
      </c>
      <c r="AB97" s="83">
        <f t="shared" si="6"/>
        <v>1</v>
      </c>
      <c r="AC97" s="83">
        <f t="shared" si="6"/>
        <v>0</v>
      </c>
      <c r="AD97" s="83">
        <f t="shared" si="6"/>
        <v>0</v>
      </c>
      <c r="AE97" s="83">
        <f t="shared" si="6"/>
        <v>0</v>
      </c>
      <c r="AF97" s="83">
        <f t="shared" si="6"/>
        <v>1</v>
      </c>
    </row>
    <row r="98" spans="1:32" outlineLevel="1" x14ac:dyDescent="0.3">
      <c r="A98" s="47" t="s">
        <v>316</v>
      </c>
      <c r="B98" s="81"/>
      <c r="C98" s="81"/>
      <c r="D98" s="81"/>
      <c r="E98" s="91"/>
      <c r="F98" s="76">
        <f t="shared" ref="F98:F104" si="7">SUM(G98:AF98)</f>
        <v>1</v>
      </c>
      <c r="G98" s="87"/>
      <c r="H98" s="86"/>
      <c r="I98" s="86"/>
      <c r="J98" s="86"/>
      <c r="K98" s="86"/>
      <c r="L98" s="86">
        <v>1</v>
      </c>
      <c r="M98" s="86"/>
      <c r="N98" s="86"/>
      <c r="O98" s="86"/>
      <c r="P98" s="86"/>
      <c r="Q98" s="86"/>
      <c r="R98" s="86"/>
      <c r="S98" s="86"/>
      <c r="T98" s="86"/>
      <c r="U98" s="86"/>
      <c r="V98" s="86"/>
      <c r="W98" s="86"/>
      <c r="X98" s="86"/>
      <c r="Y98" s="86"/>
      <c r="Z98" s="86"/>
      <c r="AA98" s="86"/>
      <c r="AB98" s="86"/>
      <c r="AC98" s="86"/>
      <c r="AD98" s="86"/>
      <c r="AE98" s="86"/>
      <c r="AF98" s="86"/>
    </row>
    <row r="99" spans="1:32" outlineLevel="1" x14ac:dyDescent="0.3">
      <c r="A99" s="47" t="s">
        <v>317</v>
      </c>
      <c r="B99" s="81"/>
      <c r="C99" s="81"/>
      <c r="D99" s="81"/>
      <c r="E99" s="91"/>
      <c r="F99" s="76">
        <f t="shared" si="7"/>
        <v>1</v>
      </c>
      <c r="G99" s="87"/>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v>1</v>
      </c>
    </row>
    <row r="100" spans="1:32" outlineLevel="1" x14ac:dyDescent="0.3">
      <c r="A100" s="47" t="s">
        <v>318</v>
      </c>
      <c r="B100" s="81"/>
      <c r="C100" s="81"/>
      <c r="D100" s="81"/>
      <c r="E100" s="91"/>
      <c r="F100" s="76">
        <f t="shared" si="7"/>
        <v>2</v>
      </c>
      <c r="G100" s="87"/>
      <c r="H100" s="86"/>
      <c r="I100" s="86"/>
      <c r="J100" s="86"/>
      <c r="K100" s="86"/>
      <c r="L100" s="86"/>
      <c r="M100" s="86"/>
      <c r="N100" s="86"/>
      <c r="O100" s="86"/>
      <c r="P100" s="86"/>
      <c r="Q100" s="86"/>
      <c r="R100" s="86">
        <v>1</v>
      </c>
      <c r="S100" s="86"/>
      <c r="T100" s="86"/>
      <c r="U100" s="86"/>
      <c r="V100" s="86"/>
      <c r="W100" s="86"/>
      <c r="X100" s="86"/>
      <c r="Y100" s="86"/>
      <c r="Z100" s="86"/>
      <c r="AA100" s="86"/>
      <c r="AB100" s="86">
        <v>1</v>
      </c>
      <c r="AC100" s="86"/>
      <c r="AD100" s="86"/>
      <c r="AE100" s="86"/>
      <c r="AF100" s="86"/>
    </row>
    <row r="101" spans="1:32" outlineLevel="1" x14ac:dyDescent="0.3">
      <c r="A101" s="47" t="s">
        <v>319</v>
      </c>
      <c r="B101" s="81"/>
      <c r="C101" s="81"/>
      <c r="D101" s="81"/>
      <c r="E101" s="91"/>
      <c r="F101" s="76">
        <f t="shared" si="7"/>
        <v>1</v>
      </c>
      <c r="G101" s="87"/>
      <c r="H101" s="86"/>
      <c r="I101" s="86"/>
      <c r="J101" s="86"/>
      <c r="K101" s="86">
        <v>1</v>
      </c>
      <c r="L101" s="86"/>
      <c r="M101" s="86"/>
      <c r="N101" s="86"/>
      <c r="O101" s="86"/>
      <c r="P101" s="86"/>
      <c r="Q101" s="86"/>
      <c r="R101" s="86"/>
      <c r="S101" s="86"/>
      <c r="T101" s="86"/>
      <c r="U101" s="86"/>
      <c r="V101" s="86"/>
      <c r="W101" s="86"/>
      <c r="X101" s="86"/>
      <c r="Y101" s="86"/>
      <c r="Z101" s="86"/>
      <c r="AA101" s="86"/>
      <c r="AB101" s="86"/>
      <c r="AC101" s="86"/>
      <c r="AD101" s="86"/>
      <c r="AE101" s="86"/>
      <c r="AF101" s="86"/>
    </row>
    <row r="102" spans="1:32" outlineLevel="1" x14ac:dyDescent="0.3">
      <c r="A102" s="47" t="s">
        <v>321</v>
      </c>
      <c r="B102" s="81"/>
      <c r="C102" s="81"/>
      <c r="D102" s="81"/>
      <c r="E102" s="91"/>
      <c r="F102" s="76">
        <f t="shared" si="7"/>
        <v>1</v>
      </c>
      <c r="G102" s="87"/>
      <c r="H102" s="86"/>
      <c r="I102" s="86"/>
      <c r="J102" s="86"/>
      <c r="K102" s="86"/>
      <c r="L102" s="86"/>
      <c r="M102" s="86"/>
      <c r="N102" s="86">
        <v>1</v>
      </c>
      <c r="O102" s="86"/>
      <c r="P102" s="86"/>
      <c r="Q102" s="86"/>
      <c r="R102" s="86"/>
      <c r="S102" s="86"/>
      <c r="T102" s="86"/>
      <c r="U102" s="86"/>
      <c r="V102" s="86"/>
      <c r="W102" s="86"/>
      <c r="X102" s="86"/>
      <c r="Y102" s="86"/>
      <c r="Z102" s="86"/>
      <c r="AA102" s="86"/>
      <c r="AB102" s="86"/>
      <c r="AC102" s="86"/>
      <c r="AD102" s="86"/>
      <c r="AE102" s="86"/>
      <c r="AF102" s="86"/>
    </row>
    <row r="103" spans="1:32" outlineLevel="1" x14ac:dyDescent="0.3">
      <c r="A103" s="47" t="s">
        <v>322</v>
      </c>
      <c r="B103" s="81"/>
      <c r="C103" s="81"/>
      <c r="D103" s="81"/>
      <c r="E103" s="91"/>
      <c r="F103" s="76">
        <f t="shared" si="7"/>
        <v>1</v>
      </c>
      <c r="G103" s="87"/>
      <c r="H103" s="86"/>
      <c r="I103" s="86"/>
      <c r="J103" s="86"/>
      <c r="K103" s="86"/>
      <c r="L103" s="86"/>
      <c r="M103" s="86"/>
      <c r="N103" s="86"/>
      <c r="O103" s="86"/>
      <c r="P103" s="86"/>
      <c r="Q103" s="86"/>
      <c r="R103" s="86"/>
      <c r="S103" s="86"/>
      <c r="T103" s="86">
        <v>1</v>
      </c>
      <c r="U103" s="86"/>
      <c r="V103" s="86"/>
      <c r="W103" s="86"/>
      <c r="X103" s="86"/>
      <c r="Y103" s="86"/>
      <c r="Z103" s="86"/>
      <c r="AA103" s="86"/>
      <c r="AB103" s="86"/>
      <c r="AC103" s="86"/>
      <c r="AD103" s="86"/>
      <c r="AE103" s="86"/>
      <c r="AF103" s="86"/>
    </row>
    <row r="104" spans="1:32" outlineLevel="1" x14ac:dyDescent="0.3">
      <c r="A104" s="47" t="s">
        <v>324</v>
      </c>
      <c r="B104" s="81"/>
      <c r="C104" s="81"/>
      <c r="D104" s="81"/>
      <c r="E104" s="91"/>
      <c r="F104" s="76">
        <f t="shared" si="7"/>
        <v>1</v>
      </c>
      <c r="G104" s="87"/>
      <c r="H104" s="86"/>
      <c r="I104" s="86"/>
      <c r="J104" s="86"/>
      <c r="K104" s="86"/>
      <c r="L104" s="86"/>
      <c r="M104" s="86"/>
      <c r="N104" s="86"/>
      <c r="O104" s="86">
        <v>1</v>
      </c>
      <c r="P104" s="86"/>
      <c r="Q104" s="86"/>
      <c r="R104" s="86"/>
      <c r="S104" s="86"/>
      <c r="T104" s="86"/>
      <c r="U104" s="86"/>
      <c r="V104" s="86"/>
      <c r="W104" s="86"/>
      <c r="X104" s="86"/>
      <c r="Y104" s="86"/>
      <c r="Z104" s="86"/>
      <c r="AA104" s="86"/>
      <c r="AB104" s="86"/>
      <c r="AC104" s="86"/>
      <c r="AD104" s="86"/>
      <c r="AE104" s="86"/>
      <c r="AF104" s="86"/>
    </row>
    <row r="105" spans="1:32" x14ac:dyDescent="0.3">
      <c r="A105" s="93"/>
      <c r="B105" s="94"/>
      <c r="C105" s="94"/>
      <c r="D105" s="94"/>
      <c r="E105" s="95"/>
      <c r="F105" s="95"/>
      <c r="G105" s="94"/>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c r="AF105" s="95"/>
    </row>
    <row r="110" spans="1:32" x14ac:dyDescent="0.3">
      <c r="A110" s="96" t="s">
        <v>65</v>
      </c>
    </row>
    <row r="111" spans="1:32" x14ac:dyDescent="0.3">
      <c r="A111" s="90" t="s">
        <v>73</v>
      </c>
    </row>
    <row r="112" spans="1:32" x14ac:dyDescent="0.3">
      <c r="A112" s="90" t="s">
        <v>88</v>
      </c>
    </row>
    <row r="113" spans="1:1" x14ac:dyDescent="0.3">
      <c r="A113" s="90" t="s">
        <v>104</v>
      </c>
    </row>
    <row r="114" spans="1:1" x14ac:dyDescent="0.3">
      <c r="A114" s="90" t="s">
        <v>75</v>
      </c>
    </row>
    <row r="115" spans="1:1" x14ac:dyDescent="0.3">
      <c r="A115" t="s">
        <v>98</v>
      </c>
    </row>
    <row r="116" spans="1:1" x14ac:dyDescent="0.3">
      <c r="A116" s="90" t="s">
        <v>97</v>
      </c>
    </row>
    <row r="117" spans="1:1" x14ac:dyDescent="0.3">
      <c r="A117" s="90" t="s">
        <v>66</v>
      </c>
    </row>
    <row r="118" spans="1:1" x14ac:dyDescent="0.3">
      <c r="A118" t="s">
        <v>89</v>
      </c>
    </row>
  </sheetData>
  <sortState xmlns:xlrd2="http://schemas.microsoft.com/office/spreadsheetml/2017/richdata2" ref="A111:A118">
    <sortCondition ref="A118"/>
  </sortState>
  <mergeCells count="10">
    <mergeCell ref="A9:D9"/>
    <mergeCell ref="A67:D70"/>
    <mergeCell ref="AE68:AF68"/>
    <mergeCell ref="E67:F69"/>
    <mergeCell ref="A2:B2"/>
    <mergeCell ref="A6:N6"/>
    <mergeCell ref="A8:D8"/>
    <mergeCell ref="E8:F8"/>
    <mergeCell ref="G8:H8"/>
    <mergeCell ref="I8:J8"/>
  </mergeCells>
  <pageMargins left="0.7" right="0.7" top="0.75" bottom="0.75" header="0.3" footer="0.3"/>
  <pageSetup paperSize="5" scale="4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 Goal and Keys to Success</vt:lpstr>
      <vt:lpstr>Q2 Strategy and Actions</vt:lpstr>
      <vt:lpstr>Q3 Framework for Activities</vt:lpstr>
      <vt:lpstr>Q4 WP for '20-'21</vt:lpstr>
      <vt:lpstr>Q5 Research - Other 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Keiko Kodama</dc:creator>
  <cp:lastModifiedBy>Jasper van den Hout</cp:lastModifiedBy>
  <cp:lastPrinted>2019-06-10T21:37:37Z</cp:lastPrinted>
  <dcterms:created xsi:type="dcterms:W3CDTF">2019-06-06T15:18:21Z</dcterms:created>
  <dcterms:modified xsi:type="dcterms:W3CDTF">2019-08-30T09:01:04Z</dcterms:modified>
</cp:coreProperties>
</file>