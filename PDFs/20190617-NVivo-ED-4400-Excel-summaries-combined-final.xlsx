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S:\IAASB\Meetings\2019\June 2019\Agenda Papers\AUP\NVivo\"/>
    </mc:Choice>
  </mc:AlternateContent>
  <xr:revisionPtr revIDLastSave="0" documentId="8_{2FDF4302-18C0-40D5-9C1C-32E8E26DC97C}" xr6:coauthVersionLast="36" xr6:coauthVersionMax="36" xr10:uidLastSave="{00000000-0000-0000-0000-000000000000}"/>
  <bookViews>
    <workbookView xWindow="0" yWindow="0" windowWidth="20160" windowHeight="8724" xr2:uid="{D3DAA449-5263-4ADF-BD6A-6CD142272482}"/>
  </bookViews>
  <sheets>
    <sheet name="1B Public Interest" sheetId="1" r:id="rId1"/>
    <sheet name="2B Prof Judgment" sheetId="12" r:id="rId2"/>
    <sheet name="3B Precondition Independence" sheetId="3" r:id="rId3"/>
    <sheet name="4B Disclosures of Independence" sheetId="4" r:id="rId4"/>
    <sheet name="5B Findings" sheetId="5" r:id="rId5"/>
    <sheet name="6B Engagement A&amp;C" sheetId="6" r:id="rId6"/>
    <sheet name="7B Practitioner's Expert" sheetId="7" r:id="rId7"/>
    <sheet name="8B AUP Rep - Restriction of Use" sheetId="8" r:id="rId8"/>
    <sheet name="9B AUP Rep - Content" sheetId="9" r:id="rId9"/>
    <sheet name="10B Translations" sheetId="10" r:id="rId10"/>
    <sheet name="11B Effective Date "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152" i="12" l="1"/>
  <c r="G151" i="12" s="1"/>
  <c r="G149" i="12"/>
  <c r="G148" i="12" s="1"/>
  <c r="G146" i="12"/>
  <c r="G143" i="12"/>
  <c r="G141" i="12" s="1"/>
  <c r="G142" i="12"/>
  <c r="G103" i="12"/>
  <c r="G98" i="12"/>
  <c r="G90" i="12"/>
  <c r="G95" i="12"/>
  <c r="G125" i="12"/>
  <c r="G124" i="12"/>
  <c r="G123" i="12"/>
  <c r="G122" i="12"/>
  <c r="G121" i="12"/>
  <c r="G120" i="12"/>
  <c r="G119" i="12"/>
  <c r="G118" i="12"/>
  <c r="G117" i="12"/>
  <c r="G116" i="12"/>
  <c r="G115" i="12"/>
  <c r="G114" i="12"/>
  <c r="G113" i="12"/>
  <c r="G112" i="12"/>
  <c r="G111" i="12"/>
  <c r="G102" i="12"/>
  <c r="G101" i="12"/>
  <c r="G100" i="12"/>
  <c r="G99" i="12"/>
  <c r="G94" i="12"/>
  <c r="G93" i="12"/>
  <c r="G92" i="12"/>
  <c r="G91" i="12"/>
  <c r="G87" i="12"/>
  <c r="G84" i="12"/>
  <c r="P128" i="12"/>
  <c r="P109" i="12"/>
  <c r="P105" i="12"/>
  <c r="P97" i="12"/>
  <c r="P89" i="12"/>
  <c r="P86" i="12"/>
  <c r="P83" i="12"/>
  <c r="N227" i="12"/>
  <c r="M227" i="12"/>
  <c r="L227" i="12"/>
  <c r="K227" i="12"/>
  <c r="J227" i="12"/>
  <c r="I227" i="12"/>
  <c r="H227" i="12"/>
  <c r="G227" i="12"/>
  <c r="F227" i="12"/>
  <c r="N201" i="12"/>
  <c r="M201" i="12"/>
  <c r="L201" i="12"/>
  <c r="K201" i="12"/>
  <c r="J201" i="12"/>
  <c r="I201" i="12"/>
  <c r="H201" i="12"/>
  <c r="G201" i="12"/>
  <c r="F201" i="12"/>
  <c r="N195" i="12"/>
  <c r="M195" i="12"/>
  <c r="L195" i="12"/>
  <c r="K195" i="12"/>
  <c r="J195" i="12"/>
  <c r="I195" i="12"/>
  <c r="H195" i="12"/>
  <c r="G195" i="12"/>
  <c r="F195" i="12"/>
  <c r="N182" i="12"/>
  <c r="M182" i="12"/>
  <c r="L182" i="12"/>
  <c r="K182" i="12"/>
  <c r="J182" i="12"/>
  <c r="I182" i="12"/>
  <c r="H182" i="12"/>
  <c r="G182" i="12"/>
  <c r="F182" i="12"/>
  <c r="N171" i="12"/>
  <c r="M171" i="12"/>
  <c r="L171" i="12"/>
  <c r="K171" i="12"/>
  <c r="J171" i="12"/>
  <c r="I171" i="12"/>
  <c r="H171" i="12"/>
  <c r="G171" i="12"/>
  <c r="F171" i="12"/>
  <c r="N167" i="12"/>
  <c r="M167" i="12"/>
  <c r="L167" i="12"/>
  <c r="K167" i="12"/>
  <c r="J167" i="12"/>
  <c r="I167" i="12"/>
  <c r="H167" i="12"/>
  <c r="G167" i="12"/>
  <c r="F167" i="12"/>
  <c r="N164" i="12"/>
  <c r="N162" i="12" s="1"/>
  <c r="M164" i="12"/>
  <c r="L164" i="12"/>
  <c r="K164" i="12"/>
  <c r="J164" i="12"/>
  <c r="J162" i="12" s="1"/>
  <c r="I164" i="12"/>
  <c r="H164" i="12"/>
  <c r="G164" i="12"/>
  <c r="F164" i="12"/>
  <c r="F162" i="12" s="1"/>
  <c r="L151" i="12"/>
  <c r="K151" i="12"/>
  <c r="J151" i="12"/>
  <c r="I151" i="12"/>
  <c r="H151" i="12"/>
  <c r="L148" i="12"/>
  <c r="K148" i="12"/>
  <c r="K139" i="12" s="1"/>
  <c r="J148" i="12"/>
  <c r="J139" i="12" s="1"/>
  <c r="I148" i="12"/>
  <c r="H148" i="12"/>
  <c r="G145" i="12"/>
  <c r="L145" i="12"/>
  <c r="K145" i="12"/>
  <c r="J145" i="12"/>
  <c r="I145" i="12"/>
  <c r="H145" i="12"/>
  <c r="L141" i="12"/>
  <c r="K141" i="12"/>
  <c r="J141" i="12"/>
  <c r="I141" i="12"/>
  <c r="I139" i="12" s="1"/>
  <c r="H141" i="12"/>
  <c r="O128" i="12"/>
  <c r="N128" i="12"/>
  <c r="M128" i="12"/>
  <c r="L128" i="12"/>
  <c r="K128" i="12"/>
  <c r="J128" i="12"/>
  <c r="I128" i="12"/>
  <c r="H128" i="12"/>
  <c r="G128" i="12"/>
  <c r="G126" i="12"/>
  <c r="G110" i="12"/>
  <c r="O109" i="12"/>
  <c r="N109" i="12"/>
  <c r="M109" i="12"/>
  <c r="L109" i="12"/>
  <c r="K109" i="12"/>
  <c r="J109" i="12"/>
  <c r="I109" i="12"/>
  <c r="H109" i="12"/>
  <c r="G107" i="12"/>
  <c r="G106" i="12"/>
  <c r="G105" i="12" s="1"/>
  <c r="O105" i="12"/>
  <c r="N105" i="12"/>
  <c r="M105" i="12"/>
  <c r="L105" i="12"/>
  <c r="K105" i="12"/>
  <c r="J105" i="12"/>
  <c r="I105" i="12"/>
  <c r="H105" i="12"/>
  <c r="O97" i="12"/>
  <c r="N97" i="12"/>
  <c r="M97" i="12"/>
  <c r="L97" i="12"/>
  <c r="K97" i="12"/>
  <c r="J97" i="12"/>
  <c r="I97" i="12"/>
  <c r="H97" i="12"/>
  <c r="O89" i="12"/>
  <c r="N89" i="12"/>
  <c r="M89" i="12"/>
  <c r="L89" i="12"/>
  <c r="K89" i="12"/>
  <c r="J89" i="12"/>
  <c r="I89" i="12"/>
  <c r="H89" i="12"/>
  <c r="G86" i="12"/>
  <c r="O86" i="12"/>
  <c r="N86" i="12"/>
  <c r="M86" i="12"/>
  <c r="L86" i="12"/>
  <c r="K86" i="12"/>
  <c r="J86" i="12"/>
  <c r="I86" i="12"/>
  <c r="H86" i="12"/>
  <c r="G83" i="12"/>
  <c r="O83" i="12"/>
  <c r="N83" i="12"/>
  <c r="M83" i="12"/>
  <c r="L83" i="12"/>
  <c r="L81" i="12" s="1"/>
  <c r="K83" i="12"/>
  <c r="J83" i="12"/>
  <c r="I83" i="12"/>
  <c r="H83" i="12"/>
  <c r="L70" i="12"/>
  <c r="J70" i="12"/>
  <c r="H70" i="12"/>
  <c r="F128" i="12" s="1"/>
  <c r="F70" i="12"/>
  <c r="L45" i="12"/>
  <c r="J45" i="12"/>
  <c r="F151" i="12" s="1"/>
  <c r="H45" i="12"/>
  <c r="F109" i="12" s="1"/>
  <c r="F45" i="12"/>
  <c r="L40" i="12"/>
  <c r="J40" i="12"/>
  <c r="F148" i="12" s="1"/>
  <c r="H40" i="12"/>
  <c r="F105" i="12" s="1"/>
  <c r="F40" i="12"/>
  <c r="L28" i="12"/>
  <c r="J28" i="12"/>
  <c r="F145" i="12" s="1"/>
  <c r="H28" i="12"/>
  <c r="F97" i="12" s="1"/>
  <c r="F28" i="12"/>
  <c r="L18" i="12"/>
  <c r="J18" i="12"/>
  <c r="F141" i="12" s="1"/>
  <c r="F139" i="12" s="1"/>
  <c r="H18" i="12"/>
  <c r="F89" i="12" s="1"/>
  <c r="F18" i="12"/>
  <c r="L15" i="12"/>
  <c r="J15" i="12"/>
  <c r="H15" i="12"/>
  <c r="F86" i="12" s="1"/>
  <c r="F15" i="12"/>
  <c r="L13" i="12"/>
  <c r="J13" i="12"/>
  <c r="J11" i="12" s="1"/>
  <c r="H13" i="12"/>
  <c r="F83" i="12" s="1"/>
  <c r="F13" i="12"/>
  <c r="F11" i="12" s="1"/>
  <c r="L11" i="12"/>
  <c r="G162" i="12" l="1"/>
  <c r="K162" i="12"/>
  <c r="P81" i="12"/>
  <c r="J81" i="12"/>
  <c r="N81" i="12"/>
  <c r="G139" i="12"/>
  <c r="H139" i="12"/>
  <c r="L139" i="12"/>
  <c r="H81" i="12"/>
  <c r="I162" i="12"/>
  <c r="M162" i="12"/>
  <c r="H162" i="12"/>
  <c r="L162" i="12"/>
  <c r="K81" i="12"/>
  <c r="O81" i="12"/>
  <c r="G89" i="12"/>
  <c r="I81" i="12"/>
  <c r="M81" i="12"/>
  <c r="G97" i="12"/>
  <c r="G109" i="12"/>
  <c r="H11" i="12"/>
  <c r="E11" i="12" s="1"/>
  <c r="I11" i="12" s="1"/>
  <c r="F81" i="12"/>
  <c r="G81" i="12" l="1"/>
  <c r="M11" i="12"/>
  <c r="G11" i="12"/>
  <c r="K11" i="12"/>
  <c r="G135" i="5" l="1"/>
  <c r="G134" i="5"/>
  <c r="G133" i="5"/>
  <c r="G132" i="5"/>
  <c r="G131" i="5"/>
  <c r="G130" i="5"/>
  <c r="G129" i="5"/>
  <c r="G128" i="5"/>
  <c r="G124" i="4"/>
  <c r="G123" i="4"/>
  <c r="G122" i="4"/>
  <c r="G121" i="4"/>
  <c r="G120" i="4"/>
  <c r="G119" i="4"/>
  <c r="G118" i="4"/>
  <c r="G117" i="4"/>
  <c r="G116" i="4"/>
  <c r="G115" i="4"/>
  <c r="G114" i="4"/>
  <c r="G113" i="4"/>
  <c r="G94" i="4"/>
  <c r="G93" i="4"/>
  <c r="G92" i="4"/>
  <c r="G91" i="4"/>
  <c r="G95" i="4"/>
  <c r="G90" i="4"/>
  <c r="G98" i="4"/>
  <c r="G105" i="4"/>
  <c r="G104" i="4"/>
  <c r="G103" i="4"/>
  <c r="G102" i="4"/>
  <c r="G101" i="4"/>
  <c r="G100" i="4"/>
  <c r="G99" i="4"/>
  <c r="L70" i="8" l="1"/>
  <c r="J70" i="8"/>
  <c r="H70" i="8"/>
  <c r="F70" i="8"/>
  <c r="L45" i="8"/>
  <c r="J45" i="8"/>
  <c r="H45" i="8"/>
  <c r="F45" i="8"/>
  <c r="L40" i="8"/>
  <c r="J40" i="8"/>
  <c r="H40" i="8"/>
  <c r="F40" i="8"/>
  <c r="L28" i="8"/>
  <c r="J28" i="8"/>
  <c r="H28" i="8"/>
  <c r="F28" i="8"/>
  <c r="L18" i="8"/>
  <c r="J18" i="8"/>
  <c r="H18" i="8"/>
  <c r="F18" i="8"/>
  <c r="L15" i="8"/>
  <c r="J15" i="8"/>
  <c r="H15" i="8"/>
  <c r="F15" i="8"/>
  <c r="L13" i="8"/>
  <c r="L11" i="8" s="1"/>
  <c r="J13" i="8"/>
  <c r="H13" i="8"/>
  <c r="H11" i="8" s="1"/>
  <c r="F13" i="8"/>
  <c r="F11" i="8" s="1"/>
  <c r="L70" i="3"/>
  <c r="J70" i="3"/>
  <c r="H70" i="3"/>
  <c r="F70" i="3"/>
  <c r="L45" i="3"/>
  <c r="J45" i="3"/>
  <c r="H45" i="3"/>
  <c r="F45" i="3"/>
  <c r="L40" i="3"/>
  <c r="J40" i="3"/>
  <c r="H40" i="3"/>
  <c r="F40" i="3"/>
  <c r="L28" i="3"/>
  <c r="J28" i="3"/>
  <c r="H28" i="3"/>
  <c r="F28" i="3"/>
  <c r="L18" i="3"/>
  <c r="J18" i="3"/>
  <c r="H18" i="3"/>
  <c r="F18" i="3"/>
  <c r="L15" i="3"/>
  <c r="J15" i="3"/>
  <c r="H15" i="3"/>
  <c r="F15" i="3"/>
  <c r="L13" i="3"/>
  <c r="J13" i="3"/>
  <c r="H13" i="3"/>
  <c r="F13" i="3"/>
  <c r="F11" i="3" s="1"/>
  <c r="H11" i="3"/>
  <c r="J11" i="8" l="1"/>
  <c r="E11" i="8" s="1"/>
  <c r="I11" i="8" s="1"/>
  <c r="J11" i="3"/>
  <c r="E11" i="3" s="1"/>
  <c r="K11" i="3" s="1"/>
  <c r="L11" i="3"/>
  <c r="G131" i="11"/>
  <c r="G130" i="11"/>
  <c r="I129" i="11"/>
  <c r="H129" i="11"/>
  <c r="G129" i="11"/>
  <c r="G127" i="11"/>
  <c r="I126" i="11"/>
  <c r="I124" i="11" s="1"/>
  <c r="H126" i="11"/>
  <c r="G126" i="11"/>
  <c r="G124" i="11" s="1"/>
  <c r="G115" i="11"/>
  <c r="G114" i="11" s="1"/>
  <c r="L114" i="11"/>
  <c r="K114" i="11"/>
  <c r="J114" i="11"/>
  <c r="I114" i="11"/>
  <c r="H114" i="11"/>
  <c r="G112" i="11"/>
  <c r="G111" i="11"/>
  <c r="G110" i="11"/>
  <c r="G109" i="11"/>
  <c r="G108" i="11"/>
  <c r="G107" i="11"/>
  <c r="G106" i="11"/>
  <c r="G105" i="11"/>
  <c r="L104" i="11"/>
  <c r="K104" i="11"/>
  <c r="J104" i="11"/>
  <c r="I104" i="11"/>
  <c r="H104" i="11"/>
  <c r="G102" i="11"/>
  <c r="G101" i="11"/>
  <c r="G100" i="11" s="1"/>
  <c r="L100" i="11"/>
  <c r="K100" i="11"/>
  <c r="J100" i="11"/>
  <c r="I100" i="11"/>
  <c r="H100" i="11"/>
  <c r="G98" i="11"/>
  <c r="G97" i="11"/>
  <c r="G96" i="11"/>
  <c r="G95" i="11"/>
  <c r="L94" i="11"/>
  <c r="K94" i="11"/>
  <c r="J94" i="11"/>
  <c r="I94" i="11"/>
  <c r="H94" i="11"/>
  <c r="G92" i="11"/>
  <c r="G91" i="11"/>
  <c r="G90" i="11" s="1"/>
  <c r="L90" i="11"/>
  <c r="K90" i="11"/>
  <c r="J90" i="11"/>
  <c r="I90" i="11"/>
  <c r="H90" i="11"/>
  <c r="G88" i="11"/>
  <c r="G87" i="11"/>
  <c r="L86" i="11"/>
  <c r="K86" i="11"/>
  <c r="J86" i="11"/>
  <c r="I86" i="11"/>
  <c r="H86" i="11"/>
  <c r="G84" i="11"/>
  <c r="G83" i="11" s="1"/>
  <c r="L83" i="11"/>
  <c r="K83" i="11"/>
  <c r="J83" i="11"/>
  <c r="I83" i="11"/>
  <c r="H83" i="11"/>
  <c r="L70" i="11"/>
  <c r="J70" i="11"/>
  <c r="H70" i="11"/>
  <c r="F114" i="11" s="1"/>
  <c r="F70" i="11"/>
  <c r="L45" i="11"/>
  <c r="J45" i="11"/>
  <c r="H45" i="11"/>
  <c r="F104" i="11" s="1"/>
  <c r="F45" i="11"/>
  <c r="L40" i="11"/>
  <c r="J40" i="11"/>
  <c r="H40" i="11"/>
  <c r="F100" i="11" s="1"/>
  <c r="F40" i="11"/>
  <c r="L28" i="11"/>
  <c r="J28" i="11"/>
  <c r="F129" i="11" s="1"/>
  <c r="H28" i="11"/>
  <c r="F94" i="11" s="1"/>
  <c r="F28" i="11"/>
  <c r="L18" i="11"/>
  <c r="J18" i="11"/>
  <c r="F126" i="11" s="1"/>
  <c r="F124" i="11" s="1"/>
  <c r="H18" i="11"/>
  <c r="F90" i="11" s="1"/>
  <c r="F18" i="11"/>
  <c r="L15" i="11"/>
  <c r="J15" i="11"/>
  <c r="H15" i="11"/>
  <c r="F86" i="11" s="1"/>
  <c r="F15" i="11"/>
  <c r="L13" i="11"/>
  <c r="L11" i="11" s="1"/>
  <c r="J13" i="11"/>
  <c r="J11" i="11" s="1"/>
  <c r="H13" i="11"/>
  <c r="F83" i="11" s="1"/>
  <c r="F13" i="11"/>
  <c r="F11" i="11" s="1"/>
  <c r="G86" i="10"/>
  <c r="G97" i="10"/>
  <c r="G96" i="10"/>
  <c r="G95" i="10"/>
  <c r="G94" i="10"/>
  <c r="I93" i="10"/>
  <c r="H93" i="10"/>
  <c r="G91" i="10"/>
  <c r="G90" i="10"/>
  <c r="G89" i="10"/>
  <c r="I88" i="10"/>
  <c r="H88" i="10"/>
  <c r="G85" i="10"/>
  <c r="G84" i="10"/>
  <c r="I83" i="10"/>
  <c r="H83" i="10"/>
  <c r="J70" i="10"/>
  <c r="H70" i="10"/>
  <c r="F70" i="10"/>
  <c r="J45" i="10"/>
  <c r="H45" i="10"/>
  <c r="F93" i="10" s="1"/>
  <c r="F45" i="10"/>
  <c r="J40" i="10"/>
  <c r="H40" i="10"/>
  <c r="F40" i="10"/>
  <c r="J28" i="10"/>
  <c r="H28" i="10"/>
  <c r="F88" i="10" s="1"/>
  <c r="F28" i="10"/>
  <c r="J18" i="10"/>
  <c r="H18" i="10"/>
  <c r="F83" i="10" s="1"/>
  <c r="F18" i="10"/>
  <c r="J15" i="10"/>
  <c r="H15" i="10"/>
  <c r="F15" i="10"/>
  <c r="J13" i="10"/>
  <c r="H13" i="10"/>
  <c r="F13" i="10"/>
  <c r="Q101" i="9"/>
  <c r="Q94" i="9"/>
  <c r="Q85" i="9"/>
  <c r="Q82" i="9"/>
  <c r="R101" i="9"/>
  <c r="R94" i="9"/>
  <c r="R85" i="9"/>
  <c r="R82" i="9"/>
  <c r="P101" i="9"/>
  <c r="P94" i="9"/>
  <c r="P85" i="9"/>
  <c r="P82" i="9"/>
  <c r="G123" i="9"/>
  <c r="G122" i="9" s="1"/>
  <c r="G120" i="9" s="1"/>
  <c r="I122" i="9"/>
  <c r="I120" i="9" s="1"/>
  <c r="H122" i="9"/>
  <c r="H120" i="9" s="1"/>
  <c r="G111" i="9"/>
  <c r="G110" i="9"/>
  <c r="G109" i="9"/>
  <c r="G108" i="9"/>
  <c r="G107" i="9"/>
  <c r="G106" i="9"/>
  <c r="G105" i="9"/>
  <c r="G104" i="9"/>
  <c r="G103" i="9"/>
  <c r="G102" i="9"/>
  <c r="T101" i="9"/>
  <c r="S101" i="9"/>
  <c r="O101" i="9"/>
  <c r="N101" i="9"/>
  <c r="M101" i="9"/>
  <c r="L101" i="9"/>
  <c r="K101" i="9"/>
  <c r="J101" i="9"/>
  <c r="I101" i="9"/>
  <c r="H101" i="9"/>
  <c r="G99" i="9"/>
  <c r="G98" i="9"/>
  <c r="G97" i="9"/>
  <c r="G96" i="9"/>
  <c r="G95" i="9"/>
  <c r="T94" i="9"/>
  <c r="S94" i="9"/>
  <c r="O94" i="9"/>
  <c r="N94" i="9"/>
  <c r="M94" i="9"/>
  <c r="L94" i="9"/>
  <c r="K94" i="9"/>
  <c r="J94" i="9"/>
  <c r="I94" i="9"/>
  <c r="H94" i="9"/>
  <c r="G92" i="9"/>
  <c r="G91" i="9"/>
  <c r="G90" i="9"/>
  <c r="G89" i="9"/>
  <c r="G88" i="9"/>
  <c r="G87" i="9"/>
  <c r="G86" i="9"/>
  <c r="T85" i="9"/>
  <c r="S85" i="9"/>
  <c r="O85" i="9"/>
  <c r="N85" i="9"/>
  <c r="M85" i="9"/>
  <c r="L85" i="9"/>
  <c r="K85" i="9"/>
  <c r="J85" i="9"/>
  <c r="I85" i="9"/>
  <c r="H85" i="9"/>
  <c r="G83" i="9"/>
  <c r="G82" i="9" s="1"/>
  <c r="T82" i="9"/>
  <c r="S82" i="9"/>
  <c r="O82" i="9"/>
  <c r="N82" i="9"/>
  <c r="M82" i="9"/>
  <c r="L82" i="9"/>
  <c r="K82" i="9"/>
  <c r="J82" i="9"/>
  <c r="I82" i="9"/>
  <c r="H82" i="9"/>
  <c r="L70" i="9"/>
  <c r="J70" i="9"/>
  <c r="H70" i="9"/>
  <c r="F70" i="9"/>
  <c r="L45" i="9"/>
  <c r="J45" i="9"/>
  <c r="H45" i="9"/>
  <c r="F101" i="9" s="1"/>
  <c r="F45" i="9"/>
  <c r="L40" i="9"/>
  <c r="J40" i="9"/>
  <c r="F122" i="9" s="1"/>
  <c r="F120" i="9" s="1"/>
  <c r="H40" i="9"/>
  <c r="F40" i="9"/>
  <c r="L28" i="9"/>
  <c r="J28" i="9"/>
  <c r="H28" i="9"/>
  <c r="F94" i="9" s="1"/>
  <c r="F28" i="9"/>
  <c r="L18" i="9"/>
  <c r="J18" i="9"/>
  <c r="H18" i="9"/>
  <c r="F85" i="9" s="1"/>
  <c r="F18" i="9"/>
  <c r="L15" i="9"/>
  <c r="J15" i="9"/>
  <c r="H15" i="9"/>
  <c r="F15" i="9"/>
  <c r="L13" i="9"/>
  <c r="J13" i="9"/>
  <c r="H13" i="9"/>
  <c r="F82" i="9" s="1"/>
  <c r="F13" i="9"/>
  <c r="L11" i="9"/>
  <c r="J11" i="9"/>
  <c r="H11" i="9"/>
  <c r="F11" i="9"/>
  <c r="G106" i="1"/>
  <c r="G105" i="1"/>
  <c r="G104" i="1"/>
  <c r="G103" i="1"/>
  <c r="G102" i="1"/>
  <c r="G101" i="1"/>
  <c r="G100" i="1"/>
  <c r="G99" i="1"/>
  <c r="G98" i="1"/>
  <c r="G97" i="1"/>
  <c r="K96" i="1"/>
  <c r="J96" i="1"/>
  <c r="I96" i="1"/>
  <c r="H96" i="1"/>
  <c r="G94" i="1"/>
  <c r="G93" i="1"/>
  <c r="G92" i="1"/>
  <c r="G91" i="1"/>
  <c r="K90" i="1"/>
  <c r="J90" i="1"/>
  <c r="I90" i="1"/>
  <c r="H90" i="1"/>
  <c r="G88" i="1"/>
  <c r="G87" i="1"/>
  <c r="G86" i="1"/>
  <c r="K85" i="1"/>
  <c r="J85" i="1"/>
  <c r="I85" i="1"/>
  <c r="H85" i="1"/>
  <c r="G83" i="1"/>
  <c r="G82" i="1" s="1"/>
  <c r="K82" i="1"/>
  <c r="J82" i="1"/>
  <c r="I82" i="1"/>
  <c r="H82" i="1"/>
  <c r="L70" i="1"/>
  <c r="J70" i="1"/>
  <c r="H70" i="1"/>
  <c r="F70" i="1"/>
  <c r="L45" i="1"/>
  <c r="J45" i="1"/>
  <c r="H45" i="1"/>
  <c r="F96" i="1" s="1"/>
  <c r="F45" i="1"/>
  <c r="L40" i="1"/>
  <c r="J40" i="1"/>
  <c r="H40" i="1"/>
  <c r="F40" i="1"/>
  <c r="L28" i="1"/>
  <c r="J28" i="1"/>
  <c r="H28" i="1"/>
  <c r="F90" i="1" s="1"/>
  <c r="F28" i="1"/>
  <c r="L18" i="1"/>
  <c r="J18" i="1"/>
  <c r="H18" i="1"/>
  <c r="F85" i="1" s="1"/>
  <c r="F18" i="1"/>
  <c r="L15" i="1"/>
  <c r="J15" i="1"/>
  <c r="H15" i="1"/>
  <c r="F15" i="1"/>
  <c r="L13" i="1"/>
  <c r="L11" i="1" s="1"/>
  <c r="J13" i="1"/>
  <c r="J11" i="1" s="1"/>
  <c r="H13" i="1"/>
  <c r="F13" i="1"/>
  <c r="F11" i="1" s="1"/>
  <c r="H124" i="11" l="1"/>
  <c r="F11" i="10"/>
  <c r="G11" i="8"/>
  <c r="M11" i="8"/>
  <c r="I11" i="3"/>
  <c r="G11" i="3"/>
  <c r="M11" i="3"/>
  <c r="F82" i="1"/>
  <c r="F80" i="1" s="1"/>
  <c r="H11" i="1"/>
  <c r="E11" i="1"/>
  <c r="G11" i="1" s="1"/>
  <c r="K11" i="8"/>
  <c r="P80" i="9"/>
  <c r="R80" i="9"/>
  <c r="Q80" i="9"/>
  <c r="F81" i="11"/>
  <c r="H11" i="11"/>
  <c r="K81" i="11"/>
  <c r="G86" i="11"/>
  <c r="G81" i="11" s="1"/>
  <c r="I81" i="11"/>
  <c r="L81" i="11"/>
  <c r="G104" i="11"/>
  <c r="G94" i="11"/>
  <c r="J81" i="11"/>
  <c r="H81" i="11"/>
  <c r="F81" i="10"/>
  <c r="I81" i="10"/>
  <c r="G93" i="10"/>
  <c r="H81" i="10"/>
  <c r="G83" i="10"/>
  <c r="G88" i="10"/>
  <c r="H11" i="10"/>
  <c r="J11" i="10"/>
  <c r="I80" i="9"/>
  <c r="S80" i="9"/>
  <c r="L80" i="9"/>
  <c r="H80" i="9"/>
  <c r="E11" i="9"/>
  <c r="I11" i="9" s="1"/>
  <c r="F80" i="9"/>
  <c r="O80" i="9"/>
  <c r="N80" i="9"/>
  <c r="G101" i="9"/>
  <c r="G94" i="9"/>
  <c r="J80" i="9"/>
  <c r="M80" i="9"/>
  <c r="T80" i="9"/>
  <c r="K80" i="9"/>
  <c r="G85" i="9"/>
  <c r="K80" i="1"/>
  <c r="I80" i="1"/>
  <c r="G96" i="1"/>
  <c r="G85" i="1"/>
  <c r="H80" i="1"/>
  <c r="G90" i="1"/>
  <c r="J80" i="1"/>
  <c r="E11" i="10" l="1"/>
  <c r="M11" i="9"/>
  <c r="I11" i="1"/>
  <c r="K11" i="1"/>
  <c r="M11" i="1"/>
  <c r="G81" i="10"/>
  <c r="G11" i="10"/>
  <c r="G80" i="9"/>
  <c r="K11" i="9"/>
  <c r="G11" i="9"/>
  <c r="G80" i="1"/>
  <c r="K11" i="10" l="1"/>
  <c r="I11" i="10"/>
  <c r="G152" i="4" l="1"/>
  <c r="G149" i="4"/>
  <c r="G148" i="4"/>
  <c r="G147" i="4"/>
  <c r="G146" i="4"/>
  <c r="G145" i="4"/>
  <c r="G142" i="4"/>
  <c r="G141" i="4"/>
  <c r="G138" i="4"/>
  <c r="G137" i="4"/>
  <c r="G136" i="4"/>
  <c r="M151" i="4"/>
  <c r="M144" i="4"/>
  <c r="M140" i="4"/>
  <c r="M135" i="4"/>
  <c r="N151" i="4"/>
  <c r="N144" i="4"/>
  <c r="N140" i="4"/>
  <c r="N135" i="4"/>
  <c r="P82" i="4"/>
  <c r="P85" i="4"/>
  <c r="P89" i="4"/>
  <c r="P97" i="4"/>
  <c r="P107" i="4"/>
  <c r="P112" i="4"/>
  <c r="O112" i="4"/>
  <c r="O107" i="4"/>
  <c r="O97" i="4"/>
  <c r="O89" i="4"/>
  <c r="O85" i="4"/>
  <c r="O82" i="4"/>
  <c r="Q112" i="4"/>
  <c r="Q107" i="4"/>
  <c r="Q97" i="4"/>
  <c r="Q89" i="4"/>
  <c r="Q85" i="4"/>
  <c r="Q82" i="4"/>
  <c r="M133" i="4" l="1"/>
  <c r="N133" i="4"/>
  <c r="P80" i="4"/>
  <c r="O80" i="4"/>
  <c r="Q80" i="4"/>
  <c r="T111" i="7"/>
  <c r="T108" i="7"/>
  <c r="T99" i="7"/>
  <c r="T89" i="7"/>
  <c r="T85" i="7"/>
  <c r="T82" i="7"/>
  <c r="R111" i="7"/>
  <c r="R108" i="7"/>
  <c r="R99" i="7"/>
  <c r="R89" i="7"/>
  <c r="R85" i="7"/>
  <c r="R82" i="7"/>
  <c r="K99" i="7"/>
  <c r="K89" i="7"/>
  <c r="K85" i="7"/>
  <c r="K82" i="7"/>
  <c r="M127" i="5"/>
  <c r="M124" i="5"/>
  <c r="M119" i="5"/>
  <c r="J151" i="4"/>
  <c r="J144" i="4"/>
  <c r="J140" i="4"/>
  <c r="J135" i="4"/>
  <c r="K112" i="4"/>
  <c r="K107" i="4"/>
  <c r="K97" i="4"/>
  <c r="K89" i="4"/>
  <c r="K85" i="4"/>
  <c r="K82" i="4"/>
  <c r="J82" i="4"/>
  <c r="J85" i="4"/>
  <c r="J89" i="4"/>
  <c r="J97" i="4"/>
  <c r="J107" i="4"/>
  <c r="J112" i="4"/>
  <c r="I112" i="4"/>
  <c r="I107" i="4"/>
  <c r="I97" i="4"/>
  <c r="I89" i="4"/>
  <c r="I85" i="4"/>
  <c r="I82" i="4"/>
  <c r="J123" i="3"/>
  <c r="J120" i="3"/>
  <c r="J117" i="3"/>
  <c r="J114" i="3"/>
  <c r="J111" i="3"/>
  <c r="K123" i="3"/>
  <c r="K120" i="3"/>
  <c r="K117" i="3"/>
  <c r="K114" i="3"/>
  <c r="K111" i="3"/>
  <c r="G128" i="3"/>
  <c r="G127" i="3"/>
  <c r="G126" i="3"/>
  <c r="G125" i="3"/>
  <c r="G124" i="3"/>
  <c r="I123" i="3"/>
  <c r="H123" i="3"/>
  <c r="G121" i="3"/>
  <c r="G120" i="3" s="1"/>
  <c r="I120" i="3"/>
  <c r="H120" i="3"/>
  <c r="G118" i="3"/>
  <c r="G117" i="3" s="1"/>
  <c r="I117" i="3"/>
  <c r="H117" i="3"/>
  <c r="G115" i="3"/>
  <c r="G114" i="3" s="1"/>
  <c r="I114" i="3"/>
  <c r="H114" i="3"/>
  <c r="G112" i="3"/>
  <c r="G111" i="3" s="1"/>
  <c r="I111" i="3"/>
  <c r="H111" i="3"/>
  <c r="K80" i="4" l="1"/>
  <c r="J80" i="4"/>
  <c r="J133" i="4"/>
  <c r="J109" i="3"/>
  <c r="K109" i="3"/>
  <c r="M117" i="5"/>
  <c r="R80" i="7"/>
  <c r="T80" i="7"/>
  <c r="I80" i="4"/>
  <c r="H109" i="3"/>
  <c r="I109" i="3"/>
  <c r="G123" i="3"/>
  <c r="G109" i="3" s="1"/>
  <c r="F142" i="3" l="1"/>
  <c r="F146" i="3"/>
  <c r="F157" i="3"/>
  <c r="F170" i="3"/>
  <c r="F176" i="3"/>
  <c r="G202" i="3"/>
  <c r="F202" i="3"/>
  <c r="G176" i="3"/>
  <c r="G170" i="3"/>
  <c r="G157" i="3"/>
  <c r="G146" i="3"/>
  <c r="G142" i="3"/>
  <c r="G139" i="3"/>
  <c r="F139" i="3"/>
  <c r="F123" i="3"/>
  <c r="F120" i="3"/>
  <c r="F117" i="3"/>
  <c r="F114" i="3"/>
  <c r="F111" i="3"/>
  <c r="F109" i="3" l="1"/>
  <c r="F137" i="3"/>
  <c r="G137" i="3"/>
  <c r="G137" i="8" l="1"/>
  <c r="G136" i="8"/>
  <c r="G135" i="8"/>
  <c r="G132" i="8"/>
  <c r="G129" i="8"/>
  <c r="G128" i="8"/>
  <c r="G125" i="8"/>
  <c r="N103" i="8"/>
  <c r="N100" i="8"/>
  <c r="N91" i="8"/>
  <c r="N85" i="8"/>
  <c r="N82" i="8"/>
  <c r="G92" i="8"/>
  <c r="M103" i="8"/>
  <c r="M100" i="8"/>
  <c r="M91" i="8"/>
  <c r="M85" i="8"/>
  <c r="M82" i="8"/>
  <c r="G113" i="8"/>
  <c r="G112" i="8"/>
  <c r="G111" i="8"/>
  <c r="G110" i="8"/>
  <c r="G109" i="8"/>
  <c r="G108" i="8"/>
  <c r="G107" i="8"/>
  <c r="G106" i="8"/>
  <c r="G105" i="8"/>
  <c r="G104" i="8"/>
  <c r="G101" i="8"/>
  <c r="G98" i="8"/>
  <c r="G97" i="8"/>
  <c r="G96" i="8"/>
  <c r="G95" i="8"/>
  <c r="G94" i="8"/>
  <c r="G93" i="8"/>
  <c r="G89" i="8"/>
  <c r="G88" i="8"/>
  <c r="G87" i="8"/>
  <c r="G86" i="8"/>
  <c r="G83" i="8"/>
  <c r="J103" i="8"/>
  <c r="J100" i="8"/>
  <c r="J91" i="8"/>
  <c r="J85" i="8"/>
  <c r="J82" i="8"/>
  <c r="P103" i="8"/>
  <c r="O103" i="8"/>
  <c r="P100" i="8"/>
  <c r="O100" i="8"/>
  <c r="P91" i="8"/>
  <c r="O91" i="8"/>
  <c r="P85" i="8"/>
  <c r="O85" i="8"/>
  <c r="P82" i="8"/>
  <c r="O82" i="8"/>
  <c r="P80" i="8" l="1"/>
  <c r="O80" i="8"/>
  <c r="N80" i="8"/>
  <c r="M80" i="8"/>
  <c r="J80" i="8"/>
  <c r="H82" i="8" l="1"/>
  <c r="L82" i="8"/>
  <c r="I82" i="8"/>
  <c r="K82" i="8"/>
  <c r="G82" i="8"/>
  <c r="O111" i="7"/>
  <c r="O108" i="7"/>
  <c r="O99" i="7"/>
  <c r="O89" i="7"/>
  <c r="O85" i="7"/>
  <c r="O82" i="7"/>
  <c r="K111" i="7"/>
  <c r="K108" i="7"/>
  <c r="S111" i="7"/>
  <c r="S108" i="7"/>
  <c r="S99" i="7"/>
  <c r="S89" i="7"/>
  <c r="S85" i="7"/>
  <c r="S82" i="7"/>
  <c r="O80" i="7" l="1"/>
  <c r="K80" i="7"/>
  <c r="S80" i="7"/>
  <c r="P111" i="7" l="1"/>
  <c r="P108" i="7"/>
  <c r="P99" i="7"/>
  <c r="P89" i="7"/>
  <c r="P85" i="7"/>
  <c r="P82" i="7"/>
  <c r="Q111" i="7"/>
  <c r="Q108" i="7"/>
  <c r="Q99" i="7"/>
  <c r="Q89" i="7"/>
  <c r="Q85" i="7"/>
  <c r="Q82" i="7"/>
  <c r="N111" i="7"/>
  <c r="N108" i="7"/>
  <c r="N99" i="7"/>
  <c r="N89" i="7"/>
  <c r="N85" i="7"/>
  <c r="N82" i="7"/>
  <c r="N80" i="7" l="1"/>
  <c r="Q80" i="7"/>
  <c r="P80" i="7"/>
  <c r="N69" i="6"/>
  <c r="N71" i="6"/>
  <c r="N68" i="6"/>
  <c r="N67" i="6"/>
  <c r="N66" i="6"/>
  <c r="N65" i="6"/>
  <c r="N64" i="6"/>
  <c r="N63" i="6"/>
  <c r="N62" i="6"/>
  <c r="N61" i="6"/>
  <c r="N60" i="6"/>
  <c r="N59" i="6"/>
  <c r="N58" i="6"/>
  <c r="N57" i="6"/>
  <c r="N56" i="6"/>
  <c r="N55" i="6"/>
  <c r="N54" i="6"/>
  <c r="N53" i="6"/>
  <c r="N52" i="6"/>
  <c r="N51" i="6"/>
  <c r="N50" i="6"/>
  <c r="N49" i="6"/>
  <c r="N48" i="6"/>
  <c r="N47" i="6"/>
  <c r="N44" i="6"/>
  <c r="N43" i="6"/>
  <c r="N42" i="6"/>
  <c r="N41" i="6"/>
  <c r="N39" i="6"/>
  <c r="N38" i="6"/>
  <c r="N37" i="6"/>
  <c r="N36" i="6"/>
  <c r="N35" i="6"/>
  <c r="N34" i="6"/>
  <c r="N33" i="6"/>
  <c r="N32" i="6"/>
  <c r="N31" i="6"/>
  <c r="N30" i="6"/>
  <c r="N29" i="6"/>
  <c r="N27" i="6"/>
  <c r="N26" i="6"/>
  <c r="N25" i="6"/>
  <c r="N24" i="6"/>
  <c r="N23" i="6"/>
  <c r="N22" i="6"/>
  <c r="N21" i="6"/>
  <c r="N20" i="6"/>
  <c r="N19" i="6"/>
  <c r="N17" i="6"/>
  <c r="N16" i="6"/>
  <c r="N14" i="6"/>
  <c r="N46" i="6"/>
  <c r="N14" i="5"/>
  <c r="O108" i="6" l="1"/>
  <c r="O105" i="6"/>
  <c r="O94" i="6"/>
  <c r="O85" i="6"/>
  <c r="O82" i="6"/>
  <c r="P108" i="6"/>
  <c r="P105" i="6"/>
  <c r="P94" i="6"/>
  <c r="P85" i="6"/>
  <c r="P82" i="6"/>
  <c r="Y108" i="6"/>
  <c r="Y105" i="6"/>
  <c r="Y94" i="6"/>
  <c r="Y85" i="6"/>
  <c r="Y82" i="6"/>
  <c r="R108" i="6"/>
  <c r="R105" i="6"/>
  <c r="R94" i="6"/>
  <c r="R85" i="6"/>
  <c r="R82" i="6"/>
  <c r="L108" i="6"/>
  <c r="L105" i="6"/>
  <c r="L94" i="6"/>
  <c r="L85" i="6"/>
  <c r="L82" i="6"/>
  <c r="Q108" i="6"/>
  <c r="Q105" i="6"/>
  <c r="Q94" i="6"/>
  <c r="Q85" i="6"/>
  <c r="Q82" i="6"/>
  <c r="S108" i="6"/>
  <c r="S105" i="6"/>
  <c r="S94" i="6"/>
  <c r="S85" i="6"/>
  <c r="S82" i="6"/>
  <c r="G87" i="6"/>
  <c r="W108" i="6"/>
  <c r="W105" i="6"/>
  <c r="W94" i="6"/>
  <c r="W85" i="6"/>
  <c r="W82" i="6"/>
  <c r="K108" i="6"/>
  <c r="K105" i="6"/>
  <c r="K94" i="6"/>
  <c r="K85" i="6"/>
  <c r="K82" i="6"/>
  <c r="M108" i="6"/>
  <c r="M105" i="6"/>
  <c r="M94" i="6"/>
  <c r="M85" i="6"/>
  <c r="M82" i="6"/>
  <c r="K127" i="5"/>
  <c r="K124" i="5"/>
  <c r="K119" i="5"/>
  <c r="N119" i="5"/>
  <c r="N124" i="5"/>
  <c r="N127" i="5"/>
  <c r="F70" i="5"/>
  <c r="H90" i="3"/>
  <c r="J85" i="3"/>
  <c r="I85" i="3"/>
  <c r="H85" i="3"/>
  <c r="G86" i="3"/>
  <c r="K80" i="6" l="1"/>
  <c r="R80" i="6"/>
  <c r="S80" i="6"/>
  <c r="Y80" i="6"/>
  <c r="O80" i="6"/>
  <c r="M80" i="6"/>
  <c r="W80" i="6"/>
  <c r="Q80" i="6"/>
  <c r="L80" i="6"/>
  <c r="P80" i="6"/>
  <c r="K117" i="5"/>
  <c r="N117" i="5"/>
  <c r="T94" i="6"/>
  <c r="V94" i="6"/>
  <c r="U94" i="6"/>
  <c r="X94" i="6"/>
  <c r="N94" i="6"/>
  <c r="I94" i="6"/>
  <c r="H94" i="6"/>
  <c r="J94" i="6"/>
  <c r="G95" i="6"/>
  <c r="G91" i="6"/>
  <c r="M112" i="4" l="1"/>
  <c r="M107" i="4"/>
  <c r="M97" i="4"/>
  <c r="M89" i="4"/>
  <c r="M85" i="4"/>
  <c r="M82" i="4"/>
  <c r="G87" i="3"/>
  <c r="G110" i="4"/>
  <c r="G109" i="4"/>
  <c r="G87" i="4"/>
  <c r="L97" i="4"/>
  <c r="H97" i="4"/>
  <c r="N97" i="4"/>
  <c r="M80" i="4" l="1"/>
  <c r="G97" i="4"/>
  <c r="L151" i="4" l="1"/>
  <c r="L144" i="4"/>
  <c r="L140" i="4"/>
  <c r="L135" i="4"/>
  <c r="N112" i="4"/>
  <c r="N107" i="4"/>
  <c r="G108" i="4" s="1"/>
  <c r="N89" i="4"/>
  <c r="N85" i="4"/>
  <c r="G86" i="4" s="1"/>
  <c r="N82" i="4"/>
  <c r="G83" i="4" s="1"/>
  <c r="I151" i="4"/>
  <c r="I144" i="4"/>
  <c r="I140" i="4"/>
  <c r="I135" i="4"/>
  <c r="J82" i="3"/>
  <c r="J90" i="3"/>
  <c r="J96" i="3"/>
  <c r="J99" i="3"/>
  <c r="G83" i="3"/>
  <c r="G82" i="3" s="1"/>
  <c r="I82" i="3"/>
  <c r="H82" i="3"/>
  <c r="J80" i="3" l="1"/>
  <c r="I133" i="4"/>
  <c r="L133" i="4"/>
  <c r="N80" i="4"/>
  <c r="I90" i="3" l="1"/>
  <c r="G91" i="3"/>
  <c r="G100" i="3"/>
  <c r="G99" i="3" s="1"/>
  <c r="I99" i="3"/>
  <c r="H99" i="3"/>
  <c r="G97" i="3"/>
  <c r="I96" i="3"/>
  <c r="H96" i="3"/>
  <c r="G94" i="3"/>
  <c r="G93" i="3"/>
  <c r="G92" i="3"/>
  <c r="G88" i="3"/>
  <c r="G85" i="3" s="1"/>
  <c r="H80" i="3" l="1"/>
  <c r="I80" i="3"/>
  <c r="G90" i="3"/>
  <c r="G96" i="3"/>
  <c r="G80" i="3" l="1"/>
  <c r="G151" i="4"/>
  <c r="K151" i="4"/>
  <c r="H151" i="4"/>
  <c r="K144" i="4"/>
  <c r="H144" i="4"/>
  <c r="K140" i="4"/>
  <c r="H140" i="4"/>
  <c r="K135" i="4"/>
  <c r="H135" i="4"/>
  <c r="H112" i="4"/>
  <c r="L112" i="4"/>
  <c r="H107" i="4"/>
  <c r="L107" i="4"/>
  <c r="H89" i="4"/>
  <c r="L89" i="4"/>
  <c r="H85" i="4"/>
  <c r="L85" i="4"/>
  <c r="G82" i="4"/>
  <c r="H82" i="4"/>
  <c r="L82" i="4"/>
  <c r="N71" i="4"/>
  <c r="L70" i="4"/>
  <c r="J70" i="4"/>
  <c r="F151" i="4" s="1"/>
  <c r="H70" i="4"/>
  <c r="F70" i="4"/>
  <c r="N69" i="4"/>
  <c r="N68" i="4"/>
  <c r="N67" i="4"/>
  <c r="N66" i="4"/>
  <c r="N65" i="4"/>
  <c r="N64" i="4"/>
  <c r="N63" i="4"/>
  <c r="N62" i="4"/>
  <c r="N61" i="4"/>
  <c r="N60" i="4"/>
  <c r="N59" i="4"/>
  <c r="N58" i="4"/>
  <c r="N57" i="4"/>
  <c r="N56" i="4"/>
  <c r="N55" i="4"/>
  <c r="N54" i="4"/>
  <c r="N53" i="4"/>
  <c r="N52" i="4"/>
  <c r="N51" i="4"/>
  <c r="N50" i="4"/>
  <c r="N49" i="4"/>
  <c r="N48" i="4"/>
  <c r="N47" i="4"/>
  <c r="N46" i="4"/>
  <c r="L45" i="4"/>
  <c r="J45" i="4"/>
  <c r="F144" i="4" s="1"/>
  <c r="H45" i="4"/>
  <c r="F112" i="4" s="1"/>
  <c r="F45" i="4"/>
  <c r="N44" i="4"/>
  <c r="N43" i="4"/>
  <c r="N42" i="4"/>
  <c r="N41" i="4"/>
  <c r="L40" i="4"/>
  <c r="J40" i="4"/>
  <c r="H40" i="4"/>
  <c r="F107" i="4" s="1"/>
  <c r="F40" i="4"/>
  <c r="N39" i="4"/>
  <c r="N38" i="4"/>
  <c r="N37" i="4"/>
  <c r="N36" i="4"/>
  <c r="N35" i="4"/>
  <c r="N34" i="4"/>
  <c r="N33" i="4"/>
  <c r="N32" i="4"/>
  <c r="N31" i="4"/>
  <c r="N30" i="4"/>
  <c r="N29" i="4"/>
  <c r="L28" i="4"/>
  <c r="J28" i="4"/>
  <c r="F140" i="4" s="1"/>
  <c r="H28" i="4"/>
  <c r="F97" i="4" s="1"/>
  <c r="F28" i="4"/>
  <c r="N27" i="4"/>
  <c r="N26" i="4"/>
  <c r="N25" i="4"/>
  <c r="N24" i="4"/>
  <c r="N23" i="4"/>
  <c r="N22" i="4"/>
  <c r="N21" i="4"/>
  <c r="N20" i="4"/>
  <c r="N19" i="4"/>
  <c r="L18" i="4"/>
  <c r="J18" i="4"/>
  <c r="H18" i="4"/>
  <c r="F18" i="4"/>
  <c r="N17" i="4"/>
  <c r="N16" i="4"/>
  <c r="L15" i="4"/>
  <c r="J15" i="4"/>
  <c r="H15" i="4"/>
  <c r="F85" i="4" s="1"/>
  <c r="F15" i="4"/>
  <c r="N14" i="4"/>
  <c r="L13" i="4"/>
  <c r="J13" i="4"/>
  <c r="H13" i="4"/>
  <c r="F82" i="4" s="1"/>
  <c r="F13" i="4"/>
  <c r="J127" i="5"/>
  <c r="L127" i="5"/>
  <c r="I127" i="5"/>
  <c r="H127" i="5"/>
  <c r="G125" i="5"/>
  <c r="J124" i="5"/>
  <c r="L124" i="5"/>
  <c r="I124" i="5"/>
  <c r="H124" i="5"/>
  <c r="G122" i="5"/>
  <c r="G121" i="5"/>
  <c r="G120" i="5"/>
  <c r="J119" i="5"/>
  <c r="L119" i="5"/>
  <c r="I119" i="5"/>
  <c r="H119" i="5"/>
  <c r="G108" i="5"/>
  <c r="G107" i="5" s="1"/>
  <c r="K107" i="5"/>
  <c r="J107" i="5"/>
  <c r="I107" i="5"/>
  <c r="H107" i="5"/>
  <c r="G105" i="5"/>
  <c r="G104" i="5"/>
  <c r="K103" i="5"/>
  <c r="J103" i="5"/>
  <c r="I103" i="5"/>
  <c r="H103" i="5"/>
  <c r="G101" i="5"/>
  <c r="K100" i="5"/>
  <c r="J100" i="5"/>
  <c r="I100" i="5"/>
  <c r="H100" i="5"/>
  <c r="G98" i="5"/>
  <c r="G97" i="5"/>
  <c r="G96" i="5"/>
  <c r="G95" i="5"/>
  <c r="K94" i="5"/>
  <c r="J94" i="5"/>
  <c r="I94" i="5"/>
  <c r="H94" i="5"/>
  <c r="G92" i="5"/>
  <c r="G91" i="5"/>
  <c r="K90" i="5"/>
  <c r="J90" i="5"/>
  <c r="I90" i="5"/>
  <c r="H90" i="5"/>
  <c r="G88" i="5"/>
  <c r="G87" i="5"/>
  <c r="K86" i="5"/>
  <c r="J86" i="5"/>
  <c r="I86" i="5"/>
  <c r="H86" i="5"/>
  <c r="G84" i="5"/>
  <c r="G83" i="5" s="1"/>
  <c r="K83" i="5"/>
  <c r="J83" i="5"/>
  <c r="I83" i="5"/>
  <c r="H83" i="5"/>
  <c r="N71" i="5"/>
  <c r="L70" i="5"/>
  <c r="J70" i="5"/>
  <c r="H70" i="5"/>
  <c r="F107" i="5" s="1"/>
  <c r="N69" i="5"/>
  <c r="N68" i="5"/>
  <c r="N67" i="5"/>
  <c r="N66" i="5"/>
  <c r="N65" i="5"/>
  <c r="N64" i="5"/>
  <c r="N63" i="5"/>
  <c r="N62" i="5"/>
  <c r="N61" i="5"/>
  <c r="N60" i="5"/>
  <c r="N59" i="5"/>
  <c r="N58" i="5"/>
  <c r="N57" i="5"/>
  <c r="N56" i="5"/>
  <c r="N55" i="5"/>
  <c r="N54" i="5"/>
  <c r="N53" i="5"/>
  <c r="N52" i="5"/>
  <c r="N51" i="5"/>
  <c r="N50" i="5"/>
  <c r="N49" i="5"/>
  <c r="N48" i="5"/>
  <c r="N47" i="5"/>
  <c r="N46" i="5"/>
  <c r="L45" i="5"/>
  <c r="J45" i="5"/>
  <c r="F127" i="5" s="1"/>
  <c r="H45" i="5"/>
  <c r="F103" i="5" s="1"/>
  <c r="F45" i="5"/>
  <c r="N44" i="5"/>
  <c r="N43" i="5"/>
  <c r="N42" i="5"/>
  <c r="N41" i="5"/>
  <c r="L40" i="5"/>
  <c r="J40" i="5"/>
  <c r="H40" i="5"/>
  <c r="F100" i="5" s="1"/>
  <c r="F40" i="5"/>
  <c r="N39" i="5"/>
  <c r="N38" i="5"/>
  <c r="N37" i="5"/>
  <c r="N36" i="5"/>
  <c r="N35" i="5"/>
  <c r="N34" i="5"/>
  <c r="N33" i="5"/>
  <c r="N32" i="5"/>
  <c r="N31" i="5"/>
  <c r="N30" i="5"/>
  <c r="N29" i="5"/>
  <c r="L28" i="5"/>
  <c r="J28" i="5"/>
  <c r="F124" i="5" s="1"/>
  <c r="H28" i="5"/>
  <c r="F94" i="5" s="1"/>
  <c r="F28" i="5"/>
  <c r="N27" i="5"/>
  <c r="N26" i="5"/>
  <c r="N25" i="5"/>
  <c r="N24" i="5"/>
  <c r="N23" i="5"/>
  <c r="N22" i="5"/>
  <c r="N21" i="5"/>
  <c r="N20" i="5"/>
  <c r="N19" i="5"/>
  <c r="L18" i="5"/>
  <c r="J18" i="5"/>
  <c r="F119" i="5" s="1"/>
  <c r="H18" i="5"/>
  <c r="F90" i="5" s="1"/>
  <c r="F18" i="5"/>
  <c r="N17" i="5"/>
  <c r="N16" i="5"/>
  <c r="L15" i="5"/>
  <c r="J15" i="5"/>
  <c r="H15" i="5"/>
  <c r="F86" i="5" s="1"/>
  <c r="F15" i="5"/>
  <c r="L13" i="5"/>
  <c r="J13" i="5"/>
  <c r="H13" i="5"/>
  <c r="F13" i="5"/>
  <c r="G137" i="6"/>
  <c r="I136" i="6"/>
  <c r="H136" i="6"/>
  <c r="G134" i="6"/>
  <c r="I133" i="6"/>
  <c r="H133" i="6"/>
  <c r="G122" i="6"/>
  <c r="G121" i="6"/>
  <c r="G120" i="6"/>
  <c r="G119" i="6"/>
  <c r="G118" i="6"/>
  <c r="G117" i="6"/>
  <c r="G116" i="6"/>
  <c r="G115" i="6"/>
  <c r="G114" i="6"/>
  <c r="G113" i="6"/>
  <c r="G112" i="6"/>
  <c r="G111" i="6"/>
  <c r="G110" i="6"/>
  <c r="G109" i="6"/>
  <c r="T108" i="6"/>
  <c r="V108" i="6"/>
  <c r="U108" i="6"/>
  <c r="X108" i="6"/>
  <c r="N108" i="6"/>
  <c r="I108" i="6"/>
  <c r="H108" i="6"/>
  <c r="J108" i="6"/>
  <c r="G106" i="6"/>
  <c r="T105" i="6"/>
  <c r="V105" i="6"/>
  <c r="U105" i="6"/>
  <c r="X105" i="6"/>
  <c r="N105" i="6"/>
  <c r="I105" i="6"/>
  <c r="H105" i="6"/>
  <c r="J105" i="6"/>
  <c r="G103" i="6"/>
  <c r="G102" i="6"/>
  <c r="G101" i="6"/>
  <c r="G100" i="6"/>
  <c r="G99" i="6"/>
  <c r="G98" i="6"/>
  <c r="G97" i="6"/>
  <c r="G96" i="6"/>
  <c r="G92" i="6"/>
  <c r="G90" i="6"/>
  <c r="G89" i="6"/>
  <c r="G88" i="6"/>
  <c r="G86" i="6"/>
  <c r="T85" i="6"/>
  <c r="V85" i="6"/>
  <c r="U85" i="6"/>
  <c r="X85" i="6"/>
  <c r="N85" i="6"/>
  <c r="I85" i="6"/>
  <c r="H85" i="6"/>
  <c r="J85" i="6"/>
  <c r="G83" i="6"/>
  <c r="T82" i="6"/>
  <c r="V82" i="6"/>
  <c r="U82" i="6"/>
  <c r="X82" i="6"/>
  <c r="N82" i="6"/>
  <c r="I82" i="6"/>
  <c r="H82" i="6"/>
  <c r="J82" i="6"/>
  <c r="L70" i="6"/>
  <c r="J70" i="6"/>
  <c r="H70" i="6"/>
  <c r="F70" i="6"/>
  <c r="L45" i="6"/>
  <c r="J45" i="6"/>
  <c r="F136" i="6" s="1"/>
  <c r="H45" i="6"/>
  <c r="F108" i="6" s="1"/>
  <c r="F45" i="6"/>
  <c r="L40" i="6"/>
  <c r="J40" i="6"/>
  <c r="F133" i="6" s="1"/>
  <c r="H40" i="6"/>
  <c r="F105" i="6" s="1"/>
  <c r="F40" i="6"/>
  <c r="L28" i="6"/>
  <c r="J28" i="6"/>
  <c r="H28" i="6"/>
  <c r="F94" i="6" s="1"/>
  <c r="F28" i="6"/>
  <c r="L18" i="6"/>
  <c r="J18" i="6"/>
  <c r="H18" i="6"/>
  <c r="F85" i="6" s="1"/>
  <c r="F18" i="6"/>
  <c r="L15" i="6"/>
  <c r="J15" i="6"/>
  <c r="H15" i="6"/>
  <c r="F82" i="6" s="1"/>
  <c r="F15" i="6"/>
  <c r="L13" i="6"/>
  <c r="J13" i="6"/>
  <c r="H13" i="6"/>
  <c r="F13" i="6"/>
  <c r="G137" i="7"/>
  <c r="H136" i="7"/>
  <c r="H134" i="7" s="1"/>
  <c r="G125" i="7"/>
  <c r="G124" i="7"/>
  <c r="G123" i="7"/>
  <c r="G122" i="7"/>
  <c r="G121" i="7"/>
  <c r="G120" i="7"/>
  <c r="G119" i="7"/>
  <c r="G118" i="7"/>
  <c r="G117" i="7"/>
  <c r="G116" i="7"/>
  <c r="G115" i="7"/>
  <c r="G114" i="7"/>
  <c r="G113" i="7"/>
  <c r="G112" i="7"/>
  <c r="U111" i="7"/>
  <c r="I111" i="7"/>
  <c r="M111" i="7"/>
  <c r="L111" i="7"/>
  <c r="J111" i="7"/>
  <c r="H111" i="7"/>
  <c r="G109" i="7"/>
  <c r="G108" i="7" s="1"/>
  <c r="U108" i="7"/>
  <c r="I108" i="7"/>
  <c r="M108" i="7"/>
  <c r="L108" i="7"/>
  <c r="J108" i="7"/>
  <c r="H108" i="7"/>
  <c r="G106" i="7"/>
  <c r="G105" i="7"/>
  <c r="G104" i="7"/>
  <c r="G103" i="7"/>
  <c r="G102" i="7"/>
  <c r="G101" i="7"/>
  <c r="G100" i="7"/>
  <c r="U99" i="7"/>
  <c r="I99" i="7"/>
  <c r="M99" i="7"/>
  <c r="L99" i="7"/>
  <c r="J99" i="7"/>
  <c r="H99" i="7"/>
  <c r="G97" i="7"/>
  <c r="G96" i="7"/>
  <c r="G95" i="7"/>
  <c r="G94" i="7"/>
  <c r="G93" i="7"/>
  <c r="G92" i="7"/>
  <c r="G91" i="7"/>
  <c r="G90" i="7"/>
  <c r="U89" i="7"/>
  <c r="I89" i="7"/>
  <c r="M89" i="7"/>
  <c r="L89" i="7"/>
  <c r="J89" i="7"/>
  <c r="H89" i="7"/>
  <c r="G87" i="7"/>
  <c r="G86" i="7"/>
  <c r="U85" i="7"/>
  <c r="I85" i="7"/>
  <c r="M85" i="7"/>
  <c r="L85" i="7"/>
  <c r="J85" i="7"/>
  <c r="H85" i="7"/>
  <c r="G83" i="7"/>
  <c r="G82" i="7" s="1"/>
  <c r="U82" i="7"/>
  <c r="I82" i="7"/>
  <c r="M82" i="7"/>
  <c r="L82" i="7"/>
  <c r="J82" i="7"/>
  <c r="H82" i="7"/>
  <c r="N71" i="7"/>
  <c r="L70" i="7"/>
  <c r="J70" i="7"/>
  <c r="H70" i="7"/>
  <c r="F70" i="7"/>
  <c r="N69" i="7"/>
  <c r="N68" i="7"/>
  <c r="N67" i="7"/>
  <c r="N66" i="7"/>
  <c r="N65" i="7"/>
  <c r="N64" i="7"/>
  <c r="N63" i="7"/>
  <c r="N62" i="7"/>
  <c r="N61" i="7"/>
  <c r="N60" i="7"/>
  <c r="N59" i="7"/>
  <c r="N58" i="7"/>
  <c r="N57" i="7"/>
  <c r="N56" i="7"/>
  <c r="N55" i="7"/>
  <c r="N54" i="7"/>
  <c r="N53" i="7"/>
  <c r="N52" i="7"/>
  <c r="N51" i="7"/>
  <c r="N50" i="7"/>
  <c r="N49" i="7"/>
  <c r="N48" i="7"/>
  <c r="N47" i="7"/>
  <c r="N46" i="7"/>
  <c r="L45" i="7"/>
  <c r="J45" i="7"/>
  <c r="H45" i="7"/>
  <c r="F111" i="7" s="1"/>
  <c r="F45" i="7"/>
  <c r="N44" i="7"/>
  <c r="N43" i="7"/>
  <c r="N42" i="7"/>
  <c r="N41" i="7"/>
  <c r="L40" i="7"/>
  <c r="J40" i="7"/>
  <c r="F136" i="7" s="1"/>
  <c r="F134" i="7" s="1"/>
  <c r="H40" i="7"/>
  <c r="F108" i="7" s="1"/>
  <c r="F40" i="7"/>
  <c r="N39" i="7"/>
  <c r="N38" i="7"/>
  <c r="N37" i="7"/>
  <c r="N36" i="7"/>
  <c r="N35" i="7"/>
  <c r="N34" i="7"/>
  <c r="N33" i="7"/>
  <c r="N32" i="7"/>
  <c r="N31" i="7"/>
  <c r="N30" i="7"/>
  <c r="N29" i="7"/>
  <c r="L28" i="7"/>
  <c r="J28" i="7"/>
  <c r="H28" i="7"/>
  <c r="F99" i="7" s="1"/>
  <c r="F28" i="7"/>
  <c r="N27" i="7"/>
  <c r="N26" i="7"/>
  <c r="N25" i="7"/>
  <c r="N24" i="7"/>
  <c r="N23" i="7"/>
  <c r="N22" i="7"/>
  <c r="N21" i="7"/>
  <c r="N20" i="7"/>
  <c r="N19" i="7"/>
  <c r="L18" i="7"/>
  <c r="J18" i="7"/>
  <c r="H18" i="7"/>
  <c r="F89" i="7" s="1"/>
  <c r="F18" i="7"/>
  <c r="N17" i="7"/>
  <c r="N16" i="7"/>
  <c r="L15" i="7"/>
  <c r="J15" i="7"/>
  <c r="H15" i="7"/>
  <c r="F85" i="7" s="1"/>
  <c r="F15" i="7"/>
  <c r="N14" i="7"/>
  <c r="L13" i="7"/>
  <c r="J13" i="7"/>
  <c r="H13" i="7"/>
  <c r="F13" i="7"/>
  <c r="J134" i="8"/>
  <c r="K134" i="8"/>
  <c r="I134" i="8"/>
  <c r="H134" i="8"/>
  <c r="J131" i="8"/>
  <c r="K131" i="8"/>
  <c r="I131" i="8"/>
  <c r="H131" i="8"/>
  <c r="J127" i="8"/>
  <c r="K127" i="8"/>
  <c r="I127" i="8"/>
  <c r="H127" i="8"/>
  <c r="G124" i="8"/>
  <c r="J124" i="8"/>
  <c r="K124" i="8"/>
  <c r="I124" i="8"/>
  <c r="H124" i="8"/>
  <c r="K103" i="8"/>
  <c r="I103" i="8"/>
  <c r="L103" i="8"/>
  <c r="H103" i="8"/>
  <c r="K100" i="8"/>
  <c r="I100" i="8"/>
  <c r="L100" i="8"/>
  <c r="H100" i="8"/>
  <c r="K91" i="8"/>
  <c r="I91" i="8"/>
  <c r="L91" i="8"/>
  <c r="H91" i="8"/>
  <c r="K85" i="8"/>
  <c r="I85" i="8"/>
  <c r="L85" i="8"/>
  <c r="H85" i="8"/>
  <c r="N71" i="8"/>
  <c r="N69" i="8"/>
  <c r="N68" i="8"/>
  <c r="N67" i="8"/>
  <c r="N66" i="8"/>
  <c r="N65" i="8"/>
  <c r="N64" i="8"/>
  <c r="N63" i="8"/>
  <c r="N62" i="8"/>
  <c r="N61" i="8"/>
  <c r="N60" i="8"/>
  <c r="N59" i="8"/>
  <c r="N58" i="8"/>
  <c r="N57" i="8"/>
  <c r="N56" i="8"/>
  <c r="N55" i="8"/>
  <c r="N54" i="8"/>
  <c r="N53" i="8"/>
  <c r="N52" i="8"/>
  <c r="N51" i="8"/>
  <c r="N50" i="8"/>
  <c r="N49" i="8"/>
  <c r="N48" i="8"/>
  <c r="N47" i="8"/>
  <c r="N46" i="8"/>
  <c r="F134" i="8"/>
  <c r="F103" i="8"/>
  <c r="N44" i="8"/>
  <c r="N43" i="8"/>
  <c r="N42" i="8"/>
  <c r="N41" i="8"/>
  <c r="F131" i="8"/>
  <c r="F100" i="8"/>
  <c r="N39" i="8"/>
  <c r="N38" i="8"/>
  <c r="N37" i="8"/>
  <c r="N36" i="8"/>
  <c r="N35" i="8"/>
  <c r="N34" i="8"/>
  <c r="N33" i="8"/>
  <c r="N32" i="8"/>
  <c r="N31" i="8"/>
  <c r="N30" i="8"/>
  <c r="N29" i="8"/>
  <c r="F91" i="8"/>
  <c r="N27" i="8"/>
  <c r="N26" i="8"/>
  <c r="N25" i="8"/>
  <c r="N24" i="8"/>
  <c r="N23" i="8"/>
  <c r="N22" i="8"/>
  <c r="N21" i="8"/>
  <c r="N20" i="8"/>
  <c r="N19" i="8"/>
  <c r="F127" i="8"/>
  <c r="N17" i="8"/>
  <c r="N16" i="8"/>
  <c r="F124" i="8"/>
  <c r="N14" i="8"/>
  <c r="F82" i="8"/>
  <c r="F99" i="3"/>
  <c r="F96" i="3"/>
  <c r="F90" i="3"/>
  <c r="F85" i="3"/>
  <c r="F82" i="3"/>
  <c r="F80" i="3" l="1"/>
  <c r="I122" i="8"/>
  <c r="J122" i="8"/>
  <c r="I80" i="8"/>
  <c r="F122" i="8"/>
  <c r="K80" i="8"/>
  <c r="K122" i="8"/>
  <c r="H122" i="8"/>
  <c r="L80" i="8"/>
  <c r="H80" i="8"/>
  <c r="G131" i="8"/>
  <c r="G134" i="8"/>
  <c r="G85" i="8"/>
  <c r="G91" i="8"/>
  <c r="G103" i="8"/>
  <c r="G127" i="8"/>
  <c r="H80" i="7"/>
  <c r="L80" i="7"/>
  <c r="J80" i="7"/>
  <c r="M80" i="7"/>
  <c r="I80" i="7"/>
  <c r="U80" i="7"/>
  <c r="G136" i="7"/>
  <c r="G134" i="7" s="1"/>
  <c r="G85" i="7"/>
  <c r="G99" i="7"/>
  <c r="L11" i="7"/>
  <c r="G89" i="7"/>
  <c r="G111" i="7"/>
  <c r="H11" i="7"/>
  <c r="F82" i="7"/>
  <c r="F80" i="7" s="1"/>
  <c r="F131" i="6"/>
  <c r="H80" i="6"/>
  <c r="N80" i="6"/>
  <c r="F80" i="6"/>
  <c r="X80" i="6"/>
  <c r="F11" i="7"/>
  <c r="I80" i="6"/>
  <c r="U80" i="6"/>
  <c r="T80" i="6"/>
  <c r="J80" i="6"/>
  <c r="V80" i="6"/>
  <c r="H131" i="6"/>
  <c r="I131" i="6"/>
  <c r="G94" i="6"/>
  <c r="G136" i="6"/>
  <c r="G108" i="6"/>
  <c r="G133" i="6"/>
  <c r="G105" i="6"/>
  <c r="G82" i="6"/>
  <c r="G85" i="6"/>
  <c r="F11" i="6"/>
  <c r="L11" i="6"/>
  <c r="G127" i="5"/>
  <c r="J117" i="5"/>
  <c r="F117" i="5"/>
  <c r="H117" i="5"/>
  <c r="I117" i="5"/>
  <c r="L117" i="5"/>
  <c r="G90" i="5"/>
  <c r="G119" i="5"/>
  <c r="G94" i="5"/>
  <c r="G124" i="5"/>
  <c r="G103" i="5"/>
  <c r="G100" i="5"/>
  <c r="G86" i="5"/>
  <c r="H81" i="5"/>
  <c r="I81" i="5"/>
  <c r="K81" i="5"/>
  <c r="L11" i="5"/>
  <c r="F11" i="5"/>
  <c r="H133" i="4"/>
  <c r="K133" i="4"/>
  <c r="G140" i="4"/>
  <c r="L80" i="4"/>
  <c r="H80" i="4"/>
  <c r="G85" i="4"/>
  <c r="F11" i="4"/>
  <c r="G89" i="4"/>
  <c r="G144" i="4"/>
  <c r="J11" i="4"/>
  <c r="G107" i="4"/>
  <c r="G112" i="4"/>
  <c r="G135" i="4"/>
  <c r="H11" i="4"/>
  <c r="L11" i="4"/>
  <c r="F135" i="4"/>
  <c r="F133" i="4" s="1"/>
  <c r="H11" i="6"/>
  <c r="J11" i="6"/>
  <c r="F85" i="8"/>
  <c r="F80" i="8" s="1"/>
  <c r="J11" i="7"/>
  <c r="F83" i="5"/>
  <c r="F81" i="5" s="1"/>
  <c r="H11" i="5"/>
  <c r="J81" i="5"/>
  <c r="F89" i="4"/>
  <c r="F80" i="4" s="1"/>
  <c r="G100" i="8"/>
  <c r="J11" i="5"/>
  <c r="G122" i="8" l="1"/>
  <c r="G80" i="8"/>
  <c r="G80" i="7"/>
  <c r="E11" i="7"/>
  <c r="M11" i="7" s="1"/>
  <c r="G80" i="6"/>
  <c r="G131" i="6"/>
  <c r="E11" i="6"/>
  <c r="G11" i="6" s="1"/>
  <c r="E11" i="5"/>
  <c r="G11" i="5" s="1"/>
  <c r="G117" i="5"/>
  <c r="G81" i="5"/>
  <c r="G133" i="4"/>
  <c r="G80" i="4"/>
  <c r="E11" i="4"/>
  <c r="I11" i="4" s="1"/>
  <c r="I11" i="7" l="1"/>
  <c r="K11" i="7"/>
  <c r="G11" i="7"/>
  <c r="M11" i="6"/>
  <c r="K11" i="6"/>
  <c r="I11" i="6"/>
  <c r="I11" i="5"/>
  <c r="M11" i="5"/>
  <c r="K11" i="5"/>
  <c r="G11" i="4"/>
  <c r="K11" i="4"/>
  <c r="M11" i="4"/>
  <c r="E11" i="11" l="1"/>
  <c r="G11" i="11" s="1"/>
  <c r="M11" i="11" l="1"/>
  <c r="K11" i="11"/>
  <c r="I11" i="11"/>
</calcChain>
</file>

<file path=xl/sharedStrings.xml><?xml version="1.0" encoding="utf-8"?>
<sst xmlns="http://schemas.openxmlformats.org/spreadsheetml/2006/main" count="1741" uniqueCount="420">
  <si>
    <t>Excel Summary 1B</t>
  </si>
  <si>
    <t>Has ED-4400 been appropriately clarified and modernized to respond to the needs of stakeholders and address public interest issues?</t>
  </si>
  <si>
    <t>Excel Summary 2B</t>
  </si>
  <si>
    <t>Do the definition, requirement and application material on professional judgment in paragraphs 13(j), 18 and A14-A16 of ED-4400 appropriately reflect the role professional judgment plays in an AUP engagement?</t>
  </si>
  <si>
    <r>
      <t>ED</t>
    </r>
    <r>
      <rPr>
        <b/>
        <sz val="12"/>
        <color theme="1"/>
        <rFont val="Calibri"/>
        <family val="2"/>
      </rPr>
      <t>−</t>
    </r>
    <r>
      <rPr>
        <b/>
        <sz val="12"/>
        <color theme="1"/>
        <rFont val="Arial"/>
        <family val="2"/>
      </rPr>
      <t>4400: Analysis of Comments in Relation to Professional Judgment</t>
    </r>
  </si>
  <si>
    <t>Responses to question 1 of ED-4400 Explanatory Memorandum:</t>
  </si>
  <si>
    <t>Responses to question 2 of ED-4400 Explanatory Memorandum:</t>
  </si>
  <si>
    <t>Responses to question 3 of ED-4400 Explanatory Memorandum:</t>
  </si>
  <si>
    <t>Responses to question 4 of ED-4400 Explanatory Memorandum:</t>
  </si>
  <si>
    <t>Responses to question 5 of ED-4400 Explanatory Memorandum:</t>
  </si>
  <si>
    <t>Responses to question 6 of ED-4400 Explanatory Memorandum:</t>
  </si>
  <si>
    <t>Responses to question 7 of ED-4400 Explanatory Memorandum:</t>
  </si>
  <si>
    <t>Do you agree with not including a precondition for the practitioner to be independent when performing an AUP engagement (even though the practitioner is required to be objective)? If not, under what circumstances do you believe a precondition for the practitioner to be independent would be appropriate, and for which the IAASB would discuss the relevant independence considerations with the IESBA?</t>
  </si>
  <si>
    <t>What are your views on the disclosures about independence in the AUP report in the various scenarios described in the table in paragraph 22 of the Explanatory Memorandum, and the related requirements and application material in ED-4400? Do you believe that the practitioner should be required to make an independence determination when not required to be independent for an AUP engagement? If so, why and what disclosures might be appropriate in the AUP report in this circumstance.</t>
  </si>
  <si>
    <t>Do you agree with the term “findings” and the related definitions and application material in paragraphs 13(f) and A10-A11 of ED-4400?</t>
  </si>
  <si>
    <r>
      <t>ED</t>
    </r>
    <r>
      <rPr>
        <b/>
        <sz val="12"/>
        <color theme="1"/>
        <rFont val="Calibri"/>
        <family val="2"/>
      </rPr>
      <t>−</t>
    </r>
    <r>
      <rPr>
        <b/>
        <sz val="12"/>
        <color theme="1"/>
        <rFont val="Arial"/>
        <family val="2"/>
      </rPr>
      <t>4400: Analysis of Comments in Relation to Findings</t>
    </r>
  </si>
  <si>
    <t>Are the requirements and application material regarding engagement acceptance and continuance, as set out in paragraphs 20-21 and A20-A29 of ED-4400, appropriate?</t>
  </si>
  <si>
    <t>Do you agree with the proposed requirements and application material on the use of a practitioner’s expert in paragraphs 28 and A35-A36 of ED-4400, and references to the use of the expert in an AUP report in paragraphs 31 and A44 of ED-4400?</t>
  </si>
  <si>
    <r>
      <t>ED</t>
    </r>
    <r>
      <rPr>
        <b/>
        <sz val="12"/>
        <color theme="1"/>
        <rFont val="Calibri"/>
        <family val="2"/>
      </rPr>
      <t>−</t>
    </r>
    <r>
      <rPr>
        <b/>
        <sz val="12"/>
        <color theme="1"/>
        <rFont val="Arial"/>
        <family val="2"/>
      </rPr>
      <t>4400: Analysis of Comments in Relation to Practitioner's Expert</t>
    </r>
  </si>
  <si>
    <r>
      <t>ED</t>
    </r>
    <r>
      <rPr>
        <b/>
        <sz val="12"/>
        <color theme="1"/>
        <rFont val="Calibri"/>
        <family val="2"/>
      </rPr>
      <t>−</t>
    </r>
    <r>
      <rPr>
        <b/>
        <sz val="12"/>
        <color theme="1"/>
        <rFont val="Arial"/>
        <family val="2"/>
      </rPr>
      <t>4400: Analysis of Comments in Relation to Engagement Acceptance and Continuance</t>
    </r>
  </si>
  <si>
    <t>Responses to question 8 of ED-4400 Explanatory Memorandum:</t>
  </si>
  <si>
    <t>Responses to question 9 of ED-4400 Explanatory Memorandum:</t>
  </si>
  <si>
    <t>Responses to question 10(a) of ED-4400 Explanatory Memorandum:</t>
  </si>
  <si>
    <t>Responses to question 10(b) of ED-4400 Explanatory Memorandum:</t>
  </si>
  <si>
    <r>
      <t>ED</t>
    </r>
    <r>
      <rPr>
        <b/>
        <sz val="12"/>
        <color theme="1"/>
        <rFont val="Calibri"/>
        <family val="2"/>
      </rPr>
      <t>−</t>
    </r>
    <r>
      <rPr>
        <b/>
        <sz val="12"/>
        <color theme="1"/>
        <rFont val="Arial"/>
        <family val="2"/>
      </rPr>
      <t>4400: Analysis of Comments in Relation to Translations</t>
    </r>
  </si>
  <si>
    <r>
      <t>ED</t>
    </r>
    <r>
      <rPr>
        <b/>
        <sz val="12"/>
        <color theme="1"/>
        <rFont val="Calibri"/>
        <family val="2"/>
      </rPr>
      <t>−</t>
    </r>
    <r>
      <rPr>
        <b/>
        <sz val="12"/>
        <color theme="1"/>
        <rFont val="Arial"/>
        <family val="2"/>
      </rPr>
      <t>4400: Analysis of Comments in Relation to Effective Date</t>
    </r>
  </si>
  <si>
    <t>Translations—recognizing that many respondents may intend to translate the final ISRS for adoption in their own environments, the IAASB welcomes comment on potential translation issues respondents note in reviewing the ED-4400.</t>
  </si>
  <si>
    <t>Effective Date—Recognizing that ED-4400 is a substantive revision and given the need for national due process and translation, as applicable, the IAASB believes that an appropriate effective date for the standard would be for AUP engagements for which the terms of engagement are agreed approximately 18–24 months after the approval of the final ISRS. Earlier application would be permitted and encouraged. The IAASB welcomes comments on whether this would provide a sufficient period to support effective implementation of the ISRS. Respondents are also asked to comment on whether a shorter period between the approval of the final ISRS and the effective date is practicable.</t>
  </si>
  <si>
    <t>Do you support the content and structure of the proposed AUP report as set out in paragraphs 30-32 and A37-A44 and Appendix 2 of ED-4400? What do you believe should be added or changed, if anything?</t>
  </si>
  <si>
    <r>
      <t>ED</t>
    </r>
    <r>
      <rPr>
        <b/>
        <sz val="12"/>
        <color theme="1"/>
        <rFont val="Calibri"/>
        <family val="2"/>
      </rPr>
      <t>−</t>
    </r>
    <r>
      <rPr>
        <b/>
        <sz val="12"/>
        <color theme="1"/>
        <rFont val="Arial"/>
        <family val="2"/>
      </rPr>
      <t>4400: Analysis of Comments in Relation to Content and Structure of AUP Report</t>
    </r>
  </si>
  <si>
    <r>
      <t>ED</t>
    </r>
    <r>
      <rPr>
        <b/>
        <sz val="12"/>
        <color theme="1"/>
        <rFont val="Calibri"/>
        <family val="2"/>
      </rPr>
      <t>−</t>
    </r>
    <r>
      <rPr>
        <b/>
        <sz val="12"/>
        <color theme="1"/>
        <rFont val="Arial"/>
        <family val="2"/>
      </rPr>
      <t>4400: Analysis of Comments in Relation to Restriction on Use of AUP Report</t>
    </r>
  </si>
  <si>
    <t>Do you agree that the AUP report should not be required to be restricted to parties that have agreed to the procedures to be performed, and how paragraph A43 of ED-4400 addresses circumstances when the practitioner may consider it appropriate to restrict the AUP report?</t>
  </si>
  <si>
    <r>
      <t>ED</t>
    </r>
    <r>
      <rPr>
        <b/>
        <sz val="12"/>
        <color theme="1"/>
        <rFont val="Calibri"/>
        <family val="2"/>
      </rPr>
      <t>−</t>
    </r>
    <r>
      <rPr>
        <b/>
        <sz val="12"/>
        <color theme="1"/>
        <rFont val="Arial"/>
        <family val="2"/>
      </rPr>
      <t>4400: Analysis of Comments in Relation to Precondition for Independence</t>
    </r>
  </si>
  <si>
    <r>
      <t>ED</t>
    </r>
    <r>
      <rPr>
        <b/>
        <sz val="12"/>
        <color theme="1"/>
        <rFont val="Calibri"/>
        <family val="2"/>
      </rPr>
      <t>−</t>
    </r>
    <r>
      <rPr>
        <b/>
        <sz val="12"/>
        <color theme="1"/>
        <rFont val="Arial"/>
        <family val="2"/>
      </rPr>
      <t>4400: Analysis of Comments in Relation to Disclosures of Independence</t>
    </r>
  </si>
  <si>
    <t>Respondent group</t>
  </si>
  <si>
    <t>No specific response to question 2</t>
  </si>
  <si>
    <t xml:space="preserve">    Note: Table contain hidden rows</t>
  </si>
  <si>
    <t>Count</t>
  </si>
  <si>
    <t>%</t>
  </si>
  <si>
    <t>Totals</t>
  </si>
  <si>
    <t>Accounting Firms</t>
  </si>
  <si>
    <t xml:space="preserve"> - PwC</t>
  </si>
  <si>
    <t xml:space="preserve"> - IAAA</t>
  </si>
  <si>
    <t xml:space="preserve"> - IBR-IRE</t>
  </si>
  <si>
    <t xml:space="preserve"> - ICAEW</t>
  </si>
  <si>
    <t xml:space="preserve"> - ISCA</t>
  </si>
  <si>
    <t xml:space="preserve"> - SMPC</t>
  </si>
  <si>
    <t xml:space="preserve"> </t>
  </si>
  <si>
    <t>Respondents</t>
  </si>
  <si>
    <t>Number of respondents</t>
  </si>
  <si>
    <t>Number of suggestions / comments</t>
  </si>
  <si>
    <t>TOTALS</t>
  </si>
  <si>
    <t>Monitoring Group</t>
  </si>
  <si>
    <t xml:space="preserve">Abbreviations: </t>
  </si>
  <si>
    <t xml:space="preserve"> - EFAA</t>
  </si>
  <si>
    <t xml:space="preserve"> - WB</t>
  </si>
  <si>
    <t>Agreed to question 2</t>
  </si>
  <si>
    <t xml:space="preserve">Regulators and Oversight Authorities </t>
  </si>
  <si>
    <t xml:space="preserve"> - IRBA</t>
  </si>
  <si>
    <t xml:space="preserve"> - NASBA</t>
  </si>
  <si>
    <t xml:space="preserve">National Auditing Standard Setters </t>
  </si>
  <si>
    <t xml:space="preserve"> - AuAASB</t>
  </si>
  <si>
    <t xml:space="preserve"> - CAASB</t>
  </si>
  <si>
    <t xml:space="preserve"> - CNCC-CSOEC</t>
  </si>
  <si>
    <t xml:space="preserve"> - HKIPA</t>
  </si>
  <si>
    <t xml:space="preserve"> - IDW</t>
  </si>
  <si>
    <t xml:space="preserve"> - JICPA</t>
  </si>
  <si>
    <t xml:space="preserve"> - MAASB</t>
  </si>
  <si>
    <t xml:space="preserve"> - NBA</t>
  </si>
  <si>
    <t xml:space="preserve"> - NBAT</t>
  </si>
  <si>
    <t xml:space="preserve"> - BDO</t>
  </si>
  <si>
    <t xml:space="preserve"> - BT</t>
  </si>
  <si>
    <t xml:space="preserve"> - CHI</t>
  </si>
  <si>
    <t xml:space="preserve"> - DTTL</t>
  </si>
  <si>
    <t xml:space="preserve"> - EYG</t>
  </si>
  <si>
    <t xml:space="preserve"> - GTIL</t>
  </si>
  <si>
    <t xml:space="preserve"> - KS </t>
  </si>
  <si>
    <t xml:space="preserve"> - KPMG</t>
  </si>
  <si>
    <t xml:space="preserve"> - PKF</t>
  </si>
  <si>
    <t xml:space="preserve"> - RSM</t>
  </si>
  <si>
    <t xml:space="preserve">Public Sector Organizations </t>
  </si>
  <si>
    <t xml:space="preserve"> - AGC</t>
  </si>
  <si>
    <t xml:space="preserve"> - GAO</t>
  </si>
  <si>
    <t xml:space="preserve"> - NAOT</t>
  </si>
  <si>
    <t xml:space="preserve"> - PAS</t>
  </si>
  <si>
    <t xml:space="preserve">Member Bodies and Other Professional Organizations </t>
  </si>
  <si>
    <t xml:space="preserve"> - ACCA-CAANZ</t>
  </si>
  <si>
    <t xml:space="preserve"> - AE</t>
  </si>
  <si>
    <t xml:space="preserve"> - AICPA</t>
  </si>
  <si>
    <t xml:space="preserve"> - CAI</t>
  </si>
  <si>
    <t xml:space="preserve"> - CPAA</t>
  </si>
  <si>
    <t xml:space="preserve"> - FAPT</t>
  </si>
  <si>
    <t xml:space="preserve"> - FAR</t>
  </si>
  <si>
    <t xml:space="preserve"> - FSR</t>
  </si>
  <si>
    <t xml:space="preserve"> - IBRACON</t>
  </si>
  <si>
    <t xml:space="preserve"> - ICAN</t>
  </si>
  <si>
    <t xml:space="preserve"> - ICAP</t>
  </si>
  <si>
    <t xml:space="preserve"> - ICAS</t>
  </si>
  <si>
    <t xml:space="preserve"> - ICPAU</t>
  </si>
  <si>
    <t xml:space="preserve"> - KICPA</t>
  </si>
  <si>
    <t xml:space="preserve"> - MICPA</t>
  </si>
  <si>
    <t xml:space="preserve"> - NYSS</t>
  </si>
  <si>
    <t xml:space="preserve"> - SAICA</t>
  </si>
  <si>
    <t xml:space="preserve"> - WPK</t>
  </si>
  <si>
    <t xml:space="preserve">Individuals and Others </t>
  </si>
  <si>
    <t xml:space="preserve"> - TAS</t>
  </si>
  <si>
    <t>Agreed to question 2, subject to further considerations (A)</t>
  </si>
  <si>
    <t>(A) Analysis of those respondents who agreed to question 2, subject to further considerations</t>
  </si>
  <si>
    <t>01. WB</t>
  </si>
  <si>
    <t>02. IRBA</t>
  </si>
  <si>
    <t>03. NASBA</t>
  </si>
  <si>
    <t>04.  AuAASB</t>
  </si>
  <si>
    <t>05. CAASB</t>
  </si>
  <si>
    <t>06. CNCC-CSOEC</t>
  </si>
  <si>
    <t>07. HKIPA</t>
  </si>
  <si>
    <t>08. IDW</t>
  </si>
  <si>
    <t>09.  JICPA</t>
  </si>
  <si>
    <t>10. MAASB</t>
  </si>
  <si>
    <t>11. NBA</t>
  </si>
  <si>
    <t>12. NBAT</t>
  </si>
  <si>
    <t>13. BDO</t>
  </si>
  <si>
    <t>14. BT</t>
  </si>
  <si>
    <t>15. CHI</t>
  </si>
  <si>
    <t>16. DTTL</t>
  </si>
  <si>
    <t>17. EYG</t>
  </si>
  <si>
    <t>18. GTIL</t>
  </si>
  <si>
    <t xml:space="preserve">19. KS </t>
  </si>
  <si>
    <t>20. KPMG</t>
  </si>
  <si>
    <t>21. PKF</t>
  </si>
  <si>
    <t>22. PwC</t>
  </si>
  <si>
    <t>23. RSM</t>
  </si>
  <si>
    <t>24. AGC</t>
  </si>
  <si>
    <t>25. GAO</t>
  </si>
  <si>
    <t>26. NAOT</t>
  </si>
  <si>
    <t>27. PAS</t>
  </si>
  <si>
    <t>28. ACCA-CAANZ</t>
  </si>
  <si>
    <t>29. AE</t>
  </si>
  <si>
    <t>30. AICPA</t>
  </si>
  <si>
    <t>31. CAI</t>
  </si>
  <si>
    <t>32. CPAA</t>
  </si>
  <si>
    <t>33. EFAA</t>
  </si>
  <si>
    <t>34. FAPT</t>
  </si>
  <si>
    <t>35. FAR</t>
  </si>
  <si>
    <t>36. FSR</t>
  </si>
  <si>
    <t>37. IAAA</t>
  </si>
  <si>
    <t>38. IBRACON</t>
  </si>
  <si>
    <t>39. IBR-IRE</t>
  </si>
  <si>
    <t>40. ICAEW</t>
  </si>
  <si>
    <t>41. ICAN</t>
  </si>
  <si>
    <t>42. ICAP</t>
  </si>
  <si>
    <t>43. ICAS</t>
  </si>
  <si>
    <t>44. ICPAU</t>
  </si>
  <si>
    <t>45. SMPC</t>
  </si>
  <si>
    <t>46. ISCA</t>
  </si>
  <si>
    <t>47. KICPA</t>
  </si>
  <si>
    <t>48. MICPA</t>
  </si>
  <si>
    <t>49. NYSS</t>
  </si>
  <si>
    <t>50. SAICA</t>
  </si>
  <si>
    <t>51. WPK</t>
  </si>
  <si>
    <t>52. TAS</t>
  </si>
  <si>
    <t>Further Considerations</t>
  </si>
  <si>
    <r>
      <t>PJ</t>
    </r>
    <r>
      <rPr>
        <sz val="10"/>
        <color theme="1"/>
        <rFont val="Arial"/>
        <family val="2"/>
      </rPr>
      <t xml:space="preserve">: Professional Judgment </t>
    </r>
  </si>
  <si>
    <t>Do not agree to question 2 (B)</t>
  </si>
  <si>
    <t>(B) Analysis of those respondents who do not agree to question 2</t>
  </si>
  <si>
    <t xml:space="preserve">Reasons for no support </t>
  </si>
  <si>
    <t>(*1) Last sentence of A16</t>
  </si>
  <si>
    <t>The more a procedure requires professional judgment, the more the practitioner may need to consider whether the condition that the agreed-upon procedures and findings can be described objectively, in terms that are clear, not misleading, and not subject to varying interpretations is present.</t>
  </si>
  <si>
    <r>
      <rPr>
        <b/>
        <sz val="11"/>
        <color theme="1"/>
        <rFont val="Calibri"/>
        <family val="2"/>
        <scheme val="minor"/>
      </rPr>
      <t>NOCLAR</t>
    </r>
    <r>
      <rPr>
        <sz val="11"/>
        <color theme="1"/>
        <rFont val="Calibri"/>
        <family val="2"/>
        <scheme val="minor"/>
      </rPr>
      <t>: Non-compliance with laws and regulations</t>
    </r>
  </si>
  <si>
    <t>07. HKICPA</t>
  </si>
  <si>
    <t xml:space="preserve"> - HKICPA</t>
  </si>
  <si>
    <t>Include professional skepticism in the definition of PJ or in the standard</t>
  </si>
  <si>
    <t>Add the definition of a "responsible" party or clarify the term</t>
  </si>
  <si>
    <t>Agreed to question 1</t>
  </si>
  <si>
    <t>Agreed to question 1, subject to further considerations (A)</t>
  </si>
  <si>
    <t>(A) Analysis of those respondents who agreed to question 1, subject to further considerations</t>
  </si>
  <si>
    <t>Agreed to question 1, subject to further considerations</t>
  </si>
  <si>
    <t>No specific response to question 1</t>
  </si>
  <si>
    <t>Excel Summary 3B</t>
  </si>
  <si>
    <t>Excel Summary 4B</t>
  </si>
  <si>
    <t>Excel Summary 5B</t>
  </si>
  <si>
    <t>Excel Summary 6B</t>
  </si>
  <si>
    <t>Excel Summary 7B</t>
  </si>
  <si>
    <t>Excel Summary 8B</t>
  </si>
  <si>
    <t>Excel Summary 9B</t>
  </si>
  <si>
    <t>Agreed to question 3</t>
  </si>
  <si>
    <t>Do not agree to question 3 (B)</t>
  </si>
  <si>
    <t>No specific response to question 3</t>
  </si>
  <si>
    <t>(B) Analysis of those respondents who do not agree to question 3</t>
  </si>
  <si>
    <t>Agreed to question 4</t>
  </si>
  <si>
    <t>Agreed to question 4, subject to further considerations (A)</t>
  </si>
  <si>
    <t>Do not agree to question 4 (B)</t>
  </si>
  <si>
    <t>Agreed to question 4, subject to further considerations</t>
  </si>
  <si>
    <t>(A) Analysis of those respondents who agreed to question 4, subject to further considerations</t>
  </si>
  <si>
    <t>(B) Analysis of those respondents who do not agree to question 4</t>
  </si>
  <si>
    <t>Agreed to question 5</t>
  </si>
  <si>
    <t>Agreed to question 5, subject to further considerations (A)</t>
  </si>
  <si>
    <t>Do not agree to question 5 (B)</t>
  </si>
  <si>
    <t>No specific response to question 5</t>
  </si>
  <si>
    <t>Agreed to question 5, subject to further considerations</t>
  </si>
  <si>
    <t>(A) Analysis of those respondents who agreed to question 5, subject to further considerations</t>
  </si>
  <si>
    <t>(B) Analysis of those respondents who do not agree to question 5</t>
  </si>
  <si>
    <t>Agreed to question 6</t>
  </si>
  <si>
    <t>Agreed to question 6, subject to further considerations (A)</t>
  </si>
  <si>
    <t>Do not agree to question 6 (B)</t>
  </si>
  <si>
    <t>(B) Analysis of those respondents who do not agree to question 6</t>
  </si>
  <si>
    <t>Agreed to question 7</t>
  </si>
  <si>
    <t>Agreed to question 7, subject to further considerations (A)</t>
  </si>
  <si>
    <t>Do not agree to question 7 (B)</t>
  </si>
  <si>
    <t>No specific response to question 7</t>
  </si>
  <si>
    <t>No specific response to question 6</t>
  </si>
  <si>
    <t>(A) Analysis of those respondents who agreed to question 6, subject to further considerations</t>
  </si>
  <si>
    <t>Agreed to question 6, subject to further considerations</t>
  </si>
  <si>
    <t>Agreed to question 7, subject to further considerations</t>
  </si>
  <si>
    <t>(A) Analysis of those respondents who agreed to question 7, subject to further considerations</t>
  </si>
  <si>
    <t>(B) Analysis of those respondents who do not agree to question 7</t>
  </si>
  <si>
    <t>Agreed to question 8</t>
  </si>
  <si>
    <t>Agreed to question 8, subject to further considerations (A)</t>
  </si>
  <si>
    <t>Do not agree to question 8 (B)</t>
  </si>
  <si>
    <t>No specific response to question 8</t>
  </si>
  <si>
    <t>Agreed to question 8, subject to further considerations</t>
  </si>
  <si>
    <t>(A) Analysis of those respondents who agreed to question 8, subject to further considerations</t>
  </si>
  <si>
    <t>(B) Analysis of those respondents who do not agree to question 8</t>
  </si>
  <si>
    <t>Agreed to question 9</t>
  </si>
  <si>
    <t>Agreed to question 9, subject to further considerations (A)</t>
  </si>
  <si>
    <t>Do not agree to question 9 (B)</t>
  </si>
  <si>
    <t>No specific response to question 9</t>
  </si>
  <si>
    <t>(A) Analysis of those respondents who agreed to question 9, subject to further considerations</t>
  </si>
  <si>
    <t>Agreed to question 9, subject to further considerations</t>
  </si>
  <si>
    <t>(B) Analysis of those respondents who do not agree to question 9</t>
  </si>
  <si>
    <t>Do not agree to question 10(b) (B)</t>
  </si>
  <si>
    <t>No specific response to question 10(b)</t>
  </si>
  <si>
    <t>(B) Analysis of those respondents who do not agree to question 10(b)</t>
  </si>
  <si>
    <t>Agreed to question 3 with suggestions</t>
  </si>
  <si>
    <t>(A) Analysis of those respondents who agreed to question 3 with suggestions or subject to further considerations</t>
  </si>
  <si>
    <t>Emphasize the need for objectivity when the practitioner is not independent</t>
  </si>
  <si>
    <t>Suggestions or Further Considerations</t>
  </si>
  <si>
    <r>
      <t>EM</t>
    </r>
    <r>
      <rPr>
        <sz val="10"/>
        <color theme="1"/>
        <rFont val="Arial"/>
        <family val="2"/>
      </rPr>
      <t>: Explanatory memorandum</t>
    </r>
  </si>
  <si>
    <t>Include in the application material / appendix to the standard</t>
  </si>
  <si>
    <t>When a practitioner is not required to be independent</t>
  </si>
  <si>
    <t>Revise Para.30(f) and (g) to reflect the table</t>
  </si>
  <si>
    <t>If "findings" are used in the standard</t>
  </si>
  <si>
    <t>Place an additional requirement to clarify the meaning of the term "findings" in engagement letter and AUP report</t>
  </si>
  <si>
    <t xml:space="preserve">Prefer "factual findings" </t>
  </si>
  <si>
    <t>Not consistent with the use of the term "findings" in other IAASB standards</t>
  </si>
  <si>
    <t>"factual findings" fit for purpose
("factual" is key part of the definition)</t>
  </si>
  <si>
    <t>Definition in the dictionary and common usage of the term "findings" is not limited to factual</t>
  </si>
  <si>
    <t>Change in term can be perceived as a change in substance
(Especially when engaging parties and the users do not read the definition in the standard)</t>
  </si>
  <si>
    <t>Definition is too restrictive as it excludes PJ or interpretation</t>
  </si>
  <si>
    <t>Para. A23</t>
  </si>
  <si>
    <t>"factual findings" avoids the need to define</t>
  </si>
  <si>
    <t>Additional requirement, guidance or example</t>
  </si>
  <si>
    <t>Guidance on differentiating factors between AUP and assurance</t>
  </si>
  <si>
    <t>Para. 21</t>
  </si>
  <si>
    <t>Para. 20</t>
  </si>
  <si>
    <t>Para. 22</t>
  </si>
  <si>
    <t>Expand para.20, 21 and related application material to align with ISAE 3000 (Revised)</t>
  </si>
  <si>
    <t>Expand to include a precondition to consider the rational purpose of the engagement</t>
  </si>
  <si>
    <t>Requirement for practitioner's competence and capability</t>
  </si>
  <si>
    <t>Clarify whether the engagement letter should be revised when procedures are revised multiple times</t>
  </si>
  <si>
    <t>Place para. 21 prior to para. 20 to enhance the logical flow</t>
  </si>
  <si>
    <t>Include an independence assessment when a practitioner is required to be independent</t>
  </si>
  <si>
    <t>Include additional terms in A23</t>
  </si>
  <si>
    <t>Guidance on clarifying the position on “material” (A23)</t>
  </si>
  <si>
    <t>Consider using the work of a practitioner's expert in A&amp;C process</t>
  </si>
  <si>
    <t>Additional acceptance condition when accepting AUP involving non-financial subject matter</t>
  </si>
  <si>
    <t>More guidance on what to avoid when agreeing procedures</t>
  </si>
  <si>
    <t>Clarify further or enhance the example in A28 to reflect likely situations</t>
  </si>
  <si>
    <t xml:space="preserve">Further enhance for situations where a practitioner should not accept AUP engagement </t>
  </si>
  <si>
    <t>Examples where the term "confirm" can be used as one of acceptable procedures as the term can be misinterpreted to imply assurance (A22)</t>
  </si>
  <si>
    <t xml:space="preserve">Refine or expand examples </t>
  </si>
  <si>
    <t>Cleary state that the expert's role is to assist the practitioner.</t>
  </si>
  <si>
    <t>No reference to the expert in AUP report unless required by law or regulations</t>
  </si>
  <si>
    <t>&lt;Para. 28(b)&gt;
Further guidance on practitioner's involvement in the work of expert</t>
  </si>
  <si>
    <t>Risk of unintended reliance on AUP report</t>
  </si>
  <si>
    <t>Modify to clarify that the practitioner always has the option to restrict the distribution or use of the AUP report</t>
  </si>
  <si>
    <t>Mention confidentiality of information in the standard.</t>
  </si>
  <si>
    <t>No reason to change extant ISRS 4400</t>
  </si>
  <si>
    <t>Guidance or examples on identifying circumstances when it is appropriate or not appropriate to restrict the use of AUP report</t>
  </si>
  <si>
    <t>Para. A22</t>
  </si>
  <si>
    <t>Para. A28</t>
  </si>
  <si>
    <t>Reporting</t>
  </si>
  <si>
    <t>Limited or no PJ</t>
  </si>
  <si>
    <t>(C) Analysis of Comments on Professional Judgment by Engagement Stages</t>
  </si>
  <si>
    <t>PJ is exercised</t>
  </si>
  <si>
    <t>Unclear as to whether PJ is exercised</t>
  </si>
  <si>
    <t>Engagement acceptance and continuance</t>
  </si>
  <si>
    <t>Performing procedures</t>
  </si>
  <si>
    <t>Other</t>
  </si>
  <si>
    <t>PJ in context of Fraud and NOCLAR</t>
  </si>
  <si>
    <t>Suggested changes to para. A16</t>
  </si>
  <si>
    <t>Other clarifications on extent to which PJ is exercised</t>
  </si>
  <si>
    <t xml:space="preserve">Note: </t>
  </si>
  <si>
    <t>Exercise of PJ by engagement stages (* 2)</t>
  </si>
  <si>
    <t>(*2) ED-4400 did not pose questions on the exercise of professional judgments by engagement stages.  Staff sorted the respondents' positions based on concerns raised or changes suggested</t>
  </si>
  <si>
    <t>in their responses to Q2.</t>
  </si>
  <si>
    <t>Elevating application material to requirement</t>
  </si>
  <si>
    <t>Suggested changes to the requirement [para. 18]</t>
  </si>
  <si>
    <t>Consult with IESBA on Independence</t>
  </si>
  <si>
    <t>Add requirements or explain PJ in context of Fraud &amp; NOCLAR</t>
  </si>
  <si>
    <t>Clarification of PJ in context of an AUP engagement</t>
  </si>
  <si>
    <t>Changes to the requirement [para. 18]</t>
  </si>
  <si>
    <t>Changes to para.A16</t>
  </si>
  <si>
    <t>(C) Analysis of Comments on Determination of Independence</t>
  </si>
  <si>
    <t>Determination of independence (*1)</t>
  </si>
  <si>
    <t>Required</t>
  </si>
  <si>
    <t>Not required</t>
  </si>
  <si>
    <t>The practitioner’s independence enhances the value of AUP to the users</t>
  </si>
  <si>
    <t>To reduce the risk for expectations gap
(Public perception that practitioners must be always independent)</t>
  </si>
  <si>
    <t>Some jurisdictions require independence for AUP engagements</t>
  </si>
  <si>
    <t>Additional disclosures - practitioner did not assess independence</t>
  </si>
  <si>
    <t>Additional disclosures -  criteria for determining independence</t>
  </si>
  <si>
    <t>Work with IESBA to clarify the criteria/framework used to assess independence</t>
  </si>
  <si>
    <t>When practitioner is not required to be independent</t>
  </si>
  <si>
    <t>When practitioner is independent</t>
  </si>
  <si>
    <t>No disclosure that the practitioner is not independent</t>
  </si>
  <si>
    <t>No disclosure</t>
  </si>
  <si>
    <t>Include Table in EM in the standard or non-authoritatitve guidance</t>
  </si>
  <si>
    <t>Additional disclosure -basis of appropriateness of performing AUP</t>
  </si>
  <si>
    <t>Clarify the definition of a practitioner's expert</t>
  </si>
  <si>
    <t>Considerations for using an internal vs. an external expert</t>
  </si>
  <si>
    <t>Clarify that the practitioner agrees scope of work with the expert</t>
  </si>
  <si>
    <t>Highlight the expert's work and related findings should be objective (i.e., does not require PJ)</t>
  </si>
  <si>
    <t>Consider use of the expert at engagement acceptance stage</t>
  </si>
  <si>
    <t>Agree with the Engaging Party the use of an expert in the terms of engagement</t>
  </si>
  <si>
    <t>Clarify that practitioner should assess his/her ability to be sufficiently involved with the expert's work (and not accept engagement if unable to do so)</t>
  </si>
  <si>
    <t>Clarify when it would/ would not be appropriate to use the work of an expert</t>
  </si>
  <si>
    <t>Clarify that the expert's work and related findings should be objective (i.e., does not require PJ)</t>
  </si>
  <si>
    <t>Other reasons on the importance of independence (e.g., reputation of profession, etc.)</t>
  </si>
  <si>
    <t>Other clarity and editorial comments</t>
  </si>
  <si>
    <t>Clarity, editorial and other comments</t>
  </si>
  <si>
    <t>Other comments</t>
  </si>
  <si>
    <t>Definition</t>
  </si>
  <si>
    <t>Work with IESBA</t>
  </si>
  <si>
    <t>Disclose objectivity and the basis (the code of ethics) in the AUP report</t>
  </si>
  <si>
    <t>Clarify independence considerations when there are multiple engaging parties</t>
  </si>
  <si>
    <t>The practitioner should be required to be independent (i.e., Q3)</t>
  </si>
  <si>
    <t>Require independence assessment (if practitioner is required to be independent) and clarify para.20(b)</t>
  </si>
  <si>
    <t>Emphasize PJ is applied at the engagement A&amp;C stage</t>
  </si>
  <si>
    <t>Emphasize the engaging party is ultimately responsible for determining the procedures</t>
  </si>
  <si>
    <t>Reflect the situation where procedures are revised multiple times (iterative process)</t>
  </si>
  <si>
    <t>Refererence to the expert in the AUP report (requirement or guidance on when reference is appropriate)</t>
  </si>
  <si>
    <t>Restriction on use is possible (but not restriction on distribution)</t>
  </si>
  <si>
    <t>Restriction may be removed if requred by law or regulation</t>
  </si>
  <si>
    <t>Consider restricting use but not distribution</t>
  </si>
  <si>
    <t>Guidance where the engaging party is not the responsible party</t>
  </si>
  <si>
    <t>Include disclaimers in the AUP report</t>
  </si>
  <si>
    <t>Agree restrictions in the engagement letter</t>
  </si>
  <si>
    <t>Restriction of AUP report</t>
  </si>
  <si>
    <t>Terms of Engagement</t>
  </si>
  <si>
    <t>Using the Work of a Practitioner's Expert</t>
  </si>
  <si>
    <t>Reference to Expert</t>
  </si>
  <si>
    <t>Additional guidance</t>
  </si>
  <si>
    <t>Definition of Findings</t>
  </si>
  <si>
    <t>Para.A10 - "Factual results" should be "Findings" to be consistent with the definition.</t>
  </si>
  <si>
    <t>Application Material on Findings</t>
  </si>
  <si>
    <t>Table explaining Independence Disclosures in EM</t>
  </si>
  <si>
    <t>Table explaining disclosure requirements in EM</t>
  </si>
  <si>
    <t>Do not agree to question 1</t>
  </si>
  <si>
    <t>Guidance or examples on use of technology in AUP engagement</t>
  </si>
  <si>
    <t>Education on nature of AUP engagements and how they differ from assurance engagements</t>
  </si>
  <si>
    <t>Clarify the role and responsibilities of all parties involved in an AUP engagement</t>
  </si>
  <si>
    <t>Include the responsibilities of the practitioner, the engaging party and other intended users</t>
  </si>
  <si>
    <t>Remind practitioners to consider law and regulations on confidentiality when describing the procedures or findings</t>
  </si>
  <si>
    <t>Remove reference to "reasonable or limited" to clearly state that AUP report does not provide assurance</t>
  </si>
  <si>
    <t>Use headings and sub-headings to increase the readability</t>
  </si>
  <si>
    <t>Refine the illustrative procedures and findings</t>
  </si>
  <si>
    <t>Include example of AUP report to reflect Para. 30(f)(ii), 30 (g), A9, and non-financial information involved</t>
  </si>
  <si>
    <t>Restructure to align with the audit report (ISA 700)</t>
  </si>
  <si>
    <t>Para. 30(n)</t>
  </si>
  <si>
    <t>Para. 33</t>
  </si>
  <si>
    <t>Clarify whether the practitioner's signature includes firm's signature</t>
  </si>
  <si>
    <t xml:space="preserve">Distinguishing AUP reports from other engagement reports should not be a requirement </t>
  </si>
  <si>
    <t>Make the section re. purpose of the AUP engagement more prominent</t>
  </si>
  <si>
    <t>Provide an example of AUP report when an addressee is the intended users</t>
  </si>
  <si>
    <t>Guidance when procedures are modified (e.g., because they are not practicable or restrictions are imposed on the practitioner)</t>
  </si>
  <si>
    <t>Modified Procedures</t>
  </si>
  <si>
    <t xml:space="preserve">Add caveat that the procedures may not meet the needs of all intended users and practitioner does not bear responsibility for the appropriateness of the procedures </t>
  </si>
  <si>
    <t>Confidentiality</t>
  </si>
  <si>
    <t>Responsibilities of the Practitioner and Intended Users</t>
  </si>
  <si>
    <t>Illustrative AUP Reports</t>
  </si>
  <si>
    <t>(A) Analysis of those respondents who have issues in translation or suggestions</t>
  </si>
  <si>
    <t>Excel Summary 10B</t>
  </si>
  <si>
    <t>Findings</t>
  </si>
  <si>
    <t>12. NBAT</t>
  </si>
  <si>
    <t>Agreed to suggested effective date or no comment</t>
  </si>
  <si>
    <t>Agreed to question 10(b) with suggestions (A)</t>
  </si>
  <si>
    <t>(A) Analysis of those respondents who agreed to question 10(b) with suggestions</t>
  </si>
  <si>
    <t>Agreed to question 10(b) with suggestions</t>
  </si>
  <si>
    <t>Suggestions</t>
  </si>
  <si>
    <t>Shorter implementation period is practicable</t>
  </si>
  <si>
    <t>Early adoption is a better alternative to a shorter implementation period</t>
  </si>
  <si>
    <t xml:space="preserve">Do not agree to question 10(b) </t>
  </si>
  <si>
    <t>Effective date should be based on the AUP report date</t>
  </si>
  <si>
    <t>Excel Summary 11B</t>
  </si>
  <si>
    <t>Shorter implementation period may not be practicable</t>
  </si>
  <si>
    <t>(i) Agreed with not including a precondition for the practitioner to be independent; and</t>
  </si>
  <si>
    <t>(ii) Did not specify that the practitioner should be required to determine independence.</t>
  </si>
  <si>
    <t xml:space="preserve">or changes suggested in their responses to Q3 of ED-4400. The "Not required to determine independence" column includes respondents who: </t>
  </si>
  <si>
    <t>(*1) ED-4400 did not pose questions on the determination of independence.  Staff sorted the respondents' positions based on concerns raised</t>
  </si>
  <si>
    <t>Include a statement of compliance of Code of Ethics in AUP report</t>
  </si>
  <si>
    <t>Agreed to question 3 with suggestions (A)</t>
  </si>
  <si>
    <r>
      <t>ED</t>
    </r>
    <r>
      <rPr>
        <b/>
        <sz val="12"/>
        <color theme="1"/>
        <rFont val="Calibri"/>
        <family val="2"/>
      </rPr>
      <t>−</t>
    </r>
    <r>
      <rPr>
        <b/>
        <sz val="12"/>
        <color theme="1"/>
        <rFont val="Arial"/>
        <family val="2"/>
      </rPr>
      <t>4400: Analysis of Comments in Relation to Public Interest</t>
    </r>
  </si>
  <si>
    <t xml:space="preserve">    Note: Table contains hidden rows</t>
  </si>
  <si>
    <t xml:space="preserve">    Table contains hiddent rows</t>
  </si>
  <si>
    <t>Number of comments</t>
  </si>
  <si>
    <t>Add context to increase clarity  para. A11</t>
  </si>
  <si>
    <t>04. AuAASB</t>
  </si>
  <si>
    <t>09. JICPA</t>
  </si>
  <si>
    <r>
      <rPr>
        <b/>
        <sz val="10"/>
        <color theme="1"/>
        <rFont val="Arial"/>
        <family val="2"/>
      </rPr>
      <t>A&amp;C</t>
    </r>
    <r>
      <rPr>
        <sz val="10"/>
        <color theme="1"/>
        <rFont val="Arial"/>
        <family val="2"/>
      </rPr>
      <t>: Acceptance and Continuance</t>
    </r>
  </si>
  <si>
    <t>No issues on 'translations' or no comment</t>
  </si>
  <si>
    <t>No specific response to                         question 10(a)</t>
  </si>
  <si>
    <t>Issues on 'translations'                         or suggestions (A)</t>
  </si>
  <si>
    <t>Member Bodies and Other Professional Org</t>
  </si>
  <si>
    <t>Consider to delay to prepare for other standards (ISA315 &amp; quality management standards)</t>
  </si>
  <si>
    <t>Prefer                24 months</t>
  </si>
  <si>
    <t>No specific response to               question 4</t>
  </si>
  <si>
    <t>Agreed to question 2, subject to further considerations</t>
  </si>
  <si>
    <t>Exercise of PJ should be extended to formulation and presentation of findings</t>
  </si>
  <si>
    <t>Suggestions on the definition of PJ [para. 13(j)]</t>
  </si>
  <si>
    <t>Further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</si>
</sst>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theme="1"/>
      <name val="Arial"/>
      <family val="2"/>
    </font>
    <font>
      <b/>
      <sz val="12"/>
      <color theme="1"/>
      <name val="Arial"/>
      <family val="2"/>
    </font>
    <font>
      <b/>
      <sz val="12"/>
      <color theme="1"/>
      <name val="Calibri"/>
      <family val="2"/>
    </font>
    <font>
      <b/>
      <u/>
      <sz val="10"/>
      <color theme="1"/>
      <name val="Arial"/>
      <family val="2"/>
    </font>
    <font>
      <sz val="11"/>
      <color theme="1"/>
      <name val="Calibri"/>
      <family val="2"/>
      <scheme val="minor"/>
    </font>
    <font>
      <b/>
      <sz val="11"/>
      <color theme="1"/>
      <name val="Calibri"/>
      <family val="2"/>
      <scheme val="minor"/>
    </font>
    <font>
      <b/>
      <sz val="10"/>
      <color theme="1"/>
      <name val="Arial"/>
      <family val="2"/>
    </font>
    <font>
      <b/>
      <sz val="8"/>
      <name val="Arial"/>
      <family val="2"/>
    </font>
    <font>
      <sz val="8"/>
      <name val="Calibri"/>
      <family val="2"/>
      <scheme val="minor"/>
    </font>
    <font>
      <b/>
      <sz val="8"/>
      <color theme="1"/>
      <name val="Arial"/>
      <family val="2"/>
    </font>
    <font>
      <sz val="8"/>
      <color theme="1"/>
      <name val="Calibri"/>
      <family val="2"/>
      <scheme val="minor"/>
    </font>
    <font>
      <sz val="9"/>
      <color theme="1"/>
      <name val="Calibri"/>
      <family val="2"/>
      <scheme val="minor"/>
    </font>
    <font>
      <i/>
      <sz val="8"/>
      <color theme="1"/>
      <name val="Arial"/>
      <family val="2"/>
    </font>
    <font>
      <sz val="9"/>
      <color theme="1"/>
      <name val="Arial"/>
      <family val="2"/>
    </font>
    <font>
      <b/>
      <sz val="10"/>
      <color rgb="FF0070C0"/>
      <name val="Arial"/>
      <family val="2"/>
    </font>
    <font>
      <b/>
      <sz val="10"/>
      <color rgb="FFFF0000"/>
      <name val="Arial"/>
      <family val="2"/>
    </font>
    <font>
      <i/>
      <sz val="10"/>
      <color theme="1"/>
      <name val="Arial"/>
      <family val="2"/>
    </font>
    <font>
      <b/>
      <sz val="9"/>
      <color theme="1"/>
      <name val="Arial"/>
      <family val="2"/>
    </font>
    <font>
      <sz val="8"/>
      <color theme="1"/>
      <name val="Arial"/>
      <family val="2"/>
    </font>
    <font>
      <b/>
      <sz val="10"/>
      <name val="Arial"/>
      <family val="2"/>
    </font>
    <font>
      <b/>
      <sz val="10"/>
      <color rgb="FF00B0F0"/>
      <name val="Arial"/>
      <family val="2"/>
    </font>
    <font>
      <sz val="11"/>
      <color theme="1"/>
      <name val="Arial"/>
      <family val="2"/>
    </font>
    <font>
      <b/>
      <sz val="11"/>
      <color theme="1"/>
      <name val="Arial"/>
      <family val="2"/>
    </font>
    <font>
      <b/>
      <sz val="9"/>
      <name val="Arial"/>
      <family val="2"/>
    </font>
    <font>
      <sz val="9"/>
      <name val="Arial"/>
      <family val="2"/>
    </font>
    <font>
      <b/>
      <sz val="8"/>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322">
    <xf numFmtId="0" fontId="0" fillId="0" borderId="0" xfId="0"/>
    <xf numFmtId="0" fontId="1" fillId="0" borderId="0" xfId="0" applyFont="1"/>
    <xf numFmtId="0" fontId="1" fillId="0" borderId="0" xfId="0" applyFont="1" applyAlignment="1">
      <alignment horizontal="center"/>
    </xf>
    <xf numFmtId="0" fontId="1" fillId="0" borderId="0" xfId="0" applyFont="1" applyFill="1" applyBorder="1" applyAlignment="1">
      <alignment horizontal="center"/>
    </xf>
    <xf numFmtId="0" fontId="1" fillId="0" borderId="0" xfId="0" applyFont="1" applyFill="1" applyAlignment="1">
      <alignment horizontal="center"/>
    </xf>
    <xf numFmtId="0" fontId="2" fillId="0" borderId="0" xfId="0" applyFont="1"/>
    <xf numFmtId="0" fontId="4" fillId="0" borderId="0" xfId="0" applyFont="1" applyFill="1"/>
    <xf numFmtId="0" fontId="2" fillId="0" borderId="0" xfId="0" applyFont="1" applyFill="1"/>
    <xf numFmtId="0" fontId="12" fillId="0" borderId="0" xfId="0" applyFont="1" applyFill="1" applyBorder="1" applyAlignment="1">
      <alignment horizontal="center" vertical="center" wrapText="1"/>
    </xf>
    <xf numFmtId="0" fontId="10" fillId="3" borderId="10" xfId="0" applyFont="1" applyFill="1" applyBorder="1" applyAlignment="1">
      <alignment horizontal="center"/>
    </xf>
    <xf numFmtId="0" fontId="14" fillId="0" borderId="0" xfId="0" applyFont="1" applyFill="1" applyBorder="1" applyAlignment="1">
      <alignment horizontal="center"/>
    </xf>
    <xf numFmtId="0" fontId="1" fillId="0" borderId="3" xfId="0" applyFont="1" applyBorder="1" applyAlignment="1"/>
    <xf numFmtId="0" fontId="1" fillId="0" borderId="4" xfId="0" applyFont="1" applyBorder="1" applyAlignment="1"/>
    <xf numFmtId="0" fontId="1" fillId="0" borderId="11" xfId="0" applyFont="1" applyBorder="1" applyAlignment="1">
      <alignment horizontal="center"/>
    </xf>
    <xf numFmtId="0" fontId="1" fillId="0" borderId="11" xfId="0" applyFont="1" applyFill="1" applyBorder="1" applyAlignment="1">
      <alignment horizontal="center"/>
    </xf>
    <xf numFmtId="0" fontId="7" fillId="0" borderId="12" xfId="0" applyFont="1" applyBorder="1" applyAlignment="1"/>
    <xf numFmtId="0" fontId="7" fillId="0" borderId="0" xfId="0" applyFont="1" applyBorder="1" applyAlignment="1"/>
    <xf numFmtId="0" fontId="1" fillId="0" borderId="13" xfId="0" applyFont="1" applyBorder="1" applyAlignment="1">
      <alignment horizontal="center"/>
    </xf>
    <xf numFmtId="0" fontId="16" fillId="0" borderId="13" xfId="0" applyFont="1" applyBorder="1" applyAlignment="1">
      <alignment horizontal="center"/>
    </xf>
    <xf numFmtId="0" fontId="1" fillId="0" borderId="0" xfId="0" applyFont="1" applyBorder="1"/>
    <xf numFmtId="0" fontId="1" fillId="0" borderId="13" xfId="0" applyFont="1" applyFill="1" applyBorder="1" applyAlignment="1">
      <alignment horizontal="center"/>
    </xf>
    <xf numFmtId="0" fontId="1" fillId="0" borderId="14" xfId="0" applyFont="1" applyFill="1" applyBorder="1" applyAlignment="1">
      <alignment horizontal="center"/>
    </xf>
    <xf numFmtId="0" fontId="1" fillId="4" borderId="0" xfId="0" applyFont="1" applyFill="1" applyBorder="1" applyAlignment="1"/>
    <xf numFmtId="0" fontId="1" fillId="4" borderId="13" xfId="0" applyFont="1" applyFill="1" applyBorder="1" applyAlignment="1">
      <alignment horizontal="center"/>
    </xf>
    <xf numFmtId="0" fontId="1" fillId="0" borderId="0" xfId="0" applyFont="1" applyBorder="1" applyAlignment="1">
      <alignment horizontal="center"/>
    </xf>
    <xf numFmtId="0" fontId="17" fillId="0" borderId="12" xfId="0" applyFont="1" applyFill="1" applyBorder="1" applyAlignment="1"/>
    <xf numFmtId="0" fontId="1" fillId="0" borderId="8" xfId="0" applyFont="1" applyFill="1" applyBorder="1" applyAlignment="1"/>
    <xf numFmtId="0" fontId="1" fillId="0" borderId="8" xfId="0" applyFont="1" applyFill="1" applyBorder="1" applyAlignment="1">
      <alignment horizontal="center"/>
    </xf>
    <xf numFmtId="0" fontId="1" fillId="0" borderId="15" xfId="0" applyFont="1" applyFill="1" applyBorder="1" applyAlignment="1">
      <alignment horizontal="center"/>
    </xf>
    <xf numFmtId="9" fontId="7" fillId="0" borderId="0" xfId="1" applyFont="1" applyFill="1" applyBorder="1" applyAlignment="1">
      <alignment horizontal="center"/>
    </xf>
    <xf numFmtId="9" fontId="1" fillId="0" borderId="0" xfId="0" applyNumberFormat="1" applyFont="1" applyFill="1" applyBorder="1" applyAlignment="1">
      <alignment horizontal="center"/>
    </xf>
    <xf numFmtId="0" fontId="1" fillId="0" borderId="0" xfId="0" applyFont="1" applyFill="1"/>
    <xf numFmtId="0" fontId="1" fillId="0" borderId="12" xfId="0" applyFont="1" applyFill="1" applyBorder="1"/>
    <xf numFmtId="0" fontId="1" fillId="0" borderId="0" xfId="0" applyFont="1" applyFill="1" applyBorder="1"/>
    <xf numFmtId="0" fontId="7" fillId="0" borderId="0" xfId="0" applyFont="1" applyFill="1" applyBorder="1" applyAlignment="1">
      <alignment horizontal="center"/>
    </xf>
    <xf numFmtId="0" fontId="1" fillId="0" borderId="11" xfId="0" applyFont="1" applyFill="1" applyBorder="1"/>
    <xf numFmtId="0" fontId="1" fillId="0" borderId="10" xfId="0" applyFont="1" applyFill="1" applyBorder="1" applyAlignment="1">
      <alignment horizontal="center"/>
    </xf>
    <xf numFmtId="0" fontId="7" fillId="6" borderId="1" xfId="0" applyFont="1" applyFill="1" applyBorder="1"/>
    <xf numFmtId="0" fontId="1" fillId="6" borderId="6" xfId="0" applyFont="1" applyFill="1" applyBorder="1"/>
    <xf numFmtId="0" fontId="7" fillId="6" borderId="6" xfId="0" applyFont="1" applyFill="1" applyBorder="1" applyAlignment="1">
      <alignment horizontal="center"/>
    </xf>
    <xf numFmtId="0" fontId="20" fillId="6" borderId="6" xfId="0" applyFont="1" applyFill="1" applyBorder="1" applyAlignment="1">
      <alignment horizontal="center"/>
    </xf>
    <xf numFmtId="0" fontId="7" fillId="0" borderId="12" xfId="0" applyFont="1" applyFill="1" applyBorder="1"/>
    <xf numFmtId="0" fontId="7" fillId="0" borderId="0" xfId="0" applyFont="1" applyFill="1" applyBorder="1"/>
    <xf numFmtId="0" fontId="7" fillId="0" borderId="13" xfId="0" applyFont="1" applyFill="1" applyBorder="1" applyAlignment="1">
      <alignment horizontal="center"/>
    </xf>
    <xf numFmtId="0" fontId="1" fillId="0" borderId="13" xfId="0" applyFont="1" applyFill="1" applyBorder="1"/>
    <xf numFmtId="0" fontId="1" fillId="7" borderId="0" xfId="0" applyFont="1" applyFill="1" applyBorder="1" applyAlignment="1">
      <alignment horizontal="center"/>
    </xf>
    <xf numFmtId="0" fontId="7" fillId="0" borderId="0" xfId="0" applyFont="1" applyFill="1" applyBorder="1" applyAlignment="1"/>
    <xf numFmtId="0" fontId="1" fillId="0" borderId="0" xfId="0" applyFont="1" applyFill="1" applyBorder="1" applyAlignment="1"/>
    <xf numFmtId="0" fontId="4" fillId="0" borderId="0" xfId="0" applyFont="1" applyFill="1" applyBorder="1" applyAlignment="1"/>
    <xf numFmtId="0" fontId="1" fillId="0" borderId="0" xfId="0" applyFont="1" applyFill="1" applyAlignment="1">
      <alignment vertical="top"/>
    </xf>
    <xf numFmtId="0" fontId="14" fillId="0" borderId="0" xfId="0" quotePrefix="1" applyFont="1" applyFill="1" applyBorder="1" applyAlignment="1">
      <alignment horizontal="center"/>
    </xf>
    <xf numFmtId="0" fontId="16" fillId="0" borderId="0" xfId="0" applyFont="1" applyFill="1" applyBorder="1" applyAlignment="1">
      <alignment horizontal="center"/>
    </xf>
    <xf numFmtId="0" fontId="17" fillId="0" borderId="0" xfId="0" applyFont="1" applyFill="1" applyBorder="1" applyAlignment="1">
      <alignment horizontal="center"/>
    </xf>
    <xf numFmtId="0" fontId="17" fillId="0" borderId="0" xfId="0" applyFont="1" applyFill="1" applyBorder="1" applyAlignment="1"/>
    <xf numFmtId="0" fontId="0" fillId="0" borderId="0" xfId="0" applyBorder="1"/>
    <xf numFmtId="0" fontId="0" fillId="0" borderId="12" xfId="0" applyFont="1" applyBorder="1"/>
    <xf numFmtId="0" fontId="17" fillId="0" borderId="7" xfId="0" applyFont="1" applyFill="1" applyBorder="1" applyAlignment="1"/>
    <xf numFmtId="0" fontId="10" fillId="3" borderId="6" xfId="0" applyFont="1" applyFill="1" applyBorder="1" applyAlignment="1">
      <alignment horizontal="center"/>
    </xf>
    <xf numFmtId="1" fontId="1" fillId="0" borderId="13" xfId="0" applyNumberFormat="1" applyFont="1" applyFill="1" applyBorder="1" applyAlignment="1">
      <alignment horizontal="center"/>
    </xf>
    <xf numFmtId="1" fontId="1" fillId="4" borderId="13" xfId="0" applyNumberFormat="1" applyFont="1" applyFill="1" applyBorder="1" applyAlignment="1">
      <alignment horizontal="center"/>
    </xf>
    <xf numFmtId="1" fontId="1" fillId="0" borderId="15" xfId="0" applyNumberFormat="1" applyFont="1" applyFill="1" applyBorder="1" applyAlignment="1">
      <alignment horizontal="center"/>
    </xf>
    <xf numFmtId="0" fontId="10" fillId="3" borderId="2" xfId="0" quotePrefix="1" applyFont="1" applyFill="1" applyBorder="1" applyAlignment="1">
      <alignment horizontal="center"/>
    </xf>
    <xf numFmtId="0" fontId="0" fillId="0" borderId="0" xfId="0" applyFill="1" applyBorder="1"/>
    <xf numFmtId="1" fontId="7" fillId="0" borderId="13" xfId="0" applyNumberFormat="1" applyFont="1" applyFill="1" applyBorder="1" applyAlignment="1">
      <alignment horizontal="center"/>
    </xf>
    <xf numFmtId="0" fontId="1" fillId="0" borderId="10" xfId="0" applyFont="1" applyFill="1" applyBorder="1" applyAlignment="1"/>
    <xf numFmtId="0" fontId="1" fillId="0" borderId="13" xfId="0" applyFont="1" applyFill="1" applyBorder="1" applyAlignment="1"/>
    <xf numFmtId="1" fontId="15" fillId="6" borderId="10" xfId="0" applyNumberFormat="1" applyFont="1" applyFill="1" applyBorder="1" applyAlignment="1">
      <alignment horizontal="center"/>
    </xf>
    <xf numFmtId="0" fontId="20" fillId="6" borderId="10" xfId="0" applyFont="1" applyFill="1" applyBorder="1" applyAlignment="1">
      <alignment horizontal="center"/>
    </xf>
    <xf numFmtId="0" fontId="0" fillId="0" borderId="13" xfId="0" applyBorder="1"/>
    <xf numFmtId="0" fontId="0" fillId="0" borderId="0" xfId="0" applyFill="1"/>
    <xf numFmtId="0" fontId="0" fillId="0" borderId="13" xfId="0" applyBorder="1" applyAlignment="1">
      <alignment horizontal="center"/>
    </xf>
    <xf numFmtId="0" fontId="0" fillId="0" borderId="7" xfId="0" applyBorder="1"/>
    <xf numFmtId="0" fontId="0" fillId="0" borderId="8" xfId="0" applyBorder="1"/>
    <xf numFmtId="0" fontId="0" fillId="0" borderId="13" xfId="0" applyFill="1" applyBorder="1"/>
    <xf numFmtId="0" fontId="0" fillId="0" borderId="15" xfId="0" applyBorder="1"/>
    <xf numFmtId="1" fontId="21" fillId="0" borderId="13" xfId="1" applyNumberFormat="1" applyFont="1" applyBorder="1" applyAlignment="1">
      <alignment horizontal="center"/>
    </xf>
    <xf numFmtId="0" fontId="1" fillId="0" borderId="0" xfId="0" applyFont="1" applyFill="1" applyBorder="1" applyAlignment="1">
      <alignment horizontal="left"/>
    </xf>
    <xf numFmtId="1" fontId="16" fillId="6" borderId="10" xfId="0" applyNumberFormat="1" applyFont="1" applyFill="1" applyBorder="1" applyAlignment="1">
      <alignment horizontal="center"/>
    </xf>
    <xf numFmtId="1" fontId="7" fillId="0" borderId="0" xfId="0" applyNumberFormat="1"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9" fontId="7" fillId="0" borderId="0" xfId="1" applyFont="1" applyBorder="1" applyAlignment="1">
      <alignment horizontal="center"/>
    </xf>
    <xf numFmtId="9" fontId="7" fillId="0" borderId="14" xfId="1" applyFont="1" applyBorder="1" applyAlignment="1">
      <alignment horizontal="center"/>
    </xf>
    <xf numFmtId="0" fontId="1" fillId="4" borderId="14" xfId="0" applyFont="1" applyFill="1" applyBorder="1" applyAlignment="1">
      <alignment horizontal="center"/>
    </xf>
    <xf numFmtId="0" fontId="1" fillId="4" borderId="0" xfId="0" applyFont="1" applyFill="1" applyBorder="1" applyAlignment="1">
      <alignment horizontal="center"/>
    </xf>
    <xf numFmtId="0" fontId="1" fillId="0" borderId="9" xfId="0" applyFont="1" applyFill="1" applyBorder="1" applyAlignment="1">
      <alignment horizontal="center"/>
    </xf>
    <xf numFmtId="0" fontId="19" fillId="3" borderId="13"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15" xfId="0" applyFont="1" applyFill="1" applyBorder="1" applyAlignment="1"/>
    <xf numFmtId="0" fontId="19" fillId="3" borderId="10" xfId="0" applyFont="1" applyFill="1" applyBorder="1" applyAlignment="1">
      <alignment horizontal="center" vertical="center" wrapText="1"/>
    </xf>
    <xf numFmtId="0" fontId="0" fillId="0" borderId="0" xfId="0" applyAlignment="1">
      <alignment horizontal="center"/>
    </xf>
    <xf numFmtId="0" fontId="19" fillId="3" borderId="8"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7" fillId="0" borderId="14" xfId="0" applyFont="1" applyFill="1" applyBorder="1" applyAlignment="1">
      <alignment horizontal="center"/>
    </xf>
    <xf numFmtId="0" fontId="1" fillId="7" borderId="14" xfId="0" applyFont="1" applyFill="1" applyBorder="1" applyAlignment="1">
      <alignment horizontal="center"/>
    </xf>
    <xf numFmtId="0" fontId="12" fillId="0" borderId="0" xfId="0" applyFont="1" applyAlignment="1">
      <alignment horizontal="center" vertical="center" wrapText="1"/>
    </xf>
    <xf numFmtId="0" fontId="4" fillId="0" borderId="0" xfId="0" applyFont="1"/>
    <xf numFmtId="0" fontId="0" fillId="0" borderId="0" xfId="0"/>
    <xf numFmtId="0" fontId="1" fillId="0" borderId="0" xfId="0" applyFont="1"/>
    <xf numFmtId="0" fontId="1" fillId="0" borderId="0" xfId="0" applyFont="1" applyAlignment="1">
      <alignment horizontal="center"/>
    </xf>
    <xf numFmtId="0" fontId="2" fillId="0" borderId="0" xfId="0" applyFont="1"/>
    <xf numFmtId="0" fontId="12" fillId="0" borderId="0" xfId="0" applyFont="1" applyFill="1" applyBorder="1" applyAlignment="1">
      <alignment horizontal="center" vertical="center" wrapText="1"/>
    </xf>
    <xf numFmtId="0" fontId="10" fillId="3" borderId="10" xfId="0" applyFont="1" applyFill="1" applyBorder="1" applyAlignment="1">
      <alignment horizontal="center"/>
    </xf>
    <xf numFmtId="0" fontId="1" fillId="0" borderId="11" xfId="0" applyFont="1" applyBorder="1" applyAlignment="1">
      <alignment horizontal="center"/>
    </xf>
    <xf numFmtId="0" fontId="1" fillId="0" borderId="5" xfId="0" applyFont="1" applyBorder="1" applyAlignment="1">
      <alignment horizontal="center"/>
    </xf>
    <xf numFmtId="0" fontId="1" fillId="0" borderId="13" xfId="0" applyFont="1" applyBorder="1" applyAlignment="1">
      <alignment horizontal="center"/>
    </xf>
    <xf numFmtId="9" fontId="7" fillId="0" borderId="14" xfId="1" applyFont="1" applyBorder="1" applyAlignment="1">
      <alignment horizontal="center"/>
    </xf>
    <xf numFmtId="0" fontId="16" fillId="0" borderId="13" xfId="0" applyFont="1"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1" fillId="0" borderId="8" xfId="0" applyFont="1" applyBorder="1"/>
    <xf numFmtId="0" fontId="7" fillId="6" borderId="1" xfId="0" applyFont="1" applyFill="1" applyBorder="1"/>
    <xf numFmtId="0" fontId="1" fillId="6" borderId="6" xfId="0" applyFont="1" applyFill="1" applyBorder="1"/>
    <xf numFmtId="0" fontId="7" fillId="6" borderId="6" xfId="0" applyFont="1" applyFill="1" applyBorder="1" applyAlignment="1">
      <alignment horizontal="center"/>
    </xf>
    <xf numFmtId="0" fontId="20" fillId="6" borderId="6" xfId="0" applyFont="1" applyFill="1" applyBorder="1" applyAlignment="1">
      <alignment horizontal="center"/>
    </xf>
    <xf numFmtId="0" fontId="1" fillId="7" borderId="13" xfId="0" applyFont="1" applyFill="1" applyBorder="1" applyAlignment="1">
      <alignment horizontal="center"/>
    </xf>
    <xf numFmtId="0" fontId="1" fillId="0" borderId="4" xfId="0" applyFont="1" applyBorder="1" applyAlignment="1">
      <alignment horizontal="center"/>
    </xf>
    <xf numFmtId="0" fontId="1" fillId="4" borderId="12" xfId="0" applyFont="1" applyFill="1" applyBorder="1"/>
    <xf numFmtId="0" fontId="1" fillId="5" borderId="13" xfId="0" applyFont="1" applyFill="1" applyBorder="1" applyAlignment="1">
      <alignment horizontal="center"/>
    </xf>
    <xf numFmtId="0" fontId="10" fillId="3" borderId="6" xfId="0" applyFont="1" applyFill="1" applyBorder="1" applyAlignment="1">
      <alignment horizontal="center"/>
    </xf>
    <xf numFmtId="1" fontId="1" fillId="4" borderId="13" xfId="0" applyNumberFormat="1" applyFont="1" applyFill="1" applyBorder="1" applyAlignment="1">
      <alignment horizontal="center"/>
    </xf>
    <xf numFmtId="1" fontId="1" fillId="5" borderId="13" xfId="0" applyNumberFormat="1" applyFont="1" applyFill="1" applyBorder="1" applyAlignment="1">
      <alignment horizontal="center"/>
    </xf>
    <xf numFmtId="0" fontId="10" fillId="3" borderId="2" xfId="0" quotePrefix="1" applyFont="1" applyFill="1" applyBorder="1" applyAlignment="1">
      <alignment horizontal="center"/>
    </xf>
    <xf numFmtId="1" fontId="15" fillId="6" borderId="10" xfId="0" applyNumberFormat="1" applyFont="1" applyFill="1" applyBorder="1" applyAlignment="1">
      <alignment horizontal="center"/>
    </xf>
    <xf numFmtId="0" fontId="20" fillId="6" borderId="10" xfId="0" applyFont="1" applyFill="1" applyBorder="1" applyAlignment="1">
      <alignment horizontal="center"/>
    </xf>
    <xf numFmtId="0" fontId="0" fillId="0" borderId="7" xfId="0" applyBorder="1"/>
    <xf numFmtId="0" fontId="0" fillId="0" borderId="8" xfId="0" applyBorder="1"/>
    <xf numFmtId="0" fontId="0" fillId="0" borderId="15" xfId="0" applyBorder="1"/>
    <xf numFmtId="1" fontId="21" fillId="0" borderId="13" xfId="1" applyNumberFormat="1" applyFont="1" applyBorder="1" applyAlignment="1">
      <alignment horizontal="center"/>
    </xf>
    <xf numFmtId="1" fontId="16" fillId="6" borderId="10" xfId="0" applyNumberFormat="1" applyFont="1" applyFill="1" applyBorder="1" applyAlignment="1">
      <alignment horizontal="center"/>
    </xf>
    <xf numFmtId="0" fontId="19" fillId="3" borderId="10" xfId="0" applyFont="1" applyFill="1" applyBorder="1" applyAlignment="1">
      <alignment horizontal="center" vertical="center" wrapText="1"/>
    </xf>
    <xf numFmtId="0" fontId="0" fillId="0" borderId="0" xfId="0" applyAlignment="1">
      <alignment horizontal="center"/>
    </xf>
    <xf numFmtId="0" fontId="19" fillId="3" borderId="15" xfId="0" applyFont="1" applyFill="1" applyBorder="1" applyAlignment="1">
      <alignment horizontal="center" vertical="center" wrapText="1"/>
    </xf>
    <xf numFmtId="0" fontId="0" fillId="0" borderId="15" xfId="0" applyBorder="1" applyAlignment="1">
      <alignment horizontal="center"/>
    </xf>
    <xf numFmtId="0" fontId="20" fillId="6" borderId="2" xfId="0" applyFont="1" applyFill="1" applyBorder="1" applyAlignment="1">
      <alignment horizontal="center"/>
    </xf>
    <xf numFmtId="0" fontId="14" fillId="0" borderId="0" xfId="0" quotePrefix="1" applyFont="1" applyAlignment="1">
      <alignment horizontal="center"/>
    </xf>
    <xf numFmtId="0" fontId="1" fillId="0" borderId="3" xfId="0" applyFont="1" applyBorder="1"/>
    <xf numFmtId="0" fontId="1" fillId="0" borderId="4" xfId="0" applyFont="1" applyBorder="1"/>
    <xf numFmtId="0" fontId="7" fillId="0" borderId="12" xfId="0" applyFont="1" applyBorder="1"/>
    <xf numFmtId="0" fontId="7" fillId="0" borderId="0" xfId="0" applyFont="1"/>
    <xf numFmtId="1" fontId="7" fillId="0" borderId="0" xfId="0" applyNumberFormat="1" applyFont="1" applyAlignment="1">
      <alignment horizontal="center"/>
    </xf>
    <xf numFmtId="9" fontId="7" fillId="0" borderId="0" xfId="1" applyFont="1" applyAlignment="1">
      <alignment horizontal="center"/>
    </xf>
    <xf numFmtId="9" fontId="1" fillId="0" borderId="0" xfId="0" applyNumberFormat="1" applyFont="1" applyAlignment="1">
      <alignment horizontal="center"/>
    </xf>
    <xf numFmtId="0" fontId="17" fillId="0" borderId="12" xfId="0" applyFont="1" applyBorder="1"/>
    <xf numFmtId="1" fontId="1" fillId="0" borderId="13" xfId="0" applyNumberFormat="1" applyFont="1" applyBorder="1" applyAlignment="1">
      <alignment horizontal="center"/>
    </xf>
    <xf numFmtId="0" fontId="1" fillId="0" borderId="14" xfId="0" applyFont="1" applyBorder="1" applyAlignment="1">
      <alignment horizontal="center"/>
    </xf>
    <xf numFmtId="0" fontId="1" fillId="4" borderId="0" xfId="0" applyFont="1" applyFill="1"/>
    <xf numFmtId="0" fontId="1" fillId="4" borderId="0" xfId="0" applyFont="1" applyFill="1" applyAlignment="1">
      <alignment horizontal="center"/>
    </xf>
    <xf numFmtId="0" fontId="0" fillId="0" borderId="12" xfId="0" applyBorder="1"/>
    <xf numFmtId="0" fontId="1" fillId="0" borderId="0" xfId="0" applyFont="1" applyAlignment="1">
      <alignment horizontal="left"/>
    </xf>
    <xf numFmtId="0" fontId="17" fillId="0" borderId="7" xfId="0" applyFont="1" applyBorder="1"/>
    <xf numFmtId="0" fontId="1" fillId="0" borderId="8" xfId="0" applyFont="1" applyBorder="1" applyAlignment="1">
      <alignment horizontal="center"/>
    </xf>
    <xf numFmtId="0" fontId="1" fillId="0" borderId="15" xfId="0" applyFont="1" applyBorder="1" applyAlignment="1">
      <alignment horizontal="center"/>
    </xf>
    <xf numFmtId="1" fontId="1" fillId="0" borderId="15" xfId="0" applyNumberFormat="1" applyFont="1" applyBorder="1" applyAlignment="1">
      <alignment horizontal="center"/>
    </xf>
    <xf numFmtId="0" fontId="1" fillId="0" borderId="9" xfId="0" applyFont="1" applyBorder="1" applyAlignment="1">
      <alignment horizontal="center"/>
    </xf>
    <xf numFmtId="0" fontId="17" fillId="0" borderId="0" xfId="0" applyFont="1"/>
    <xf numFmtId="0" fontId="17" fillId="0" borderId="0" xfId="0" applyFont="1" applyAlignment="1">
      <alignment horizontal="center"/>
    </xf>
    <xf numFmtId="0" fontId="1" fillId="0" borderId="12" xfId="0" applyFont="1" applyBorder="1"/>
    <xf numFmtId="0" fontId="7" fillId="0" borderId="0" xfId="0" applyFont="1" applyAlignment="1">
      <alignment horizontal="center"/>
    </xf>
    <xf numFmtId="0" fontId="1" fillId="0" borderId="13" xfId="0" applyFont="1" applyBorder="1"/>
    <xf numFmtId="0" fontId="1" fillId="0" borderId="15" xfId="0" applyFont="1" applyBorder="1"/>
    <xf numFmtId="0" fontId="1" fillId="0" borderId="11" xfId="0" applyFont="1" applyBorder="1"/>
    <xf numFmtId="1" fontId="7" fillId="0" borderId="13" xfId="0" applyNumberFormat="1" applyFont="1" applyBorder="1" applyAlignment="1">
      <alignment horizontal="center"/>
    </xf>
    <xf numFmtId="0" fontId="7" fillId="0" borderId="13" xfId="0" applyFont="1" applyBorder="1" applyAlignment="1">
      <alignment horizontal="center"/>
    </xf>
    <xf numFmtId="0" fontId="18" fillId="0" borderId="0" xfId="0" applyFont="1" applyAlignment="1">
      <alignment horizontal="center" vertical="center" wrapText="1"/>
    </xf>
    <xf numFmtId="0" fontId="14" fillId="0" borderId="0" xfId="0" applyFont="1" applyAlignment="1">
      <alignment horizontal="center"/>
    </xf>
    <xf numFmtId="0" fontId="10" fillId="0" borderId="0" xfId="0" quotePrefix="1" applyFont="1" applyAlignment="1">
      <alignment horizontal="center"/>
    </xf>
    <xf numFmtId="0" fontId="16" fillId="0" borderId="0" xfId="0" applyFont="1" applyAlignment="1">
      <alignment horizontal="center"/>
    </xf>
    <xf numFmtId="0" fontId="1" fillId="0" borderId="0" xfId="0" applyFont="1" applyAlignment="1">
      <alignment vertical="top" wrapText="1"/>
    </xf>
    <xf numFmtId="0" fontId="19" fillId="3" borderId="11"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 fillId="0" borderId="0" xfId="0" applyFont="1" applyFill="1" applyAlignment="1">
      <alignment vertical="top" wrapText="1"/>
    </xf>
    <xf numFmtId="0" fontId="10" fillId="5" borderId="10" xfId="0" applyFont="1" applyFill="1" applyBorder="1" applyAlignment="1">
      <alignment horizontal="center" vertical="center" wrapText="1"/>
    </xf>
    <xf numFmtId="0" fontId="1" fillId="0" borderId="0" xfId="0" applyFont="1" applyAlignment="1">
      <alignment vertical="top" wrapText="1"/>
    </xf>
    <xf numFmtId="1" fontId="1" fillId="5" borderId="10" xfId="0" applyNumberFormat="1" applyFont="1" applyFill="1" applyBorder="1" applyAlignment="1">
      <alignment horizontal="center"/>
    </xf>
    <xf numFmtId="0" fontId="1" fillId="5" borderId="11" xfId="0" applyFont="1" applyFill="1" applyBorder="1" applyAlignment="1">
      <alignment horizontal="center"/>
    </xf>
    <xf numFmtId="0" fontId="1" fillId="5" borderId="15" xfId="0" applyFont="1" applyFill="1" applyBorder="1" applyAlignment="1">
      <alignment horizontal="center"/>
    </xf>
    <xf numFmtId="1" fontId="1" fillId="5" borderId="11" xfId="0" applyNumberFormat="1" applyFont="1" applyFill="1" applyBorder="1" applyAlignment="1">
      <alignment horizontal="center"/>
    </xf>
    <xf numFmtId="1" fontId="1" fillId="5" borderId="15" xfId="0" applyNumberFormat="1" applyFont="1" applyFill="1" applyBorder="1" applyAlignment="1">
      <alignment horizontal="center"/>
    </xf>
    <xf numFmtId="0" fontId="1" fillId="5" borderId="10" xfId="0" applyFont="1" applyFill="1" applyBorder="1" applyAlignment="1">
      <alignment horizontal="center"/>
    </xf>
    <xf numFmtId="0" fontId="1" fillId="7" borderId="10" xfId="0" applyFont="1" applyFill="1" applyBorder="1" applyAlignment="1">
      <alignment horizontal="center"/>
    </xf>
    <xf numFmtId="0" fontId="1" fillId="7" borderId="6" xfId="0" applyFont="1" applyFill="1" applyBorder="1" applyAlignment="1">
      <alignment horizontal="center"/>
    </xf>
    <xf numFmtId="0" fontId="1" fillId="7" borderId="10" xfId="0" applyFont="1" applyFill="1" applyBorder="1"/>
    <xf numFmtId="0" fontId="1" fillId="7" borderId="11" xfId="0" applyFont="1" applyFill="1" applyBorder="1" applyAlignment="1">
      <alignment horizontal="center"/>
    </xf>
    <xf numFmtId="0" fontId="1" fillId="7" borderId="15" xfId="0" applyFont="1" applyFill="1" applyBorder="1" applyAlignment="1">
      <alignment horizontal="center"/>
    </xf>
    <xf numFmtId="1" fontId="23" fillId="0" borderId="13" xfId="0" applyNumberFormat="1" applyFont="1" applyBorder="1" applyAlignment="1">
      <alignment horizontal="center"/>
    </xf>
    <xf numFmtId="0" fontId="22" fillId="0" borderId="8" xfId="0" applyFont="1" applyBorder="1"/>
    <xf numFmtId="0" fontId="18" fillId="0" borderId="0" xfId="0" applyFont="1"/>
    <xf numFmtId="0" fontId="18" fillId="0" borderId="0" xfId="0" applyFont="1" applyAlignment="1">
      <alignment horizontal="center"/>
    </xf>
    <xf numFmtId="0" fontId="18" fillId="0" borderId="13" xfId="0" applyFont="1" applyBorder="1" applyAlignment="1">
      <alignment horizontal="center"/>
    </xf>
    <xf numFmtId="0" fontId="14" fillId="0" borderId="0" xfId="0" applyFont="1"/>
    <xf numFmtId="0" fontId="14" fillId="7" borderId="10" xfId="0" applyFont="1" applyFill="1" applyBorder="1" applyAlignment="1">
      <alignment horizontal="center"/>
    </xf>
    <xf numFmtId="0" fontId="14" fillId="7" borderId="10" xfId="0" applyFont="1" applyFill="1" applyBorder="1"/>
    <xf numFmtId="0" fontId="14" fillId="7" borderId="11" xfId="0" applyFont="1" applyFill="1" applyBorder="1" applyAlignment="1">
      <alignment horizontal="center"/>
    </xf>
    <xf numFmtId="0" fontId="14" fillId="7" borderId="13" xfId="0" applyFont="1" applyFill="1" applyBorder="1" applyAlignment="1">
      <alignment horizontal="center"/>
    </xf>
    <xf numFmtId="0" fontId="14" fillId="7" borderId="15" xfId="0" applyFont="1" applyFill="1" applyBorder="1" applyAlignment="1">
      <alignment horizontal="center"/>
    </xf>
    <xf numFmtId="0" fontId="1" fillId="0" borderId="7" xfId="0" applyFont="1" applyBorder="1"/>
    <xf numFmtId="0" fontId="1" fillId="7" borderId="4" xfId="0" applyFont="1" applyFill="1" applyBorder="1" applyAlignment="1">
      <alignment horizontal="center"/>
    </xf>
    <xf numFmtId="0" fontId="1" fillId="7" borderId="8" xfId="0" applyFont="1" applyFill="1" applyBorder="1" applyAlignment="1">
      <alignment horizontal="center"/>
    </xf>
    <xf numFmtId="0" fontId="10" fillId="5" borderId="1" xfId="0" applyFont="1" applyFill="1" applyBorder="1" applyAlignment="1">
      <alignment horizontal="center" vertical="center"/>
    </xf>
    <xf numFmtId="0" fontId="7" fillId="0" borderId="14" xfId="0" applyFont="1" applyBorder="1" applyAlignment="1">
      <alignment horizontal="center"/>
    </xf>
    <xf numFmtId="0" fontId="1" fillId="0" borderId="14" xfId="0" applyFont="1" applyFill="1" applyBorder="1"/>
    <xf numFmtId="0" fontId="1" fillId="0" borderId="9" xfId="0" applyFont="1" applyBorder="1"/>
    <xf numFmtId="0" fontId="1" fillId="0" borderId="0" xfId="0" quotePrefix="1" applyFont="1"/>
    <xf numFmtId="0" fontId="18" fillId="3" borderId="10" xfId="0" applyFont="1" applyFill="1" applyBorder="1" applyAlignment="1">
      <alignment horizontal="center"/>
    </xf>
    <xf numFmtId="0" fontId="18" fillId="3" borderId="6" xfId="0" applyFont="1" applyFill="1" applyBorder="1" applyAlignment="1">
      <alignment horizontal="center"/>
    </xf>
    <xf numFmtId="0" fontId="18" fillId="3" borderId="2" xfId="0" quotePrefix="1" applyFont="1" applyFill="1" applyBorder="1" applyAlignment="1">
      <alignment horizontal="center"/>
    </xf>
    <xf numFmtId="0" fontId="1" fillId="7" borderId="2" xfId="0" applyFont="1" applyFill="1" applyBorder="1" applyAlignment="1">
      <alignment horizontal="center"/>
    </xf>
    <xf numFmtId="0" fontId="1" fillId="7" borderId="5" xfId="0" applyFont="1" applyFill="1" applyBorder="1" applyAlignment="1">
      <alignment horizontal="center"/>
    </xf>
    <xf numFmtId="0" fontId="1" fillId="7" borderId="9" xfId="0" applyFont="1" applyFill="1" applyBorder="1" applyAlignment="1">
      <alignment horizont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19" fillId="5" borderId="10" xfId="0" applyFont="1" applyFill="1" applyBorder="1" applyAlignment="1">
      <alignment horizontal="center" vertical="center" wrapText="1"/>
    </xf>
    <xf numFmtId="0" fontId="10" fillId="5" borderId="6" xfId="0" applyFont="1" applyFill="1" applyBorder="1" applyAlignment="1">
      <alignment horizontal="center" vertical="center"/>
    </xf>
    <xf numFmtId="0" fontId="18" fillId="0" borderId="13" xfId="0" applyFont="1" applyFill="1" applyBorder="1" applyAlignment="1">
      <alignment horizontal="center"/>
    </xf>
    <xf numFmtId="0" fontId="14" fillId="0" borderId="13" xfId="0" applyFont="1" applyFill="1" applyBorder="1" applyAlignment="1">
      <alignment horizontal="center"/>
    </xf>
    <xf numFmtId="0" fontId="14" fillId="0" borderId="13" xfId="0" applyFont="1" applyFill="1" applyBorder="1"/>
    <xf numFmtId="0" fontId="19" fillId="5" borderId="1"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5" borderId="1" xfId="0" applyFont="1" applyFill="1" applyBorder="1" applyAlignment="1">
      <alignment horizontal="center" vertical="center"/>
    </xf>
    <xf numFmtId="0" fontId="7" fillId="0" borderId="0" xfId="0" applyFont="1" applyBorder="1" applyAlignment="1">
      <alignment horizontal="center"/>
    </xf>
    <xf numFmtId="0" fontId="10" fillId="5" borderId="10" xfId="0" applyFont="1" applyFill="1" applyBorder="1" applyAlignment="1">
      <alignment horizontal="center" vertical="center"/>
    </xf>
    <xf numFmtId="0" fontId="10" fillId="5" borderId="2" xfId="0" applyFont="1" applyFill="1" applyBorder="1" applyAlignment="1">
      <alignment horizontal="center" vertical="center"/>
    </xf>
    <xf numFmtId="1" fontId="20" fillId="6" borderId="10" xfId="0" applyNumberFormat="1" applyFont="1" applyFill="1" applyBorder="1" applyAlignment="1">
      <alignment horizontal="center"/>
    </xf>
    <xf numFmtId="1" fontId="15" fillId="0" borderId="13" xfId="1" applyNumberFormat="1" applyFont="1" applyBorder="1" applyAlignment="1">
      <alignment horizontal="center"/>
    </xf>
    <xf numFmtId="0" fontId="1" fillId="7" borderId="11" xfId="0" applyFont="1" applyFill="1" applyBorder="1"/>
    <xf numFmtId="0" fontId="1" fillId="7" borderId="15" xfId="0" applyFont="1" applyFill="1" applyBorder="1"/>
    <xf numFmtId="0" fontId="1" fillId="0" borderId="14" xfId="0" applyFont="1" applyBorder="1"/>
    <xf numFmtId="0" fontId="0" fillId="0" borderId="1" xfId="0" applyBorder="1"/>
    <xf numFmtId="0" fontId="0" fillId="0" borderId="10" xfId="0" applyBorder="1"/>
    <xf numFmtId="0" fontId="1" fillId="8" borderId="1" xfId="0" applyFont="1" applyFill="1" applyBorder="1"/>
    <xf numFmtId="0" fontId="10"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3" fillId="3" borderId="7" xfId="0" applyFont="1" applyFill="1" applyBorder="1" applyAlignment="1">
      <alignment horizontal="left" vertical="center" wrapText="1"/>
    </xf>
    <xf numFmtId="0" fontId="13" fillId="3" borderId="8" xfId="0" applyFont="1" applyFill="1" applyBorder="1" applyAlignment="1">
      <alignment horizontal="left" vertical="center" wrapText="1"/>
    </xf>
    <xf numFmtId="0" fontId="10" fillId="5" borderId="3"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6" xfId="0" applyFont="1" applyFill="1" applyBorder="1" applyAlignment="1">
      <alignment horizontal="center" vertical="center"/>
    </xf>
    <xf numFmtId="0" fontId="18" fillId="5" borderId="2"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 fillId="0" borderId="0" xfId="0" applyFont="1" applyAlignment="1">
      <alignment vertical="top" wrapText="1"/>
    </xf>
    <xf numFmtId="0" fontId="1" fillId="0" borderId="0" xfId="0" applyFont="1" applyAlignment="1">
      <alignment vertical="top"/>
    </xf>
    <xf numFmtId="0" fontId="10" fillId="5" borderId="1"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2" xfId="0" applyFont="1" applyFill="1" applyBorder="1" applyAlignment="1">
      <alignment horizontal="center" vertical="center"/>
    </xf>
    <xf numFmtId="0" fontId="1" fillId="0" borderId="0" xfId="0" applyFont="1" applyAlignment="1">
      <alignment horizontal="left" vertical="top"/>
    </xf>
    <xf numFmtId="0" fontId="7" fillId="3" borderId="0"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26" fillId="0" borderId="6" xfId="0" applyFont="1" applyBorder="1" applyAlignment="1">
      <alignment horizontal="center" vertical="center"/>
    </xf>
    <xf numFmtId="0" fontId="26" fillId="0" borderId="2" xfId="0" applyFont="1" applyBorder="1" applyAlignment="1">
      <alignment horizontal="center" vertical="center"/>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26" fillId="0" borderId="6" xfId="0" applyFont="1" applyBorder="1" applyAlignment="1"/>
    <xf numFmtId="0" fontId="26" fillId="0" borderId="2" xfId="0" applyFont="1" applyBorder="1" applyAlignment="1"/>
    <xf numFmtId="0" fontId="10" fillId="5" borderId="6" xfId="0" applyFont="1" applyFill="1" applyBorder="1" applyAlignment="1">
      <alignment horizontal="center" vertical="center" wrapText="1"/>
    </xf>
    <xf numFmtId="0" fontId="1" fillId="0" borderId="0" xfId="0" applyFont="1" applyFill="1" applyAlignment="1">
      <alignment horizontal="left" vertical="top" wrapText="1"/>
    </xf>
    <xf numFmtId="0" fontId="13" fillId="3" borderId="7" xfId="0" applyFont="1" applyFill="1" applyBorder="1" applyAlignment="1">
      <alignment horizontal="left" wrapText="1"/>
    </xf>
    <xf numFmtId="0" fontId="13" fillId="3" borderId="8" xfId="0" applyFont="1" applyFill="1" applyBorder="1" applyAlignment="1">
      <alignment horizontal="left" wrapText="1"/>
    </xf>
    <xf numFmtId="0" fontId="7" fillId="0" borderId="0"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 fillId="0" borderId="0" xfId="0" applyFont="1" applyFill="1" applyAlignment="1">
      <alignment vertical="top" wrapText="1"/>
    </xf>
    <xf numFmtId="0" fontId="24" fillId="3" borderId="6"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0" fillId="5" borderId="11" xfId="0" applyFont="1" applyFill="1" applyBorder="1" applyAlignment="1">
      <alignment horizontal="center" vertical="center"/>
    </xf>
    <xf numFmtId="0" fontId="26" fillId="5" borderId="15" xfId="0" applyFont="1" applyFill="1" applyBorder="1" applyAlignment="1">
      <alignment horizontal="center" vertical="center"/>
    </xf>
    <xf numFmtId="0" fontId="19" fillId="5" borderId="1" xfId="0" applyFont="1" applyFill="1" applyBorder="1" applyAlignment="1">
      <alignment horizontal="center" vertical="center"/>
    </xf>
    <xf numFmtId="0" fontId="19" fillId="5" borderId="2" xfId="0" applyFont="1" applyFill="1" applyBorder="1" applyAlignment="1">
      <alignment horizontal="center" vertical="center"/>
    </xf>
    <xf numFmtId="0" fontId="10" fillId="5" borderId="11"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1" fillId="0" borderId="8" xfId="0" applyFont="1" applyFill="1" applyBorder="1" applyAlignment="1">
      <alignment horizontal="left" vertical="top" wrapText="1"/>
    </xf>
    <xf numFmtId="0" fontId="10" fillId="3" borderId="2" xfId="0" applyFont="1" applyFill="1" applyBorder="1" applyAlignment="1">
      <alignment horizontal="center" vertical="center" wrapText="1"/>
    </xf>
    <xf numFmtId="0" fontId="1" fillId="0" borderId="0" xfId="0" applyFont="1" applyAlignment="1">
      <alignment horizontal="left" vertical="top"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4"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9" fillId="5" borderId="6" xfId="0" applyFont="1" applyFill="1" applyBorder="1" applyAlignment="1">
      <alignment horizontal="center" vertical="center"/>
    </xf>
    <xf numFmtId="0" fontId="18"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99CCFF"/>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8ED6-8D86-4378-A119-2986E8CA30DE}">
  <sheetPr>
    <pageSetUpPr fitToPage="1"/>
  </sheetPr>
  <dimension ref="B1:AF109"/>
  <sheetViews>
    <sheetView showGridLines="0" tabSelected="1" workbookViewId="0">
      <selection activeCell="D2" sqref="D2"/>
    </sheetView>
  </sheetViews>
  <sheetFormatPr defaultColWidth="9.109375" defaultRowHeight="14.4" outlineLevelRow="1" x14ac:dyDescent="0.3"/>
  <cols>
    <col min="1" max="1" width="2.44140625" style="106" customWidth="1"/>
    <col min="2" max="3" width="19" style="106" customWidth="1"/>
    <col min="4" max="5" width="9.109375" style="106"/>
    <col min="6" max="6" width="13.6640625" style="106" customWidth="1"/>
    <col min="7" max="7" width="13.88671875" style="106" customWidth="1"/>
    <col min="8" max="8" width="13.6640625" style="106" customWidth="1"/>
    <col min="9" max="9" width="12.88671875" style="106" customWidth="1"/>
    <col min="10" max="10" width="13.21875" style="106" customWidth="1"/>
    <col min="11" max="11" width="12.6640625" style="106" customWidth="1"/>
    <col min="12" max="12" width="13.88671875" style="106" customWidth="1"/>
    <col min="13" max="13" width="12" style="106" customWidth="1"/>
    <col min="14" max="17" width="17" style="106" customWidth="1"/>
    <col min="18" max="18" width="15.44140625" style="106" customWidth="1"/>
    <col min="19" max="16384" width="9.109375" style="106"/>
  </cols>
  <sheetData>
    <row r="1" spans="2:32" s="107" customFormat="1" ht="13.2" x14ac:dyDescent="0.25">
      <c r="E1" s="108"/>
      <c r="F1" s="108"/>
      <c r="G1" s="108"/>
      <c r="H1" s="108"/>
      <c r="I1" s="108"/>
      <c r="J1" s="108"/>
      <c r="K1" s="108"/>
      <c r="L1" s="108"/>
      <c r="M1" s="108"/>
      <c r="N1" s="108"/>
      <c r="O1" s="108"/>
      <c r="P1" s="108"/>
      <c r="Q1" s="108"/>
      <c r="R1" s="108"/>
      <c r="S1" s="108"/>
    </row>
    <row r="2" spans="2:32" s="107" customFormat="1" ht="18.600000000000001" customHeight="1" x14ac:dyDescent="0.25">
      <c r="B2" s="262" t="s">
        <v>0</v>
      </c>
      <c r="C2" s="263"/>
      <c r="E2" s="108"/>
      <c r="F2" s="108"/>
      <c r="G2" s="108" t="s">
        <v>47</v>
      </c>
      <c r="H2" s="108"/>
      <c r="I2" s="108"/>
      <c r="J2" s="108"/>
      <c r="K2" s="108"/>
      <c r="L2" s="108"/>
      <c r="M2" s="108"/>
      <c r="N2" s="108"/>
      <c r="O2" s="108"/>
      <c r="P2" s="108"/>
      <c r="Q2" s="108"/>
      <c r="R2" s="108"/>
      <c r="S2" s="108"/>
    </row>
    <row r="3" spans="2:32" s="107" customFormat="1" ht="20.399999999999999" customHeight="1" x14ac:dyDescent="0.3">
      <c r="B3" s="109" t="s">
        <v>401</v>
      </c>
      <c r="F3" s="108"/>
      <c r="G3" s="108"/>
      <c r="H3" s="108"/>
      <c r="I3" s="108"/>
      <c r="J3" s="151"/>
      <c r="K3" s="108"/>
      <c r="L3" s="108"/>
      <c r="M3" s="108"/>
      <c r="N3" s="108"/>
      <c r="O3" s="108"/>
      <c r="P3" s="108"/>
      <c r="Q3" s="108"/>
      <c r="R3" s="108"/>
      <c r="S3" s="108"/>
    </row>
    <row r="4" spans="2:32" s="107" customFormat="1" ht="4.2" customHeight="1" x14ac:dyDescent="0.3">
      <c r="B4" s="109"/>
      <c r="F4" s="108"/>
      <c r="G4" s="108"/>
      <c r="H4" s="108"/>
      <c r="I4" s="108"/>
      <c r="J4" s="108"/>
      <c r="K4" s="108"/>
      <c r="L4" s="108"/>
      <c r="M4" s="108"/>
      <c r="N4" s="108"/>
      <c r="O4" s="108"/>
      <c r="P4" s="108"/>
      <c r="Q4" s="108"/>
      <c r="R4" s="108"/>
      <c r="S4" s="108"/>
    </row>
    <row r="5" spans="2:32" s="107" customFormat="1" ht="15" customHeight="1" x14ac:dyDescent="0.25">
      <c r="B5" s="105" t="s">
        <v>5</v>
      </c>
      <c r="F5" s="108"/>
      <c r="G5" s="108"/>
      <c r="H5" s="108"/>
      <c r="I5" s="108"/>
      <c r="J5" s="108"/>
      <c r="K5" s="108"/>
      <c r="L5" s="108"/>
      <c r="M5" s="108"/>
      <c r="N5" s="108"/>
      <c r="O5" s="108"/>
      <c r="P5" s="108"/>
      <c r="Q5" s="108"/>
      <c r="R5" s="108"/>
      <c r="S5" s="108"/>
    </row>
    <row r="6" spans="2:32" s="107" customFormat="1" ht="15" customHeight="1" x14ac:dyDescent="0.25">
      <c r="B6" s="107" t="s">
        <v>1</v>
      </c>
      <c r="O6" s="108"/>
      <c r="P6" s="108"/>
      <c r="Q6" s="108"/>
      <c r="R6" s="108"/>
      <c r="S6" s="108"/>
    </row>
    <row r="8" spans="2:32" s="107" customFormat="1" ht="53.4" customHeight="1" x14ac:dyDescent="0.25">
      <c r="B8" s="264" t="s">
        <v>34</v>
      </c>
      <c r="C8" s="265"/>
      <c r="D8" s="265"/>
      <c r="E8" s="266"/>
      <c r="F8" s="267" t="s">
        <v>172</v>
      </c>
      <c r="G8" s="268"/>
      <c r="H8" s="267" t="s">
        <v>173</v>
      </c>
      <c r="I8" s="268"/>
      <c r="J8" s="267" t="s">
        <v>357</v>
      </c>
      <c r="K8" s="268"/>
      <c r="L8" s="242" t="s">
        <v>176</v>
      </c>
      <c r="M8" s="243"/>
      <c r="N8" s="104"/>
      <c r="O8" s="104"/>
      <c r="P8" s="104"/>
      <c r="Q8" s="108"/>
      <c r="R8" s="108"/>
      <c r="S8" s="108"/>
      <c r="T8" s="108"/>
      <c r="U8" s="108"/>
      <c r="V8" s="108"/>
      <c r="W8" s="108"/>
      <c r="X8" s="108"/>
      <c r="Y8" s="108"/>
      <c r="Z8" s="108"/>
      <c r="AA8" s="108"/>
      <c r="AB8" s="108"/>
      <c r="AC8" s="108"/>
      <c r="AD8" s="108"/>
      <c r="AE8" s="108"/>
      <c r="AF8" s="108"/>
    </row>
    <row r="9" spans="2:32" s="107" customFormat="1" ht="14.4" customHeight="1" x14ac:dyDescent="0.25">
      <c r="B9" s="244" t="s">
        <v>402</v>
      </c>
      <c r="C9" s="245"/>
      <c r="D9" s="245"/>
      <c r="E9" s="245"/>
      <c r="F9" s="111" t="s">
        <v>37</v>
      </c>
      <c r="G9" s="128" t="s">
        <v>38</v>
      </c>
      <c r="H9" s="111" t="s">
        <v>37</v>
      </c>
      <c r="I9" s="128" t="s">
        <v>38</v>
      </c>
      <c r="J9" s="111" t="s">
        <v>37</v>
      </c>
      <c r="K9" s="128" t="s">
        <v>38</v>
      </c>
      <c r="L9" s="111" t="s">
        <v>37</v>
      </c>
      <c r="M9" s="131" t="s">
        <v>38</v>
      </c>
      <c r="N9" s="144"/>
      <c r="O9" s="144"/>
      <c r="P9" s="144"/>
      <c r="Q9" s="108"/>
      <c r="R9" s="108"/>
      <c r="S9" s="108"/>
      <c r="T9" s="108"/>
      <c r="U9" s="108"/>
      <c r="V9" s="108"/>
      <c r="W9" s="108"/>
      <c r="X9" s="108"/>
      <c r="Y9" s="108"/>
      <c r="Z9" s="108"/>
      <c r="AA9" s="108"/>
      <c r="AB9" s="108"/>
      <c r="AC9" s="108"/>
      <c r="AD9" s="108"/>
      <c r="AE9" s="108"/>
      <c r="AF9" s="108"/>
    </row>
    <row r="10" spans="2:32" s="107" customFormat="1" ht="15" customHeight="1" x14ac:dyDescent="0.25">
      <c r="B10" s="145"/>
      <c r="C10" s="146"/>
      <c r="D10" s="146"/>
      <c r="E10" s="146"/>
      <c r="F10" s="112"/>
      <c r="G10" s="125"/>
      <c r="H10" s="112"/>
      <c r="I10" s="125"/>
      <c r="J10" s="112"/>
      <c r="K10" s="125"/>
      <c r="L10" s="112"/>
      <c r="M10" s="113"/>
      <c r="N10" s="108"/>
      <c r="O10" s="108"/>
      <c r="P10" s="108"/>
      <c r="Q10" s="108"/>
      <c r="R10" s="108"/>
      <c r="S10" s="108"/>
      <c r="T10" s="108"/>
      <c r="U10" s="108"/>
      <c r="V10" s="108"/>
      <c r="W10" s="108"/>
      <c r="X10" s="108"/>
      <c r="Y10" s="108"/>
      <c r="Z10" s="108"/>
      <c r="AA10" s="108"/>
      <c r="AB10" s="108"/>
      <c r="AC10" s="108"/>
      <c r="AD10" s="108"/>
      <c r="AE10" s="108"/>
      <c r="AF10" s="108"/>
    </row>
    <row r="11" spans="2:32" s="107" customFormat="1" ht="15" customHeight="1" x14ac:dyDescent="0.25">
      <c r="B11" s="147" t="s">
        <v>39</v>
      </c>
      <c r="C11" s="148"/>
      <c r="D11" s="148"/>
      <c r="E11" s="149">
        <f>SUM(F11,H11,J11,L11)</f>
        <v>52</v>
      </c>
      <c r="F11" s="114">
        <f>SUM(F13,F15,F18,F28,F40,F45,F70)</f>
        <v>32</v>
      </c>
      <c r="G11" s="150">
        <f>F11/$E$11</f>
        <v>0.61538461538461542</v>
      </c>
      <c r="H11" s="137">
        <f>SUM(H13,H15,H18,H28,H40,H45,H70)</f>
        <v>18</v>
      </c>
      <c r="I11" s="150">
        <f>H11/$E$11</f>
        <v>0.34615384615384615</v>
      </c>
      <c r="J11" s="116">
        <f>SUM(J13,J15,J18,J28,J40,J45,J70)</f>
        <v>0</v>
      </c>
      <c r="K11" s="150">
        <f>J11/$E$11</f>
        <v>0</v>
      </c>
      <c r="L11" s="114">
        <f>SUM(L13,L15,L18,L28,L40,L45,L70)</f>
        <v>2</v>
      </c>
      <c r="M11" s="115">
        <f>L11/$E$11</f>
        <v>3.8461538461538464E-2</v>
      </c>
      <c r="N11" s="150"/>
      <c r="O11" s="150"/>
      <c r="P11" s="150"/>
      <c r="Q11" s="151"/>
      <c r="R11" s="151"/>
      <c r="S11" s="151"/>
      <c r="T11" s="151"/>
      <c r="U11" s="151"/>
      <c r="V11" s="151"/>
      <c r="W11" s="151"/>
      <c r="X11" s="151"/>
      <c r="Y11" s="151"/>
      <c r="Z11" s="151"/>
      <c r="AA11" s="108"/>
      <c r="AB11" s="108"/>
      <c r="AC11" s="108"/>
      <c r="AD11" s="108"/>
      <c r="AE11" s="108"/>
      <c r="AF11" s="108"/>
    </row>
    <row r="12" spans="2:32" s="107" customFormat="1" ht="15" customHeight="1" x14ac:dyDescent="0.25">
      <c r="B12" s="152"/>
      <c r="E12" s="108"/>
      <c r="F12" s="114"/>
      <c r="G12" s="108"/>
      <c r="H12" s="153"/>
      <c r="I12" s="108"/>
      <c r="J12" s="114"/>
      <c r="K12" s="108"/>
      <c r="L12" s="114"/>
      <c r="M12" s="154"/>
      <c r="N12" s="108"/>
      <c r="O12" s="108"/>
      <c r="P12" s="108"/>
      <c r="Q12" s="108"/>
      <c r="R12" s="108"/>
      <c r="S12" s="108"/>
      <c r="T12" s="108"/>
      <c r="U12" s="108"/>
      <c r="V12" s="108"/>
      <c r="W12" s="108"/>
      <c r="X12" s="108"/>
      <c r="Y12" s="108"/>
      <c r="Z12" s="108"/>
      <c r="AA12" s="108"/>
      <c r="AB12" s="108"/>
      <c r="AC12" s="108"/>
      <c r="AD12" s="108"/>
      <c r="AE12" s="108"/>
      <c r="AF12" s="108"/>
    </row>
    <row r="13" spans="2:32" s="107" customFormat="1" ht="15" customHeight="1" x14ac:dyDescent="0.25">
      <c r="B13" s="126" t="s">
        <v>52</v>
      </c>
      <c r="C13" s="155"/>
      <c r="D13" s="155"/>
      <c r="E13" s="156"/>
      <c r="F13" s="117">
        <f>F14</f>
        <v>0</v>
      </c>
      <c r="G13" s="156"/>
      <c r="H13" s="129">
        <f>H14</f>
        <v>1</v>
      </c>
      <c r="I13" s="156"/>
      <c r="J13" s="117">
        <f>J14</f>
        <v>0</v>
      </c>
      <c r="K13" s="156"/>
      <c r="L13" s="117">
        <f>L14</f>
        <v>0</v>
      </c>
      <c r="M13" s="118"/>
      <c r="N13" s="108"/>
      <c r="O13" s="108"/>
      <c r="P13" s="108"/>
      <c r="Q13" s="108"/>
      <c r="R13" s="108"/>
      <c r="S13" s="108"/>
      <c r="T13" s="108"/>
      <c r="U13" s="108"/>
      <c r="V13" s="108"/>
      <c r="W13" s="108"/>
      <c r="X13" s="108"/>
      <c r="Y13" s="108"/>
      <c r="Z13" s="108"/>
      <c r="AA13" s="108"/>
      <c r="AB13" s="108"/>
      <c r="AC13" s="108"/>
      <c r="AD13" s="108"/>
      <c r="AE13" s="108"/>
      <c r="AF13" s="108"/>
    </row>
    <row r="14" spans="2:32" s="107" customFormat="1" ht="15" hidden="1" customHeight="1" outlineLevel="1" x14ac:dyDescent="0.25">
      <c r="B14" s="166" t="s">
        <v>55</v>
      </c>
      <c r="E14" s="108"/>
      <c r="F14" s="190"/>
      <c r="G14" s="108"/>
      <c r="H14" s="185">
        <v>1</v>
      </c>
      <c r="I14" s="108"/>
      <c r="J14" s="190"/>
      <c r="K14" s="108"/>
      <c r="L14" s="190"/>
      <c r="M14" s="154"/>
      <c r="N14" s="108"/>
      <c r="O14" s="108"/>
      <c r="P14" s="108"/>
      <c r="Q14" s="108"/>
      <c r="R14" s="108"/>
      <c r="S14" s="108"/>
      <c r="T14" s="108"/>
      <c r="U14" s="108"/>
      <c r="V14" s="108"/>
      <c r="W14" s="108"/>
      <c r="X14" s="108"/>
      <c r="Y14" s="108"/>
      <c r="Z14" s="108"/>
      <c r="AA14" s="108"/>
      <c r="AB14" s="108"/>
      <c r="AC14" s="108"/>
      <c r="AD14" s="108"/>
      <c r="AE14" s="108"/>
      <c r="AF14" s="108"/>
    </row>
    <row r="15" spans="2:32" s="107" customFormat="1" ht="15" customHeight="1" collapsed="1" x14ac:dyDescent="0.25">
      <c r="B15" s="166" t="s">
        <v>57</v>
      </c>
      <c r="E15" s="108"/>
      <c r="F15" s="114">
        <f>SUM(F16:F17)</f>
        <v>2</v>
      </c>
      <c r="G15" s="108"/>
      <c r="H15" s="153">
        <f>SUM(H16:H17)</f>
        <v>0</v>
      </c>
      <c r="I15" s="108"/>
      <c r="J15" s="114">
        <f>SUM(J16:J17)</f>
        <v>0</v>
      </c>
      <c r="K15" s="108"/>
      <c r="L15" s="114">
        <f>SUM(L16:L17)</f>
        <v>0</v>
      </c>
      <c r="M15" s="154"/>
      <c r="N15" s="108"/>
      <c r="O15" s="108"/>
      <c r="P15" s="108"/>
      <c r="Q15" s="108"/>
      <c r="R15" s="108"/>
      <c r="S15" s="108"/>
      <c r="T15" s="108"/>
      <c r="U15" s="108"/>
      <c r="V15" s="108"/>
      <c r="W15" s="108"/>
      <c r="X15" s="108"/>
      <c r="Y15" s="108"/>
      <c r="Z15" s="108"/>
      <c r="AA15" s="108"/>
      <c r="AB15" s="108"/>
      <c r="AC15" s="108"/>
      <c r="AD15" s="108"/>
      <c r="AE15" s="108"/>
      <c r="AF15" s="108"/>
    </row>
    <row r="16" spans="2:32" s="107" customFormat="1" ht="15" hidden="1" customHeight="1" outlineLevel="1" x14ac:dyDescent="0.25">
      <c r="B16" s="166" t="s">
        <v>58</v>
      </c>
      <c r="E16" s="108"/>
      <c r="F16" s="186">
        <v>1</v>
      </c>
      <c r="G16" s="108"/>
      <c r="H16" s="188"/>
      <c r="I16" s="108"/>
      <c r="J16" s="186"/>
      <c r="K16" s="108"/>
      <c r="L16" s="186"/>
      <c r="M16" s="154"/>
      <c r="N16" s="108"/>
      <c r="O16" s="108"/>
      <c r="P16" s="108"/>
      <c r="Q16" s="108"/>
      <c r="R16" s="108"/>
      <c r="S16" s="108"/>
      <c r="T16" s="108"/>
      <c r="U16" s="108"/>
      <c r="V16" s="108"/>
      <c r="W16" s="108"/>
      <c r="X16" s="108"/>
      <c r="Y16" s="108"/>
      <c r="Z16" s="108"/>
      <c r="AA16" s="108"/>
      <c r="AB16" s="108"/>
      <c r="AC16" s="108"/>
      <c r="AD16" s="108"/>
      <c r="AE16" s="108"/>
      <c r="AF16" s="108"/>
    </row>
    <row r="17" spans="2:32" s="107" customFormat="1" ht="15" hidden="1" customHeight="1" outlineLevel="1" x14ac:dyDescent="0.25">
      <c r="B17" s="166" t="s">
        <v>59</v>
      </c>
      <c r="E17" s="108"/>
      <c r="F17" s="187">
        <v>1</v>
      </c>
      <c r="G17" s="108"/>
      <c r="H17" s="189"/>
      <c r="I17" s="108"/>
      <c r="J17" s="187"/>
      <c r="K17" s="108"/>
      <c r="L17" s="187"/>
      <c r="M17" s="154"/>
      <c r="N17" s="108"/>
      <c r="O17" s="108"/>
      <c r="P17" s="108"/>
      <c r="Q17" s="108"/>
      <c r="R17" s="108"/>
      <c r="S17" s="108"/>
      <c r="T17" s="108"/>
      <c r="U17" s="108"/>
      <c r="V17" s="108"/>
      <c r="W17" s="108"/>
      <c r="X17" s="108"/>
      <c r="Y17" s="108"/>
      <c r="Z17" s="108"/>
      <c r="AA17" s="108"/>
      <c r="AB17" s="108"/>
      <c r="AC17" s="108"/>
      <c r="AD17" s="108"/>
      <c r="AE17" s="108"/>
      <c r="AF17" s="108"/>
    </row>
    <row r="18" spans="2:32" s="107" customFormat="1" ht="15" customHeight="1" collapsed="1" x14ac:dyDescent="0.25">
      <c r="B18" s="126" t="s">
        <v>60</v>
      </c>
      <c r="C18" s="155"/>
      <c r="D18" s="155"/>
      <c r="E18" s="156"/>
      <c r="F18" s="117">
        <f>SUM(F19:F27)</f>
        <v>6</v>
      </c>
      <c r="G18" s="156"/>
      <c r="H18" s="129">
        <f>SUM(H19:H27)</f>
        <v>3</v>
      </c>
      <c r="I18" s="156"/>
      <c r="J18" s="117">
        <f>SUM(J19:J27)</f>
        <v>0</v>
      </c>
      <c r="K18" s="156"/>
      <c r="L18" s="117">
        <f>SUM(L19:L27)</f>
        <v>0</v>
      </c>
      <c r="M18" s="118"/>
      <c r="N18" s="108"/>
      <c r="O18" s="108"/>
      <c r="P18" s="108"/>
      <c r="Q18" s="108"/>
      <c r="R18" s="108"/>
      <c r="S18" s="108"/>
      <c r="T18" s="108"/>
      <c r="U18" s="108"/>
      <c r="V18" s="108"/>
      <c r="W18" s="108"/>
      <c r="X18" s="108"/>
      <c r="Y18" s="108"/>
      <c r="Z18" s="108"/>
      <c r="AA18" s="108"/>
      <c r="AB18" s="108"/>
      <c r="AC18" s="108"/>
      <c r="AD18" s="108"/>
      <c r="AE18" s="108"/>
      <c r="AF18" s="108"/>
    </row>
    <row r="19" spans="2:32" s="107" customFormat="1" ht="15" hidden="1" customHeight="1" outlineLevel="1" x14ac:dyDescent="0.25">
      <c r="B19" s="166" t="s">
        <v>61</v>
      </c>
      <c r="E19" s="108"/>
      <c r="F19" s="186">
        <v>1</v>
      </c>
      <c r="G19" s="108"/>
      <c r="H19" s="188"/>
      <c r="I19" s="108"/>
      <c r="J19" s="186"/>
      <c r="K19" s="108"/>
      <c r="L19" s="186"/>
      <c r="M19" s="154"/>
      <c r="N19" s="108"/>
      <c r="O19" s="108"/>
      <c r="P19" s="108"/>
      <c r="Q19" s="108"/>
      <c r="R19" s="108"/>
      <c r="S19" s="108"/>
      <c r="T19" s="108"/>
      <c r="U19" s="108"/>
      <c r="V19" s="108"/>
      <c r="W19" s="108"/>
      <c r="X19" s="108"/>
      <c r="Y19" s="108"/>
      <c r="Z19" s="108"/>
      <c r="AA19" s="108"/>
      <c r="AB19" s="108"/>
      <c r="AC19" s="108"/>
      <c r="AD19" s="108"/>
      <c r="AE19" s="108"/>
      <c r="AF19" s="108"/>
    </row>
    <row r="20" spans="2:32" s="107" customFormat="1" ht="15" hidden="1" customHeight="1" outlineLevel="1" x14ac:dyDescent="0.25">
      <c r="B20" s="166" t="s">
        <v>62</v>
      </c>
      <c r="E20" s="108"/>
      <c r="F20" s="127">
        <v>1</v>
      </c>
      <c r="G20" s="108"/>
      <c r="H20" s="130"/>
      <c r="I20" s="108"/>
      <c r="J20" s="127"/>
      <c r="K20" s="108"/>
      <c r="L20" s="127"/>
      <c r="M20" s="154"/>
      <c r="N20" s="108"/>
      <c r="O20" s="108"/>
      <c r="P20" s="108"/>
      <c r="Q20" s="108"/>
      <c r="R20" s="108"/>
      <c r="S20" s="108"/>
      <c r="T20" s="108"/>
      <c r="U20" s="108"/>
      <c r="V20" s="108"/>
      <c r="W20" s="108"/>
      <c r="X20" s="108"/>
      <c r="Y20" s="108"/>
      <c r="Z20" s="108"/>
      <c r="AA20" s="108"/>
      <c r="AB20" s="108"/>
      <c r="AC20" s="108"/>
      <c r="AD20" s="108"/>
      <c r="AE20" s="108"/>
      <c r="AF20" s="108"/>
    </row>
    <row r="21" spans="2:32" s="107" customFormat="1" ht="15" hidden="1" customHeight="1" outlineLevel="1" x14ac:dyDescent="0.25">
      <c r="B21" s="166" t="s">
        <v>63</v>
      </c>
      <c r="E21" s="108"/>
      <c r="F21" s="127">
        <v>1</v>
      </c>
      <c r="G21" s="108"/>
      <c r="H21" s="130"/>
      <c r="I21" s="108"/>
      <c r="J21" s="127"/>
      <c r="K21" s="108"/>
      <c r="L21" s="127"/>
      <c r="M21" s="154"/>
      <c r="N21" s="108"/>
      <c r="O21" s="108"/>
      <c r="P21" s="108"/>
      <c r="Q21" s="108"/>
      <c r="R21" s="108"/>
      <c r="S21" s="108"/>
      <c r="T21" s="108"/>
      <c r="U21" s="108"/>
      <c r="V21" s="108"/>
      <c r="W21" s="108"/>
      <c r="X21" s="108"/>
      <c r="Y21" s="108"/>
      <c r="Z21" s="108"/>
      <c r="AA21" s="108"/>
      <c r="AB21" s="108"/>
      <c r="AC21" s="108"/>
      <c r="AD21" s="108"/>
      <c r="AE21" s="108"/>
      <c r="AF21" s="108"/>
    </row>
    <row r="22" spans="2:32" s="107" customFormat="1" ht="15" hidden="1" customHeight="1" outlineLevel="1" x14ac:dyDescent="0.25">
      <c r="B22" s="166" t="s">
        <v>64</v>
      </c>
      <c r="E22" s="108"/>
      <c r="F22" s="127"/>
      <c r="G22" s="108"/>
      <c r="H22" s="130">
        <v>1</v>
      </c>
      <c r="I22" s="108"/>
      <c r="J22" s="127"/>
      <c r="K22" s="108"/>
      <c r="L22" s="127"/>
      <c r="M22" s="154"/>
      <c r="N22" s="108"/>
      <c r="O22" s="108"/>
      <c r="P22" s="108"/>
      <c r="Q22" s="108"/>
      <c r="R22" s="108"/>
      <c r="S22" s="108"/>
      <c r="T22" s="108"/>
      <c r="U22" s="108"/>
      <c r="V22" s="108"/>
      <c r="W22" s="108"/>
      <c r="X22" s="108"/>
      <c r="Y22" s="108"/>
      <c r="Z22" s="108"/>
      <c r="AA22" s="108"/>
      <c r="AB22" s="108"/>
      <c r="AC22" s="108"/>
      <c r="AD22" s="108"/>
      <c r="AE22" s="108"/>
      <c r="AF22" s="108"/>
    </row>
    <row r="23" spans="2:32" s="107" customFormat="1" ht="15" hidden="1" customHeight="1" outlineLevel="1" x14ac:dyDescent="0.25">
      <c r="B23" s="166" t="s">
        <v>65</v>
      </c>
      <c r="E23" s="108"/>
      <c r="F23" s="127">
        <v>1</v>
      </c>
      <c r="G23" s="108"/>
      <c r="H23" s="130"/>
      <c r="I23" s="108"/>
      <c r="J23" s="127"/>
      <c r="K23" s="108"/>
      <c r="L23" s="127"/>
      <c r="M23" s="154"/>
      <c r="N23" s="108"/>
      <c r="O23" s="108"/>
      <c r="P23" s="108"/>
      <c r="Q23" s="108"/>
      <c r="R23" s="108"/>
      <c r="S23" s="108"/>
      <c r="T23" s="108"/>
      <c r="U23" s="108"/>
      <c r="V23" s="108"/>
      <c r="W23" s="108"/>
      <c r="X23" s="108"/>
      <c r="Y23" s="108"/>
      <c r="Z23" s="108"/>
      <c r="AA23" s="108"/>
      <c r="AB23" s="108"/>
      <c r="AC23" s="108"/>
      <c r="AD23" s="108"/>
      <c r="AE23" s="108"/>
      <c r="AF23" s="108"/>
    </row>
    <row r="24" spans="2:32" s="107" customFormat="1" ht="15" hidden="1" customHeight="1" outlineLevel="1" x14ac:dyDescent="0.25">
      <c r="B24" s="166" t="s">
        <v>66</v>
      </c>
      <c r="E24" s="108"/>
      <c r="F24" s="127">
        <v>1</v>
      </c>
      <c r="G24" s="108"/>
      <c r="H24" s="130"/>
      <c r="I24" s="108"/>
      <c r="J24" s="127"/>
      <c r="K24" s="108"/>
      <c r="L24" s="127"/>
      <c r="M24" s="154"/>
      <c r="N24" s="108"/>
      <c r="O24" s="108"/>
      <c r="P24" s="108"/>
      <c r="Q24" s="108"/>
      <c r="R24" s="108"/>
      <c r="S24" s="108"/>
      <c r="T24" s="108"/>
      <c r="U24" s="108"/>
      <c r="V24" s="108"/>
      <c r="W24" s="108"/>
      <c r="X24" s="108"/>
      <c r="Y24" s="108"/>
      <c r="Z24" s="108"/>
      <c r="AA24" s="108"/>
      <c r="AB24" s="108"/>
      <c r="AC24" s="108"/>
      <c r="AD24" s="108"/>
      <c r="AE24" s="108"/>
      <c r="AF24" s="108"/>
    </row>
    <row r="25" spans="2:32" s="107" customFormat="1" ht="15" hidden="1" customHeight="1" outlineLevel="1" x14ac:dyDescent="0.25">
      <c r="B25" s="166" t="s">
        <v>67</v>
      </c>
      <c r="E25" s="108"/>
      <c r="F25" s="127"/>
      <c r="G25" s="108"/>
      <c r="H25" s="130">
        <v>1</v>
      </c>
      <c r="I25" s="108"/>
      <c r="J25" s="127"/>
      <c r="K25" s="108"/>
      <c r="L25" s="127"/>
      <c r="M25" s="154"/>
      <c r="N25" s="108"/>
      <c r="O25" s="108"/>
      <c r="P25" s="108"/>
      <c r="Q25" s="108"/>
      <c r="R25" s="108"/>
      <c r="S25" s="108"/>
      <c r="T25" s="108"/>
      <c r="U25" s="108"/>
      <c r="V25" s="108"/>
      <c r="W25" s="108"/>
      <c r="X25" s="108"/>
      <c r="Y25" s="108"/>
      <c r="Z25" s="108"/>
      <c r="AA25" s="108"/>
      <c r="AB25" s="108"/>
      <c r="AC25" s="108"/>
      <c r="AD25" s="108"/>
      <c r="AE25" s="108"/>
      <c r="AF25" s="108"/>
    </row>
    <row r="26" spans="2:32" s="107" customFormat="1" ht="15" hidden="1" customHeight="1" outlineLevel="1" x14ac:dyDescent="0.25">
      <c r="B26" s="166" t="s">
        <v>68</v>
      </c>
      <c r="E26" s="108"/>
      <c r="F26" s="127"/>
      <c r="G26" s="108"/>
      <c r="H26" s="130">
        <v>1</v>
      </c>
      <c r="I26" s="108"/>
      <c r="J26" s="127"/>
      <c r="K26" s="108"/>
      <c r="L26" s="127"/>
      <c r="M26" s="154"/>
      <c r="N26" s="108"/>
      <c r="O26" s="108"/>
      <c r="P26" s="108"/>
      <c r="Q26" s="108"/>
      <c r="R26" s="108"/>
      <c r="S26" s="108"/>
      <c r="T26" s="108"/>
      <c r="U26" s="108"/>
      <c r="V26" s="108"/>
      <c r="W26" s="108"/>
      <c r="X26" s="108"/>
      <c r="Y26" s="108"/>
      <c r="Z26" s="108"/>
      <c r="AA26" s="108"/>
      <c r="AB26" s="108"/>
      <c r="AC26" s="108"/>
      <c r="AD26" s="108"/>
      <c r="AE26" s="108"/>
      <c r="AF26" s="108"/>
    </row>
    <row r="27" spans="2:32" s="107" customFormat="1" ht="15" hidden="1" customHeight="1" outlineLevel="1" x14ac:dyDescent="0.25">
      <c r="B27" s="166" t="s">
        <v>69</v>
      </c>
      <c r="E27" s="108"/>
      <c r="F27" s="187">
        <v>1</v>
      </c>
      <c r="G27" s="108"/>
      <c r="H27" s="189"/>
      <c r="I27" s="108"/>
      <c r="J27" s="187"/>
      <c r="K27" s="108"/>
      <c r="L27" s="187"/>
      <c r="M27" s="154"/>
      <c r="N27" s="108"/>
      <c r="O27" s="108"/>
      <c r="P27" s="108"/>
      <c r="Q27" s="108"/>
      <c r="R27" s="108"/>
      <c r="S27" s="108"/>
      <c r="T27" s="108"/>
      <c r="U27" s="108"/>
      <c r="V27" s="108"/>
      <c r="W27" s="108"/>
      <c r="X27" s="108"/>
      <c r="Y27" s="108"/>
      <c r="Z27" s="108"/>
      <c r="AA27" s="108"/>
      <c r="AB27" s="108"/>
      <c r="AC27" s="108"/>
      <c r="AD27" s="108"/>
      <c r="AE27" s="108"/>
      <c r="AF27" s="108"/>
    </row>
    <row r="28" spans="2:32" s="107" customFormat="1" ht="15" customHeight="1" collapsed="1" x14ac:dyDescent="0.25">
      <c r="B28" s="166" t="s">
        <v>40</v>
      </c>
      <c r="E28" s="108"/>
      <c r="F28" s="114">
        <f>SUM(F29:F39)</f>
        <v>6</v>
      </c>
      <c r="G28" s="108"/>
      <c r="H28" s="153">
        <f>SUM(H29:H39)</f>
        <v>4</v>
      </c>
      <c r="I28" s="108"/>
      <c r="J28" s="114">
        <f>SUM(J29:J39)</f>
        <v>0</v>
      </c>
      <c r="K28" s="108"/>
      <c r="L28" s="114">
        <f>SUM(L29:L39)</f>
        <v>1</v>
      </c>
      <c r="M28" s="154"/>
      <c r="N28" s="108"/>
      <c r="O28" s="108"/>
      <c r="P28" s="108"/>
      <c r="Q28" s="108"/>
      <c r="R28" s="108"/>
      <c r="S28" s="108"/>
      <c r="T28" s="108"/>
      <c r="U28" s="108"/>
      <c r="V28" s="108"/>
      <c r="W28" s="108"/>
      <c r="X28" s="108"/>
      <c r="Y28" s="108"/>
      <c r="Z28" s="108"/>
      <c r="AA28" s="108"/>
      <c r="AB28" s="108"/>
      <c r="AC28" s="108"/>
      <c r="AD28" s="108"/>
      <c r="AE28" s="108"/>
      <c r="AF28" s="108"/>
    </row>
    <row r="29" spans="2:32" s="107" customFormat="1" ht="15" hidden="1" customHeight="1" outlineLevel="1" x14ac:dyDescent="0.25">
      <c r="B29" s="166" t="s">
        <v>70</v>
      </c>
      <c r="E29" s="108"/>
      <c r="F29" s="186"/>
      <c r="G29" s="108"/>
      <c r="H29" s="188">
        <v>1</v>
      </c>
      <c r="I29" s="108"/>
      <c r="J29" s="186"/>
      <c r="K29" s="108"/>
      <c r="L29" s="186"/>
      <c r="M29" s="154"/>
      <c r="N29" s="108"/>
      <c r="O29" s="108"/>
      <c r="P29" s="108"/>
      <c r="Q29" s="108"/>
      <c r="R29" s="108"/>
      <c r="S29" s="108"/>
      <c r="T29" s="108"/>
      <c r="U29" s="108"/>
      <c r="V29" s="108"/>
      <c r="W29" s="108"/>
      <c r="X29" s="108"/>
      <c r="Y29" s="108"/>
      <c r="Z29" s="108"/>
      <c r="AA29" s="108"/>
      <c r="AB29" s="108"/>
      <c r="AC29" s="108"/>
      <c r="AD29" s="108"/>
      <c r="AE29" s="108"/>
      <c r="AF29" s="108"/>
    </row>
    <row r="30" spans="2:32" s="107" customFormat="1" ht="15" hidden="1" customHeight="1" outlineLevel="1" x14ac:dyDescent="0.25">
      <c r="B30" s="166" t="s">
        <v>71</v>
      </c>
      <c r="E30" s="108"/>
      <c r="F30" s="127"/>
      <c r="G30" s="108"/>
      <c r="H30" s="130"/>
      <c r="I30" s="108"/>
      <c r="J30" s="127"/>
      <c r="K30" s="108"/>
      <c r="L30" s="127">
        <v>1</v>
      </c>
      <c r="M30" s="154"/>
      <c r="N30" s="108"/>
      <c r="O30" s="108"/>
      <c r="P30" s="158"/>
      <c r="Q30" s="108"/>
      <c r="R30" s="108"/>
      <c r="S30" s="108"/>
      <c r="T30" s="108"/>
      <c r="U30" s="108"/>
      <c r="V30" s="108"/>
      <c r="W30" s="108"/>
      <c r="X30" s="108"/>
      <c r="Y30" s="108"/>
      <c r="Z30" s="108"/>
      <c r="AA30" s="108"/>
      <c r="AB30" s="108"/>
      <c r="AC30" s="108"/>
      <c r="AD30" s="108"/>
      <c r="AE30" s="108"/>
      <c r="AF30" s="108"/>
    </row>
    <row r="31" spans="2:32" s="107" customFormat="1" ht="15" hidden="1" customHeight="1" outlineLevel="1" x14ac:dyDescent="0.25">
      <c r="B31" s="166" t="s">
        <v>72</v>
      </c>
      <c r="E31" s="108"/>
      <c r="F31" s="127">
        <v>1</v>
      </c>
      <c r="G31" s="108"/>
      <c r="H31" s="130"/>
      <c r="I31" s="108"/>
      <c r="J31" s="127"/>
      <c r="K31" s="108"/>
      <c r="L31" s="127"/>
      <c r="M31" s="154"/>
      <c r="N31" s="108"/>
      <c r="O31" s="108"/>
      <c r="P31" s="108"/>
      <c r="Q31" s="108"/>
      <c r="R31" s="108"/>
      <c r="S31" s="108"/>
      <c r="T31" s="108"/>
      <c r="U31" s="108"/>
      <c r="V31" s="108"/>
      <c r="W31" s="108"/>
      <c r="X31" s="108"/>
      <c r="Y31" s="108"/>
      <c r="Z31" s="108"/>
      <c r="AA31" s="108"/>
      <c r="AB31" s="108"/>
      <c r="AC31" s="108"/>
      <c r="AD31" s="108"/>
      <c r="AE31" s="108"/>
      <c r="AF31" s="108"/>
    </row>
    <row r="32" spans="2:32" s="107" customFormat="1" ht="15" hidden="1" customHeight="1" outlineLevel="1" x14ac:dyDescent="0.25">
      <c r="B32" s="166" t="s">
        <v>73</v>
      </c>
      <c r="E32" s="108"/>
      <c r="F32" s="127"/>
      <c r="G32" s="108"/>
      <c r="H32" s="130">
        <v>1</v>
      </c>
      <c r="I32" s="108"/>
      <c r="J32" s="127"/>
      <c r="K32" s="108"/>
      <c r="L32" s="127"/>
      <c r="M32" s="154"/>
      <c r="N32" s="108"/>
      <c r="O32" s="108"/>
      <c r="P32" s="108"/>
      <c r="Q32" s="108"/>
      <c r="R32" s="108"/>
      <c r="S32" s="108"/>
      <c r="T32" s="108"/>
      <c r="U32" s="108"/>
      <c r="V32" s="108"/>
      <c r="W32" s="108"/>
      <c r="X32" s="108"/>
      <c r="Y32" s="108"/>
      <c r="Z32" s="108"/>
      <c r="AA32" s="108"/>
      <c r="AB32" s="108"/>
      <c r="AC32" s="108"/>
      <c r="AD32" s="108"/>
      <c r="AE32" s="108"/>
      <c r="AF32" s="108"/>
    </row>
    <row r="33" spans="2:32" s="107" customFormat="1" ht="15" hidden="1" customHeight="1" outlineLevel="1" x14ac:dyDescent="0.25">
      <c r="B33" s="166" t="s">
        <v>74</v>
      </c>
      <c r="E33" s="108"/>
      <c r="F33" s="127">
        <v>1</v>
      </c>
      <c r="G33" s="108"/>
      <c r="H33" s="130"/>
      <c r="I33" s="108"/>
      <c r="J33" s="127"/>
      <c r="K33" s="108"/>
      <c r="L33" s="127"/>
      <c r="M33" s="154"/>
      <c r="N33" s="108"/>
      <c r="O33" s="108"/>
      <c r="P33" s="108"/>
      <c r="Q33" s="108"/>
      <c r="R33" s="108"/>
      <c r="S33" s="108"/>
      <c r="T33" s="108"/>
      <c r="U33" s="108"/>
      <c r="V33" s="108"/>
      <c r="W33" s="108"/>
      <c r="X33" s="108"/>
      <c r="Y33" s="108"/>
      <c r="Z33" s="108"/>
      <c r="AA33" s="108"/>
      <c r="AB33" s="108"/>
      <c r="AC33" s="108"/>
      <c r="AD33" s="108"/>
      <c r="AE33" s="108"/>
      <c r="AF33" s="108"/>
    </row>
    <row r="34" spans="2:32" s="107" customFormat="1" ht="15" hidden="1" customHeight="1" outlineLevel="1" x14ac:dyDescent="0.25">
      <c r="B34" s="166" t="s">
        <v>75</v>
      </c>
      <c r="E34" s="108"/>
      <c r="F34" s="127">
        <v>1</v>
      </c>
      <c r="G34" s="108"/>
      <c r="H34" s="130"/>
      <c r="I34" s="108"/>
      <c r="J34" s="127"/>
      <c r="K34" s="108"/>
      <c r="L34" s="127"/>
      <c r="M34" s="154"/>
      <c r="N34" s="108"/>
      <c r="O34" s="108"/>
      <c r="P34" s="108"/>
      <c r="Q34" s="108"/>
      <c r="R34" s="108"/>
      <c r="S34" s="108"/>
      <c r="T34" s="108"/>
      <c r="U34" s="108"/>
      <c r="V34" s="108"/>
      <c r="W34" s="108"/>
      <c r="X34" s="108"/>
      <c r="Y34" s="108"/>
      <c r="Z34" s="108"/>
      <c r="AA34" s="108"/>
      <c r="AB34" s="108"/>
      <c r="AC34" s="108"/>
      <c r="AD34" s="108"/>
      <c r="AE34" s="108"/>
      <c r="AF34" s="108"/>
    </row>
    <row r="35" spans="2:32" s="107" customFormat="1" ht="15" hidden="1" customHeight="1" outlineLevel="1" x14ac:dyDescent="0.25">
      <c r="B35" s="166" t="s">
        <v>76</v>
      </c>
      <c r="E35" s="108"/>
      <c r="F35" s="127"/>
      <c r="G35" s="108"/>
      <c r="H35" s="130">
        <v>1</v>
      </c>
      <c r="I35" s="108"/>
      <c r="J35" s="127"/>
      <c r="K35" s="108"/>
      <c r="L35" s="127"/>
      <c r="M35" s="154"/>
      <c r="N35" s="108"/>
      <c r="O35" s="108"/>
      <c r="P35" s="108"/>
      <c r="Q35" s="108"/>
      <c r="R35" s="108"/>
      <c r="S35" s="108"/>
      <c r="T35" s="108"/>
      <c r="U35" s="108"/>
      <c r="V35" s="108"/>
      <c r="W35" s="108"/>
      <c r="X35" s="108"/>
      <c r="Y35" s="108"/>
      <c r="Z35" s="108"/>
      <c r="AA35" s="108"/>
      <c r="AB35" s="108"/>
      <c r="AC35" s="108"/>
      <c r="AD35" s="108"/>
      <c r="AE35" s="108"/>
      <c r="AF35" s="108"/>
    </row>
    <row r="36" spans="2:32" s="107" customFormat="1" ht="15" hidden="1" customHeight="1" outlineLevel="1" x14ac:dyDescent="0.25">
      <c r="B36" s="166" t="s">
        <v>77</v>
      </c>
      <c r="E36" s="108"/>
      <c r="F36" s="127">
        <v>1</v>
      </c>
      <c r="G36" s="108"/>
      <c r="H36" s="130"/>
      <c r="I36" s="108"/>
      <c r="J36" s="127"/>
      <c r="K36" s="108"/>
      <c r="L36" s="127"/>
      <c r="M36" s="154"/>
      <c r="N36" s="108"/>
      <c r="O36" s="108"/>
      <c r="P36" s="108"/>
      <c r="Q36" s="108"/>
      <c r="R36" s="108"/>
      <c r="S36" s="108"/>
      <c r="T36" s="108"/>
      <c r="U36" s="108"/>
      <c r="V36" s="108"/>
      <c r="W36" s="108"/>
      <c r="X36" s="108"/>
      <c r="Y36" s="108"/>
      <c r="Z36" s="108"/>
      <c r="AA36" s="108"/>
      <c r="AB36" s="108"/>
      <c r="AC36" s="108"/>
      <c r="AD36" s="108"/>
      <c r="AE36" s="108"/>
      <c r="AF36" s="108"/>
    </row>
    <row r="37" spans="2:32" s="107" customFormat="1" ht="15" hidden="1" customHeight="1" outlineLevel="1" x14ac:dyDescent="0.25">
      <c r="B37" s="166" t="s">
        <v>78</v>
      </c>
      <c r="E37" s="108"/>
      <c r="F37" s="127">
        <v>1</v>
      </c>
      <c r="G37" s="108"/>
      <c r="H37" s="130"/>
      <c r="I37" s="108"/>
      <c r="J37" s="127"/>
      <c r="K37" s="108"/>
      <c r="L37" s="127"/>
      <c r="M37" s="154"/>
      <c r="N37" s="108"/>
      <c r="O37" s="108"/>
      <c r="P37" s="108"/>
      <c r="Q37" s="108"/>
      <c r="R37" s="108"/>
      <c r="S37" s="108"/>
      <c r="T37" s="108"/>
      <c r="U37" s="108"/>
      <c r="V37" s="108"/>
      <c r="W37" s="108"/>
      <c r="X37" s="108"/>
      <c r="Y37" s="108"/>
      <c r="Z37" s="108"/>
      <c r="AA37" s="108"/>
      <c r="AB37" s="108"/>
      <c r="AC37" s="108"/>
      <c r="AD37" s="108"/>
      <c r="AE37" s="108"/>
      <c r="AF37" s="108"/>
    </row>
    <row r="38" spans="2:32" s="107" customFormat="1" ht="15" hidden="1" customHeight="1" outlineLevel="1" x14ac:dyDescent="0.25">
      <c r="B38" s="166" t="s">
        <v>41</v>
      </c>
      <c r="E38" s="108"/>
      <c r="F38" s="127"/>
      <c r="G38" s="108"/>
      <c r="H38" s="130">
        <v>1</v>
      </c>
      <c r="I38" s="108"/>
      <c r="J38" s="127"/>
      <c r="K38" s="108"/>
      <c r="L38" s="127"/>
      <c r="M38" s="154"/>
      <c r="N38" s="108"/>
      <c r="O38" s="108"/>
      <c r="P38" s="108"/>
      <c r="Q38" s="108"/>
      <c r="R38" s="108"/>
      <c r="S38" s="108"/>
      <c r="T38" s="108"/>
      <c r="U38" s="108"/>
      <c r="V38" s="108"/>
      <c r="W38" s="108"/>
      <c r="X38" s="108"/>
      <c r="Y38" s="108"/>
      <c r="Z38" s="108"/>
      <c r="AA38" s="108"/>
      <c r="AB38" s="108"/>
      <c r="AC38" s="108"/>
      <c r="AD38" s="108"/>
      <c r="AE38" s="108"/>
      <c r="AF38" s="108"/>
    </row>
    <row r="39" spans="2:32" s="107" customFormat="1" ht="15" hidden="1" customHeight="1" outlineLevel="1" x14ac:dyDescent="0.25">
      <c r="B39" s="166" t="s">
        <v>79</v>
      </c>
      <c r="E39" s="108"/>
      <c r="F39" s="187">
        <v>1</v>
      </c>
      <c r="G39" s="108"/>
      <c r="H39" s="189"/>
      <c r="I39" s="108"/>
      <c r="J39" s="187"/>
      <c r="K39" s="108"/>
      <c r="L39" s="187"/>
      <c r="M39" s="154"/>
      <c r="N39" s="108"/>
      <c r="O39" s="108"/>
      <c r="P39" s="108"/>
      <c r="Q39" s="108"/>
      <c r="R39" s="108"/>
      <c r="S39" s="108"/>
      <c r="T39" s="108"/>
      <c r="U39" s="108"/>
      <c r="V39" s="108"/>
      <c r="W39" s="108"/>
      <c r="X39" s="108"/>
      <c r="Y39" s="108"/>
      <c r="Z39" s="108"/>
      <c r="AA39" s="108"/>
      <c r="AB39" s="108"/>
      <c r="AC39" s="108"/>
      <c r="AD39" s="108"/>
      <c r="AE39" s="108"/>
      <c r="AF39" s="108"/>
    </row>
    <row r="40" spans="2:32" s="107" customFormat="1" ht="15" customHeight="1" collapsed="1" x14ac:dyDescent="0.25">
      <c r="B40" s="126" t="s">
        <v>80</v>
      </c>
      <c r="C40" s="155"/>
      <c r="D40" s="155"/>
      <c r="E40" s="156"/>
      <c r="F40" s="117">
        <f>SUM(F41:F44)</f>
        <v>4</v>
      </c>
      <c r="G40" s="156"/>
      <c r="H40" s="129">
        <f>SUM(H41:H44)</f>
        <v>0</v>
      </c>
      <c r="I40" s="156"/>
      <c r="J40" s="117">
        <f>SUM(J41:J44)</f>
        <v>0</v>
      </c>
      <c r="K40" s="156"/>
      <c r="L40" s="117">
        <f>SUM(L41:L44)</f>
        <v>0</v>
      </c>
      <c r="M40" s="118"/>
      <c r="N40" s="108"/>
      <c r="O40" s="108"/>
      <c r="P40" s="108"/>
      <c r="Q40" s="108"/>
      <c r="R40" s="108"/>
      <c r="S40" s="108"/>
      <c r="T40" s="108"/>
      <c r="U40" s="108"/>
      <c r="V40" s="108"/>
      <c r="W40" s="108"/>
      <c r="X40" s="108"/>
      <c r="Y40" s="108"/>
      <c r="Z40" s="108"/>
      <c r="AA40" s="108"/>
      <c r="AB40" s="108"/>
      <c r="AC40" s="108"/>
      <c r="AD40" s="108"/>
      <c r="AE40" s="108"/>
      <c r="AF40" s="108"/>
    </row>
    <row r="41" spans="2:32" s="107" customFormat="1" ht="15" hidden="1" customHeight="1" outlineLevel="1" x14ac:dyDescent="0.25">
      <c r="B41" s="166" t="s">
        <v>81</v>
      </c>
      <c r="E41" s="108"/>
      <c r="F41" s="186">
        <v>1</v>
      </c>
      <c r="G41" s="108"/>
      <c r="H41" s="188"/>
      <c r="I41" s="108"/>
      <c r="J41" s="186"/>
      <c r="K41" s="108"/>
      <c r="L41" s="186"/>
      <c r="M41" s="154"/>
      <c r="N41" s="108"/>
      <c r="O41" s="108"/>
      <c r="P41" s="108"/>
      <c r="Q41" s="108"/>
      <c r="R41" s="108"/>
      <c r="S41" s="108"/>
      <c r="T41" s="108"/>
      <c r="U41" s="108"/>
      <c r="V41" s="108"/>
      <c r="W41" s="108"/>
      <c r="X41" s="108"/>
      <c r="Y41" s="108"/>
      <c r="Z41" s="108"/>
      <c r="AA41" s="108"/>
      <c r="AB41" s="108"/>
      <c r="AC41" s="108"/>
      <c r="AD41" s="108"/>
      <c r="AE41" s="108"/>
      <c r="AF41" s="108"/>
    </row>
    <row r="42" spans="2:32" s="107" customFormat="1" ht="15" hidden="1" customHeight="1" outlineLevel="1" x14ac:dyDescent="0.25">
      <c r="B42" s="166" t="s">
        <v>82</v>
      </c>
      <c r="E42" s="108"/>
      <c r="F42" s="127">
        <v>1</v>
      </c>
      <c r="G42" s="108"/>
      <c r="H42" s="130"/>
      <c r="I42" s="108"/>
      <c r="J42" s="127"/>
      <c r="K42" s="108"/>
      <c r="L42" s="127"/>
      <c r="M42" s="154"/>
      <c r="N42" s="108"/>
      <c r="O42" s="108"/>
      <c r="P42" s="158"/>
      <c r="Q42" s="108"/>
      <c r="R42" s="108"/>
      <c r="S42" s="108"/>
      <c r="T42" s="108"/>
      <c r="U42" s="108"/>
      <c r="V42" s="108"/>
      <c r="W42" s="108"/>
      <c r="X42" s="108"/>
      <c r="Y42" s="108"/>
      <c r="Z42" s="108"/>
      <c r="AA42" s="108"/>
      <c r="AB42" s="108"/>
      <c r="AC42" s="108"/>
      <c r="AD42" s="108"/>
      <c r="AE42" s="108"/>
      <c r="AF42" s="108"/>
    </row>
    <row r="43" spans="2:32" s="107" customFormat="1" ht="15" hidden="1" customHeight="1" outlineLevel="1" x14ac:dyDescent="0.25">
      <c r="B43" s="166" t="s">
        <v>83</v>
      </c>
      <c r="E43" s="108"/>
      <c r="F43" s="127">
        <v>1</v>
      </c>
      <c r="G43" s="108"/>
      <c r="H43" s="130"/>
      <c r="I43" s="108"/>
      <c r="J43" s="127"/>
      <c r="K43" s="108"/>
      <c r="L43" s="127"/>
      <c r="M43" s="154"/>
      <c r="N43" s="108"/>
      <c r="O43" s="108"/>
      <c r="P43" s="108"/>
      <c r="Q43" s="108"/>
      <c r="R43" s="108"/>
      <c r="S43" s="108"/>
      <c r="T43" s="108"/>
      <c r="U43" s="108"/>
      <c r="V43" s="108"/>
      <c r="W43" s="108"/>
      <c r="X43" s="108"/>
      <c r="Y43" s="108"/>
      <c r="Z43" s="108"/>
      <c r="AA43" s="108"/>
      <c r="AB43" s="108"/>
      <c r="AC43" s="108"/>
      <c r="AD43" s="108"/>
      <c r="AE43" s="108"/>
      <c r="AF43" s="108"/>
    </row>
    <row r="44" spans="2:32" s="107" customFormat="1" ht="15" hidden="1" customHeight="1" outlineLevel="1" x14ac:dyDescent="0.25">
      <c r="B44" s="166" t="s">
        <v>84</v>
      </c>
      <c r="E44" s="108"/>
      <c r="F44" s="187">
        <v>1</v>
      </c>
      <c r="G44" s="108"/>
      <c r="H44" s="189"/>
      <c r="I44" s="108"/>
      <c r="J44" s="187"/>
      <c r="K44" s="108"/>
      <c r="L44" s="187"/>
      <c r="M44" s="154"/>
      <c r="N44" s="108"/>
      <c r="O44" s="108"/>
      <c r="P44" s="108"/>
      <c r="Q44" s="108"/>
      <c r="R44" s="108"/>
      <c r="S44" s="108"/>
      <c r="T44" s="108"/>
      <c r="U44" s="108"/>
      <c r="V44" s="108"/>
      <c r="W44" s="108"/>
      <c r="X44" s="108"/>
      <c r="Y44" s="108"/>
      <c r="Z44" s="108"/>
      <c r="AA44" s="108"/>
      <c r="AB44" s="108"/>
      <c r="AC44" s="108"/>
      <c r="AD44" s="108"/>
      <c r="AE44" s="108"/>
      <c r="AF44" s="108"/>
    </row>
    <row r="45" spans="2:32" s="107" customFormat="1" ht="15" customHeight="1" collapsed="1" x14ac:dyDescent="0.25">
      <c r="B45" s="166" t="s">
        <v>85</v>
      </c>
      <c r="E45" s="108"/>
      <c r="F45" s="114">
        <f>SUM(F46:F69)</f>
        <v>13</v>
      </c>
      <c r="G45" s="108"/>
      <c r="H45" s="153">
        <f>SUM(H46:H69)</f>
        <v>10</v>
      </c>
      <c r="I45" s="108"/>
      <c r="J45" s="114">
        <f>SUM(J46:J69)</f>
        <v>0</v>
      </c>
      <c r="K45" s="108"/>
      <c r="L45" s="114">
        <f>SUM(L46:L69)</f>
        <v>1</v>
      </c>
      <c r="M45" s="154"/>
      <c r="N45" s="108"/>
      <c r="O45" s="108"/>
      <c r="P45" s="108"/>
      <c r="Q45" s="108"/>
      <c r="R45" s="108"/>
      <c r="S45" s="108"/>
      <c r="T45" s="108"/>
      <c r="U45" s="108"/>
      <c r="V45" s="108"/>
      <c r="W45" s="108"/>
      <c r="X45" s="108"/>
      <c r="Y45" s="108"/>
      <c r="Z45" s="108"/>
      <c r="AA45" s="108"/>
      <c r="AB45" s="108"/>
      <c r="AC45" s="108"/>
      <c r="AD45" s="108"/>
      <c r="AE45" s="108"/>
      <c r="AF45" s="108"/>
    </row>
    <row r="46" spans="2:32" s="107" customFormat="1" ht="15" hidden="1" customHeight="1" outlineLevel="1" x14ac:dyDescent="0.25">
      <c r="B46" s="166" t="s">
        <v>86</v>
      </c>
      <c r="E46" s="108"/>
      <c r="F46" s="186"/>
      <c r="G46" s="108"/>
      <c r="H46" s="188">
        <v>1</v>
      </c>
      <c r="I46" s="108"/>
      <c r="J46" s="186"/>
      <c r="K46" s="108"/>
      <c r="L46" s="186"/>
      <c r="M46" s="154"/>
      <c r="N46" s="108"/>
      <c r="O46" s="108"/>
      <c r="P46" s="108"/>
      <c r="Q46" s="108"/>
      <c r="R46" s="108"/>
      <c r="S46" s="108"/>
      <c r="T46" s="108"/>
      <c r="U46" s="108"/>
      <c r="V46" s="108"/>
      <c r="W46" s="108"/>
      <c r="X46" s="108"/>
      <c r="Y46" s="108"/>
      <c r="Z46" s="108"/>
      <c r="AA46" s="108"/>
      <c r="AB46" s="108"/>
      <c r="AC46" s="108"/>
      <c r="AD46" s="108"/>
      <c r="AE46" s="108"/>
      <c r="AF46" s="108"/>
    </row>
    <row r="47" spans="2:32" s="107" customFormat="1" ht="15" hidden="1" customHeight="1" outlineLevel="1" x14ac:dyDescent="0.25">
      <c r="B47" s="166" t="s">
        <v>87</v>
      </c>
      <c r="E47" s="108"/>
      <c r="F47" s="127"/>
      <c r="G47" s="108"/>
      <c r="H47" s="130">
        <v>1</v>
      </c>
      <c r="I47" s="108"/>
      <c r="J47" s="127"/>
      <c r="K47" s="108"/>
      <c r="L47" s="127"/>
      <c r="M47" s="154"/>
      <c r="N47" s="108"/>
      <c r="O47" s="108"/>
      <c r="P47" s="108"/>
      <c r="Q47" s="108"/>
      <c r="R47" s="108"/>
      <c r="S47" s="108"/>
      <c r="T47" s="108"/>
      <c r="U47" s="108"/>
      <c r="V47" s="108"/>
      <c r="W47" s="108"/>
      <c r="X47" s="108"/>
      <c r="Y47" s="108"/>
      <c r="Z47" s="108"/>
      <c r="AA47" s="108"/>
      <c r="AB47" s="108"/>
      <c r="AC47" s="108"/>
      <c r="AD47" s="108"/>
      <c r="AE47" s="108"/>
      <c r="AF47" s="108"/>
    </row>
    <row r="48" spans="2:32" s="107" customFormat="1" ht="15" hidden="1" customHeight="1" outlineLevel="1" x14ac:dyDescent="0.25">
      <c r="B48" s="166" t="s">
        <v>88</v>
      </c>
      <c r="E48" s="108"/>
      <c r="F48" s="127">
        <v>1</v>
      </c>
      <c r="G48" s="108"/>
      <c r="H48" s="130"/>
      <c r="I48" s="108"/>
      <c r="J48" s="127"/>
      <c r="K48" s="108"/>
      <c r="L48" s="127"/>
      <c r="M48" s="154"/>
      <c r="N48" s="108"/>
      <c r="O48" s="108"/>
      <c r="P48" s="158"/>
      <c r="Q48" s="108"/>
      <c r="R48" s="108"/>
      <c r="S48" s="108"/>
      <c r="T48" s="108"/>
      <c r="U48" s="108"/>
      <c r="V48" s="108"/>
      <c r="W48" s="108"/>
      <c r="X48" s="108"/>
      <c r="Y48" s="108"/>
      <c r="Z48" s="108"/>
      <c r="AA48" s="108"/>
      <c r="AB48" s="108"/>
      <c r="AC48" s="108"/>
      <c r="AD48" s="108"/>
      <c r="AE48" s="108"/>
      <c r="AF48" s="108"/>
    </row>
    <row r="49" spans="2:32" s="107" customFormat="1" ht="15" hidden="1" customHeight="1" outlineLevel="1" x14ac:dyDescent="0.25">
      <c r="B49" s="166" t="s">
        <v>89</v>
      </c>
      <c r="E49" s="108"/>
      <c r="F49" s="127">
        <v>1</v>
      </c>
      <c r="G49" s="108"/>
      <c r="H49" s="130"/>
      <c r="I49" s="108"/>
      <c r="J49" s="127"/>
      <c r="K49" s="108"/>
      <c r="L49" s="127"/>
      <c r="M49" s="154"/>
      <c r="N49" s="108"/>
      <c r="O49" s="108"/>
      <c r="P49" s="108"/>
      <c r="Q49" s="108"/>
      <c r="R49" s="108"/>
      <c r="S49" s="108"/>
      <c r="T49" s="108"/>
      <c r="U49" s="108"/>
      <c r="V49" s="108"/>
      <c r="W49" s="108"/>
      <c r="X49" s="108"/>
      <c r="Y49" s="108"/>
      <c r="Z49" s="108"/>
      <c r="AA49" s="108"/>
      <c r="AB49" s="108"/>
      <c r="AC49" s="108"/>
      <c r="AD49" s="108"/>
      <c r="AE49" s="108"/>
      <c r="AF49" s="108"/>
    </row>
    <row r="50" spans="2:32" s="107" customFormat="1" ht="15" hidden="1" customHeight="1" outlineLevel="1" x14ac:dyDescent="0.25">
      <c r="B50" s="166" t="s">
        <v>90</v>
      </c>
      <c r="E50" s="108"/>
      <c r="F50" s="127"/>
      <c r="G50" s="108"/>
      <c r="H50" s="130">
        <v>1</v>
      </c>
      <c r="I50" s="108"/>
      <c r="J50" s="127"/>
      <c r="K50" s="108"/>
      <c r="L50" s="127"/>
      <c r="M50" s="154"/>
      <c r="N50" s="108"/>
      <c r="O50" s="108"/>
      <c r="P50" s="108"/>
      <c r="Q50" s="108"/>
      <c r="R50" s="108"/>
      <c r="S50" s="108"/>
      <c r="T50" s="108"/>
      <c r="U50" s="108"/>
      <c r="V50" s="108"/>
      <c r="W50" s="108"/>
      <c r="X50" s="108"/>
      <c r="Y50" s="108"/>
      <c r="Z50" s="108"/>
      <c r="AA50" s="108"/>
      <c r="AB50" s="108"/>
      <c r="AC50" s="108"/>
      <c r="AD50" s="108"/>
      <c r="AE50" s="108"/>
      <c r="AF50" s="108"/>
    </row>
    <row r="51" spans="2:32" s="107" customFormat="1" ht="15" hidden="1" customHeight="1" outlineLevel="1" x14ac:dyDescent="0.25">
      <c r="B51" s="166" t="s">
        <v>54</v>
      </c>
      <c r="E51" s="108"/>
      <c r="F51" s="127"/>
      <c r="G51" s="108"/>
      <c r="H51" s="130">
        <v>1</v>
      </c>
      <c r="I51" s="108"/>
      <c r="J51" s="127"/>
      <c r="K51" s="108"/>
      <c r="L51" s="127"/>
      <c r="M51" s="154"/>
      <c r="N51" s="108"/>
      <c r="O51" s="108"/>
      <c r="P51" s="108"/>
      <c r="Q51" s="108"/>
      <c r="R51" s="108"/>
      <c r="S51" s="108"/>
      <c r="T51" s="108"/>
      <c r="U51" s="108"/>
      <c r="V51" s="108"/>
      <c r="W51" s="108"/>
      <c r="X51" s="108"/>
      <c r="Y51" s="108"/>
      <c r="Z51" s="108"/>
      <c r="AA51" s="108"/>
      <c r="AB51" s="108"/>
      <c r="AC51" s="108"/>
      <c r="AD51" s="108"/>
      <c r="AE51" s="108"/>
      <c r="AF51" s="108"/>
    </row>
    <row r="52" spans="2:32" s="107" customFormat="1" ht="15" hidden="1" customHeight="1" outlineLevel="1" x14ac:dyDescent="0.25">
      <c r="B52" s="166" t="s">
        <v>91</v>
      </c>
      <c r="E52" s="108"/>
      <c r="F52" s="127">
        <v>1</v>
      </c>
      <c r="G52" s="108"/>
      <c r="H52" s="130"/>
      <c r="I52" s="108"/>
      <c r="J52" s="127"/>
      <c r="K52" s="108"/>
      <c r="L52" s="127"/>
      <c r="M52" s="154"/>
      <c r="N52" s="108"/>
      <c r="O52" s="108"/>
      <c r="P52" s="108"/>
      <c r="Q52" s="108"/>
      <c r="R52" s="108"/>
      <c r="S52" s="108"/>
      <c r="T52" s="108"/>
      <c r="U52" s="108"/>
      <c r="V52" s="108"/>
      <c r="W52" s="108"/>
      <c r="X52" s="108"/>
      <c r="Y52" s="108"/>
      <c r="Z52" s="108"/>
      <c r="AA52" s="108"/>
      <c r="AB52" s="108"/>
      <c r="AC52" s="108"/>
      <c r="AD52" s="108"/>
      <c r="AE52" s="108"/>
      <c r="AF52" s="108"/>
    </row>
    <row r="53" spans="2:32" s="107" customFormat="1" ht="15" hidden="1" customHeight="1" outlineLevel="1" x14ac:dyDescent="0.25">
      <c r="B53" s="166" t="s">
        <v>92</v>
      </c>
      <c r="E53" s="108"/>
      <c r="F53" s="127">
        <v>1</v>
      </c>
      <c r="G53" s="108"/>
      <c r="H53" s="130"/>
      <c r="I53" s="108"/>
      <c r="J53" s="127"/>
      <c r="K53" s="108"/>
      <c r="L53" s="127"/>
      <c r="M53" s="154"/>
      <c r="N53" s="108"/>
      <c r="O53" s="108"/>
      <c r="P53" s="108"/>
      <c r="Q53" s="108"/>
      <c r="R53" s="108"/>
      <c r="S53" s="108"/>
      <c r="T53" s="108"/>
      <c r="U53" s="108"/>
      <c r="V53" s="108"/>
      <c r="W53" s="108"/>
      <c r="X53" s="108"/>
      <c r="Y53" s="108"/>
      <c r="Z53" s="108"/>
      <c r="AA53" s="108"/>
      <c r="AB53" s="108"/>
      <c r="AC53" s="108"/>
      <c r="AD53" s="108"/>
      <c r="AE53" s="108"/>
      <c r="AF53" s="108"/>
    </row>
    <row r="54" spans="2:32" s="107" customFormat="1" ht="15" hidden="1" customHeight="1" outlineLevel="1" x14ac:dyDescent="0.25">
      <c r="B54" s="166" t="s">
        <v>93</v>
      </c>
      <c r="E54" s="108"/>
      <c r="F54" s="127"/>
      <c r="G54" s="108"/>
      <c r="H54" s="130">
        <v>1</v>
      </c>
      <c r="I54" s="108"/>
      <c r="J54" s="127"/>
      <c r="K54" s="108"/>
      <c r="L54" s="127"/>
      <c r="M54" s="154"/>
      <c r="N54" s="108"/>
      <c r="O54" s="108"/>
      <c r="P54" s="108"/>
      <c r="Q54" s="108"/>
      <c r="R54" s="108"/>
      <c r="S54" s="108"/>
      <c r="T54" s="108"/>
      <c r="U54" s="108"/>
      <c r="V54" s="108"/>
      <c r="W54" s="108"/>
      <c r="X54" s="108"/>
      <c r="Y54" s="108"/>
      <c r="Z54" s="108"/>
      <c r="AA54" s="108"/>
      <c r="AB54" s="108"/>
      <c r="AC54" s="108"/>
      <c r="AD54" s="108"/>
      <c r="AE54" s="108"/>
      <c r="AF54" s="108"/>
    </row>
    <row r="55" spans="2:32" s="107" customFormat="1" ht="15" hidden="1" customHeight="1" outlineLevel="1" x14ac:dyDescent="0.25">
      <c r="B55" s="166" t="s">
        <v>42</v>
      </c>
      <c r="E55" s="108"/>
      <c r="F55" s="127">
        <v>1</v>
      </c>
      <c r="G55" s="108"/>
      <c r="H55" s="130"/>
      <c r="I55" s="108"/>
      <c r="J55" s="127"/>
      <c r="K55" s="108"/>
      <c r="L55" s="127"/>
      <c r="M55" s="154"/>
      <c r="N55" s="108"/>
      <c r="O55" s="108"/>
      <c r="P55" s="108"/>
      <c r="Q55" s="108"/>
      <c r="R55" s="108"/>
      <c r="S55" s="108"/>
      <c r="T55" s="108"/>
      <c r="U55" s="108"/>
      <c r="V55" s="108"/>
      <c r="W55" s="108"/>
      <c r="X55" s="108"/>
      <c r="Y55" s="108"/>
      <c r="Z55" s="108"/>
      <c r="AA55" s="108"/>
      <c r="AB55" s="108"/>
      <c r="AC55" s="108"/>
      <c r="AD55" s="108"/>
      <c r="AE55" s="108"/>
      <c r="AF55" s="108"/>
    </row>
    <row r="56" spans="2:32" s="107" customFormat="1" ht="15" hidden="1" customHeight="1" outlineLevel="1" x14ac:dyDescent="0.25">
      <c r="B56" s="166" t="s">
        <v>94</v>
      </c>
      <c r="E56" s="108"/>
      <c r="F56" s="127">
        <v>1</v>
      </c>
      <c r="G56" s="108"/>
      <c r="H56" s="130"/>
      <c r="I56" s="108"/>
      <c r="J56" s="127"/>
      <c r="K56" s="108"/>
      <c r="L56" s="127"/>
      <c r="M56" s="154"/>
      <c r="N56" s="108"/>
      <c r="O56" s="108"/>
      <c r="P56" s="108"/>
      <c r="Q56" s="108"/>
      <c r="R56" s="108"/>
      <c r="S56" s="108"/>
      <c r="T56" s="108"/>
      <c r="U56" s="108"/>
      <c r="V56" s="108"/>
      <c r="W56" s="108"/>
      <c r="X56" s="108"/>
      <c r="Y56" s="108"/>
      <c r="Z56" s="108"/>
      <c r="AA56" s="108"/>
      <c r="AB56" s="108"/>
      <c r="AC56" s="108"/>
      <c r="AD56" s="108"/>
      <c r="AE56" s="108"/>
      <c r="AF56" s="108"/>
    </row>
    <row r="57" spans="2:32" s="107" customFormat="1" ht="15" hidden="1" customHeight="1" outlineLevel="1" x14ac:dyDescent="0.25">
      <c r="B57" s="166" t="s">
        <v>43</v>
      </c>
      <c r="E57" s="108"/>
      <c r="F57" s="127">
        <v>1</v>
      </c>
      <c r="G57" s="108"/>
      <c r="H57" s="130"/>
      <c r="I57" s="108"/>
      <c r="J57" s="127"/>
      <c r="K57" s="108"/>
      <c r="L57" s="127"/>
      <c r="M57" s="154"/>
      <c r="N57" s="108"/>
      <c r="O57" s="108"/>
      <c r="P57" s="108"/>
      <c r="Q57" s="108"/>
      <c r="R57" s="108"/>
      <c r="S57" s="108"/>
      <c r="T57" s="108"/>
      <c r="U57" s="108"/>
      <c r="V57" s="108"/>
      <c r="W57" s="108"/>
      <c r="X57" s="108"/>
      <c r="Y57" s="108"/>
      <c r="Z57" s="108"/>
      <c r="AA57" s="108"/>
      <c r="AB57" s="108"/>
      <c r="AC57" s="108"/>
      <c r="AD57" s="108"/>
      <c r="AE57" s="108"/>
      <c r="AF57" s="108"/>
    </row>
    <row r="58" spans="2:32" s="107" customFormat="1" ht="15" hidden="1" customHeight="1" outlineLevel="1" x14ac:dyDescent="0.25">
      <c r="B58" s="166" t="s">
        <v>44</v>
      </c>
      <c r="E58" s="108"/>
      <c r="F58" s="127"/>
      <c r="G58" s="108"/>
      <c r="H58" s="130">
        <v>1</v>
      </c>
      <c r="I58" s="108"/>
      <c r="J58" s="127"/>
      <c r="K58" s="108"/>
      <c r="L58" s="127"/>
      <c r="M58" s="154"/>
      <c r="N58" s="108"/>
      <c r="O58" s="108"/>
      <c r="P58" s="108"/>
      <c r="Q58" s="108"/>
      <c r="R58" s="108"/>
      <c r="S58" s="108"/>
      <c r="T58" s="108"/>
      <c r="U58" s="108"/>
      <c r="V58" s="108"/>
      <c r="W58" s="108"/>
      <c r="X58" s="108"/>
      <c r="Y58" s="108"/>
      <c r="Z58" s="108"/>
      <c r="AA58" s="108"/>
      <c r="AB58" s="108"/>
      <c r="AC58" s="108"/>
      <c r="AD58" s="108"/>
      <c r="AE58" s="108"/>
      <c r="AF58" s="108"/>
    </row>
    <row r="59" spans="2:32" s="107" customFormat="1" ht="15" hidden="1" customHeight="1" outlineLevel="1" x14ac:dyDescent="0.25">
      <c r="B59" s="166" t="s">
        <v>95</v>
      </c>
      <c r="E59" s="108"/>
      <c r="F59" s="127">
        <v>1</v>
      </c>
      <c r="G59" s="108"/>
      <c r="H59" s="130"/>
      <c r="I59" s="108"/>
      <c r="J59" s="127"/>
      <c r="K59" s="108"/>
      <c r="L59" s="127"/>
      <c r="M59" s="154"/>
      <c r="N59" s="108"/>
      <c r="O59" s="108"/>
      <c r="P59" s="108"/>
      <c r="Q59" s="108"/>
      <c r="R59" s="108"/>
      <c r="S59" s="108"/>
      <c r="T59" s="108"/>
      <c r="U59" s="108"/>
      <c r="V59" s="108"/>
      <c r="W59" s="108"/>
      <c r="X59" s="108"/>
      <c r="Y59" s="108"/>
      <c r="Z59" s="108"/>
      <c r="AA59" s="108"/>
      <c r="AB59" s="108"/>
      <c r="AC59" s="108"/>
      <c r="AD59" s="108"/>
      <c r="AE59" s="108"/>
      <c r="AF59" s="108"/>
    </row>
    <row r="60" spans="2:32" s="107" customFormat="1" ht="15" hidden="1" customHeight="1" outlineLevel="1" x14ac:dyDescent="0.25">
      <c r="B60" s="166" t="s">
        <v>96</v>
      </c>
      <c r="E60" s="108"/>
      <c r="F60" s="127">
        <v>1</v>
      </c>
      <c r="G60" s="108"/>
      <c r="H60" s="130"/>
      <c r="I60" s="108"/>
      <c r="J60" s="127"/>
      <c r="K60" s="108"/>
      <c r="L60" s="127"/>
      <c r="M60" s="154"/>
      <c r="N60" s="108"/>
      <c r="O60" s="108"/>
      <c r="P60" s="108"/>
      <c r="Q60" s="108"/>
      <c r="R60" s="108"/>
      <c r="S60" s="108"/>
      <c r="T60" s="108"/>
      <c r="U60" s="108"/>
      <c r="V60" s="108"/>
      <c r="W60" s="108"/>
      <c r="X60" s="108"/>
      <c r="Y60" s="108"/>
      <c r="Z60" s="108"/>
      <c r="AA60" s="108"/>
      <c r="AB60" s="108"/>
      <c r="AC60" s="108"/>
      <c r="AD60" s="108"/>
      <c r="AE60" s="108"/>
      <c r="AF60" s="108"/>
    </row>
    <row r="61" spans="2:32" s="107" customFormat="1" ht="15" hidden="1" customHeight="1" outlineLevel="1" x14ac:dyDescent="0.25">
      <c r="B61" s="166" t="s">
        <v>97</v>
      </c>
      <c r="E61" s="108"/>
      <c r="F61" s="127"/>
      <c r="G61" s="108"/>
      <c r="H61" s="130">
        <v>1</v>
      </c>
      <c r="I61" s="108"/>
      <c r="J61" s="127"/>
      <c r="K61" s="108"/>
      <c r="L61" s="127"/>
      <c r="M61" s="154"/>
      <c r="N61" s="108"/>
      <c r="O61" s="108"/>
      <c r="P61" s="108"/>
      <c r="Q61" s="108"/>
      <c r="R61" s="108"/>
      <c r="S61" s="108"/>
      <c r="T61" s="108"/>
      <c r="U61" s="108"/>
      <c r="V61" s="108"/>
      <c r="W61" s="108"/>
      <c r="X61" s="108"/>
      <c r="Y61" s="108"/>
      <c r="Z61" s="108"/>
      <c r="AA61" s="108"/>
      <c r="AB61" s="108"/>
      <c r="AC61" s="108"/>
      <c r="AD61" s="108"/>
      <c r="AE61" s="108"/>
      <c r="AF61" s="108"/>
    </row>
    <row r="62" spans="2:32" s="107" customFormat="1" ht="15" hidden="1" customHeight="1" outlineLevel="1" x14ac:dyDescent="0.25">
      <c r="B62" s="166" t="s">
        <v>98</v>
      </c>
      <c r="E62" s="108"/>
      <c r="F62" s="127">
        <v>1</v>
      </c>
      <c r="G62" s="108"/>
      <c r="H62" s="130"/>
      <c r="I62" s="108"/>
      <c r="J62" s="127"/>
      <c r="K62" s="108"/>
      <c r="L62" s="127"/>
      <c r="M62" s="154"/>
      <c r="N62" s="108"/>
      <c r="O62" s="108"/>
      <c r="P62" s="108"/>
      <c r="Q62" s="108"/>
      <c r="R62" s="108"/>
      <c r="S62" s="108"/>
      <c r="T62" s="108"/>
      <c r="U62" s="108"/>
      <c r="V62" s="108"/>
      <c r="W62" s="108"/>
      <c r="X62" s="108"/>
      <c r="Y62" s="108"/>
      <c r="Z62" s="108"/>
      <c r="AA62" s="108"/>
      <c r="AB62" s="108"/>
      <c r="AC62" s="108"/>
      <c r="AD62" s="108"/>
      <c r="AE62" s="108"/>
      <c r="AF62" s="108"/>
    </row>
    <row r="63" spans="2:32" s="107" customFormat="1" ht="15" hidden="1" customHeight="1" outlineLevel="1" x14ac:dyDescent="0.25">
      <c r="B63" s="166" t="s">
        <v>46</v>
      </c>
      <c r="E63" s="108"/>
      <c r="F63" s="127"/>
      <c r="G63" s="108"/>
      <c r="H63" s="130">
        <v>1</v>
      </c>
      <c r="I63" s="108"/>
      <c r="J63" s="127"/>
      <c r="K63" s="108"/>
      <c r="L63" s="127"/>
      <c r="M63" s="154"/>
      <c r="N63" s="108"/>
      <c r="O63" s="108"/>
      <c r="P63" s="108"/>
      <c r="Q63" s="108"/>
      <c r="R63" s="108"/>
      <c r="S63" s="108"/>
      <c r="T63" s="108"/>
      <c r="U63" s="108"/>
      <c r="V63" s="108"/>
      <c r="W63" s="108"/>
      <c r="X63" s="108"/>
      <c r="Y63" s="108"/>
      <c r="Z63" s="108"/>
      <c r="AA63" s="108"/>
      <c r="AB63" s="108"/>
      <c r="AC63" s="108"/>
      <c r="AD63" s="108"/>
      <c r="AE63" s="108"/>
      <c r="AF63" s="108"/>
    </row>
    <row r="64" spans="2:32" s="107" customFormat="1" ht="15" hidden="1" customHeight="1" outlineLevel="1" x14ac:dyDescent="0.25">
      <c r="B64" s="166" t="s">
        <v>45</v>
      </c>
      <c r="E64" s="108"/>
      <c r="F64" s="127"/>
      <c r="G64" s="108"/>
      <c r="H64" s="130"/>
      <c r="I64" s="108"/>
      <c r="J64" s="127"/>
      <c r="K64" s="108"/>
      <c r="L64" s="127">
        <v>1</v>
      </c>
      <c r="M64" s="154"/>
      <c r="N64" s="108"/>
      <c r="O64" s="108"/>
      <c r="P64" s="108"/>
      <c r="Q64" s="108"/>
      <c r="R64" s="108"/>
      <c r="S64" s="108"/>
      <c r="T64" s="108"/>
      <c r="U64" s="108"/>
      <c r="V64" s="108"/>
      <c r="W64" s="108"/>
      <c r="X64" s="108"/>
      <c r="Y64" s="108"/>
      <c r="Z64" s="108"/>
      <c r="AA64" s="108"/>
      <c r="AB64" s="108"/>
      <c r="AC64" s="108"/>
      <c r="AD64" s="108"/>
      <c r="AE64" s="108"/>
      <c r="AF64" s="108"/>
    </row>
    <row r="65" spans="2:32" s="107" customFormat="1" ht="15" hidden="1" customHeight="1" outlineLevel="1" x14ac:dyDescent="0.25">
      <c r="B65" s="166" t="s">
        <v>99</v>
      </c>
      <c r="E65" s="108"/>
      <c r="F65" s="127">
        <v>1</v>
      </c>
      <c r="G65" s="108"/>
      <c r="H65" s="130"/>
      <c r="I65" s="108"/>
      <c r="J65" s="127"/>
      <c r="K65" s="108"/>
      <c r="L65" s="127"/>
      <c r="M65" s="154"/>
      <c r="N65" s="108"/>
      <c r="O65" s="108"/>
      <c r="P65" s="108"/>
      <c r="Q65" s="108"/>
      <c r="R65" s="108"/>
      <c r="S65" s="108"/>
      <c r="T65" s="108"/>
      <c r="U65" s="108"/>
      <c r="V65" s="108"/>
      <c r="W65" s="108"/>
      <c r="X65" s="108"/>
      <c r="Y65" s="108"/>
      <c r="Z65" s="108"/>
      <c r="AA65" s="108"/>
      <c r="AB65" s="108"/>
      <c r="AC65" s="108"/>
      <c r="AD65" s="108"/>
      <c r="AE65" s="108"/>
      <c r="AF65" s="108"/>
    </row>
    <row r="66" spans="2:32" s="107" customFormat="1" ht="15" hidden="1" customHeight="1" outlineLevel="1" x14ac:dyDescent="0.25">
      <c r="B66" s="166" t="s">
        <v>100</v>
      </c>
      <c r="E66" s="108"/>
      <c r="F66" s="127">
        <v>1</v>
      </c>
      <c r="G66" s="108"/>
      <c r="H66" s="130"/>
      <c r="I66" s="108"/>
      <c r="J66" s="127"/>
      <c r="K66" s="108"/>
      <c r="L66" s="127"/>
      <c r="M66" s="154"/>
      <c r="N66" s="108"/>
      <c r="O66" s="108"/>
      <c r="P66" s="108"/>
      <c r="Q66" s="108"/>
      <c r="R66" s="108"/>
      <c r="S66" s="108"/>
      <c r="T66" s="108"/>
      <c r="U66" s="108"/>
      <c r="V66" s="108"/>
      <c r="W66" s="108"/>
      <c r="X66" s="108"/>
      <c r="Y66" s="108"/>
      <c r="Z66" s="108"/>
      <c r="AA66" s="108"/>
      <c r="AB66" s="108"/>
      <c r="AC66" s="108"/>
      <c r="AD66" s="108"/>
      <c r="AE66" s="108"/>
      <c r="AF66" s="108"/>
    </row>
    <row r="67" spans="2:32" s="107" customFormat="1" ht="15" hidden="1" customHeight="1" outlineLevel="1" x14ac:dyDescent="0.25">
      <c r="B67" s="166" t="s">
        <v>101</v>
      </c>
      <c r="E67" s="108"/>
      <c r="F67" s="127">
        <v>1</v>
      </c>
      <c r="G67" s="108"/>
      <c r="H67" s="130"/>
      <c r="I67" s="108"/>
      <c r="J67" s="127"/>
      <c r="K67" s="108"/>
      <c r="L67" s="127"/>
      <c r="M67" s="154"/>
      <c r="N67" s="108"/>
      <c r="O67" s="108"/>
      <c r="P67" s="108"/>
      <c r="Q67" s="108"/>
      <c r="R67" s="108"/>
      <c r="S67" s="108"/>
      <c r="T67" s="108"/>
      <c r="U67" s="108"/>
      <c r="V67" s="108"/>
      <c r="W67" s="108"/>
      <c r="X67" s="108"/>
      <c r="Y67" s="108"/>
      <c r="Z67" s="108"/>
      <c r="AA67" s="108"/>
      <c r="AB67" s="108"/>
      <c r="AC67" s="108"/>
      <c r="AD67" s="108"/>
      <c r="AE67" s="108"/>
      <c r="AF67" s="108"/>
    </row>
    <row r="68" spans="2:32" s="107" customFormat="1" ht="15" hidden="1" customHeight="1" outlineLevel="1" x14ac:dyDescent="0.25">
      <c r="B68" s="166" t="s">
        <v>102</v>
      </c>
      <c r="E68" s="108"/>
      <c r="F68" s="127"/>
      <c r="G68" s="108"/>
      <c r="H68" s="130">
        <v>1</v>
      </c>
      <c r="I68" s="108"/>
      <c r="J68" s="127"/>
      <c r="K68" s="108"/>
      <c r="L68" s="127"/>
      <c r="M68" s="154"/>
      <c r="N68" s="108"/>
      <c r="O68" s="108"/>
      <c r="P68" s="108"/>
      <c r="Q68" s="108"/>
      <c r="R68" s="108"/>
      <c r="S68" s="108"/>
      <c r="T68" s="108"/>
      <c r="U68" s="108"/>
      <c r="V68" s="108"/>
      <c r="W68" s="108"/>
      <c r="X68" s="108"/>
      <c r="Y68" s="108"/>
      <c r="Z68" s="108"/>
      <c r="AA68" s="108"/>
      <c r="AB68" s="108"/>
      <c r="AC68" s="108"/>
      <c r="AD68" s="108"/>
      <c r="AE68" s="108"/>
      <c r="AF68" s="108"/>
    </row>
    <row r="69" spans="2:32" s="107" customFormat="1" ht="15" hidden="1" customHeight="1" outlineLevel="1" x14ac:dyDescent="0.25">
      <c r="B69" s="166" t="s">
        <v>103</v>
      </c>
      <c r="E69" s="108"/>
      <c r="F69" s="187"/>
      <c r="G69" s="108"/>
      <c r="H69" s="189">
        <v>1</v>
      </c>
      <c r="I69" s="108"/>
      <c r="J69" s="187"/>
      <c r="K69" s="108"/>
      <c r="L69" s="187"/>
      <c r="M69" s="154"/>
      <c r="N69" s="108"/>
      <c r="O69" s="108"/>
      <c r="P69" s="108"/>
      <c r="Q69" s="108"/>
      <c r="R69" s="108"/>
      <c r="S69" s="108"/>
      <c r="T69" s="108"/>
      <c r="U69" s="108"/>
      <c r="V69" s="108"/>
      <c r="W69" s="108"/>
      <c r="X69" s="108"/>
      <c r="Y69" s="108"/>
      <c r="Z69" s="108"/>
      <c r="AA69" s="108"/>
      <c r="AB69" s="108"/>
      <c r="AC69" s="108"/>
      <c r="AD69" s="108"/>
      <c r="AE69" s="108"/>
      <c r="AF69" s="108"/>
    </row>
    <row r="70" spans="2:32" s="107" customFormat="1" ht="15" customHeight="1" collapsed="1" x14ac:dyDescent="0.25">
      <c r="B70" s="126" t="s">
        <v>104</v>
      </c>
      <c r="C70" s="155"/>
      <c r="D70" s="155"/>
      <c r="E70" s="156"/>
      <c r="F70" s="117">
        <f>F71</f>
        <v>1</v>
      </c>
      <c r="G70" s="156"/>
      <c r="H70" s="129">
        <f>H71</f>
        <v>0</v>
      </c>
      <c r="I70" s="156"/>
      <c r="J70" s="117">
        <f>J71</f>
        <v>0</v>
      </c>
      <c r="K70" s="156"/>
      <c r="L70" s="117">
        <f>L71</f>
        <v>0</v>
      </c>
      <c r="M70" s="118"/>
      <c r="N70" s="108"/>
      <c r="O70" s="108"/>
      <c r="P70" s="108"/>
      <c r="Q70" s="108"/>
      <c r="R70" s="108"/>
      <c r="S70" s="108"/>
      <c r="T70" s="108"/>
      <c r="U70" s="108"/>
      <c r="V70" s="108"/>
      <c r="W70" s="108"/>
      <c r="X70" s="108"/>
      <c r="Y70" s="108"/>
      <c r="Z70" s="108"/>
      <c r="AA70" s="108"/>
      <c r="AB70" s="108"/>
      <c r="AC70" s="108"/>
      <c r="AD70" s="108"/>
      <c r="AE70" s="108"/>
      <c r="AF70" s="108"/>
    </row>
    <row r="71" spans="2:32" s="107" customFormat="1" ht="15" hidden="1" customHeight="1" outlineLevel="1" x14ac:dyDescent="0.3">
      <c r="B71" s="157" t="s">
        <v>105</v>
      </c>
      <c r="E71" s="108"/>
      <c r="F71" s="190">
        <v>1</v>
      </c>
      <c r="G71" s="108"/>
      <c r="H71" s="185"/>
      <c r="I71" s="108"/>
      <c r="J71" s="190"/>
      <c r="K71" s="108"/>
      <c r="L71" s="190"/>
      <c r="M71" s="154"/>
      <c r="N71" s="108"/>
      <c r="O71" s="108"/>
      <c r="P71" s="108"/>
      <c r="Q71" s="108"/>
      <c r="R71" s="108"/>
      <c r="S71" s="108"/>
      <c r="T71" s="108"/>
      <c r="U71" s="108"/>
      <c r="V71" s="108"/>
      <c r="W71" s="108"/>
      <c r="X71" s="108"/>
      <c r="Y71" s="108"/>
      <c r="Z71" s="108"/>
      <c r="AA71" s="108"/>
      <c r="AB71" s="108"/>
      <c r="AC71" s="108"/>
      <c r="AD71" s="108"/>
      <c r="AE71" s="108"/>
      <c r="AF71" s="108"/>
    </row>
    <row r="72" spans="2:32" s="107" customFormat="1" ht="15" customHeight="1" collapsed="1" x14ac:dyDescent="0.25">
      <c r="B72" s="159"/>
      <c r="C72" s="119"/>
      <c r="D72" s="119"/>
      <c r="E72" s="160"/>
      <c r="F72" s="161"/>
      <c r="G72" s="160"/>
      <c r="H72" s="162"/>
      <c r="I72" s="160"/>
      <c r="J72" s="161"/>
      <c r="K72" s="160"/>
      <c r="L72" s="161"/>
      <c r="M72" s="163"/>
      <c r="N72" s="108"/>
      <c r="O72" s="108"/>
      <c r="P72" s="108"/>
      <c r="Q72" s="108"/>
      <c r="R72" s="108"/>
      <c r="S72" s="108"/>
      <c r="T72" s="108"/>
      <c r="U72" s="108"/>
      <c r="V72" s="108"/>
      <c r="W72" s="108"/>
      <c r="X72" s="108"/>
      <c r="Y72" s="108"/>
      <c r="Z72" s="108"/>
      <c r="AA72" s="108"/>
      <c r="AB72" s="108"/>
      <c r="AC72" s="108"/>
      <c r="AD72" s="108"/>
      <c r="AE72" s="108"/>
      <c r="AF72" s="108"/>
    </row>
    <row r="73" spans="2:32" s="107" customFormat="1" ht="13.2" customHeight="1" x14ac:dyDescent="0.25">
      <c r="B73" s="164"/>
      <c r="E73" s="108"/>
      <c r="F73" s="165"/>
      <c r="G73" s="108"/>
      <c r="H73" s="108"/>
      <c r="I73" s="108"/>
      <c r="J73" s="108"/>
      <c r="K73" s="108"/>
      <c r="L73" s="165"/>
      <c r="M73" s="108"/>
      <c r="N73" s="108"/>
      <c r="O73" s="108"/>
      <c r="P73" s="108"/>
      <c r="Q73" s="108"/>
      <c r="R73" s="108"/>
      <c r="S73" s="108"/>
      <c r="T73" s="108"/>
      <c r="U73" s="108"/>
      <c r="V73" s="108"/>
      <c r="W73" s="108"/>
      <c r="X73" s="108"/>
      <c r="Y73" s="108"/>
      <c r="Z73" s="108"/>
      <c r="AA73" s="108"/>
      <c r="AB73" s="108"/>
      <c r="AC73" s="108"/>
      <c r="AD73" s="108"/>
      <c r="AE73" s="108"/>
      <c r="AF73" s="108"/>
    </row>
    <row r="74" spans="2:32" s="107" customFormat="1" ht="13.2" customHeight="1" x14ac:dyDescent="0.25">
      <c r="B74" s="148" t="s">
        <v>174</v>
      </c>
      <c r="E74" s="108"/>
      <c r="F74" s="165"/>
      <c r="G74" s="108"/>
      <c r="H74" s="108"/>
      <c r="I74" s="108"/>
      <c r="J74" s="108"/>
      <c r="K74" s="108"/>
      <c r="L74" s="165"/>
      <c r="M74" s="108"/>
      <c r="N74" s="108"/>
      <c r="O74" s="108"/>
      <c r="P74" s="108"/>
      <c r="Q74" s="108"/>
      <c r="R74" s="108"/>
      <c r="S74" s="108"/>
      <c r="T74" s="108"/>
      <c r="U74" s="108"/>
      <c r="V74" s="108"/>
      <c r="W74" s="108"/>
      <c r="X74" s="108"/>
      <c r="Y74" s="108"/>
      <c r="Z74" s="108"/>
      <c r="AA74" s="108"/>
      <c r="AB74" s="108"/>
      <c r="AC74" s="108"/>
      <c r="AD74" s="108"/>
      <c r="AE74" s="108"/>
      <c r="AF74" s="108"/>
    </row>
    <row r="75" spans="2:32" s="107" customFormat="1" ht="13.2" customHeight="1" x14ac:dyDescent="0.25">
      <c r="B75" s="164"/>
      <c r="F75" s="108"/>
      <c r="G75" s="165"/>
      <c r="H75" s="108"/>
      <c r="I75" s="108"/>
      <c r="J75" s="165"/>
      <c r="K75" s="108"/>
      <c r="L75" s="108"/>
      <c r="M75" s="108"/>
      <c r="N75" s="108"/>
      <c r="O75" s="108"/>
      <c r="P75" s="108"/>
      <c r="Q75" s="108"/>
      <c r="R75" s="108"/>
      <c r="S75" s="108"/>
      <c r="T75" s="108"/>
      <c r="U75" s="108"/>
      <c r="V75" s="108"/>
      <c r="W75" s="108"/>
      <c r="X75" s="108"/>
      <c r="Y75" s="108"/>
      <c r="Z75" s="108"/>
      <c r="AA75" s="108"/>
      <c r="AB75" s="108"/>
      <c r="AC75" s="108"/>
      <c r="AD75" s="108"/>
      <c r="AE75" s="108"/>
      <c r="AF75" s="108"/>
    </row>
    <row r="76" spans="2:32" s="107" customFormat="1" ht="24" customHeight="1" x14ac:dyDescent="0.25">
      <c r="B76" s="255" t="s">
        <v>48</v>
      </c>
      <c r="C76" s="256"/>
      <c r="D76" s="256"/>
      <c r="E76" s="257"/>
      <c r="F76" s="246" t="s">
        <v>175</v>
      </c>
      <c r="G76" s="247"/>
      <c r="H76" s="252" t="s">
        <v>160</v>
      </c>
      <c r="I76" s="253"/>
      <c r="J76" s="253"/>
      <c r="K76" s="254"/>
      <c r="L76" s="108"/>
      <c r="M76" s="108"/>
      <c r="N76" s="108"/>
      <c r="O76" s="108"/>
      <c r="P76" s="108"/>
      <c r="Q76" s="108"/>
      <c r="R76" s="108"/>
      <c r="S76" s="108"/>
      <c r="T76" s="108"/>
      <c r="U76" s="108"/>
      <c r="V76" s="108"/>
      <c r="W76" s="108"/>
      <c r="X76" s="108"/>
      <c r="Y76" s="108"/>
      <c r="Z76" s="108"/>
    </row>
    <row r="77" spans="2:32" s="107" customFormat="1" ht="19.8" customHeight="1" x14ac:dyDescent="0.25">
      <c r="B77" s="258"/>
      <c r="C77" s="259"/>
      <c r="D77" s="259"/>
      <c r="E77" s="259"/>
      <c r="F77" s="248"/>
      <c r="G77" s="249"/>
      <c r="H77" s="250" t="s">
        <v>359</v>
      </c>
      <c r="I77" s="250" t="s">
        <v>358</v>
      </c>
      <c r="J77" s="250" t="s">
        <v>360</v>
      </c>
      <c r="K77" s="250" t="s">
        <v>329</v>
      </c>
      <c r="L77" s="108"/>
      <c r="M77" s="108"/>
      <c r="N77" s="108"/>
      <c r="O77" s="108"/>
      <c r="P77" s="108"/>
      <c r="Q77" s="108"/>
      <c r="R77" s="108"/>
      <c r="S77" s="108"/>
      <c r="T77" s="108"/>
      <c r="U77" s="108"/>
      <c r="V77" s="108"/>
      <c r="W77" s="108"/>
      <c r="X77" s="108"/>
      <c r="Y77" s="108"/>
      <c r="Z77" s="108"/>
    </row>
    <row r="78" spans="2:32" s="108" customFormat="1" ht="46.8" customHeight="1" x14ac:dyDescent="0.25">
      <c r="B78" s="260"/>
      <c r="C78" s="261"/>
      <c r="D78" s="261"/>
      <c r="E78" s="261"/>
      <c r="F78" s="139" t="s">
        <v>49</v>
      </c>
      <c r="G78" s="139" t="s">
        <v>50</v>
      </c>
      <c r="H78" s="251"/>
      <c r="I78" s="251"/>
      <c r="J78" s="251"/>
      <c r="K78" s="251"/>
    </row>
    <row r="79" spans="2:32" s="107" customFormat="1" ht="13.2" customHeight="1" x14ac:dyDescent="0.25">
      <c r="B79" s="166"/>
      <c r="E79" s="167"/>
      <c r="F79" s="114"/>
      <c r="G79" s="114"/>
      <c r="H79" s="108"/>
      <c r="I79" s="114"/>
      <c r="J79" s="169"/>
      <c r="K79" s="114"/>
      <c r="L79" s="108"/>
      <c r="M79" s="108"/>
      <c r="N79" s="108"/>
      <c r="O79" s="108"/>
      <c r="P79" s="108"/>
      <c r="Q79" s="108"/>
      <c r="R79" s="108"/>
      <c r="S79" s="108"/>
      <c r="T79" s="108"/>
      <c r="U79" s="108"/>
      <c r="V79" s="108"/>
      <c r="W79" s="108"/>
      <c r="X79" s="108"/>
      <c r="Y79" s="108"/>
      <c r="Z79" s="108"/>
    </row>
    <row r="80" spans="2:32" s="107" customFormat="1" ht="13.2" customHeight="1" x14ac:dyDescent="0.25">
      <c r="B80" s="120" t="s">
        <v>51</v>
      </c>
      <c r="C80" s="121"/>
      <c r="D80" s="121"/>
      <c r="E80" s="122"/>
      <c r="F80" s="132">
        <f t="shared" ref="F80:K80" si="0">SUM(F82,F85,F90,F96)</f>
        <v>18</v>
      </c>
      <c r="G80" s="133">
        <f t="shared" si="0"/>
        <v>23</v>
      </c>
      <c r="H80" s="123">
        <f t="shared" si="0"/>
        <v>15</v>
      </c>
      <c r="I80" s="133">
        <f t="shared" si="0"/>
        <v>2</v>
      </c>
      <c r="J80" s="133">
        <f t="shared" si="0"/>
        <v>2</v>
      </c>
      <c r="K80" s="133">
        <f t="shared" si="0"/>
        <v>4</v>
      </c>
      <c r="L80" s="108"/>
      <c r="M80" s="108"/>
      <c r="N80" s="108"/>
      <c r="O80" s="108"/>
      <c r="P80" s="108"/>
      <c r="Q80" s="108"/>
      <c r="R80" s="108"/>
      <c r="S80" s="108"/>
      <c r="T80" s="108"/>
      <c r="U80" s="108"/>
      <c r="V80" s="108"/>
      <c r="W80" s="108"/>
      <c r="X80" s="108"/>
      <c r="Y80" s="108"/>
      <c r="Z80" s="108"/>
    </row>
    <row r="81" spans="2:26" s="107" customFormat="1" ht="13.2" customHeight="1" x14ac:dyDescent="0.25">
      <c r="B81" s="166" t="s">
        <v>47</v>
      </c>
      <c r="E81" s="167"/>
      <c r="F81" s="114"/>
      <c r="G81" s="114"/>
      <c r="H81" s="108"/>
      <c r="I81" s="114"/>
      <c r="J81" s="168"/>
      <c r="K81" s="112"/>
      <c r="L81" s="108"/>
      <c r="M81" s="108"/>
      <c r="N81" s="108"/>
      <c r="O81" s="108"/>
      <c r="P81" s="108"/>
      <c r="Q81" s="108"/>
      <c r="R81" s="108"/>
      <c r="S81" s="108"/>
      <c r="T81" s="108"/>
      <c r="U81" s="108"/>
      <c r="V81" s="108"/>
      <c r="W81" s="108"/>
      <c r="X81" s="108"/>
      <c r="Y81" s="108"/>
      <c r="Z81" s="108"/>
    </row>
    <row r="82" spans="2:26" s="107" customFormat="1" ht="13.2" customHeight="1" x14ac:dyDescent="0.25">
      <c r="B82" s="147" t="s">
        <v>52</v>
      </c>
      <c r="C82" s="198"/>
      <c r="D82" s="198"/>
      <c r="E82" s="199"/>
      <c r="F82" s="171">
        <f>+H13</f>
        <v>1</v>
      </c>
      <c r="G82" s="172">
        <f>G83</f>
        <v>1</v>
      </c>
      <c r="H82" s="167">
        <f>H83</f>
        <v>1</v>
      </c>
      <c r="I82" s="172">
        <f>I83</f>
        <v>0</v>
      </c>
      <c r="J82" s="172">
        <f>J83</f>
        <v>0</v>
      </c>
      <c r="K82" s="172">
        <f t="shared" ref="K82" si="1">K83</f>
        <v>0</v>
      </c>
      <c r="L82" s="108"/>
      <c r="M82" s="108"/>
      <c r="N82" s="108"/>
      <c r="O82" s="108"/>
      <c r="P82" s="108"/>
      <c r="Q82" s="108"/>
      <c r="R82" s="108"/>
      <c r="S82" s="108"/>
      <c r="T82" s="108"/>
      <c r="U82" s="108"/>
      <c r="V82" s="108"/>
      <c r="W82" s="108"/>
      <c r="X82" s="108"/>
      <c r="Y82" s="108"/>
      <c r="Z82" s="108"/>
    </row>
    <row r="83" spans="2:26" s="107" customFormat="1" ht="13.2" outlineLevel="1" x14ac:dyDescent="0.25">
      <c r="B83" s="166" t="s">
        <v>108</v>
      </c>
      <c r="C83" s="201"/>
      <c r="D83" s="201"/>
      <c r="E83" s="201"/>
      <c r="F83" s="114"/>
      <c r="G83" s="191">
        <f>SUM(H83:K83)</f>
        <v>1</v>
      </c>
      <c r="H83" s="192">
        <v>1</v>
      </c>
      <c r="I83" s="193"/>
      <c r="J83" s="193"/>
      <c r="K83" s="191"/>
      <c r="L83" s="108"/>
      <c r="M83" s="108"/>
      <c r="N83" s="108"/>
      <c r="O83" s="108"/>
      <c r="P83" s="108"/>
      <c r="Q83" s="108"/>
      <c r="R83" s="108"/>
      <c r="S83" s="108"/>
      <c r="T83" s="108"/>
      <c r="U83" s="108"/>
      <c r="V83" s="108"/>
      <c r="W83" s="108"/>
      <c r="X83" s="108"/>
    </row>
    <row r="84" spans="2:26" s="107" customFormat="1" ht="13.2" x14ac:dyDescent="0.25">
      <c r="B84" s="166"/>
      <c r="C84" s="201"/>
      <c r="D84" s="201"/>
      <c r="E84" s="174"/>
      <c r="F84" s="114"/>
      <c r="G84" s="114"/>
      <c r="H84" s="108"/>
      <c r="I84" s="168"/>
      <c r="J84" s="168"/>
      <c r="K84" s="114"/>
      <c r="L84" s="108"/>
      <c r="M84" s="108"/>
      <c r="N84" s="108"/>
      <c r="O84" s="108"/>
      <c r="P84" s="108"/>
      <c r="Q84" s="108"/>
      <c r="R84" s="108"/>
      <c r="S84" s="108"/>
      <c r="T84" s="108"/>
      <c r="U84" s="108"/>
      <c r="V84" s="108"/>
      <c r="W84" s="108"/>
    </row>
    <row r="85" spans="2:26" x14ac:dyDescent="0.3">
      <c r="B85" s="147" t="s">
        <v>60</v>
      </c>
      <c r="C85" s="201"/>
      <c r="D85" s="201"/>
      <c r="E85" s="201"/>
      <c r="F85" s="171">
        <f>H18</f>
        <v>3</v>
      </c>
      <c r="G85" s="172">
        <f t="shared" ref="G85:K85" si="2">SUM(G86:G88)</f>
        <v>5</v>
      </c>
      <c r="H85" s="167">
        <f t="shared" si="2"/>
        <v>2</v>
      </c>
      <c r="I85" s="172">
        <f t="shared" si="2"/>
        <v>1</v>
      </c>
      <c r="J85" s="172">
        <f t="shared" si="2"/>
        <v>1</v>
      </c>
      <c r="K85" s="172">
        <f t="shared" si="2"/>
        <v>1</v>
      </c>
    </row>
    <row r="86" spans="2:26" outlineLevel="1" x14ac:dyDescent="0.3">
      <c r="B86" s="166" t="s">
        <v>114</v>
      </c>
      <c r="C86" s="201"/>
      <c r="D86" s="201"/>
      <c r="E86" s="201"/>
      <c r="F86" s="168"/>
      <c r="G86" s="194">
        <f>SUM(H86:K86)</f>
        <v>1</v>
      </c>
      <c r="H86" s="208"/>
      <c r="I86" s="194"/>
      <c r="J86" s="194"/>
      <c r="K86" s="194">
        <v>1</v>
      </c>
    </row>
    <row r="87" spans="2:26" outlineLevel="1" x14ac:dyDescent="0.3">
      <c r="B87" s="166" t="s">
        <v>117</v>
      </c>
      <c r="C87" s="201"/>
      <c r="D87" s="201"/>
      <c r="E87" s="201"/>
      <c r="F87" s="168"/>
      <c r="G87" s="124">
        <f>SUM(H87:K87)</f>
        <v>2</v>
      </c>
      <c r="H87" s="45">
        <v>1</v>
      </c>
      <c r="I87" s="124">
        <v>1</v>
      </c>
      <c r="J87" s="124"/>
      <c r="K87" s="124"/>
    </row>
    <row r="88" spans="2:26" outlineLevel="1" x14ac:dyDescent="0.3">
      <c r="B88" s="166" t="s">
        <v>118</v>
      </c>
      <c r="C88" s="201"/>
      <c r="D88" s="201"/>
      <c r="E88" s="201"/>
      <c r="F88" s="168"/>
      <c r="G88" s="195">
        <f>SUM(H88:K88)</f>
        <v>2</v>
      </c>
      <c r="H88" s="209">
        <v>1</v>
      </c>
      <c r="I88" s="195"/>
      <c r="J88" s="195">
        <v>1</v>
      </c>
      <c r="K88" s="195"/>
    </row>
    <row r="89" spans="2:26" x14ac:dyDescent="0.3">
      <c r="B89" s="166"/>
      <c r="C89" s="201"/>
      <c r="D89" s="201"/>
      <c r="E89" s="201"/>
      <c r="F89" s="168"/>
      <c r="G89" s="114"/>
      <c r="H89" s="107"/>
      <c r="I89" s="168"/>
      <c r="J89" s="168"/>
      <c r="K89" s="168"/>
    </row>
    <row r="90" spans="2:26" x14ac:dyDescent="0.3">
      <c r="B90" s="147" t="s">
        <v>40</v>
      </c>
      <c r="C90" s="201"/>
      <c r="D90" s="201"/>
      <c r="E90" s="201"/>
      <c r="F90" s="171">
        <f>H28</f>
        <v>4</v>
      </c>
      <c r="G90" s="172">
        <f t="shared" ref="G90:K90" si="3">SUM(G91:G94)</f>
        <v>4</v>
      </c>
      <c r="H90" s="167">
        <f t="shared" si="3"/>
        <v>3</v>
      </c>
      <c r="I90" s="172">
        <f t="shared" si="3"/>
        <v>0</v>
      </c>
      <c r="J90" s="172">
        <f t="shared" si="3"/>
        <v>0</v>
      </c>
      <c r="K90" s="172">
        <f t="shared" si="3"/>
        <v>1</v>
      </c>
    </row>
    <row r="91" spans="2:26" outlineLevel="1" x14ac:dyDescent="0.3">
      <c r="B91" s="166" t="s">
        <v>120</v>
      </c>
      <c r="C91" s="201"/>
      <c r="D91" s="201"/>
      <c r="E91" s="201"/>
      <c r="F91" s="114"/>
      <c r="G91" s="194">
        <f>SUM(H91:K91)</f>
        <v>1</v>
      </c>
      <c r="H91" s="208"/>
      <c r="I91" s="194"/>
      <c r="J91" s="194"/>
      <c r="K91" s="194">
        <v>1</v>
      </c>
    </row>
    <row r="92" spans="2:26" ht="15.75" customHeight="1" outlineLevel="1" x14ac:dyDescent="0.3">
      <c r="B92" s="166" t="s">
        <v>123</v>
      </c>
      <c r="C92" s="201"/>
      <c r="D92" s="201"/>
      <c r="E92" s="201"/>
      <c r="F92" s="114"/>
      <c r="G92" s="124">
        <f>SUM(H92:K92)</f>
        <v>1</v>
      </c>
      <c r="H92" s="45">
        <v>1</v>
      </c>
      <c r="I92" s="124"/>
      <c r="J92" s="124"/>
      <c r="K92" s="124"/>
    </row>
    <row r="93" spans="2:26" ht="15.75" customHeight="1" outlineLevel="1" x14ac:dyDescent="0.3">
      <c r="B93" s="166" t="s">
        <v>126</v>
      </c>
      <c r="C93" s="201"/>
      <c r="D93" s="201"/>
      <c r="E93" s="201"/>
      <c r="F93" s="114"/>
      <c r="G93" s="124">
        <f>SUM(H93:K93)</f>
        <v>1</v>
      </c>
      <c r="H93" s="45">
        <v>1</v>
      </c>
      <c r="I93" s="124"/>
      <c r="J93" s="124"/>
      <c r="K93" s="124"/>
    </row>
    <row r="94" spans="2:26" outlineLevel="1" x14ac:dyDescent="0.3">
      <c r="B94" s="166" t="s">
        <v>129</v>
      </c>
      <c r="C94" s="201"/>
      <c r="D94" s="201"/>
      <c r="E94" s="201"/>
      <c r="F94" s="114"/>
      <c r="G94" s="195">
        <f>SUM(H94:K94)</f>
        <v>1</v>
      </c>
      <c r="H94" s="209">
        <v>1</v>
      </c>
      <c r="I94" s="195"/>
      <c r="J94" s="195"/>
      <c r="K94" s="195"/>
    </row>
    <row r="95" spans="2:26" x14ac:dyDescent="0.3">
      <c r="B95" s="166"/>
      <c r="C95" s="201"/>
      <c r="D95" s="201"/>
      <c r="E95" s="201"/>
      <c r="F95" s="114"/>
      <c r="G95" s="114"/>
      <c r="H95" s="107"/>
      <c r="I95" s="168"/>
      <c r="J95" s="168"/>
      <c r="K95" s="168"/>
    </row>
    <row r="96" spans="2:26" x14ac:dyDescent="0.3">
      <c r="B96" s="147" t="s">
        <v>85</v>
      </c>
      <c r="C96" s="201"/>
      <c r="D96" s="201"/>
      <c r="E96" s="201"/>
      <c r="F96" s="171">
        <f>H45</f>
        <v>10</v>
      </c>
      <c r="G96" s="172">
        <f t="shared" ref="G96:K96" si="4">SUM(G97:G106)</f>
        <v>13</v>
      </c>
      <c r="H96" s="167">
        <f t="shared" si="4"/>
        <v>9</v>
      </c>
      <c r="I96" s="172">
        <f t="shared" si="4"/>
        <v>1</v>
      </c>
      <c r="J96" s="172">
        <f t="shared" si="4"/>
        <v>1</v>
      </c>
      <c r="K96" s="172">
        <f t="shared" si="4"/>
        <v>2</v>
      </c>
    </row>
    <row r="97" spans="2:11" outlineLevel="1" x14ac:dyDescent="0.3">
      <c r="B97" s="166" t="s">
        <v>135</v>
      </c>
      <c r="C97" s="201"/>
      <c r="D97" s="201"/>
      <c r="E97" s="201"/>
      <c r="F97" s="114"/>
      <c r="G97" s="194">
        <f t="shared" ref="G97:G106" si="5">SUM(H97:K97)</f>
        <v>1</v>
      </c>
      <c r="H97" s="208">
        <v>1</v>
      </c>
      <c r="I97" s="194"/>
      <c r="J97" s="194"/>
      <c r="K97" s="194"/>
    </row>
    <row r="98" spans="2:11" outlineLevel="1" x14ac:dyDescent="0.3">
      <c r="B98" s="166" t="s">
        <v>136</v>
      </c>
      <c r="C98" s="201"/>
      <c r="D98" s="201"/>
      <c r="E98" s="201"/>
      <c r="F98" s="114"/>
      <c r="G98" s="124">
        <f t="shared" si="5"/>
        <v>2</v>
      </c>
      <c r="H98" s="45">
        <v>1</v>
      </c>
      <c r="I98" s="124"/>
      <c r="J98" s="124">
        <v>1</v>
      </c>
      <c r="K98" s="124"/>
    </row>
    <row r="99" spans="2:11" outlineLevel="1" x14ac:dyDescent="0.3">
      <c r="B99" s="166" t="s">
        <v>139</v>
      </c>
      <c r="C99" s="201"/>
      <c r="D99" s="201"/>
      <c r="E99" s="201"/>
      <c r="F99" s="114"/>
      <c r="G99" s="124">
        <f t="shared" si="5"/>
        <v>1</v>
      </c>
      <c r="H99" s="45">
        <v>1</v>
      </c>
      <c r="I99" s="124"/>
      <c r="J99" s="124"/>
      <c r="K99" s="124"/>
    </row>
    <row r="100" spans="2:11" outlineLevel="1" x14ac:dyDescent="0.3">
      <c r="B100" s="166" t="s">
        <v>140</v>
      </c>
      <c r="C100" s="201"/>
      <c r="D100" s="201"/>
      <c r="E100" s="201"/>
      <c r="F100" s="114"/>
      <c r="G100" s="124">
        <f t="shared" si="5"/>
        <v>1</v>
      </c>
      <c r="H100" s="45">
        <v>1</v>
      </c>
      <c r="I100" s="124"/>
      <c r="J100" s="124"/>
      <c r="K100" s="124"/>
    </row>
    <row r="101" spans="2:11" outlineLevel="1" x14ac:dyDescent="0.3">
      <c r="B101" s="166" t="s">
        <v>143</v>
      </c>
      <c r="C101" s="201"/>
      <c r="D101" s="201"/>
      <c r="E101" s="201"/>
      <c r="F101" s="114"/>
      <c r="G101" s="124">
        <f t="shared" si="5"/>
        <v>1</v>
      </c>
      <c r="H101" s="45">
        <v>1</v>
      </c>
      <c r="I101" s="124"/>
      <c r="J101" s="124"/>
      <c r="K101" s="124"/>
    </row>
    <row r="102" spans="2:11" outlineLevel="1" x14ac:dyDescent="0.3">
      <c r="B102" s="166" t="s">
        <v>147</v>
      </c>
      <c r="C102" s="201"/>
      <c r="D102" s="201"/>
      <c r="E102" s="201"/>
      <c r="F102" s="114"/>
      <c r="G102" s="124">
        <f t="shared" si="5"/>
        <v>1</v>
      </c>
      <c r="H102" s="45">
        <v>1</v>
      </c>
      <c r="I102" s="124"/>
      <c r="J102" s="124"/>
      <c r="K102" s="124"/>
    </row>
    <row r="103" spans="2:11" outlineLevel="1" x14ac:dyDescent="0.3">
      <c r="B103" s="166" t="s">
        <v>150</v>
      </c>
      <c r="C103" s="201"/>
      <c r="D103" s="201"/>
      <c r="E103" s="201"/>
      <c r="F103" s="114"/>
      <c r="G103" s="124">
        <f t="shared" si="5"/>
        <v>1</v>
      </c>
      <c r="H103" s="45">
        <v>1</v>
      </c>
      <c r="I103" s="124"/>
      <c r="J103" s="124"/>
      <c r="K103" s="124"/>
    </row>
    <row r="104" spans="2:11" outlineLevel="1" x14ac:dyDescent="0.3">
      <c r="B104" s="166" t="s">
        <v>152</v>
      </c>
      <c r="C104" s="201"/>
      <c r="D104" s="201"/>
      <c r="E104" s="201"/>
      <c r="F104" s="114"/>
      <c r="G104" s="124">
        <f t="shared" si="5"/>
        <v>2</v>
      </c>
      <c r="H104" s="45">
        <v>1</v>
      </c>
      <c r="I104" s="124"/>
      <c r="J104" s="124"/>
      <c r="K104" s="124">
        <v>1</v>
      </c>
    </row>
    <row r="105" spans="2:11" outlineLevel="1" x14ac:dyDescent="0.3">
      <c r="B105" s="166" t="s">
        <v>157</v>
      </c>
      <c r="C105" s="201"/>
      <c r="D105" s="201"/>
      <c r="E105" s="201"/>
      <c r="F105" s="114"/>
      <c r="G105" s="124">
        <f t="shared" si="5"/>
        <v>1</v>
      </c>
      <c r="H105" s="45">
        <v>1</v>
      </c>
      <c r="I105" s="124"/>
      <c r="J105" s="124"/>
      <c r="K105" s="124"/>
    </row>
    <row r="106" spans="2:11" outlineLevel="1" x14ac:dyDescent="0.3">
      <c r="B106" s="166" t="s">
        <v>158</v>
      </c>
      <c r="C106" s="201"/>
      <c r="D106" s="201"/>
      <c r="E106" s="201"/>
      <c r="F106" s="114"/>
      <c r="G106" s="195">
        <f t="shared" si="5"/>
        <v>2</v>
      </c>
      <c r="H106" s="209"/>
      <c r="I106" s="195">
        <v>1</v>
      </c>
      <c r="J106" s="195"/>
      <c r="K106" s="195">
        <v>1</v>
      </c>
    </row>
    <row r="107" spans="2:11" x14ac:dyDescent="0.3">
      <c r="B107" s="207"/>
      <c r="C107" s="197"/>
      <c r="D107" s="197"/>
      <c r="E107" s="197"/>
      <c r="F107" s="169"/>
      <c r="G107" s="169"/>
      <c r="H107" s="119"/>
      <c r="I107" s="169"/>
      <c r="J107" s="169"/>
      <c r="K107" s="169"/>
    </row>
    <row r="109" spans="2:11" x14ac:dyDescent="0.3">
      <c r="E109" s="104"/>
    </row>
  </sheetData>
  <mergeCells count="14">
    <mergeCell ref="B2:C2"/>
    <mergeCell ref="B8:E8"/>
    <mergeCell ref="F8:G8"/>
    <mergeCell ref="H8:I8"/>
    <mergeCell ref="J8:K8"/>
    <mergeCell ref="L8:M8"/>
    <mergeCell ref="B9:E9"/>
    <mergeCell ref="F76:G77"/>
    <mergeCell ref="H77:H78"/>
    <mergeCell ref="K77:K78"/>
    <mergeCell ref="I77:I78"/>
    <mergeCell ref="J77:J78"/>
    <mergeCell ref="H76:K76"/>
    <mergeCell ref="B76:E78"/>
  </mergeCells>
  <pageMargins left="0.7" right="0.7" top="0.75" bottom="0.75" header="0.3" footer="0.3"/>
  <pageSetup scale="65" orientation="landscape" r:id="rId1"/>
  <ignoredErrors>
    <ignoredError sqref="G11:H11 I11:J11 K11:L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31E91-172A-401A-9FFC-335B78C4FB0B}">
  <dimension ref="B1:AB239"/>
  <sheetViews>
    <sheetView showGridLines="0" zoomScale="90" zoomScaleNormal="90" workbookViewId="0">
      <selection activeCell="D2" sqref="D2"/>
    </sheetView>
  </sheetViews>
  <sheetFormatPr defaultRowHeight="14.4" outlineLevelRow="1" x14ac:dyDescent="0.3"/>
  <cols>
    <col min="1" max="1" width="3.109375" style="106" customWidth="1"/>
    <col min="2" max="3" width="16.44140625" style="106" customWidth="1"/>
    <col min="4" max="4" width="8.88671875" style="106"/>
    <col min="5" max="5" width="13.44140625" style="106" customWidth="1"/>
    <col min="6" max="6" width="15" style="106" customWidth="1"/>
    <col min="7" max="7" width="13" style="106" customWidth="1"/>
    <col min="8" max="8" width="13.88671875" style="106" customWidth="1"/>
    <col min="9" max="9" width="12.5546875" style="106" customWidth="1"/>
    <col min="10" max="10" width="12.77734375" style="106" customWidth="1"/>
    <col min="11" max="11" width="12.33203125" style="106" customWidth="1"/>
    <col min="12" max="12" width="12.6640625" style="106" customWidth="1"/>
    <col min="13" max="13" width="14.109375" style="106" customWidth="1"/>
    <col min="14" max="14" width="14.33203125" style="106" customWidth="1"/>
    <col min="15" max="15" width="12" style="106" customWidth="1"/>
    <col min="16" max="16" width="12.77734375" style="106" customWidth="1"/>
    <col min="17" max="16384" width="8.88671875" style="106"/>
  </cols>
  <sheetData>
    <row r="1" spans="2:25" s="107" customFormat="1" ht="13.2" x14ac:dyDescent="0.25">
      <c r="E1" s="108"/>
      <c r="F1" s="3"/>
      <c r="G1" s="3"/>
      <c r="H1" s="3"/>
      <c r="I1" s="3"/>
      <c r="J1" s="3"/>
      <c r="K1" s="3"/>
      <c r="L1" s="108"/>
      <c r="M1" s="108"/>
      <c r="N1" s="108"/>
    </row>
    <row r="2" spans="2:25" s="107" customFormat="1" ht="18.600000000000001" customHeight="1" x14ac:dyDescent="0.25">
      <c r="B2" s="262" t="s">
        <v>2</v>
      </c>
      <c r="C2" s="263"/>
      <c r="E2" s="4"/>
      <c r="F2" s="3"/>
      <c r="G2" s="3"/>
      <c r="H2" s="3"/>
      <c r="I2" s="3"/>
      <c r="J2" s="3"/>
      <c r="K2" s="3"/>
      <c r="L2" s="108"/>
      <c r="M2" s="108"/>
      <c r="N2" s="108"/>
    </row>
    <row r="3" spans="2:25" s="107" customFormat="1" ht="20.399999999999999" customHeight="1" x14ac:dyDescent="0.3">
      <c r="B3" s="109" t="s">
        <v>4</v>
      </c>
      <c r="F3" s="3"/>
      <c r="G3" s="3"/>
      <c r="H3" s="3"/>
      <c r="I3" s="3"/>
      <c r="J3" s="3"/>
      <c r="K3" s="3"/>
      <c r="L3" s="108"/>
      <c r="M3" s="108"/>
      <c r="N3" s="108"/>
    </row>
    <row r="4" spans="2:25" s="107" customFormat="1" ht="15.6" x14ac:dyDescent="0.3">
      <c r="B4" s="109"/>
      <c r="F4" s="3"/>
      <c r="G4" s="3"/>
      <c r="H4" s="3"/>
      <c r="I4" s="30"/>
      <c r="J4" s="3"/>
      <c r="K4" s="3"/>
      <c r="L4" s="108"/>
      <c r="M4" s="108"/>
      <c r="N4" s="108"/>
    </row>
    <row r="5" spans="2:25" s="107" customFormat="1" ht="15" customHeight="1" x14ac:dyDescent="0.25">
      <c r="B5" s="6" t="s">
        <v>6</v>
      </c>
      <c r="F5" s="3"/>
      <c r="G5" s="3"/>
      <c r="H5" s="3"/>
      <c r="I5" s="3"/>
      <c r="J5" s="3"/>
      <c r="K5" s="3"/>
      <c r="L5" s="108"/>
      <c r="M5" s="108"/>
      <c r="N5" s="108"/>
    </row>
    <row r="6" spans="2:25" s="107" customFormat="1" ht="32.4" customHeight="1" x14ac:dyDescent="0.25">
      <c r="B6" s="285" t="s">
        <v>3</v>
      </c>
      <c r="C6" s="285"/>
      <c r="D6" s="285"/>
      <c r="E6" s="285"/>
      <c r="F6" s="285"/>
      <c r="G6" s="285"/>
      <c r="H6" s="285"/>
      <c r="I6" s="182"/>
      <c r="J6" s="182"/>
      <c r="K6" s="182"/>
      <c r="L6" s="108"/>
      <c r="M6" s="108"/>
      <c r="N6" s="108"/>
    </row>
    <row r="7" spans="2:25" s="19" customFormat="1" ht="14.4" customHeight="1" x14ac:dyDescent="0.25">
      <c r="B7" s="47"/>
      <c r="C7" s="47"/>
      <c r="D7" s="47"/>
      <c r="E7" s="3"/>
      <c r="F7" s="27"/>
      <c r="G7" s="27"/>
      <c r="H7" s="33"/>
      <c r="I7" s="33"/>
      <c r="J7" s="33"/>
      <c r="K7" s="3"/>
      <c r="L7" s="3"/>
      <c r="M7" s="3"/>
      <c r="N7" s="3"/>
      <c r="O7" s="3"/>
      <c r="P7" s="3"/>
      <c r="Q7" s="3"/>
      <c r="R7" s="24"/>
      <c r="S7" s="24"/>
      <c r="T7" s="24"/>
      <c r="U7" s="24"/>
      <c r="V7" s="24"/>
      <c r="W7" s="24"/>
    </row>
    <row r="8" spans="2:25" s="107" customFormat="1" ht="53.4" customHeight="1" x14ac:dyDescent="0.25">
      <c r="B8" s="264" t="s">
        <v>34</v>
      </c>
      <c r="C8" s="265"/>
      <c r="D8" s="265"/>
      <c r="E8" s="266"/>
      <c r="F8" s="267" t="s">
        <v>56</v>
      </c>
      <c r="G8" s="268"/>
      <c r="H8" s="267" t="s">
        <v>106</v>
      </c>
      <c r="I8" s="268"/>
      <c r="J8" s="267" t="s">
        <v>162</v>
      </c>
      <c r="K8" s="268"/>
      <c r="L8" s="242" t="s">
        <v>35</v>
      </c>
      <c r="M8" s="243"/>
      <c r="N8" s="3"/>
      <c r="O8" s="3"/>
      <c r="P8" s="3"/>
      <c r="Q8" s="3"/>
      <c r="R8" s="3"/>
      <c r="S8" s="3"/>
      <c r="T8" s="108"/>
      <c r="U8" s="108"/>
      <c r="V8" s="108"/>
      <c r="W8" s="108"/>
      <c r="X8" s="108"/>
      <c r="Y8" s="108"/>
    </row>
    <row r="9" spans="2:25" s="107" customFormat="1" ht="14.4" customHeight="1" x14ac:dyDescent="0.25">
      <c r="B9" s="244" t="s">
        <v>402</v>
      </c>
      <c r="C9" s="245"/>
      <c r="D9" s="245"/>
      <c r="E9" s="245"/>
      <c r="F9" s="111" t="s">
        <v>37</v>
      </c>
      <c r="G9" s="128" t="s">
        <v>38</v>
      </c>
      <c r="H9" s="111" t="s">
        <v>37</v>
      </c>
      <c r="I9" s="128" t="s">
        <v>38</v>
      </c>
      <c r="J9" s="111" t="s">
        <v>37</v>
      </c>
      <c r="K9" s="128" t="s">
        <v>38</v>
      </c>
      <c r="L9" s="111" t="s">
        <v>37</v>
      </c>
      <c r="M9" s="131" t="s">
        <v>38</v>
      </c>
      <c r="N9" s="3"/>
      <c r="O9" s="3"/>
      <c r="P9" s="3"/>
      <c r="Q9" s="3"/>
      <c r="R9" s="3"/>
      <c r="S9" s="3"/>
      <c r="T9" s="108"/>
      <c r="U9" s="108"/>
      <c r="V9" s="108"/>
      <c r="W9" s="108"/>
      <c r="X9" s="108"/>
      <c r="Y9" s="108"/>
    </row>
    <row r="10" spans="2:25" s="107" customFormat="1" ht="15" customHeight="1" x14ac:dyDescent="0.25">
      <c r="B10" s="145"/>
      <c r="C10" s="146"/>
      <c r="D10" s="146"/>
      <c r="E10" s="146"/>
      <c r="F10" s="112"/>
      <c r="G10" s="125"/>
      <c r="H10" s="112"/>
      <c r="I10" s="125"/>
      <c r="J10" s="112"/>
      <c r="K10" s="125"/>
      <c r="L10" s="112"/>
      <c r="M10" s="113"/>
      <c r="N10" s="3"/>
      <c r="O10" s="3"/>
      <c r="P10" s="3"/>
      <c r="Q10" s="3"/>
      <c r="R10" s="3"/>
      <c r="S10" s="3"/>
      <c r="T10" s="108"/>
      <c r="U10" s="108"/>
      <c r="V10" s="108"/>
      <c r="W10" s="108"/>
      <c r="X10" s="108"/>
      <c r="Y10" s="108"/>
    </row>
    <row r="11" spans="2:25" s="107" customFormat="1" ht="15" customHeight="1" x14ac:dyDescent="0.25">
      <c r="B11" s="147" t="s">
        <v>39</v>
      </c>
      <c r="C11" s="148"/>
      <c r="D11" s="148"/>
      <c r="E11" s="149">
        <f>SUM(F11,H11,J11,L11)</f>
        <v>52</v>
      </c>
      <c r="F11" s="114">
        <f>SUM(F13,F15,F18,F28,F40,F45,F70)</f>
        <v>12</v>
      </c>
      <c r="G11" s="150">
        <f>F11/$E$11</f>
        <v>0.23076923076923078</v>
      </c>
      <c r="H11" s="137">
        <f>SUM(H13,H15,H18,H28,H40,H45,H70)</f>
        <v>34</v>
      </c>
      <c r="I11" s="150">
        <f>H11/$E$11</f>
        <v>0.65384615384615385</v>
      </c>
      <c r="J11" s="116">
        <f>SUM(J13,J15,J18,J28,J40,J45,J70)</f>
        <v>5</v>
      </c>
      <c r="K11" s="150">
        <f>J11/$E$11</f>
        <v>9.6153846153846159E-2</v>
      </c>
      <c r="L11" s="114">
        <f>SUM(L13,L15,L18,L28,L40,L45,L70)</f>
        <v>1</v>
      </c>
      <c r="M11" s="115">
        <f>L11/$E$11</f>
        <v>1.9230769230769232E-2</v>
      </c>
      <c r="N11" s="30"/>
      <c r="O11" s="30"/>
      <c r="P11" s="30"/>
      <c r="Q11" s="30"/>
      <c r="R11" s="30"/>
      <c r="S11" s="30"/>
      <c r="T11" s="108"/>
      <c r="U11" s="108"/>
      <c r="V11" s="108"/>
      <c r="W11" s="108"/>
      <c r="X11" s="108"/>
      <c r="Y11" s="108"/>
    </row>
    <row r="12" spans="2:25" s="33" customFormat="1" ht="15" customHeight="1" x14ac:dyDescent="0.25">
      <c r="B12" s="152"/>
      <c r="C12" s="107"/>
      <c r="D12" s="107"/>
      <c r="E12" s="108"/>
      <c r="F12" s="114"/>
      <c r="G12" s="108"/>
      <c r="H12" s="153"/>
      <c r="I12" s="108"/>
      <c r="J12" s="114"/>
      <c r="K12" s="108"/>
      <c r="L12" s="114"/>
      <c r="M12" s="154"/>
      <c r="N12" s="3"/>
      <c r="O12" s="3"/>
      <c r="P12" s="3"/>
      <c r="Q12" s="3"/>
      <c r="R12" s="3"/>
      <c r="S12" s="3"/>
      <c r="T12" s="3"/>
      <c r="U12" s="3"/>
      <c r="V12" s="3"/>
      <c r="W12" s="3"/>
      <c r="X12" s="3"/>
      <c r="Y12" s="3"/>
    </row>
    <row r="13" spans="2:25" s="33" customFormat="1" ht="15" customHeight="1" x14ac:dyDescent="0.25">
      <c r="B13" s="126" t="s">
        <v>52</v>
      </c>
      <c r="C13" s="155"/>
      <c r="D13" s="155"/>
      <c r="E13" s="156"/>
      <c r="F13" s="117">
        <f>F14</f>
        <v>0</v>
      </c>
      <c r="G13" s="156"/>
      <c r="H13" s="129">
        <f>H14</f>
        <v>1</v>
      </c>
      <c r="I13" s="156"/>
      <c r="J13" s="117">
        <f>J14</f>
        <v>0</v>
      </c>
      <c r="K13" s="156"/>
      <c r="L13" s="117">
        <f>L14</f>
        <v>0</v>
      </c>
      <c r="M13" s="118"/>
      <c r="N13" s="3"/>
      <c r="O13" s="3"/>
      <c r="P13" s="3"/>
      <c r="Q13" s="3"/>
      <c r="R13" s="3"/>
      <c r="S13" s="3"/>
      <c r="T13" s="3"/>
      <c r="U13" s="3"/>
      <c r="V13" s="3"/>
      <c r="W13" s="3"/>
      <c r="X13" s="3"/>
      <c r="Y13" s="3"/>
    </row>
    <row r="14" spans="2:25" s="33" customFormat="1" ht="15" hidden="1" customHeight="1" outlineLevel="1" x14ac:dyDescent="0.25">
      <c r="B14" s="166" t="s">
        <v>55</v>
      </c>
      <c r="C14" s="107"/>
      <c r="D14" s="107"/>
      <c r="E14" s="108"/>
      <c r="F14" s="190"/>
      <c r="G14" s="108"/>
      <c r="H14" s="185">
        <v>1</v>
      </c>
      <c r="I14" s="108"/>
      <c r="J14" s="190"/>
      <c r="K14" s="108"/>
      <c r="L14" s="190"/>
      <c r="M14" s="154"/>
      <c r="N14" s="3"/>
      <c r="O14" s="3"/>
      <c r="P14" s="3"/>
      <c r="Q14" s="3"/>
      <c r="R14" s="3"/>
      <c r="S14" s="3"/>
      <c r="T14" s="3"/>
      <c r="U14" s="3"/>
      <c r="V14" s="3"/>
      <c r="W14" s="3"/>
      <c r="X14" s="3"/>
      <c r="Y14" s="3"/>
    </row>
    <row r="15" spans="2:25" s="33" customFormat="1" ht="15" customHeight="1" collapsed="1" x14ac:dyDescent="0.25">
      <c r="B15" s="166" t="s">
        <v>57</v>
      </c>
      <c r="C15" s="107"/>
      <c r="D15" s="107"/>
      <c r="E15" s="108"/>
      <c r="F15" s="114">
        <f>SUM(F16:F17)</f>
        <v>1</v>
      </c>
      <c r="G15" s="108"/>
      <c r="H15" s="153">
        <f>SUM(H16:H17)</f>
        <v>1</v>
      </c>
      <c r="I15" s="108"/>
      <c r="J15" s="114">
        <f>SUM(J16:J17)</f>
        <v>0</v>
      </c>
      <c r="K15" s="108"/>
      <c r="L15" s="114">
        <f>SUM(L16:L17)</f>
        <v>0</v>
      </c>
      <c r="M15" s="154"/>
      <c r="N15" s="3"/>
      <c r="O15" s="3"/>
      <c r="P15" s="3"/>
      <c r="Q15" s="3"/>
      <c r="R15" s="3"/>
      <c r="S15" s="3"/>
      <c r="T15" s="3"/>
      <c r="U15" s="3"/>
      <c r="V15" s="3"/>
      <c r="W15" s="3"/>
      <c r="X15" s="3"/>
      <c r="Y15" s="3"/>
    </row>
    <row r="16" spans="2:25" s="33" customFormat="1" ht="15" hidden="1" customHeight="1" outlineLevel="1" x14ac:dyDescent="0.25">
      <c r="B16" s="166" t="s">
        <v>58</v>
      </c>
      <c r="C16" s="107"/>
      <c r="D16" s="107"/>
      <c r="E16" s="108"/>
      <c r="F16" s="186"/>
      <c r="G16" s="108"/>
      <c r="H16" s="188">
        <v>1</v>
      </c>
      <c r="I16" s="108"/>
      <c r="J16" s="186"/>
      <c r="K16" s="108"/>
      <c r="L16" s="186"/>
      <c r="M16" s="154"/>
      <c r="N16" s="3"/>
      <c r="O16" s="3"/>
      <c r="P16" s="3"/>
      <c r="Q16" s="3"/>
      <c r="R16" s="3"/>
      <c r="S16" s="3"/>
      <c r="T16" s="3"/>
      <c r="U16" s="3"/>
      <c r="V16" s="3"/>
      <c r="W16" s="3"/>
      <c r="X16" s="3"/>
      <c r="Y16" s="3"/>
    </row>
    <row r="17" spans="2:25" s="33" customFormat="1" ht="15" hidden="1" customHeight="1" outlineLevel="1" x14ac:dyDescent="0.25">
      <c r="B17" s="166" t="s">
        <v>59</v>
      </c>
      <c r="C17" s="107"/>
      <c r="D17" s="107"/>
      <c r="E17" s="108"/>
      <c r="F17" s="187">
        <v>1</v>
      </c>
      <c r="G17" s="108"/>
      <c r="H17" s="189"/>
      <c r="I17" s="108"/>
      <c r="J17" s="187"/>
      <c r="K17" s="108"/>
      <c r="L17" s="187"/>
      <c r="M17" s="154"/>
      <c r="N17" s="3"/>
      <c r="O17" s="3"/>
      <c r="P17" s="3"/>
      <c r="Q17" s="3"/>
      <c r="R17" s="3"/>
      <c r="S17" s="3"/>
      <c r="T17" s="3"/>
      <c r="U17" s="3"/>
      <c r="V17" s="3"/>
      <c r="W17" s="3"/>
      <c r="X17" s="3"/>
      <c r="Y17" s="3"/>
    </row>
    <row r="18" spans="2:25" s="33" customFormat="1" ht="15" customHeight="1" collapsed="1" x14ac:dyDescent="0.25">
      <c r="B18" s="126" t="s">
        <v>60</v>
      </c>
      <c r="C18" s="155"/>
      <c r="D18" s="155"/>
      <c r="E18" s="156"/>
      <c r="F18" s="117">
        <f>SUM(F19:F27)</f>
        <v>1</v>
      </c>
      <c r="G18" s="156"/>
      <c r="H18" s="129">
        <f>SUM(H19:H27)</f>
        <v>6</v>
      </c>
      <c r="I18" s="156"/>
      <c r="J18" s="117">
        <f>SUM(J19:J27)</f>
        <v>2</v>
      </c>
      <c r="K18" s="156"/>
      <c r="L18" s="117">
        <f>SUM(L19:L27)</f>
        <v>0</v>
      </c>
      <c r="M18" s="118"/>
      <c r="N18" s="3"/>
      <c r="O18" s="3"/>
      <c r="P18" s="3"/>
      <c r="Q18" s="3"/>
      <c r="R18" s="3"/>
      <c r="S18" s="3"/>
      <c r="T18" s="3"/>
      <c r="U18" s="3"/>
      <c r="V18" s="3"/>
      <c r="W18" s="3"/>
      <c r="X18" s="3"/>
      <c r="Y18" s="3"/>
    </row>
    <row r="19" spans="2:25" s="33" customFormat="1" ht="15" hidden="1" customHeight="1" outlineLevel="1" x14ac:dyDescent="0.25">
      <c r="B19" s="166" t="s">
        <v>61</v>
      </c>
      <c r="C19" s="107"/>
      <c r="D19" s="107"/>
      <c r="E19" s="108"/>
      <c r="F19" s="186"/>
      <c r="G19" s="108"/>
      <c r="H19" s="188"/>
      <c r="I19" s="108"/>
      <c r="J19" s="186">
        <v>1</v>
      </c>
      <c r="K19" s="108"/>
      <c r="L19" s="186"/>
      <c r="M19" s="154"/>
      <c r="N19" s="3"/>
      <c r="O19" s="3"/>
      <c r="P19" s="3"/>
      <c r="Q19" s="3"/>
      <c r="R19" s="3"/>
      <c r="S19" s="3"/>
      <c r="T19" s="3"/>
      <c r="U19" s="3"/>
      <c r="V19" s="3"/>
      <c r="W19" s="3"/>
      <c r="X19" s="3"/>
      <c r="Y19" s="3"/>
    </row>
    <row r="20" spans="2:25" s="33" customFormat="1" ht="15" hidden="1" customHeight="1" outlineLevel="1" x14ac:dyDescent="0.25">
      <c r="B20" s="166" t="s">
        <v>62</v>
      </c>
      <c r="C20" s="107"/>
      <c r="D20" s="107"/>
      <c r="E20" s="108"/>
      <c r="F20" s="127">
        <v>1</v>
      </c>
      <c r="G20" s="108"/>
      <c r="H20" s="130"/>
      <c r="I20" s="108"/>
      <c r="J20" s="127"/>
      <c r="K20" s="108"/>
      <c r="L20" s="127"/>
      <c r="M20" s="154"/>
      <c r="N20" s="3"/>
      <c r="O20" s="3"/>
      <c r="P20" s="3"/>
      <c r="Q20" s="3"/>
      <c r="R20" s="3"/>
      <c r="S20" s="3"/>
      <c r="T20" s="3"/>
      <c r="U20" s="3"/>
      <c r="V20" s="3"/>
      <c r="W20" s="3"/>
      <c r="X20" s="3"/>
      <c r="Y20" s="3"/>
    </row>
    <row r="21" spans="2:25" s="33" customFormat="1" ht="15" hidden="1" customHeight="1" outlineLevel="1" x14ac:dyDescent="0.25">
      <c r="B21" s="166" t="s">
        <v>63</v>
      </c>
      <c r="C21" s="107"/>
      <c r="D21" s="107"/>
      <c r="E21" s="108"/>
      <c r="F21" s="127"/>
      <c r="G21" s="108"/>
      <c r="H21" s="130">
        <v>1</v>
      </c>
      <c r="I21" s="108"/>
      <c r="J21" s="127"/>
      <c r="K21" s="108"/>
      <c r="L21" s="127"/>
      <c r="M21" s="154"/>
      <c r="N21" s="3"/>
      <c r="O21" s="3"/>
      <c r="P21" s="3"/>
      <c r="Q21" s="3"/>
      <c r="R21" s="3"/>
      <c r="S21" s="3"/>
      <c r="T21" s="3"/>
      <c r="U21" s="3"/>
      <c r="V21" s="3"/>
      <c r="W21" s="3"/>
      <c r="X21" s="3"/>
      <c r="Y21" s="3"/>
    </row>
    <row r="22" spans="2:25" s="33" customFormat="1" ht="15" hidden="1" customHeight="1" outlineLevel="1" x14ac:dyDescent="0.25">
      <c r="B22" s="166" t="s">
        <v>169</v>
      </c>
      <c r="C22" s="107"/>
      <c r="D22" s="107"/>
      <c r="E22" s="108"/>
      <c r="F22" s="127"/>
      <c r="G22" s="108"/>
      <c r="H22" s="130">
        <v>1</v>
      </c>
      <c r="I22" s="108"/>
      <c r="J22" s="127"/>
      <c r="K22" s="108"/>
      <c r="L22" s="127"/>
      <c r="M22" s="154"/>
      <c r="N22" s="3"/>
      <c r="O22" s="3"/>
      <c r="P22" s="3"/>
      <c r="Q22" s="3"/>
      <c r="R22" s="3"/>
      <c r="S22" s="3"/>
      <c r="T22" s="3"/>
      <c r="U22" s="3"/>
      <c r="V22" s="3"/>
      <c r="W22" s="3"/>
      <c r="X22" s="3"/>
      <c r="Y22" s="3"/>
    </row>
    <row r="23" spans="2:25" s="33" customFormat="1" ht="15" hidden="1" customHeight="1" outlineLevel="1" x14ac:dyDescent="0.25">
      <c r="B23" s="166" t="s">
        <v>65</v>
      </c>
      <c r="C23" s="107"/>
      <c r="D23" s="107"/>
      <c r="E23" s="108"/>
      <c r="F23" s="127"/>
      <c r="G23" s="108"/>
      <c r="H23" s="130">
        <v>1</v>
      </c>
      <c r="I23" s="108"/>
      <c r="J23" s="127"/>
      <c r="K23" s="108"/>
      <c r="L23" s="127"/>
      <c r="M23" s="154"/>
      <c r="N23" s="3"/>
      <c r="O23" s="3"/>
      <c r="P23" s="3"/>
      <c r="Q23" s="3"/>
      <c r="R23" s="3"/>
      <c r="S23" s="3"/>
      <c r="T23" s="3"/>
      <c r="U23" s="3"/>
      <c r="V23" s="3"/>
      <c r="W23" s="3"/>
      <c r="X23" s="3"/>
      <c r="Y23" s="3"/>
    </row>
    <row r="24" spans="2:25" s="33" customFormat="1" ht="15" hidden="1" customHeight="1" outlineLevel="1" x14ac:dyDescent="0.25">
      <c r="B24" s="166" t="s">
        <v>66</v>
      </c>
      <c r="C24" s="107"/>
      <c r="D24" s="107"/>
      <c r="E24" s="108"/>
      <c r="F24" s="127"/>
      <c r="G24" s="108"/>
      <c r="H24" s="130">
        <v>1</v>
      </c>
      <c r="I24" s="108"/>
      <c r="J24" s="127"/>
      <c r="K24" s="108"/>
      <c r="L24" s="127"/>
      <c r="M24" s="154"/>
      <c r="N24" s="3"/>
      <c r="O24" s="3"/>
      <c r="P24" s="3"/>
      <c r="Q24" s="3"/>
      <c r="R24" s="3"/>
      <c r="S24" s="3"/>
      <c r="T24" s="3"/>
      <c r="U24" s="3"/>
      <c r="V24" s="3"/>
      <c r="W24" s="3"/>
      <c r="X24" s="3"/>
      <c r="Y24" s="3"/>
    </row>
    <row r="25" spans="2:25" s="33" customFormat="1" ht="15" hidden="1" customHeight="1" outlineLevel="1" x14ac:dyDescent="0.25">
      <c r="B25" s="166" t="s">
        <v>67</v>
      </c>
      <c r="C25" s="107"/>
      <c r="D25" s="107"/>
      <c r="E25" s="108"/>
      <c r="F25" s="127"/>
      <c r="G25" s="108"/>
      <c r="H25" s="130">
        <v>1</v>
      </c>
      <c r="I25" s="108"/>
      <c r="J25" s="127"/>
      <c r="K25" s="108"/>
      <c r="L25" s="127"/>
      <c r="M25" s="154"/>
      <c r="N25" s="3"/>
      <c r="O25" s="3"/>
      <c r="P25" s="3"/>
      <c r="Q25" s="3"/>
      <c r="R25" s="3"/>
      <c r="S25" s="3"/>
      <c r="T25" s="3"/>
      <c r="U25" s="3"/>
      <c r="V25" s="3"/>
      <c r="W25" s="3"/>
      <c r="X25" s="3"/>
      <c r="Y25" s="3"/>
    </row>
    <row r="26" spans="2:25" s="33" customFormat="1" ht="15" hidden="1" customHeight="1" outlineLevel="1" x14ac:dyDescent="0.25">
      <c r="B26" s="166" t="s">
        <v>68</v>
      </c>
      <c r="C26" s="107"/>
      <c r="D26" s="107"/>
      <c r="E26" s="108"/>
      <c r="F26" s="127"/>
      <c r="G26" s="108"/>
      <c r="H26" s="130"/>
      <c r="I26" s="108"/>
      <c r="J26" s="127">
        <v>1</v>
      </c>
      <c r="K26" s="108"/>
      <c r="L26" s="127"/>
      <c r="M26" s="154"/>
      <c r="N26" s="3"/>
      <c r="O26" s="3"/>
      <c r="P26" s="3"/>
      <c r="Q26" s="3"/>
      <c r="R26" s="3"/>
      <c r="S26" s="3"/>
      <c r="T26" s="3"/>
      <c r="U26" s="3"/>
      <c r="V26" s="3"/>
      <c r="W26" s="3"/>
      <c r="X26" s="3"/>
      <c r="Y26" s="3"/>
    </row>
    <row r="27" spans="2:25" s="33" customFormat="1" ht="15" hidden="1" customHeight="1" outlineLevel="1" x14ac:dyDescent="0.25">
      <c r="B27" s="166" t="s">
        <v>69</v>
      </c>
      <c r="C27" s="107"/>
      <c r="D27" s="107"/>
      <c r="E27" s="108"/>
      <c r="F27" s="187"/>
      <c r="G27" s="108"/>
      <c r="H27" s="189">
        <v>1</v>
      </c>
      <c r="I27" s="108"/>
      <c r="J27" s="187"/>
      <c r="K27" s="108"/>
      <c r="L27" s="187"/>
      <c r="M27" s="154"/>
      <c r="N27" s="3"/>
      <c r="O27" s="3"/>
      <c r="P27" s="3"/>
      <c r="Q27" s="3"/>
      <c r="R27" s="3"/>
      <c r="S27" s="3"/>
      <c r="T27" s="3"/>
      <c r="U27" s="3"/>
      <c r="V27" s="3"/>
      <c r="W27" s="3"/>
      <c r="X27" s="3"/>
      <c r="Y27" s="3"/>
    </row>
    <row r="28" spans="2:25" s="33" customFormat="1" ht="15" customHeight="1" collapsed="1" x14ac:dyDescent="0.25">
      <c r="B28" s="166" t="s">
        <v>40</v>
      </c>
      <c r="C28" s="107"/>
      <c r="D28" s="107"/>
      <c r="E28" s="108"/>
      <c r="F28" s="114">
        <f>SUM(F29:F39)</f>
        <v>3</v>
      </c>
      <c r="G28" s="108"/>
      <c r="H28" s="153">
        <f>SUM(H29:H39)</f>
        <v>6</v>
      </c>
      <c r="I28" s="108"/>
      <c r="J28" s="114">
        <f>SUM(J29:J39)</f>
        <v>1</v>
      </c>
      <c r="K28" s="108"/>
      <c r="L28" s="114">
        <f>SUM(L29:L39)</f>
        <v>1</v>
      </c>
      <c r="M28" s="154"/>
      <c r="N28" s="3"/>
      <c r="O28" s="3"/>
      <c r="P28" s="3"/>
      <c r="Q28" s="3"/>
      <c r="R28" s="3"/>
      <c r="S28" s="3"/>
      <c r="T28" s="3"/>
      <c r="U28" s="3"/>
      <c r="V28" s="3"/>
      <c r="W28" s="3"/>
      <c r="X28" s="3"/>
      <c r="Y28" s="3"/>
    </row>
    <row r="29" spans="2:25" s="33" customFormat="1" ht="15" hidden="1" customHeight="1" outlineLevel="1" x14ac:dyDescent="0.25">
      <c r="B29" s="166" t="s">
        <v>70</v>
      </c>
      <c r="C29" s="107"/>
      <c r="D29" s="107"/>
      <c r="E29" s="108"/>
      <c r="F29" s="186"/>
      <c r="G29" s="108"/>
      <c r="H29" s="188">
        <v>1</v>
      </c>
      <c r="I29" s="108"/>
      <c r="J29" s="186"/>
      <c r="K29" s="108"/>
      <c r="L29" s="186"/>
      <c r="M29" s="154"/>
      <c r="N29" s="3"/>
      <c r="O29" s="3"/>
      <c r="P29" s="3"/>
      <c r="Q29" s="3"/>
      <c r="R29" s="3"/>
      <c r="S29" s="3"/>
      <c r="T29" s="3"/>
      <c r="U29" s="3"/>
      <c r="V29" s="3"/>
      <c r="W29" s="3"/>
      <c r="X29" s="3"/>
      <c r="Y29" s="3"/>
    </row>
    <row r="30" spans="2:25" s="33" customFormat="1" ht="15" hidden="1" customHeight="1" outlineLevel="1" x14ac:dyDescent="0.25">
      <c r="B30" s="166" t="s">
        <v>71</v>
      </c>
      <c r="C30" s="107"/>
      <c r="D30" s="107"/>
      <c r="E30" s="108"/>
      <c r="F30" s="127"/>
      <c r="G30" s="108"/>
      <c r="H30" s="130"/>
      <c r="I30" s="108"/>
      <c r="J30" s="127"/>
      <c r="K30" s="108"/>
      <c r="L30" s="127">
        <v>1</v>
      </c>
      <c r="M30" s="154"/>
      <c r="N30" s="3"/>
      <c r="O30" s="3"/>
      <c r="P30" s="3"/>
      <c r="Q30" s="3"/>
      <c r="R30" s="3"/>
      <c r="S30" s="3"/>
      <c r="T30" s="3"/>
      <c r="U30" s="3"/>
      <c r="V30" s="3"/>
      <c r="W30" s="3"/>
      <c r="X30" s="3"/>
      <c r="Y30" s="3"/>
    </row>
    <row r="31" spans="2:25" s="33" customFormat="1" ht="15" hidden="1" customHeight="1" outlineLevel="1" x14ac:dyDescent="0.25">
      <c r="B31" s="166" t="s">
        <v>72</v>
      </c>
      <c r="C31" s="107"/>
      <c r="D31" s="107"/>
      <c r="E31" s="108"/>
      <c r="F31" s="127">
        <v>1</v>
      </c>
      <c r="G31" s="108"/>
      <c r="H31" s="130"/>
      <c r="I31" s="108"/>
      <c r="J31" s="127"/>
      <c r="K31" s="108"/>
      <c r="L31" s="127"/>
      <c r="M31" s="154"/>
      <c r="N31" s="3"/>
      <c r="O31" s="3"/>
      <c r="P31" s="3"/>
      <c r="Q31" s="3"/>
      <c r="R31" s="3"/>
      <c r="S31" s="3"/>
      <c r="T31" s="3"/>
      <c r="U31" s="3"/>
      <c r="V31" s="3"/>
      <c r="W31" s="3"/>
      <c r="X31" s="3"/>
      <c r="Y31" s="3"/>
    </row>
    <row r="32" spans="2:25" s="33" customFormat="1" ht="15" hidden="1" customHeight="1" outlineLevel="1" x14ac:dyDescent="0.25">
      <c r="B32" s="166" t="s">
        <v>73</v>
      </c>
      <c r="C32" s="107"/>
      <c r="D32" s="107"/>
      <c r="E32" s="108"/>
      <c r="F32" s="127"/>
      <c r="G32" s="108"/>
      <c r="H32" s="130">
        <v>1</v>
      </c>
      <c r="I32" s="108"/>
      <c r="J32" s="127"/>
      <c r="K32" s="108"/>
      <c r="L32" s="127"/>
      <c r="M32" s="154"/>
      <c r="N32" s="3"/>
      <c r="O32" s="3"/>
      <c r="P32" s="3"/>
      <c r="Q32" s="3"/>
      <c r="R32" s="3"/>
      <c r="S32" s="3"/>
      <c r="T32" s="3"/>
      <c r="U32" s="3"/>
      <c r="V32" s="3"/>
      <c r="W32" s="3"/>
      <c r="X32" s="3"/>
      <c r="Y32" s="3"/>
    </row>
    <row r="33" spans="2:25" s="33" customFormat="1" ht="15" hidden="1" customHeight="1" outlineLevel="1" x14ac:dyDescent="0.25">
      <c r="B33" s="166" t="s">
        <v>74</v>
      </c>
      <c r="C33" s="107"/>
      <c r="D33" s="107"/>
      <c r="E33" s="108"/>
      <c r="F33" s="127"/>
      <c r="G33" s="108"/>
      <c r="H33" s="130"/>
      <c r="I33" s="108"/>
      <c r="J33" s="127">
        <v>1</v>
      </c>
      <c r="K33" s="108"/>
      <c r="L33" s="127"/>
      <c r="M33" s="154"/>
      <c r="N33" s="3"/>
      <c r="O33" s="3"/>
      <c r="P33" s="3"/>
      <c r="Q33" s="3"/>
      <c r="R33" s="3"/>
      <c r="S33" s="3"/>
      <c r="T33" s="3"/>
      <c r="U33" s="3"/>
      <c r="V33" s="3"/>
      <c r="W33" s="3"/>
      <c r="X33" s="3"/>
      <c r="Y33" s="3"/>
    </row>
    <row r="34" spans="2:25" s="33" customFormat="1" ht="15" hidden="1" customHeight="1" outlineLevel="1" x14ac:dyDescent="0.25">
      <c r="B34" s="166" t="s">
        <v>75</v>
      </c>
      <c r="C34" s="107"/>
      <c r="D34" s="107"/>
      <c r="E34" s="108"/>
      <c r="F34" s="127"/>
      <c r="G34" s="108"/>
      <c r="H34" s="130">
        <v>1</v>
      </c>
      <c r="I34" s="108"/>
      <c r="J34" s="127"/>
      <c r="K34" s="108"/>
      <c r="L34" s="127"/>
      <c r="M34" s="154"/>
      <c r="N34" s="3"/>
      <c r="O34" s="3"/>
      <c r="P34" s="3"/>
      <c r="Q34" s="3"/>
      <c r="R34" s="3"/>
      <c r="S34" s="3"/>
      <c r="T34" s="3"/>
      <c r="U34" s="3"/>
      <c r="V34" s="3"/>
      <c r="W34" s="3"/>
      <c r="X34" s="3"/>
      <c r="Y34" s="3"/>
    </row>
    <row r="35" spans="2:25" s="33" customFormat="1" ht="15" hidden="1" customHeight="1" outlineLevel="1" x14ac:dyDescent="0.25">
      <c r="B35" s="166" t="s">
        <v>76</v>
      </c>
      <c r="C35" s="107"/>
      <c r="D35" s="107"/>
      <c r="E35" s="108"/>
      <c r="F35" s="127">
        <v>1</v>
      </c>
      <c r="G35" s="108"/>
      <c r="H35" s="130"/>
      <c r="I35" s="108"/>
      <c r="J35" s="127"/>
      <c r="K35" s="108"/>
      <c r="L35" s="127"/>
      <c r="M35" s="154"/>
      <c r="N35" s="3"/>
      <c r="O35" s="3"/>
      <c r="P35" s="3"/>
      <c r="Q35" s="3"/>
      <c r="R35" s="3"/>
      <c r="S35" s="3"/>
      <c r="T35" s="3"/>
      <c r="U35" s="3"/>
      <c r="V35" s="3"/>
      <c r="W35" s="3"/>
      <c r="X35" s="3"/>
      <c r="Y35" s="3"/>
    </row>
    <row r="36" spans="2:25" s="33" customFormat="1" ht="15" hidden="1" customHeight="1" outlineLevel="1" x14ac:dyDescent="0.25">
      <c r="B36" s="166" t="s">
        <v>77</v>
      </c>
      <c r="C36" s="107"/>
      <c r="D36" s="107"/>
      <c r="E36" s="108"/>
      <c r="F36" s="127"/>
      <c r="G36" s="108"/>
      <c r="H36" s="130">
        <v>1</v>
      </c>
      <c r="I36" s="108"/>
      <c r="J36" s="127"/>
      <c r="K36" s="108"/>
      <c r="L36" s="127"/>
      <c r="M36" s="154"/>
      <c r="N36" s="3"/>
      <c r="O36" s="3"/>
      <c r="P36" s="3"/>
      <c r="Q36" s="3"/>
      <c r="R36" s="3"/>
      <c r="S36" s="3"/>
      <c r="T36" s="3"/>
      <c r="U36" s="3"/>
      <c r="V36" s="3"/>
      <c r="W36" s="3"/>
      <c r="X36" s="3"/>
      <c r="Y36" s="3"/>
    </row>
    <row r="37" spans="2:25" s="33" customFormat="1" ht="15" hidden="1" customHeight="1" outlineLevel="1" x14ac:dyDescent="0.25">
      <c r="B37" s="166" t="s">
        <v>78</v>
      </c>
      <c r="C37" s="107"/>
      <c r="D37" s="107"/>
      <c r="E37" s="108"/>
      <c r="F37" s="127"/>
      <c r="G37" s="108"/>
      <c r="H37" s="130">
        <v>1</v>
      </c>
      <c r="I37" s="108"/>
      <c r="J37" s="127"/>
      <c r="K37" s="108"/>
      <c r="L37" s="127"/>
      <c r="M37" s="154"/>
      <c r="N37" s="3"/>
      <c r="O37" s="3"/>
      <c r="P37" s="3"/>
      <c r="Q37" s="3"/>
      <c r="R37" s="3"/>
      <c r="S37" s="3"/>
      <c r="T37" s="3"/>
      <c r="U37" s="3"/>
      <c r="V37" s="3"/>
      <c r="W37" s="3"/>
      <c r="X37" s="3"/>
      <c r="Y37" s="3"/>
    </row>
    <row r="38" spans="2:25" s="33" customFormat="1" ht="15" hidden="1" customHeight="1" outlineLevel="1" x14ac:dyDescent="0.25">
      <c r="B38" s="166" t="s">
        <v>41</v>
      </c>
      <c r="C38" s="107"/>
      <c r="D38" s="107"/>
      <c r="E38" s="108"/>
      <c r="F38" s="127"/>
      <c r="G38" s="108"/>
      <c r="H38" s="130">
        <v>1</v>
      </c>
      <c r="I38" s="108"/>
      <c r="J38" s="127"/>
      <c r="K38" s="108"/>
      <c r="L38" s="127"/>
      <c r="M38" s="154"/>
      <c r="N38" s="3"/>
      <c r="O38" s="3"/>
      <c r="P38" s="3"/>
      <c r="Q38" s="3"/>
      <c r="R38" s="3"/>
      <c r="S38" s="3"/>
      <c r="T38" s="3"/>
      <c r="U38" s="3"/>
      <c r="V38" s="3"/>
      <c r="W38" s="3"/>
      <c r="X38" s="3"/>
      <c r="Y38" s="3"/>
    </row>
    <row r="39" spans="2:25" s="33" customFormat="1" ht="15" hidden="1" customHeight="1" outlineLevel="1" x14ac:dyDescent="0.25">
      <c r="B39" s="166" t="s">
        <v>79</v>
      </c>
      <c r="C39" s="107"/>
      <c r="D39" s="107"/>
      <c r="E39" s="108"/>
      <c r="F39" s="187">
        <v>1</v>
      </c>
      <c r="G39" s="108"/>
      <c r="H39" s="189"/>
      <c r="I39" s="108"/>
      <c r="J39" s="187"/>
      <c r="K39" s="108"/>
      <c r="L39" s="187"/>
      <c r="M39" s="154"/>
      <c r="N39" s="3"/>
      <c r="O39" s="3"/>
      <c r="P39" s="3"/>
      <c r="Q39" s="3"/>
      <c r="R39" s="3"/>
      <c r="S39" s="3"/>
      <c r="T39" s="3"/>
      <c r="U39" s="3"/>
      <c r="V39" s="3"/>
      <c r="W39" s="3"/>
      <c r="X39" s="3"/>
      <c r="Y39" s="3"/>
    </row>
    <row r="40" spans="2:25" s="33" customFormat="1" ht="15" customHeight="1" collapsed="1" x14ac:dyDescent="0.25">
      <c r="B40" s="126" t="s">
        <v>80</v>
      </c>
      <c r="C40" s="155"/>
      <c r="D40" s="155"/>
      <c r="E40" s="156"/>
      <c r="F40" s="117">
        <f>SUM(F41:F44)</f>
        <v>1</v>
      </c>
      <c r="G40" s="156"/>
      <c r="H40" s="129">
        <f>SUM(H41:H44)</f>
        <v>2</v>
      </c>
      <c r="I40" s="156"/>
      <c r="J40" s="117">
        <f>SUM(J41:J44)</f>
        <v>1</v>
      </c>
      <c r="K40" s="156"/>
      <c r="L40" s="117">
        <f>SUM(L41:L44)</f>
        <v>0</v>
      </c>
      <c r="M40" s="118"/>
      <c r="N40" s="3"/>
      <c r="O40" s="3"/>
      <c r="P40" s="3"/>
      <c r="Q40" s="3"/>
      <c r="R40" s="3"/>
      <c r="S40" s="3"/>
      <c r="T40" s="3"/>
      <c r="U40" s="3"/>
      <c r="V40" s="3"/>
      <c r="W40" s="3"/>
      <c r="X40" s="3"/>
      <c r="Y40" s="3"/>
    </row>
    <row r="41" spans="2:25" s="33" customFormat="1" ht="15" hidden="1" customHeight="1" outlineLevel="1" x14ac:dyDescent="0.25">
      <c r="B41" s="166" t="s">
        <v>81</v>
      </c>
      <c r="C41" s="107"/>
      <c r="D41" s="107"/>
      <c r="E41" s="108"/>
      <c r="F41" s="186"/>
      <c r="G41" s="108"/>
      <c r="H41" s="188">
        <v>1</v>
      </c>
      <c r="I41" s="108"/>
      <c r="J41" s="186"/>
      <c r="K41" s="108"/>
      <c r="L41" s="186"/>
      <c r="M41" s="154"/>
      <c r="N41" s="3"/>
      <c r="O41" s="3"/>
      <c r="P41" s="3"/>
      <c r="Q41" s="3"/>
      <c r="R41" s="3"/>
      <c r="S41" s="3"/>
      <c r="T41" s="3"/>
      <c r="U41" s="3"/>
      <c r="V41" s="3"/>
      <c r="W41" s="3"/>
      <c r="X41" s="3"/>
      <c r="Y41" s="3"/>
    </row>
    <row r="42" spans="2:25" s="33" customFormat="1" ht="15" hidden="1" customHeight="1" outlineLevel="1" x14ac:dyDescent="0.25">
      <c r="B42" s="166" t="s">
        <v>82</v>
      </c>
      <c r="C42" s="107"/>
      <c r="D42" s="107"/>
      <c r="E42" s="108"/>
      <c r="F42" s="127"/>
      <c r="G42" s="108"/>
      <c r="H42" s="130"/>
      <c r="I42" s="108"/>
      <c r="J42" s="127">
        <v>1</v>
      </c>
      <c r="K42" s="108"/>
      <c r="L42" s="127"/>
      <c r="M42" s="154"/>
      <c r="N42" s="3"/>
      <c r="O42" s="3"/>
      <c r="P42" s="3"/>
      <c r="Q42" s="3"/>
      <c r="R42" s="3"/>
      <c r="S42" s="3"/>
      <c r="T42" s="3"/>
      <c r="U42" s="3"/>
      <c r="V42" s="3"/>
      <c r="W42" s="3"/>
      <c r="X42" s="3"/>
      <c r="Y42" s="3"/>
    </row>
    <row r="43" spans="2:25" s="33" customFormat="1" ht="15" hidden="1" customHeight="1" outlineLevel="1" x14ac:dyDescent="0.25">
      <c r="B43" s="166" t="s">
        <v>83</v>
      </c>
      <c r="C43" s="107"/>
      <c r="D43" s="107"/>
      <c r="E43" s="108"/>
      <c r="F43" s="127"/>
      <c r="G43" s="108"/>
      <c r="H43" s="130">
        <v>1</v>
      </c>
      <c r="I43" s="108"/>
      <c r="J43" s="127"/>
      <c r="K43" s="108"/>
      <c r="L43" s="127"/>
      <c r="M43" s="154"/>
      <c r="N43" s="3"/>
      <c r="O43" s="3"/>
      <c r="P43" s="3"/>
      <c r="Q43" s="3"/>
      <c r="R43" s="3"/>
      <c r="S43" s="3"/>
      <c r="T43" s="3"/>
      <c r="U43" s="3"/>
      <c r="V43" s="3"/>
      <c r="W43" s="3"/>
      <c r="X43" s="3"/>
      <c r="Y43" s="3"/>
    </row>
    <row r="44" spans="2:25" s="33" customFormat="1" ht="15" hidden="1" customHeight="1" outlineLevel="1" x14ac:dyDescent="0.25">
      <c r="B44" s="166" t="s">
        <v>84</v>
      </c>
      <c r="C44" s="107"/>
      <c r="D44" s="107"/>
      <c r="E44" s="108"/>
      <c r="F44" s="187">
        <v>1</v>
      </c>
      <c r="G44" s="108"/>
      <c r="H44" s="189"/>
      <c r="I44" s="108"/>
      <c r="J44" s="187"/>
      <c r="K44" s="108"/>
      <c r="L44" s="187"/>
      <c r="M44" s="154"/>
      <c r="N44" s="3"/>
      <c r="O44" s="3"/>
      <c r="P44" s="3"/>
      <c r="Q44" s="3"/>
      <c r="R44" s="3"/>
      <c r="S44" s="3"/>
      <c r="T44" s="3"/>
      <c r="U44" s="3"/>
      <c r="V44" s="3"/>
      <c r="W44" s="3"/>
      <c r="X44" s="3"/>
      <c r="Y44" s="3"/>
    </row>
    <row r="45" spans="2:25" s="33" customFormat="1" ht="15" customHeight="1" collapsed="1" x14ac:dyDescent="0.25">
      <c r="B45" s="166" t="s">
        <v>85</v>
      </c>
      <c r="C45" s="107"/>
      <c r="D45" s="107"/>
      <c r="E45" s="108"/>
      <c r="F45" s="114">
        <f>SUM(F46:F69)</f>
        <v>6</v>
      </c>
      <c r="G45" s="108"/>
      <c r="H45" s="153">
        <f>SUM(H46:H69)</f>
        <v>17</v>
      </c>
      <c r="I45" s="108"/>
      <c r="J45" s="114">
        <f>SUM(J46:J69)</f>
        <v>1</v>
      </c>
      <c r="K45" s="108"/>
      <c r="L45" s="114">
        <f>SUM(L46:L69)</f>
        <v>0</v>
      </c>
      <c r="M45" s="154"/>
      <c r="N45" s="3"/>
      <c r="O45" s="3"/>
      <c r="P45" s="3"/>
      <c r="Q45" s="3"/>
      <c r="R45" s="3"/>
      <c r="S45" s="3"/>
      <c r="T45" s="3"/>
      <c r="U45" s="3"/>
      <c r="V45" s="3"/>
      <c r="W45" s="3"/>
      <c r="X45" s="3"/>
      <c r="Y45" s="3"/>
    </row>
    <row r="46" spans="2:25" s="33" customFormat="1" ht="15" hidden="1" customHeight="1" outlineLevel="1" x14ac:dyDescent="0.25">
      <c r="B46" s="166" t="s">
        <v>86</v>
      </c>
      <c r="C46" s="107"/>
      <c r="D46" s="107"/>
      <c r="E46" s="108"/>
      <c r="F46" s="186"/>
      <c r="G46" s="108"/>
      <c r="H46" s="188">
        <v>1</v>
      </c>
      <c r="I46" s="108"/>
      <c r="J46" s="186"/>
      <c r="K46" s="108"/>
      <c r="L46" s="186"/>
      <c r="M46" s="154"/>
      <c r="N46" s="3"/>
      <c r="O46" s="3"/>
      <c r="P46" s="3"/>
      <c r="Q46" s="3"/>
      <c r="R46" s="3"/>
      <c r="S46" s="3"/>
      <c r="T46" s="3"/>
      <c r="U46" s="3"/>
      <c r="V46" s="3"/>
      <c r="W46" s="3"/>
      <c r="X46" s="3"/>
      <c r="Y46" s="3"/>
    </row>
    <row r="47" spans="2:25" s="33" customFormat="1" ht="15" hidden="1" customHeight="1" outlineLevel="1" x14ac:dyDescent="0.25">
      <c r="B47" s="166" t="s">
        <v>87</v>
      </c>
      <c r="C47" s="107"/>
      <c r="D47" s="107"/>
      <c r="E47" s="108"/>
      <c r="F47" s="127"/>
      <c r="G47" s="108"/>
      <c r="H47" s="130">
        <v>1</v>
      </c>
      <c r="I47" s="108"/>
      <c r="J47" s="127"/>
      <c r="K47" s="108"/>
      <c r="L47" s="127"/>
      <c r="M47" s="154"/>
      <c r="N47" s="3"/>
      <c r="O47" s="3"/>
      <c r="P47" s="3"/>
      <c r="Q47" s="3"/>
      <c r="R47" s="3"/>
      <c r="S47" s="3"/>
      <c r="T47" s="3"/>
      <c r="U47" s="3"/>
      <c r="V47" s="3"/>
      <c r="W47" s="3"/>
      <c r="X47" s="3"/>
      <c r="Y47" s="3"/>
    </row>
    <row r="48" spans="2:25" s="33" customFormat="1" ht="15" hidden="1" customHeight="1" outlineLevel="1" x14ac:dyDescent="0.25">
      <c r="B48" s="166" t="s">
        <v>88</v>
      </c>
      <c r="C48" s="107"/>
      <c r="D48" s="107"/>
      <c r="E48" s="108"/>
      <c r="F48" s="127"/>
      <c r="G48" s="108"/>
      <c r="H48" s="130">
        <v>1</v>
      </c>
      <c r="I48" s="108"/>
      <c r="J48" s="127"/>
      <c r="K48" s="108"/>
      <c r="L48" s="127"/>
      <c r="M48" s="154"/>
      <c r="N48" s="3"/>
      <c r="O48" s="3"/>
      <c r="P48" s="3"/>
      <c r="Q48" s="3"/>
      <c r="R48" s="3"/>
      <c r="S48" s="3"/>
      <c r="T48" s="3"/>
      <c r="U48" s="3"/>
      <c r="V48" s="3"/>
      <c r="W48" s="3"/>
      <c r="X48" s="3"/>
      <c r="Y48" s="3"/>
    </row>
    <row r="49" spans="2:25" s="33" customFormat="1" ht="15" hidden="1" customHeight="1" outlineLevel="1" x14ac:dyDescent="0.25">
      <c r="B49" s="166" t="s">
        <v>89</v>
      </c>
      <c r="C49" s="107"/>
      <c r="D49" s="107"/>
      <c r="E49" s="108"/>
      <c r="F49" s="127"/>
      <c r="G49" s="108"/>
      <c r="H49" s="130">
        <v>1</v>
      </c>
      <c r="I49" s="108"/>
      <c r="J49" s="127"/>
      <c r="K49" s="108"/>
      <c r="L49" s="127"/>
      <c r="M49" s="154"/>
      <c r="N49" s="3"/>
      <c r="O49" s="3"/>
      <c r="P49" s="3"/>
      <c r="Q49" s="3"/>
      <c r="R49" s="3"/>
      <c r="S49" s="3"/>
      <c r="T49" s="3"/>
      <c r="U49" s="3"/>
      <c r="V49" s="3"/>
      <c r="W49" s="3"/>
      <c r="X49" s="3"/>
      <c r="Y49" s="3"/>
    </row>
    <row r="50" spans="2:25" s="33" customFormat="1" ht="15" hidden="1" customHeight="1" outlineLevel="1" x14ac:dyDescent="0.25">
      <c r="B50" s="166" t="s">
        <v>90</v>
      </c>
      <c r="C50" s="107"/>
      <c r="D50" s="107"/>
      <c r="E50" s="108"/>
      <c r="F50" s="127"/>
      <c r="G50" s="108"/>
      <c r="H50" s="130">
        <v>1</v>
      </c>
      <c r="I50" s="108"/>
      <c r="J50" s="127"/>
      <c r="K50" s="108"/>
      <c r="L50" s="127"/>
      <c r="M50" s="154"/>
      <c r="N50" s="3"/>
      <c r="O50" s="3"/>
      <c r="P50" s="3"/>
      <c r="Q50" s="3"/>
      <c r="R50" s="3"/>
      <c r="S50" s="3"/>
      <c r="T50" s="3"/>
      <c r="U50" s="3"/>
      <c r="V50" s="3"/>
      <c r="W50" s="3"/>
      <c r="X50" s="3"/>
      <c r="Y50" s="3"/>
    </row>
    <row r="51" spans="2:25" s="33" customFormat="1" ht="15" hidden="1" customHeight="1" outlineLevel="1" x14ac:dyDescent="0.25">
      <c r="B51" s="166" t="s">
        <v>54</v>
      </c>
      <c r="C51" s="107"/>
      <c r="D51" s="107"/>
      <c r="E51" s="108"/>
      <c r="F51" s="127"/>
      <c r="G51" s="108"/>
      <c r="H51" s="130">
        <v>1</v>
      </c>
      <c r="I51" s="108"/>
      <c r="J51" s="127"/>
      <c r="K51" s="108"/>
      <c r="L51" s="127"/>
      <c r="M51" s="154"/>
      <c r="N51" s="3"/>
      <c r="O51" s="3"/>
      <c r="P51" s="3"/>
      <c r="Q51" s="3"/>
      <c r="R51" s="3"/>
      <c r="S51" s="3"/>
      <c r="T51" s="3"/>
      <c r="U51" s="3"/>
      <c r="V51" s="3"/>
      <c r="W51" s="3"/>
      <c r="X51" s="3"/>
      <c r="Y51" s="3"/>
    </row>
    <row r="52" spans="2:25" s="33" customFormat="1" ht="15" hidden="1" customHeight="1" outlineLevel="1" x14ac:dyDescent="0.25">
      <c r="B52" s="166" t="s">
        <v>91</v>
      </c>
      <c r="C52" s="107"/>
      <c r="D52" s="107"/>
      <c r="E52" s="108"/>
      <c r="F52" s="127"/>
      <c r="G52" s="108"/>
      <c r="H52" s="130">
        <v>1</v>
      </c>
      <c r="I52" s="108"/>
      <c r="J52" s="127"/>
      <c r="K52" s="108"/>
      <c r="L52" s="127"/>
      <c r="M52" s="154"/>
      <c r="N52" s="3"/>
      <c r="O52" s="3"/>
      <c r="P52" s="3"/>
      <c r="Q52" s="3"/>
      <c r="R52" s="3"/>
      <c r="S52" s="3"/>
      <c r="T52" s="3"/>
      <c r="U52" s="3"/>
      <c r="V52" s="3"/>
      <c r="W52" s="3"/>
      <c r="X52" s="3"/>
      <c r="Y52" s="3"/>
    </row>
    <row r="53" spans="2:25" s="33" customFormat="1" ht="15" hidden="1" customHeight="1" outlineLevel="1" x14ac:dyDescent="0.25">
      <c r="B53" s="166" t="s">
        <v>92</v>
      </c>
      <c r="C53" s="107"/>
      <c r="D53" s="107"/>
      <c r="E53" s="108"/>
      <c r="F53" s="127"/>
      <c r="G53" s="108"/>
      <c r="H53" s="130">
        <v>1</v>
      </c>
      <c r="I53" s="108"/>
      <c r="J53" s="127"/>
      <c r="K53" s="108"/>
      <c r="L53" s="127"/>
      <c r="M53" s="154"/>
      <c r="N53" s="3"/>
      <c r="O53" s="3"/>
      <c r="P53" s="3"/>
      <c r="Q53" s="3"/>
      <c r="R53" s="3"/>
      <c r="S53" s="3"/>
      <c r="T53" s="3"/>
      <c r="U53" s="3"/>
      <c r="V53" s="3"/>
      <c r="W53" s="3"/>
      <c r="X53" s="3"/>
      <c r="Y53" s="3"/>
    </row>
    <row r="54" spans="2:25" s="33" customFormat="1" ht="15" hidden="1" customHeight="1" outlineLevel="1" x14ac:dyDescent="0.25">
      <c r="B54" s="166" t="s">
        <v>93</v>
      </c>
      <c r="C54" s="107"/>
      <c r="D54" s="107"/>
      <c r="E54" s="108"/>
      <c r="F54" s="127"/>
      <c r="G54" s="108"/>
      <c r="H54" s="130">
        <v>1</v>
      </c>
      <c r="I54" s="108"/>
      <c r="J54" s="127"/>
      <c r="K54" s="108"/>
      <c r="L54" s="127"/>
      <c r="M54" s="154"/>
      <c r="N54" s="3"/>
      <c r="O54" s="3"/>
      <c r="P54" s="3"/>
      <c r="Q54" s="3"/>
      <c r="R54" s="3"/>
      <c r="S54" s="3"/>
      <c r="T54" s="3"/>
      <c r="U54" s="3"/>
      <c r="V54" s="3"/>
      <c r="W54" s="3"/>
      <c r="X54" s="3"/>
      <c r="Y54" s="3"/>
    </row>
    <row r="55" spans="2:25" s="33" customFormat="1" ht="15" hidden="1" customHeight="1" outlineLevel="1" x14ac:dyDescent="0.25">
      <c r="B55" s="166" t="s">
        <v>42</v>
      </c>
      <c r="C55" s="107"/>
      <c r="D55" s="107"/>
      <c r="E55" s="108"/>
      <c r="F55" s="127">
        <v>1</v>
      </c>
      <c r="G55" s="108"/>
      <c r="H55" s="130"/>
      <c r="I55" s="108"/>
      <c r="J55" s="127"/>
      <c r="K55" s="108"/>
      <c r="L55" s="127"/>
      <c r="M55" s="154"/>
      <c r="N55" s="3"/>
      <c r="O55" s="3"/>
      <c r="P55" s="3"/>
      <c r="Q55" s="3"/>
      <c r="R55" s="3"/>
      <c r="S55" s="3"/>
      <c r="T55" s="3"/>
      <c r="U55" s="3"/>
      <c r="V55" s="3"/>
      <c r="W55" s="3"/>
      <c r="X55" s="3"/>
      <c r="Y55" s="3"/>
    </row>
    <row r="56" spans="2:25" s="33" customFormat="1" ht="15" hidden="1" customHeight="1" outlineLevel="1" x14ac:dyDescent="0.25">
      <c r="B56" s="166" t="s">
        <v>94</v>
      </c>
      <c r="C56" s="107"/>
      <c r="D56" s="107"/>
      <c r="E56" s="108"/>
      <c r="F56" s="127"/>
      <c r="G56" s="108"/>
      <c r="H56" s="130"/>
      <c r="I56" s="108"/>
      <c r="J56" s="127">
        <v>1</v>
      </c>
      <c r="K56" s="108"/>
      <c r="L56" s="127"/>
      <c r="M56" s="154"/>
      <c r="N56" s="3"/>
      <c r="O56" s="3"/>
      <c r="P56" s="3"/>
      <c r="Q56" s="3"/>
      <c r="R56" s="3"/>
      <c r="S56" s="3"/>
      <c r="T56" s="3"/>
      <c r="U56" s="3"/>
      <c r="V56" s="3"/>
      <c r="W56" s="3"/>
      <c r="X56" s="3"/>
      <c r="Y56" s="3"/>
    </row>
    <row r="57" spans="2:25" s="33" customFormat="1" ht="15" hidden="1" customHeight="1" outlineLevel="1" x14ac:dyDescent="0.25">
      <c r="B57" s="166" t="s">
        <v>43</v>
      </c>
      <c r="C57" s="107"/>
      <c r="D57" s="107"/>
      <c r="E57" s="108"/>
      <c r="F57" s="127"/>
      <c r="G57" s="108"/>
      <c r="H57" s="130">
        <v>1</v>
      </c>
      <c r="I57" s="108"/>
      <c r="J57" s="127"/>
      <c r="K57" s="108"/>
      <c r="L57" s="127"/>
      <c r="M57" s="154"/>
      <c r="N57" s="3"/>
      <c r="O57" s="3"/>
      <c r="P57" s="3"/>
      <c r="Q57" s="3"/>
      <c r="R57" s="3"/>
      <c r="S57" s="3"/>
      <c r="T57" s="3"/>
      <c r="U57" s="3"/>
      <c r="V57" s="3"/>
      <c r="W57" s="3"/>
      <c r="X57" s="3"/>
      <c r="Y57" s="3"/>
    </row>
    <row r="58" spans="2:25" s="33" customFormat="1" ht="15" hidden="1" customHeight="1" outlineLevel="1" x14ac:dyDescent="0.25">
      <c r="B58" s="166" t="s">
        <v>44</v>
      </c>
      <c r="C58" s="107"/>
      <c r="D58" s="107"/>
      <c r="E58" s="108"/>
      <c r="F58" s="127">
        <v>1</v>
      </c>
      <c r="G58" s="108"/>
      <c r="H58" s="130"/>
      <c r="I58" s="108"/>
      <c r="J58" s="127"/>
      <c r="K58" s="108"/>
      <c r="L58" s="127"/>
      <c r="M58" s="154"/>
      <c r="N58" s="3"/>
      <c r="O58" s="3"/>
      <c r="P58" s="3"/>
      <c r="Q58" s="3"/>
      <c r="R58" s="3"/>
      <c r="S58" s="3"/>
      <c r="T58" s="3"/>
      <c r="U58" s="3"/>
      <c r="V58" s="3"/>
      <c r="W58" s="3"/>
      <c r="X58" s="3"/>
      <c r="Y58" s="3"/>
    </row>
    <row r="59" spans="2:25" s="33" customFormat="1" ht="15" hidden="1" customHeight="1" outlineLevel="1" x14ac:dyDescent="0.25">
      <c r="B59" s="166" t="s">
        <v>95</v>
      </c>
      <c r="C59" s="107"/>
      <c r="D59" s="107"/>
      <c r="E59" s="108"/>
      <c r="F59" s="127">
        <v>1</v>
      </c>
      <c r="G59" s="108"/>
      <c r="H59" s="130"/>
      <c r="I59" s="108"/>
      <c r="J59" s="127"/>
      <c r="K59" s="108"/>
      <c r="L59" s="127"/>
      <c r="M59" s="154"/>
      <c r="N59" s="3"/>
      <c r="O59" s="3"/>
      <c r="P59" s="3"/>
      <c r="Q59" s="3"/>
      <c r="R59" s="3"/>
      <c r="S59" s="3"/>
      <c r="T59" s="3"/>
      <c r="U59" s="3"/>
      <c r="V59" s="3"/>
      <c r="W59" s="3"/>
      <c r="X59" s="3"/>
      <c r="Y59" s="3"/>
    </row>
    <row r="60" spans="2:25" s="33" customFormat="1" ht="15" hidden="1" customHeight="1" outlineLevel="1" x14ac:dyDescent="0.25">
      <c r="B60" s="166" t="s">
        <v>96</v>
      </c>
      <c r="C60" s="107"/>
      <c r="D60" s="107"/>
      <c r="E60" s="108"/>
      <c r="F60" s="127"/>
      <c r="G60" s="108"/>
      <c r="H60" s="130">
        <v>1</v>
      </c>
      <c r="I60" s="108"/>
      <c r="J60" s="127"/>
      <c r="K60" s="108"/>
      <c r="L60" s="127"/>
      <c r="M60" s="154"/>
      <c r="N60" s="3"/>
      <c r="O60" s="3"/>
      <c r="P60" s="3"/>
      <c r="Q60" s="3"/>
      <c r="R60" s="3"/>
      <c r="S60" s="3"/>
      <c r="T60" s="3"/>
      <c r="U60" s="3"/>
      <c r="V60" s="3"/>
      <c r="W60" s="3"/>
      <c r="X60" s="3"/>
      <c r="Y60" s="3"/>
    </row>
    <row r="61" spans="2:25" s="33" customFormat="1" ht="15" hidden="1" customHeight="1" outlineLevel="1" x14ac:dyDescent="0.25">
      <c r="B61" s="166" t="s">
        <v>97</v>
      </c>
      <c r="C61" s="107"/>
      <c r="D61" s="107"/>
      <c r="E61" s="108"/>
      <c r="F61" s="127"/>
      <c r="G61" s="108"/>
      <c r="H61" s="130">
        <v>1</v>
      </c>
      <c r="I61" s="108"/>
      <c r="J61" s="127"/>
      <c r="K61" s="108"/>
      <c r="L61" s="127"/>
      <c r="M61" s="154"/>
      <c r="N61" s="3"/>
      <c r="O61" s="3"/>
      <c r="P61" s="3"/>
      <c r="Q61" s="3"/>
      <c r="R61" s="3"/>
      <c r="S61" s="3"/>
      <c r="T61" s="3"/>
      <c r="U61" s="3"/>
      <c r="V61" s="3"/>
      <c r="W61" s="3"/>
      <c r="X61" s="3"/>
      <c r="Y61" s="3"/>
    </row>
    <row r="62" spans="2:25" s="33" customFormat="1" ht="15" hidden="1" customHeight="1" outlineLevel="1" x14ac:dyDescent="0.25">
      <c r="B62" s="166" t="s">
        <v>98</v>
      </c>
      <c r="C62" s="107"/>
      <c r="D62" s="107"/>
      <c r="E62" s="108"/>
      <c r="F62" s="127">
        <v>1</v>
      </c>
      <c r="G62" s="108"/>
      <c r="H62" s="130"/>
      <c r="I62" s="108"/>
      <c r="J62" s="127"/>
      <c r="K62" s="108"/>
      <c r="L62" s="127"/>
      <c r="M62" s="154"/>
      <c r="N62" s="3"/>
      <c r="O62" s="3"/>
      <c r="P62" s="3"/>
      <c r="Q62" s="3"/>
      <c r="R62" s="3"/>
      <c r="S62" s="3"/>
      <c r="T62" s="3"/>
      <c r="U62" s="3"/>
      <c r="V62" s="3"/>
      <c r="W62" s="3"/>
      <c r="X62" s="3"/>
      <c r="Y62" s="3"/>
    </row>
    <row r="63" spans="2:25" s="33" customFormat="1" ht="15" hidden="1" customHeight="1" outlineLevel="1" x14ac:dyDescent="0.25">
      <c r="B63" s="166" t="s">
        <v>46</v>
      </c>
      <c r="C63" s="107"/>
      <c r="D63" s="107"/>
      <c r="E63" s="108"/>
      <c r="F63" s="127"/>
      <c r="G63" s="108"/>
      <c r="H63" s="130">
        <v>1</v>
      </c>
      <c r="I63" s="108"/>
      <c r="J63" s="127"/>
      <c r="K63" s="108"/>
      <c r="L63" s="127"/>
      <c r="M63" s="154"/>
      <c r="N63" s="3"/>
      <c r="O63" s="3"/>
      <c r="P63" s="3"/>
      <c r="Q63" s="3"/>
      <c r="R63" s="3"/>
      <c r="S63" s="3"/>
      <c r="T63" s="3"/>
      <c r="U63" s="3"/>
      <c r="V63" s="3"/>
      <c r="W63" s="3"/>
      <c r="X63" s="3"/>
      <c r="Y63" s="3"/>
    </row>
    <row r="64" spans="2:25" s="33" customFormat="1" ht="15" hidden="1" customHeight="1" outlineLevel="1" x14ac:dyDescent="0.25">
      <c r="B64" s="166" t="s">
        <v>45</v>
      </c>
      <c r="C64" s="107"/>
      <c r="D64" s="107"/>
      <c r="E64" s="108"/>
      <c r="F64" s="127"/>
      <c r="G64" s="108"/>
      <c r="H64" s="130">
        <v>1</v>
      </c>
      <c r="I64" s="108"/>
      <c r="J64" s="127"/>
      <c r="K64" s="108"/>
      <c r="L64" s="127"/>
      <c r="M64" s="154"/>
      <c r="N64" s="3"/>
      <c r="O64" s="3"/>
      <c r="P64" s="3"/>
      <c r="Q64" s="3"/>
      <c r="R64" s="3"/>
      <c r="S64" s="3"/>
      <c r="T64" s="3"/>
      <c r="U64" s="3"/>
      <c r="V64" s="3"/>
      <c r="W64" s="3"/>
      <c r="X64" s="3"/>
      <c r="Y64" s="3"/>
    </row>
    <row r="65" spans="2:28" s="33" customFormat="1" ht="15" hidden="1" customHeight="1" outlineLevel="1" x14ac:dyDescent="0.25">
      <c r="B65" s="166" t="s">
        <v>99</v>
      </c>
      <c r="C65" s="107"/>
      <c r="D65" s="107"/>
      <c r="E65" s="108"/>
      <c r="F65" s="127"/>
      <c r="G65" s="108"/>
      <c r="H65" s="130">
        <v>1</v>
      </c>
      <c r="I65" s="108"/>
      <c r="J65" s="127"/>
      <c r="K65" s="108"/>
      <c r="L65" s="127"/>
      <c r="M65" s="154"/>
      <c r="N65" s="3"/>
      <c r="O65" s="3"/>
      <c r="P65" s="3"/>
      <c r="Q65" s="3"/>
      <c r="R65" s="3"/>
      <c r="S65" s="3"/>
      <c r="T65" s="3"/>
      <c r="U65" s="3"/>
      <c r="V65" s="3"/>
      <c r="W65" s="3"/>
      <c r="X65" s="3"/>
      <c r="Y65" s="3"/>
    </row>
    <row r="66" spans="2:28" s="33" customFormat="1" ht="15" hidden="1" customHeight="1" outlineLevel="1" x14ac:dyDescent="0.25">
      <c r="B66" s="166" t="s">
        <v>100</v>
      </c>
      <c r="C66" s="107"/>
      <c r="D66" s="107"/>
      <c r="E66" s="108"/>
      <c r="F66" s="127">
        <v>1</v>
      </c>
      <c r="G66" s="108"/>
      <c r="H66" s="130"/>
      <c r="I66" s="108"/>
      <c r="J66" s="127"/>
      <c r="K66" s="108"/>
      <c r="L66" s="127"/>
      <c r="M66" s="154"/>
      <c r="N66" s="3"/>
      <c r="O66" s="3"/>
      <c r="P66" s="3"/>
      <c r="Q66" s="3"/>
      <c r="R66" s="3"/>
      <c r="S66" s="3"/>
      <c r="T66" s="3"/>
      <c r="U66" s="3"/>
      <c r="V66" s="3"/>
      <c r="W66" s="3"/>
      <c r="X66" s="3"/>
      <c r="Y66" s="3"/>
    </row>
    <row r="67" spans="2:28" s="33" customFormat="1" ht="15" hidden="1" customHeight="1" outlineLevel="1" x14ac:dyDescent="0.25">
      <c r="B67" s="166" t="s">
        <v>101</v>
      </c>
      <c r="C67" s="107"/>
      <c r="D67" s="107"/>
      <c r="E67" s="108"/>
      <c r="F67" s="127">
        <v>1</v>
      </c>
      <c r="G67" s="108"/>
      <c r="H67" s="130"/>
      <c r="I67" s="108"/>
      <c r="J67" s="127"/>
      <c r="K67" s="108"/>
      <c r="L67" s="127"/>
      <c r="M67" s="154"/>
      <c r="N67" s="3"/>
      <c r="O67" s="3"/>
      <c r="P67" s="3"/>
      <c r="Q67" s="3"/>
      <c r="R67" s="3"/>
      <c r="S67" s="3"/>
      <c r="T67" s="3"/>
      <c r="U67" s="3"/>
      <c r="V67" s="3"/>
      <c r="W67" s="3"/>
      <c r="X67" s="3"/>
      <c r="Y67" s="3"/>
    </row>
    <row r="68" spans="2:28" s="33" customFormat="1" ht="15" hidden="1" customHeight="1" outlineLevel="1" x14ac:dyDescent="0.25">
      <c r="B68" s="166" t="s">
        <v>102</v>
      </c>
      <c r="C68" s="107"/>
      <c r="D68" s="107"/>
      <c r="E68" s="108"/>
      <c r="F68" s="127"/>
      <c r="G68" s="108"/>
      <c r="H68" s="130">
        <v>1</v>
      </c>
      <c r="I68" s="108"/>
      <c r="J68" s="127"/>
      <c r="K68" s="108"/>
      <c r="L68" s="127"/>
      <c r="M68" s="154"/>
      <c r="N68" s="3"/>
      <c r="O68" s="3"/>
      <c r="P68" s="3"/>
      <c r="Q68" s="3"/>
      <c r="R68" s="3"/>
      <c r="S68" s="3"/>
      <c r="T68" s="3"/>
      <c r="U68" s="3"/>
      <c r="V68" s="3"/>
      <c r="W68" s="3"/>
      <c r="X68" s="3"/>
      <c r="Y68" s="3"/>
    </row>
    <row r="69" spans="2:28" s="33" customFormat="1" ht="15" hidden="1" customHeight="1" outlineLevel="1" x14ac:dyDescent="0.25">
      <c r="B69" s="166" t="s">
        <v>103</v>
      </c>
      <c r="C69" s="107"/>
      <c r="D69" s="107"/>
      <c r="E69" s="108"/>
      <c r="F69" s="187"/>
      <c r="G69" s="108"/>
      <c r="H69" s="189">
        <v>1</v>
      </c>
      <c r="I69" s="108"/>
      <c r="J69" s="187"/>
      <c r="K69" s="108"/>
      <c r="L69" s="187"/>
      <c r="M69" s="154"/>
      <c r="N69" s="3"/>
      <c r="O69" s="3"/>
      <c r="P69" s="3"/>
      <c r="Q69" s="3"/>
      <c r="R69" s="3"/>
      <c r="S69" s="3"/>
      <c r="T69" s="3"/>
      <c r="U69" s="3"/>
      <c r="V69" s="3"/>
      <c r="W69" s="3"/>
      <c r="X69" s="3"/>
      <c r="Y69" s="3"/>
    </row>
    <row r="70" spans="2:28" s="33" customFormat="1" ht="15" customHeight="1" collapsed="1" x14ac:dyDescent="0.25">
      <c r="B70" s="126" t="s">
        <v>104</v>
      </c>
      <c r="C70" s="155"/>
      <c r="D70" s="155"/>
      <c r="E70" s="156"/>
      <c r="F70" s="117">
        <f>F71</f>
        <v>0</v>
      </c>
      <c r="G70" s="156"/>
      <c r="H70" s="129">
        <f>H71</f>
        <v>1</v>
      </c>
      <c r="I70" s="156"/>
      <c r="J70" s="117">
        <f>J71</f>
        <v>0</v>
      </c>
      <c r="K70" s="156"/>
      <c r="L70" s="117">
        <f>L71</f>
        <v>0</v>
      </c>
      <c r="M70" s="118"/>
      <c r="N70" s="3"/>
      <c r="O70" s="3"/>
      <c r="P70" s="3"/>
      <c r="Q70" s="3"/>
      <c r="R70" s="3"/>
      <c r="S70" s="3"/>
      <c r="T70" s="3"/>
      <c r="U70" s="3"/>
      <c r="V70" s="3"/>
      <c r="W70" s="3"/>
      <c r="X70" s="3"/>
      <c r="Y70" s="3"/>
    </row>
    <row r="71" spans="2:28" s="33" customFormat="1" ht="15" hidden="1" customHeight="1" outlineLevel="1" x14ac:dyDescent="0.3">
      <c r="B71" s="157" t="s">
        <v>105</v>
      </c>
      <c r="C71" s="107"/>
      <c r="D71" s="107"/>
      <c r="E71" s="108"/>
      <c r="F71" s="190"/>
      <c r="G71" s="108"/>
      <c r="H71" s="185">
        <v>1</v>
      </c>
      <c r="I71" s="108"/>
      <c r="J71" s="190"/>
      <c r="K71" s="108"/>
      <c r="L71" s="190"/>
      <c r="M71" s="154"/>
      <c r="N71" s="3"/>
      <c r="O71" s="3"/>
      <c r="P71" s="3"/>
      <c r="Q71" s="3"/>
      <c r="R71" s="3"/>
      <c r="S71" s="3"/>
      <c r="T71" s="3"/>
      <c r="U71" s="3"/>
      <c r="V71" s="3"/>
      <c r="W71" s="3"/>
      <c r="X71" s="3"/>
      <c r="Y71" s="3"/>
    </row>
    <row r="72" spans="2:28" s="33" customFormat="1" ht="15" customHeight="1" collapsed="1" x14ac:dyDescent="0.25">
      <c r="B72" s="159"/>
      <c r="C72" s="119"/>
      <c r="D72" s="119"/>
      <c r="E72" s="160"/>
      <c r="F72" s="161"/>
      <c r="G72" s="160"/>
      <c r="H72" s="162"/>
      <c r="I72" s="160"/>
      <c r="J72" s="161"/>
      <c r="K72" s="160"/>
      <c r="L72" s="161"/>
      <c r="M72" s="163"/>
      <c r="N72" s="3"/>
      <c r="O72" s="3"/>
      <c r="P72" s="3"/>
      <c r="Q72" s="3"/>
      <c r="R72" s="3"/>
      <c r="S72" s="3"/>
      <c r="T72" s="3"/>
      <c r="U72" s="3"/>
      <c r="V72" s="3"/>
      <c r="W72" s="3"/>
      <c r="X72" s="3"/>
      <c r="Y72" s="3"/>
    </row>
    <row r="73" spans="2:28" s="33" customFormat="1" ht="13.2" customHeight="1" x14ac:dyDescent="0.25">
      <c r="B73" s="53"/>
      <c r="C73" s="47"/>
      <c r="D73" s="47"/>
      <c r="E73" s="3"/>
      <c r="F73" s="3"/>
      <c r="G73" s="3"/>
      <c r="H73" s="3"/>
      <c r="I73" s="3"/>
      <c r="J73" s="3"/>
      <c r="K73" s="3"/>
      <c r="L73" s="3"/>
      <c r="M73" s="3"/>
      <c r="N73" s="3"/>
      <c r="O73" s="3"/>
      <c r="P73" s="3"/>
      <c r="Q73" s="3"/>
      <c r="R73" s="3"/>
      <c r="S73" s="3"/>
      <c r="T73" s="3"/>
      <c r="U73" s="3"/>
      <c r="V73" s="3"/>
      <c r="W73" s="3"/>
      <c r="X73" s="3"/>
      <c r="Y73" s="3"/>
    </row>
    <row r="74" spans="2:28" s="33" customFormat="1" ht="13.2" customHeight="1" x14ac:dyDescent="0.25">
      <c r="B74" s="53"/>
      <c r="C74" s="47"/>
      <c r="D74" s="47"/>
      <c r="E74" s="3"/>
      <c r="F74" s="3"/>
      <c r="G74" s="3"/>
      <c r="H74" s="3"/>
      <c r="I74" s="3"/>
      <c r="J74" s="3"/>
      <c r="K74" s="3"/>
      <c r="L74" s="3"/>
      <c r="M74" s="3"/>
      <c r="N74" s="3"/>
      <c r="O74" s="3"/>
      <c r="P74" s="3"/>
      <c r="Q74" s="3"/>
      <c r="R74" s="3"/>
      <c r="S74" s="3"/>
      <c r="T74" s="3"/>
      <c r="U74" s="3"/>
      <c r="V74" s="3"/>
      <c r="W74" s="3"/>
      <c r="X74" s="3"/>
      <c r="Y74" s="3"/>
    </row>
    <row r="75" spans="2:28" s="33" customFormat="1" ht="13.2" customHeight="1" x14ac:dyDescent="0.25">
      <c r="B75" s="46" t="s">
        <v>107</v>
      </c>
      <c r="C75" s="47"/>
      <c r="D75" s="47"/>
      <c r="E75" s="3"/>
      <c r="F75" s="3"/>
      <c r="G75" s="3"/>
      <c r="H75" s="3"/>
      <c r="I75" s="3"/>
      <c r="J75" s="3"/>
      <c r="K75" s="3"/>
      <c r="L75" s="3"/>
      <c r="M75" s="3"/>
      <c r="N75" s="3"/>
      <c r="O75" s="3"/>
      <c r="P75" s="3"/>
      <c r="Q75" s="3"/>
      <c r="R75" s="3"/>
      <c r="S75" s="3"/>
      <c r="T75" s="3"/>
      <c r="U75" s="3"/>
      <c r="V75" s="3"/>
      <c r="W75" s="3"/>
      <c r="X75" s="3"/>
      <c r="Y75" s="3"/>
    </row>
    <row r="76" spans="2:28" s="33" customFormat="1" ht="13.2" customHeight="1" x14ac:dyDescent="0.25">
      <c r="B76" s="53"/>
      <c r="C76" s="47"/>
      <c r="D76" s="47"/>
      <c r="E76" s="47"/>
      <c r="F76" s="3"/>
      <c r="G76" s="3"/>
      <c r="H76" s="3"/>
      <c r="I76" s="3"/>
      <c r="J76" s="3"/>
      <c r="K76" s="3"/>
      <c r="L76" s="3"/>
      <c r="M76" s="52"/>
      <c r="N76" s="3"/>
      <c r="O76" s="3"/>
      <c r="P76" s="3"/>
      <c r="Q76" s="3"/>
      <c r="R76" s="3"/>
      <c r="S76" s="3"/>
      <c r="T76" s="3"/>
      <c r="U76" s="3"/>
      <c r="V76" s="3"/>
      <c r="W76" s="3"/>
      <c r="X76" s="3"/>
      <c r="Y76" s="3"/>
      <c r="Z76" s="3"/>
    </row>
    <row r="77" spans="2:28" s="33" customFormat="1" ht="24" customHeight="1" x14ac:dyDescent="0.25">
      <c r="B77" s="255" t="s">
        <v>48</v>
      </c>
      <c r="C77" s="256"/>
      <c r="D77" s="256"/>
      <c r="E77" s="257"/>
      <c r="F77" s="246" t="s">
        <v>416</v>
      </c>
      <c r="G77" s="247"/>
      <c r="H77" s="271" t="s">
        <v>160</v>
      </c>
      <c r="I77" s="272"/>
      <c r="J77" s="272"/>
      <c r="K77" s="272"/>
      <c r="L77" s="272"/>
      <c r="M77" s="272"/>
      <c r="N77" s="272"/>
      <c r="O77" s="272"/>
      <c r="P77" s="273"/>
      <c r="Q77" s="3"/>
      <c r="R77" s="3"/>
      <c r="S77" s="3"/>
      <c r="T77" s="3"/>
      <c r="U77" s="3"/>
      <c r="V77" s="3"/>
      <c r="W77" s="3"/>
      <c r="X77" s="3"/>
      <c r="Y77" s="3"/>
      <c r="Z77" s="3"/>
      <c r="AA77" s="3"/>
      <c r="AB77" s="3"/>
    </row>
    <row r="78" spans="2:28" s="33" customFormat="1" ht="24.6" customHeight="1" x14ac:dyDescent="0.25">
      <c r="B78" s="258"/>
      <c r="C78" s="275"/>
      <c r="D78" s="275"/>
      <c r="E78" s="276"/>
      <c r="F78" s="248"/>
      <c r="G78" s="249"/>
      <c r="H78" s="210" t="s">
        <v>331</v>
      </c>
      <c r="I78" s="271" t="s">
        <v>299</v>
      </c>
      <c r="J78" s="272"/>
      <c r="K78" s="272"/>
      <c r="L78" s="272"/>
      <c r="M78" s="273"/>
      <c r="N78" s="271" t="s">
        <v>287</v>
      </c>
      <c r="O78" s="272"/>
      <c r="P78" s="273"/>
      <c r="Q78" s="3"/>
      <c r="R78" s="3"/>
      <c r="S78" s="3"/>
      <c r="T78" s="3"/>
      <c r="U78" s="3"/>
      <c r="V78" s="3"/>
      <c r="W78" s="3"/>
      <c r="X78" s="3"/>
      <c r="Y78" s="3"/>
      <c r="Z78" s="3"/>
      <c r="AA78" s="3"/>
    </row>
    <row r="79" spans="2:28" s="87" customFormat="1" ht="60" customHeight="1" x14ac:dyDescent="0.3">
      <c r="B79" s="260"/>
      <c r="C79" s="261"/>
      <c r="D79" s="261"/>
      <c r="E79" s="277"/>
      <c r="F79" s="139" t="s">
        <v>49</v>
      </c>
      <c r="G79" s="139" t="s">
        <v>50</v>
      </c>
      <c r="H79" s="179" t="s">
        <v>418</v>
      </c>
      <c r="I79" s="179" t="s">
        <v>296</v>
      </c>
      <c r="J79" s="179" t="s">
        <v>295</v>
      </c>
      <c r="K79" s="179" t="s">
        <v>289</v>
      </c>
      <c r="L79" s="179" t="s">
        <v>290</v>
      </c>
      <c r="M79" s="179" t="s">
        <v>417</v>
      </c>
      <c r="N79" s="179" t="s">
        <v>288</v>
      </c>
      <c r="O79" s="179" t="s">
        <v>329</v>
      </c>
      <c r="P79" s="179" t="s">
        <v>171</v>
      </c>
    </row>
    <row r="80" spans="2:28" s="33" customFormat="1" ht="13.2" customHeight="1" x14ac:dyDescent="0.3">
      <c r="B80" s="32"/>
      <c r="E80" s="34"/>
      <c r="F80" s="239"/>
      <c r="G80" s="240"/>
      <c r="H80" s="20"/>
      <c r="I80" s="28"/>
      <c r="J80" s="20"/>
      <c r="K80" s="20"/>
      <c r="L80" s="20"/>
      <c r="M80" s="88"/>
      <c r="N80" s="20"/>
      <c r="O80" s="20"/>
      <c r="P80" s="88"/>
      <c r="Q80" s="3"/>
      <c r="R80" s="3"/>
      <c r="S80" s="3"/>
      <c r="T80" s="3"/>
      <c r="U80" s="3"/>
      <c r="V80" s="3"/>
      <c r="W80" s="3"/>
      <c r="X80" s="3"/>
      <c r="Y80" s="3"/>
      <c r="Z80" s="3"/>
      <c r="AA80" s="3"/>
      <c r="AB80" s="3"/>
    </row>
    <row r="81" spans="2:28" s="33" customFormat="1" ht="13.2" customHeight="1" x14ac:dyDescent="0.25">
      <c r="B81" s="120" t="s">
        <v>51</v>
      </c>
      <c r="C81" s="121"/>
      <c r="D81" s="121"/>
      <c r="E81" s="122"/>
      <c r="F81" s="132">
        <f t="shared" ref="F81:O81" si="0">SUM(F83,F86,F89,F97,F105,F109,F128)</f>
        <v>34</v>
      </c>
      <c r="G81" s="133">
        <f t="shared" si="0"/>
        <v>46</v>
      </c>
      <c r="H81" s="133">
        <f t="shared" si="0"/>
        <v>7</v>
      </c>
      <c r="I81" s="133">
        <f t="shared" si="0"/>
        <v>4</v>
      </c>
      <c r="J81" s="133">
        <f t="shared" si="0"/>
        <v>3</v>
      </c>
      <c r="K81" s="133">
        <f t="shared" si="0"/>
        <v>20</v>
      </c>
      <c r="L81" s="133">
        <f t="shared" si="0"/>
        <v>2</v>
      </c>
      <c r="M81" s="133">
        <f t="shared" si="0"/>
        <v>1</v>
      </c>
      <c r="N81" s="133">
        <f t="shared" si="0"/>
        <v>3</v>
      </c>
      <c r="O81" s="133">
        <f t="shared" si="0"/>
        <v>2</v>
      </c>
      <c r="P81" s="133">
        <f t="shared" ref="P81" si="1">SUM(P83,P86,P89,P97,P105,P109,P128)</f>
        <v>4</v>
      </c>
      <c r="Q81" s="3"/>
      <c r="R81" s="3"/>
      <c r="S81" s="3"/>
      <c r="T81" s="3"/>
      <c r="U81" s="3"/>
      <c r="V81" s="3"/>
      <c r="W81" s="3"/>
      <c r="X81" s="3"/>
      <c r="Y81" s="3"/>
      <c r="Z81" s="3"/>
      <c r="AA81" s="3"/>
      <c r="AB81" s="3"/>
    </row>
    <row r="82" spans="2:28" s="33" customFormat="1" ht="13.2" customHeight="1" x14ac:dyDescent="0.25">
      <c r="B82" s="32" t="s">
        <v>47</v>
      </c>
      <c r="E82" s="34"/>
      <c r="F82" s="114"/>
      <c r="G82" s="114"/>
      <c r="H82" s="20"/>
      <c r="I82" s="14"/>
      <c r="J82" s="14"/>
      <c r="K82" s="20"/>
      <c r="L82" s="20"/>
      <c r="M82" s="65"/>
      <c r="N82" s="65"/>
      <c r="O82" s="20"/>
      <c r="P82" s="65"/>
      <c r="Q82" s="3"/>
      <c r="R82" s="3"/>
      <c r="S82" s="3"/>
      <c r="T82" s="3"/>
      <c r="U82" s="3"/>
      <c r="V82" s="3"/>
      <c r="W82" s="3"/>
      <c r="X82" s="3"/>
      <c r="Y82" s="3"/>
      <c r="Z82" s="3"/>
      <c r="AA82" s="3"/>
      <c r="AB82" s="3"/>
    </row>
    <row r="83" spans="2:28" s="33" customFormat="1" ht="13.2" customHeight="1" x14ac:dyDescent="0.25">
      <c r="B83" s="41" t="s">
        <v>52</v>
      </c>
      <c r="C83" s="42"/>
      <c r="D83" s="42"/>
      <c r="E83" s="34"/>
      <c r="F83" s="171">
        <f>+H13</f>
        <v>1</v>
      </c>
      <c r="G83" s="172">
        <f>G84</f>
        <v>1</v>
      </c>
      <c r="H83" s="43">
        <f t="shared" ref="H83:P83" si="2">H84</f>
        <v>0</v>
      </c>
      <c r="I83" s="43">
        <f t="shared" si="2"/>
        <v>0</v>
      </c>
      <c r="J83" s="43">
        <f t="shared" si="2"/>
        <v>0</v>
      </c>
      <c r="K83" s="43">
        <f t="shared" si="2"/>
        <v>0</v>
      </c>
      <c r="L83" s="43">
        <f t="shared" si="2"/>
        <v>0</v>
      </c>
      <c r="M83" s="43">
        <f t="shared" si="2"/>
        <v>1</v>
      </c>
      <c r="N83" s="43">
        <f t="shared" si="2"/>
        <v>0</v>
      </c>
      <c r="O83" s="43">
        <f t="shared" si="2"/>
        <v>0</v>
      </c>
      <c r="P83" s="43">
        <f t="shared" si="2"/>
        <v>0</v>
      </c>
      <c r="Q83" s="3"/>
      <c r="R83" s="3"/>
      <c r="S83" s="3"/>
      <c r="T83" s="3"/>
      <c r="U83" s="3"/>
      <c r="V83" s="3"/>
      <c r="W83" s="3"/>
      <c r="X83" s="3"/>
      <c r="Y83" s="3"/>
      <c r="Z83" s="3"/>
      <c r="AA83" s="3"/>
      <c r="AB83" s="3"/>
    </row>
    <row r="84" spans="2:28" s="31" customFormat="1" ht="13.2" outlineLevel="1" x14ac:dyDescent="0.25">
      <c r="B84" s="32" t="s">
        <v>108</v>
      </c>
      <c r="C84" s="47"/>
      <c r="D84" s="47"/>
      <c r="E84" s="47"/>
      <c r="F84" s="114"/>
      <c r="G84" s="191">
        <f>SUM(H84:P84)</f>
        <v>1</v>
      </c>
      <c r="H84" s="193"/>
      <c r="I84" s="191"/>
      <c r="J84" s="193"/>
      <c r="K84" s="191"/>
      <c r="L84" s="191"/>
      <c r="M84" s="191">
        <v>1</v>
      </c>
      <c r="N84" s="193"/>
      <c r="O84" s="191"/>
      <c r="P84" s="193"/>
      <c r="Q84" s="3"/>
      <c r="R84" s="3"/>
      <c r="S84" s="3"/>
      <c r="T84" s="3"/>
      <c r="U84" s="4"/>
      <c r="V84" s="4"/>
      <c r="W84" s="4"/>
      <c r="X84" s="4"/>
      <c r="Y84" s="4"/>
      <c r="Z84" s="4"/>
    </row>
    <row r="85" spans="2:28" s="31" customFormat="1" ht="13.2" x14ac:dyDescent="0.25">
      <c r="B85" s="32"/>
      <c r="C85" s="47"/>
      <c r="D85" s="47"/>
      <c r="E85" s="47"/>
      <c r="F85" s="114"/>
      <c r="G85" s="114"/>
      <c r="H85" s="44"/>
      <c r="I85" s="20"/>
      <c r="J85" s="44"/>
      <c r="K85" s="20"/>
      <c r="L85" s="20"/>
      <c r="M85" s="44"/>
      <c r="N85" s="44"/>
      <c r="O85" s="20"/>
      <c r="P85" s="44"/>
      <c r="Q85" s="3"/>
      <c r="R85" s="3"/>
      <c r="S85" s="3"/>
      <c r="T85" s="3"/>
      <c r="U85" s="4"/>
      <c r="V85" s="4"/>
      <c r="W85" s="4"/>
      <c r="X85" s="4"/>
      <c r="Y85" s="4"/>
      <c r="Z85" s="4"/>
    </row>
    <row r="86" spans="2:28" s="31" customFormat="1" ht="13.2" x14ac:dyDescent="0.25">
      <c r="B86" s="41" t="s">
        <v>57</v>
      </c>
      <c r="C86" s="47"/>
      <c r="D86" s="47"/>
      <c r="E86" s="3"/>
      <c r="F86" s="171">
        <f>H15</f>
        <v>1</v>
      </c>
      <c r="G86" s="172">
        <f>SUM(G87:G87)</f>
        <v>1</v>
      </c>
      <c r="H86" s="43">
        <f t="shared" ref="H86:P86" si="3">SUM(H87:H87)</f>
        <v>0</v>
      </c>
      <c r="I86" s="43">
        <f t="shared" si="3"/>
        <v>0</v>
      </c>
      <c r="J86" s="43">
        <f t="shared" si="3"/>
        <v>0</v>
      </c>
      <c r="K86" s="43">
        <f t="shared" si="3"/>
        <v>1</v>
      </c>
      <c r="L86" s="43">
        <f t="shared" si="3"/>
        <v>0</v>
      </c>
      <c r="M86" s="43">
        <f t="shared" si="3"/>
        <v>0</v>
      </c>
      <c r="N86" s="43">
        <f t="shared" si="3"/>
        <v>0</v>
      </c>
      <c r="O86" s="43">
        <f t="shared" si="3"/>
        <v>0</v>
      </c>
      <c r="P86" s="43">
        <f t="shared" si="3"/>
        <v>0</v>
      </c>
      <c r="Q86" s="3"/>
      <c r="R86" s="3"/>
      <c r="S86" s="3"/>
      <c r="T86" s="4"/>
      <c r="U86" s="4"/>
      <c r="V86" s="4"/>
      <c r="W86" s="4"/>
      <c r="X86" s="4"/>
      <c r="Y86" s="4"/>
    </row>
    <row r="87" spans="2:28" s="31" customFormat="1" ht="13.2" outlineLevel="1" x14ac:dyDescent="0.25">
      <c r="B87" s="32" t="s">
        <v>109</v>
      </c>
      <c r="C87" s="47"/>
      <c r="D87" s="47"/>
      <c r="E87" s="3"/>
      <c r="F87" s="114"/>
      <c r="G87" s="191">
        <f>SUM(H87:P87)</f>
        <v>1</v>
      </c>
      <c r="H87" s="193"/>
      <c r="I87" s="191"/>
      <c r="J87" s="191"/>
      <c r="K87" s="191">
        <v>1</v>
      </c>
      <c r="L87" s="191"/>
      <c r="M87" s="193"/>
      <c r="N87" s="193"/>
      <c r="O87" s="191"/>
      <c r="P87" s="193"/>
      <c r="Q87" s="3"/>
      <c r="R87" s="3"/>
      <c r="S87" s="3"/>
      <c r="T87" s="4"/>
      <c r="U87" s="4" t="s">
        <v>47</v>
      </c>
      <c r="V87" s="4"/>
      <c r="W87" s="4"/>
      <c r="X87" s="4"/>
      <c r="Y87" s="4"/>
    </row>
    <row r="88" spans="2:28" s="31" customFormat="1" ht="13.2" x14ac:dyDescent="0.25">
      <c r="B88" s="32"/>
      <c r="C88" s="47"/>
      <c r="D88" s="47"/>
      <c r="E88" s="3"/>
      <c r="F88" s="114"/>
      <c r="G88" s="114"/>
      <c r="H88" s="44"/>
      <c r="I88" s="20"/>
      <c r="J88" s="20"/>
      <c r="K88" s="20"/>
      <c r="L88" s="20"/>
      <c r="M88" s="44"/>
      <c r="N88" s="44"/>
      <c r="O88" s="20"/>
      <c r="P88" s="44"/>
      <c r="Q88" s="3"/>
      <c r="R88" s="3"/>
      <c r="S88" s="3"/>
      <c r="T88" s="4"/>
      <c r="U88" s="4"/>
      <c r="V88" s="4"/>
      <c r="W88" s="4"/>
      <c r="X88" s="4"/>
      <c r="Y88" s="4"/>
    </row>
    <row r="89" spans="2:28" s="107" customFormat="1" ht="13.2" x14ac:dyDescent="0.25">
      <c r="B89" s="41" t="s">
        <v>60</v>
      </c>
      <c r="C89" s="19"/>
      <c r="D89" s="19"/>
      <c r="E89" s="19"/>
      <c r="F89" s="171">
        <f>H18</f>
        <v>6</v>
      </c>
      <c r="G89" s="172">
        <f>SUM(G90:G95)</f>
        <v>10</v>
      </c>
      <c r="H89" s="172">
        <f>SUM(H90:H95)</f>
        <v>1</v>
      </c>
      <c r="I89" s="172">
        <f t="shared" ref="I89:O89" si="4">SUM(I90:I95)</f>
        <v>2</v>
      </c>
      <c r="J89" s="172">
        <f t="shared" si="4"/>
        <v>0</v>
      </c>
      <c r="K89" s="172">
        <f t="shared" si="4"/>
        <v>5</v>
      </c>
      <c r="L89" s="172">
        <f t="shared" si="4"/>
        <v>0</v>
      </c>
      <c r="M89" s="172">
        <f t="shared" si="4"/>
        <v>0</v>
      </c>
      <c r="N89" s="172">
        <f>SUM(N90:N95)</f>
        <v>1</v>
      </c>
      <c r="O89" s="172">
        <f t="shared" si="4"/>
        <v>0</v>
      </c>
      <c r="P89" s="172">
        <f t="shared" ref="P89" si="5">SUM(P90:P95)</f>
        <v>1</v>
      </c>
    </row>
    <row r="90" spans="2:28" s="107" customFormat="1" ht="13.2" outlineLevel="1" x14ac:dyDescent="0.25">
      <c r="B90" s="32" t="s">
        <v>113</v>
      </c>
      <c r="C90" s="19"/>
      <c r="D90" s="19"/>
      <c r="E90" s="19"/>
      <c r="F90" s="168"/>
      <c r="G90" s="194">
        <f>SUM(H90:P90)</f>
        <v>1</v>
      </c>
      <c r="H90" s="194"/>
      <c r="I90" s="194"/>
      <c r="J90" s="194"/>
      <c r="K90" s="194">
        <v>1</v>
      </c>
      <c r="L90" s="194"/>
      <c r="M90" s="194"/>
      <c r="N90" s="194"/>
      <c r="O90" s="194"/>
      <c r="P90" s="194"/>
    </row>
    <row r="91" spans="2:28" s="107" customFormat="1" ht="13.2" outlineLevel="1" x14ac:dyDescent="0.25">
      <c r="B91" s="32" t="s">
        <v>168</v>
      </c>
      <c r="C91" s="19"/>
      <c r="D91" s="19"/>
      <c r="E91" s="19"/>
      <c r="F91" s="168"/>
      <c r="G91" s="124">
        <f>SUM(H91:P91)</f>
        <v>2</v>
      </c>
      <c r="H91" s="124"/>
      <c r="I91" s="124">
        <v>1</v>
      </c>
      <c r="J91" s="124"/>
      <c r="K91" s="124">
        <v>1</v>
      </c>
      <c r="L91" s="124"/>
      <c r="M91" s="124"/>
      <c r="N91" s="124"/>
      <c r="O91" s="124"/>
      <c r="P91" s="124"/>
    </row>
    <row r="92" spans="2:28" s="107" customFormat="1" ht="13.2" outlineLevel="1" x14ac:dyDescent="0.25">
      <c r="B92" s="32" t="s">
        <v>115</v>
      </c>
      <c r="C92" s="19"/>
      <c r="D92" s="19"/>
      <c r="E92" s="19"/>
      <c r="F92" s="168"/>
      <c r="G92" s="124">
        <f t="shared" ref="G92:G94" si="6">SUM(H92:P92)</f>
        <v>3</v>
      </c>
      <c r="H92" s="124"/>
      <c r="I92" s="124">
        <v>1</v>
      </c>
      <c r="J92" s="124"/>
      <c r="K92" s="124">
        <v>1</v>
      </c>
      <c r="L92" s="124"/>
      <c r="M92" s="124"/>
      <c r="N92" s="124"/>
      <c r="O92" s="124"/>
      <c r="P92" s="124">
        <v>1</v>
      </c>
    </row>
    <row r="93" spans="2:28" s="107" customFormat="1" ht="13.2" outlineLevel="1" x14ac:dyDescent="0.25">
      <c r="B93" s="32" t="s">
        <v>116</v>
      </c>
      <c r="C93" s="19"/>
      <c r="D93" s="19"/>
      <c r="E93" s="19"/>
      <c r="F93" s="168"/>
      <c r="G93" s="124">
        <f t="shared" si="6"/>
        <v>2</v>
      </c>
      <c r="H93" s="124"/>
      <c r="I93" s="124"/>
      <c r="J93" s="124"/>
      <c r="K93" s="124">
        <v>1</v>
      </c>
      <c r="L93" s="124"/>
      <c r="M93" s="124"/>
      <c r="N93" s="124">
        <v>1</v>
      </c>
      <c r="O93" s="124"/>
      <c r="P93" s="124"/>
    </row>
    <row r="94" spans="2:28" s="107" customFormat="1" ht="13.2" outlineLevel="1" x14ac:dyDescent="0.25">
      <c r="B94" s="32" t="s">
        <v>117</v>
      </c>
      <c r="C94" s="19"/>
      <c r="D94" s="19"/>
      <c r="E94" s="19"/>
      <c r="F94" s="168"/>
      <c r="G94" s="124">
        <f t="shared" si="6"/>
        <v>1</v>
      </c>
      <c r="H94" s="124"/>
      <c r="I94" s="124"/>
      <c r="J94" s="124"/>
      <c r="K94" s="124">
        <v>1</v>
      </c>
      <c r="L94" s="124"/>
      <c r="M94" s="124"/>
      <c r="N94" s="124"/>
      <c r="O94" s="124"/>
      <c r="P94" s="124"/>
    </row>
    <row r="95" spans="2:28" s="107" customFormat="1" ht="13.2" outlineLevel="1" x14ac:dyDescent="0.25">
      <c r="B95" s="32" t="s">
        <v>119</v>
      </c>
      <c r="C95" s="19"/>
      <c r="D95" s="19"/>
      <c r="E95" s="19"/>
      <c r="F95" s="168"/>
      <c r="G95" s="195">
        <f>SUM(H95:P95)</f>
        <v>1</v>
      </c>
      <c r="H95" s="195">
        <v>1</v>
      </c>
      <c r="I95" s="195"/>
      <c r="J95" s="195"/>
      <c r="K95" s="195"/>
      <c r="L95" s="195"/>
      <c r="M95" s="195"/>
      <c r="N95" s="195"/>
      <c r="O95" s="195"/>
      <c r="P95" s="195"/>
    </row>
    <row r="96" spans="2:28" s="31" customFormat="1" ht="13.2" x14ac:dyDescent="0.25">
      <c r="B96" s="32"/>
      <c r="C96" s="33"/>
      <c r="D96" s="33"/>
      <c r="E96" s="33"/>
      <c r="F96" s="168"/>
      <c r="G96" s="114"/>
      <c r="H96" s="44"/>
      <c r="I96" s="44"/>
      <c r="J96" s="44"/>
      <c r="K96" s="44"/>
      <c r="L96" s="44"/>
      <c r="M96" s="44"/>
      <c r="N96" s="44"/>
      <c r="O96" s="44"/>
      <c r="P96" s="44"/>
    </row>
    <row r="97" spans="2:16" s="107" customFormat="1" ht="13.2" x14ac:dyDescent="0.25">
      <c r="B97" s="41" t="s">
        <v>40</v>
      </c>
      <c r="C97" s="19"/>
      <c r="D97" s="19"/>
      <c r="E97" s="19"/>
      <c r="F97" s="171">
        <f>H28</f>
        <v>6</v>
      </c>
      <c r="G97" s="172">
        <f>SUM(G98:G103)</f>
        <v>11</v>
      </c>
      <c r="H97" s="172">
        <f t="shared" ref="H97:O97" si="7">SUM(H98:H103)</f>
        <v>2</v>
      </c>
      <c r="I97" s="172">
        <f t="shared" si="7"/>
        <v>0</v>
      </c>
      <c r="J97" s="172">
        <f t="shared" si="7"/>
        <v>0</v>
      </c>
      <c r="K97" s="172">
        <f t="shared" si="7"/>
        <v>4</v>
      </c>
      <c r="L97" s="172">
        <f t="shared" si="7"/>
        <v>1</v>
      </c>
      <c r="M97" s="172">
        <f t="shared" si="7"/>
        <v>0</v>
      </c>
      <c r="N97" s="172">
        <f t="shared" si="7"/>
        <v>1</v>
      </c>
      <c r="O97" s="172">
        <f t="shared" si="7"/>
        <v>1</v>
      </c>
      <c r="P97" s="172">
        <f t="shared" ref="P97" si="8">SUM(P98:P103)</f>
        <v>2</v>
      </c>
    </row>
    <row r="98" spans="2:16" s="107" customFormat="1" ht="13.2" outlineLevel="1" x14ac:dyDescent="0.25">
      <c r="B98" s="32" t="s">
        <v>120</v>
      </c>
      <c r="C98" s="19"/>
      <c r="D98" s="19"/>
      <c r="E98" s="19"/>
      <c r="F98" s="114"/>
      <c r="G98" s="194">
        <f>SUM(H98:P98)</f>
        <v>2</v>
      </c>
      <c r="H98" s="194">
        <v>1</v>
      </c>
      <c r="I98" s="194"/>
      <c r="J98" s="194"/>
      <c r="K98" s="194"/>
      <c r="L98" s="194"/>
      <c r="M98" s="194"/>
      <c r="N98" s="194"/>
      <c r="O98" s="194"/>
      <c r="P98" s="194">
        <v>1</v>
      </c>
    </row>
    <row r="99" spans="2:16" s="107" customFormat="1" ht="13.2" outlineLevel="1" x14ac:dyDescent="0.25">
      <c r="B99" s="32" t="s">
        <v>123</v>
      </c>
      <c r="C99" s="19"/>
      <c r="D99" s="19"/>
      <c r="E99" s="19"/>
      <c r="F99" s="114"/>
      <c r="G99" s="124">
        <f t="shared" ref="G99:G102" si="9">SUM(H99:P99)</f>
        <v>4</v>
      </c>
      <c r="H99" s="124"/>
      <c r="I99" s="124"/>
      <c r="J99" s="124"/>
      <c r="K99" s="124">
        <v>1</v>
      </c>
      <c r="L99" s="124"/>
      <c r="M99" s="124"/>
      <c r="N99" s="124">
        <v>1</v>
      </c>
      <c r="O99" s="124">
        <v>1</v>
      </c>
      <c r="P99" s="124">
        <v>1</v>
      </c>
    </row>
    <row r="100" spans="2:16" s="107" customFormat="1" ht="13.2" outlineLevel="1" x14ac:dyDescent="0.25">
      <c r="B100" s="32" t="s">
        <v>125</v>
      </c>
      <c r="C100" s="19"/>
      <c r="D100" s="19"/>
      <c r="E100" s="19"/>
      <c r="F100" s="114"/>
      <c r="G100" s="124">
        <f t="shared" si="9"/>
        <v>1</v>
      </c>
      <c r="H100" s="124"/>
      <c r="I100" s="124"/>
      <c r="J100" s="124"/>
      <c r="K100" s="124">
        <v>1</v>
      </c>
      <c r="L100" s="124"/>
      <c r="M100" s="124"/>
      <c r="N100" s="124"/>
      <c r="O100" s="124"/>
      <c r="P100" s="124"/>
    </row>
    <row r="101" spans="2:16" s="107" customFormat="1" ht="13.2" outlineLevel="1" x14ac:dyDescent="0.25">
      <c r="B101" s="32" t="s">
        <v>127</v>
      </c>
      <c r="C101" s="19"/>
      <c r="D101" s="19"/>
      <c r="E101" s="19"/>
      <c r="F101" s="114"/>
      <c r="G101" s="124">
        <f t="shared" si="9"/>
        <v>2</v>
      </c>
      <c r="H101" s="124">
        <v>1</v>
      </c>
      <c r="I101" s="124"/>
      <c r="J101" s="124"/>
      <c r="K101" s="124">
        <v>1</v>
      </c>
      <c r="L101" s="124"/>
      <c r="M101" s="124"/>
      <c r="N101" s="124"/>
      <c r="O101" s="124"/>
      <c r="P101" s="124"/>
    </row>
    <row r="102" spans="2:16" s="107" customFormat="1" ht="13.2" outlineLevel="1" x14ac:dyDescent="0.25">
      <c r="B102" s="32" t="s">
        <v>128</v>
      </c>
      <c r="C102" s="19"/>
      <c r="D102" s="19"/>
      <c r="E102" s="19"/>
      <c r="F102" s="114"/>
      <c r="G102" s="124">
        <f t="shared" si="9"/>
        <v>1</v>
      </c>
      <c r="H102" s="124"/>
      <c r="I102" s="124"/>
      <c r="J102" s="124"/>
      <c r="K102" s="124"/>
      <c r="L102" s="124">
        <v>1</v>
      </c>
      <c r="M102" s="124"/>
      <c r="N102" s="124"/>
      <c r="O102" s="124"/>
      <c r="P102" s="124"/>
    </row>
    <row r="103" spans="2:16" s="107" customFormat="1" ht="13.2" outlineLevel="1" x14ac:dyDescent="0.25">
      <c r="B103" s="32" t="s">
        <v>129</v>
      </c>
      <c r="C103" s="19"/>
      <c r="D103" s="19"/>
      <c r="E103" s="19"/>
      <c r="F103" s="114"/>
      <c r="G103" s="195">
        <f>SUM(H103:P103)</f>
        <v>1</v>
      </c>
      <c r="H103" s="195"/>
      <c r="I103" s="195"/>
      <c r="J103" s="195"/>
      <c r="K103" s="195">
        <v>1</v>
      </c>
      <c r="L103" s="195"/>
      <c r="M103" s="195"/>
      <c r="N103" s="195"/>
      <c r="O103" s="195"/>
      <c r="P103" s="195"/>
    </row>
    <row r="104" spans="2:16" s="31" customFormat="1" ht="13.2" x14ac:dyDescent="0.25">
      <c r="B104" s="32"/>
      <c r="C104" s="33"/>
      <c r="D104" s="33"/>
      <c r="E104" s="33"/>
      <c r="F104" s="114"/>
      <c r="G104" s="114"/>
      <c r="H104" s="44"/>
      <c r="I104" s="44"/>
      <c r="J104" s="44"/>
      <c r="K104" s="44"/>
      <c r="L104" s="44"/>
      <c r="M104" s="44"/>
      <c r="N104" s="44"/>
      <c r="O104" s="44"/>
      <c r="P104" s="44"/>
    </row>
    <row r="105" spans="2:16" s="107" customFormat="1" ht="13.2" x14ac:dyDescent="0.25">
      <c r="B105" s="41" t="s">
        <v>80</v>
      </c>
      <c r="C105" s="19"/>
      <c r="D105" s="19"/>
      <c r="E105" s="19"/>
      <c r="F105" s="171">
        <f>H40</f>
        <v>2</v>
      </c>
      <c r="G105" s="172">
        <f>SUM(G106:G107)</f>
        <v>3</v>
      </c>
      <c r="H105" s="172">
        <f t="shared" ref="H105:O105" si="10">SUM(H106:H107)</f>
        <v>0</v>
      </c>
      <c r="I105" s="172">
        <f t="shared" si="10"/>
        <v>1</v>
      </c>
      <c r="J105" s="172">
        <f t="shared" si="10"/>
        <v>1</v>
      </c>
      <c r="K105" s="172">
        <f t="shared" si="10"/>
        <v>1</v>
      </c>
      <c r="L105" s="172">
        <f t="shared" si="10"/>
        <v>0</v>
      </c>
      <c r="M105" s="172">
        <f t="shared" si="10"/>
        <v>0</v>
      </c>
      <c r="N105" s="172">
        <f t="shared" si="10"/>
        <v>0</v>
      </c>
      <c r="O105" s="172">
        <f t="shared" si="10"/>
        <v>0</v>
      </c>
      <c r="P105" s="172">
        <f t="shared" ref="P105" si="11">SUM(P106:P107)</f>
        <v>0</v>
      </c>
    </row>
    <row r="106" spans="2:16" s="107" customFormat="1" ht="13.2" outlineLevel="1" x14ac:dyDescent="0.25">
      <c r="B106" s="32" t="s">
        <v>131</v>
      </c>
      <c r="C106" s="19"/>
      <c r="D106" s="19"/>
      <c r="E106" s="19"/>
      <c r="F106" s="114"/>
      <c r="G106" s="194">
        <f>SUM(H106:AC106)</f>
        <v>2</v>
      </c>
      <c r="H106" s="194"/>
      <c r="I106" s="194">
        <v>1</v>
      </c>
      <c r="J106" s="194">
        <v>1</v>
      </c>
      <c r="K106" s="194"/>
      <c r="L106" s="194"/>
      <c r="M106" s="194"/>
      <c r="N106" s="194"/>
      <c r="O106" s="194"/>
      <c r="P106" s="194"/>
    </row>
    <row r="107" spans="2:16" s="107" customFormat="1" ht="13.2" outlineLevel="1" x14ac:dyDescent="0.25">
      <c r="B107" s="32" t="s">
        <v>133</v>
      </c>
      <c r="C107" s="19"/>
      <c r="D107" s="19"/>
      <c r="E107" s="19"/>
      <c r="F107" s="114"/>
      <c r="G107" s="195">
        <f>SUM(H107:AC107)</f>
        <v>1</v>
      </c>
      <c r="H107" s="195"/>
      <c r="I107" s="195"/>
      <c r="J107" s="195"/>
      <c r="K107" s="195">
        <v>1</v>
      </c>
      <c r="L107" s="195"/>
      <c r="M107" s="195"/>
      <c r="N107" s="195"/>
      <c r="O107" s="195"/>
      <c r="P107" s="195"/>
    </row>
    <row r="108" spans="2:16" s="31" customFormat="1" ht="13.2" x14ac:dyDescent="0.25">
      <c r="B108" s="32"/>
      <c r="C108" s="33"/>
      <c r="D108" s="33"/>
      <c r="E108" s="33"/>
      <c r="F108" s="114"/>
      <c r="G108" s="114"/>
      <c r="H108" s="44"/>
      <c r="I108" s="44"/>
      <c r="J108" s="44"/>
      <c r="K108" s="44"/>
      <c r="L108" s="44"/>
      <c r="M108" s="44"/>
      <c r="N108" s="44"/>
      <c r="O108" s="44"/>
      <c r="P108" s="44"/>
    </row>
    <row r="109" spans="2:16" s="107" customFormat="1" ht="13.2" x14ac:dyDescent="0.25">
      <c r="B109" s="41" t="s">
        <v>85</v>
      </c>
      <c r="C109" s="19"/>
      <c r="D109" s="19"/>
      <c r="E109" s="19"/>
      <c r="F109" s="171">
        <f>H45</f>
        <v>17</v>
      </c>
      <c r="G109" s="172">
        <f>SUM(G110:G126)</f>
        <v>20</v>
      </c>
      <c r="H109" s="172">
        <f t="shared" ref="H109:O109" si="12">SUM(H110:H126)</f>
        <v>4</v>
      </c>
      <c r="I109" s="172">
        <f t="shared" si="12"/>
        <v>1</v>
      </c>
      <c r="J109" s="172">
        <f t="shared" si="12"/>
        <v>2</v>
      </c>
      <c r="K109" s="172">
        <f t="shared" si="12"/>
        <v>9</v>
      </c>
      <c r="L109" s="172">
        <f t="shared" si="12"/>
        <v>1</v>
      </c>
      <c r="M109" s="172">
        <f t="shared" si="12"/>
        <v>0</v>
      </c>
      <c r="N109" s="172">
        <f t="shared" si="12"/>
        <v>1</v>
      </c>
      <c r="O109" s="172">
        <f t="shared" si="12"/>
        <v>1</v>
      </c>
      <c r="P109" s="172">
        <f t="shared" ref="P109" si="13">SUM(P110:P126)</f>
        <v>1</v>
      </c>
    </row>
    <row r="110" spans="2:16" s="107" customFormat="1" ht="13.2" outlineLevel="1" x14ac:dyDescent="0.25">
      <c r="B110" s="32" t="s">
        <v>135</v>
      </c>
      <c r="C110" s="19"/>
      <c r="D110" s="19"/>
      <c r="E110" s="19"/>
      <c r="F110" s="114"/>
      <c r="G110" s="194">
        <f t="shared" ref="G110:G126" si="14">SUM(H110:AC110)</f>
        <v>1</v>
      </c>
      <c r="H110" s="194"/>
      <c r="I110" s="194"/>
      <c r="J110" s="194"/>
      <c r="K110" s="194">
        <v>1</v>
      </c>
      <c r="L110" s="194"/>
      <c r="M110" s="194"/>
      <c r="N110" s="194"/>
      <c r="O110" s="194"/>
      <c r="P110" s="194"/>
    </row>
    <row r="111" spans="2:16" s="107" customFormat="1" ht="13.2" outlineLevel="1" x14ac:dyDescent="0.25">
      <c r="B111" s="32" t="s">
        <v>136</v>
      </c>
      <c r="C111" s="19"/>
      <c r="D111" s="19"/>
      <c r="E111" s="19"/>
      <c r="F111" s="114"/>
      <c r="G111" s="124">
        <f t="shared" ref="G111:G125" si="15">SUM(H111:P111)</f>
        <v>1</v>
      </c>
      <c r="H111" s="124"/>
      <c r="I111" s="124"/>
      <c r="J111" s="124"/>
      <c r="K111" s="124">
        <v>1</v>
      </c>
      <c r="L111" s="124"/>
      <c r="M111" s="124"/>
      <c r="N111" s="124"/>
      <c r="O111" s="124"/>
      <c r="P111" s="124"/>
    </row>
    <row r="112" spans="2:16" s="107" customFormat="1" ht="13.2" outlineLevel="1" x14ac:dyDescent="0.25">
      <c r="B112" s="32" t="s">
        <v>137</v>
      </c>
      <c r="C112" s="19"/>
      <c r="D112" s="19"/>
      <c r="E112" s="19"/>
      <c r="F112" s="114"/>
      <c r="G112" s="124">
        <f t="shared" si="15"/>
        <v>2</v>
      </c>
      <c r="H112" s="124"/>
      <c r="I112" s="124"/>
      <c r="J112" s="124"/>
      <c r="K112" s="124">
        <v>1</v>
      </c>
      <c r="L112" s="124"/>
      <c r="M112" s="124"/>
      <c r="N112" s="124"/>
      <c r="O112" s="124"/>
      <c r="P112" s="124">
        <v>1</v>
      </c>
    </row>
    <row r="113" spans="2:16" s="107" customFormat="1" ht="13.2" outlineLevel="1" x14ac:dyDescent="0.25">
      <c r="B113" s="32" t="s">
        <v>138</v>
      </c>
      <c r="C113" s="19"/>
      <c r="D113" s="19"/>
      <c r="E113" s="19"/>
      <c r="F113" s="114"/>
      <c r="G113" s="124">
        <f t="shared" si="15"/>
        <v>1</v>
      </c>
      <c r="H113" s="124"/>
      <c r="I113" s="124"/>
      <c r="J113" s="124"/>
      <c r="K113" s="124"/>
      <c r="L113" s="124">
        <v>1</v>
      </c>
      <c r="M113" s="124"/>
      <c r="N113" s="124"/>
      <c r="O113" s="124"/>
      <c r="P113" s="124"/>
    </row>
    <row r="114" spans="2:16" s="107" customFormat="1" ht="13.2" outlineLevel="1" x14ac:dyDescent="0.25">
      <c r="B114" s="32" t="s">
        <v>139</v>
      </c>
      <c r="C114" s="19"/>
      <c r="D114" s="19"/>
      <c r="E114" s="19"/>
      <c r="F114" s="114"/>
      <c r="G114" s="124">
        <f t="shared" si="15"/>
        <v>1</v>
      </c>
      <c r="H114" s="124"/>
      <c r="I114" s="124"/>
      <c r="J114" s="124"/>
      <c r="K114" s="124">
        <v>1</v>
      </c>
      <c r="L114" s="124"/>
      <c r="M114" s="124"/>
      <c r="N114" s="124"/>
      <c r="O114" s="124"/>
      <c r="P114" s="124"/>
    </row>
    <row r="115" spans="2:16" s="107" customFormat="1" ht="13.2" outlineLevel="1" x14ac:dyDescent="0.25">
      <c r="B115" s="32" t="s">
        <v>140</v>
      </c>
      <c r="C115" s="19"/>
      <c r="D115" s="19"/>
      <c r="E115" s="19"/>
      <c r="F115" s="114"/>
      <c r="G115" s="124">
        <f t="shared" si="15"/>
        <v>1</v>
      </c>
      <c r="H115" s="124"/>
      <c r="I115" s="124"/>
      <c r="J115" s="124"/>
      <c r="K115" s="124">
        <v>1</v>
      </c>
      <c r="L115" s="124"/>
      <c r="M115" s="124"/>
      <c r="N115" s="124"/>
      <c r="O115" s="124"/>
      <c r="P115" s="124"/>
    </row>
    <row r="116" spans="2:16" s="107" customFormat="1" ht="13.2" outlineLevel="1" x14ac:dyDescent="0.25">
      <c r="B116" s="32" t="s">
        <v>141</v>
      </c>
      <c r="C116" s="19"/>
      <c r="D116" s="19"/>
      <c r="E116" s="19"/>
      <c r="F116" s="114"/>
      <c r="G116" s="124">
        <f t="shared" si="15"/>
        <v>1</v>
      </c>
      <c r="H116" s="124"/>
      <c r="I116" s="124"/>
      <c r="J116" s="124"/>
      <c r="K116" s="124"/>
      <c r="L116" s="124"/>
      <c r="M116" s="124"/>
      <c r="N116" s="124">
        <v>1</v>
      </c>
      <c r="O116" s="124"/>
      <c r="P116" s="124"/>
    </row>
    <row r="117" spans="2:16" s="107" customFormat="1" ht="13.2" outlineLevel="1" x14ac:dyDescent="0.25">
      <c r="B117" s="32" t="s">
        <v>142</v>
      </c>
      <c r="C117" s="19"/>
      <c r="D117" s="19"/>
      <c r="E117" s="19"/>
      <c r="F117" s="114"/>
      <c r="G117" s="124">
        <f t="shared" si="15"/>
        <v>1</v>
      </c>
      <c r="H117" s="124">
        <v>1</v>
      </c>
      <c r="I117" s="124"/>
      <c r="J117" s="124"/>
      <c r="K117" s="124"/>
      <c r="L117" s="124"/>
      <c r="M117" s="124"/>
      <c r="N117" s="124"/>
      <c r="O117" s="124"/>
      <c r="P117" s="124"/>
    </row>
    <row r="118" spans="2:16" s="107" customFormat="1" ht="13.2" outlineLevel="1" x14ac:dyDescent="0.25">
      <c r="B118" s="32" t="s">
        <v>143</v>
      </c>
      <c r="C118" s="19"/>
      <c r="D118" s="19"/>
      <c r="E118" s="19"/>
      <c r="F118" s="114"/>
      <c r="G118" s="124">
        <f t="shared" si="15"/>
        <v>2</v>
      </c>
      <c r="H118" s="124">
        <v>1</v>
      </c>
      <c r="I118" s="124"/>
      <c r="J118" s="124"/>
      <c r="K118" s="124">
        <v>1</v>
      </c>
      <c r="L118" s="124"/>
      <c r="M118" s="124"/>
      <c r="N118" s="124"/>
      <c r="O118" s="124"/>
      <c r="P118" s="124"/>
    </row>
    <row r="119" spans="2:16" s="107" customFormat="1" ht="13.2" outlineLevel="1" x14ac:dyDescent="0.25">
      <c r="B119" s="32" t="s">
        <v>146</v>
      </c>
      <c r="C119" s="19"/>
      <c r="D119" s="19"/>
      <c r="E119" s="19"/>
      <c r="F119" s="114"/>
      <c r="G119" s="124">
        <f t="shared" si="15"/>
        <v>1</v>
      </c>
      <c r="H119" s="124"/>
      <c r="I119" s="124"/>
      <c r="J119" s="124">
        <v>1</v>
      </c>
      <c r="K119" s="124"/>
      <c r="L119" s="124"/>
      <c r="M119" s="124"/>
      <c r="N119" s="124"/>
      <c r="O119" s="124"/>
      <c r="P119" s="124"/>
    </row>
    <row r="120" spans="2:16" s="107" customFormat="1" ht="13.2" outlineLevel="1" x14ac:dyDescent="0.25">
      <c r="B120" s="32" t="s">
        <v>149</v>
      </c>
      <c r="C120" s="19"/>
      <c r="D120" s="19"/>
      <c r="E120" s="19"/>
      <c r="F120" s="114"/>
      <c r="G120" s="124">
        <f t="shared" si="15"/>
        <v>1</v>
      </c>
      <c r="H120" s="124">
        <v>1</v>
      </c>
      <c r="I120" s="124"/>
      <c r="J120" s="124"/>
      <c r="K120" s="124"/>
      <c r="L120" s="124"/>
      <c r="M120" s="124"/>
      <c r="N120" s="124"/>
      <c r="O120" s="124"/>
      <c r="P120" s="124"/>
    </row>
    <row r="121" spans="2:16" s="107" customFormat="1" ht="13.2" outlineLevel="1" x14ac:dyDescent="0.25">
      <c r="B121" s="32" t="s">
        <v>150</v>
      </c>
      <c r="C121" s="19"/>
      <c r="D121" s="19"/>
      <c r="E121" s="19"/>
      <c r="F121" s="114"/>
      <c r="G121" s="124">
        <f t="shared" si="15"/>
        <v>1</v>
      </c>
      <c r="H121" s="124"/>
      <c r="I121" s="124">
        <v>1</v>
      </c>
      <c r="J121" s="124"/>
      <c r="K121" s="124"/>
      <c r="L121" s="124"/>
      <c r="M121" s="124"/>
      <c r="N121" s="124"/>
      <c r="O121" s="124"/>
      <c r="P121" s="124"/>
    </row>
    <row r="122" spans="2:16" s="107" customFormat="1" ht="13.2" outlineLevel="1" x14ac:dyDescent="0.25">
      <c r="B122" s="32" t="s">
        <v>152</v>
      </c>
      <c r="C122" s="19"/>
      <c r="D122" s="19"/>
      <c r="E122" s="19"/>
      <c r="F122" s="114"/>
      <c r="G122" s="124">
        <f t="shared" si="15"/>
        <v>1</v>
      </c>
      <c r="H122" s="124"/>
      <c r="I122" s="124"/>
      <c r="J122" s="124"/>
      <c r="K122" s="124">
        <v>1</v>
      </c>
      <c r="L122" s="124"/>
      <c r="M122" s="124"/>
      <c r="N122" s="124"/>
      <c r="O122" s="124"/>
      <c r="P122" s="124"/>
    </row>
    <row r="123" spans="2:16" s="107" customFormat="1" ht="13.2" outlineLevel="1" x14ac:dyDescent="0.25">
      <c r="B123" s="32" t="s">
        <v>153</v>
      </c>
      <c r="C123" s="19"/>
      <c r="D123" s="19"/>
      <c r="E123" s="19"/>
      <c r="F123" s="114"/>
      <c r="G123" s="124">
        <f t="shared" si="15"/>
        <v>1</v>
      </c>
      <c r="H123" s="124">
        <v>1</v>
      </c>
      <c r="I123" s="124"/>
      <c r="J123" s="124"/>
      <c r="K123" s="124"/>
      <c r="L123" s="124"/>
      <c r="M123" s="124"/>
      <c r="N123" s="124"/>
      <c r="O123" s="124"/>
      <c r="P123" s="124"/>
    </row>
    <row r="124" spans="2:16" s="107" customFormat="1" ht="13.2" outlineLevel="1" x14ac:dyDescent="0.25">
      <c r="B124" s="32" t="s">
        <v>154</v>
      </c>
      <c r="C124" s="19"/>
      <c r="D124" s="19"/>
      <c r="E124" s="19"/>
      <c r="F124" s="114"/>
      <c r="G124" s="124">
        <f t="shared" si="15"/>
        <v>1</v>
      </c>
      <c r="H124" s="124"/>
      <c r="I124" s="124"/>
      <c r="J124" s="124"/>
      <c r="K124" s="124"/>
      <c r="L124" s="124"/>
      <c r="M124" s="124"/>
      <c r="N124" s="124"/>
      <c r="O124" s="124">
        <v>1</v>
      </c>
      <c r="P124" s="124"/>
    </row>
    <row r="125" spans="2:16" s="107" customFormat="1" ht="13.2" outlineLevel="1" x14ac:dyDescent="0.25">
      <c r="B125" s="32" t="s">
        <v>157</v>
      </c>
      <c r="C125" s="19"/>
      <c r="D125" s="19"/>
      <c r="E125" s="19"/>
      <c r="F125" s="114"/>
      <c r="G125" s="124">
        <f t="shared" si="15"/>
        <v>2</v>
      </c>
      <c r="H125" s="124"/>
      <c r="I125" s="124"/>
      <c r="J125" s="124">
        <v>1</v>
      </c>
      <c r="K125" s="124">
        <v>1</v>
      </c>
      <c r="L125" s="124"/>
      <c r="M125" s="124"/>
      <c r="N125" s="124"/>
      <c r="O125" s="124"/>
      <c r="P125" s="124"/>
    </row>
    <row r="126" spans="2:16" s="107" customFormat="1" ht="13.2" outlineLevel="1" x14ac:dyDescent="0.25">
      <c r="B126" s="32" t="s">
        <v>158</v>
      </c>
      <c r="C126" s="19"/>
      <c r="D126" s="19"/>
      <c r="E126" s="19"/>
      <c r="F126" s="114"/>
      <c r="G126" s="195">
        <f t="shared" si="14"/>
        <v>1</v>
      </c>
      <c r="H126" s="195"/>
      <c r="I126" s="195"/>
      <c r="J126" s="195"/>
      <c r="K126" s="195">
        <v>1</v>
      </c>
      <c r="L126" s="195"/>
      <c r="M126" s="195"/>
      <c r="N126" s="195"/>
      <c r="O126" s="195"/>
      <c r="P126" s="195"/>
    </row>
    <row r="127" spans="2:16" s="31" customFormat="1" ht="13.2" x14ac:dyDescent="0.25">
      <c r="B127" s="32"/>
      <c r="C127" s="33"/>
      <c r="D127" s="33"/>
      <c r="E127" s="33"/>
      <c r="F127" s="114"/>
      <c r="G127" s="114"/>
      <c r="H127" s="44"/>
      <c r="I127" s="44"/>
      <c r="J127" s="44"/>
      <c r="K127" s="44"/>
      <c r="L127" s="44"/>
      <c r="M127" s="44"/>
      <c r="N127" s="44"/>
      <c r="O127" s="44"/>
      <c r="P127" s="44"/>
    </row>
    <row r="128" spans="2:16" s="107" customFormat="1" ht="13.2" x14ac:dyDescent="0.25">
      <c r="B128" s="41" t="s">
        <v>104</v>
      </c>
      <c r="C128" s="19"/>
      <c r="D128" s="19"/>
      <c r="E128" s="19"/>
      <c r="F128" s="171">
        <f>H70</f>
        <v>1</v>
      </c>
      <c r="G128" s="172">
        <f>G129</f>
        <v>0</v>
      </c>
      <c r="H128" s="172">
        <f t="shared" ref="H128:P128" si="16">H129</f>
        <v>0</v>
      </c>
      <c r="I128" s="172">
        <f t="shared" si="16"/>
        <v>0</v>
      </c>
      <c r="J128" s="172">
        <f t="shared" si="16"/>
        <v>0</v>
      </c>
      <c r="K128" s="172">
        <f t="shared" si="16"/>
        <v>0</v>
      </c>
      <c r="L128" s="172">
        <f t="shared" si="16"/>
        <v>0</v>
      </c>
      <c r="M128" s="172">
        <f t="shared" si="16"/>
        <v>0</v>
      </c>
      <c r="N128" s="172">
        <f t="shared" si="16"/>
        <v>0</v>
      </c>
      <c r="O128" s="172">
        <f t="shared" si="16"/>
        <v>0</v>
      </c>
      <c r="P128" s="172">
        <f t="shared" si="16"/>
        <v>0</v>
      </c>
    </row>
    <row r="129" spans="2:16" s="107" customFormat="1" ht="13.2" outlineLevel="1" x14ac:dyDescent="0.25">
      <c r="B129" s="32" t="s">
        <v>159</v>
      </c>
      <c r="C129" s="19"/>
      <c r="D129" s="19"/>
      <c r="E129" s="19"/>
      <c r="F129" s="168"/>
      <c r="G129" s="241"/>
      <c r="H129" s="191"/>
      <c r="I129" s="191"/>
      <c r="J129" s="191"/>
      <c r="K129" s="191"/>
      <c r="L129" s="191"/>
      <c r="M129" s="191"/>
      <c r="N129" s="191"/>
      <c r="O129" s="191"/>
      <c r="P129" s="191"/>
    </row>
    <row r="130" spans="2:16" s="107" customFormat="1" ht="13.2" x14ac:dyDescent="0.25">
      <c r="B130" s="207"/>
      <c r="C130" s="119"/>
      <c r="D130" s="119"/>
      <c r="E130" s="119"/>
      <c r="F130" s="207"/>
      <c r="G130" s="169"/>
      <c r="H130" s="169"/>
      <c r="I130" s="169"/>
      <c r="J130" s="169"/>
      <c r="K130" s="169"/>
      <c r="L130" s="169"/>
      <c r="M130" s="169"/>
      <c r="N130" s="169"/>
      <c r="O130" s="169"/>
      <c r="P130" s="169"/>
    </row>
    <row r="131" spans="2:16" s="107" customFormat="1" ht="13.2" x14ac:dyDescent="0.25"/>
    <row r="133" spans="2:16" x14ac:dyDescent="0.3">
      <c r="B133" s="46" t="s">
        <v>163</v>
      </c>
    </row>
    <row r="134" spans="2:16" x14ac:dyDescent="0.3">
      <c r="G134" s="69"/>
      <c r="I134" s="69"/>
      <c r="J134" s="69"/>
      <c r="K134" s="3"/>
    </row>
    <row r="135" spans="2:16" ht="21" customHeight="1" x14ac:dyDescent="0.3">
      <c r="B135" s="255" t="s">
        <v>48</v>
      </c>
      <c r="C135" s="256"/>
      <c r="D135" s="256"/>
      <c r="E135" s="257"/>
      <c r="F135" s="246" t="s">
        <v>162</v>
      </c>
      <c r="G135" s="247"/>
      <c r="H135" s="271" t="s">
        <v>164</v>
      </c>
      <c r="I135" s="278"/>
      <c r="J135" s="278"/>
      <c r="K135" s="278"/>
      <c r="L135" s="279"/>
    </row>
    <row r="136" spans="2:16" ht="32.4" customHeight="1" x14ac:dyDescent="0.3">
      <c r="B136" s="258"/>
      <c r="C136" s="275"/>
      <c r="D136" s="275"/>
      <c r="E136" s="276"/>
      <c r="F136" s="248"/>
      <c r="G136" s="249"/>
      <c r="H136" s="280" t="s">
        <v>299</v>
      </c>
      <c r="I136" s="281"/>
      <c r="J136" s="271" t="s">
        <v>287</v>
      </c>
      <c r="K136" s="282"/>
      <c r="L136" s="283"/>
    </row>
    <row r="137" spans="2:16" s="140" customFormat="1" ht="67.5" customHeight="1" x14ac:dyDescent="0.3">
      <c r="B137" s="260"/>
      <c r="C137" s="261"/>
      <c r="D137" s="261"/>
      <c r="E137" s="277"/>
      <c r="F137" s="139" t="s">
        <v>49</v>
      </c>
      <c r="G137" s="139" t="s">
        <v>50</v>
      </c>
      <c r="H137" s="179" t="s">
        <v>300</v>
      </c>
      <c r="I137" s="179" t="s">
        <v>301</v>
      </c>
      <c r="J137" s="179" t="s">
        <v>171</v>
      </c>
      <c r="K137" s="179" t="s">
        <v>298</v>
      </c>
      <c r="L137" s="179" t="s">
        <v>170</v>
      </c>
    </row>
    <row r="138" spans="2:16" x14ac:dyDescent="0.3">
      <c r="B138" s="32"/>
      <c r="C138" s="33"/>
      <c r="D138" s="33"/>
      <c r="E138" s="34"/>
      <c r="F138" s="20"/>
      <c r="G138" s="20"/>
      <c r="H138" s="88"/>
      <c r="I138" s="44"/>
      <c r="J138" s="20"/>
      <c r="K138" s="44"/>
      <c r="L138" s="88"/>
    </row>
    <row r="139" spans="2:16" x14ac:dyDescent="0.3">
      <c r="B139" s="120" t="s">
        <v>51</v>
      </c>
      <c r="C139" s="121"/>
      <c r="D139" s="121"/>
      <c r="E139" s="122"/>
      <c r="F139" s="138">
        <f>SUM(F141,F145,F148,F151)</f>
        <v>5</v>
      </c>
      <c r="G139" s="133">
        <f t="shared" ref="G139:H139" si="17">SUM(G141,G145,G148,G151)</f>
        <v>13</v>
      </c>
      <c r="H139" s="133">
        <f t="shared" si="17"/>
        <v>3</v>
      </c>
      <c r="I139" s="133">
        <f>SUM(I141,I145,I148,I151)</f>
        <v>4</v>
      </c>
      <c r="J139" s="133">
        <f>SUM(J141,J145,J148,J151)</f>
        <v>2</v>
      </c>
      <c r="K139" s="133">
        <f>SUM(K141,K145,K148,K151)</f>
        <v>2</v>
      </c>
      <c r="L139" s="133">
        <f t="shared" ref="L139" si="18">SUM(L141,L145,L148,L151)</f>
        <v>2</v>
      </c>
    </row>
    <row r="140" spans="2:16" x14ac:dyDescent="0.3">
      <c r="B140" s="32" t="s">
        <v>47</v>
      </c>
      <c r="C140" s="33"/>
      <c r="D140" s="33"/>
      <c r="E140" s="34"/>
      <c r="F140" s="20"/>
      <c r="G140" s="20"/>
      <c r="H140" s="65"/>
      <c r="I140" s="35"/>
      <c r="J140" s="65"/>
      <c r="K140" s="65"/>
      <c r="L140" s="65"/>
    </row>
    <row r="141" spans="2:16" s="107" customFormat="1" ht="13.2" x14ac:dyDescent="0.25">
      <c r="B141" s="41" t="s">
        <v>60</v>
      </c>
      <c r="C141" s="19"/>
      <c r="D141" s="19"/>
      <c r="E141" s="19"/>
      <c r="F141" s="171">
        <f>J18</f>
        <v>2</v>
      </c>
      <c r="G141" s="172">
        <f t="shared" ref="G141:H141" si="19">SUM(G142:G143)</f>
        <v>7</v>
      </c>
      <c r="H141" s="172">
        <f t="shared" si="19"/>
        <v>1</v>
      </c>
      <c r="I141" s="172">
        <f>SUM(I142:I143)</f>
        <v>2</v>
      </c>
      <c r="J141" s="172">
        <f>SUM(J142:J143)</f>
        <v>1</v>
      </c>
      <c r="K141" s="172">
        <f>SUM(K142:K143)</f>
        <v>2</v>
      </c>
      <c r="L141" s="172">
        <f>SUM(L142:L143)</f>
        <v>1</v>
      </c>
    </row>
    <row r="142" spans="2:16" s="107" customFormat="1" ht="15" customHeight="1" outlineLevel="1" x14ac:dyDescent="0.25">
      <c r="B142" s="32" t="s">
        <v>111</v>
      </c>
      <c r="C142" s="19"/>
      <c r="D142" s="19"/>
      <c r="E142" s="19"/>
      <c r="F142" s="168"/>
      <c r="G142" s="194">
        <f>SUM(H142:L142)</f>
        <v>3</v>
      </c>
      <c r="H142" s="194"/>
      <c r="I142" s="194">
        <v>1</v>
      </c>
      <c r="J142" s="194">
        <v>1</v>
      </c>
      <c r="K142" s="194">
        <v>1</v>
      </c>
      <c r="L142" s="194"/>
    </row>
    <row r="143" spans="2:16" s="107" customFormat="1" ht="15" customHeight="1" outlineLevel="1" x14ac:dyDescent="0.25">
      <c r="B143" s="32" t="s">
        <v>118</v>
      </c>
      <c r="C143" s="19"/>
      <c r="D143" s="19"/>
      <c r="E143" s="19"/>
      <c r="F143" s="168"/>
      <c r="G143" s="195">
        <f>SUM(H143:L143)</f>
        <v>4</v>
      </c>
      <c r="H143" s="195">
        <v>1</v>
      </c>
      <c r="I143" s="195">
        <v>1</v>
      </c>
      <c r="J143" s="195"/>
      <c r="K143" s="195">
        <v>1</v>
      </c>
      <c r="L143" s="195">
        <v>1</v>
      </c>
    </row>
    <row r="144" spans="2:16" s="107" customFormat="1" ht="13.2" x14ac:dyDescent="0.25">
      <c r="B144" s="32"/>
      <c r="C144" s="33"/>
      <c r="D144" s="33"/>
      <c r="E144" s="33"/>
      <c r="F144" s="44"/>
      <c r="G144" s="20"/>
      <c r="H144" s="44"/>
      <c r="I144" s="44"/>
      <c r="J144" s="44"/>
      <c r="K144" s="44"/>
      <c r="L144" s="44"/>
    </row>
    <row r="145" spans="2:14" s="107" customFormat="1" ht="13.2" x14ac:dyDescent="0.25">
      <c r="B145" s="41" t="s">
        <v>40</v>
      </c>
      <c r="C145" s="19"/>
      <c r="D145" s="19"/>
      <c r="E145" s="19"/>
      <c r="F145" s="171">
        <f>J28</f>
        <v>1</v>
      </c>
      <c r="G145" s="172">
        <f t="shared" ref="G145:H145" si="20">SUM(G146:G146)</f>
        <v>3</v>
      </c>
      <c r="H145" s="172">
        <f t="shared" si="20"/>
        <v>1</v>
      </c>
      <c r="I145" s="172">
        <f>SUM(I146:I146)</f>
        <v>1</v>
      </c>
      <c r="J145" s="172">
        <f>SUM(J146:J146)</f>
        <v>1</v>
      </c>
      <c r="K145" s="172">
        <f>SUM(K146:K146)</f>
        <v>0</v>
      </c>
      <c r="L145" s="172">
        <f>SUM(L146:L146)</f>
        <v>0</v>
      </c>
    </row>
    <row r="146" spans="2:14" s="107" customFormat="1" ht="15" customHeight="1" outlineLevel="1" collapsed="1" x14ac:dyDescent="0.25">
      <c r="B146" s="32" t="s">
        <v>124</v>
      </c>
      <c r="C146" s="19"/>
      <c r="D146" s="19"/>
      <c r="E146" s="19"/>
      <c r="F146" s="114"/>
      <c r="G146" s="191">
        <f>SUM(H146:L146)</f>
        <v>3</v>
      </c>
      <c r="H146" s="191">
        <v>1</v>
      </c>
      <c r="I146" s="191">
        <v>1</v>
      </c>
      <c r="J146" s="191">
        <v>1</v>
      </c>
      <c r="K146" s="191"/>
      <c r="L146" s="191"/>
    </row>
    <row r="147" spans="2:14" s="107" customFormat="1" ht="13.2" x14ac:dyDescent="0.25">
      <c r="B147" s="32"/>
      <c r="C147" s="33"/>
      <c r="D147" s="33"/>
      <c r="E147" s="33"/>
      <c r="F147" s="20"/>
      <c r="G147" s="20"/>
      <c r="H147" s="44"/>
      <c r="I147" s="44"/>
      <c r="J147" s="44"/>
      <c r="K147" s="44"/>
      <c r="L147" s="44"/>
    </row>
    <row r="148" spans="2:14" s="107" customFormat="1" ht="13.2" x14ac:dyDescent="0.25">
      <c r="B148" s="41" t="s">
        <v>80</v>
      </c>
      <c r="C148" s="19"/>
      <c r="D148" s="19"/>
      <c r="E148" s="19"/>
      <c r="F148" s="171">
        <f>J40</f>
        <v>1</v>
      </c>
      <c r="G148" s="172">
        <f t="shared" ref="G148:H148" si="21">SUM(G149:G149)</f>
        <v>2</v>
      </c>
      <c r="H148" s="172">
        <f t="shared" si="21"/>
        <v>1</v>
      </c>
      <c r="I148" s="172">
        <f>SUM(I149:I149)</f>
        <v>0</v>
      </c>
      <c r="J148" s="172">
        <f>SUM(J149:J149)</f>
        <v>0</v>
      </c>
      <c r="K148" s="172">
        <f>SUM(K149:K149)</f>
        <v>0</v>
      </c>
      <c r="L148" s="172">
        <f>SUM(L149:L149)</f>
        <v>1</v>
      </c>
    </row>
    <row r="149" spans="2:14" s="107" customFormat="1" ht="15" customHeight="1" outlineLevel="1" collapsed="1" x14ac:dyDescent="0.25">
      <c r="B149" s="32" t="s">
        <v>132</v>
      </c>
      <c r="C149" s="19"/>
      <c r="D149" s="19"/>
      <c r="E149" s="19"/>
      <c r="F149" s="114"/>
      <c r="G149" s="191">
        <f>SUM(H149:L149)</f>
        <v>2</v>
      </c>
      <c r="H149" s="191">
        <v>1</v>
      </c>
      <c r="I149" s="191"/>
      <c r="J149" s="191"/>
      <c r="K149" s="191"/>
      <c r="L149" s="191">
        <v>1</v>
      </c>
    </row>
    <row r="150" spans="2:14" s="107" customFormat="1" ht="13.2" x14ac:dyDescent="0.25">
      <c r="B150" s="32"/>
      <c r="C150" s="33"/>
      <c r="D150" s="33"/>
      <c r="E150" s="33"/>
      <c r="F150" s="20"/>
      <c r="G150" s="20"/>
      <c r="H150" s="44"/>
      <c r="I150" s="44"/>
      <c r="J150" s="44"/>
      <c r="K150" s="44"/>
      <c r="L150" s="44"/>
    </row>
    <row r="151" spans="2:14" s="107" customFormat="1" ht="13.2" x14ac:dyDescent="0.25">
      <c r="B151" s="41" t="s">
        <v>85</v>
      </c>
      <c r="C151" s="19"/>
      <c r="D151" s="19"/>
      <c r="E151" s="19"/>
      <c r="F151" s="171">
        <f>J45</f>
        <v>1</v>
      </c>
      <c r="G151" s="172">
        <f t="shared" ref="G151:H151" si="22">SUM(G152:G152)</f>
        <v>1</v>
      </c>
      <c r="H151" s="172">
        <f t="shared" si="22"/>
        <v>0</v>
      </c>
      <c r="I151" s="172">
        <f>SUM(I152:I152)</f>
        <v>1</v>
      </c>
      <c r="J151" s="172">
        <f>SUM(J152:J152)</f>
        <v>0</v>
      </c>
      <c r="K151" s="172">
        <f>SUM(K152:K152)</f>
        <v>0</v>
      </c>
      <c r="L151" s="172">
        <f>SUM(L152:L152)</f>
        <v>0</v>
      </c>
    </row>
    <row r="152" spans="2:14" s="107" customFormat="1" ht="15" customHeight="1" outlineLevel="1" collapsed="1" x14ac:dyDescent="0.25">
      <c r="B152" s="32" t="s">
        <v>145</v>
      </c>
      <c r="C152" s="19"/>
      <c r="D152" s="19"/>
      <c r="E152" s="19"/>
      <c r="F152" s="114"/>
      <c r="G152" s="191">
        <f>SUM(H152:L152)</f>
        <v>1</v>
      </c>
      <c r="H152" s="191"/>
      <c r="I152" s="191">
        <v>1</v>
      </c>
      <c r="J152" s="191"/>
      <c r="K152" s="191"/>
      <c r="L152" s="191"/>
    </row>
    <row r="153" spans="2:14" s="107" customFormat="1" ht="13.2" x14ac:dyDescent="0.25">
      <c r="B153" s="207"/>
      <c r="C153" s="119"/>
      <c r="D153" s="119"/>
      <c r="E153" s="119"/>
      <c r="F153" s="169"/>
      <c r="G153" s="169"/>
      <c r="H153" s="169"/>
      <c r="I153" s="169"/>
      <c r="J153" s="169"/>
      <c r="K153" s="169"/>
      <c r="L153" s="169"/>
    </row>
    <row r="156" spans="2:14" x14ac:dyDescent="0.3">
      <c r="B156" s="46" t="s">
        <v>282</v>
      </c>
      <c r="C156" s="47"/>
      <c r="D156" s="47"/>
      <c r="E156" s="3"/>
      <c r="F156" s="3"/>
      <c r="G156" s="3"/>
      <c r="H156" s="3"/>
      <c r="I156" s="3"/>
      <c r="J156" s="52"/>
      <c r="K156" s="3"/>
      <c r="L156" s="3"/>
      <c r="M156" s="3"/>
      <c r="N156" s="3"/>
    </row>
    <row r="157" spans="2:14" x14ac:dyDescent="0.3">
      <c r="B157" s="53"/>
      <c r="C157" s="47"/>
      <c r="D157" s="47"/>
      <c r="E157" s="47"/>
      <c r="F157" s="3"/>
      <c r="G157" s="3"/>
      <c r="H157" s="3"/>
      <c r="I157" s="3"/>
      <c r="J157" s="3"/>
      <c r="K157" s="52"/>
      <c r="L157" s="3"/>
      <c r="M157" s="3"/>
      <c r="N157" s="3"/>
    </row>
    <row r="158" spans="2:14" x14ac:dyDescent="0.3">
      <c r="B158" s="255" t="s">
        <v>48</v>
      </c>
      <c r="C158" s="256"/>
      <c r="D158" s="256"/>
      <c r="E158" s="257"/>
      <c r="F158" s="280" t="s">
        <v>292</v>
      </c>
      <c r="G158" s="284"/>
      <c r="H158" s="284"/>
      <c r="I158" s="284"/>
      <c r="J158" s="284"/>
      <c r="K158" s="284"/>
      <c r="L158" s="284"/>
      <c r="M158" s="284"/>
      <c r="N158" s="281"/>
    </row>
    <row r="159" spans="2:14" ht="21" customHeight="1" x14ac:dyDescent="0.3">
      <c r="B159" s="258"/>
      <c r="C159" s="275"/>
      <c r="D159" s="275"/>
      <c r="E159" s="276"/>
      <c r="F159" s="280" t="s">
        <v>285</v>
      </c>
      <c r="G159" s="284"/>
      <c r="H159" s="281"/>
      <c r="I159" s="280" t="s">
        <v>286</v>
      </c>
      <c r="J159" s="284"/>
      <c r="K159" s="281"/>
      <c r="L159" s="280" t="s">
        <v>280</v>
      </c>
      <c r="M159" s="284"/>
      <c r="N159" s="281"/>
    </row>
    <row r="160" spans="2:14" ht="34.200000000000003" customHeight="1" x14ac:dyDescent="0.3">
      <c r="B160" s="260"/>
      <c r="C160" s="261"/>
      <c r="D160" s="261"/>
      <c r="E160" s="277"/>
      <c r="F160" s="86" t="s">
        <v>283</v>
      </c>
      <c r="G160" s="179" t="s">
        <v>281</v>
      </c>
      <c r="H160" s="86" t="s">
        <v>284</v>
      </c>
      <c r="I160" s="86" t="s">
        <v>283</v>
      </c>
      <c r="J160" s="179" t="s">
        <v>281</v>
      </c>
      <c r="K160" s="86" t="s">
        <v>284</v>
      </c>
      <c r="L160" s="86" t="s">
        <v>283</v>
      </c>
      <c r="M160" s="139" t="s">
        <v>281</v>
      </c>
      <c r="N160" s="139" t="s">
        <v>284</v>
      </c>
    </row>
    <row r="161" spans="2:14" x14ac:dyDescent="0.3">
      <c r="B161" s="32"/>
      <c r="C161" s="33"/>
      <c r="D161" s="33"/>
      <c r="E161" s="34"/>
      <c r="F161" s="35"/>
      <c r="G161" s="3"/>
      <c r="H161" s="36"/>
      <c r="I161" s="64"/>
      <c r="J161" s="64"/>
      <c r="K161" s="64"/>
      <c r="L161" s="14"/>
      <c r="M161" s="44"/>
      <c r="N161" s="20"/>
    </row>
    <row r="162" spans="2:14" x14ac:dyDescent="0.3">
      <c r="B162" s="120" t="s">
        <v>51</v>
      </c>
      <c r="C162" s="121"/>
      <c r="D162" s="121"/>
      <c r="E162" s="122"/>
      <c r="F162" s="133">
        <f t="shared" ref="F162:N162" si="23">SUM(F164,F167,F171,F182,F195,F201,F227)</f>
        <v>47</v>
      </c>
      <c r="G162" s="123">
        <f t="shared" si="23"/>
        <v>0</v>
      </c>
      <c r="H162" s="133">
        <f t="shared" si="23"/>
        <v>4</v>
      </c>
      <c r="I162" s="133">
        <f t="shared" si="23"/>
        <v>25</v>
      </c>
      <c r="J162" s="133">
        <f t="shared" si="23"/>
        <v>19</v>
      </c>
      <c r="K162" s="133">
        <f t="shared" si="23"/>
        <v>7</v>
      </c>
      <c r="L162" s="133">
        <f t="shared" si="23"/>
        <v>50</v>
      </c>
      <c r="M162" s="133">
        <f t="shared" si="23"/>
        <v>1</v>
      </c>
      <c r="N162" s="133">
        <f t="shared" si="23"/>
        <v>0</v>
      </c>
    </row>
    <row r="163" spans="2:14" x14ac:dyDescent="0.3">
      <c r="B163" s="32" t="s">
        <v>47</v>
      </c>
      <c r="C163" s="33"/>
      <c r="D163" s="33"/>
      <c r="E163" s="34"/>
      <c r="F163" s="35"/>
      <c r="G163" s="3"/>
      <c r="H163" s="14"/>
      <c r="I163" s="65"/>
      <c r="J163" s="65"/>
      <c r="K163" s="65"/>
      <c r="L163" s="65"/>
      <c r="M163" s="65"/>
      <c r="N163" s="20"/>
    </row>
    <row r="164" spans="2:14" s="107" customFormat="1" ht="13.2" x14ac:dyDescent="0.25">
      <c r="B164" s="41" t="s">
        <v>52</v>
      </c>
      <c r="C164" s="42"/>
      <c r="D164" s="42"/>
      <c r="E164" s="34"/>
      <c r="F164" s="43">
        <f t="shared" ref="F164:N164" si="24">F165</f>
        <v>1</v>
      </c>
      <c r="G164" s="34">
        <f>G165</f>
        <v>0</v>
      </c>
      <c r="H164" s="43">
        <f t="shared" si="24"/>
        <v>0</v>
      </c>
      <c r="I164" s="43">
        <f t="shared" si="24"/>
        <v>1</v>
      </c>
      <c r="J164" s="43">
        <f t="shared" si="24"/>
        <v>0</v>
      </c>
      <c r="K164" s="43">
        <f t="shared" si="24"/>
        <v>0</v>
      </c>
      <c r="L164" s="43">
        <f t="shared" si="24"/>
        <v>1</v>
      </c>
      <c r="M164" s="43">
        <f t="shared" si="24"/>
        <v>0</v>
      </c>
      <c r="N164" s="43">
        <f t="shared" si="24"/>
        <v>0</v>
      </c>
    </row>
    <row r="165" spans="2:14" s="107" customFormat="1" ht="13.2" outlineLevel="1" x14ac:dyDescent="0.25">
      <c r="B165" s="32" t="s">
        <v>108</v>
      </c>
      <c r="C165" s="47"/>
      <c r="D165" s="47"/>
      <c r="E165" s="47"/>
      <c r="F165" s="191">
        <v>1</v>
      </c>
      <c r="G165" s="192"/>
      <c r="H165" s="191"/>
      <c r="I165" s="191">
        <v>1</v>
      </c>
      <c r="J165" s="191"/>
      <c r="K165" s="191"/>
      <c r="L165" s="191">
        <v>1</v>
      </c>
      <c r="M165" s="191"/>
      <c r="N165" s="191"/>
    </row>
    <row r="166" spans="2:14" s="107" customFormat="1" ht="13.2" x14ac:dyDescent="0.25">
      <c r="B166" s="32"/>
      <c r="C166" s="47"/>
      <c r="D166" s="47"/>
      <c r="E166" s="47"/>
      <c r="F166" s="20"/>
      <c r="G166" s="3"/>
      <c r="H166" s="20"/>
      <c r="I166" s="20"/>
      <c r="J166" s="44"/>
      <c r="K166" s="44"/>
      <c r="L166" s="44"/>
      <c r="M166" s="44"/>
      <c r="N166" s="44"/>
    </row>
    <row r="167" spans="2:14" s="107" customFormat="1" ht="13.2" x14ac:dyDescent="0.25">
      <c r="B167" s="41" t="s">
        <v>57</v>
      </c>
      <c r="C167" s="47"/>
      <c r="D167" s="47"/>
      <c r="E167" s="3"/>
      <c r="F167" s="43">
        <f t="shared" ref="F167:N167" si="25">SUM(F168:F169)</f>
        <v>2</v>
      </c>
      <c r="G167" s="34">
        <f t="shared" si="25"/>
        <v>0</v>
      </c>
      <c r="H167" s="43">
        <f t="shared" si="25"/>
        <v>0</v>
      </c>
      <c r="I167" s="43">
        <f t="shared" si="25"/>
        <v>1</v>
      </c>
      <c r="J167" s="43">
        <f t="shared" si="25"/>
        <v>1</v>
      </c>
      <c r="K167" s="43">
        <f t="shared" si="25"/>
        <v>0</v>
      </c>
      <c r="L167" s="43">
        <f t="shared" si="25"/>
        <v>2</v>
      </c>
      <c r="M167" s="43">
        <f t="shared" si="25"/>
        <v>0</v>
      </c>
      <c r="N167" s="43">
        <f t="shared" si="25"/>
        <v>0</v>
      </c>
    </row>
    <row r="168" spans="2:14" s="107" customFormat="1" ht="13.2" outlineLevel="1" x14ac:dyDescent="0.25">
      <c r="B168" s="32" t="s">
        <v>109</v>
      </c>
      <c r="C168" s="47"/>
      <c r="D168" s="47"/>
      <c r="E168" s="3"/>
      <c r="F168" s="194">
        <v>1</v>
      </c>
      <c r="G168" s="208"/>
      <c r="H168" s="194"/>
      <c r="I168" s="194"/>
      <c r="J168" s="194">
        <v>1</v>
      </c>
      <c r="K168" s="194"/>
      <c r="L168" s="194">
        <v>1</v>
      </c>
      <c r="M168" s="194"/>
      <c r="N168" s="194"/>
    </row>
    <row r="169" spans="2:14" s="107" customFormat="1" ht="13.2" outlineLevel="1" x14ac:dyDescent="0.25">
      <c r="B169" s="32" t="s">
        <v>110</v>
      </c>
      <c r="C169" s="47"/>
      <c r="D169" s="47"/>
      <c r="E169" s="3"/>
      <c r="F169" s="195">
        <v>1</v>
      </c>
      <c r="G169" s="209"/>
      <c r="H169" s="195"/>
      <c r="I169" s="195">
        <v>1</v>
      </c>
      <c r="J169" s="195"/>
      <c r="K169" s="195"/>
      <c r="L169" s="195">
        <v>1</v>
      </c>
      <c r="M169" s="195"/>
      <c r="N169" s="195"/>
    </row>
    <row r="170" spans="2:14" s="107" customFormat="1" ht="13.2" x14ac:dyDescent="0.25">
      <c r="B170" s="32"/>
      <c r="C170" s="47"/>
      <c r="D170" s="47"/>
      <c r="E170" s="3"/>
      <c r="F170" s="20"/>
      <c r="G170" s="3"/>
      <c r="H170" s="20"/>
      <c r="I170" s="44"/>
      <c r="J170" s="44"/>
      <c r="K170" s="44"/>
      <c r="L170" s="44"/>
      <c r="M170" s="44"/>
      <c r="N170" s="44"/>
    </row>
    <row r="171" spans="2:14" s="107" customFormat="1" ht="13.2" x14ac:dyDescent="0.25">
      <c r="B171" s="41" t="s">
        <v>60</v>
      </c>
      <c r="C171" s="19"/>
      <c r="D171" s="19"/>
      <c r="E171" s="19"/>
      <c r="F171" s="172">
        <f t="shared" ref="F171:N171" si="26">SUM(F172:F180)</f>
        <v>8</v>
      </c>
      <c r="G171" s="231">
        <f t="shared" si="26"/>
        <v>0</v>
      </c>
      <c r="H171" s="172">
        <f t="shared" si="26"/>
        <v>1</v>
      </c>
      <c r="I171" s="172">
        <f t="shared" si="26"/>
        <v>4</v>
      </c>
      <c r="J171" s="172">
        <f t="shared" si="26"/>
        <v>5</v>
      </c>
      <c r="K171" s="172">
        <f t="shared" si="26"/>
        <v>0</v>
      </c>
      <c r="L171" s="172">
        <f t="shared" si="26"/>
        <v>8</v>
      </c>
      <c r="M171" s="172">
        <f t="shared" si="26"/>
        <v>1</v>
      </c>
      <c r="N171" s="172">
        <f t="shared" si="26"/>
        <v>0</v>
      </c>
    </row>
    <row r="172" spans="2:14" s="107" customFormat="1" ht="13.2" outlineLevel="1" x14ac:dyDescent="0.25">
      <c r="B172" s="32" t="s">
        <v>111</v>
      </c>
      <c r="C172" s="19"/>
      <c r="D172" s="19"/>
      <c r="E172" s="19"/>
      <c r="F172" s="194"/>
      <c r="G172" s="208"/>
      <c r="H172" s="194">
        <v>1</v>
      </c>
      <c r="I172" s="194"/>
      <c r="J172" s="194">
        <v>1</v>
      </c>
      <c r="K172" s="194"/>
      <c r="L172" s="194">
        <v>1</v>
      </c>
      <c r="M172" s="194"/>
      <c r="N172" s="194"/>
    </row>
    <row r="173" spans="2:14" s="107" customFormat="1" ht="13.2" outlineLevel="1" x14ac:dyDescent="0.25">
      <c r="B173" s="32" t="s">
        <v>112</v>
      </c>
      <c r="C173" s="19"/>
      <c r="D173" s="19"/>
      <c r="E173" s="19"/>
      <c r="F173" s="124">
        <v>1</v>
      </c>
      <c r="G173" s="45"/>
      <c r="H173" s="124"/>
      <c r="I173" s="124">
        <v>1</v>
      </c>
      <c r="J173" s="124"/>
      <c r="K173" s="124"/>
      <c r="L173" s="124">
        <v>1</v>
      </c>
      <c r="M173" s="124"/>
      <c r="N173" s="124"/>
    </row>
    <row r="174" spans="2:14" s="107" customFormat="1" ht="13.2" outlineLevel="1" x14ac:dyDescent="0.25">
      <c r="B174" s="32" t="s">
        <v>113</v>
      </c>
      <c r="C174" s="19"/>
      <c r="D174" s="19"/>
      <c r="E174" s="19"/>
      <c r="F174" s="124">
        <v>1</v>
      </c>
      <c r="G174" s="45"/>
      <c r="H174" s="124"/>
      <c r="I174" s="124"/>
      <c r="J174" s="124">
        <v>1</v>
      </c>
      <c r="K174" s="124"/>
      <c r="L174" s="124">
        <v>1</v>
      </c>
      <c r="M174" s="124"/>
      <c r="N174" s="124"/>
    </row>
    <row r="175" spans="2:14" s="107" customFormat="1" ht="13.2" outlineLevel="1" x14ac:dyDescent="0.25">
      <c r="B175" s="32" t="s">
        <v>114</v>
      </c>
      <c r="C175" s="19"/>
      <c r="D175" s="19"/>
      <c r="E175" s="19"/>
      <c r="F175" s="124">
        <v>1</v>
      </c>
      <c r="G175" s="45"/>
      <c r="H175" s="124"/>
      <c r="I175" s="124"/>
      <c r="J175" s="124">
        <v>1</v>
      </c>
      <c r="K175" s="124"/>
      <c r="L175" s="124"/>
      <c r="M175" s="124">
        <v>1</v>
      </c>
      <c r="N175" s="124"/>
    </row>
    <row r="176" spans="2:14" s="107" customFormat="1" ht="13.2" outlineLevel="1" x14ac:dyDescent="0.25">
      <c r="B176" s="32" t="s">
        <v>115</v>
      </c>
      <c r="C176" s="19"/>
      <c r="D176" s="19"/>
      <c r="E176" s="19"/>
      <c r="F176" s="124">
        <v>1</v>
      </c>
      <c r="G176" s="45"/>
      <c r="H176" s="124"/>
      <c r="I176" s="124"/>
      <c r="J176" s="124">
        <v>1</v>
      </c>
      <c r="K176" s="124"/>
      <c r="L176" s="124">
        <v>1</v>
      </c>
      <c r="M176" s="124"/>
      <c r="N176" s="124"/>
    </row>
    <row r="177" spans="2:14" s="107" customFormat="1" ht="13.2" outlineLevel="1" x14ac:dyDescent="0.25">
      <c r="B177" s="32" t="s">
        <v>116</v>
      </c>
      <c r="C177" s="19"/>
      <c r="D177" s="19"/>
      <c r="E177" s="19"/>
      <c r="F177" s="124">
        <v>1</v>
      </c>
      <c r="G177" s="45"/>
      <c r="H177" s="124"/>
      <c r="I177" s="124">
        <v>1</v>
      </c>
      <c r="J177" s="124"/>
      <c r="K177" s="124"/>
      <c r="L177" s="124">
        <v>1</v>
      </c>
      <c r="M177" s="124"/>
      <c r="N177" s="124"/>
    </row>
    <row r="178" spans="2:14" s="107" customFormat="1" ht="13.2" outlineLevel="1" x14ac:dyDescent="0.25">
      <c r="B178" s="32" t="s">
        <v>117</v>
      </c>
      <c r="C178" s="19"/>
      <c r="D178" s="19"/>
      <c r="E178" s="19"/>
      <c r="F178" s="124">
        <v>1</v>
      </c>
      <c r="G178" s="45"/>
      <c r="H178" s="124"/>
      <c r="I178" s="124"/>
      <c r="J178" s="124">
        <v>1</v>
      </c>
      <c r="K178" s="124"/>
      <c r="L178" s="124">
        <v>1</v>
      </c>
      <c r="M178" s="124"/>
      <c r="N178" s="124"/>
    </row>
    <row r="179" spans="2:14" s="107" customFormat="1" ht="13.2" outlineLevel="1" x14ac:dyDescent="0.25">
      <c r="B179" s="32" t="s">
        <v>118</v>
      </c>
      <c r="C179" s="19"/>
      <c r="D179" s="19"/>
      <c r="E179" s="19"/>
      <c r="F179" s="124">
        <v>1</v>
      </c>
      <c r="G179" s="45"/>
      <c r="H179" s="124"/>
      <c r="I179" s="124">
        <v>1</v>
      </c>
      <c r="J179" s="124"/>
      <c r="K179" s="124"/>
      <c r="L179" s="124">
        <v>1</v>
      </c>
      <c r="M179" s="124"/>
      <c r="N179" s="124"/>
    </row>
    <row r="180" spans="2:14" s="107" customFormat="1" ht="13.2" outlineLevel="1" x14ac:dyDescent="0.25">
      <c r="B180" s="32" t="s">
        <v>119</v>
      </c>
      <c r="C180" s="19"/>
      <c r="D180" s="19"/>
      <c r="E180" s="19"/>
      <c r="F180" s="195">
        <v>1</v>
      </c>
      <c r="G180" s="209"/>
      <c r="H180" s="195"/>
      <c r="I180" s="195">
        <v>1</v>
      </c>
      <c r="J180" s="195"/>
      <c r="K180" s="195"/>
      <c r="L180" s="195">
        <v>1</v>
      </c>
      <c r="M180" s="195"/>
      <c r="N180" s="195"/>
    </row>
    <row r="181" spans="2:14" s="107" customFormat="1" ht="13.2" x14ac:dyDescent="0.25">
      <c r="B181" s="32"/>
      <c r="C181" s="33"/>
      <c r="D181" s="33"/>
      <c r="E181" s="33"/>
      <c r="F181" s="44"/>
      <c r="G181" s="33"/>
      <c r="H181" s="44"/>
      <c r="I181" s="44"/>
      <c r="J181" s="44"/>
      <c r="K181" s="44"/>
      <c r="L181" s="44"/>
      <c r="M181" s="44"/>
      <c r="N181" s="44"/>
    </row>
    <row r="182" spans="2:14" s="107" customFormat="1" ht="13.2" x14ac:dyDescent="0.25">
      <c r="B182" s="41" t="s">
        <v>40</v>
      </c>
      <c r="C182" s="19"/>
      <c r="D182" s="19"/>
      <c r="E182" s="19"/>
      <c r="F182" s="172">
        <f t="shared" ref="F182:N182" si="27">SUM(F183:F193)</f>
        <v>9</v>
      </c>
      <c r="G182" s="231">
        <f t="shared" si="27"/>
        <v>0</v>
      </c>
      <c r="H182" s="172">
        <f t="shared" si="27"/>
        <v>1</v>
      </c>
      <c r="I182" s="172">
        <f t="shared" si="27"/>
        <v>2</v>
      </c>
      <c r="J182" s="172">
        <f t="shared" si="27"/>
        <v>4</v>
      </c>
      <c r="K182" s="172">
        <f t="shared" si="27"/>
        <v>4</v>
      </c>
      <c r="L182" s="172">
        <f t="shared" si="27"/>
        <v>10</v>
      </c>
      <c r="M182" s="172">
        <f t="shared" si="27"/>
        <v>0</v>
      </c>
      <c r="N182" s="172">
        <f t="shared" si="27"/>
        <v>0</v>
      </c>
    </row>
    <row r="183" spans="2:14" s="107" customFormat="1" ht="13.2" outlineLevel="1" x14ac:dyDescent="0.25">
      <c r="B183" s="32" t="s">
        <v>120</v>
      </c>
      <c r="C183" s="19"/>
      <c r="D183" s="19"/>
      <c r="E183" s="19"/>
      <c r="F183" s="194">
        <v>1</v>
      </c>
      <c r="G183" s="208"/>
      <c r="H183" s="194"/>
      <c r="I183" s="194">
        <v>1</v>
      </c>
      <c r="J183" s="194"/>
      <c r="K183" s="194"/>
      <c r="L183" s="194">
        <v>1</v>
      </c>
      <c r="M183" s="194"/>
      <c r="N183" s="194"/>
    </row>
    <row r="184" spans="2:14" s="107" customFormat="1" ht="13.2" outlineLevel="1" x14ac:dyDescent="0.25">
      <c r="B184" s="32" t="s">
        <v>121</v>
      </c>
      <c r="C184" s="19"/>
      <c r="D184" s="19"/>
      <c r="E184" s="19"/>
      <c r="F184" s="124"/>
      <c r="G184" s="45"/>
      <c r="H184" s="124"/>
      <c r="I184" s="124"/>
      <c r="J184" s="124"/>
      <c r="K184" s="124"/>
      <c r="L184" s="124"/>
      <c r="M184" s="124"/>
      <c r="N184" s="124"/>
    </row>
    <row r="185" spans="2:14" s="107" customFormat="1" ht="13.2" outlineLevel="1" x14ac:dyDescent="0.25">
      <c r="B185" s="32" t="s">
        <v>122</v>
      </c>
      <c r="C185" s="19"/>
      <c r="D185" s="19"/>
      <c r="E185" s="19"/>
      <c r="F185" s="124">
        <v>1</v>
      </c>
      <c r="G185" s="45"/>
      <c r="H185" s="124"/>
      <c r="I185" s="124"/>
      <c r="J185" s="124"/>
      <c r="K185" s="124">
        <v>1</v>
      </c>
      <c r="L185" s="124">
        <v>1</v>
      </c>
      <c r="M185" s="124"/>
      <c r="N185" s="124"/>
    </row>
    <row r="186" spans="2:14" s="107" customFormat="1" ht="13.2" outlineLevel="1" x14ac:dyDescent="0.25">
      <c r="B186" s="32" t="s">
        <v>123</v>
      </c>
      <c r="C186" s="19"/>
      <c r="D186" s="19"/>
      <c r="E186" s="19"/>
      <c r="F186" s="124">
        <v>1</v>
      </c>
      <c r="G186" s="45"/>
      <c r="H186" s="124"/>
      <c r="I186" s="124"/>
      <c r="J186" s="124">
        <v>1</v>
      </c>
      <c r="K186" s="124"/>
      <c r="L186" s="124">
        <v>1</v>
      </c>
      <c r="M186" s="124"/>
      <c r="N186" s="124"/>
    </row>
    <row r="187" spans="2:14" s="107" customFormat="1" ht="13.2" outlineLevel="1" x14ac:dyDescent="0.25">
      <c r="B187" s="32" t="s">
        <v>124</v>
      </c>
      <c r="C187" s="19"/>
      <c r="D187" s="19"/>
      <c r="E187" s="19"/>
      <c r="F187" s="124"/>
      <c r="G187" s="45"/>
      <c r="H187" s="124">
        <v>1</v>
      </c>
      <c r="I187" s="124"/>
      <c r="J187" s="124">
        <v>1</v>
      </c>
      <c r="K187" s="124"/>
      <c r="L187" s="124">
        <v>1</v>
      </c>
      <c r="M187" s="124"/>
      <c r="N187" s="124"/>
    </row>
    <row r="188" spans="2:14" s="107" customFormat="1" ht="13.2" outlineLevel="1" x14ac:dyDescent="0.25">
      <c r="B188" s="32" t="s">
        <v>125</v>
      </c>
      <c r="C188" s="19"/>
      <c r="D188" s="19"/>
      <c r="E188" s="19"/>
      <c r="F188" s="124">
        <v>1</v>
      </c>
      <c r="G188" s="45"/>
      <c r="H188" s="124"/>
      <c r="I188" s="124"/>
      <c r="J188" s="124"/>
      <c r="K188" s="124">
        <v>1</v>
      </c>
      <c r="L188" s="124">
        <v>1</v>
      </c>
      <c r="M188" s="124"/>
      <c r="N188" s="124"/>
    </row>
    <row r="189" spans="2:14" s="107" customFormat="1" ht="13.2" outlineLevel="1" x14ac:dyDescent="0.25">
      <c r="B189" s="32" t="s">
        <v>126</v>
      </c>
      <c r="C189" s="19"/>
      <c r="D189" s="19"/>
      <c r="E189" s="19"/>
      <c r="F189" s="124">
        <v>1</v>
      </c>
      <c r="G189" s="45"/>
      <c r="H189" s="124"/>
      <c r="I189" s="124">
        <v>1</v>
      </c>
      <c r="J189" s="124"/>
      <c r="K189" s="124"/>
      <c r="L189" s="124">
        <v>1</v>
      </c>
      <c r="M189" s="124"/>
      <c r="N189" s="124"/>
    </row>
    <row r="190" spans="2:14" s="107" customFormat="1" ht="13.2" outlineLevel="1" x14ac:dyDescent="0.25">
      <c r="B190" s="32" t="s">
        <v>127</v>
      </c>
      <c r="C190" s="19"/>
      <c r="D190" s="19"/>
      <c r="E190" s="19"/>
      <c r="F190" s="124">
        <v>1</v>
      </c>
      <c r="G190" s="45"/>
      <c r="H190" s="124"/>
      <c r="I190" s="124"/>
      <c r="J190" s="124">
        <v>1</v>
      </c>
      <c r="K190" s="124"/>
      <c r="L190" s="124">
        <v>1</v>
      </c>
      <c r="M190" s="124"/>
      <c r="N190" s="124"/>
    </row>
    <row r="191" spans="2:14" s="107" customFormat="1" ht="13.2" outlineLevel="1" x14ac:dyDescent="0.25">
      <c r="B191" s="32" t="s">
        <v>128</v>
      </c>
      <c r="C191" s="19"/>
      <c r="D191" s="19"/>
      <c r="E191" s="19"/>
      <c r="F191" s="124">
        <v>1</v>
      </c>
      <c r="G191" s="45"/>
      <c r="H191" s="124"/>
      <c r="I191" s="124"/>
      <c r="J191" s="124"/>
      <c r="K191" s="124">
        <v>1</v>
      </c>
      <c r="L191" s="124">
        <v>1</v>
      </c>
      <c r="M191" s="124"/>
      <c r="N191" s="124"/>
    </row>
    <row r="192" spans="2:14" s="107" customFormat="1" ht="13.2" outlineLevel="1" x14ac:dyDescent="0.25">
      <c r="B192" s="32" t="s">
        <v>129</v>
      </c>
      <c r="C192" s="19"/>
      <c r="D192" s="19"/>
      <c r="E192" s="19"/>
      <c r="F192" s="124">
        <v>1</v>
      </c>
      <c r="G192" s="45"/>
      <c r="H192" s="124"/>
      <c r="I192" s="124"/>
      <c r="J192" s="124">
        <v>1</v>
      </c>
      <c r="K192" s="124"/>
      <c r="L192" s="124">
        <v>1</v>
      </c>
      <c r="M192" s="124"/>
      <c r="N192" s="124"/>
    </row>
    <row r="193" spans="2:14" s="107" customFormat="1" ht="13.2" outlineLevel="1" x14ac:dyDescent="0.25">
      <c r="B193" s="32" t="s">
        <v>130</v>
      </c>
      <c r="C193" s="19"/>
      <c r="D193" s="19"/>
      <c r="E193" s="19"/>
      <c r="F193" s="195">
        <v>1</v>
      </c>
      <c r="G193" s="209"/>
      <c r="H193" s="195"/>
      <c r="I193" s="195"/>
      <c r="J193" s="195"/>
      <c r="K193" s="195">
        <v>1</v>
      </c>
      <c r="L193" s="195">
        <v>1</v>
      </c>
      <c r="M193" s="195"/>
      <c r="N193" s="195"/>
    </row>
    <row r="194" spans="2:14" s="107" customFormat="1" ht="13.2" x14ac:dyDescent="0.25">
      <c r="B194" s="32"/>
      <c r="C194" s="33"/>
      <c r="D194" s="33"/>
      <c r="E194" s="33"/>
      <c r="F194" s="44"/>
      <c r="G194" s="33"/>
      <c r="H194" s="44"/>
      <c r="I194" s="44"/>
      <c r="J194" s="44"/>
      <c r="K194" s="44"/>
      <c r="L194" s="44"/>
      <c r="M194" s="44"/>
      <c r="N194" s="44"/>
    </row>
    <row r="195" spans="2:14" s="107" customFormat="1" ht="13.2" x14ac:dyDescent="0.25">
      <c r="B195" s="41" t="s">
        <v>80</v>
      </c>
      <c r="C195" s="19"/>
      <c r="D195" s="19"/>
      <c r="E195" s="19"/>
      <c r="F195" s="172">
        <f t="shared" ref="F195:N195" si="28">SUM(F196:F199)</f>
        <v>3</v>
      </c>
      <c r="G195" s="231">
        <f t="shared" si="28"/>
        <v>0</v>
      </c>
      <c r="H195" s="172">
        <f t="shared" si="28"/>
        <v>1</v>
      </c>
      <c r="I195" s="172">
        <f t="shared" si="28"/>
        <v>3</v>
      </c>
      <c r="J195" s="172">
        <f t="shared" si="28"/>
        <v>0</v>
      </c>
      <c r="K195" s="172">
        <f t="shared" si="28"/>
        <v>1</v>
      </c>
      <c r="L195" s="172">
        <f t="shared" si="28"/>
        <v>4</v>
      </c>
      <c r="M195" s="172">
        <f t="shared" si="28"/>
        <v>0</v>
      </c>
      <c r="N195" s="172">
        <f t="shared" si="28"/>
        <v>0</v>
      </c>
    </row>
    <row r="196" spans="2:14" s="107" customFormat="1" ht="13.2" outlineLevel="1" x14ac:dyDescent="0.25">
      <c r="B196" s="32" t="s">
        <v>131</v>
      </c>
      <c r="C196" s="19"/>
      <c r="D196" s="19"/>
      <c r="E196" s="19"/>
      <c r="F196" s="194">
        <v>1</v>
      </c>
      <c r="G196" s="208"/>
      <c r="H196" s="194"/>
      <c r="I196" s="194">
        <v>1</v>
      </c>
      <c r="J196" s="194"/>
      <c r="K196" s="194"/>
      <c r="L196" s="194">
        <v>1</v>
      </c>
      <c r="M196" s="194"/>
      <c r="N196" s="194"/>
    </row>
    <row r="197" spans="2:14" s="107" customFormat="1" ht="13.2" outlineLevel="1" x14ac:dyDescent="0.25">
      <c r="B197" s="32" t="s">
        <v>132</v>
      </c>
      <c r="C197" s="19"/>
      <c r="D197" s="19"/>
      <c r="E197" s="19"/>
      <c r="F197" s="124"/>
      <c r="G197" s="45"/>
      <c r="H197" s="124">
        <v>1</v>
      </c>
      <c r="I197" s="124"/>
      <c r="J197" s="124"/>
      <c r="K197" s="124">
        <v>1</v>
      </c>
      <c r="L197" s="124">
        <v>1</v>
      </c>
      <c r="M197" s="124"/>
      <c r="N197" s="124"/>
    </row>
    <row r="198" spans="2:14" s="107" customFormat="1" ht="13.2" outlineLevel="1" x14ac:dyDescent="0.25">
      <c r="B198" s="32" t="s">
        <v>133</v>
      </c>
      <c r="C198" s="19"/>
      <c r="D198" s="19"/>
      <c r="E198" s="19"/>
      <c r="F198" s="124">
        <v>1</v>
      </c>
      <c r="G198" s="45"/>
      <c r="H198" s="124"/>
      <c r="I198" s="124">
        <v>1</v>
      </c>
      <c r="J198" s="124"/>
      <c r="K198" s="124"/>
      <c r="L198" s="124">
        <v>1</v>
      </c>
      <c r="M198" s="124"/>
      <c r="N198" s="124"/>
    </row>
    <row r="199" spans="2:14" s="107" customFormat="1" ht="13.2" outlineLevel="1" x14ac:dyDescent="0.25">
      <c r="B199" s="32" t="s">
        <v>134</v>
      </c>
      <c r="C199" s="19"/>
      <c r="D199" s="19"/>
      <c r="E199" s="19"/>
      <c r="F199" s="195">
        <v>1</v>
      </c>
      <c r="G199" s="209"/>
      <c r="H199" s="195"/>
      <c r="I199" s="195">
        <v>1</v>
      </c>
      <c r="J199" s="195"/>
      <c r="K199" s="195"/>
      <c r="L199" s="195">
        <v>1</v>
      </c>
      <c r="M199" s="195"/>
      <c r="N199" s="195"/>
    </row>
    <row r="200" spans="2:14" s="107" customFormat="1" ht="13.2" x14ac:dyDescent="0.25">
      <c r="B200" s="32"/>
      <c r="C200" s="33"/>
      <c r="D200" s="33"/>
      <c r="E200" s="33"/>
      <c r="F200" s="44"/>
      <c r="G200" s="33"/>
      <c r="H200" s="44"/>
      <c r="I200" s="44"/>
      <c r="J200" s="44"/>
      <c r="K200" s="44"/>
      <c r="L200" s="44"/>
      <c r="M200" s="44"/>
      <c r="N200" s="44"/>
    </row>
    <row r="201" spans="2:14" s="107" customFormat="1" ht="13.2" x14ac:dyDescent="0.25">
      <c r="B201" s="41" t="s">
        <v>85</v>
      </c>
      <c r="C201" s="19"/>
      <c r="D201" s="19"/>
      <c r="E201" s="19"/>
      <c r="F201" s="172">
        <f t="shared" ref="F201:N201" si="29">SUM(F202:F225)</f>
        <v>23</v>
      </c>
      <c r="G201" s="231">
        <f t="shared" si="29"/>
        <v>0</v>
      </c>
      <c r="H201" s="172">
        <f t="shared" si="29"/>
        <v>1</v>
      </c>
      <c r="I201" s="172">
        <f t="shared" si="29"/>
        <v>13</v>
      </c>
      <c r="J201" s="172">
        <f t="shared" si="29"/>
        <v>9</v>
      </c>
      <c r="K201" s="172">
        <f t="shared" si="29"/>
        <v>2</v>
      </c>
      <c r="L201" s="172">
        <f t="shared" si="29"/>
        <v>24</v>
      </c>
      <c r="M201" s="172">
        <f t="shared" si="29"/>
        <v>0</v>
      </c>
      <c r="N201" s="172">
        <f t="shared" si="29"/>
        <v>0</v>
      </c>
    </row>
    <row r="202" spans="2:14" s="107" customFormat="1" ht="13.2" outlineLevel="1" x14ac:dyDescent="0.25">
      <c r="B202" s="32" t="s">
        <v>135</v>
      </c>
      <c r="C202" s="19"/>
      <c r="D202" s="19"/>
      <c r="E202" s="19"/>
      <c r="F202" s="194">
        <v>1</v>
      </c>
      <c r="G202" s="208"/>
      <c r="H202" s="194"/>
      <c r="I202" s="194"/>
      <c r="J202" s="194">
        <v>1</v>
      </c>
      <c r="K202" s="194"/>
      <c r="L202" s="194">
        <v>1</v>
      </c>
      <c r="M202" s="194"/>
      <c r="N202" s="194"/>
    </row>
    <row r="203" spans="2:14" s="107" customFormat="1" ht="13.2" outlineLevel="1" x14ac:dyDescent="0.25">
      <c r="B203" s="32" t="s">
        <v>136</v>
      </c>
      <c r="C203" s="19"/>
      <c r="D203" s="19"/>
      <c r="E203" s="19"/>
      <c r="F203" s="124">
        <v>1</v>
      </c>
      <c r="G203" s="45"/>
      <c r="H203" s="124"/>
      <c r="I203" s="124"/>
      <c r="J203" s="124">
        <v>1</v>
      </c>
      <c r="K203" s="124"/>
      <c r="L203" s="124">
        <v>1</v>
      </c>
      <c r="M203" s="124"/>
      <c r="N203" s="124"/>
    </row>
    <row r="204" spans="2:14" s="107" customFormat="1" ht="13.2" outlineLevel="1" x14ac:dyDescent="0.25">
      <c r="B204" s="32" t="s">
        <v>137</v>
      </c>
      <c r="C204" s="19"/>
      <c r="D204" s="19"/>
      <c r="E204" s="19"/>
      <c r="F204" s="124">
        <v>1</v>
      </c>
      <c r="G204" s="45"/>
      <c r="H204" s="124"/>
      <c r="I204" s="124">
        <v>1</v>
      </c>
      <c r="J204" s="124"/>
      <c r="K204" s="124"/>
      <c r="L204" s="124">
        <v>1</v>
      </c>
      <c r="M204" s="124"/>
      <c r="N204" s="124"/>
    </row>
    <row r="205" spans="2:14" s="107" customFormat="1" ht="13.2" outlineLevel="1" x14ac:dyDescent="0.25">
      <c r="B205" s="32" t="s">
        <v>138</v>
      </c>
      <c r="C205" s="19"/>
      <c r="D205" s="19"/>
      <c r="E205" s="19"/>
      <c r="F205" s="124">
        <v>1</v>
      </c>
      <c r="G205" s="45"/>
      <c r="H205" s="124"/>
      <c r="I205" s="124"/>
      <c r="J205" s="124">
        <v>1</v>
      </c>
      <c r="K205" s="124"/>
      <c r="L205" s="124">
        <v>1</v>
      </c>
      <c r="M205" s="124"/>
      <c r="N205" s="124"/>
    </row>
    <row r="206" spans="2:14" s="107" customFormat="1" ht="13.2" outlineLevel="1" x14ac:dyDescent="0.25">
      <c r="B206" s="32" t="s">
        <v>139</v>
      </c>
      <c r="C206" s="19"/>
      <c r="D206" s="19"/>
      <c r="E206" s="19"/>
      <c r="F206" s="124">
        <v>1</v>
      </c>
      <c r="G206" s="45"/>
      <c r="H206" s="124"/>
      <c r="I206" s="124"/>
      <c r="J206" s="124">
        <v>1</v>
      </c>
      <c r="K206" s="124"/>
      <c r="L206" s="124">
        <v>1</v>
      </c>
      <c r="M206" s="124"/>
      <c r="N206" s="124"/>
    </row>
    <row r="207" spans="2:14" s="107" customFormat="1" ht="13.2" outlineLevel="1" x14ac:dyDescent="0.25">
      <c r="B207" s="32" t="s">
        <v>140</v>
      </c>
      <c r="C207" s="19"/>
      <c r="D207" s="19"/>
      <c r="E207" s="19"/>
      <c r="F207" s="124">
        <v>1</v>
      </c>
      <c r="G207" s="45"/>
      <c r="H207" s="124"/>
      <c r="I207" s="124">
        <v>1</v>
      </c>
      <c r="J207" s="124"/>
      <c r="K207" s="124"/>
      <c r="L207" s="124">
        <v>1</v>
      </c>
      <c r="M207" s="124"/>
      <c r="N207" s="124"/>
    </row>
    <row r="208" spans="2:14" s="107" customFormat="1" ht="13.2" outlineLevel="1" x14ac:dyDescent="0.25">
      <c r="B208" s="32" t="s">
        <v>141</v>
      </c>
      <c r="C208" s="19"/>
      <c r="D208" s="19"/>
      <c r="E208" s="19"/>
      <c r="F208" s="124">
        <v>1</v>
      </c>
      <c r="G208" s="45"/>
      <c r="H208" s="124"/>
      <c r="I208" s="124"/>
      <c r="J208" s="124"/>
      <c r="K208" s="124">
        <v>1</v>
      </c>
      <c r="L208" s="124">
        <v>1</v>
      </c>
      <c r="M208" s="124"/>
      <c r="N208" s="124"/>
    </row>
    <row r="209" spans="2:14" s="107" customFormat="1" ht="13.2" outlineLevel="1" x14ac:dyDescent="0.25">
      <c r="B209" s="32" t="s">
        <v>142</v>
      </c>
      <c r="C209" s="19"/>
      <c r="D209" s="19"/>
      <c r="E209" s="19"/>
      <c r="F209" s="124">
        <v>1</v>
      </c>
      <c r="G209" s="45"/>
      <c r="H209" s="124"/>
      <c r="I209" s="124">
        <v>1</v>
      </c>
      <c r="J209" s="124"/>
      <c r="K209" s="124"/>
      <c r="L209" s="124">
        <v>1</v>
      </c>
      <c r="M209" s="124"/>
      <c r="N209" s="124"/>
    </row>
    <row r="210" spans="2:14" s="107" customFormat="1" ht="13.2" outlineLevel="1" x14ac:dyDescent="0.25">
      <c r="B210" s="32" t="s">
        <v>143</v>
      </c>
      <c r="C210" s="19"/>
      <c r="D210" s="19"/>
      <c r="E210" s="19"/>
      <c r="F210" s="124">
        <v>1</v>
      </c>
      <c r="G210" s="45"/>
      <c r="H210" s="124"/>
      <c r="I210" s="124">
        <v>1</v>
      </c>
      <c r="J210" s="124"/>
      <c r="K210" s="124"/>
      <c r="L210" s="124">
        <v>1</v>
      </c>
      <c r="M210" s="124"/>
      <c r="N210" s="124"/>
    </row>
    <row r="211" spans="2:14" s="107" customFormat="1" ht="13.2" outlineLevel="1" x14ac:dyDescent="0.25">
      <c r="B211" s="32" t="s">
        <v>144</v>
      </c>
      <c r="C211" s="19"/>
      <c r="D211" s="19"/>
      <c r="E211" s="19"/>
      <c r="F211" s="124">
        <v>1</v>
      </c>
      <c r="G211" s="45"/>
      <c r="H211" s="124"/>
      <c r="I211" s="124">
        <v>1</v>
      </c>
      <c r="J211" s="124"/>
      <c r="K211" s="124"/>
      <c r="L211" s="124">
        <v>1</v>
      </c>
      <c r="M211" s="124"/>
      <c r="N211" s="124"/>
    </row>
    <row r="212" spans="2:14" s="107" customFormat="1" ht="13.2" outlineLevel="1" x14ac:dyDescent="0.25">
      <c r="B212" s="32" t="s">
        <v>145</v>
      </c>
      <c r="C212" s="19"/>
      <c r="D212" s="19"/>
      <c r="E212" s="19"/>
      <c r="F212" s="124"/>
      <c r="G212" s="45"/>
      <c r="H212" s="124">
        <v>1</v>
      </c>
      <c r="I212" s="124"/>
      <c r="J212" s="124">
        <v>1</v>
      </c>
      <c r="K212" s="124"/>
      <c r="L212" s="124">
        <v>1</v>
      </c>
      <c r="M212" s="124"/>
      <c r="N212" s="124"/>
    </row>
    <row r="213" spans="2:14" s="107" customFormat="1" ht="13.2" outlineLevel="1" x14ac:dyDescent="0.25">
      <c r="B213" s="32" t="s">
        <v>146</v>
      </c>
      <c r="C213" s="19"/>
      <c r="D213" s="19"/>
      <c r="E213" s="19"/>
      <c r="F213" s="124">
        <v>1</v>
      </c>
      <c r="G213" s="45"/>
      <c r="H213" s="124"/>
      <c r="I213" s="124">
        <v>1</v>
      </c>
      <c r="J213" s="124"/>
      <c r="K213" s="124"/>
      <c r="L213" s="124">
        <v>1</v>
      </c>
      <c r="M213" s="124"/>
      <c r="N213" s="124"/>
    </row>
    <row r="214" spans="2:14" s="107" customFormat="1" ht="13.2" outlineLevel="1" x14ac:dyDescent="0.25">
      <c r="B214" s="32" t="s">
        <v>147</v>
      </c>
      <c r="C214" s="19"/>
      <c r="D214" s="19"/>
      <c r="E214" s="19"/>
      <c r="F214" s="124">
        <v>1</v>
      </c>
      <c r="G214" s="45"/>
      <c r="H214" s="124"/>
      <c r="I214" s="124"/>
      <c r="J214" s="124"/>
      <c r="K214" s="124">
        <v>1</v>
      </c>
      <c r="L214" s="124">
        <v>1</v>
      </c>
      <c r="M214" s="124"/>
      <c r="N214" s="124"/>
    </row>
    <row r="215" spans="2:14" s="107" customFormat="1" ht="13.2" outlineLevel="1" x14ac:dyDescent="0.25">
      <c r="B215" s="32" t="s">
        <v>148</v>
      </c>
      <c r="C215" s="19"/>
      <c r="D215" s="19"/>
      <c r="E215" s="19"/>
      <c r="F215" s="124">
        <v>1</v>
      </c>
      <c r="G215" s="45"/>
      <c r="H215" s="124"/>
      <c r="I215" s="124">
        <v>1</v>
      </c>
      <c r="J215" s="124"/>
      <c r="K215" s="124"/>
      <c r="L215" s="124">
        <v>1</v>
      </c>
      <c r="M215" s="124"/>
      <c r="N215" s="124"/>
    </row>
    <row r="216" spans="2:14" s="107" customFormat="1" ht="13.2" outlineLevel="1" x14ac:dyDescent="0.25">
      <c r="B216" s="32" t="s">
        <v>149</v>
      </c>
      <c r="C216" s="19"/>
      <c r="D216" s="19"/>
      <c r="E216" s="19"/>
      <c r="F216" s="124">
        <v>1</v>
      </c>
      <c r="G216" s="45"/>
      <c r="H216" s="124"/>
      <c r="I216" s="124"/>
      <c r="J216" s="124">
        <v>1</v>
      </c>
      <c r="K216" s="124"/>
      <c r="L216" s="124">
        <v>1</v>
      </c>
      <c r="M216" s="124"/>
      <c r="N216" s="124"/>
    </row>
    <row r="217" spans="2:14" s="107" customFormat="1" ht="13.2" outlineLevel="1" x14ac:dyDescent="0.25">
      <c r="B217" s="32" t="s">
        <v>150</v>
      </c>
      <c r="C217" s="19"/>
      <c r="D217" s="19"/>
      <c r="E217" s="19"/>
      <c r="F217" s="124">
        <v>1</v>
      </c>
      <c r="G217" s="45"/>
      <c r="H217" s="124"/>
      <c r="I217" s="124">
        <v>1</v>
      </c>
      <c r="J217" s="124"/>
      <c r="K217" s="124"/>
      <c r="L217" s="124">
        <v>1</v>
      </c>
      <c r="M217" s="124"/>
      <c r="N217" s="124"/>
    </row>
    <row r="218" spans="2:14" s="107" customFormat="1" ht="13.2" outlineLevel="1" x14ac:dyDescent="0.25">
      <c r="B218" s="32" t="s">
        <v>151</v>
      </c>
      <c r="C218" s="19"/>
      <c r="D218" s="19"/>
      <c r="E218" s="19"/>
      <c r="F218" s="124">
        <v>1</v>
      </c>
      <c r="G218" s="45"/>
      <c r="H218" s="124"/>
      <c r="I218" s="124">
        <v>1</v>
      </c>
      <c r="J218" s="124"/>
      <c r="K218" s="124"/>
      <c r="L218" s="124">
        <v>1</v>
      </c>
      <c r="M218" s="124"/>
      <c r="N218" s="124"/>
    </row>
    <row r="219" spans="2:14" s="107" customFormat="1" ht="13.2" outlineLevel="1" x14ac:dyDescent="0.25">
      <c r="B219" s="32" t="s">
        <v>152</v>
      </c>
      <c r="C219" s="19"/>
      <c r="D219" s="19"/>
      <c r="E219" s="19"/>
      <c r="F219" s="124">
        <v>1</v>
      </c>
      <c r="G219" s="45"/>
      <c r="H219" s="124"/>
      <c r="I219" s="124"/>
      <c r="J219" s="124">
        <v>1</v>
      </c>
      <c r="K219" s="124"/>
      <c r="L219" s="124">
        <v>1</v>
      </c>
      <c r="M219" s="124"/>
      <c r="N219" s="124"/>
    </row>
    <row r="220" spans="2:14" s="107" customFormat="1" ht="13.2" outlineLevel="1" x14ac:dyDescent="0.25">
      <c r="B220" s="32" t="s">
        <v>153</v>
      </c>
      <c r="C220" s="19"/>
      <c r="D220" s="19"/>
      <c r="E220" s="19"/>
      <c r="F220" s="124">
        <v>1</v>
      </c>
      <c r="G220" s="45"/>
      <c r="H220" s="124"/>
      <c r="I220" s="124">
        <v>1</v>
      </c>
      <c r="J220" s="124"/>
      <c r="K220" s="124"/>
      <c r="L220" s="124">
        <v>1</v>
      </c>
      <c r="M220" s="124"/>
      <c r="N220" s="124"/>
    </row>
    <row r="221" spans="2:14" s="107" customFormat="1" ht="13.2" outlineLevel="1" x14ac:dyDescent="0.25">
      <c r="B221" s="32" t="s">
        <v>154</v>
      </c>
      <c r="C221" s="19"/>
      <c r="D221" s="19"/>
      <c r="E221" s="19"/>
      <c r="F221" s="124">
        <v>1</v>
      </c>
      <c r="G221" s="45"/>
      <c r="H221" s="124"/>
      <c r="I221" s="124">
        <v>1</v>
      </c>
      <c r="J221" s="124"/>
      <c r="K221" s="124"/>
      <c r="L221" s="124">
        <v>1</v>
      </c>
      <c r="M221" s="124"/>
      <c r="N221" s="124"/>
    </row>
    <row r="222" spans="2:14" s="107" customFormat="1" ht="13.2" outlineLevel="1" x14ac:dyDescent="0.25">
      <c r="B222" s="32" t="s">
        <v>155</v>
      </c>
      <c r="C222" s="19"/>
      <c r="D222" s="19"/>
      <c r="E222" s="19"/>
      <c r="F222" s="124">
        <v>1</v>
      </c>
      <c r="G222" s="45"/>
      <c r="H222" s="124"/>
      <c r="I222" s="124">
        <v>1</v>
      </c>
      <c r="J222" s="124"/>
      <c r="K222" s="124"/>
      <c r="L222" s="124">
        <v>1</v>
      </c>
      <c r="M222" s="124"/>
      <c r="N222" s="124"/>
    </row>
    <row r="223" spans="2:14" s="107" customFormat="1" ht="13.2" outlineLevel="1" x14ac:dyDescent="0.25">
      <c r="B223" s="32" t="s">
        <v>156</v>
      </c>
      <c r="C223" s="19"/>
      <c r="D223" s="19"/>
      <c r="E223" s="19"/>
      <c r="F223" s="124">
        <v>1</v>
      </c>
      <c r="G223" s="45"/>
      <c r="H223" s="124"/>
      <c r="I223" s="124">
        <v>1</v>
      </c>
      <c r="J223" s="124"/>
      <c r="K223" s="124"/>
      <c r="L223" s="124">
        <v>1</v>
      </c>
      <c r="M223" s="124"/>
      <c r="N223" s="124"/>
    </row>
    <row r="224" spans="2:14" s="107" customFormat="1" ht="13.2" outlineLevel="1" x14ac:dyDescent="0.25">
      <c r="B224" s="32" t="s">
        <v>157</v>
      </c>
      <c r="C224" s="19"/>
      <c r="D224" s="19"/>
      <c r="E224" s="19"/>
      <c r="F224" s="124">
        <v>1</v>
      </c>
      <c r="G224" s="45"/>
      <c r="H224" s="124"/>
      <c r="I224" s="124"/>
      <c r="J224" s="124">
        <v>1</v>
      </c>
      <c r="K224" s="124"/>
      <c r="L224" s="124">
        <v>1</v>
      </c>
      <c r="M224" s="124"/>
      <c r="N224" s="124"/>
    </row>
    <row r="225" spans="2:14" s="107" customFormat="1" ht="13.2" outlineLevel="1" x14ac:dyDescent="0.25">
      <c r="B225" s="32" t="s">
        <v>158</v>
      </c>
      <c r="C225" s="19"/>
      <c r="D225" s="19"/>
      <c r="E225" s="19"/>
      <c r="F225" s="195">
        <v>1</v>
      </c>
      <c r="G225" s="209"/>
      <c r="H225" s="195"/>
      <c r="I225" s="195"/>
      <c r="J225" s="195">
        <v>1</v>
      </c>
      <c r="K225" s="195"/>
      <c r="L225" s="195">
        <v>1</v>
      </c>
      <c r="M225" s="195"/>
      <c r="N225" s="195"/>
    </row>
    <row r="226" spans="2:14" s="107" customFormat="1" ht="13.2" x14ac:dyDescent="0.25">
      <c r="B226" s="32"/>
      <c r="C226" s="33"/>
      <c r="D226" s="33"/>
      <c r="E226" s="33"/>
      <c r="F226" s="44"/>
      <c r="G226" s="33"/>
      <c r="H226" s="44"/>
      <c r="I226" s="44"/>
      <c r="J226" s="44"/>
      <c r="K226" s="44"/>
      <c r="L226" s="44"/>
      <c r="M226" s="44"/>
      <c r="N226" s="44"/>
    </row>
    <row r="227" spans="2:14" s="107" customFormat="1" ht="13.2" x14ac:dyDescent="0.25">
      <c r="B227" s="41" t="s">
        <v>104</v>
      </c>
      <c r="C227" s="19"/>
      <c r="D227" s="19"/>
      <c r="E227" s="19"/>
      <c r="F227" s="172">
        <f t="shared" ref="F227:N227" si="30">F228</f>
        <v>1</v>
      </c>
      <c r="G227" s="231">
        <f t="shared" si="30"/>
        <v>0</v>
      </c>
      <c r="H227" s="172">
        <f t="shared" si="30"/>
        <v>0</v>
      </c>
      <c r="I227" s="172">
        <f t="shared" si="30"/>
        <v>1</v>
      </c>
      <c r="J227" s="172">
        <f t="shared" si="30"/>
        <v>0</v>
      </c>
      <c r="K227" s="172">
        <f t="shared" si="30"/>
        <v>0</v>
      </c>
      <c r="L227" s="172">
        <f t="shared" si="30"/>
        <v>1</v>
      </c>
      <c r="M227" s="172">
        <f t="shared" si="30"/>
        <v>0</v>
      </c>
      <c r="N227" s="172">
        <f t="shared" si="30"/>
        <v>0</v>
      </c>
    </row>
    <row r="228" spans="2:14" s="107" customFormat="1" ht="13.2" outlineLevel="1" x14ac:dyDescent="0.25">
      <c r="B228" s="32" t="s">
        <v>159</v>
      </c>
      <c r="C228" s="19"/>
      <c r="D228" s="19"/>
      <c r="E228" s="19"/>
      <c r="F228" s="191">
        <v>1</v>
      </c>
      <c r="G228" s="192"/>
      <c r="H228" s="191"/>
      <c r="I228" s="191">
        <v>1</v>
      </c>
      <c r="J228" s="191"/>
      <c r="K228" s="191"/>
      <c r="L228" s="191">
        <v>1</v>
      </c>
      <c r="M228" s="191"/>
      <c r="N228" s="191"/>
    </row>
    <row r="229" spans="2:14" x14ac:dyDescent="0.3">
      <c r="B229" s="134"/>
      <c r="C229" s="135"/>
      <c r="D229" s="135"/>
      <c r="E229" s="135"/>
      <c r="F229" s="136"/>
      <c r="G229" s="135"/>
      <c r="H229" s="136"/>
      <c r="I229" s="136"/>
      <c r="J229" s="136"/>
      <c r="K229" s="136"/>
      <c r="L229" s="136"/>
      <c r="M229" s="136"/>
      <c r="N229" s="136"/>
    </row>
    <row r="231" spans="2:14" s="107" customFormat="1" ht="13.2" x14ac:dyDescent="0.25">
      <c r="B231" s="48" t="s">
        <v>291</v>
      </c>
    </row>
    <row r="232" spans="2:14" s="107" customFormat="1" ht="13.2" x14ac:dyDescent="0.25">
      <c r="B232" s="107" t="s">
        <v>165</v>
      </c>
    </row>
    <row r="233" spans="2:14" s="107" customFormat="1" ht="35.4" customHeight="1" x14ac:dyDescent="0.25">
      <c r="B233" s="269" t="s">
        <v>166</v>
      </c>
      <c r="C233" s="269"/>
      <c r="D233" s="269"/>
      <c r="E233" s="269"/>
      <c r="F233" s="269"/>
      <c r="G233" s="269"/>
      <c r="H233" s="269"/>
      <c r="I233" s="269"/>
      <c r="J233" s="269"/>
      <c r="K233" s="269"/>
    </row>
    <row r="234" spans="2:14" s="107" customFormat="1" ht="13.2" x14ac:dyDescent="0.25">
      <c r="B234" s="274" t="s">
        <v>293</v>
      </c>
      <c r="C234" s="274"/>
      <c r="D234" s="274"/>
      <c r="E234" s="274"/>
      <c r="F234" s="274"/>
      <c r="G234" s="274"/>
      <c r="H234" s="274"/>
      <c r="I234" s="274"/>
      <c r="J234" s="274"/>
      <c r="K234" s="274"/>
      <c r="L234" s="274"/>
      <c r="M234" s="274"/>
      <c r="N234" s="274"/>
    </row>
    <row r="235" spans="2:14" s="107" customFormat="1" ht="13.2" x14ac:dyDescent="0.25">
      <c r="B235" s="270" t="s">
        <v>294</v>
      </c>
      <c r="C235" s="270"/>
      <c r="D235" s="270"/>
      <c r="E235" s="270"/>
      <c r="F235" s="270"/>
      <c r="G235" s="270"/>
      <c r="H235" s="270"/>
      <c r="I235" s="270"/>
      <c r="J235" s="270"/>
      <c r="K235" s="270"/>
    </row>
    <row r="237" spans="2:14" x14ac:dyDescent="0.3">
      <c r="B237" s="48" t="s">
        <v>53</v>
      </c>
    </row>
    <row r="238" spans="2:14" x14ac:dyDescent="0.3">
      <c r="B238" s="46" t="s">
        <v>161</v>
      </c>
    </row>
    <row r="239" spans="2:14" x14ac:dyDescent="0.3">
      <c r="B239" s="106" t="s">
        <v>167</v>
      </c>
    </row>
  </sheetData>
  <mergeCells count="26">
    <mergeCell ref="B2:C2"/>
    <mergeCell ref="B6:H6"/>
    <mergeCell ref="B8:E8"/>
    <mergeCell ref="F8:G8"/>
    <mergeCell ref="H8:I8"/>
    <mergeCell ref="L8:M8"/>
    <mergeCell ref="B9:E9"/>
    <mergeCell ref="B77:E79"/>
    <mergeCell ref="F77:G78"/>
    <mergeCell ref="H77:P77"/>
    <mergeCell ref="J8:K8"/>
    <mergeCell ref="B233:K233"/>
    <mergeCell ref="B235:K235"/>
    <mergeCell ref="I78:M78"/>
    <mergeCell ref="N78:P78"/>
    <mergeCell ref="B234:N234"/>
    <mergeCell ref="B135:E137"/>
    <mergeCell ref="F135:G136"/>
    <mergeCell ref="H135:L135"/>
    <mergeCell ref="H136:I136"/>
    <mergeCell ref="J136:L136"/>
    <mergeCell ref="B158:E160"/>
    <mergeCell ref="F158:N158"/>
    <mergeCell ref="F159:H159"/>
    <mergeCell ref="I159:K159"/>
    <mergeCell ref="L159:N159"/>
  </mergeCells>
  <pageMargins left="0.7" right="0.7" top="0.75" bottom="0.75" header="0.3" footer="0.3"/>
  <ignoredErrors>
    <ignoredError sqref="G11:H11 I11:J11 K11:L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3938C-2EE9-4478-92DD-E54DA21F14E3}">
  <sheetPr>
    <pageSetUpPr fitToPage="1"/>
  </sheetPr>
  <dimension ref="B1:AC212"/>
  <sheetViews>
    <sheetView showGridLines="0" workbookViewId="0">
      <selection activeCell="B76" sqref="B76:E78"/>
    </sheetView>
  </sheetViews>
  <sheetFormatPr defaultRowHeight="14.4" outlineLevelRow="1" x14ac:dyDescent="0.3"/>
  <cols>
    <col min="1" max="1" width="3.109375" customWidth="1"/>
    <col min="2" max="3" width="16.44140625" customWidth="1"/>
    <col min="6" max="7" width="12.21875" customWidth="1"/>
    <col min="8" max="8" width="14.77734375" customWidth="1"/>
    <col min="9" max="9" width="13.77734375" customWidth="1"/>
    <col min="10" max="10" width="14.44140625" customWidth="1"/>
    <col min="11" max="11" width="12.6640625" customWidth="1"/>
    <col min="12" max="12" width="13.44140625" customWidth="1"/>
    <col min="13" max="13" width="12.109375" customWidth="1"/>
    <col min="14" max="15" width="18.109375" customWidth="1"/>
  </cols>
  <sheetData>
    <row r="1" spans="2:29" s="1" customFormat="1" ht="13.2" x14ac:dyDescent="0.25">
      <c r="E1" s="2"/>
      <c r="F1" s="2"/>
      <c r="G1" s="2"/>
      <c r="H1" s="3"/>
      <c r="I1" s="3"/>
      <c r="J1" s="3"/>
      <c r="K1" s="3"/>
      <c r="L1" s="3"/>
      <c r="M1" s="3"/>
      <c r="N1" s="3"/>
      <c r="O1" s="3"/>
      <c r="P1" s="2"/>
    </row>
    <row r="2" spans="2:29" s="1" customFormat="1" ht="18.600000000000001" customHeight="1" x14ac:dyDescent="0.25">
      <c r="B2" s="262" t="s">
        <v>177</v>
      </c>
      <c r="C2" s="263"/>
      <c r="E2" s="4"/>
      <c r="F2" s="2"/>
      <c r="G2" s="2"/>
      <c r="H2" s="3"/>
      <c r="I2" s="3"/>
      <c r="J2" s="3"/>
      <c r="K2" s="3"/>
      <c r="L2" s="3"/>
      <c r="M2" s="3"/>
      <c r="N2" s="3"/>
      <c r="O2" s="3"/>
      <c r="P2" s="2"/>
    </row>
    <row r="3" spans="2:29" s="1" customFormat="1" ht="20.399999999999999" customHeight="1" x14ac:dyDescent="0.3">
      <c r="B3" s="7" t="s">
        <v>32</v>
      </c>
      <c r="F3" s="2"/>
      <c r="G3" s="2"/>
      <c r="H3" s="3"/>
      <c r="I3" s="3"/>
      <c r="J3" s="30"/>
      <c r="K3" s="3"/>
      <c r="L3" s="3"/>
      <c r="M3" s="3"/>
      <c r="N3" s="3"/>
      <c r="O3" s="3"/>
      <c r="P3" s="2"/>
    </row>
    <row r="4" spans="2:29" s="1" customFormat="1" ht="10.8" customHeight="1" x14ac:dyDescent="0.3">
      <c r="B4" s="5"/>
      <c r="F4" s="2"/>
      <c r="G4" s="2"/>
      <c r="H4" s="3"/>
      <c r="I4" s="3"/>
      <c r="J4" s="3"/>
      <c r="K4" s="3"/>
      <c r="L4" s="3"/>
      <c r="M4" s="3"/>
      <c r="N4" s="3"/>
      <c r="O4" s="3"/>
      <c r="P4" s="2"/>
    </row>
    <row r="5" spans="2:29" s="1" customFormat="1" ht="15" customHeight="1" x14ac:dyDescent="0.25">
      <c r="B5" s="6" t="s">
        <v>7</v>
      </c>
      <c r="F5" s="2"/>
      <c r="G5" s="2"/>
      <c r="H5" s="3"/>
      <c r="I5" s="3"/>
      <c r="J5" s="3"/>
      <c r="K5" s="3"/>
      <c r="L5" s="3"/>
      <c r="M5" s="3"/>
      <c r="N5" s="3"/>
      <c r="O5" s="3"/>
      <c r="P5" s="2"/>
    </row>
    <row r="6" spans="2:29" s="1" customFormat="1" ht="39.75" customHeight="1" x14ac:dyDescent="0.25">
      <c r="B6" s="297" t="s">
        <v>12</v>
      </c>
      <c r="C6" s="297"/>
      <c r="D6" s="297"/>
      <c r="E6" s="297"/>
      <c r="F6" s="297"/>
      <c r="G6" s="297"/>
      <c r="H6" s="297"/>
      <c r="I6" s="297"/>
      <c r="J6" s="297"/>
      <c r="K6" s="297"/>
      <c r="L6" s="297"/>
      <c r="M6" s="3"/>
      <c r="N6" s="3"/>
      <c r="O6" s="3"/>
      <c r="P6" s="2"/>
    </row>
    <row r="8" spans="2:29" s="107" customFormat="1" ht="42.6" customHeight="1" x14ac:dyDescent="0.25">
      <c r="B8" s="255" t="s">
        <v>34</v>
      </c>
      <c r="C8" s="256"/>
      <c r="D8" s="256"/>
      <c r="E8" s="257"/>
      <c r="F8" s="298" t="s">
        <v>184</v>
      </c>
      <c r="G8" s="299"/>
      <c r="H8" s="298" t="s">
        <v>400</v>
      </c>
      <c r="I8" s="299"/>
      <c r="J8" s="298" t="s">
        <v>185</v>
      </c>
      <c r="K8" s="299"/>
      <c r="L8" s="289" t="s">
        <v>186</v>
      </c>
      <c r="M8" s="290"/>
      <c r="N8" s="288"/>
      <c r="O8" s="288"/>
      <c r="P8" s="3"/>
      <c r="Q8" s="3"/>
      <c r="R8" s="3"/>
      <c r="S8" s="3"/>
      <c r="T8" s="3"/>
      <c r="U8" s="3"/>
      <c r="V8" s="3"/>
      <c r="W8" s="3"/>
      <c r="X8" s="108"/>
      <c r="Y8" s="108"/>
      <c r="Z8" s="108"/>
      <c r="AA8" s="108"/>
      <c r="AB8" s="108"/>
      <c r="AC8" s="108"/>
    </row>
    <row r="9" spans="2:29" s="107" customFormat="1" ht="14.4" customHeight="1" x14ac:dyDescent="0.25">
      <c r="B9" s="244" t="s">
        <v>402</v>
      </c>
      <c r="C9" s="245"/>
      <c r="D9" s="245"/>
      <c r="E9" s="245"/>
      <c r="F9" s="215" t="s">
        <v>37</v>
      </c>
      <c r="G9" s="216" t="s">
        <v>38</v>
      </c>
      <c r="H9" s="215" t="s">
        <v>37</v>
      </c>
      <c r="I9" s="216" t="s">
        <v>38</v>
      </c>
      <c r="J9" s="215" t="s">
        <v>37</v>
      </c>
      <c r="K9" s="216" t="s">
        <v>38</v>
      </c>
      <c r="L9" s="215" t="s">
        <v>37</v>
      </c>
      <c r="M9" s="217" t="s">
        <v>38</v>
      </c>
      <c r="N9" s="3"/>
      <c r="O9" s="3"/>
      <c r="P9" s="3"/>
      <c r="Q9" s="3"/>
      <c r="R9" s="3"/>
      <c r="S9" s="3"/>
      <c r="T9" s="3"/>
      <c r="U9" s="3"/>
      <c r="V9" s="3"/>
      <c r="W9" s="3"/>
      <c r="X9" s="108"/>
      <c r="Y9" s="108"/>
      <c r="Z9" s="108"/>
      <c r="AA9" s="108"/>
      <c r="AB9" s="108"/>
      <c r="AC9" s="108"/>
    </row>
    <row r="10" spans="2:29" s="107" customFormat="1" ht="15" customHeight="1" x14ac:dyDescent="0.25">
      <c r="B10" s="145"/>
      <c r="C10" s="146"/>
      <c r="D10" s="146"/>
      <c r="E10" s="146"/>
      <c r="F10" s="112"/>
      <c r="G10" s="125"/>
      <c r="H10" s="112"/>
      <c r="I10" s="125"/>
      <c r="J10" s="112"/>
      <c r="K10" s="125"/>
      <c r="L10" s="112"/>
      <c r="M10" s="113"/>
      <c r="N10" s="3"/>
      <c r="O10" s="3"/>
      <c r="P10" s="3"/>
      <c r="Q10" s="3"/>
      <c r="R10" s="3"/>
      <c r="S10" s="3"/>
      <c r="T10" s="3"/>
      <c r="U10" s="3"/>
      <c r="V10" s="3"/>
      <c r="W10" s="3"/>
      <c r="X10" s="108"/>
      <c r="Y10" s="108"/>
      <c r="Z10" s="108"/>
      <c r="AA10" s="108"/>
      <c r="AB10" s="108"/>
      <c r="AC10" s="108"/>
    </row>
    <row r="11" spans="2:29" s="107" customFormat="1" ht="15" customHeight="1" x14ac:dyDescent="0.25">
      <c r="B11" s="147" t="s">
        <v>39</v>
      </c>
      <c r="C11" s="148"/>
      <c r="D11" s="148"/>
      <c r="E11" s="149">
        <f>SUM(F11,H11,J11,L11)</f>
        <v>52</v>
      </c>
      <c r="F11" s="114">
        <f>SUM(F13,F15,F18,F28,F40,F45,F70)</f>
        <v>33</v>
      </c>
      <c r="G11" s="150">
        <f>F11/$E$11</f>
        <v>0.63461538461538458</v>
      </c>
      <c r="H11" s="137">
        <f>SUM(H13,H15,H18,H28,H40,H45,H70)</f>
        <v>10</v>
      </c>
      <c r="I11" s="150">
        <f>H11/$E$11</f>
        <v>0.19230769230769232</v>
      </c>
      <c r="J11" s="116">
        <f>SUM(J13,J15,J18,J28,J40,J45,J70)</f>
        <v>9</v>
      </c>
      <c r="K11" s="150">
        <f>J11/$E$11</f>
        <v>0.17307692307692307</v>
      </c>
      <c r="L11" s="114">
        <f>SUM(L13,L15,L18,L28,L40,L45,L70)</f>
        <v>0</v>
      </c>
      <c r="M11" s="115">
        <f>L11/$E$11</f>
        <v>0</v>
      </c>
      <c r="N11" s="51"/>
      <c r="O11" s="29"/>
      <c r="P11" s="30"/>
      <c r="Q11" s="30"/>
      <c r="R11" s="30"/>
      <c r="S11" s="30"/>
      <c r="T11" s="30"/>
      <c r="U11" s="30"/>
      <c r="V11" s="30"/>
      <c r="W11" s="30"/>
      <c r="X11" s="108"/>
      <c r="Y11" s="108"/>
      <c r="Z11" s="108"/>
      <c r="AA11" s="108"/>
      <c r="AB11" s="108"/>
      <c r="AC11" s="108"/>
    </row>
    <row r="12" spans="2:29" s="33" customFormat="1" ht="15" customHeight="1" x14ac:dyDescent="0.25">
      <c r="B12" s="152"/>
      <c r="C12" s="107"/>
      <c r="D12" s="107"/>
      <c r="E12" s="108"/>
      <c r="F12" s="114"/>
      <c r="G12" s="108"/>
      <c r="H12" s="153"/>
      <c r="I12" s="108"/>
      <c r="J12" s="114"/>
      <c r="K12" s="108"/>
      <c r="L12" s="114"/>
      <c r="M12" s="154"/>
      <c r="N12" s="3"/>
      <c r="O12" s="3"/>
      <c r="P12" s="3"/>
      <c r="Q12" s="3"/>
      <c r="R12" s="3"/>
      <c r="S12" s="3"/>
      <c r="T12" s="3"/>
      <c r="U12" s="3"/>
      <c r="V12" s="3"/>
      <c r="W12" s="3"/>
      <c r="X12" s="3"/>
      <c r="Y12" s="3"/>
      <c r="Z12" s="3"/>
      <c r="AA12" s="3"/>
      <c r="AB12" s="3"/>
      <c r="AC12" s="3"/>
    </row>
    <row r="13" spans="2:29" s="33" customFormat="1" ht="15" customHeight="1" x14ac:dyDescent="0.25">
      <c r="B13" s="126" t="s">
        <v>52</v>
      </c>
      <c r="C13" s="155"/>
      <c r="D13" s="155"/>
      <c r="E13" s="156"/>
      <c r="F13" s="117">
        <f>F14</f>
        <v>0</v>
      </c>
      <c r="G13" s="156"/>
      <c r="H13" s="129">
        <f>H14</f>
        <v>1</v>
      </c>
      <c r="I13" s="156"/>
      <c r="J13" s="117">
        <f>J14</f>
        <v>0</v>
      </c>
      <c r="K13" s="156"/>
      <c r="L13" s="117">
        <f>L14</f>
        <v>0</v>
      </c>
      <c r="M13" s="118"/>
      <c r="N13" s="3"/>
      <c r="O13" s="3"/>
      <c r="P13" s="3"/>
      <c r="Q13" s="3"/>
      <c r="R13" s="3"/>
      <c r="S13" s="3"/>
      <c r="T13" s="3"/>
      <c r="U13" s="3"/>
      <c r="V13" s="3"/>
      <c r="W13" s="3"/>
      <c r="X13" s="3"/>
      <c r="Y13" s="3"/>
      <c r="Z13" s="3"/>
      <c r="AA13" s="3"/>
      <c r="AB13" s="3"/>
      <c r="AC13" s="3"/>
    </row>
    <row r="14" spans="2:29" s="33" customFormat="1" ht="15" hidden="1" customHeight="1" outlineLevel="1" x14ac:dyDescent="0.25">
      <c r="B14" s="166" t="s">
        <v>55</v>
      </c>
      <c r="C14" s="107"/>
      <c r="D14" s="107"/>
      <c r="E14" s="108"/>
      <c r="F14" s="190"/>
      <c r="G14" s="108"/>
      <c r="H14" s="185">
        <v>1</v>
      </c>
      <c r="I14" s="108"/>
      <c r="J14" s="190"/>
      <c r="K14" s="108"/>
      <c r="L14" s="190"/>
      <c r="M14" s="154"/>
      <c r="N14" s="3"/>
      <c r="O14" s="3"/>
      <c r="P14" s="3"/>
      <c r="Q14" s="3"/>
      <c r="R14" s="3"/>
      <c r="S14" s="3"/>
      <c r="T14" s="3"/>
      <c r="U14" s="3"/>
      <c r="V14" s="3"/>
      <c r="W14" s="3"/>
      <c r="X14" s="3"/>
      <c r="Y14" s="3"/>
      <c r="Z14" s="3"/>
      <c r="AA14" s="3"/>
      <c r="AB14" s="3"/>
      <c r="AC14" s="3"/>
    </row>
    <row r="15" spans="2:29" s="33" customFormat="1" ht="15" customHeight="1" collapsed="1" x14ac:dyDescent="0.25">
      <c r="B15" s="166" t="s">
        <v>57</v>
      </c>
      <c r="C15" s="107"/>
      <c r="D15" s="107"/>
      <c r="E15" s="108"/>
      <c r="F15" s="114">
        <f>SUM(F16:F17)</f>
        <v>1</v>
      </c>
      <c r="G15" s="108"/>
      <c r="H15" s="153">
        <f>SUM(H16:H17)</f>
        <v>0</v>
      </c>
      <c r="I15" s="108"/>
      <c r="J15" s="114">
        <f>SUM(J16:J17)</f>
        <v>1</v>
      </c>
      <c r="K15" s="108"/>
      <c r="L15" s="114">
        <f>SUM(L16:L17)</f>
        <v>0</v>
      </c>
      <c r="M15" s="154"/>
      <c r="N15" s="3"/>
      <c r="O15" s="3"/>
      <c r="P15" s="3"/>
      <c r="Q15" s="3"/>
      <c r="R15" s="3"/>
      <c r="S15" s="3"/>
      <c r="T15" s="3"/>
      <c r="U15" s="3"/>
      <c r="V15" s="3"/>
      <c r="W15" s="3"/>
      <c r="X15" s="3"/>
      <c r="Y15" s="3"/>
      <c r="Z15" s="3"/>
      <c r="AA15" s="3"/>
      <c r="AB15" s="3"/>
      <c r="AC15" s="3"/>
    </row>
    <row r="16" spans="2:29" s="33" customFormat="1" ht="15" hidden="1" customHeight="1" outlineLevel="1" x14ac:dyDescent="0.25">
      <c r="B16" s="166" t="s">
        <v>58</v>
      </c>
      <c r="C16" s="107"/>
      <c r="D16" s="107"/>
      <c r="E16" s="108"/>
      <c r="F16" s="186">
        <v>1</v>
      </c>
      <c r="G16" s="108"/>
      <c r="H16" s="188"/>
      <c r="I16" s="108"/>
      <c r="J16" s="186"/>
      <c r="K16" s="108"/>
      <c r="L16" s="186"/>
      <c r="M16" s="154"/>
      <c r="N16" s="3"/>
      <c r="O16" s="3"/>
      <c r="P16" s="3"/>
      <c r="Q16" s="3"/>
      <c r="R16" s="3"/>
      <c r="S16" s="3"/>
      <c r="T16" s="3"/>
      <c r="U16" s="3"/>
      <c r="V16" s="3"/>
      <c r="W16" s="3"/>
      <c r="X16" s="3"/>
      <c r="Y16" s="3"/>
      <c r="Z16" s="3"/>
      <c r="AA16" s="3"/>
      <c r="AB16" s="3"/>
      <c r="AC16" s="3"/>
    </row>
    <row r="17" spans="2:29" s="33" customFormat="1" ht="15" hidden="1" customHeight="1" outlineLevel="1" x14ac:dyDescent="0.25">
      <c r="B17" s="166" t="s">
        <v>59</v>
      </c>
      <c r="C17" s="107"/>
      <c r="D17" s="107"/>
      <c r="E17" s="108"/>
      <c r="F17" s="187"/>
      <c r="G17" s="108"/>
      <c r="H17" s="189"/>
      <c r="I17" s="108"/>
      <c r="J17" s="187">
        <v>1</v>
      </c>
      <c r="K17" s="108"/>
      <c r="L17" s="187"/>
      <c r="M17" s="154"/>
      <c r="N17" s="3"/>
      <c r="O17" s="3"/>
      <c r="P17" s="3"/>
      <c r="Q17" s="3"/>
      <c r="R17" s="3"/>
      <c r="S17" s="3"/>
      <c r="T17" s="3"/>
      <c r="U17" s="3"/>
      <c r="V17" s="3"/>
      <c r="W17" s="3"/>
      <c r="X17" s="3"/>
      <c r="Y17" s="3"/>
      <c r="Z17" s="3"/>
      <c r="AA17" s="3"/>
      <c r="AB17" s="3"/>
      <c r="AC17" s="3"/>
    </row>
    <row r="18" spans="2:29" s="33" customFormat="1" ht="15" customHeight="1" collapsed="1" x14ac:dyDescent="0.25">
      <c r="B18" s="126" t="s">
        <v>60</v>
      </c>
      <c r="C18" s="155"/>
      <c r="D18" s="155"/>
      <c r="E18" s="156"/>
      <c r="F18" s="117">
        <f>SUM(F19:F27)</f>
        <v>5</v>
      </c>
      <c r="G18" s="156"/>
      <c r="H18" s="129">
        <f>SUM(H19:H27)</f>
        <v>3</v>
      </c>
      <c r="I18" s="156"/>
      <c r="J18" s="117">
        <f>SUM(J19:J27)</f>
        <v>1</v>
      </c>
      <c r="K18" s="156"/>
      <c r="L18" s="117">
        <f>SUM(L19:L27)</f>
        <v>0</v>
      </c>
      <c r="M18" s="118"/>
      <c r="N18" s="3"/>
      <c r="O18" s="3"/>
      <c r="P18" s="3"/>
      <c r="Q18" s="3"/>
      <c r="R18" s="3"/>
      <c r="S18" s="3"/>
      <c r="T18" s="3"/>
      <c r="U18" s="3"/>
      <c r="V18" s="3"/>
      <c r="W18" s="3"/>
      <c r="X18" s="3"/>
      <c r="Y18" s="3"/>
      <c r="Z18" s="3"/>
      <c r="AA18" s="3"/>
      <c r="AB18" s="3"/>
      <c r="AC18" s="3"/>
    </row>
    <row r="19" spans="2:29" s="33" customFormat="1" ht="15" hidden="1" customHeight="1" outlineLevel="1" x14ac:dyDescent="0.25">
      <c r="B19" s="166" t="s">
        <v>61</v>
      </c>
      <c r="C19" s="107"/>
      <c r="D19" s="107"/>
      <c r="E19" s="108"/>
      <c r="F19" s="186"/>
      <c r="G19" s="108"/>
      <c r="H19" s="188">
        <v>1</v>
      </c>
      <c r="I19" s="108"/>
      <c r="J19" s="186"/>
      <c r="K19" s="108"/>
      <c r="L19" s="186"/>
      <c r="M19" s="154"/>
      <c r="N19" s="3"/>
      <c r="O19" s="3"/>
      <c r="P19" s="3"/>
      <c r="Q19" s="3"/>
      <c r="R19" s="3"/>
      <c r="S19" s="3"/>
      <c r="T19" s="3"/>
      <c r="U19" s="3"/>
      <c r="V19" s="3"/>
      <c r="W19" s="3"/>
      <c r="X19" s="3"/>
      <c r="Y19" s="3"/>
      <c r="Z19" s="3"/>
      <c r="AA19" s="3"/>
      <c r="AB19" s="3"/>
      <c r="AC19" s="3"/>
    </row>
    <row r="20" spans="2:29" s="33" customFormat="1" ht="15" hidden="1" customHeight="1" outlineLevel="1" x14ac:dyDescent="0.25">
      <c r="B20" s="166" t="s">
        <v>62</v>
      </c>
      <c r="C20" s="107"/>
      <c r="D20" s="107"/>
      <c r="E20" s="108"/>
      <c r="F20" s="127"/>
      <c r="G20" s="108"/>
      <c r="H20" s="130">
        <v>1</v>
      </c>
      <c r="I20" s="108"/>
      <c r="J20" s="127"/>
      <c r="K20" s="108"/>
      <c r="L20" s="127"/>
      <c r="M20" s="154"/>
      <c r="N20" s="3"/>
      <c r="O20" s="3"/>
      <c r="P20" s="3"/>
      <c r="Q20" s="3"/>
      <c r="R20" s="3"/>
      <c r="S20" s="3"/>
      <c r="T20" s="3"/>
      <c r="U20" s="3"/>
      <c r="V20" s="3"/>
      <c r="W20" s="3"/>
      <c r="X20" s="3"/>
      <c r="Y20" s="3"/>
      <c r="Z20" s="3"/>
      <c r="AA20" s="3"/>
      <c r="AB20" s="3"/>
      <c r="AC20" s="3"/>
    </row>
    <row r="21" spans="2:29" s="33" customFormat="1" ht="15" hidden="1" customHeight="1" outlineLevel="1" x14ac:dyDescent="0.25">
      <c r="B21" s="166" t="s">
        <v>63</v>
      </c>
      <c r="C21" s="107"/>
      <c r="D21" s="107"/>
      <c r="E21" s="108"/>
      <c r="F21" s="127">
        <v>1</v>
      </c>
      <c r="G21" s="108"/>
      <c r="H21" s="130"/>
      <c r="I21" s="108"/>
      <c r="J21" s="127"/>
      <c r="K21" s="108"/>
      <c r="L21" s="127"/>
      <c r="M21" s="154"/>
      <c r="N21" s="3"/>
      <c r="O21" s="3"/>
      <c r="P21" s="3"/>
      <c r="Q21" s="3"/>
      <c r="R21" s="3"/>
      <c r="S21" s="3"/>
      <c r="T21" s="3"/>
      <c r="U21" s="3"/>
      <c r="V21" s="3"/>
      <c r="W21" s="3"/>
      <c r="X21" s="3"/>
      <c r="Y21" s="3"/>
      <c r="Z21" s="3"/>
      <c r="AA21" s="3"/>
      <c r="AB21" s="3"/>
      <c r="AC21" s="3"/>
    </row>
    <row r="22" spans="2:29" s="33" customFormat="1" ht="15" hidden="1" customHeight="1" outlineLevel="1" x14ac:dyDescent="0.25">
      <c r="B22" s="166" t="s">
        <v>64</v>
      </c>
      <c r="C22" s="107"/>
      <c r="D22" s="107"/>
      <c r="E22" s="108"/>
      <c r="F22" s="127">
        <v>1</v>
      </c>
      <c r="G22" s="108"/>
      <c r="H22" s="130"/>
      <c r="I22" s="108"/>
      <c r="J22" s="127"/>
      <c r="K22" s="108"/>
      <c r="L22" s="127"/>
      <c r="M22" s="154"/>
      <c r="N22" s="3"/>
      <c r="O22" s="3"/>
      <c r="P22" s="3"/>
      <c r="Q22" s="3"/>
      <c r="R22" s="3"/>
      <c r="S22" s="3"/>
      <c r="T22" s="3"/>
      <c r="U22" s="3"/>
      <c r="V22" s="3"/>
      <c r="W22" s="3"/>
      <c r="X22" s="3"/>
      <c r="Y22" s="3"/>
      <c r="Z22" s="3"/>
      <c r="AA22" s="3"/>
      <c r="AB22" s="3"/>
      <c r="AC22" s="3"/>
    </row>
    <row r="23" spans="2:29" s="33" customFormat="1" ht="15" hidden="1" customHeight="1" outlineLevel="1" x14ac:dyDescent="0.25">
      <c r="B23" s="166" t="s">
        <v>65</v>
      </c>
      <c r="C23" s="107"/>
      <c r="D23" s="107"/>
      <c r="E23" s="108"/>
      <c r="F23" s="127"/>
      <c r="G23" s="108"/>
      <c r="H23" s="130">
        <v>1</v>
      </c>
      <c r="I23" s="108"/>
      <c r="J23" s="127"/>
      <c r="K23" s="108"/>
      <c r="L23" s="127"/>
      <c r="M23" s="154"/>
      <c r="N23" s="3"/>
      <c r="O23" s="3"/>
      <c r="P23" s="3"/>
      <c r="Q23" s="3"/>
      <c r="R23" s="3"/>
      <c r="S23" s="3"/>
      <c r="T23" s="3"/>
      <c r="U23" s="3"/>
      <c r="V23" s="3"/>
      <c r="W23" s="3"/>
      <c r="X23" s="3"/>
      <c r="Y23" s="3"/>
      <c r="Z23" s="3"/>
      <c r="AA23" s="3"/>
      <c r="AB23" s="3"/>
      <c r="AC23" s="3"/>
    </row>
    <row r="24" spans="2:29" s="33" customFormat="1" ht="15" hidden="1" customHeight="1" outlineLevel="1" x14ac:dyDescent="0.25">
      <c r="B24" s="166" t="s">
        <v>66</v>
      </c>
      <c r="C24" s="107"/>
      <c r="D24" s="107"/>
      <c r="E24" s="108"/>
      <c r="F24" s="127">
        <v>1</v>
      </c>
      <c r="G24" s="108"/>
      <c r="H24" s="130"/>
      <c r="I24" s="108"/>
      <c r="J24" s="127"/>
      <c r="K24" s="108"/>
      <c r="L24" s="127"/>
      <c r="M24" s="154"/>
      <c r="N24" s="3"/>
      <c r="O24" s="3"/>
      <c r="P24" s="3"/>
      <c r="Q24" s="3"/>
      <c r="R24" s="3"/>
      <c r="S24" s="3"/>
      <c r="T24" s="3"/>
      <c r="U24" s="3"/>
      <c r="V24" s="3"/>
      <c r="W24" s="3"/>
      <c r="X24" s="3"/>
      <c r="Y24" s="3"/>
      <c r="Z24" s="3"/>
      <c r="AA24" s="3"/>
      <c r="AB24" s="3"/>
      <c r="AC24" s="3"/>
    </row>
    <row r="25" spans="2:29" s="33" customFormat="1" ht="15" hidden="1" customHeight="1" outlineLevel="1" x14ac:dyDescent="0.25">
      <c r="B25" s="166" t="s">
        <v>67</v>
      </c>
      <c r="C25" s="107"/>
      <c r="D25" s="107"/>
      <c r="E25" s="108"/>
      <c r="F25" s="127">
        <v>1</v>
      </c>
      <c r="G25" s="108"/>
      <c r="H25" s="130"/>
      <c r="I25" s="108"/>
      <c r="J25" s="127"/>
      <c r="K25" s="108"/>
      <c r="L25" s="127"/>
      <c r="M25" s="154"/>
      <c r="N25" s="3"/>
      <c r="O25" s="3"/>
      <c r="P25" s="3"/>
      <c r="Q25" s="3"/>
      <c r="R25" s="3"/>
      <c r="S25" s="3"/>
      <c r="T25" s="3"/>
      <c r="U25" s="3"/>
      <c r="V25" s="3"/>
      <c r="W25" s="3"/>
      <c r="X25" s="3"/>
      <c r="Y25" s="3"/>
      <c r="Z25" s="3"/>
      <c r="AA25" s="3"/>
      <c r="AB25" s="3"/>
      <c r="AC25" s="3"/>
    </row>
    <row r="26" spans="2:29" s="33" customFormat="1" ht="15" hidden="1" customHeight="1" outlineLevel="1" x14ac:dyDescent="0.25">
      <c r="B26" s="166" t="s">
        <v>68</v>
      </c>
      <c r="C26" s="107"/>
      <c r="D26" s="107"/>
      <c r="E26" s="108"/>
      <c r="F26" s="127">
        <v>1</v>
      </c>
      <c r="G26" s="108"/>
      <c r="H26" s="130"/>
      <c r="I26" s="108"/>
      <c r="J26" s="127"/>
      <c r="K26" s="108"/>
      <c r="L26" s="127"/>
      <c r="M26" s="154"/>
      <c r="N26" s="3"/>
      <c r="O26" s="3"/>
      <c r="P26" s="3"/>
      <c r="Q26" s="3"/>
      <c r="R26" s="3"/>
      <c r="S26" s="3"/>
      <c r="T26" s="3"/>
      <c r="U26" s="3"/>
      <c r="V26" s="3"/>
      <c r="W26" s="3"/>
      <c r="X26" s="3"/>
      <c r="Y26" s="3"/>
      <c r="Z26" s="3"/>
      <c r="AA26" s="3"/>
      <c r="AB26" s="3"/>
      <c r="AC26" s="3"/>
    </row>
    <row r="27" spans="2:29" s="33" customFormat="1" ht="15" hidden="1" customHeight="1" outlineLevel="1" x14ac:dyDescent="0.25">
      <c r="B27" s="166" t="s">
        <v>69</v>
      </c>
      <c r="C27" s="107"/>
      <c r="D27" s="107"/>
      <c r="E27" s="108"/>
      <c r="F27" s="187"/>
      <c r="G27" s="108"/>
      <c r="H27" s="189"/>
      <c r="I27" s="108"/>
      <c r="J27" s="187">
        <v>1</v>
      </c>
      <c r="K27" s="108"/>
      <c r="L27" s="187"/>
      <c r="M27" s="154"/>
      <c r="N27" s="3"/>
      <c r="O27" s="3"/>
      <c r="P27" s="3"/>
      <c r="Q27" s="3"/>
      <c r="R27" s="3"/>
      <c r="S27" s="3"/>
      <c r="T27" s="3"/>
      <c r="U27" s="3"/>
      <c r="V27" s="3"/>
      <c r="W27" s="3"/>
      <c r="X27" s="3"/>
      <c r="Y27" s="3"/>
      <c r="Z27" s="3"/>
      <c r="AA27" s="3"/>
      <c r="AB27" s="3"/>
      <c r="AC27" s="3"/>
    </row>
    <row r="28" spans="2:29" s="33" customFormat="1" ht="15" customHeight="1" collapsed="1" x14ac:dyDescent="0.25">
      <c r="B28" s="166" t="s">
        <v>40</v>
      </c>
      <c r="C28" s="107"/>
      <c r="D28" s="107"/>
      <c r="E28" s="108"/>
      <c r="F28" s="114">
        <f>SUM(F29:F39)</f>
        <v>6</v>
      </c>
      <c r="G28" s="108"/>
      <c r="H28" s="153">
        <f>SUM(H29:H39)</f>
        <v>4</v>
      </c>
      <c r="I28" s="108"/>
      <c r="J28" s="114">
        <f>SUM(J29:J39)</f>
        <v>1</v>
      </c>
      <c r="K28" s="108"/>
      <c r="L28" s="114">
        <f>SUM(L29:L39)</f>
        <v>0</v>
      </c>
      <c r="M28" s="154"/>
      <c r="N28" s="3"/>
      <c r="O28" s="3"/>
      <c r="P28" s="3"/>
      <c r="Q28" s="3"/>
      <c r="R28" s="3"/>
      <c r="S28" s="3"/>
      <c r="T28" s="3"/>
      <c r="U28" s="3"/>
      <c r="V28" s="3"/>
      <c r="W28" s="3"/>
      <c r="X28" s="3"/>
      <c r="Y28" s="3"/>
      <c r="Z28" s="3"/>
      <c r="AA28" s="3"/>
      <c r="AB28" s="3"/>
      <c r="AC28" s="3"/>
    </row>
    <row r="29" spans="2:29" s="33" customFormat="1" ht="15" hidden="1" customHeight="1" outlineLevel="1" x14ac:dyDescent="0.25">
      <c r="B29" s="166" t="s">
        <v>70</v>
      </c>
      <c r="C29" s="107"/>
      <c r="D29" s="107"/>
      <c r="E29" s="108"/>
      <c r="F29" s="186">
        <v>1</v>
      </c>
      <c r="G29" s="108"/>
      <c r="H29" s="130"/>
      <c r="I29" s="108"/>
      <c r="J29" s="186"/>
      <c r="K29" s="108"/>
      <c r="L29" s="186"/>
      <c r="M29" s="154"/>
      <c r="N29" s="3"/>
      <c r="O29" s="3"/>
      <c r="P29" s="3"/>
      <c r="Q29" s="3"/>
      <c r="R29" s="3"/>
      <c r="S29" s="3"/>
      <c r="T29" s="3"/>
      <c r="U29" s="3"/>
      <c r="V29" s="3"/>
      <c r="W29" s="3"/>
      <c r="X29" s="3"/>
      <c r="Y29" s="3"/>
      <c r="Z29" s="3"/>
      <c r="AA29" s="3"/>
      <c r="AB29" s="3"/>
      <c r="AC29" s="3"/>
    </row>
    <row r="30" spans="2:29" s="33" customFormat="1" ht="15" hidden="1" customHeight="1" outlineLevel="1" x14ac:dyDescent="0.25">
      <c r="B30" s="166" t="s">
        <v>71</v>
      </c>
      <c r="C30" s="107"/>
      <c r="D30" s="107"/>
      <c r="E30" s="108"/>
      <c r="F30" s="127"/>
      <c r="G30" s="108"/>
      <c r="H30" s="130">
        <v>1</v>
      </c>
      <c r="I30" s="108"/>
      <c r="J30" s="127"/>
      <c r="K30" s="108"/>
      <c r="L30" s="127"/>
      <c r="M30" s="154"/>
      <c r="N30" s="3"/>
      <c r="O30" s="3"/>
      <c r="P30" s="3"/>
      <c r="Q30" s="3"/>
      <c r="R30" s="3"/>
      <c r="S30" s="3"/>
      <c r="T30" s="3"/>
      <c r="U30" s="3"/>
      <c r="V30" s="3"/>
      <c r="W30" s="3"/>
      <c r="X30" s="3"/>
      <c r="Y30" s="3"/>
      <c r="Z30" s="3"/>
      <c r="AA30" s="3"/>
      <c r="AB30" s="3"/>
      <c r="AC30" s="3"/>
    </row>
    <row r="31" spans="2:29" s="33" customFormat="1" ht="15" hidden="1" customHeight="1" outlineLevel="1" x14ac:dyDescent="0.25">
      <c r="B31" s="166" t="s">
        <v>72</v>
      </c>
      <c r="C31" s="107"/>
      <c r="D31" s="107"/>
      <c r="E31" s="108"/>
      <c r="F31" s="127"/>
      <c r="G31" s="108"/>
      <c r="H31" s="130">
        <v>1</v>
      </c>
      <c r="I31" s="108"/>
      <c r="J31" s="127"/>
      <c r="K31" s="108"/>
      <c r="L31" s="127"/>
      <c r="M31" s="154"/>
      <c r="N31" s="3"/>
      <c r="O31" s="3"/>
      <c r="P31" s="3"/>
      <c r="Q31" s="3"/>
      <c r="R31" s="3"/>
      <c r="S31" s="3"/>
      <c r="T31" s="3"/>
      <c r="U31" s="3"/>
      <c r="V31" s="3"/>
      <c r="W31" s="3"/>
      <c r="X31" s="3"/>
      <c r="Y31" s="3"/>
      <c r="Z31" s="3"/>
      <c r="AA31" s="3"/>
      <c r="AB31" s="3"/>
      <c r="AC31" s="3"/>
    </row>
    <row r="32" spans="2:29" s="33" customFormat="1" ht="15" hidden="1" customHeight="1" outlineLevel="1" x14ac:dyDescent="0.25">
      <c r="B32" s="166" t="s">
        <v>73</v>
      </c>
      <c r="C32" s="107"/>
      <c r="D32" s="107"/>
      <c r="E32" s="108"/>
      <c r="F32" s="127">
        <v>1</v>
      </c>
      <c r="G32" s="108"/>
      <c r="H32" s="130"/>
      <c r="I32" s="108"/>
      <c r="J32" s="127"/>
      <c r="K32" s="108"/>
      <c r="L32" s="127"/>
      <c r="M32" s="154"/>
      <c r="N32" s="3"/>
      <c r="O32" s="3"/>
      <c r="P32" s="3"/>
      <c r="Q32" s="3"/>
      <c r="R32" s="3"/>
      <c r="S32" s="3"/>
      <c r="T32" s="3"/>
      <c r="U32" s="3"/>
      <c r="V32" s="3"/>
      <c r="W32" s="3"/>
      <c r="X32" s="3"/>
      <c r="Y32" s="3"/>
      <c r="Z32" s="3"/>
      <c r="AA32" s="3"/>
      <c r="AB32" s="3"/>
      <c r="AC32" s="3"/>
    </row>
    <row r="33" spans="2:29" s="33" customFormat="1" ht="15" hidden="1" customHeight="1" outlineLevel="1" x14ac:dyDescent="0.25">
      <c r="B33" s="166" t="s">
        <v>74</v>
      </c>
      <c r="C33" s="107"/>
      <c r="D33" s="107"/>
      <c r="E33" s="108"/>
      <c r="F33" s="127">
        <v>1</v>
      </c>
      <c r="G33" s="108"/>
      <c r="H33" s="130"/>
      <c r="I33" s="108"/>
      <c r="J33" s="127"/>
      <c r="K33" s="108"/>
      <c r="L33" s="127"/>
      <c r="M33" s="154"/>
      <c r="N33" s="3"/>
      <c r="O33" s="3"/>
      <c r="P33" s="3"/>
      <c r="Q33" s="3"/>
      <c r="R33" s="3"/>
      <c r="S33" s="3"/>
      <c r="T33" s="3"/>
      <c r="U33" s="3"/>
      <c r="V33" s="3"/>
      <c r="W33" s="3"/>
      <c r="X33" s="3"/>
      <c r="Y33" s="3"/>
      <c r="Z33" s="3"/>
      <c r="AA33" s="3"/>
      <c r="AB33" s="3"/>
      <c r="AC33" s="3"/>
    </row>
    <row r="34" spans="2:29" s="33" customFormat="1" ht="15" hidden="1" customHeight="1" outlineLevel="1" x14ac:dyDescent="0.25">
      <c r="B34" s="166" t="s">
        <v>75</v>
      </c>
      <c r="C34" s="107"/>
      <c r="D34" s="107"/>
      <c r="E34" s="108"/>
      <c r="F34" s="127">
        <v>1</v>
      </c>
      <c r="G34" s="108"/>
      <c r="H34" s="130"/>
      <c r="I34" s="108"/>
      <c r="J34" s="127"/>
      <c r="K34" s="108"/>
      <c r="L34" s="127"/>
      <c r="M34" s="154"/>
      <c r="N34" s="3"/>
      <c r="O34" s="3"/>
      <c r="P34" s="3"/>
      <c r="Q34" s="3"/>
      <c r="R34" s="3"/>
      <c r="S34" s="3"/>
      <c r="T34" s="3"/>
      <c r="U34" s="3"/>
      <c r="V34" s="3"/>
      <c r="W34" s="3"/>
      <c r="X34" s="3"/>
      <c r="Y34" s="3"/>
      <c r="Z34" s="3"/>
      <c r="AA34" s="3"/>
      <c r="AB34" s="3"/>
      <c r="AC34" s="3"/>
    </row>
    <row r="35" spans="2:29" s="33" customFormat="1" ht="15" hidden="1" customHeight="1" outlineLevel="1" x14ac:dyDescent="0.25">
      <c r="B35" s="166" t="s">
        <v>76</v>
      </c>
      <c r="C35" s="107"/>
      <c r="D35" s="107"/>
      <c r="E35" s="108"/>
      <c r="F35" s="127">
        <v>1</v>
      </c>
      <c r="G35" s="108"/>
      <c r="H35" s="130"/>
      <c r="I35" s="108"/>
      <c r="J35" s="127"/>
      <c r="K35" s="108"/>
      <c r="L35" s="127"/>
      <c r="M35" s="154"/>
      <c r="N35" s="3"/>
      <c r="O35" s="3"/>
      <c r="P35" s="3"/>
      <c r="Q35" s="3"/>
      <c r="R35" s="3"/>
      <c r="S35" s="3"/>
      <c r="T35" s="3"/>
      <c r="U35" s="3"/>
      <c r="V35" s="3"/>
      <c r="W35" s="3"/>
      <c r="X35" s="3"/>
      <c r="Y35" s="3"/>
      <c r="Z35" s="3"/>
      <c r="AA35" s="3"/>
      <c r="AB35" s="3"/>
      <c r="AC35" s="3"/>
    </row>
    <row r="36" spans="2:29" s="33" customFormat="1" ht="15" hidden="1" customHeight="1" outlineLevel="1" x14ac:dyDescent="0.25">
      <c r="B36" s="166" t="s">
        <v>77</v>
      </c>
      <c r="C36" s="107"/>
      <c r="D36" s="107"/>
      <c r="E36" s="108"/>
      <c r="F36" s="127"/>
      <c r="G36" s="108"/>
      <c r="H36" s="130">
        <v>1</v>
      </c>
      <c r="I36" s="108"/>
      <c r="J36" s="127"/>
      <c r="K36" s="108"/>
      <c r="L36" s="127"/>
      <c r="M36" s="154"/>
      <c r="N36" s="3"/>
      <c r="O36" s="3"/>
      <c r="P36" s="3"/>
      <c r="Q36" s="3"/>
      <c r="R36" s="3"/>
      <c r="S36" s="3"/>
      <c r="T36" s="3"/>
      <c r="U36" s="3"/>
      <c r="V36" s="3"/>
      <c r="W36" s="3"/>
      <c r="X36" s="3"/>
      <c r="Y36" s="3"/>
      <c r="Z36" s="3"/>
      <c r="AA36" s="3"/>
      <c r="AB36" s="3"/>
      <c r="AC36" s="3"/>
    </row>
    <row r="37" spans="2:29" s="33" customFormat="1" ht="15" hidden="1" customHeight="1" outlineLevel="1" x14ac:dyDescent="0.25">
      <c r="B37" s="166" t="s">
        <v>78</v>
      </c>
      <c r="C37" s="107"/>
      <c r="D37" s="107"/>
      <c r="E37" s="108"/>
      <c r="F37" s="127"/>
      <c r="G37" s="108"/>
      <c r="H37" s="130"/>
      <c r="I37" s="108"/>
      <c r="J37" s="127">
        <v>1</v>
      </c>
      <c r="K37" s="108"/>
      <c r="L37" s="127"/>
      <c r="M37" s="154"/>
      <c r="N37" s="3"/>
      <c r="O37" s="3"/>
      <c r="P37" s="3"/>
      <c r="Q37" s="3"/>
      <c r="R37" s="3"/>
      <c r="S37" s="3"/>
      <c r="T37" s="3"/>
      <c r="U37" s="3"/>
      <c r="V37" s="3"/>
      <c r="W37" s="3"/>
      <c r="X37" s="3"/>
      <c r="Y37" s="3"/>
      <c r="Z37" s="3"/>
      <c r="AA37" s="3"/>
      <c r="AB37" s="3"/>
      <c r="AC37" s="3"/>
    </row>
    <row r="38" spans="2:29" s="33" customFormat="1" ht="15" hidden="1" customHeight="1" outlineLevel="1" x14ac:dyDescent="0.25">
      <c r="B38" s="166" t="s">
        <v>41</v>
      </c>
      <c r="C38" s="107"/>
      <c r="D38" s="107"/>
      <c r="E38" s="108"/>
      <c r="F38" s="127"/>
      <c r="G38" s="108"/>
      <c r="H38" s="130">
        <v>1</v>
      </c>
      <c r="I38" s="108"/>
      <c r="J38" s="127"/>
      <c r="K38" s="108"/>
      <c r="L38" s="127"/>
      <c r="M38" s="154"/>
      <c r="N38" s="3"/>
      <c r="O38" s="3"/>
      <c r="P38" s="3"/>
      <c r="Q38" s="3"/>
      <c r="R38" s="3"/>
      <c r="S38" s="3"/>
      <c r="T38" s="3"/>
      <c r="U38" s="3"/>
      <c r="V38" s="3"/>
      <c r="W38" s="3"/>
      <c r="X38" s="3"/>
      <c r="Y38" s="3"/>
      <c r="Z38" s="3"/>
      <c r="AA38" s="3"/>
      <c r="AB38" s="3"/>
      <c r="AC38" s="3"/>
    </row>
    <row r="39" spans="2:29" s="33" customFormat="1" ht="15" hidden="1" customHeight="1" outlineLevel="1" x14ac:dyDescent="0.25">
      <c r="B39" s="166" t="s">
        <v>79</v>
      </c>
      <c r="C39" s="107"/>
      <c r="D39" s="107"/>
      <c r="E39" s="108"/>
      <c r="F39" s="187">
        <v>1</v>
      </c>
      <c r="G39" s="108"/>
      <c r="H39" s="130"/>
      <c r="I39" s="108"/>
      <c r="J39" s="187"/>
      <c r="K39" s="108"/>
      <c r="L39" s="187"/>
      <c r="M39" s="154"/>
      <c r="N39" s="3"/>
      <c r="O39" s="3"/>
      <c r="P39" s="3"/>
      <c r="Q39" s="3"/>
      <c r="R39" s="3"/>
      <c r="S39" s="3"/>
      <c r="T39" s="3"/>
      <c r="U39" s="3"/>
      <c r="V39" s="3"/>
      <c r="W39" s="3"/>
      <c r="X39" s="3"/>
      <c r="Y39" s="3"/>
      <c r="Z39" s="3"/>
      <c r="AA39" s="3"/>
      <c r="AB39" s="3"/>
      <c r="AC39" s="3"/>
    </row>
    <row r="40" spans="2:29" s="33" customFormat="1" ht="15" customHeight="1" collapsed="1" x14ac:dyDescent="0.25">
      <c r="B40" s="126" t="s">
        <v>80</v>
      </c>
      <c r="C40" s="155"/>
      <c r="D40" s="155"/>
      <c r="E40" s="156"/>
      <c r="F40" s="117">
        <f>SUM(F41:F44)</f>
        <v>3</v>
      </c>
      <c r="G40" s="156"/>
      <c r="H40" s="129">
        <f>SUM(H41:H44)</f>
        <v>0</v>
      </c>
      <c r="I40" s="156"/>
      <c r="J40" s="117">
        <f>SUM(J41:J44)</f>
        <v>1</v>
      </c>
      <c r="K40" s="156"/>
      <c r="L40" s="117">
        <f>SUM(L41:L44)</f>
        <v>0</v>
      </c>
      <c r="M40" s="118"/>
      <c r="N40" s="3"/>
      <c r="O40" s="3"/>
      <c r="P40" s="3"/>
      <c r="Q40" s="3"/>
      <c r="R40" s="3"/>
      <c r="S40" s="3"/>
      <c r="T40" s="3"/>
      <c r="U40" s="3"/>
      <c r="V40" s="3"/>
      <c r="W40" s="3"/>
      <c r="X40" s="3"/>
      <c r="Y40" s="3"/>
      <c r="Z40" s="3"/>
      <c r="AA40" s="3"/>
      <c r="AB40" s="3"/>
      <c r="AC40" s="3"/>
    </row>
    <row r="41" spans="2:29" s="33" customFormat="1" ht="15" hidden="1" customHeight="1" outlineLevel="1" x14ac:dyDescent="0.25">
      <c r="B41" s="166" t="s">
        <v>81</v>
      </c>
      <c r="C41" s="107"/>
      <c r="D41" s="107"/>
      <c r="E41" s="108"/>
      <c r="F41" s="186">
        <v>1</v>
      </c>
      <c r="G41" s="108"/>
      <c r="H41" s="188"/>
      <c r="I41" s="108"/>
      <c r="J41" s="186"/>
      <c r="K41" s="108"/>
      <c r="L41" s="186"/>
      <c r="M41" s="154"/>
      <c r="N41" s="3"/>
      <c r="O41" s="3"/>
      <c r="P41" s="3"/>
      <c r="Q41" s="3"/>
      <c r="R41" s="3"/>
      <c r="S41" s="3"/>
      <c r="T41" s="3"/>
      <c r="U41" s="3"/>
      <c r="V41" s="3"/>
      <c r="W41" s="3"/>
      <c r="X41" s="3"/>
      <c r="Y41" s="3"/>
      <c r="Z41" s="3"/>
      <c r="AA41" s="3"/>
      <c r="AB41" s="3"/>
      <c r="AC41" s="3"/>
    </row>
    <row r="42" spans="2:29" s="33" customFormat="1" ht="15" hidden="1" customHeight="1" outlineLevel="1" x14ac:dyDescent="0.25">
      <c r="B42" s="166" t="s">
        <v>82</v>
      </c>
      <c r="C42" s="107"/>
      <c r="D42" s="107"/>
      <c r="E42" s="108"/>
      <c r="F42" s="127"/>
      <c r="G42" s="108"/>
      <c r="H42" s="130"/>
      <c r="I42" s="108"/>
      <c r="J42" s="127">
        <v>1</v>
      </c>
      <c r="K42" s="108"/>
      <c r="L42" s="127"/>
      <c r="M42" s="154"/>
      <c r="N42" s="3"/>
      <c r="O42" s="3"/>
      <c r="P42" s="3"/>
      <c r="Q42" s="3"/>
      <c r="R42" s="3"/>
      <c r="S42" s="3"/>
      <c r="T42" s="3"/>
      <c r="U42" s="3"/>
      <c r="V42" s="3"/>
      <c r="W42" s="3"/>
      <c r="X42" s="3"/>
      <c r="Y42" s="3"/>
      <c r="Z42" s="3"/>
      <c r="AA42" s="3"/>
      <c r="AB42" s="3"/>
      <c r="AC42" s="3"/>
    </row>
    <row r="43" spans="2:29" s="33" customFormat="1" ht="15" hidden="1" customHeight="1" outlineLevel="1" x14ac:dyDescent="0.25">
      <c r="B43" s="166" t="s">
        <v>83</v>
      </c>
      <c r="C43" s="107"/>
      <c r="D43" s="107"/>
      <c r="E43" s="108"/>
      <c r="F43" s="127">
        <v>1</v>
      </c>
      <c r="G43" s="108"/>
      <c r="H43" s="130"/>
      <c r="I43" s="108"/>
      <c r="J43" s="127"/>
      <c r="K43" s="108"/>
      <c r="L43" s="127"/>
      <c r="M43" s="154"/>
      <c r="N43" s="3"/>
      <c r="O43" s="3"/>
      <c r="P43" s="3"/>
      <c r="Q43" s="3"/>
      <c r="R43" s="3"/>
      <c r="S43" s="3"/>
      <c r="T43" s="3"/>
      <c r="U43" s="3"/>
      <c r="V43" s="3"/>
      <c r="W43" s="3"/>
      <c r="X43" s="3"/>
      <c r="Y43" s="3"/>
      <c r="Z43" s="3"/>
      <c r="AA43" s="3"/>
      <c r="AB43" s="3"/>
      <c r="AC43" s="3"/>
    </row>
    <row r="44" spans="2:29" s="33" customFormat="1" ht="15" hidden="1" customHeight="1" outlineLevel="1" x14ac:dyDescent="0.25">
      <c r="B44" s="166" t="s">
        <v>84</v>
      </c>
      <c r="C44" s="107"/>
      <c r="D44" s="107"/>
      <c r="E44" s="108"/>
      <c r="F44" s="187">
        <v>1</v>
      </c>
      <c r="G44" s="108"/>
      <c r="H44" s="189"/>
      <c r="I44" s="108"/>
      <c r="J44" s="187"/>
      <c r="K44" s="108"/>
      <c r="L44" s="187"/>
      <c r="M44" s="154"/>
      <c r="N44" s="3"/>
      <c r="O44" s="3"/>
      <c r="P44" s="3"/>
      <c r="Q44" s="3"/>
      <c r="R44" s="3"/>
      <c r="S44" s="3"/>
      <c r="T44" s="3"/>
      <c r="U44" s="3"/>
      <c r="V44" s="3"/>
      <c r="W44" s="3"/>
      <c r="X44" s="3"/>
      <c r="Y44" s="3"/>
      <c r="Z44" s="3"/>
      <c r="AA44" s="3"/>
      <c r="AB44" s="3"/>
      <c r="AC44" s="3"/>
    </row>
    <row r="45" spans="2:29" s="33" customFormat="1" ht="15" customHeight="1" collapsed="1" x14ac:dyDescent="0.25">
      <c r="B45" s="166" t="s">
        <v>85</v>
      </c>
      <c r="C45" s="107"/>
      <c r="D45" s="107"/>
      <c r="E45" s="108"/>
      <c r="F45" s="114">
        <f>SUM(F46:F69)</f>
        <v>18</v>
      </c>
      <c r="G45" s="108"/>
      <c r="H45" s="153">
        <f>SUM(H46:H69)</f>
        <v>1</v>
      </c>
      <c r="I45" s="108"/>
      <c r="J45" s="114">
        <f>SUM(J46:J69)</f>
        <v>5</v>
      </c>
      <c r="K45" s="108"/>
      <c r="L45" s="114">
        <f>SUM(L46:L69)</f>
        <v>0</v>
      </c>
      <c r="M45" s="154"/>
      <c r="N45" s="3"/>
      <c r="O45" s="3"/>
      <c r="P45" s="3"/>
      <c r="Q45" s="3"/>
      <c r="R45" s="3"/>
      <c r="S45" s="3"/>
      <c r="T45" s="3"/>
      <c r="U45" s="3"/>
      <c r="V45" s="3"/>
      <c r="W45" s="3"/>
      <c r="X45" s="3"/>
      <c r="Y45" s="3"/>
      <c r="Z45" s="3"/>
      <c r="AA45" s="3"/>
      <c r="AB45" s="3"/>
      <c r="AC45" s="3"/>
    </row>
    <row r="46" spans="2:29" s="33" customFormat="1" ht="15" hidden="1" customHeight="1" outlineLevel="1" x14ac:dyDescent="0.25">
      <c r="B46" s="166" t="s">
        <v>86</v>
      </c>
      <c r="C46" s="107"/>
      <c r="D46" s="107"/>
      <c r="E46" s="108"/>
      <c r="F46" s="186">
        <v>1</v>
      </c>
      <c r="G46" s="108"/>
      <c r="H46" s="188"/>
      <c r="I46" s="108"/>
      <c r="J46" s="186"/>
      <c r="K46" s="108"/>
      <c r="L46" s="186"/>
      <c r="M46" s="154"/>
      <c r="N46" s="3"/>
      <c r="O46" s="3"/>
      <c r="P46" s="3"/>
      <c r="Q46" s="3"/>
      <c r="R46" s="3"/>
      <c r="S46" s="3"/>
      <c r="T46" s="3"/>
      <c r="U46" s="3"/>
      <c r="V46" s="3"/>
      <c r="W46" s="3"/>
      <c r="X46" s="3"/>
      <c r="Y46" s="3"/>
      <c r="Z46" s="3"/>
      <c r="AA46" s="3"/>
      <c r="AB46" s="3"/>
      <c r="AC46" s="3"/>
    </row>
    <row r="47" spans="2:29" s="33" customFormat="1" ht="15" hidden="1" customHeight="1" outlineLevel="1" x14ac:dyDescent="0.25">
      <c r="B47" s="166" t="s">
        <v>87</v>
      </c>
      <c r="C47" s="107"/>
      <c r="D47" s="107"/>
      <c r="E47" s="108"/>
      <c r="F47" s="127">
        <v>1</v>
      </c>
      <c r="G47" s="108"/>
      <c r="H47" s="130"/>
      <c r="I47" s="108"/>
      <c r="J47" s="127"/>
      <c r="K47" s="108"/>
      <c r="L47" s="127"/>
      <c r="M47" s="154"/>
      <c r="N47" s="3"/>
      <c r="O47" s="3"/>
      <c r="P47" s="3"/>
      <c r="Q47" s="3"/>
      <c r="R47" s="3"/>
      <c r="S47" s="3"/>
      <c r="T47" s="3"/>
      <c r="U47" s="3"/>
      <c r="V47" s="3"/>
      <c r="W47" s="3"/>
      <c r="X47" s="3"/>
      <c r="Y47" s="3"/>
      <c r="Z47" s="3"/>
      <c r="AA47" s="3"/>
      <c r="AB47" s="3"/>
      <c r="AC47" s="3"/>
    </row>
    <row r="48" spans="2:29" s="33" customFormat="1" ht="15" hidden="1" customHeight="1" outlineLevel="1" x14ac:dyDescent="0.25">
      <c r="B48" s="166" t="s">
        <v>88</v>
      </c>
      <c r="C48" s="107"/>
      <c r="D48" s="107"/>
      <c r="E48" s="108"/>
      <c r="F48" s="127">
        <v>1</v>
      </c>
      <c r="G48" s="108"/>
      <c r="H48" s="130"/>
      <c r="I48" s="108"/>
      <c r="J48" s="127"/>
      <c r="K48" s="108"/>
      <c r="L48" s="127"/>
      <c r="M48" s="154"/>
      <c r="N48" s="3"/>
      <c r="O48" s="3"/>
      <c r="P48" s="3"/>
      <c r="Q48" s="3"/>
      <c r="R48" s="3"/>
      <c r="S48" s="3"/>
      <c r="T48" s="3"/>
      <c r="U48" s="3"/>
      <c r="V48" s="3"/>
      <c r="W48" s="3"/>
      <c r="X48" s="3"/>
      <c r="Y48" s="3"/>
      <c r="Z48" s="3"/>
      <c r="AA48" s="3"/>
      <c r="AB48" s="3"/>
      <c r="AC48" s="3"/>
    </row>
    <row r="49" spans="2:29" s="33" customFormat="1" ht="15" hidden="1" customHeight="1" outlineLevel="1" x14ac:dyDescent="0.25">
      <c r="B49" s="166" t="s">
        <v>89</v>
      </c>
      <c r="C49" s="107"/>
      <c r="D49" s="107"/>
      <c r="E49" s="108"/>
      <c r="F49" s="127">
        <v>1</v>
      </c>
      <c r="G49" s="108"/>
      <c r="H49" s="130"/>
      <c r="I49" s="108"/>
      <c r="J49" s="127"/>
      <c r="K49" s="108"/>
      <c r="L49" s="127"/>
      <c r="M49" s="154"/>
      <c r="N49" s="3"/>
      <c r="O49" s="3"/>
      <c r="P49" s="3"/>
      <c r="Q49" s="3"/>
      <c r="R49" s="3"/>
      <c r="S49" s="3"/>
      <c r="T49" s="3"/>
      <c r="U49" s="3"/>
      <c r="V49" s="3"/>
      <c r="W49" s="3"/>
      <c r="X49" s="3"/>
      <c r="Y49" s="3"/>
      <c r="Z49" s="3"/>
      <c r="AA49" s="3"/>
      <c r="AB49" s="3"/>
      <c r="AC49" s="3"/>
    </row>
    <row r="50" spans="2:29" s="33" customFormat="1" ht="15" hidden="1" customHeight="1" outlineLevel="1" x14ac:dyDescent="0.25">
      <c r="B50" s="166" t="s">
        <v>90</v>
      </c>
      <c r="C50" s="107"/>
      <c r="D50" s="107"/>
      <c r="E50" s="108"/>
      <c r="F50" s="127">
        <v>1</v>
      </c>
      <c r="G50" s="108"/>
      <c r="H50" s="130"/>
      <c r="I50" s="108"/>
      <c r="J50" s="127"/>
      <c r="K50" s="108"/>
      <c r="L50" s="127"/>
      <c r="M50" s="154"/>
      <c r="N50" s="3"/>
      <c r="O50" s="3"/>
      <c r="P50" s="3"/>
      <c r="Q50" s="3"/>
      <c r="R50" s="3"/>
      <c r="S50" s="3"/>
      <c r="T50" s="3"/>
      <c r="U50" s="3"/>
      <c r="V50" s="3"/>
      <c r="W50" s="3"/>
      <c r="X50" s="3"/>
      <c r="Y50" s="3"/>
      <c r="Z50" s="3"/>
      <c r="AA50" s="3"/>
      <c r="AB50" s="3"/>
      <c r="AC50" s="3"/>
    </row>
    <row r="51" spans="2:29" s="33" customFormat="1" ht="15" hidden="1" customHeight="1" outlineLevel="1" x14ac:dyDescent="0.25">
      <c r="B51" s="166" t="s">
        <v>54</v>
      </c>
      <c r="C51" s="107"/>
      <c r="D51" s="107"/>
      <c r="E51" s="108"/>
      <c r="F51" s="127">
        <v>1</v>
      </c>
      <c r="G51" s="108"/>
      <c r="H51" s="130"/>
      <c r="I51" s="108"/>
      <c r="J51" s="127"/>
      <c r="K51" s="108"/>
      <c r="L51" s="127"/>
      <c r="M51" s="154"/>
      <c r="N51" s="3"/>
      <c r="O51" s="3"/>
      <c r="P51" s="3"/>
      <c r="Q51" s="3"/>
      <c r="R51" s="3"/>
      <c r="S51" s="3"/>
      <c r="T51" s="3"/>
      <c r="U51" s="3"/>
      <c r="V51" s="3"/>
      <c r="W51" s="3"/>
      <c r="X51" s="3"/>
      <c r="Y51" s="3"/>
      <c r="Z51" s="3"/>
      <c r="AA51" s="3"/>
      <c r="AB51" s="3"/>
      <c r="AC51" s="3"/>
    </row>
    <row r="52" spans="2:29" s="33" customFormat="1" ht="15" hidden="1" customHeight="1" outlineLevel="1" x14ac:dyDescent="0.25">
      <c r="B52" s="166" t="s">
        <v>91</v>
      </c>
      <c r="C52" s="107"/>
      <c r="D52" s="107"/>
      <c r="E52" s="108"/>
      <c r="F52" s="127">
        <v>1</v>
      </c>
      <c r="G52" s="108"/>
      <c r="H52" s="130"/>
      <c r="I52" s="108"/>
      <c r="J52" s="127"/>
      <c r="K52" s="108"/>
      <c r="L52" s="127"/>
      <c r="M52" s="154"/>
      <c r="N52" s="3"/>
      <c r="O52" s="3"/>
      <c r="P52" s="3"/>
      <c r="Q52" s="3"/>
      <c r="R52" s="3"/>
      <c r="S52" s="3"/>
      <c r="T52" s="3"/>
      <c r="U52" s="3"/>
      <c r="V52" s="3"/>
      <c r="W52" s="3"/>
      <c r="X52" s="3"/>
      <c r="Y52" s="3"/>
      <c r="Z52" s="3"/>
      <c r="AA52" s="3"/>
      <c r="AB52" s="3"/>
      <c r="AC52" s="3"/>
    </row>
    <row r="53" spans="2:29" s="33" customFormat="1" ht="15" hidden="1" customHeight="1" outlineLevel="1" x14ac:dyDescent="0.25">
      <c r="B53" s="166" t="s">
        <v>92</v>
      </c>
      <c r="C53" s="107"/>
      <c r="D53" s="107"/>
      <c r="E53" s="108"/>
      <c r="F53" s="127"/>
      <c r="G53" s="108"/>
      <c r="H53" s="130"/>
      <c r="I53" s="108"/>
      <c r="J53" s="127">
        <v>1</v>
      </c>
      <c r="K53" s="108"/>
      <c r="L53" s="127"/>
      <c r="M53" s="154"/>
      <c r="N53" s="3"/>
      <c r="O53" s="3"/>
      <c r="P53" s="3"/>
      <c r="Q53" s="3"/>
      <c r="R53" s="3"/>
      <c r="S53" s="3"/>
      <c r="T53" s="3"/>
      <c r="U53" s="3"/>
      <c r="V53" s="3"/>
      <c r="W53" s="3"/>
      <c r="X53" s="3"/>
      <c r="Y53" s="3"/>
      <c r="Z53" s="3"/>
      <c r="AA53" s="3"/>
      <c r="AB53" s="3"/>
      <c r="AC53" s="3"/>
    </row>
    <row r="54" spans="2:29" s="33" customFormat="1" ht="15" hidden="1" customHeight="1" outlineLevel="1" x14ac:dyDescent="0.25">
      <c r="B54" s="166" t="s">
        <v>93</v>
      </c>
      <c r="C54" s="107"/>
      <c r="D54" s="107"/>
      <c r="E54" s="108"/>
      <c r="F54" s="127">
        <v>1</v>
      </c>
      <c r="G54" s="108"/>
      <c r="H54" s="130"/>
      <c r="I54" s="108"/>
      <c r="J54" s="127"/>
      <c r="K54" s="108"/>
      <c r="L54" s="127"/>
      <c r="M54" s="154"/>
      <c r="N54" s="3"/>
      <c r="O54" s="3"/>
      <c r="P54" s="3"/>
      <c r="Q54" s="3"/>
      <c r="R54" s="3"/>
      <c r="S54" s="3"/>
      <c r="T54" s="3"/>
      <c r="U54" s="3"/>
      <c r="V54" s="3"/>
      <c r="W54" s="3"/>
      <c r="X54" s="3"/>
      <c r="Y54" s="3"/>
      <c r="Z54" s="3"/>
      <c r="AA54" s="3"/>
      <c r="AB54" s="3"/>
      <c r="AC54" s="3"/>
    </row>
    <row r="55" spans="2:29" s="33" customFormat="1" ht="15" hidden="1" customHeight="1" outlineLevel="1" x14ac:dyDescent="0.25">
      <c r="B55" s="166" t="s">
        <v>42</v>
      </c>
      <c r="C55" s="107"/>
      <c r="D55" s="107"/>
      <c r="E55" s="108"/>
      <c r="F55" s="127"/>
      <c r="G55" s="108"/>
      <c r="H55" s="130"/>
      <c r="I55" s="108"/>
      <c r="J55" s="127">
        <v>1</v>
      </c>
      <c r="K55" s="108"/>
      <c r="L55" s="127"/>
      <c r="M55" s="154"/>
      <c r="N55" s="3"/>
      <c r="O55" s="3"/>
      <c r="P55" s="3"/>
      <c r="Q55" s="3"/>
      <c r="R55" s="3"/>
      <c r="S55" s="3"/>
      <c r="T55" s="3"/>
      <c r="U55" s="3"/>
      <c r="V55" s="3"/>
      <c r="W55" s="3"/>
      <c r="X55" s="3"/>
      <c r="Y55" s="3"/>
      <c r="Z55" s="3"/>
      <c r="AA55" s="3"/>
      <c r="AB55" s="3"/>
      <c r="AC55" s="3"/>
    </row>
    <row r="56" spans="2:29" s="33" customFormat="1" ht="15" hidden="1" customHeight="1" outlineLevel="1" x14ac:dyDescent="0.25">
      <c r="B56" s="166" t="s">
        <v>94</v>
      </c>
      <c r="C56" s="107"/>
      <c r="D56" s="107"/>
      <c r="E56" s="108"/>
      <c r="F56" s="127">
        <v>1</v>
      </c>
      <c r="G56" s="108"/>
      <c r="H56" s="130"/>
      <c r="I56" s="108"/>
      <c r="J56" s="127"/>
      <c r="K56" s="108"/>
      <c r="L56" s="127"/>
      <c r="M56" s="154"/>
      <c r="N56" s="3"/>
      <c r="O56" s="3"/>
      <c r="P56" s="3"/>
      <c r="Q56" s="3"/>
      <c r="R56" s="3"/>
      <c r="S56" s="3"/>
      <c r="T56" s="3"/>
      <c r="U56" s="3"/>
      <c r="V56" s="3"/>
      <c r="W56" s="3"/>
      <c r="X56" s="3"/>
      <c r="Y56" s="3"/>
      <c r="Z56" s="3"/>
      <c r="AA56" s="3"/>
      <c r="AB56" s="3"/>
      <c r="AC56" s="3"/>
    </row>
    <row r="57" spans="2:29" s="33" customFormat="1" ht="15" hidden="1" customHeight="1" outlineLevel="1" x14ac:dyDescent="0.25">
      <c r="B57" s="166" t="s">
        <v>43</v>
      </c>
      <c r="C57" s="107"/>
      <c r="D57" s="107"/>
      <c r="E57" s="108"/>
      <c r="F57" s="127">
        <v>1</v>
      </c>
      <c r="G57" s="108"/>
      <c r="H57" s="130"/>
      <c r="I57" s="108"/>
      <c r="J57" s="127"/>
      <c r="K57" s="108"/>
      <c r="L57" s="127"/>
      <c r="M57" s="154"/>
      <c r="N57" s="3"/>
      <c r="O57" s="3"/>
      <c r="P57" s="3"/>
      <c r="Q57" s="3"/>
      <c r="R57" s="3"/>
      <c r="S57" s="3"/>
      <c r="T57" s="3"/>
      <c r="U57" s="3"/>
      <c r="V57" s="3"/>
      <c r="W57" s="3"/>
      <c r="X57" s="3"/>
      <c r="Y57" s="3"/>
      <c r="Z57" s="3"/>
      <c r="AA57" s="3"/>
      <c r="AB57" s="3"/>
      <c r="AC57" s="3"/>
    </row>
    <row r="58" spans="2:29" s="33" customFormat="1" ht="15" hidden="1" customHeight="1" outlineLevel="1" x14ac:dyDescent="0.25">
      <c r="B58" s="166" t="s">
        <v>44</v>
      </c>
      <c r="C58" s="107"/>
      <c r="D58" s="107"/>
      <c r="E58" s="108"/>
      <c r="F58" s="127">
        <v>1</v>
      </c>
      <c r="G58" s="108"/>
      <c r="H58" s="130"/>
      <c r="I58" s="108"/>
      <c r="J58" s="127"/>
      <c r="K58" s="108"/>
      <c r="L58" s="127"/>
      <c r="M58" s="154"/>
      <c r="N58" s="3"/>
      <c r="O58" s="3"/>
      <c r="P58" s="3"/>
      <c r="Q58" s="3"/>
      <c r="R58" s="3"/>
      <c r="S58" s="3"/>
      <c r="T58" s="3"/>
      <c r="U58" s="3"/>
      <c r="V58" s="3"/>
      <c r="W58" s="3"/>
      <c r="X58" s="3"/>
      <c r="Y58" s="3"/>
      <c r="Z58" s="3"/>
      <c r="AA58" s="3"/>
      <c r="AB58" s="3"/>
      <c r="AC58" s="3"/>
    </row>
    <row r="59" spans="2:29" s="33" customFormat="1" ht="15" hidden="1" customHeight="1" outlineLevel="1" x14ac:dyDescent="0.25">
      <c r="B59" s="166" t="s">
        <v>95</v>
      </c>
      <c r="C59" s="107"/>
      <c r="D59" s="107"/>
      <c r="E59" s="108"/>
      <c r="F59" s="127">
        <v>1</v>
      </c>
      <c r="G59" s="108"/>
      <c r="H59" s="130"/>
      <c r="I59" s="108"/>
      <c r="J59" s="127"/>
      <c r="K59" s="108"/>
      <c r="L59" s="127"/>
      <c r="M59" s="154"/>
      <c r="N59" s="3"/>
      <c r="O59" s="3"/>
      <c r="P59" s="3"/>
      <c r="Q59" s="3"/>
      <c r="R59" s="3"/>
      <c r="S59" s="3"/>
      <c r="T59" s="3"/>
      <c r="U59" s="3"/>
      <c r="V59" s="3"/>
      <c r="W59" s="3"/>
      <c r="X59" s="3"/>
      <c r="Y59" s="3"/>
      <c r="Z59" s="3"/>
      <c r="AA59" s="3"/>
      <c r="AB59" s="3"/>
      <c r="AC59" s="3"/>
    </row>
    <row r="60" spans="2:29" s="33" customFormat="1" ht="15" hidden="1" customHeight="1" outlineLevel="1" x14ac:dyDescent="0.25">
      <c r="B60" s="166" t="s">
        <v>96</v>
      </c>
      <c r="C60" s="107"/>
      <c r="D60" s="107"/>
      <c r="E60" s="108"/>
      <c r="F60" s="127">
        <v>1</v>
      </c>
      <c r="G60" s="108"/>
      <c r="H60" s="130"/>
      <c r="I60" s="108"/>
      <c r="J60" s="127"/>
      <c r="K60" s="108"/>
      <c r="L60" s="127"/>
      <c r="M60" s="154"/>
      <c r="N60" s="3"/>
      <c r="O60" s="3"/>
      <c r="P60" s="3"/>
      <c r="Q60" s="3"/>
      <c r="R60" s="3"/>
      <c r="S60" s="3"/>
      <c r="T60" s="3"/>
      <c r="U60" s="3"/>
      <c r="V60" s="3"/>
      <c r="W60" s="3"/>
      <c r="X60" s="3"/>
      <c r="Y60" s="3"/>
      <c r="Z60" s="3"/>
      <c r="AA60" s="3"/>
      <c r="AB60" s="3"/>
      <c r="AC60" s="3"/>
    </row>
    <row r="61" spans="2:29" s="33" customFormat="1" ht="15" hidden="1" customHeight="1" outlineLevel="1" x14ac:dyDescent="0.25">
      <c r="B61" s="166" t="s">
        <v>97</v>
      </c>
      <c r="C61" s="107"/>
      <c r="D61" s="107"/>
      <c r="E61" s="108"/>
      <c r="F61" s="127">
        <v>1</v>
      </c>
      <c r="G61" s="108"/>
      <c r="H61" s="130"/>
      <c r="I61" s="108"/>
      <c r="J61" s="127"/>
      <c r="K61" s="108"/>
      <c r="L61" s="127"/>
      <c r="M61" s="154"/>
      <c r="N61" s="3"/>
      <c r="O61" s="3"/>
      <c r="P61" s="3"/>
      <c r="Q61" s="3"/>
      <c r="R61" s="3"/>
      <c r="S61" s="3"/>
      <c r="T61" s="3"/>
      <c r="U61" s="3"/>
      <c r="V61" s="3"/>
      <c r="W61" s="3"/>
      <c r="X61" s="3"/>
      <c r="Y61" s="3"/>
      <c r="Z61" s="3"/>
      <c r="AA61" s="3"/>
      <c r="AB61" s="3"/>
      <c r="AC61" s="3"/>
    </row>
    <row r="62" spans="2:29" s="33" customFormat="1" ht="15" hidden="1" customHeight="1" outlineLevel="1" x14ac:dyDescent="0.25">
      <c r="B62" s="166" t="s">
        <v>98</v>
      </c>
      <c r="C62" s="107"/>
      <c r="D62" s="107"/>
      <c r="E62" s="108"/>
      <c r="F62" s="127"/>
      <c r="G62" s="108"/>
      <c r="H62" s="130"/>
      <c r="I62" s="108"/>
      <c r="J62" s="127">
        <v>1</v>
      </c>
      <c r="K62" s="108"/>
      <c r="L62" s="127"/>
      <c r="M62" s="154"/>
      <c r="N62" s="3"/>
      <c r="O62" s="3"/>
      <c r="P62" s="3"/>
      <c r="Q62" s="3"/>
      <c r="R62" s="3"/>
      <c r="S62" s="3"/>
      <c r="T62" s="3"/>
      <c r="U62" s="3"/>
      <c r="V62" s="3"/>
      <c r="W62" s="3"/>
      <c r="X62" s="3"/>
      <c r="Y62" s="3"/>
      <c r="Z62" s="3"/>
      <c r="AA62" s="3"/>
      <c r="AB62" s="3"/>
      <c r="AC62" s="3"/>
    </row>
    <row r="63" spans="2:29" s="33" customFormat="1" ht="15" hidden="1" customHeight="1" outlineLevel="1" x14ac:dyDescent="0.25">
      <c r="B63" s="166" t="s">
        <v>46</v>
      </c>
      <c r="C63" s="107"/>
      <c r="D63" s="107"/>
      <c r="E63" s="108"/>
      <c r="F63" s="127">
        <v>1</v>
      </c>
      <c r="G63" s="108"/>
      <c r="H63" s="130"/>
      <c r="I63" s="108"/>
      <c r="J63" s="127"/>
      <c r="K63" s="108"/>
      <c r="L63" s="127"/>
      <c r="M63" s="154"/>
      <c r="N63" s="3"/>
      <c r="O63" s="3"/>
      <c r="P63" s="3"/>
      <c r="Q63" s="3"/>
      <c r="R63" s="3"/>
      <c r="S63" s="3"/>
      <c r="T63" s="3"/>
      <c r="U63" s="3"/>
      <c r="V63" s="3"/>
      <c r="W63" s="3"/>
      <c r="X63" s="3"/>
      <c r="Y63" s="3"/>
      <c r="Z63" s="3"/>
      <c r="AA63" s="3"/>
      <c r="AB63" s="3"/>
      <c r="AC63" s="3"/>
    </row>
    <row r="64" spans="2:29" s="33" customFormat="1" ht="15" hidden="1" customHeight="1" outlineLevel="1" x14ac:dyDescent="0.25">
      <c r="B64" s="166" t="s">
        <v>45</v>
      </c>
      <c r="C64" s="107"/>
      <c r="D64" s="107"/>
      <c r="E64" s="108"/>
      <c r="F64" s="127"/>
      <c r="G64" s="108"/>
      <c r="H64" s="130">
        <v>1</v>
      </c>
      <c r="I64" s="108"/>
      <c r="J64" s="127"/>
      <c r="K64" s="108"/>
      <c r="L64" s="127"/>
      <c r="M64" s="154"/>
      <c r="N64" s="3"/>
      <c r="O64" s="3"/>
      <c r="P64" s="3"/>
      <c r="Q64" s="3"/>
      <c r="R64" s="3"/>
      <c r="S64" s="3"/>
      <c r="T64" s="3"/>
      <c r="U64" s="3"/>
      <c r="V64" s="3"/>
      <c r="W64" s="3"/>
      <c r="X64" s="3"/>
      <c r="Y64" s="3"/>
      <c r="Z64" s="3"/>
      <c r="AA64" s="3"/>
      <c r="AB64" s="3"/>
      <c r="AC64" s="3"/>
    </row>
    <row r="65" spans="2:29" s="33" customFormat="1" ht="15" hidden="1" customHeight="1" outlineLevel="1" x14ac:dyDescent="0.25">
      <c r="B65" s="166" t="s">
        <v>99</v>
      </c>
      <c r="C65" s="107"/>
      <c r="D65" s="107"/>
      <c r="E65" s="108"/>
      <c r="F65" s="127">
        <v>1</v>
      </c>
      <c r="G65" s="108"/>
      <c r="H65" s="130"/>
      <c r="I65" s="108"/>
      <c r="J65" s="127"/>
      <c r="K65" s="108"/>
      <c r="L65" s="127"/>
      <c r="M65" s="154"/>
      <c r="N65" s="3"/>
      <c r="O65" s="3"/>
      <c r="P65" s="3"/>
      <c r="Q65" s="3"/>
      <c r="R65" s="3"/>
      <c r="S65" s="3"/>
      <c r="T65" s="3"/>
      <c r="U65" s="3"/>
      <c r="V65" s="3"/>
      <c r="W65" s="3"/>
      <c r="X65" s="3"/>
      <c r="Y65" s="3"/>
      <c r="Z65" s="3"/>
      <c r="AA65" s="3"/>
      <c r="AB65" s="3"/>
      <c r="AC65" s="3"/>
    </row>
    <row r="66" spans="2:29" s="33" customFormat="1" ht="15" hidden="1" customHeight="1" outlineLevel="1" x14ac:dyDescent="0.25">
      <c r="B66" s="166" t="s">
        <v>100</v>
      </c>
      <c r="C66" s="107"/>
      <c r="D66" s="107"/>
      <c r="E66" s="108"/>
      <c r="F66" s="127"/>
      <c r="G66" s="108"/>
      <c r="H66" s="130"/>
      <c r="I66" s="108"/>
      <c r="J66" s="127">
        <v>1</v>
      </c>
      <c r="K66" s="108"/>
      <c r="L66" s="127"/>
      <c r="M66" s="154"/>
      <c r="N66" s="3"/>
      <c r="O66" s="3"/>
      <c r="P66" s="3"/>
      <c r="Q66" s="3"/>
      <c r="R66" s="3"/>
      <c r="S66" s="3"/>
      <c r="T66" s="3"/>
      <c r="U66" s="3"/>
      <c r="V66" s="3"/>
      <c r="W66" s="3"/>
      <c r="X66" s="3"/>
      <c r="Y66" s="3"/>
      <c r="Z66" s="3"/>
      <c r="AA66" s="3"/>
      <c r="AB66" s="3"/>
      <c r="AC66" s="3"/>
    </row>
    <row r="67" spans="2:29" s="33" customFormat="1" ht="15" hidden="1" customHeight="1" outlineLevel="1" x14ac:dyDescent="0.25">
      <c r="B67" s="166" t="s">
        <v>101</v>
      </c>
      <c r="C67" s="107"/>
      <c r="D67" s="107"/>
      <c r="E67" s="108"/>
      <c r="F67" s="127"/>
      <c r="G67" s="108"/>
      <c r="H67" s="130"/>
      <c r="I67" s="108"/>
      <c r="J67" s="127">
        <v>1</v>
      </c>
      <c r="K67" s="108"/>
      <c r="L67" s="127"/>
      <c r="M67" s="154"/>
      <c r="N67" s="3"/>
      <c r="O67" s="3"/>
      <c r="P67" s="3"/>
      <c r="Q67" s="3"/>
      <c r="R67" s="3"/>
      <c r="S67" s="3"/>
      <c r="T67" s="3"/>
      <c r="U67" s="3"/>
      <c r="V67" s="3"/>
      <c r="W67" s="3"/>
      <c r="X67" s="3"/>
      <c r="Y67" s="3"/>
      <c r="Z67" s="3"/>
      <c r="AA67" s="3"/>
      <c r="AB67" s="3"/>
      <c r="AC67" s="3"/>
    </row>
    <row r="68" spans="2:29" s="33" customFormat="1" ht="15" hidden="1" customHeight="1" outlineLevel="1" x14ac:dyDescent="0.25">
      <c r="B68" s="166" t="s">
        <v>102</v>
      </c>
      <c r="C68" s="107"/>
      <c r="D68" s="107"/>
      <c r="E68" s="108"/>
      <c r="F68" s="127">
        <v>1</v>
      </c>
      <c r="G68" s="108"/>
      <c r="H68" s="130"/>
      <c r="I68" s="108"/>
      <c r="J68" s="127"/>
      <c r="K68" s="108"/>
      <c r="L68" s="127"/>
      <c r="M68" s="154"/>
      <c r="N68" s="3"/>
      <c r="O68" s="3"/>
      <c r="P68" s="3"/>
      <c r="Q68" s="3"/>
      <c r="R68" s="3"/>
      <c r="S68" s="3"/>
      <c r="T68" s="3"/>
      <c r="U68" s="3"/>
      <c r="V68" s="3"/>
      <c r="W68" s="3"/>
      <c r="X68" s="3"/>
      <c r="Y68" s="3"/>
      <c r="Z68" s="3"/>
      <c r="AA68" s="3"/>
      <c r="AB68" s="3"/>
      <c r="AC68" s="3"/>
    </row>
    <row r="69" spans="2:29" s="33" customFormat="1" ht="15" hidden="1" customHeight="1" outlineLevel="1" x14ac:dyDescent="0.25">
      <c r="B69" s="166" t="s">
        <v>103</v>
      </c>
      <c r="C69" s="107"/>
      <c r="D69" s="107"/>
      <c r="E69" s="108"/>
      <c r="F69" s="187">
        <v>1</v>
      </c>
      <c r="G69" s="108"/>
      <c r="H69" s="189"/>
      <c r="I69" s="108"/>
      <c r="J69" s="187"/>
      <c r="K69" s="108"/>
      <c r="L69" s="187"/>
      <c r="M69" s="154"/>
      <c r="N69" s="3"/>
      <c r="O69" s="3"/>
      <c r="P69" s="3"/>
      <c r="Q69" s="3"/>
      <c r="R69" s="3"/>
      <c r="S69" s="3"/>
      <c r="T69" s="3"/>
      <c r="U69" s="3"/>
      <c r="V69" s="3"/>
      <c r="W69" s="3"/>
      <c r="X69" s="3"/>
      <c r="Y69" s="3"/>
      <c r="Z69" s="3"/>
      <c r="AA69" s="3"/>
      <c r="AB69" s="3"/>
      <c r="AC69" s="3"/>
    </row>
    <row r="70" spans="2:29" s="33" customFormat="1" ht="15" customHeight="1" collapsed="1" x14ac:dyDescent="0.25">
      <c r="B70" s="126" t="s">
        <v>104</v>
      </c>
      <c r="C70" s="155"/>
      <c r="D70" s="155"/>
      <c r="E70" s="156"/>
      <c r="F70" s="117">
        <f>F71</f>
        <v>0</v>
      </c>
      <c r="G70" s="156"/>
      <c r="H70" s="129">
        <f>H71</f>
        <v>1</v>
      </c>
      <c r="I70" s="156"/>
      <c r="J70" s="117">
        <f>J71</f>
        <v>0</v>
      </c>
      <c r="K70" s="156"/>
      <c r="L70" s="117">
        <f>L71</f>
        <v>0</v>
      </c>
      <c r="M70" s="118"/>
      <c r="N70" s="3"/>
      <c r="O70" s="3"/>
      <c r="P70" s="3"/>
      <c r="Q70" s="3"/>
      <c r="R70" s="3"/>
      <c r="S70" s="3"/>
      <c r="T70" s="3"/>
      <c r="U70" s="3"/>
      <c r="V70" s="3"/>
      <c r="W70" s="3"/>
      <c r="X70" s="3"/>
      <c r="Y70" s="3"/>
      <c r="Z70" s="3"/>
      <c r="AA70" s="3"/>
      <c r="AB70" s="3"/>
      <c r="AC70" s="3"/>
    </row>
    <row r="71" spans="2:29" s="33" customFormat="1" ht="15" hidden="1" customHeight="1" outlineLevel="1" x14ac:dyDescent="0.25">
      <c r="B71" s="166" t="s">
        <v>105</v>
      </c>
      <c r="C71" s="107"/>
      <c r="D71" s="107"/>
      <c r="E71" s="108"/>
      <c r="F71" s="190"/>
      <c r="G71" s="108"/>
      <c r="H71" s="185">
        <v>1</v>
      </c>
      <c r="I71" s="108"/>
      <c r="J71" s="190"/>
      <c r="K71" s="108"/>
      <c r="L71" s="190"/>
      <c r="M71" s="154"/>
      <c r="N71" s="3"/>
      <c r="O71" s="3"/>
      <c r="P71" s="3"/>
      <c r="Q71" s="3"/>
      <c r="R71" s="3"/>
      <c r="S71" s="3"/>
      <c r="T71" s="3"/>
      <c r="U71" s="3"/>
      <c r="V71" s="3"/>
      <c r="W71" s="3"/>
      <c r="X71" s="3"/>
      <c r="Y71" s="3"/>
      <c r="Z71" s="3"/>
      <c r="AA71" s="3"/>
      <c r="AB71" s="3"/>
      <c r="AC71" s="3"/>
    </row>
    <row r="72" spans="2:29" s="33" customFormat="1" ht="15" customHeight="1" collapsed="1" x14ac:dyDescent="0.25">
      <c r="B72" s="159"/>
      <c r="C72" s="119"/>
      <c r="D72" s="119"/>
      <c r="E72" s="160"/>
      <c r="F72" s="161"/>
      <c r="G72" s="160"/>
      <c r="H72" s="162"/>
      <c r="I72" s="160"/>
      <c r="J72" s="161"/>
      <c r="K72" s="160"/>
      <c r="L72" s="161"/>
      <c r="M72" s="163"/>
      <c r="N72" s="3"/>
      <c r="O72" s="3"/>
      <c r="P72" s="3"/>
      <c r="Q72" s="3"/>
      <c r="R72" s="3"/>
      <c r="S72" s="3"/>
      <c r="T72" s="3"/>
      <c r="U72" s="3"/>
      <c r="V72" s="3"/>
      <c r="W72" s="3"/>
      <c r="X72" s="3"/>
      <c r="Y72" s="3"/>
      <c r="Z72" s="3"/>
      <c r="AA72" s="3"/>
      <c r="AB72" s="3"/>
      <c r="AC72" s="3"/>
    </row>
    <row r="73" spans="2:29" s="33" customFormat="1" ht="13.2" customHeight="1" x14ac:dyDescent="0.25">
      <c r="B73" s="53"/>
      <c r="C73" s="47"/>
      <c r="D73" s="47"/>
      <c r="E73" s="3"/>
      <c r="F73" s="52"/>
      <c r="G73" s="3"/>
      <c r="H73" s="3"/>
      <c r="I73" s="52"/>
      <c r="J73" s="3"/>
      <c r="K73" s="3"/>
      <c r="L73" s="3"/>
      <c r="M73" s="3"/>
      <c r="N73" s="3"/>
      <c r="O73" s="3"/>
      <c r="P73" s="3"/>
      <c r="Q73" s="3"/>
      <c r="R73" s="3"/>
      <c r="S73" s="3"/>
      <c r="T73" s="3"/>
      <c r="U73" s="3"/>
      <c r="V73" s="3"/>
      <c r="W73" s="3"/>
      <c r="X73" s="3"/>
      <c r="Y73" s="3"/>
      <c r="Z73" s="3"/>
      <c r="AA73" s="3"/>
      <c r="AB73" s="3"/>
      <c r="AC73" s="3"/>
    </row>
    <row r="74" spans="2:29" s="33" customFormat="1" ht="13.2" customHeight="1" x14ac:dyDescent="0.25">
      <c r="B74" s="46" t="s">
        <v>233</v>
      </c>
      <c r="C74" s="47"/>
      <c r="D74" s="47"/>
      <c r="E74" s="3"/>
      <c r="F74" s="52"/>
      <c r="G74" s="3"/>
      <c r="H74" s="3"/>
      <c r="I74" s="52"/>
      <c r="J74" s="3"/>
      <c r="K74" s="3"/>
      <c r="L74" s="3"/>
      <c r="M74" s="3"/>
      <c r="N74" s="3"/>
      <c r="O74" s="3"/>
      <c r="P74" s="3"/>
      <c r="Q74" s="3"/>
      <c r="R74" s="3"/>
      <c r="S74" s="3"/>
      <c r="T74" s="3"/>
      <c r="U74" s="3"/>
      <c r="V74" s="3"/>
      <c r="W74" s="3"/>
      <c r="X74" s="3"/>
      <c r="Y74" s="3"/>
      <c r="Z74" s="3"/>
    </row>
    <row r="75" spans="2:29" s="33" customFormat="1" ht="13.2" customHeight="1" x14ac:dyDescent="0.25">
      <c r="B75" s="53"/>
      <c r="C75" s="47"/>
      <c r="D75" s="47"/>
      <c r="E75" s="47"/>
      <c r="F75" s="3"/>
      <c r="G75" s="52"/>
      <c r="H75" s="3"/>
      <c r="I75" s="52"/>
      <c r="J75" s="3"/>
      <c r="K75" s="3"/>
      <c r="L75" s="3"/>
      <c r="M75" s="3"/>
      <c r="N75" s="3"/>
      <c r="O75" s="3"/>
      <c r="P75" s="3"/>
      <c r="Q75" s="3"/>
      <c r="R75" s="3"/>
      <c r="S75" s="3"/>
      <c r="T75" s="3"/>
      <c r="U75" s="3"/>
      <c r="V75" s="3"/>
      <c r="W75" s="3"/>
      <c r="X75" s="3"/>
      <c r="Y75" s="3"/>
      <c r="Z75" s="3"/>
    </row>
    <row r="76" spans="2:29" s="33" customFormat="1" ht="13.8" customHeight="1" x14ac:dyDescent="0.25">
      <c r="B76" s="255" t="s">
        <v>48</v>
      </c>
      <c r="C76" s="256"/>
      <c r="D76" s="256"/>
      <c r="E76" s="257"/>
      <c r="F76" s="246" t="s">
        <v>232</v>
      </c>
      <c r="G76" s="247"/>
      <c r="H76" s="291" t="s">
        <v>235</v>
      </c>
      <c r="I76" s="292"/>
      <c r="J76" s="293"/>
      <c r="K76" s="3"/>
      <c r="L76" s="3"/>
      <c r="M76" s="3"/>
      <c r="N76" s="3"/>
      <c r="O76" s="3"/>
      <c r="P76" s="3"/>
      <c r="Q76" s="3"/>
      <c r="R76" s="3"/>
      <c r="S76" s="3"/>
      <c r="T76" s="3"/>
      <c r="U76" s="3"/>
      <c r="V76" s="3"/>
      <c r="W76" s="3"/>
      <c r="X76" s="3"/>
      <c r="Y76" s="3"/>
    </row>
    <row r="77" spans="2:29" s="33" customFormat="1" ht="21" customHeight="1" x14ac:dyDescent="0.25">
      <c r="B77" s="258"/>
      <c r="C77" s="275"/>
      <c r="D77" s="275"/>
      <c r="E77" s="276"/>
      <c r="F77" s="248"/>
      <c r="G77" s="249"/>
      <c r="H77" s="294"/>
      <c r="I77" s="295"/>
      <c r="J77" s="296"/>
      <c r="K77" s="3"/>
      <c r="L77" s="3"/>
      <c r="M77" s="3"/>
      <c r="N77" s="3"/>
      <c r="O77" s="3"/>
      <c r="P77" s="3"/>
      <c r="Q77" s="3"/>
      <c r="R77" s="3"/>
      <c r="S77" s="3"/>
      <c r="T77" s="3"/>
      <c r="U77" s="3"/>
      <c r="V77" s="3"/>
      <c r="W77" s="3"/>
      <c r="X77" s="3"/>
      <c r="Y77" s="3"/>
    </row>
    <row r="78" spans="2:29" s="33" customFormat="1" ht="57.6" customHeight="1" x14ac:dyDescent="0.25">
      <c r="B78" s="260"/>
      <c r="C78" s="261"/>
      <c r="D78" s="261"/>
      <c r="E78" s="277"/>
      <c r="F78" s="178" t="s">
        <v>49</v>
      </c>
      <c r="G78" s="139" t="s">
        <v>50</v>
      </c>
      <c r="H78" s="139" t="s">
        <v>297</v>
      </c>
      <c r="I78" s="86" t="s">
        <v>234</v>
      </c>
      <c r="J78" s="179" t="s">
        <v>329</v>
      </c>
      <c r="K78" s="3"/>
      <c r="L78" s="3"/>
      <c r="M78" s="3"/>
      <c r="N78" s="3"/>
      <c r="O78" s="3"/>
      <c r="P78" s="3"/>
      <c r="Q78" s="3"/>
      <c r="R78" s="3"/>
      <c r="S78" s="3"/>
      <c r="T78" s="3"/>
      <c r="U78" s="3"/>
      <c r="V78" s="3"/>
      <c r="W78" s="3"/>
      <c r="X78" s="3"/>
      <c r="Y78" s="3"/>
    </row>
    <row r="79" spans="2:29" s="33" customFormat="1" ht="13.2" customHeight="1" x14ac:dyDescent="0.25">
      <c r="B79" s="32"/>
      <c r="E79" s="34"/>
      <c r="F79" s="14"/>
      <c r="G79" s="20"/>
      <c r="H79" s="44"/>
      <c r="I79" s="64"/>
      <c r="J79" s="14"/>
      <c r="K79" s="3"/>
      <c r="L79" s="3"/>
      <c r="M79" s="3"/>
      <c r="N79" s="3"/>
      <c r="O79" s="3"/>
      <c r="P79" s="3"/>
      <c r="Q79" s="3"/>
      <c r="R79" s="3"/>
      <c r="S79" s="3"/>
      <c r="T79" s="3"/>
      <c r="U79" s="3"/>
      <c r="V79" s="3"/>
      <c r="W79" s="3"/>
      <c r="X79" s="3"/>
      <c r="Y79" s="3"/>
    </row>
    <row r="80" spans="2:29" s="33" customFormat="1" ht="13.2" customHeight="1" x14ac:dyDescent="0.25">
      <c r="B80" s="120" t="s">
        <v>51</v>
      </c>
      <c r="C80" s="121"/>
      <c r="D80" s="121"/>
      <c r="E80" s="122"/>
      <c r="F80" s="132">
        <f>SUM(F82,F85,F90,F96,F99)</f>
        <v>10</v>
      </c>
      <c r="G80" s="133">
        <f t="shared" ref="G80:J80" si="0">SUM(G82,G85,G90,G96,G99)</f>
        <v>11</v>
      </c>
      <c r="H80" s="133">
        <f t="shared" si="0"/>
        <v>6</v>
      </c>
      <c r="I80" s="133">
        <f t="shared" si="0"/>
        <v>2</v>
      </c>
      <c r="J80" s="133">
        <f t="shared" si="0"/>
        <v>3</v>
      </c>
      <c r="K80" s="3"/>
      <c r="L80" s="3"/>
      <c r="M80" s="3"/>
      <c r="N80" s="3"/>
      <c r="O80" s="3"/>
      <c r="P80" s="3"/>
      <c r="Q80" s="3"/>
      <c r="R80" s="3"/>
      <c r="S80" s="3"/>
      <c r="T80" s="3"/>
      <c r="U80" s="3"/>
      <c r="V80" s="3"/>
      <c r="W80" s="3"/>
      <c r="X80" s="3"/>
      <c r="Y80" s="3"/>
    </row>
    <row r="81" spans="2:27" s="33" customFormat="1" ht="13.2" customHeight="1" x14ac:dyDescent="0.25">
      <c r="B81" s="32" t="s">
        <v>47</v>
      </c>
      <c r="E81" s="34"/>
      <c r="F81" s="20"/>
      <c r="G81" s="20"/>
      <c r="H81" s="35"/>
      <c r="I81" s="65"/>
      <c r="J81" s="65"/>
      <c r="K81" s="3"/>
      <c r="L81" s="3"/>
      <c r="M81" s="3"/>
      <c r="N81" s="3"/>
      <c r="O81" s="3"/>
      <c r="P81" s="3"/>
      <c r="Q81" s="3"/>
      <c r="R81" s="3"/>
      <c r="S81" s="3"/>
      <c r="T81" s="3"/>
      <c r="U81" s="3"/>
      <c r="V81" s="3"/>
      <c r="W81" s="3"/>
      <c r="X81" s="3"/>
      <c r="Y81" s="3"/>
    </row>
    <row r="82" spans="2:27" s="33" customFormat="1" ht="13.2" customHeight="1" x14ac:dyDescent="0.25">
      <c r="B82" s="41" t="s">
        <v>52</v>
      </c>
      <c r="C82" s="42"/>
      <c r="D82" s="42"/>
      <c r="E82" s="34"/>
      <c r="F82" s="63">
        <f>H13</f>
        <v>1</v>
      </c>
      <c r="G82" s="43">
        <f>G83</f>
        <v>1</v>
      </c>
      <c r="H82" s="43">
        <f t="shared" ref="H82:J82" si="1">H83</f>
        <v>0</v>
      </c>
      <c r="I82" s="43">
        <f t="shared" si="1"/>
        <v>0</v>
      </c>
      <c r="J82" s="43">
        <f t="shared" si="1"/>
        <v>1</v>
      </c>
      <c r="K82" s="3"/>
      <c r="L82" s="34"/>
      <c r="M82" s="3"/>
      <c r="N82" s="3"/>
      <c r="O82" s="3"/>
      <c r="P82" s="3"/>
      <c r="Q82" s="3"/>
      <c r="R82" s="3"/>
      <c r="S82" s="3"/>
      <c r="T82" s="3"/>
      <c r="U82" s="3"/>
      <c r="V82" s="3"/>
      <c r="W82" s="3"/>
      <c r="X82" s="3"/>
      <c r="Y82" s="3"/>
      <c r="Z82" s="3"/>
      <c r="AA82" s="3"/>
    </row>
    <row r="83" spans="2:27" s="31" customFormat="1" ht="13.2" outlineLevel="1" x14ac:dyDescent="0.25">
      <c r="B83" s="32" t="s">
        <v>108</v>
      </c>
      <c r="C83" s="47"/>
      <c r="D83" s="47"/>
      <c r="E83" s="47"/>
      <c r="F83" s="20"/>
      <c r="G83" s="191">
        <f>SUM(H83:L83)</f>
        <v>1</v>
      </c>
      <c r="H83" s="191"/>
      <c r="I83" s="193"/>
      <c r="J83" s="191">
        <v>1</v>
      </c>
      <c r="K83" s="3"/>
      <c r="L83" s="3"/>
      <c r="M83" s="3"/>
      <c r="N83" s="3"/>
      <c r="O83" s="3"/>
      <c r="P83" s="3"/>
      <c r="Q83" s="3"/>
      <c r="R83" s="3"/>
      <c r="S83" s="3"/>
      <c r="T83" s="4"/>
      <c r="U83" s="4"/>
      <c r="V83" s="4"/>
      <c r="W83" s="4"/>
      <c r="X83" s="4"/>
      <c r="Y83" s="4"/>
    </row>
    <row r="84" spans="2:27" s="33" customFormat="1" ht="13.2" customHeight="1" x14ac:dyDescent="0.25">
      <c r="B84" s="32" t="s">
        <v>47</v>
      </c>
      <c r="E84" s="34"/>
      <c r="F84" s="20"/>
      <c r="G84" s="20"/>
      <c r="H84" s="44"/>
      <c r="I84" s="65"/>
      <c r="J84" s="65"/>
      <c r="K84" s="3"/>
      <c r="L84" s="3"/>
      <c r="M84" s="3"/>
      <c r="N84" s="3"/>
      <c r="O84" s="3"/>
      <c r="P84" s="3"/>
      <c r="Q84" s="3"/>
      <c r="R84" s="3"/>
      <c r="S84" s="3"/>
      <c r="T84" s="3"/>
      <c r="U84" s="3"/>
      <c r="V84" s="3"/>
      <c r="W84" s="3"/>
      <c r="X84" s="3"/>
      <c r="Y84" s="3"/>
    </row>
    <row r="85" spans="2:27" s="107" customFormat="1" ht="13.2" x14ac:dyDescent="0.25">
      <c r="B85" s="41" t="s">
        <v>60</v>
      </c>
      <c r="C85" s="19"/>
      <c r="D85" s="19"/>
      <c r="E85" s="19"/>
      <c r="F85" s="171">
        <f>H18</f>
        <v>3</v>
      </c>
      <c r="G85" s="172">
        <f>SUM(G86:G88)</f>
        <v>3</v>
      </c>
      <c r="H85" s="172">
        <f>SUM(H86:H88)</f>
        <v>2</v>
      </c>
      <c r="I85" s="172">
        <f t="shared" ref="I85:J85" si="2">SUM(I86:I88)</f>
        <v>0</v>
      </c>
      <c r="J85" s="172">
        <f t="shared" si="2"/>
        <v>1</v>
      </c>
      <c r="K85" s="19"/>
      <c r="L85" s="33"/>
      <c r="M85" s="19"/>
    </row>
    <row r="86" spans="2:27" s="107" customFormat="1" ht="13.2" outlineLevel="1" x14ac:dyDescent="0.25">
      <c r="B86" s="32" t="s">
        <v>111</v>
      </c>
      <c r="C86" s="19"/>
      <c r="D86" s="19"/>
      <c r="E86" s="19"/>
      <c r="F86" s="168"/>
      <c r="G86" s="194">
        <f>SUM(H86:J86)</f>
        <v>1</v>
      </c>
      <c r="H86" s="194">
        <v>1</v>
      </c>
      <c r="I86" s="194"/>
      <c r="J86" s="194"/>
      <c r="K86" s="19"/>
      <c r="L86" s="33"/>
      <c r="M86" s="19"/>
    </row>
    <row r="87" spans="2:27" s="107" customFormat="1" ht="13.2" outlineLevel="1" x14ac:dyDescent="0.25">
      <c r="B87" s="32" t="s">
        <v>112</v>
      </c>
      <c r="C87" s="19"/>
      <c r="D87" s="19"/>
      <c r="E87" s="19"/>
      <c r="F87" s="168"/>
      <c r="G87" s="124">
        <f>SUM(H87:J87)</f>
        <v>1</v>
      </c>
      <c r="H87" s="124"/>
      <c r="I87" s="124"/>
      <c r="J87" s="124">
        <v>1</v>
      </c>
      <c r="K87" s="19"/>
      <c r="L87" s="33"/>
      <c r="M87" s="19"/>
    </row>
    <row r="88" spans="2:27" s="107" customFormat="1" ht="13.2" outlineLevel="1" x14ac:dyDescent="0.25">
      <c r="B88" s="32" t="s">
        <v>115</v>
      </c>
      <c r="C88" s="19"/>
      <c r="D88" s="19"/>
      <c r="E88" s="19"/>
      <c r="F88" s="168"/>
      <c r="G88" s="195">
        <f>SUM(H88:J88)</f>
        <v>1</v>
      </c>
      <c r="H88" s="195">
        <v>1</v>
      </c>
      <c r="I88" s="195"/>
      <c r="J88" s="195"/>
      <c r="K88" s="19"/>
      <c r="L88" s="33"/>
      <c r="M88" s="19"/>
    </row>
    <row r="89" spans="2:27" s="31" customFormat="1" ht="13.2" x14ac:dyDescent="0.25">
      <c r="B89" s="32"/>
      <c r="C89" s="33"/>
      <c r="D89" s="33"/>
      <c r="E89" s="33"/>
      <c r="F89" s="44"/>
      <c r="G89" s="20"/>
      <c r="H89" s="44"/>
      <c r="I89" s="44"/>
      <c r="J89" s="44"/>
      <c r="K89" s="33"/>
      <c r="L89" s="33"/>
      <c r="M89" s="33"/>
    </row>
    <row r="90" spans="2:27" s="107" customFormat="1" ht="13.2" x14ac:dyDescent="0.25">
      <c r="B90" s="41" t="s">
        <v>40</v>
      </c>
      <c r="C90" s="19"/>
      <c r="D90" s="19"/>
      <c r="E90" s="19"/>
      <c r="F90" s="171">
        <f>H28</f>
        <v>4</v>
      </c>
      <c r="G90" s="172">
        <f>SUM(G91:G94)</f>
        <v>5</v>
      </c>
      <c r="H90" s="172">
        <f>SUM(H91:H94)</f>
        <v>3</v>
      </c>
      <c r="I90" s="172">
        <f>SUM(I91:I94)</f>
        <v>1</v>
      </c>
      <c r="J90" s="172">
        <f t="shared" ref="J90" si="3">SUM(J91:J94)</f>
        <v>1</v>
      </c>
    </row>
    <row r="91" spans="2:27" s="107" customFormat="1" ht="13.2" outlineLevel="1" x14ac:dyDescent="0.25">
      <c r="B91" s="32" t="s">
        <v>122</v>
      </c>
      <c r="C91" s="19"/>
      <c r="D91" s="19"/>
      <c r="E91" s="19"/>
      <c r="F91" s="114"/>
      <c r="G91" s="194">
        <f>SUM(H91:J91)</f>
        <v>1</v>
      </c>
      <c r="H91" s="194"/>
      <c r="I91" s="194">
        <v>1</v>
      </c>
      <c r="J91" s="194"/>
    </row>
    <row r="92" spans="2:27" s="107" customFormat="1" ht="13.2" outlineLevel="1" x14ac:dyDescent="0.25">
      <c r="B92" s="32" t="s">
        <v>123</v>
      </c>
      <c r="C92" s="19"/>
      <c r="D92" s="19"/>
      <c r="E92" s="19"/>
      <c r="F92" s="114"/>
      <c r="G92" s="124">
        <f>SUM(H92:J92)</f>
        <v>1</v>
      </c>
      <c r="H92" s="124">
        <v>1</v>
      </c>
      <c r="I92" s="124"/>
      <c r="J92" s="124"/>
    </row>
    <row r="93" spans="2:27" s="107" customFormat="1" ht="13.2" outlineLevel="1" x14ac:dyDescent="0.25">
      <c r="B93" s="32" t="s">
        <v>127</v>
      </c>
      <c r="C93" s="19"/>
      <c r="D93" s="19"/>
      <c r="E93" s="19"/>
      <c r="F93" s="114"/>
      <c r="G93" s="124">
        <f>SUM(H93:J93)</f>
        <v>1</v>
      </c>
      <c r="H93" s="124">
        <v>1</v>
      </c>
      <c r="I93" s="124"/>
      <c r="J93" s="124"/>
    </row>
    <row r="94" spans="2:27" s="107" customFormat="1" ht="13.2" outlineLevel="1" x14ac:dyDescent="0.25">
      <c r="B94" s="32" t="s">
        <v>129</v>
      </c>
      <c r="C94" s="19"/>
      <c r="D94" s="19"/>
      <c r="E94" s="19"/>
      <c r="F94" s="114"/>
      <c r="G94" s="195">
        <f>SUM(H94:J94)</f>
        <v>2</v>
      </c>
      <c r="H94" s="195">
        <v>1</v>
      </c>
      <c r="I94" s="195"/>
      <c r="J94" s="195">
        <v>1</v>
      </c>
    </row>
    <row r="95" spans="2:27" s="31" customFormat="1" ht="13.2" x14ac:dyDescent="0.25">
      <c r="B95" s="32"/>
      <c r="C95" s="33"/>
      <c r="D95" s="33"/>
      <c r="E95" s="33"/>
      <c r="F95" s="20"/>
      <c r="G95" s="20"/>
      <c r="H95" s="44"/>
      <c r="I95" s="44"/>
      <c r="J95" s="44"/>
    </row>
    <row r="96" spans="2:27" s="107" customFormat="1" ht="13.2" x14ac:dyDescent="0.25">
      <c r="B96" s="41" t="s">
        <v>85</v>
      </c>
      <c r="C96" s="19"/>
      <c r="D96" s="19"/>
      <c r="E96" s="19"/>
      <c r="F96" s="171">
        <f>H45</f>
        <v>1</v>
      </c>
      <c r="G96" s="172">
        <f t="shared" ref="G96:J96" si="4">SUM(G97:G97)</f>
        <v>1</v>
      </c>
      <c r="H96" s="172">
        <f t="shared" si="4"/>
        <v>1</v>
      </c>
      <c r="I96" s="172">
        <f t="shared" si="4"/>
        <v>0</v>
      </c>
      <c r="J96" s="172">
        <f t="shared" si="4"/>
        <v>0</v>
      </c>
    </row>
    <row r="97" spans="2:11" s="107" customFormat="1" ht="13.2" outlineLevel="1" x14ac:dyDescent="0.25">
      <c r="B97" s="32" t="s">
        <v>153</v>
      </c>
      <c r="C97" s="19"/>
      <c r="D97" s="19"/>
      <c r="E97" s="19"/>
      <c r="F97" s="114"/>
      <c r="G97" s="191">
        <f>SUM(H97:J97)</f>
        <v>1</v>
      </c>
      <c r="H97" s="191">
        <v>1</v>
      </c>
      <c r="I97" s="191"/>
      <c r="J97" s="191"/>
    </row>
    <row r="98" spans="2:11" s="31" customFormat="1" ht="13.2" x14ac:dyDescent="0.25">
      <c r="B98" s="32"/>
      <c r="C98" s="33"/>
      <c r="D98" s="33"/>
      <c r="E98" s="33"/>
      <c r="F98" s="20"/>
      <c r="G98" s="20"/>
      <c r="H98" s="44"/>
      <c r="I98" s="44"/>
      <c r="J98" s="44"/>
    </row>
    <row r="99" spans="2:11" s="107" customFormat="1" ht="13.2" x14ac:dyDescent="0.25">
      <c r="B99" s="41" t="s">
        <v>104</v>
      </c>
      <c r="C99" s="19"/>
      <c r="D99" s="19"/>
      <c r="E99" s="19"/>
      <c r="F99" s="171">
        <f>H70</f>
        <v>1</v>
      </c>
      <c r="G99" s="172">
        <f>G100</f>
        <v>1</v>
      </c>
      <c r="H99" s="172">
        <f t="shared" ref="H99:J99" si="5">H100</f>
        <v>0</v>
      </c>
      <c r="I99" s="172">
        <f>I100</f>
        <v>1</v>
      </c>
      <c r="J99" s="172">
        <f t="shared" si="5"/>
        <v>0</v>
      </c>
    </row>
    <row r="100" spans="2:11" s="107" customFormat="1" ht="13.2" outlineLevel="1" x14ac:dyDescent="0.25">
      <c r="B100" s="32" t="s">
        <v>159</v>
      </c>
      <c r="C100" s="19"/>
      <c r="D100" s="19"/>
      <c r="E100" s="19"/>
      <c r="F100" s="168"/>
      <c r="G100" s="191">
        <f>SUM(H100:J100)</f>
        <v>1</v>
      </c>
      <c r="H100" s="191"/>
      <c r="I100" s="191">
        <v>1</v>
      </c>
      <c r="J100" s="191"/>
    </row>
    <row r="101" spans="2:11" s="107" customFormat="1" ht="13.2" x14ac:dyDescent="0.25">
      <c r="B101" s="207"/>
      <c r="C101" s="119"/>
      <c r="D101" s="119"/>
      <c r="E101" s="119"/>
      <c r="F101" s="169"/>
      <c r="G101" s="169"/>
      <c r="H101" s="169"/>
      <c r="I101" s="169"/>
      <c r="J101" s="169"/>
    </row>
    <row r="102" spans="2:11" s="107" customFormat="1" ht="13.2" x14ac:dyDescent="0.25"/>
    <row r="103" spans="2:11" s="107" customFormat="1" ht="13.2" x14ac:dyDescent="0.25">
      <c r="B103" s="46" t="s">
        <v>187</v>
      </c>
    </row>
    <row r="104" spans="2:11" s="107" customFormat="1" ht="13.2" x14ac:dyDescent="0.25"/>
    <row r="105" spans="2:11" s="107" customFormat="1" ht="21" customHeight="1" x14ac:dyDescent="0.25">
      <c r="B105" s="255" t="s">
        <v>48</v>
      </c>
      <c r="C105" s="256"/>
      <c r="D105" s="256"/>
      <c r="E105" s="257"/>
      <c r="F105" s="246" t="s">
        <v>185</v>
      </c>
      <c r="G105" s="247"/>
      <c r="H105" s="271" t="s">
        <v>164</v>
      </c>
      <c r="I105" s="272"/>
      <c r="J105" s="272"/>
      <c r="K105" s="273"/>
    </row>
    <row r="106" spans="2:11" s="107" customFormat="1" ht="16.2" customHeight="1" x14ac:dyDescent="0.25">
      <c r="B106" s="258"/>
      <c r="C106" s="275"/>
      <c r="D106" s="275"/>
      <c r="E106" s="276"/>
      <c r="F106" s="248"/>
      <c r="G106" s="249"/>
      <c r="H106" s="250" t="s">
        <v>306</v>
      </c>
      <c r="I106" s="250" t="s">
        <v>307</v>
      </c>
      <c r="J106" s="250" t="s">
        <v>308</v>
      </c>
      <c r="K106" s="250" t="s">
        <v>327</v>
      </c>
    </row>
    <row r="107" spans="2:11" s="108" customFormat="1" ht="54" customHeight="1" x14ac:dyDescent="0.25">
      <c r="B107" s="260"/>
      <c r="C107" s="261"/>
      <c r="D107" s="261"/>
      <c r="E107" s="277"/>
      <c r="F107" s="139" t="s">
        <v>49</v>
      </c>
      <c r="G107" s="139" t="s">
        <v>50</v>
      </c>
      <c r="H107" s="251"/>
      <c r="I107" s="251"/>
      <c r="J107" s="251"/>
      <c r="K107" s="251"/>
    </row>
    <row r="108" spans="2:11" s="107" customFormat="1" ht="13.2" x14ac:dyDescent="0.25">
      <c r="B108" s="32"/>
      <c r="C108" s="33"/>
      <c r="D108" s="33"/>
      <c r="E108" s="34"/>
      <c r="F108" s="20"/>
      <c r="G108" s="20"/>
      <c r="H108" s="20"/>
      <c r="I108" s="44"/>
      <c r="J108" s="20"/>
      <c r="K108" s="88"/>
    </row>
    <row r="109" spans="2:11" s="107" customFormat="1" ht="13.2" x14ac:dyDescent="0.25">
      <c r="B109" s="120" t="s">
        <v>51</v>
      </c>
      <c r="C109" s="121"/>
      <c r="D109" s="121"/>
      <c r="E109" s="122"/>
      <c r="F109" s="138">
        <f>SUM(F111,F114,F117,F120,F123)</f>
        <v>9</v>
      </c>
      <c r="G109" s="133">
        <f>SUM(G111,G114,G117,G120,G123)</f>
        <v>13</v>
      </c>
      <c r="H109" s="133">
        <f t="shared" ref="H109:I109" si="6">SUM(H111,H114,H117,H120,H123)</f>
        <v>4</v>
      </c>
      <c r="I109" s="133">
        <f t="shared" si="6"/>
        <v>2</v>
      </c>
      <c r="J109" s="133">
        <f t="shared" ref="J109" si="7">SUM(J111,J114,J117,J120,J123)</f>
        <v>3</v>
      </c>
      <c r="K109" s="133">
        <f t="shared" ref="K109" si="8">SUM(K111,K114,K117,K120,K123)</f>
        <v>4</v>
      </c>
    </row>
    <row r="110" spans="2:11" s="107" customFormat="1" ht="13.2" x14ac:dyDescent="0.25">
      <c r="B110" s="32" t="s">
        <v>47</v>
      </c>
      <c r="C110" s="33"/>
      <c r="D110" s="33"/>
      <c r="E110" s="34"/>
      <c r="F110" s="20"/>
      <c r="G110" s="20"/>
      <c r="H110" s="65"/>
      <c r="I110" s="65"/>
      <c r="J110" s="20"/>
      <c r="K110" s="65"/>
    </row>
    <row r="111" spans="2:11" s="107" customFormat="1" ht="13.2" x14ac:dyDescent="0.25">
      <c r="B111" s="41" t="s">
        <v>57</v>
      </c>
      <c r="C111" s="47"/>
      <c r="D111" s="47"/>
      <c r="E111" s="3"/>
      <c r="F111" s="63">
        <f>J15</f>
        <v>1</v>
      </c>
      <c r="G111" s="43">
        <f>SUM(G112:G112)</f>
        <v>2</v>
      </c>
      <c r="H111" s="43">
        <f>SUM(H112:H112)</f>
        <v>1</v>
      </c>
      <c r="I111" s="43">
        <f>SUM(I112:I112)</f>
        <v>0</v>
      </c>
      <c r="J111" s="43">
        <f>SUM(J112:J112)</f>
        <v>1</v>
      </c>
      <c r="K111" s="43">
        <f t="shared" ref="K111" si="9">SUM(K112:K112)</f>
        <v>0</v>
      </c>
    </row>
    <row r="112" spans="2:11" s="107" customFormat="1" ht="15" customHeight="1" outlineLevel="1" x14ac:dyDescent="0.25">
      <c r="B112" s="32" t="s">
        <v>110</v>
      </c>
      <c r="C112" s="47"/>
      <c r="D112" s="47"/>
      <c r="E112" s="3"/>
      <c r="F112" s="20"/>
      <c r="G112" s="191">
        <f>SUM(H112:K112)</f>
        <v>2</v>
      </c>
      <c r="H112" s="191">
        <v>1</v>
      </c>
      <c r="I112" s="193"/>
      <c r="J112" s="191">
        <v>1</v>
      </c>
      <c r="K112" s="193"/>
    </row>
    <row r="113" spans="2:11" s="107" customFormat="1" ht="13.2" x14ac:dyDescent="0.25">
      <c r="B113" s="32"/>
      <c r="C113" s="47"/>
      <c r="D113" s="47"/>
      <c r="E113" s="3"/>
      <c r="F113" s="20"/>
      <c r="G113" s="20"/>
      <c r="H113" s="44"/>
      <c r="I113" s="44"/>
      <c r="J113" s="44"/>
      <c r="K113" s="44"/>
    </row>
    <row r="114" spans="2:11" s="107" customFormat="1" ht="13.2" x14ac:dyDescent="0.25">
      <c r="B114" s="41" t="s">
        <v>60</v>
      </c>
      <c r="C114" s="19"/>
      <c r="D114" s="19"/>
      <c r="E114" s="19"/>
      <c r="F114" s="171">
        <f>J18</f>
        <v>1</v>
      </c>
      <c r="G114" s="172">
        <f t="shared" ref="G114:K114" si="10">SUM(G115:G115)</f>
        <v>1</v>
      </c>
      <c r="H114" s="172">
        <f>SUM(H115:H115)</f>
        <v>0</v>
      </c>
      <c r="I114" s="172">
        <f>SUM(I115:I115)</f>
        <v>0</v>
      </c>
      <c r="J114" s="172">
        <f>SUM(J115:J115)</f>
        <v>0</v>
      </c>
      <c r="K114" s="172">
        <f t="shared" si="10"/>
        <v>1</v>
      </c>
    </row>
    <row r="115" spans="2:11" s="107" customFormat="1" ht="15" customHeight="1" outlineLevel="1" x14ac:dyDescent="0.25">
      <c r="B115" s="32" t="s">
        <v>119</v>
      </c>
      <c r="C115" s="19"/>
      <c r="D115" s="19"/>
      <c r="E115" s="19"/>
      <c r="F115" s="168"/>
      <c r="G115" s="191">
        <f>SUM(H115:K115)</f>
        <v>1</v>
      </c>
      <c r="H115" s="191"/>
      <c r="I115" s="191"/>
      <c r="J115" s="191"/>
      <c r="K115" s="191">
        <v>1</v>
      </c>
    </row>
    <row r="116" spans="2:11" s="107" customFormat="1" ht="13.2" x14ac:dyDescent="0.25">
      <c r="B116" s="32"/>
      <c r="C116" s="33"/>
      <c r="D116" s="33"/>
      <c r="E116" s="33"/>
      <c r="F116" s="44"/>
      <c r="G116" s="20"/>
      <c r="H116" s="44"/>
      <c r="I116" s="44"/>
      <c r="J116" s="44"/>
      <c r="K116" s="44"/>
    </row>
    <row r="117" spans="2:11" s="107" customFormat="1" ht="13.2" x14ac:dyDescent="0.25">
      <c r="B117" s="41" t="s">
        <v>40</v>
      </c>
      <c r="C117" s="19"/>
      <c r="D117" s="19"/>
      <c r="E117" s="19"/>
      <c r="F117" s="171">
        <f>J28</f>
        <v>1</v>
      </c>
      <c r="G117" s="172">
        <f t="shared" ref="G117:K117" si="11">SUM(G118:G118)</f>
        <v>2</v>
      </c>
      <c r="H117" s="172">
        <f>SUM(H118:H118)</f>
        <v>0</v>
      </c>
      <c r="I117" s="172">
        <f>SUM(I118:I118)</f>
        <v>1</v>
      </c>
      <c r="J117" s="172">
        <f>SUM(J118:J118)</f>
        <v>0</v>
      </c>
      <c r="K117" s="172">
        <f t="shared" si="11"/>
        <v>1</v>
      </c>
    </row>
    <row r="118" spans="2:11" s="107" customFormat="1" ht="15" customHeight="1" outlineLevel="1" x14ac:dyDescent="0.25">
      <c r="B118" s="32" t="s">
        <v>128</v>
      </c>
      <c r="C118" s="19"/>
      <c r="D118" s="19"/>
      <c r="E118" s="19"/>
      <c r="F118" s="114"/>
      <c r="G118" s="191">
        <f>SUM(H118:K118)</f>
        <v>2</v>
      </c>
      <c r="H118" s="191"/>
      <c r="I118" s="191">
        <v>1</v>
      </c>
      <c r="J118" s="191"/>
      <c r="K118" s="191">
        <v>1</v>
      </c>
    </row>
    <row r="119" spans="2:11" s="107" customFormat="1" ht="13.2" x14ac:dyDescent="0.25">
      <c r="B119" s="32"/>
      <c r="C119" s="33"/>
      <c r="D119" s="33"/>
      <c r="E119" s="33"/>
      <c r="F119" s="20"/>
      <c r="G119" s="20"/>
      <c r="H119" s="44"/>
      <c r="I119" s="44"/>
      <c r="J119" s="44"/>
      <c r="K119" s="44"/>
    </row>
    <row r="120" spans="2:11" s="107" customFormat="1" ht="13.2" x14ac:dyDescent="0.25">
      <c r="B120" s="41" t="s">
        <v>80</v>
      </c>
      <c r="C120" s="19"/>
      <c r="D120" s="19"/>
      <c r="E120" s="19"/>
      <c r="F120" s="171">
        <f>J40</f>
        <v>1</v>
      </c>
      <c r="G120" s="172">
        <f t="shared" ref="G120:K120" si="12">SUM(G121:G121)</f>
        <v>1</v>
      </c>
      <c r="H120" s="172">
        <f>SUM(H121:H121)</f>
        <v>0</v>
      </c>
      <c r="I120" s="172">
        <f>SUM(I121:I121)</f>
        <v>0</v>
      </c>
      <c r="J120" s="172">
        <f>SUM(J121:J121)</f>
        <v>0</v>
      </c>
      <c r="K120" s="172">
        <f t="shared" si="12"/>
        <v>1</v>
      </c>
    </row>
    <row r="121" spans="2:11" s="107" customFormat="1" ht="15" customHeight="1" outlineLevel="1" collapsed="1" x14ac:dyDescent="0.25">
      <c r="B121" s="32" t="s">
        <v>132</v>
      </c>
      <c r="C121" s="19"/>
      <c r="D121" s="19"/>
      <c r="E121" s="19"/>
      <c r="F121" s="114"/>
      <c r="G121" s="191">
        <f>SUM(H121:K121)</f>
        <v>1</v>
      </c>
      <c r="H121" s="191"/>
      <c r="I121" s="191"/>
      <c r="J121" s="191"/>
      <c r="K121" s="191">
        <v>1</v>
      </c>
    </row>
    <row r="122" spans="2:11" s="107" customFormat="1" ht="13.2" x14ac:dyDescent="0.25">
      <c r="B122" s="32"/>
      <c r="C122" s="33"/>
      <c r="D122" s="33"/>
      <c r="E122" s="33"/>
      <c r="F122" s="20"/>
      <c r="G122" s="20"/>
      <c r="H122" s="44"/>
      <c r="I122" s="44"/>
      <c r="J122" s="44"/>
      <c r="K122" s="44"/>
    </row>
    <row r="123" spans="2:11" s="107" customFormat="1" ht="13.2" x14ac:dyDescent="0.25">
      <c r="B123" s="41" t="s">
        <v>85</v>
      </c>
      <c r="C123" s="19"/>
      <c r="D123" s="19"/>
      <c r="E123" s="19"/>
      <c r="F123" s="171">
        <f>J45</f>
        <v>5</v>
      </c>
      <c r="G123" s="172">
        <f>SUM(G124:G128)</f>
        <v>7</v>
      </c>
      <c r="H123" s="172">
        <f t="shared" ref="H123:I123" si="13">SUM(H124:H128)</f>
        <v>3</v>
      </c>
      <c r="I123" s="172">
        <f t="shared" si="13"/>
        <v>1</v>
      </c>
      <c r="J123" s="172">
        <f t="shared" ref="J123" si="14">SUM(J124:J128)</f>
        <v>2</v>
      </c>
      <c r="K123" s="172">
        <f t="shared" ref="K123" si="15">SUM(K124:K128)</f>
        <v>1</v>
      </c>
    </row>
    <row r="124" spans="2:11" s="107" customFormat="1" ht="15" customHeight="1" outlineLevel="1" x14ac:dyDescent="0.25">
      <c r="B124" s="32" t="s">
        <v>142</v>
      </c>
      <c r="C124" s="19"/>
      <c r="D124" s="19"/>
      <c r="E124" s="19"/>
      <c r="F124" s="114"/>
      <c r="G124" s="194">
        <f>SUM(H124:K124)</f>
        <v>1</v>
      </c>
      <c r="H124" s="194"/>
      <c r="I124" s="194">
        <v>1</v>
      </c>
      <c r="J124" s="194"/>
      <c r="K124" s="194"/>
    </row>
    <row r="125" spans="2:11" s="107" customFormat="1" ht="15" customHeight="1" outlineLevel="1" x14ac:dyDescent="0.25">
      <c r="B125" s="32" t="s">
        <v>144</v>
      </c>
      <c r="C125" s="19"/>
      <c r="D125" s="19"/>
      <c r="E125" s="19"/>
      <c r="F125" s="114"/>
      <c r="G125" s="124">
        <f>SUM(H125:K125)</f>
        <v>1</v>
      </c>
      <c r="H125" s="124">
        <v>1</v>
      </c>
      <c r="I125" s="124"/>
      <c r="J125" s="124"/>
      <c r="K125" s="124"/>
    </row>
    <row r="126" spans="2:11" s="107" customFormat="1" ht="15" customHeight="1" outlineLevel="1" x14ac:dyDescent="0.25">
      <c r="B126" s="32" t="s">
        <v>151</v>
      </c>
      <c r="C126" s="19"/>
      <c r="D126" s="19"/>
      <c r="E126" s="19"/>
      <c r="F126" s="114"/>
      <c r="G126" s="124">
        <f>SUM(H126:K126)</f>
        <v>2</v>
      </c>
      <c r="H126" s="124">
        <v>1</v>
      </c>
      <c r="I126" s="124"/>
      <c r="J126" s="124">
        <v>1</v>
      </c>
      <c r="K126" s="124"/>
    </row>
    <row r="127" spans="2:11" s="107" customFormat="1" ht="15" customHeight="1" outlineLevel="1" x14ac:dyDescent="0.25">
      <c r="B127" s="32" t="s">
        <v>155</v>
      </c>
      <c r="C127" s="19"/>
      <c r="D127" s="19"/>
      <c r="E127" s="19"/>
      <c r="F127" s="114"/>
      <c r="G127" s="124">
        <f>SUM(H127:K127)</f>
        <v>1</v>
      </c>
      <c r="H127" s="124">
        <v>1</v>
      </c>
      <c r="I127" s="124"/>
      <c r="J127" s="124"/>
      <c r="K127" s="124"/>
    </row>
    <row r="128" spans="2:11" s="107" customFormat="1" ht="15" customHeight="1" outlineLevel="1" x14ac:dyDescent="0.25">
      <c r="B128" s="32" t="s">
        <v>156</v>
      </c>
      <c r="C128" s="19"/>
      <c r="D128" s="19"/>
      <c r="E128" s="19"/>
      <c r="F128" s="114"/>
      <c r="G128" s="195">
        <f>SUM(H128:K128)</f>
        <v>2</v>
      </c>
      <c r="H128" s="195"/>
      <c r="I128" s="195"/>
      <c r="J128" s="195">
        <v>1</v>
      </c>
      <c r="K128" s="195">
        <v>1</v>
      </c>
    </row>
    <row r="129" spans="2:14" s="107" customFormat="1" ht="13.2" x14ac:dyDescent="0.25">
      <c r="B129" s="207"/>
      <c r="C129" s="119"/>
      <c r="D129" s="119"/>
      <c r="E129" s="119"/>
      <c r="F129" s="169"/>
      <c r="G129" s="169"/>
      <c r="H129" s="169"/>
      <c r="I129" s="169"/>
      <c r="J129" s="169"/>
      <c r="K129" s="169"/>
    </row>
    <row r="130" spans="2:14" s="107" customFormat="1" ht="13.2" x14ac:dyDescent="0.25"/>
    <row r="131" spans="2:14" s="107" customFormat="1" ht="13.2" x14ac:dyDescent="0.25">
      <c r="B131" s="46" t="s">
        <v>302</v>
      </c>
      <c r="C131" s="47"/>
      <c r="D131" s="47"/>
      <c r="E131" s="3"/>
      <c r="F131" s="3"/>
      <c r="G131" s="3"/>
      <c r="H131" s="3"/>
      <c r="I131" s="3"/>
      <c r="J131" s="52"/>
      <c r="K131" s="3"/>
      <c r="L131" s="3"/>
      <c r="M131" s="3"/>
      <c r="N131" s="3"/>
    </row>
    <row r="132" spans="2:14" s="107" customFormat="1" ht="13.2" x14ac:dyDescent="0.25">
      <c r="B132" s="53"/>
      <c r="C132" s="47"/>
      <c r="D132" s="47"/>
      <c r="E132" s="47"/>
      <c r="F132" s="3"/>
      <c r="G132" s="3"/>
      <c r="H132" s="3"/>
      <c r="I132" s="3"/>
      <c r="J132" s="3"/>
      <c r="K132" s="52"/>
      <c r="L132" s="3"/>
      <c r="M132" s="3"/>
      <c r="N132" s="3"/>
    </row>
    <row r="133" spans="2:14" s="107" customFormat="1" ht="13.2" x14ac:dyDescent="0.25">
      <c r="B133" s="255" t="s">
        <v>48</v>
      </c>
      <c r="C133" s="256"/>
      <c r="D133" s="256"/>
      <c r="E133" s="257"/>
      <c r="F133" s="246" t="s">
        <v>303</v>
      </c>
      <c r="G133" s="247"/>
    </row>
    <row r="134" spans="2:14" s="107" customFormat="1" ht="15" customHeight="1" x14ac:dyDescent="0.25">
      <c r="B134" s="258"/>
      <c r="C134" s="275"/>
      <c r="D134" s="275"/>
      <c r="E134" s="276"/>
      <c r="F134" s="248"/>
      <c r="G134" s="249"/>
    </row>
    <row r="135" spans="2:14" s="107" customFormat="1" ht="16.2" customHeight="1" x14ac:dyDescent="0.25">
      <c r="B135" s="286" t="s">
        <v>403</v>
      </c>
      <c r="C135" s="287"/>
      <c r="D135" s="221"/>
      <c r="E135" s="222"/>
      <c r="F135" s="179" t="s">
        <v>305</v>
      </c>
      <c r="G135" s="139" t="s">
        <v>304</v>
      </c>
    </row>
    <row r="136" spans="2:14" s="107" customFormat="1" ht="13.2" x14ac:dyDescent="0.25">
      <c r="B136" s="32"/>
      <c r="C136" s="33"/>
      <c r="D136" s="33"/>
      <c r="E136" s="34"/>
      <c r="F136" s="35"/>
      <c r="G136" s="21"/>
    </row>
    <row r="137" spans="2:14" s="107" customFormat="1" ht="13.2" x14ac:dyDescent="0.25">
      <c r="B137" s="120" t="s">
        <v>51</v>
      </c>
      <c r="C137" s="121"/>
      <c r="D137" s="121"/>
      <c r="E137" s="122"/>
      <c r="F137" s="133">
        <f>SUM(F139,F142,F146,F157,F170,F176,F202)</f>
        <v>39</v>
      </c>
      <c r="G137" s="143">
        <f>SUM(G139,G142,G146,G157,G170,G176,G202)</f>
        <v>13</v>
      </c>
      <c r="I137" s="229"/>
    </row>
    <row r="138" spans="2:14" s="107" customFormat="1" ht="13.2" x14ac:dyDescent="0.25">
      <c r="B138" s="32" t="s">
        <v>47</v>
      </c>
      <c r="C138" s="33"/>
      <c r="D138" s="33"/>
      <c r="E138" s="34"/>
      <c r="F138" s="35"/>
      <c r="G138" s="21"/>
    </row>
    <row r="139" spans="2:14" s="107" customFormat="1" ht="13.2" x14ac:dyDescent="0.25">
      <c r="B139" s="41" t="s">
        <v>52</v>
      </c>
      <c r="C139" s="42"/>
      <c r="D139" s="42"/>
      <c r="E139" s="34"/>
      <c r="F139" s="43">
        <f t="shared" ref="F139" si="16">F140</f>
        <v>1</v>
      </c>
      <c r="G139" s="102">
        <f>G140</f>
        <v>0</v>
      </c>
    </row>
    <row r="140" spans="2:14" s="107" customFormat="1" ht="13.2" hidden="1" outlineLevel="1" x14ac:dyDescent="0.25">
      <c r="B140" s="32" t="s">
        <v>108</v>
      </c>
      <c r="C140" s="47"/>
      <c r="D140" s="47"/>
      <c r="E140" s="47"/>
      <c r="F140" s="191">
        <v>1</v>
      </c>
      <c r="G140" s="218"/>
    </row>
    <row r="141" spans="2:14" s="107" customFormat="1" ht="13.2" collapsed="1" x14ac:dyDescent="0.25">
      <c r="B141" s="32"/>
      <c r="C141" s="47"/>
      <c r="D141" s="47"/>
      <c r="E141" s="47"/>
      <c r="F141" s="20"/>
      <c r="G141" s="21"/>
    </row>
    <row r="142" spans="2:14" s="107" customFormat="1" ht="13.2" x14ac:dyDescent="0.25">
      <c r="B142" s="41" t="s">
        <v>57</v>
      </c>
      <c r="C142" s="47"/>
      <c r="D142" s="47"/>
      <c r="E142" s="3"/>
      <c r="F142" s="43">
        <f t="shared" ref="F142:G142" si="17">SUM(F143:F144)</f>
        <v>1</v>
      </c>
      <c r="G142" s="102">
        <f t="shared" si="17"/>
        <v>1</v>
      </c>
    </row>
    <row r="143" spans="2:14" s="107" customFormat="1" ht="13.2" hidden="1" outlineLevel="1" x14ac:dyDescent="0.25">
      <c r="B143" s="32" t="s">
        <v>109</v>
      </c>
      <c r="C143" s="47"/>
      <c r="D143" s="47"/>
      <c r="E143" s="3"/>
      <c r="F143" s="194">
        <v>1</v>
      </c>
      <c r="G143" s="219"/>
    </row>
    <row r="144" spans="2:14" s="107" customFormat="1" ht="13.2" hidden="1" outlineLevel="1" x14ac:dyDescent="0.25">
      <c r="B144" s="32" t="s">
        <v>110</v>
      </c>
      <c r="C144" s="47"/>
      <c r="D144" s="47"/>
      <c r="E144" s="3"/>
      <c r="F144" s="195"/>
      <c r="G144" s="220">
        <v>1</v>
      </c>
    </row>
    <row r="145" spans="2:7" s="107" customFormat="1" ht="13.2" collapsed="1" x14ac:dyDescent="0.25">
      <c r="B145" s="32"/>
      <c r="C145" s="47"/>
      <c r="D145" s="47"/>
      <c r="E145" s="3"/>
      <c r="F145" s="20"/>
      <c r="G145" s="21"/>
    </row>
    <row r="146" spans="2:7" s="107" customFormat="1" ht="13.2" x14ac:dyDescent="0.25">
      <c r="B146" s="41" t="s">
        <v>60</v>
      </c>
      <c r="C146" s="19"/>
      <c r="D146" s="19"/>
      <c r="E146" s="19"/>
      <c r="F146" s="172">
        <f t="shared" ref="F146:G146" si="18">SUM(F147:F155)</f>
        <v>7</v>
      </c>
      <c r="G146" s="211">
        <f t="shared" si="18"/>
        <v>2</v>
      </c>
    </row>
    <row r="147" spans="2:7" s="107" customFormat="1" ht="13.2" hidden="1" outlineLevel="1" x14ac:dyDescent="0.25">
      <c r="B147" s="32" t="s">
        <v>111</v>
      </c>
      <c r="C147" s="19"/>
      <c r="D147" s="19"/>
      <c r="E147" s="19"/>
      <c r="F147" s="194">
        <v>1</v>
      </c>
      <c r="G147" s="219"/>
    </row>
    <row r="148" spans="2:7" s="107" customFormat="1" ht="13.2" hidden="1" outlineLevel="1" x14ac:dyDescent="0.25">
      <c r="B148" s="32" t="s">
        <v>112</v>
      </c>
      <c r="C148" s="19"/>
      <c r="D148" s="19"/>
      <c r="E148" s="19"/>
      <c r="F148" s="124">
        <v>1</v>
      </c>
      <c r="G148" s="103"/>
    </row>
    <row r="149" spans="2:7" s="107" customFormat="1" ht="13.2" hidden="1" outlineLevel="1" x14ac:dyDescent="0.25">
      <c r="B149" s="32" t="s">
        <v>113</v>
      </c>
      <c r="C149" s="19"/>
      <c r="D149" s="19"/>
      <c r="E149" s="19"/>
      <c r="F149" s="124">
        <v>1</v>
      </c>
      <c r="G149" s="103"/>
    </row>
    <row r="150" spans="2:7" s="107" customFormat="1" ht="13.2" hidden="1" outlineLevel="1" x14ac:dyDescent="0.25">
      <c r="B150" s="32" t="s">
        <v>114</v>
      </c>
      <c r="C150" s="19"/>
      <c r="D150" s="19"/>
      <c r="E150" s="19"/>
      <c r="F150" s="124">
        <v>1</v>
      </c>
      <c r="G150" s="103"/>
    </row>
    <row r="151" spans="2:7" s="107" customFormat="1" ht="13.2" hidden="1" outlineLevel="1" x14ac:dyDescent="0.25">
      <c r="B151" s="32" t="s">
        <v>115</v>
      </c>
      <c r="C151" s="19"/>
      <c r="D151" s="19"/>
      <c r="E151" s="19"/>
      <c r="F151" s="124">
        <v>1</v>
      </c>
      <c r="G151" s="103"/>
    </row>
    <row r="152" spans="2:7" s="107" customFormat="1" ht="13.2" hidden="1" outlineLevel="1" x14ac:dyDescent="0.25">
      <c r="B152" s="32" t="s">
        <v>116</v>
      </c>
      <c r="C152" s="19"/>
      <c r="D152" s="19"/>
      <c r="E152" s="19"/>
      <c r="F152" s="124">
        <v>1</v>
      </c>
      <c r="G152" s="103"/>
    </row>
    <row r="153" spans="2:7" s="107" customFormat="1" ht="13.2" hidden="1" outlineLevel="1" x14ac:dyDescent="0.25">
      <c r="B153" s="32" t="s">
        <v>117</v>
      </c>
      <c r="C153" s="19"/>
      <c r="D153" s="19"/>
      <c r="E153" s="19"/>
      <c r="F153" s="124"/>
      <c r="G153" s="103">
        <v>1</v>
      </c>
    </row>
    <row r="154" spans="2:7" s="107" customFormat="1" ht="13.2" hidden="1" outlineLevel="1" x14ac:dyDescent="0.25">
      <c r="B154" s="32" t="s">
        <v>118</v>
      </c>
      <c r="C154" s="19"/>
      <c r="D154" s="19"/>
      <c r="E154" s="19"/>
      <c r="F154" s="124">
        <v>1</v>
      </c>
      <c r="G154" s="103"/>
    </row>
    <row r="155" spans="2:7" s="107" customFormat="1" ht="13.2" hidden="1" outlineLevel="1" x14ac:dyDescent="0.25">
      <c r="B155" s="32" t="s">
        <v>119</v>
      </c>
      <c r="C155" s="19"/>
      <c r="D155" s="19"/>
      <c r="E155" s="19"/>
      <c r="F155" s="195"/>
      <c r="G155" s="220">
        <v>1</v>
      </c>
    </row>
    <row r="156" spans="2:7" s="107" customFormat="1" ht="13.2" collapsed="1" x14ac:dyDescent="0.25">
      <c r="B156" s="32"/>
      <c r="C156" s="33"/>
      <c r="D156" s="33"/>
      <c r="E156" s="33"/>
      <c r="F156" s="44"/>
      <c r="G156" s="212"/>
    </row>
    <row r="157" spans="2:7" s="107" customFormat="1" ht="13.2" x14ac:dyDescent="0.25">
      <c r="B157" s="41" t="s">
        <v>40</v>
      </c>
      <c r="C157" s="19"/>
      <c r="D157" s="19"/>
      <c r="E157" s="19"/>
      <c r="F157" s="172">
        <f>SUM(F158:F168)</f>
        <v>9</v>
      </c>
      <c r="G157" s="211">
        <f>SUM(G158:G168)</f>
        <v>2</v>
      </c>
    </row>
    <row r="158" spans="2:7" s="107" customFormat="1" ht="13.2" hidden="1" outlineLevel="1" x14ac:dyDescent="0.25">
      <c r="B158" s="32" t="s">
        <v>120</v>
      </c>
      <c r="C158" s="19"/>
      <c r="D158" s="19"/>
      <c r="E158" s="19"/>
      <c r="F158" s="194">
        <v>1</v>
      </c>
      <c r="G158" s="219"/>
    </row>
    <row r="159" spans="2:7" s="107" customFormat="1" ht="13.2" hidden="1" outlineLevel="1" x14ac:dyDescent="0.25">
      <c r="B159" s="32" t="s">
        <v>121</v>
      </c>
      <c r="C159" s="19"/>
      <c r="D159" s="19"/>
      <c r="E159" s="19"/>
      <c r="F159" s="124"/>
      <c r="G159" s="103">
        <v>1</v>
      </c>
    </row>
    <row r="160" spans="2:7" s="107" customFormat="1" ht="13.2" hidden="1" outlineLevel="1" x14ac:dyDescent="0.25">
      <c r="B160" s="32" t="s">
        <v>122</v>
      </c>
      <c r="C160" s="19"/>
      <c r="D160" s="19"/>
      <c r="E160" s="19"/>
      <c r="F160" s="124">
        <v>1</v>
      </c>
      <c r="G160" s="103"/>
    </row>
    <row r="161" spans="2:7" s="107" customFormat="1" ht="13.2" hidden="1" outlineLevel="1" x14ac:dyDescent="0.25">
      <c r="B161" s="32" t="s">
        <v>123</v>
      </c>
      <c r="C161" s="19"/>
      <c r="D161" s="19"/>
      <c r="E161" s="19"/>
      <c r="F161" s="124">
        <v>1</v>
      </c>
      <c r="G161" s="103"/>
    </row>
    <row r="162" spans="2:7" s="107" customFormat="1" ht="13.2" hidden="1" outlineLevel="1" x14ac:dyDescent="0.25">
      <c r="B162" s="32" t="s">
        <v>124</v>
      </c>
      <c r="C162" s="19"/>
      <c r="D162" s="19"/>
      <c r="E162" s="19"/>
      <c r="F162" s="124">
        <v>1</v>
      </c>
      <c r="G162" s="103"/>
    </row>
    <row r="163" spans="2:7" s="107" customFormat="1" ht="13.2" hidden="1" outlineLevel="1" x14ac:dyDescent="0.25">
      <c r="B163" s="32" t="s">
        <v>125</v>
      </c>
      <c r="C163" s="19"/>
      <c r="D163" s="19"/>
      <c r="E163" s="19"/>
      <c r="F163" s="124">
        <v>1</v>
      </c>
      <c r="G163" s="103"/>
    </row>
    <row r="164" spans="2:7" s="107" customFormat="1" ht="13.2" hidden="1" outlineLevel="1" x14ac:dyDescent="0.25">
      <c r="B164" s="32" t="s">
        <v>126</v>
      </c>
      <c r="C164" s="19"/>
      <c r="D164" s="19"/>
      <c r="E164" s="19"/>
      <c r="F164" s="124">
        <v>1</v>
      </c>
      <c r="G164" s="103"/>
    </row>
    <row r="165" spans="2:7" s="107" customFormat="1" ht="13.2" hidden="1" outlineLevel="1" x14ac:dyDescent="0.25">
      <c r="B165" s="32" t="s">
        <v>127</v>
      </c>
      <c r="C165" s="19"/>
      <c r="D165" s="19"/>
      <c r="E165" s="19"/>
      <c r="F165" s="124">
        <v>1</v>
      </c>
      <c r="G165" s="103"/>
    </row>
    <row r="166" spans="2:7" s="107" customFormat="1" ht="13.2" hidden="1" outlineLevel="1" x14ac:dyDescent="0.25">
      <c r="B166" s="32" t="s">
        <v>128</v>
      </c>
      <c r="C166" s="19"/>
      <c r="D166" s="19"/>
      <c r="E166" s="19"/>
      <c r="F166" s="124"/>
      <c r="G166" s="103">
        <v>1</v>
      </c>
    </row>
    <row r="167" spans="2:7" s="107" customFormat="1" ht="13.2" hidden="1" outlineLevel="1" x14ac:dyDescent="0.25">
      <c r="B167" s="32" t="s">
        <v>129</v>
      </c>
      <c r="C167" s="19"/>
      <c r="D167" s="19"/>
      <c r="E167" s="19"/>
      <c r="F167" s="124">
        <v>1</v>
      </c>
      <c r="G167" s="103"/>
    </row>
    <row r="168" spans="2:7" s="107" customFormat="1" ht="13.2" hidden="1" outlineLevel="1" x14ac:dyDescent="0.25">
      <c r="B168" s="32" t="s">
        <v>130</v>
      </c>
      <c r="C168" s="19"/>
      <c r="D168" s="19"/>
      <c r="E168" s="19"/>
      <c r="F168" s="195">
        <v>1</v>
      </c>
      <c r="G168" s="220"/>
    </row>
    <row r="169" spans="2:7" s="107" customFormat="1" ht="13.2" collapsed="1" x14ac:dyDescent="0.25">
      <c r="B169" s="32"/>
      <c r="C169" s="33"/>
      <c r="D169" s="33"/>
      <c r="E169" s="33"/>
      <c r="F169" s="44"/>
      <c r="G169" s="212"/>
    </row>
    <row r="170" spans="2:7" s="107" customFormat="1" ht="13.2" x14ac:dyDescent="0.25">
      <c r="B170" s="41" t="s">
        <v>80</v>
      </c>
      <c r="C170" s="19"/>
      <c r="D170" s="19"/>
      <c r="E170" s="19"/>
      <c r="F170" s="172">
        <f t="shared" ref="F170:G170" si="19">SUM(F171:F174)</f>
        <v>3</v>
      </c>
      <c r="G170" s="211">
        <f t="shared" si="19"/>
        <v>1</v>
      </c>
    </row>
    <row r="171" spans="2:7" s="107" customFormat="1" ht="13.2" hidden="1" outlineLevel="1" x14ac:dyDescent="0.25">
      <c r="B171" s="32" t="s">
        <v>131</v>
      </c>
      <c r="C171" s="19"/>
      <c r="D171" s="19"/>
      <c r="E171" s="19"/>
      <c r="F171" s="194">
        <v>1</v>
      </c>
      <c r="G171" s="219"/>
    </row>
    <row r="172" spans="2:7" s="107" customFormat="1" ht="13.2" hidden="1" outlineLevel="1" x14ac:dyDescent="0.25">
      <c r="B172" s="32" t="s">
        <v>132</v>
      </c>
      <c r="C172" s="19"/>
      <c r="D172" s="19"/>
      <c r="E172" s="19"/>
      <c r="F172" s="124"/>
      <c r="G172" s="103">
        <v>1</v>
      </c>
    </row>
    <row r="173" spans="2:7" s="107" customFormat="1" ht="13.2" hidden="1" outlineLevel="1" x14ac:dyDescent="0.25">
      <c r="B173" s="32" t="s">
        <v>133</v>
      </c>
      <c r="C173" s="19"/>
      <c r="D173" s="19"/>
      <c r="E173" s="19"/>
      <c r="F173" s="124">
        <v>1</v>
      </c>
      <c r="G173" s="103"/>
    </row>
    <row r="174" spans="2:7" s="107" customFormat="1" ht="13.2" hidden="1" outlineLevel="1" x14ac:dyDescent="0.25">
      <c r="B174" s="32" t="s">
        <v>134</v>
      </c>
      <c r="C174" s="19"/>
      <c r="D174" s="19"/>
      <c r="E174" s="19"/>
      <c r="F174" s="195">
        <v>1</v>
      </c>
      <c r="G174" s="220"/>
    </row>
    <row r="175" spans="2:7" s="107" customFormat="1" ht="13.2" collapsed="1" x14ac:dyDescent="0.25">
      <c r="B175" s="32"/>
      <c r="C175" s="33"/>
      <c r="D175" s="33"/>
      <c r="E175" s="33"/>
      <c r="F175" s="44"/>
      <c r="G175" s="212"/>
    </row>
    <row r="176" spans="2:7" s="107" customFormat="1" ht="13.2" x14ac:dyDescent="0.25">
      <c r="B176" s="41" t="s">
        <v>85</v>
      </c>
      <c r="C176" s="19"/>
      <c r="D176" s="19"/>
      <c r="E176" s="19"/>
      <c r="F176" s="172">
        <f t="shared" ref="F176:G176" si="20">SUM(F177:F200)</f>
        <v>17</v>
      </c>
      <c r="G176" s="211">
        <f t="shared" si="20"/>
        <v>7</v>
      </c>
    </row>
    <row r="177" spans="2:7" s="107" customFormat="1" ht="13.2" hidden="1" outlineLevel="1" x14ac:dyDescent="0.25">
      <c r="B177" s="32" t="s">
        <v>135</v>
      </c>
      <c r="C177" s="19"/>
      <c r="D177" s="19"/>
      <c r="E177" s="19"/>
      <c r="F177" s="194">
        <v>1</v>
      </c>
      <c r="G177" s="194"/>
    </row>
    <row r="178" spans="2:7" s="107" customFormat="1" ht="13.2" hidden="1" outlineLevel="1" x14ac:dyDescent="0.25">
      <c r="B178" s="32" t="s">
        <v>136</v>
      </c>
      <c r="C178" s="19"/>
      <c r="D178" s="19"/>
      <c r="E178" s="19"/>
      <c r="F178" s="124">
        <v>1</v>
      </c>
      <c r="G178" s="124"/>
    </row>
    <row r="179" spans="2:7" s="107" customFormat="1" ht="13.2" hidden="1" outlineLevel="1" x14ac:dyDescent="0.25">
      <c r="B179" s="32" t="s">
        <v>137</v>
      </c>
      <c r="C179" s="19"/>
      <c r="D179" s="19"/>
      <c r="E179" s="19"/>
      <c r="F179" s="124">
        <v>1</v>
      </c>
      <c r="G179" s="124"/>
    </row>
    <row r="180" spans="2:7" s="107" customFormat="1" ht="13.2" hidden="1" outlineLevel="1" x14ac:dyDescent="0.25">
      <c r="B180" s="32" t="s">
        <v>138</v>
      </c>
      <c r="C180" s="19"/>
      <c r="D180" s="19"/>
      <c r="E180" s="19"/>
      <c r="F180" s="124">
        <v>1</v>
      </c>
      <c r="G180" s="124"/>
    </row>
    <row r="181" spans="2:7" s="107" customFormat="1" ht="13.2" hidden="1" outlineLevel="1" x14ac:dyDescent="0.25">
      <c r="B181" s="32" t="s">
        <v>139</v>
      </c>
      <c r="C181" s="19"/>
      <c r="D181" s="19"/>
      <c r="E181" s="19"/>
      <c r="F181" s="124">
        <v>1</v>
      </c>
      <c r="G181" s="124"/>
    </row>
    <row r="182" spans="2:7" s="107" customFormat="1" ht="13.2" hidden="1" outlineLevel="1" x14ac:dyDescent="0.25">
      <c r="B182" s="32" t="s">
        <v>140</v>
      </c>
      <c r="C182" s="19"/>
      <c r="D182" s="19"/>
      <c r="E182" s="19"/>
      <c r="F182" s="124">
        <v>1</v>
      </c>
      <c r="G182" s="124"/>
    </row>
    <row r="183" spans="2:7" s="107" customFormat="1" ht="13.2" hidden="1" outlineLevel="1" x14ac:dyDescent="0.25">
      <c r="B183" s="32" t="s">
        <v>141</v>
      </c>
      <c r="C183" s="19"/>
      <c r="D183" s="19"/>
      <c r="E183" s="19"/>
      <c r="F183" s="124"/>
      <c r="G183" s="124">
        <v>1</v>
      </c>
    </row>
    <row r="184" spans="2:7" s="107" customFormat="1" ht="13.2" hidden="1" outlineLevel="1" x14ac:dyDescent="0.25">
      <c r="B184" s="32" t="s">
        <v>142</v>
      </c>
      <c r="C184" s="19"/>
      <c r="D184" s="19"/>
      <c r="E184" s="19"/>
      <c r="F184" s="124"/>
      <c r="G184" s="124">
        <v>1</v>
      </c>
    </row>
    <row r="185" spans="2:7" s="107" customFormat="1" ht="13.2" hidden="1" outlineLevel="1" x14ac:dyDescent="0.25">
      <c r="B185" s="32" t="s">
        <v>143</v>
      </c>
      <c r="C185" s="19"/>
      <c r="D185" s="19"/>
      <c r="E185" s="19"/>
      <c r="F185" s="124"/>
      <c r="G185" s="124">
        <v>1</v>
      </c>
    </row>
    <row r="186" spans="2:7" s="107" customFormat="1" ht="13.2" hidden="1" outlineLevel="1" x14ac:dyDescent="0.25">
      <c r="B186" s="32" t="s">
        <v>144</v>
      </c>
      <c r="C186" s="19"/>
      <c r="D186" s="19"/>
      <c r="E186" s="19"/>
      <c r="F186" s="124"/>
      <c r="G186" s="124">
        <v>1</v>
      </c>
    </row>
    <row r="187" spans="2:7" s="107" customFormat="1" ht="13.2" hidden="1" outlineLevel="1" x14ac:dyDescent="0.25">
      <c r="B187" s="32" t="s">
        <v>145</v>
      </c>
      <c r="C187" s="19"/>
      <c r="D187" s="19"/>
      <c r="E187" s="19"/>
      <c r="F187" s="124">
        <v>1</v>
      </c>
      <c r="G187" s="124"/>
    </row>
    <row r="188" spans="2:7" s="107" customFormat="1" ht="13.2" hidden="1" outlineLevel="1" x14ac:dyDescent="0.25">
      <c r="B188" s="32" t="s">
        <v>146</v>
      </c>
      <c r="C188" s="19"/>
      <c r="D188" s="19"/>
      <c r="E188" s="19"/>
      <c r="F188" s="124">
        <v>1</v>
      </c>
      <c r="G188" s="124"/>
    </row>
    <row r="189" spans="2:7" s="107" customFormat="1" ht="13.2" hidden="1" outlineLevel="1" x14ac:dyDescent="0.25">
      <c r="B189" s="32" t="s">
        <v>147</v>
      </c>
      <c r="C189" s="19"/>
      <c r="D189" s="19"/>
      <c r="E189" s="19"/>
      <c r="F189" s="124">
        <v>1</v>
      </c>
      <c r="G189" s="124"/>
    </row>
    <row r="190" spans="2:7" s="107" customFormat="1" ht="13.2" hidden="1" outlineLevel="1" x14ac:dyDescent="0.25">
      <c r="B190" s="32" t="s">
        <v>148</v>
      </c>
      <c r="C190" s="19"/>
      <c r="D190" s="19"/>
      <c r="E190" s="19"/>
      <c r="F190" s="124">
        <v>1</v>
      </c>
      <c r="G190" s="124"/>
    </row>
    <row r="191" spans="2:7" s="107" customFormat="1" ht="13.2" hidden="1" outlineLevel="1" x14ac:dyDescent="0.25">
      <c r="B191" s="32" t="s">
        <v>149</v>
      </c>
      <c r="C191" s="19"/>
      <c r="D191" s="19"/>
      <c r="E191" s="19"/>
      <c r="F191" s="124">
        <v>1</v>
      </c>
      <c r="G191" s="124"/>
    </row>
    <row r="192" spans="2:7" s="107" customFormat="1" ht="13.2" hidden="1" outlineLevel="1" x14ac:dyDescent="0.25">
      <c r="B192" s="32" t="s">
        <v>150</v>
      </c>
      <c r="C192" s="19"/>
      <c r="D192" s="19"/>
      <c r="E192" s="19"/>
      <c r="F192" s="124">
        <v>1</v>
      </c>
      <c r="G192" s="124"/>
    </row>
    <row r="193" spans="2:11" s="107" customFormat="1" ht="13.2" hidden="1" outlineLevel="1" x14ac:dyDescent="0.25">
      <c r="B193" s="32" t="s">
        <v>151</v>
      </c>
      <c r="C193" s="19"/>
      <c r="D193" s="19"/>
      <c r="E193" s="19"/>
      <c r="F193" s="124"/>
      <c r="G193" s="124">
        <v>1</v>
      </c>
    </row>
    <row r="194" spans="2:11" s="107" customFormat="1" ht="13.2" hidden="1" outlineLevel="1" x14ac:dyDescent="0.25">
      <c r="B194" s="32" t="s">
        <v>152</v>
      </c>
      <c r="C194" s="19"/>
      <c r="D194" s="19"/>
      <c r="E194" s="19"/>
      <c r="F194" s="124">
        <v>1</v>
      </c>
      <c r="G194" s="124"/>
    </row>
    <row r="195" spans="2:11" s="107" customFormat="1" ht="13.2" hidden="1" outlineLevel="1" x14ac:dyDescent="0.25">
      <c r="B195" s="32" t="s">
        <v>153</v>
      </c>
      <c r="C195" s="19"/>
      <c r="D195" s="19"/>
      <c r="E195" s="19"/>
      <c r="F195" s="124">
        <v>1</v>
      </c>
      <c r="G195" s="124"/>
    </row>
    <row r="196" spans="2:11" s="107" customFormat="1" ht="13.2" hidden="1" outlineLevel="1" x14ac:dyDescent="0.25">
      <c r="B196" s="32" t="s">
        <v>154</v>
      </c>
      <c r="C196" s="19"/>
      <c r="D196" s="19"/>
      <c r="E196" s="19"/>
      <c r="F196" s="124">
        <v>1</v>
      </c>
      <c r="G196" s="124"/>
    </row>
    <row r="197" spans="2:11" s="107" customFormat="1" ht="13.2" hidden="1" outlineLevel="1" x14ac:dyDescent="0.25">
      <c r="B197" s="32" t="s">
        <v>155</v>
      </c>
      <c r="C197" s="19"/>
      <c r="D197" s="19"/>
      <c r="E197" s="19"/>
      <c r="F197" s="124"/>
      <c r="G197" s="124">
        <v>1</v>
      </c>
    </row>
    <row r="198" spans="2:11" s="107" customFormat="1" ht="13.2" hidden="1" outlineLevel="1" x14ac:dyDescent="0.25">
      <c r="B198" s="32" t="s">
        <v>156</v>
      </c>
      <c r="C198" s="19"/>
      <c r="D198" s="19"/>
      <c r="E198" s="19"/>
      <c r="F198" s="124"/>
      <c r="G198" s="124">
        <v>1</v>
      </c>
    </row>
    <row r="199" spans="2:11" s="107" customFormat="1" ht="13.2" hidden="1" outlineLevel="1" x14ac:dyDescent="0.25">
      <c r="B199" s="32" t="s">
        <v>157</v>
      </c>
      <c r="C199" s="19"/>
      <c r="D199" s="19"/>
      <c r="E199" s="19"/>
      <c r="F199" s="124">
        <v>1</v>
      </c>
      <c r="G199" s="124"/>
    </row>
    <row r="200" spans="2:11" s="107" customFormat="1" ht="13.2" hidden="1" outlineLevel="1" x14ac:dyDescent="0.25">
      <c r="B200" s="32" t="s">
        <v>158</v>
      </c>
      <c r="C200" s="19"/>
      <c r="D200" s="19"/>
      <c r="E200" s="19"/>
      <c r="F200" s="195">
        <v>1</v>
      </c>
      <c r="G200" s="195"/>
    </row>
    <row r="201" spans="2:11" s="107" customFormat="1" ht="13.2" collapsed="1" x14ac:dyDescent="0.25">
      <c r="B201" s="32"/>
      <c r="C201" s="33"/>
      <c r="D201" s="33"/>
      <c r="E201" s="33"/>
      <c r="F201" s="44"/>
      <c r="G201" s="212"/>
    </row>
    <row r="202" spans="2:11" s="107" customFormat="1" ht="13.2" x14ac:dyDescent="0.25">
      <c r="B202" s="41" t="s">
        <v>104</v>
      </c>
      <c r="C202" s="19"/>
      <c r="D202" s="19"/>
      <c r="E202" s="19"/>
      <c r="F202" s="172">
        <f t="shared" ref="F202:G202" si="21">F203</f>
        <v>1</v>
      </c>
      <c r="G202" s="211">
        <f t="shared" si="21"/>
        <v>0</v>
      </c>
    </row>
    <row r="203" spans="2:11" s="107" customFormat="1" ht="13.2" hidden="1" outlineLevel="1" x14ac:dyDescent="0.25">
      <c r="B203" s="32" t="s">
        <v>159</v>
      </c>
      <c r="C203" s="19"/>
      <c r="D203" s="19"/>
      <c r="E203" s="19"/>
      <c r="F203" s="191">
        <v>1</v>
      </c>
      <c r="G203" s="218"/>
    </row>
    <row r="204" spans="2:11" s="107" customFormat="1" ht="13.2" collapsed="1" x14ac:dyDescent="0.25">
      <c r="B204" s="207"/>
      <c r="C204" s="119"/>
      <c r="D204" s="119"/>
      <c r="E204" s="119"/>
      <c r="F204" s="169"/>
      <c r="G204" s="213"/>
    </row>
    <row r="205" spans="2:11" s="107" customFormat="1" ht="13.2" x14ac:dyDescent="0.25"/>
    <row r="206" spans="2:11" s="107" customFormat="1" ht="13.2" x14ac:dyDescent="0.25">
      <c r="B206" s="48" t="s">
        <v>291</v>
      </c>
    </row>
    <row r="207" spans="2:11" s="107" customFormat="1" ht="13.2" x14ac:dyDescent="0.25">
      <c r="B207" s="270" t="s">
        <v>398</v>
      </c>
      <c r="C207" s="270"/>
      <c r="D207" s="270"/>
      <c r="E207" s="270"/>
      <c r="F207" s="270"/>
      <c r="G207" s="270"/>
      <c r="H207" s="270"/>
      <c r="I207" s="270"/>
      <c r="J207" s="270"/>
      <c r="K207" s="270"/>
    </row>
    <row r="208" spans="2:11" s="107" customFormat="1" ht="13.2" x14ac:dyDescent="0.25">
      <c r="B208" s="270" t="s">
        <v>397</v>
      </c>
      <c r="C208" s="270"/>
      <c r="D208" s="270"/>
      <c r="E208" s="270"/>
      <c r="F208" s="270"/>
      <c r="G208" s="270"/>
      <c r="H208" s="270"/>
      <c r="I208" s="270"/>
      <c r="J208" s="270"/>
      <c r="K208" s="270"/>
    </row>
    <row r="209" spans="2:2" s="107" customFormat="1" ht="13.2" x14ac:dyDescent="0.25">
      <c r="B209" s="214" t="s">
        <v>395</v>
      </c>
    </row>
    <row r="210" spans="2:2" s="107" customFormat="1" ht="13.2" x14ac:dyDescent="0.25">
      <c r="B210" s="214" t="s">
        <v>396</v>
      </c>
    </row>
    <row r="211" spans="2:2" s="107" customFormat="1" ht="13.2" x14ac:dyDescent="0.25"/>
    <row r="212" spans="2:2" s="107" customFormat="1" ht="13.2" x14ac:dyDescent="0.25"/>
  </sheetData>
  <mergeCells count="24">
    <mergeCell ref="B2:C2"/>
    <mergeCell ref="B6:L6"/>
    <mergeCell ref="B8:E8"/>
    <mergeCell ref="F8:G8"/>
    <mergeCell ref="H8:I8"/>
    <mergeCell ref="J8:K8"/>
    <mergeCell ref="N8:O8"/>
    <mergeCell ref="B9:E9"/>
    <mergeCell ref="B76:E78"/>
    <mergeCell ref="F76:G77"/>
    <mergeCell ref="F105:G106"/>
    <mergeCell ref="H106:H107"/>
    <mergeCell ref="B105:E107"/>
    <mergeCell ref="L8:M8"/>
    <mergeCell ref="I106:I107"/>
    <mergeCell ref="J106:J107"/>
    <mergeCell ref="K106:K107"/>
    <mergeCell ref="H105:K105"/>
    <mergeCell ref="H76:J77"/>
    <mergeCell ref="B133:E134"/>
    <mergeCell ref="B135:C135"/>
    <mergeCell ref="B207:K207"/>
    <mergeCell ref="B208:K208"/>
    <mergeCell ref="F133:G134"/>
  </mergeCells>
  <pageMargins left="0.7" right="0.7" top="0.75" bottom="0.75" header="0.3" footer="0.3"/>
  <pageSetup scale="34" orientation="landscape" r:id="rId1"/>
  <ignoredErrors>
    <ignoredError sqref="G11:H11 I11:J11 K11:L1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40C1-9A99-4794-B640-60DC1A69CBB3}">
  <sheetPr>
    <pageSetUpPr fitToPage="1"/>
  </sheetPr>
  <dimension ref="B1:AY156"/>
  <sheetViews>
    <sheetView showGridLines="0" topLeftCell="A6" zoomScaleNormal="100" workbookViewId="0">
      <selection activeCell="C73" sqref="C73"/>
    </sheetView>
  </sheetViews>
  <sheetFormatPr defaultRowHeight="14.4" outlineLevelRow="1" x14ac:dyDescent="0.3"/>
  <cols>
    <col min="1" max="1" width="3.109375" customWidth="1"/>
    <col min="2" max="3" width="16.44140625" customWidth="1"/>
    <col min="6" max="6" width="12.33203125" customWidth="1"/>
    <col min="7" max="7" width="11.77734375" customWidth="1"/>
    <col min="8" max="8" width="15.21875" customWidth="1"/>
    <col min="9" max="9" width="13.109375" customWidth="1"/>
    <col min="10" max="10" width="13" customWidth="1"/>
    <col min="11" max="11" width="13.88671875" customWidth="1"/>
    <col min="12" max="12" width="12.6640625" customWidth="1"/>
    <col min="13" max="13" width="10.5546875" customWidth="1"/>
    <col min="14" max="14" width="12.5546875" customWidth="1"/>
    <col min="15" max="15" width="13.21875" customWidth="1"/>
    <col min="16" max="16" width="13.5546875" customWidth="1"/>
    <col min="17" max="17" width="12.33203125" customWidth="1"/>
    <col min="18" max="18" width="20" customWidth="1"/>
    <col min="19" max="21" width="15.33203125" customWidth="1"/>
    <col min="22" max="29" width="16.109375" customWidth="1"/>
    <col min="30" max="30" width="19.33203125" customWidth="1"/>
    <col min="31" max="31" width="17.44140625" customWidth="1"/>
    <col min="32" max="37" width="16.109375" customWidth="1"/>
  </cols>
  <sheetData>
    <row r="1" spans="2:51" s="1" customFormat="1" ht="13.2" x14ac:dyDescent="0.25">
      <c r="E1" s="2"/>
      <c r="F1" s="2"/>
      <c r="G1" s="2"/>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2"/>
      <c r="AL1" s="2"/>
    </row>
    <row r="2" spans="2:51" s="1" customFormat="1" ht="18.600000000000001" customHeight="1" x14ac:dyDescent="0.25">
      <c r="B2" s="262" t="s">
        <v>178</v>
      </c>
      <c r="C2" s="263"/>
      <c r="E2" s="4"/>
      <c r="F2" s="2"/>
      <c r="G2" s="2"/>
      <c r="H2" s="3"/>
      <c r="I2" s="3"/>
      <c r="J2" s="30"/>
      <c r="K2" s="3"/>
      <c r="L2" s="3"/>
      <c r="M2" s="3"/>
      <c r="N2" s="3"/>
      <c r="O2" s="3"/>
      <c r="P2" s="3"/>
      <c r="Q2" s="3"/>
      <c r="R2" s="3"/>
      <c r="S2" s="3"/>
      <c r="T2" s="3"/>
      <c r="U2" s="3"/>
      <c r="V2" s="3"/>
      <c r="W2" s="3"/>
      <c r="X2" s="3"/>
      <c r="Y2" s="3"/>
      <c r="Z2" s="3"/>
      <c r="AA2" s="3"/>
      <c r="AB2" s="3"/>
      <c r="AC2" s="3"/>
      <c r="AD2" s="3"/>
      <c r="AE2" s="3"/>
      <c r="AF2" s="3"/>
      <c r="AG2" s="3"/>
      <c r="AH2" s="3"/>
      <c r="AI2" s="3"/>
      <c r="AJ2" s="3"/>
      <c r="AK2" s="2"/>
      <c r="AL2" s="2"/>
    </row>
    <row r="3" spans="2:51" s="1" customFormat="1" ht="20.399999999999999" customHeight="1" x14ac:dyDescent="0.3">
      <c r="B3" s="7" t="s">
        <v>33</v>
      </c>
      <c r="F3" s="2"/>
      <c r="G3" s="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2"/>
      <c r="AL3" s="2"/>
    </row>
    <row r="4" spans="2:51" s="1" customFormat="1" ht="8.4" customHeight="1" x14ac:dyDescent="0.3">
      <c r="B4" s="5"/>
      <c r="F4" s="2"/>
      <c r="G4" s="2"/>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2"/>
      <c r="AL4" s="2"/>
    </row>
    <row r="5" spans="2:51" s="1" customFormat="1" ht="15" customHeight="1" x14ac:dyDescent="0.25">
      <c r="B5" s="6" t="s">
        <v>8</v>
      </c>
      <c r="F5" s="2"/>
      <c r="G5" s="2"/>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2"/>
      <c r="AL5" s="2"/>
    </row>
    <row r="6" spans="2:51" s="1" customFormat="1" ht="40.799999999999997" customHeight="1" x14ac:dyDescent="0.25">
      <c r="B6" s="285" t="s">
        <v>13</v>
      </c>
      <c r="C6" s="285"/>
      <c r="D6" s="285"/>
      <c r="E6" s="285"/>
      <c r="F6" s="285"/>
      <c r="G6" s="285"/>
      <c r="H6" s="285"/>
      <c r="I6" s="285"/>
      <c r="J6" s="285"/>
      <c r="K6" s="285"/>
      <c r="L6" s="285"/>
      <c r="M6" s="182"/>
      <c r="N6" s="182"/>
      <c r="O6" s="182"/>
      <c r="P6" s="3"/>
      <c r="Q6" s="3"/>
      <c r="R6" s="3"/>
      <c r="S6" s="3"/>
      <c r="T6" s="3"/>
      <c r="U6" s="3"/>
      <c r="V6" s="3"/>
      <c r="W6" s="3"/>
      <c r="X6" s="3"/>
      <c r="Y6" s="3"/>
      <c r="Z6" s="3"/>
      <c r="AA6" s="3"/>
      <c r="AB6" s="3"/>
      <c r="AC6" s="3"/>
      <c r="AD6" s="3"/>
      <c r="AE6" s="3"/>
      <c r="AF6" s="3"/>
      <c r="AG6" s="3"/>
      <c r="AH6" s="3"/>
      <c r="AI6" s="3"/>
      <c r="AJ6" s="3"/>
      <c r="AK6" s="2"/>
      <c r="AL6" s="2"/>
    </row>
    <row r="7" spans="2:51" ht="9" customHeight="1" x14ac:dyDescent="0.3"/>
    <row r="8" spans="2:51" s="1" customFormat="1" ht="53.4" customHeight="1" x14ac:dyDescent="0.25">
      <c r="B8" s="264" t="s">
        <v>34</v>
      </c>
      <c r="C8" s="265"/>
      <c r="D8" s="265"/>
      <c r="E8" s="266"/>
      <c r="F8" s="267" t="s">
        <v>188</v>
      </c>
      <c r="G8" s="268"/>
      <c r="H8" s="267" t="s">
        <v>189</v>
      </c>
      <c r="I8" s="268"/>
      <c r="J8" s="267" t="s">
        <v>190</v>
      </c>
      <c r="K8" s="268"/>
      <c r="L8" s="242" t="s">
        <v>415</v>
      </c>
      <c r="M8" s="243"/>
      <c r="N8" s="110"/>
      <c r="O8" s="8"/>
      <c r="P8" s="8"/>
      <c r="Q8" s="3"/>
      <c r="R8" s="3"/>
      <c r="S8" s="3"/>
      <c r="T8" s="3"/>
      <c r="U8" s="3"/>
      <c r="V8" s="3"/>
      <c r="W8" s="3"/>
      <c r="X8" s="8"/>
      <c r="Y8" s="8"/>
      <c r="Z8" s="8"/>
      <c r="AA8" s="92"/>
      <c r="AB8" s="3"/>
      <c r="AC8" s="3"/>
      <c r="AD8" s="3"/>
      <c r="AE8" s="3"/>
      <c r="AF8" s="3"/>
      <c r="AG8" s="3"/>
      <c r="AH8" s="3"/>
      <c r="AI8" s="3"/>
      <c r="AJ8" s="3"/>
      <c r="AK8" s="3"/>
      <c r="AL8" s="3"/>
      <c r="AM8" s="3"/>
      <c r="AN8" s="3"/>
      <c r="AO8" s="3"/>
      <c r="AP8" s="3"/>
      <c r="AQ8" s="3"/>
      <c r="AR8" s="3"/>
      <c r="AS8" s="3"/>
      <c r="AT8" s="2"/>
      <c r="AU8" s="2"/>
      <c r="AV8" s="2"/>
      <c r="AW8" s="2"/>
      <c r="AX8" s="2"/>
      <c r="AY8" s="2"/>
    </row>
    <row r="9" spans="2:51" s="1" customFormat="1" ht="14.4" customHeight="1" x14ac:dyDescent="0.25">
      <c r="B9" s="244" t="s">
        <v>36</v>
      </c>
      <c r="C9" s="245"/>
      <c r="D9" s="245"/>
      <c r="E9" s="245"/>
      <c r="F9" s="9" t="s">
        <v>37</v>
      </c>
      <c r="G9" s="57" t="s">
        <v>38</v>
      </c>
      <c r="H9" s="9" t="s">
        <v>37</v>
      </c>
      <c r="I9" s="57" t="s">
        <v>38</v>
      </c>
      <c r="J9" s="9" t="s">
        <v>37</v>
      </c>
      <c r="K9" s="57" t="s">
        <v>38</v>
      </c>
      <c r="L9" s="9" t="s">
        <v>37</v>
      </c>
      <c r="M9" s="61" t="s">
        <v>38</v>
      </c>
      <c r="N9" s="50"/>
      <c r="O9" s="50"/>
      <c r="P9" s="50"/>
      <c r="Q9" s="3"/>
      <c r="R9" s="3"/>
      <c r="S9" s="3"/>
      <c r="T9" s="3"/>
      <c r="U9" s="3"/>
      <c r="V9" s="3"/>
      <c r="W9" s="3"/>
      <c r="X9" s="50"/>
      <c r="Y9" s="50"/>
      <c r="Z9" s="50"/>
      <c r="AA9" s="10"/>
      <c r="AB9" s="3"/>
      <c r="AC9" s="3"/>
      <c r="AD9" s="3"/>
      <c r="AE9" s="3"/>
      <c r="AF9" s="3"/>
      <c r="AG9" s="3"/>
      <c r="AH9" s="3"/>
      <c r="AI9" s="3"/>
      <c r="AJ9" s="3"/>
      <c r="AK9" s="3"/>
      <c r="AL9" s="3"/>
      <c r="AM9" s="3"/>
      <c r="AN9" s="3"/>
      <c r="AO9" s="3"/>
      <c r="AP9" s="3"/>
      <c r="AQ9" s="3"/>
      <c r="AR9" s="3"/>
      <c r="AS9" s="3"/>
      <c r="AT9" s="2"/>
      <c r="AU9" s="2"/>
      <c r="AV9" s="2"/>
      <c r="AW9" s="2"/>
      <c r="AX9" s="2"/>
      <c r="AY9" s="2"/>
    </row>
    <row r="10" spans="2:51" s="1" customFormat="1" ht="15" customHeight="1" x14ac:dyDescent="0.25">
      <c r="B10" s="11"/>
      <c r="C10" s="12"/>
      <c r="D10" s="12"/>
      <c r="E10" s="12"/>
      <c r="F10" s="13"/>
      <c r="G10" s="80"/>
      <c r="H10" s="13"/>
      <c r="I10" s="80"/>
      <c r="J10" s="13"/>
      <c r="K10" s="80"/>
      <c r="L10" s="13"/>
      <c r="M10" s="79"/>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2"/>
      <c r="AU10" s="2"/>
      <c r="AV10" s="2"/>
      <c r="AW10" s="2"/>
      <c r="AX10" s="2"/>
      <c r="AY10" s="2"/>
    </row>
    <row r="11" spans="2:51" s="107" customFormat="1" ht="15" customHeight="1" x14ac:dyDescent="0.25">
      <c r="B11" s="15" t="s">
        <v>39</v>
      </c>
      <c r="C11" s="16"/>
      <c r="D11" s="16"/>
      <c r="E11" s="78">
        <f>SUM(F11,H11,J11,L11)</f>
        <v>52</v>
      </c>
      <c r="F11" s="114">
        <f>SUM(F13,F15,F18,F28,F40,F45,F70)</f>
        <v>9</v>
      </c>
      <c r="G11" s="81">
        <f>F11/$E$11</f>
        <v>0.17307692307692307</v>
      </c>
      <c r="H11" s="137">
        <f>SUM(H13,H15,H18,H28,H40,H45,H70)</f>
        <v>32</v>
      </c>
      <c r="I11" s="81">
        <f>H11/$E$11</f>
        <v>0.61538461538461542</v>
      </c>
      <c r="J11" s="116">
        <f>SUM(J13,J15,J18,J28,J40,J45,J70)</f>
        <v>11</v>
      </c>
      <c r="K11" s="81">
        <f>J11/$E$11</f>
        <v>0.21153846153846154</v>
      </c>
      <c r="L11" s="114">
        <f>SUM(L13,L15,L18,L28,L40,L45,L70)</f>
        <v>0</v>
      </c>
      <c r="M11" s="115">
        <f>L11/$E$11</f>
        <v>0</v>
      </c>
      <c r="N11" s="29"/>
      <c r="O11" s="29"/>
      <c r="P11" s="29"/>
      <c r="Q11" s="30"/>
      <c r="R11" s="30"/>
      <c r="S11" s="30"/>
      <c r="T11" s="30"/>
      <c r="U11" s="30"/>
      <c r="V11" s="30"/>
      <c r="W11" s="30"/>
      <c r="X11" s="29"/>
      <c r="Y11" s="29"/>
      <c r="Z11" s="29"/>
      <c r="AA11" s="51"/>
      <c r="AB11" s="30"/>
      <c r="AC11" s="30"/>
      <c r="AD11" s="30"/>
      <c r="AE11" s="30"/>
      <c r="AF11" s="30"/>
      <c r="AG11" s="30"/>
      <c r="AH11" s="30"/>
      <c r="AI11" s="30"/>
      <c r="AJ11" s="30"/>
      <c r="AK11" s="30"/>
      <c r="AL11" s="30"/>
      <c r="AM11" s="30"/>
      <c r="AN11" s="30"/>
      <c r="AO11" s="30"/>
      <c r="AP11" s="30"/>
      <c r="AQ11" s="30"/>
      <c r="AR11" s="30"/>
      <c r="AS11" s="30"/>
      <c r="AT11" s="108"/>
      <c r="AU11" s="108"/>
      <c r="AV11" s="108"/>
      <c r="AW11" s="108"/>
      <c r="AX11" s="108"/>
      <c r="AY11" s="108"/>
    </row>
    <row r="12" spans="2:51" s="33" customFormat="1" ht="15" customHeight="1" x14ac:dyDescent="0.25">
      <c r="B12" s="25"/>
      <c r="C12" s="47"/>
      <c r="D12" s="47"/>
      <c r="E12" s="3"/>
      <c r="F12" s="20"/>
      <c r="G12" s="3"/>
      <c r="H12" s="58"/>
      <c r="I12" s="3"/>
      <c r="J12" s="20"/>
      <c r="K12" s="3"/>
      <c r="L12" s="20"/>
      <c r="M12" s="21"/>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row>
    <row r="13" spans="2:51" s="33" customFormat="1" ht="15" customHeight="1" x14ac:dyDescent="0.25">
      <c r="B13" s="126" t="s">
        <v>52</v>
      </c>
      <c r="C13" s="22"/>
      <c r="D13" s="22"/>
      <c r="E13" s="84"/>
      <c r="F13" s="117">
        <f>F14</f>
        <v>0</v>
      </c>
      <c r="G13" s="84"/>
      <c r="H13" s="129">
        <f>H14</f>
        <v>1</v>
      </c>
      <c r="I13" s="84"/>
      <c r="J13" s="117">
        <f>J14</f>
        <v>0</v>
      </c>
      <c r="K13" s="84"/>
      <c r="L13" s="117">
        <f>L14</f>
        <v>0</v>
      </c>
      <c r="M13" s="11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row>
    <row r="14" spans="2:51" s="33" customFormat="1" ht="15" hidden="1" customHeight="1" outlineLevel="1" x14ac:dyDescent="0.25">
      <c r="B14" s="166" t="s">
        <v>55</v>
      </c>
      <c r="C14" s="47"/>
      <c r="D14" s="47"/>
      <c r="E14" s="3"/>
      <c r="F14" s="190"/>
      <c r="G14" s="3"/>
      <c r="H14" s="185">
        <v>1</v>
      </c>
      <c r="I14" s="3"/>
      <c r="J14" s="190"/>
      <c r="K14" s="3"/>
      <c r="L14" s="190"/>
      <c r="M14" s="21"/>
      <c r="N14" s="3" t="str">
        <f>IF(SUM(F14,H14,J14,L14)&gt;1,"Error","")</f>
        <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row>
    <row r="15" spans="2:51" s="33" customFormat="1" ht="15" customHeight="1" collapsed="1" x14ac:dyDescent="0.25">
      <c r="B15" s="32" t="s">
        <v>57</v>
      </c>
      <c r="C15" s="47"/>
      <c r="D15" s="47"/>
      <c r="E15" s="3"/>
      <c r="F15" s="20">
        <f>SUM(F16:F17)</f>
        <v>0</v>
      </c>
      <c r="G15" s="3"/>
      <c r="H15" s="58">
        <f>SUM(H16:H17)</f>
        <v>2</v>
      </c>
      <c r="I15" s="3"/>
      <c r="J15" s="20">
        <f>SUM(J16:J17)</f>
        <v>0</v>
      </c>
      <c r="K15" s="3"/>
      <c r="L15" s="20">
        <f>SUM(L16:L17)</f>
        <v>0</v>
      </c>
      <c r="M15" s="21"/>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row>
    <row r="16" spans="2:51" s="33" customFormat="1" ht="15" hidden="1" customHeight="1" outlineLevel="1" x14ac:dyDescent="0.25">
      <c r="B16" s="166" t="s">
        <v>58</v>
      </c>
      <c r="C16" s="47"/>
      <c r="D16" s="47"/>
      <c r="E16" s="3"/>
      <c r="F16" s="186"/>
      <c r="G16" s="3"/>
      <c r="H16" s="188">
        <v>1</v>
      </c>
      <c r="I16" s="3"/>
      <c r="J16" s="127"/>
      <c r="K16" s="3"/>
      <c r="L16" s="186"/>
      <c r="M16" s="21"/>
      <c r="N16" s="3" t="str">
        <f t="shared" ref="N16:N17" si="0">IF(SUM(F16,H16,J16,L16)&gt;1,"Error","")</f>
        <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row>
    <row r="17" spans="2:51" s="33" customFormat="1" ht="15" hidden="1" customHeight="1" outlineLevel="1" x14ac:dyDescent="0.25">
      <c r="B17" s="166" t="s">
        <v>59</v>
      </c>
      <c r="C17" s="47"/>
      <c r="D17" s="47"/>
      <c r="E17" s="3"/>
      <c r="F17" s="187"/>
      <c r="G17" s="3"/>
      <c r="H17" s="189">
        <v>1</v>
      </c>
      <c r="I17" s="3"/>
      <c r="J17" s="127"/>
      <c r="K17" s="3"/>
      <c r="L17" s="187"/>
      <c r="M17" s="21"/>
      <c r="N17" s="3" t="str">
        <f t="shared" si="0"/>
        <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row>
    <row r="18" spans="2:51" s="33" customFormat="1" ht="15" customHeight="1" collapsed="1" x14ac:dyDescent="0.25">
      <c r="B18" s="126" t="s">
        <v>60</v>
      </c>
      <c r="C18" s="22"/>
      <c r="D18" s="22"/>
      <c r="E18" s="84"/>
      <c r="F18" s="117">
        <f>SUM(F19:F27)</f>
        <v>0</v>
      </c>
      <c r="G18" s="84"/>
      <c r="H18" s="129">
        <f>SUM(H19:H27)</f>
        <v>6</v>
      </c>
      <c r="I18" s="84"/>
      <c r="J18" s="117">
        <f>SUM(J19:J27)</f>
        <v>3</v>
      </c>
      <c r="K18" s="84"/>
      <c r="L18" s="117">
        <f>SUM(L19:L27)</f>
        <v>0</v>
      </c>
      <c r="M18" s="118"/>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2:51" s="33" customFormat="1" ht="15" hidden="1" customHeight="1" outlineLevel="1" x14ac:dyDescent="0.25">
      <c r="B19" s="166" t="s">
        <v>61</v>
      </c>
      <c r="C19" s="47"/>
      <c r="D19" s="47"/>
      <c r="E19" s="3"/>
      <c r="F19" s="186"/>
      <c r="G19" s="3"/>
      <c r="H19" s="188"/>
      <c r="I19" s="3"/>
      <c r="J19" s="186">
        <v>1</v>
      </c>
      <c r="K19" s="3"/>
      <c r="L19" s="186"/>
      <c r="M19" s="21"/>
      <c r="N19" s="3" t="str">
        <f t="shared" ref="N19:N71" si="1">IF(SUM(F19,H19,J19,L19)&gt;1,"Error","")</f>
        <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row>
    <row r="20" spans="2:51" s="33" customFormat="1" ht="15" hidden="1" customHeight="1" outlineLevel="1" x14ac:dyDescent="0.25">
      <c r="B20" s="166" t="s">
        <v>62</v>
      </c>
      <c r="C20" s="47"/>
      <c r="D20" s="47"/>
      <c r="E20" s="3"/>
      <c r="F20" s="127"/>
      <c r="G20" s="3"/>
      <c r="H20" s="130">
        <v>1</v>
      </c>
      <c r="I20" s="3"/>
      <c r="J20" s="127"/>
      <c r="K20" s="3"/>
      <c r="L20" s="127"/>
      <c r="M20" s="21"/>
      <c r="N20" s="3" t="str">
        <f t="shared" si="1"/>
        <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row>
    <row r="21" spans="2:51" s="33" customFormat="1" ht="15" hidden="1" customHeight="1" outlineLevel="1" x14ac:dyDescent="0.25">
      <c r="B21" s="166" t="s">
        <v>63</v>
      </c>
      <c r="C21" s="47"/>
      <c r="D21" s="47"/>
      <c r="E21" s="3"/>
      <c r="F21" s="127"/>
      <c r="G21" s="3"/>
      <c r="H21" s="130"/>
      <c r="I21" s="3"/>
      <c r="J21" s="127">
        <v>1</v>
      </c>
      <c r="K21" s="3"/>
      <c r="L21" s="127"/>
      <c r="M21" s="21"/>
      <c r="N21" s="3" t="str">
        <f t="shared" si="1"/>
        <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row>
    <row r="22" spans="2:51" s="33" customFormat="1" ht="15" hidden="1" customHeight="1" outlineLevel="1" x14ac:dyDescent="0.25">
      <c r="B22" s="166" t="s">
        <v>64</v>
      </c>
      <c r="C22" s="47"/>
      <c r="D22" s="47"/>
      <c r="E22" s="3"/>
      <c r="F22" s="127"/>
      <c r="G22" s="3"/>
      <c r="H22" s="130">
        <v>1</v>
      </c>
      <c r="I22" s="3"/>
      <c r="J22" s="127"/>
      <c r="K22" s="3"/>
      <c r="L22" s="127"/>
      <c r="M22" s="21"/>
      <c r="N22" s="3" t="str">
        <f t="shared" si="1"/>
        <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row>
    <row r="23" spans="2:51" s="33" customFormat="1" ht="15" hidden="1" customHeight="1" outlineLevel="1" x14ac:dyDescent="0.25">
      <c r="B23" s="166" t="s">
        <v>65</v>
      </c>
      <c r="C23" s="47"/>
      <c r="D23" s="47"/>
      <c r="E23" s="3"/>
      <c r="F23" s="127"/>
      <c r="G23" s="3"/>
      <c r="H23" s="130">
        <v>1</v>
      </c>
      <c r="I23" s="3"/>
      <c r="J23" s="127"/>
      <c r="K23" s="3"/>
      <c r="L23" s="127"/>
      <c r="M23" s="21"/>
      <c r="N23" s="3" t="str">
        <f t="shared" si="1"/>
        <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row>
    <row r="24" spans="2:51" s="33" customFormat="1" ht="15" hidden="1" customHeight="1" outlineLevel="1" x14ac:dyDescent="0.25">
      <c r="B24" s="166" t="s">
        <v>66</v>
      </c>
      <c r="C24" s="47"/>
      <c r="D24" s="47"/>
      <c r="E24" s="3"/>
      <c r="F24" s="127"/>
      <c r="G24" s="3"/>
      <c r="H24" s="130">
        <v>1</v>
      </c>
      <c r="I24" s="3"/>
      <c r="J24" s="127"/>
      <c r="K24" s="3"/>
      <c r="L24" s="127"/>
      <c r="M24" s="21"/>
      <c r="N24" s="3" t="str">
        <f t="shared" si="1"/>
        <v/>
      </c>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row>
    <row r="25" spans="2:51" s="33" customFormat="1" ht="15" hidden="1" customHeight="1" outlineLevel="1" x14ac:dyDescent="0.25">
      <c r="B25" s="166" t="s">
        <v>67</v>
      </c>
      <c r="C25" s="47"/>
      <c r="D25" s="47"/>
      <c r="E25" s="3"/>
      <c r="F25" s="127"/>
      <c r="G25" s="3"/>
      <c r="H25" s="130">
        <v>1</v>
      </c>
      <c r="I25" s="3"/>
      <c r="J25" s="127"/>
      <c r="K25" s="3"/>
      <c r="L25" s="127"/>
      <c r="M25" s="21"/>
      <c r="N25" s="3" t="str">
        <f t="shared" si="1"/>
        <v/>
      </c>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row>
    <row r="26" spans="2:51" s="33" customFormat="1" ht="15" hidden="1" customHeight="1" outlineLevel="1" x14ac:dyDescent="0.25">
      <c r="B26" s="166" t="s">
        <v>68</v>
      </c>
      <c r="C26" s="47"/>
      <c r="D26" s="47"/>
      <c r="E26" s="3"/>
      <c r="F26" s="127"/>
      <c r="G26" s="3"/>
      <c r="H26" s="130"/>
      <c r="I26" s="3"/>
      <c r="J26" s="127">
        <v>1</v>
      </c>
      <c r="K26" s="3"/>
      <c r="L26" s="127"/>
      <c r="M26" s="21"/>
      <c r="N26" s="3" t="str">
        <f t="shared" si="1"/>
        <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row>
    <row r="27" spans="2:51" s="33" customFormat="1" ht="15" hidden="1" customHeight="1" outlineLevel="1" x14ac:dyDescent="0.25">
      <c r="B27" s="166" t="s">
        <v>69</v>
      </c>
      <c r="C27" s="47"/>
      <c r="D27" s="47"/>
      <c r="E27" s="3"/>
      <c r="F27" s="187"/>
      <c r="G27" s="3"/>
      <c r="H27" s="189">
        <v>1</v>
      </c>
      <c r="I27" s="3"/>
      <c r="J27" s="187"/>
      <c r="K27" s="3"/>
      <c r="L27" s="187"/>
      <c r="M27" s="21"/>
      <c r="N27" s="3" t="str">
        <f t="shared" si="1"/>
        <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row>
    <row r="28" spans="2:51" s="33" customFormat="1" ht="15" customHeight="1" collapsed="1" x14ac:dyDescent="0.25">
      <c r="B28" s="32" t="s">
        <v>40</v>
      </c>
      <c r="C28" s="47"/>
      <c r="D28" s="47"/>
      <c r="E28" s="3"/>
      <c r="F28" s="20">
        <f>SUM(F29:F39)</f>
        <v>1</v>
      </c>
      <c r="G28" s="3"/>
      <c r="H28" s="58">
        <f>SUM(H29:H39)</f>
        <v>8</v>
      </c>
      <c r="I28" s="3"/>
      <c r="J28" s="20">
        <f>SUM(J29:J39)</f>
        <v>2</v>
      </c>
      <c r="K28" s="3"/>
      <c r="L28" s="20">
        <f>SUM(L29:L39)</f>
        <v>0</v>
      </c>
      <c r="M28" s="21"/>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spans="2:51" s="33" customFormat="1" ht="15" hidden="1" customHeight="1" outlineLevel="1" x14ac:dyDescent="0.25">
      <c r="B29" s="166" t="s">
        <v>70</v>
      </c>
      <c r="C29" s="47"/>
      <c r="D29" s="47"/>
      <c r="E29" s="3"/>
      <c r="F29" s="186"/>
      <c r="G29" s="3"/>
      <c r="H29" s="188">
        <v>1</v>
      </c>
      <c r="I29" s="3"/>
      <c r="J29" s="186"/>
      <c r="K29" s="3"/>
      <c r="L29" s="186"/>
      <c r="M29" s="21"/>
      <c r="N29" s="3" t="str">
        <f t="shared" si="1"/>
        <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2:51" s="33" customFormat="1" ht="15" hidden="1" customHeight="1" outlineLevel="1" x14ac:dyDescent="0.25">
      <c r="B30" s="166" t="s">
        <v>71</v>
      </c>
      <c r="C30" s="47"/>
      <c r="D30" s="47"/>
      <c r="E30" s="3"/>
      <c r="F30" s="127"/>
      <c r="G30" s="3"/>
      <c r="H30" s="130">
        <v>1</v>
      </c>
      <c r="I30" s="3"/>
      <c r="J30" s="127"/>
      <c r="K30" s="3"/>
      <c r="L30" s="127"/>
      <c r="M30" s="21"/>
      <c r="N30" s="3" t="str">
        <f t="shared" si="1"/>
        <v/>
      </c>
      <c r="O30" s="3"/>
      <c r="P30" s="76"/>
      <c r="Q30" s="3"/>
      <c r="R30" s="3"/>
      <c r="S30" s="3"/>
      <c r="T30" s="3"/>
      <c r="U30" s="3"/>
      <c r="V30" s="3"/>
      <c r="W30" s="3"/>
      <c r="X30" s="76"/>
      <c r="Y30" s="76"/>
      <c r="Z30" s="76"/>
      <c r="AA30" s="3"/>
      <c r="AB30" s="3"/>
      <c r="AC30" s="3"/>
      <c r="AD30" s="3"/>
      <c r="AE30" s="3"/>
      <c r="AF30" s="3"/>
      <c r="AG30" s="3"/>
      <c r="AH30" s="3"/>
      <c r="AI30" s="3"/>
      <c r="AJ30" s="3"/>
      <c r="AK30" s="3"/>
      <c r="AL30" s="3"/>
      <c r="AM30" s="3"/>
      <c r="AN30" s="3"/>
      <c r="AO30" s="3"/>
      <c r="AP30" s="3"/>
      <c r="AQ30" s="3"/>
      <c r="AR30" s="3"/>
      <c r="AS30" s="3"/>
      <c r="AT30" s="3"/>
      <c r="AU30" s="3"/>
      <c r="AV30" s="3"/>
      <c r="AW30" s="3"/>
      <c r="AX30" s="3"/>
      <c r="AY30" s="3"/>
    </row>
    <row r="31" spans="2:51" s="33" customFormat="1" ht="15" hidden="1" customHeight="1" outlineLevel="1" x14ac:dyDescent="0.25">
      <c r="B31" s="166" t="s">
        <v>72</v>
      </c>
      <c r="C31" s="47"/>
      <c r="D31" s="47"/>
      <c r="E31" s="3"/>
      <c r="F31" s="127">
        <v>1</v>
      </c>
      <c r="G31" s="3"/>
      <c r="H31" s="130"/>
      <c r="I31" s="3"/>
      <c r="J31" s="127"/>
      <c r="K31" s="3"/>
      <c r="L31" s="127"/>
      <c r="M31" s="21"/>
      <c r="N31" s="3" t="str">
        <f t="shared" si="1"/>
        <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row>
    <row r="32" spans="2:51" s="33" customFormat="1" ht="15" hidden="1" customHeight="1" outlineLevel="1" x14ac:dyDescent="0.25">
      <c r="B32" s="166" t="s">
        <v>73</v>
      </c>
      <c r="C32" s="47"/>
      <c r="D32" s="47"/>
      <c r="E32" s="3"/>
      <c r="F32" s="127"/>
      <c r="G32" s="3"/>
      <c r="H32" s="130"/>
      <c r="I32" s="3"/>
      <c r="J32" s="127">
        <v>1</v>
      </c>
      <c r="K32" s="3"/>
      <c r="L32" s="127"/>
      <c r="M32" s="21"/>
      <c r="N32" s="3" t="str">
        <f t="shared" si="1"/>
        <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row>
    <row r="33" spans="2:51" s="33" customFormat="1" ht="15" hidden="1" customHeight="1" outlineLevel="1" x14ac:dyDescent="0.25">
      <c r="B33" s="166" t="s">
        <v>74</v>
      </c>
      <c r="C33" s="47"/>
      <c r="D33" s="47"/>
      <c r="E33" s="3"/>
      <c r="F33" s="127"/>
      <c r="G33" s="3"/>
      <c r="H33" s="130">
        <v>1</v>
      </c>
      <c r="I33" s="3"/>
      <c r="J33" s="127"/>
      <c r="K33" s="3"/>
      <c r="L33" s="127"/>
      <c r="M33" s="21"/>
      <c r="N33" s="3" t="str">
        <f t="shared" si="1"/>
        <v/>
      </c>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row>
    <row r="34" spans="2:51" s="33" customFormat="1" ht="15" hidden="1" customHeight="1" outlineLevel="1" x14ac:dyDescent="0.25">
      <c r="B34" s="166" t="s">
        <v>75</v>
      </c>
      <c r="C34" s="47"/>
      <c r="D34" s="47"/>
      <c r="E34" s="3"/>
      <c r="F34" s="127"/>
      <c r="G34" s="3"/>
      <c r="H34" s="130">
        <v>1</v>
      </c>
      <c r="I34" s="3"/>
      <c r="J34" s="127"/>
      <c r="K34" s="3"/>
      <c r="L34" s="127"/>
      <c r="M34" s="21"/>
      <c r="N34" s="3" t="str">
        <f t="shared" si="1"/>
        <v/>
      </c>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row>
    <row r="35" spans="2:51" s="33" customFormat="1" ht="15" hidden="1" customHeight="1" outlineLevel="1" x14ac:dyDescent="0.25">
      <c r="B35" s="166" t="s">
        <v>76</v>
      </c>
      <c r="C35" s="47"/>
      <c r="D35" s="47"/>
      <c r="E35" s="3"/>
      <c r="F35" s="127"/>
      <c r="G35" s="3"/>
      <c r="H35" s="130"/>
      <c r="I35" s="3"/>
      <c r="J35" s="127">
        <v>1</v>
      </c>
      <c r="K35" s="3"/>
      <c r="L35" s="127"/>
      <c r="M35" s="21"/>
      <c r="N35" s="3" t="str">
        <f t="shared" si="1"/>
        <v/>
      </c>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row>
    <row r="36" spans="2:51" s="33" customFormat="1" ht="15" hidden="1" customHeight="1" outlineLevel="1" x14ac:dyDescent="0.25">
      <c r="B36" s="166" t="s">
        <v>77</v>
      </c>
      <c r="C36" s="47"/>
      <c r="D36" s="47"/>
      <c r="E36" s="3"/>
      <c r="F36" s="127"/>
      <c r="G36" s="3"/>
      <c r="H36" s="130">
        <v>1</v>
      </c>
      <c r="I36" s="3"/>
      <c r="J36" s="127"/>
      <c r="K36" s="3"/>
      <c r="L36" s="127"/>
      <c r="M36" s="21"/>
      <c r="N36" s="3" t="str">
        <f t="shared" si="1"/>
        <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row>
    <row r="37" spans="2:51" s="33" customFormat="1" ht="15" hidden="1" customHeight="1" outlineLevel="1" x14ac:dyDescent="0.25">
      <c r="B37" s="166" t="s">
        <v>78</v>
      </c>
      <c r="C37" s="47"/>
      <c r="D37" s="47"/>
      <c r="E37" s="3"/>
      <c r="F37" s="127"/>
      <c r="G37" s="3"/>
      <c r="H37" s="130">
        <v>1</v>
      </c>
      <c r="I37" s="3"/>
      <c r="J37" s="127"/>
      <c r="K37" s="3"/>
      <c r="L37" s="127"/>
      <c r="M37" s="21"/>
      <c r="N37" s="3" t="str">
        <f t="shared" si="1"/>
        <v/>
      </c>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row>
    <row r="38" spans="2:51" s="33" customFormat="1" ht="15" hidden="1" customHeight="1" outlineLevel="1" x14ac:dyDescent="0.25">
      <c r="B38" s="166" t="s">
        <v>41</v>
      </c>
      <c r="C38" s="47"/>
      <c r="D38" s="47"/>
      <c r="E38" s="3"/>
      <c r="F38" s="127"/>
      <c r="G38" s="3"/>
      <c r="H38" s="130">
        <v>1</v>
      </c>
      <c r="I38" s="3"/>
      <c r="J38" s="127"/>
      <c r="K38" s="3"/>
      <c r="L38" s="127"/>
      <c r="M38" s="21"/>
      <c r="N38" s="3" t="str">
        <f t="shared" si="1"/>
        <v/>
      </c>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row>
    <row r="39" spans="2:51" s="33" customFormat="1" ht="15" hidden="1" customHeight="1" outlineLevel="1" x14ac:dyDescent="0.25">
      <c r="B39" s="166" t="s">
        <v>79</v>
      </c>
      <c r="C39" s="47"/>
      <c r="D39" s="47"/>
      <c r="E39" s="3"/>
      <c r="F39" s="187"/>
      <c r="G39" s="3"/>
      <c r="H39" s="189">
        <v>1</v>
      </c>
      <c r="I39" s="3"/>
      <c r="J39" s="187"/>
      <c r="K39" s="3"/>
      <c r="L39" s="187"/>
      <c r="M39" s="21"/>
      <c r="N39" s="3" t="str">
        <f t="shared" si="1"/>
        <v/>
      </c>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row>
    <row r="40" spans="2:51" s="33" customFormat="1" ht="15" customHeight="1" collapsed="1" x14ac:dyDescent="0.25">
      <c r="B40" s="126" t="s">
        <v>80</v>
      </c>
      <c r="C40" s="22"/>
      <c r="D40" s="22"/>
      <c r="E40" s="84"/>
      <c r="F40" s="117">
        <f>SUM(F41:F44)</f>
        <v>1</v>
      </c>
      <c r="G40" s="84"/>
      <c r="H40" s="129">
        <f>SUM(H41:H44)</f>
        <v>3</v>
      </c>
      <c r="I40" s="84"/>
      <c r="J40" s="117">
        <f>SUM(J41:J44)</f>
        <v>0</v>
      </c>
      <c r="K40" s="84"/>
      <c r="L40" s="117">
        <f>SUM(L41:L44)</f>
        <v>0</v>
      </c>
      <c r="M40" s="118"/>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row>
    <row r="41" spans="2:51" s="33" customFormat="1" ht="15" hidden="1" customHeight="1" outlineLevel="1" x14ac:dyDescent="0.25">
      <c r="B41" s="166" t="s">
        <v>81</v>
      </c>
      <c r="C41" s="47"/>
      <c r="D41" s="47"/>
      <c r="E41" s="3"/>
      <c r="F41" s="186"/>
      <c r="G41" s="3"/>
      <c r="H41" s="188">
        <v>1</v>
      </c>
      <c r="I41" s="3"/>
      <c r="J41" s="186"/>
      <c r="K41" s="3"/>
      <c r="L41" s="186"/>
      <c r="M41" s="21"/>
      <c r="N41" s="3" t="str">
        <f t="shared" si="1"/>
        <v/>
      </c>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row>
    <row r="42" spans="2:51" s="33" customFormat="1" ht="15" hidden="1" customHeight="1" outlineLevel="1" x14ac:dyDescent="0.25">
      <c r="B42" s="166" t="s">
        <v>82</v>
      </c>
      <c r="C42" s="47"/>
      <c r="D42" s="47"/>
      <c r="E42" s="3"/>
      <c r="F42" s="127"/>
      <c r="G42" s="3"/>
      <c r="H42" s="130">
        <v>1</v>
      </c>
      <c r="I42" s="3"/>
      <c r="J42" s="127"/>
      <c r="K42" s="3"/>
      <c r="L42" s="127"/>
      <c r="M42" s="21"/>
      <c r="N42" s="3" t="str">
        <f t="shared" si="1"/>
        <v/>
      </c>
      <c r="O42" s="3"/>
      <c r="P42" s="76"/>
      <c r="Q42" s="3"/>
      <c r="R42" s="3"/>
      <c r="S42" s="3"/>
      <c r="T42" s="3"/>
      <c r="U42" s="3"/>
      <c r="V42" s="3"/>
      <c r="W42" s="3"/>
      <c r="X42" s="76"/>
      <c r="Y42" s="76"/>
      <c r="Z42" s="76"/>
      <c r="AA42" s="3"/>
      <c r="AB42" s="3"/>
      <c r="AC42" s="3"/>
      <c r="AD42" s="3"/>
      <c r="AE42" s="3"/>
      <c r="AF42" s="3"/>
      <c r="AG42" s="3"/>
      <c r="AH42" s="3"/>
      <c r="AI42" s="3"/>
      <c r="AJ42" s="3"/>
      <c r="AK42" s="3"/>
      <c r="AL42" s="3"/>
      <c r="AM42" s="3"/>
      <c r="AN42" s="3"/>
      <c r="AO42" s="3"/>
      <c r="AP42" s="3"/>
      <c r="AQ42" s="3"/>
      <c r="AR42" s="3"/>
      <c r="AS42" s="3"/>
      <c r="AT42" s="3"/>
      <c r="AU42" s="3"/>
      <c r="AV42" s="3"/>
      <c r="AW42" s="3"/>
      <c r="AX42" s="3"/>
      <c r="AY42" s="3"/>
    </row>
    <row r="43" spans="2:51" s="33" customFormat="1" ht="15" hidden="1" customHeight="1" outlineLevel="1" x14ac:dyDescent="0.25">
      <c r="B43" s="166" t="s">
        <v>83</v>
      </c>
      <c r="C43" s="47"/>
      <c r="D43" s="47"/>
      <c r="E43" s="3"/>
      <c r="F43" s="127">
        <v>1</v>
      </c>
      <c r="G43" s="3"/>
      <c r="H43" s="130"/>
      <c r="I43" s="3"/>
      <c r="J43" s="127"/>
      <c r="K43" s="3"/>
      <c r="L43" s="127"/>
      <c r="M43" s="21"/>
      <c r="N43" s="3" t="str">
        <f t="shared" si="1"/>
        <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row>
    <row r="44" spans="2:51" s="33" customFormat="1" ht="15" hidden="1" customHeight="1" outlineLevel="1" x14ac:dyDescent="0.25">
      <c r="B44" s="166" t="s">
        <v>84</v>
      </c>
      <c r="C44" s="47"/>
      <c r="D44" s="47"/>
      <c r="E44" s="3"/>
      <c r="F44" s="187"/>
      <c r="G44" s="3"/>
      <c r="H44" s="189">
        <v>1</v>
      </c>
      <c r="I44" s="3"/>
      <c r="J44" s="187"/>
      <c r="K44" s="3"/>
      <c r="L44" s="187"/>
      <c r="M44" s="21"/>
      <c r="N44" s="3" t="str">
        <f t="shared" si="1"/>
        <v/>
      </c>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row>
    <row r="45" spans="2:51" s="33" customFormat="1" ht="15" customHeight="1" collapsed="1" x14ac:dyDescent="0.25">
      <c r="B45" s="32" t="s">
        <v>85</v>
      </c>
      <c r="C45" s="47"/>
      <c r="D45" s="47"/>
      <c r="E45" s="3"/>
      <c r="F45" s="20">
        <f>SUM(F46:F69)</f>
        <v>7</v>
      </c>
      <c r="G45" s="3"/>
      <c r="H45" s="58">
        <f>SUM(H46:H69)</f>
        <v>12</v>
      </c>
      <c r="I45" s="3"/>
      <c r="J45" s="20">
        <f>SUM(J46:J69)</f>
        <v>5</v>
      </c>
      <c r="K45" s="3"/>
      <c r="L45" s="20">
        <f>SUM(L46:L69)</f>
        <v>0</v>
      </c>
      <c r="M45" s="21"/>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row>
    <row r="46" spans="2:51" s="33" customFormat="1" ht="15" hidden="1" customHeight="1" outlineLevel="1" x14ac:dyDescent="0.25">
      <c r="B46" s="166" t="s">
        <v>86</v>
      </c>
      <c r="C46" s="47"/>
      <c r="D46" s="47"/>
      <c r="E46" s="3"/>
      <c r="F46" s="186"/>
      <c r="G46" s="3"/>
      <c r="H46" s="188">
        <v>1</v>
      </c>
      <c r="I46" s="3"/>
      <c r="J46" s="186"/>
      <c r="K46" s="3"/>
      <c r="L46" s="186"/>
      <c r="M46" s="21"/>
      <c r="N46" s="3" t="str">
        <f t="shared" si="1"/>
        <v/>
      </c>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row>
    <row r="47" spans="2:51" s="33" customFormat="1" ht="15" hidden="1" customHeight="1" outlineLevel="1" x14ac:dyDescent="0.25">
      <c r="B47" s="32" t="s">
        <v>87</v>
      </c>
      <c r="C47" s="47"/>
      <c r="D47" s="47"/>
      <c r="E47" s="3"/>
      <c r="F47" s="127"/>
      <c r="G47" s="3"/>
      <c r="H47" s="130">
        <v>1</v>
      </c>
      <c r="I47" s="3"/>
      <c r="J47" s="127"/>
      <c r="K47" s="3"/>
      <c r="L47" s="127"/>
      <c r="M47" s="21"/>
      <c r="N47" s="3" t="str">
        <f t="shared" si="1"/>
        <v/>
      </c>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row>
    <row r="48" spans="2:51" s="33" customFormat="1" ht="15" hidden="1" customHeight="1" outlineLevel="1" x14ac:dyDescent="0.25">
      <c r="B48" s="166" t="s">
        <v>88</v>
      </c>
      <c r="C48" s="47"/>
      <c r="D48" s="47"/>
      <c r="E48" s="3"/>
      <c r="F48" s="127">
        <v>1</v>
      </c>
      <c r="G48" s="3"/>
      <c r="H48" s="130"/>
      <c r="I48" s="3"/>
      <c r="J48" s="127"/>
      <c r="K48" s="3"/>
      <c r="L48" s="127"/>
      <c r="M48" s="21"/>
      <c r="N48" s="3" t="str">
        <f t="shared" si="1"/>
        <v/>
      </c>
      <c r="O48" s="3"/>
      <c r="P48" s="76"/>
      <c r="Q48" s="3"/>
      <c r="R48" s="3"/>
      <c r="S48" s="3"/>
      <c r="T48" s="3"/>
      <c r="U48" s="3"/>
      <c r="V48" s="3"/>
      <c r="W48" s="3"/>
      <c r="X48" s="76"/>
      <c r="Y48" s="76"/>
      <c r="Z48" s="76"/>
      <c r="AA48" s="3"/>
      <c r="AB48" s="3"/>
      <c r="AC48" s="3"/>
      <c r="AD48" s="3"/>
      <c r="AE48" s="3"/>
      <c r="AF48" s="3"/>
      <c r="AG48" s="3"/>
      <c r="AH48" s="3"/>
      <c r="AI48" s="3"/>
      <c r="AJ48" s="3"/>
      <c r="AK48" s="3"/>
      <c r="AL48" s="3"/>
      <c r="AM48" s="3"/>
      <c r="AN48" s="3"/>
      <c r="AO48" s="3"/>
      <c r="AP48" s="3"/>
      <c r="AQ48" s="3"/>
      <c r="AR48" s="3"/>
      <c r="AS48" s="3"/>
      <c r="AT48" s="3"/>
      <c r="AU48" s="3"/>
      <c r="AV48" s="3"/>
      <c r="AW48" s="3"/>
      <c r="AX48" s="3"/>
      <c r="AY48" s="3"/>
    </row>
    <row r="49" spans="2:51" s="33" customFormat="1" ht="15" hidden="1" customHeight="1" outlineLevel="1" x14ac:dyDescent="0.25">
      <c r="B49" s="166" t="s">
        <v>89</v>
      </c>
      <c r="C49" s="47"/>
      <c r="D49" s="47"/>
      <c r="E49" s="3"/>
      <c r="F49" s="127"/>
      <c r="G49" s="3"/>
      <c r="H49" s="130">
        <v>1</v>
      </c>
      <c r="I49" s="3"/>
      <c r="J49" s="127"/>
      <c r="K49" s="3"/>
      <c r="L49" s="127"/>
      <c r="M49" s="21"/>
      <c r="N49" s="3" t="str">
        <f t="shared" si="1"/>
        <v/>
      </c>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row>
    <row r="50" spans="2:51" s="33" customFormat="1" ht="15" hidden="1" customHeight="1" outlineLevel="1" x14ac:dyDescent="0.25">
      <c r="B50" s="166" t="s">
        <v>90</v>
      </c>
      <c r="C50" s="47"/>
      <c r="D50" s="47"/>
      <c r="E50" s="3"/>
      <c r="F50" s="127"/>
      <c r="G50" s="3"/>
      <c r="H50" s="130">
        <v>1</v>
      </c>
      <c r="I50" s="3"/>
      <c r="J50" s="127"/>
      <c r="K50" s="3"/>
      <c r="L50" s="127"/>
      <c r="M50" s="21"/>
      <c r="N50" s="3" t="str">
        <f t="shared" si="1"/>
        <v/>
      </c>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row>
    <row r="51" spans="2:51" s="33" customFormat="1" ht="15" hidden="1" customHeight="1" outlineLevel="1" x14ac:dyDescent="0.25">
      <c r="B51" s="166" t="s">
        <v>54</v>
      </c>
      <c r="C51" s="47"/>
      <c r="D51" s="47"/>
      <c r="E51" s="3"/>
      <c r="F51" s="127"/>
      <c r="G51" s="3"/>
      <c r="H51" s="130">
        <v>1</v>
      </c>
      <c r="I51" s="3"/>
      <c r="J51" s="127"/>
      <c r="K51" s="3"/>
      <c r="L51" s="127"/>
      <c r="M51" s="21"/>
      <c r="N51" s="3" t="str">
        <f t="shared" si="1"/>
        <v/>
      </c>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row>
    <row r="52" spans="2:51" s="33" customFormat="1" ht="15" hidden="1" customHeight="1" outlineLevel="1" x14ac:dyDescent="0.25">
      <c r="B52" s="166" t="s">
        <v>91</v>
      </c>
      <c r="C52" s="47"/>
      <c r="D52" s="47"/>
      <c r="E52" s="3"/>
      <c r="F52" s="127">
        <v>1</v>
      </c>
      <c r="G52" s="3"/>
      <c r="H52" s="130"/>
      <c r="I52" s="3"/>
      <c r="J52" s="127"/>
      <c r="K52" s="3"/>
      <c r="L52" s="127"/>
      <c r="M52" s="21"/>
      <c r="N52" s="3" t="str">
        <f t="shared" si="1"/>
        <v/>
      </c>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row>
    <row r="53" spans="2:51" s="33" customFormat="1" ht="15" hidden="1" customHeight="1" outlineLevel="1" x14ac:dyDescent="0.25">
      <c r="B53" s="166" t="s">
        <v>92</v>
      </c>
      <c r="C53" s="47"/>
      <c r="D53" s="47"/>
      <c r="E53" s="3"/>
      <c r="F53" s="127"/>
      <c r="G53" s="3"/>
      <c r="H53" s="130">
        <v>1</v>
      </c>
      <c r="I53" s="3"/>
      <c r="J53" s="127"/>
      <c r="K53" s="3"/>
      <c r="L53" s="127"/>
      <c r="M53" s="21"/>
      <c r="N53" s="3" t="str">
        <f t="shared" si="1"/>
        <v/>
      </c>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row>
    <row r="54" spans="2:51" s="33" customFormat="1" ht="15" hidden="1" customHeight="1" outlineLevel="1" x14ac:dyDescent="0.25">
      <c r="B54" s="166" t="s">
        <v>93</v>
      </c>
      <c r="C54" s="47"/>
      <c r="D54" s="47"/>
      <c r="E54" s="3"/>
      <c r="F54" s="127"/>
      <c r="G54" s="3"/>
      <c r="H54" s="130"/>
      <c r="I54" s="3"/>
      <c r="J54" s="127">
        <v>1</v>
      </c>
      <c r="K54" s="3"/>
      <c r="L54" s="127"/>
      <c r="M54" s="21"/>
      <c r="N54" s="3" t="str">
        <f t="shared" si="1"/>
        <v/>
      </c>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row>
    <row r="55" spans="2:51" s="33" customFormat="1" ht="15" hidden="1" customHeight="1" outlineLevel="1" x14ac:dyDescent="0.25">
      <c r="B55" s="166" t="s">
        <v>42</v>
      </c>
      <c r="C55" s="47"/>
      <c r="D55" s="47"/>
      <c r="E55" s="3"/>
      <c r="F55" s="127"/>
      <c r="G55" s="3"/>
      <c r="H55" s="130"/>
      <c r="I55" s="3"/>
      <c r="J55" s="127">
        <v>1</v>
      </c>
      <c r="K55" s="3"/>
      <c r="L55" s="127"/>
      <c r="M55" s="21"/>
      <c r="N55" s="3" t="str">
        <f t="shared" si="1"/>
        <v/>
      </c>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row>
    <row r="56" spans="2:51" s="33" customFormat="1" ht="15" hidden="1" customHeight="1" outlineLevel="1" x14ac:dyDescent="0.25">
      <c r="B56" s="166" t="s">
        <v>94</v>
      </c>
      <c r="C56" s="47"/>
      <c r="D56" s="47"/>
      <c r="E56" s="3"/>
      <c r="F56" s="127">
        <v>1</v>
      </c>
      <c r="G56" s="3"/>
      <c r="H56" s="130"/>
      <c r="I56" s="3"/>
      <c r="J56" s="127"/>
      <c r="K56" s="3"/>
      <c r="L56" s="127"/>
      <c r="M56" s="21"/>
      <c r="N56" s="3" t="str">
        <f t="shared" si="1"/>
        <v/>
      </c>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spans="2:51" s="33" customFormat="1" ht="15" hidden="1" customHeight="1" outlineLevel="1" x14ac:dyDescent="0.25">
      <c r="B57" s="166" t="s">
        <v>43</v>
      </c>
      <c r="C57" s="47"/>
      <c r="D57" s="47"/>
      <c r="E57" s="3"/>
      <c r="F57" s="127">
        <v>1</v>
      </c>
      <c r="G57" s="3"/>
      <c r="H57" s="130"/>
      <c r="I57" s="3"/>
      <c r="J57" s="127"/>
      <c r="K57" s="3"/>
      <c r="L57" s="127"/>
      <c r="M57" s="21"/>
      <c r="N57" s="3" t="str">
        <f t="shared" si="1"/>
        <v/>
      </c>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row>
    <row r="58" spans="2:51" s="33" customFormat="1" ht="15" hidden="1" customHeight="1" outlineLevel="1" x14ac:dyDescent="0.25">
      <c r="B58" s="166" t="s">
        <v>44</v>
      </c>
      <c r="C58" s="47"/>
      <c r="D58" s="47"/>
      <c r="E58" s="3"/>
      <c r="F58" s="127"/>
      <c r="G58" s="3"/>
      <c r="H58" s="130">
        <v>1</v>
      </c>
      <c r="I58" s="3"/>
      <c r="J58" s="127"/>
      <c r="K58" s="3"/>
      <c r="L58" s="127"/>
      <c r="M58" s="21"/>
      <c r="N58" s="3" t="str">
        <f t="shared" si="1"/>
        <v/>
      </c>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row>
    <row r="59" spans="2:51" s="33" customFormat="1" ht="15" hidden="1" customHeight="1" outlineLevel="1" x14ac:dyDescent="0.25">
      <c r="B59" s="166" t="s">
        <v>95</v>
      </c>
      <c r="C59" s="47"/>
      <c r="D59" s="47"/>
      <c r="E59" s="3"/>
      <c r="F59" s="127"/>
      <c r="G59" s="3"/>
      <c r="H59" s="130"/>
      <c r="I59" s="3"/>
      <c r="J59" s="127">
        <v>1</v>
      </c>
      <c r="K59" s="3"/>
      <c r="L59" s="127"/>
      <c r="M59" s="21"/>
      <c r="N59" s="3" t="str">
        <f t="shared" si="1"/>
        <v/>
      </c>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spans="2:51" s="33" customFormat="1" ht="15" hidden="1" customHeight="1" outlineLevel="1" x14ac:dyDescent="0.25">
      <c r="B60" s="166" t="s">
        <v>96</v>
      </c>
      <c r="C60" s="47"/>
      <c r="D60" s="47"/>
      <c r="E60" s="3"/>
      <c r="F60" s="127"/>
      <c r="G60" s="3"/>
      <c r="H60" s="130"/>
      <c r="I60" s="3"/>
      <c r="J60" s="127">
        <v>1</v>
      </c>
      <c r="K60" s="3"/>
      <c r="L60" s="127"/>
      <c r="M60" s="21"/>
      <c r="N60" s="3" t="str">
        <f t="shared" si="1"/>
        <v/>
      </c>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row>
    <row r="61" spans="2:51" s="33" customFormat="1" ht="15" hidden="1" customHeight="1" outlineLevel="1" x14ac:dyDescent="0.25">
      <c r="B61" s="166" t="s">
        <v>97</v>
      </c>
      <c r="C61" s="47"/>
      <c r="D61" s="47"/>
      <c r="E61" s="3"/>
      <c r="F61" s="127">
        <v>1</v>
      </c>
      <c r="G61" s="3"/>
      <c r="H61" s="130"/>
      <c r="I61" s="3"/>
      <c r="J61" s="127"/>
      <c r="K61" s="3"/>
      <c r="L61" s="127"/>
      <c r="M61" s="21"/>
      <c r="N61" s="3" t="str">
        <f t="shared" si="1"/>
        <v/>
      </c>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row>
    <row r="62" spans="2:51" s="33" customFormat="1" ht="15" hidden="1" customHeight="1" outlineLevel="1" x14ac:dyDescent="0.25">
      <c r="B62" s="166" t="s">
        <v>98</v>
      </c>
      <c r="C62" s="47"/>
      <c r="D62" s="47"/>
      <c r="E62" s="3"/>
      <c r="F62" s="127"/>
      <c r="G62" s="3"/>
      <c r="H62" s="130">
        <v>1</v>
      </c>
      <c r="I62" s="3"/>
      <c r="J62" s="127"/>
      <c r="K62" s="3"/>
      <c r="L62" s="127"/>
      <c r="M62" s="21"/>
      <c r="N62" s="3" t="str">
        <f t="shared" si="1"/>
        <v/>
      </c>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row>
    <row r="63" spans="2:51" s="33" customFormat="1" ht="15" hidden="1" customHeight="1" outlineLevel="1" x14ac:dyDescent="0.25">
      <c r="B63" s="166" t="s">
        <v>46</v>
      </c>
      <c r="C63" s="47"/>
      <c r="D63" s="47"/>
      <c r="E63" s="3"/>
      <c r="F63" s="127"/>
      <c r="G63" s="3"/>
      <c r="H63" s="130">
        <v>1</v>
      </c>
      <c r="I63" s="3"/>
      <c r="J63" s="127"/>
      <c r="K63" s="3"/>
      <c r="L63" s="127"/>
      <c r="M63" s="21"/>
      <c r="N63" s="3" t="str">
        <f t="shared" si="1"/>
        <v/>
      </c>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row>
    <row r="64" spans="2:51" s="33" customFormat="1" ht="15" hidden="1" customHeight="1" outlineLevel="1" x14ac:dyDescent="0.25">
      <c r="B64" s="166" t="s">
        <v>45</v>
      </c>
      <c r="C64" s="47"/>
      <c r="D64" s="47"/>
      <c r="E64" s="3"/>
      <c r="F64" s="127"/>
      <c r="G64" s="3"/>
      <c r="H64" s="130"/>
      <c r="I64" s="3"/>
      <c r="J64" s="127">
        <v>1</v>
      </c>
      <c r="K64" s="3"/>
      <c r="L64" s="127"/>
      <c r="M64" s="21"/>
      <c r="N64" s="3" t="str">
        <f t="shared" si="1"/>
        <v/>
      </c>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row>
    <row r="65" spans="2:51" s="33" customFormat="1" ht="15" hidden="1" customHeight="1" outlineLevel="1" x14ac:dyDescent="0.25">
      <c r="B65" s="166" t="s">
        <v>99</v>
      </c>
      <c r="C65" s="47"/>
      <c r="D65" s="47"/>
      <c r="E65" s="3"/>
      <c r="F65" s="127">
        <v>1</v>
      </c>
      <c r="G65" s="3"/>
      <c r="H65" s="130"/>
      <c r="I65" s="3"/>
      <c r="J65" s="127"/>
      <c r="K65" s="3"/>
      <c r="L65" s="127"/>
      <c r="M65" s="21"/>
      <c r="N65" s="3" t="str">
        <f t="shared" si="1"/>
        <v/>
      </c>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row>
    <row r="66" spans="2:51" s="33" customFormat="1" ht="15" hidden="1" customHeight="1" outlineLevel="1" x14ac:dyDescent="0.25">
      <c r="B66" s="166" t="s">
        <v>100</v>
      </c>
      <c r="C66" s="47"/>
      <c r="D66" s="47"/>
      <c r="E66" s="3"/>
      <c r="F66" s="127"/>
      <c r="G66" s="3"/>
      <c r="H66" s="130">
        <v>1</v>
      </c>
      <c r="I66" s="3"/>
      <c r="J66" s="127"/>
      <c r="K66" s="3"/>
      <c r="L66" s="127"/>
      <c r="M66" s="21"/>
      <c r="N66" s="3" t="str">
        <f t="shared" si="1"/>
        <v/>
      </c>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row>
    <row r="67" spans="2:51" s="33" customFormat="1" ht="15" hidden="1" customHeight="1" outlineLevel="1" x14ac:dyDescent="0.25">
      <c r="B67" s="166" t="s">
        <v>101</v>
      </c>
      <c r="C67" s="47"/>
      <c r="D67" s="47"/>
      <c r="E67" s="3"/>
      <c r="F67" s="127">
        <v>1</v>
      </c>
      <c r="G67" s="3"/>
      <c r="H67" s="130"/>
      <c r="I67" s="3"/>
      <c r="J67" s="127"/>
      <c r="K67" s="3"/>
      <c r="L67" s="127"/>
      <c r="M67" s="21"/>
      <c r="N67" s="3" t="str">
        <f t="shared" si="1"/>
        <v/>
      </c>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row>
    <row r="68" spans="2:51" s="33" customFormat="1" ht="15" hidden="1" customHeight="1" outlineLevel="1" x14ac:dyDescent="0.25">
      <c r="B68" s="166" t="s">
        <v>102</v>
      </c>
      <c r="C68" s="47"/>
      <c r="D68" s="47"/>
      <c r="E68" s="3"/>
      <c r="F68" s="127"/>
      <c r="G68" s="3"/>
      <c r="H68" s="130">
        <v>1</v>
      </c>
      <c r="I68" s="3"/>
      <c r="J68" s="127"/>
      <c r="K68" s="3"/>
      <c r="L68" s="127"/>
      <c r="M68" s="21"/>
      <c r="N68" s="3" t="str">
        <f t="shared" si="1"/>
        <v/>
      </c>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row>
    <row r="69" spans="2:51" s="33" customFormat="1" ht="15" hidden="1" customHeight="1" outlineLevel="1" x14ac:dyDescent="0.25">
      <c r="B69" s="166" t="s">
        <v>103</v>
      </c>
      <c r="C69" s="47"/>
      <c r="D69" s="47"/>
      <c r="E69" s="3"/>
      <c r="F69" s="187"/>
      <c r="G69" s="3"/>
      <c r="H69" s="189">
        <v>1</v>
      </c>
      <c r="I69" s="3"/>
      <c r="J69" s="187"/>
      <c r="K69" s="3"/>
      <c r="L69" s="187"/>
      <c r="M69" s="21"/>
      <c r="N69" s="3" t="str">
        <f t="shared" si="1"/>
        <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row>
    <row r="70" spans="2:51" s="33" customFormat="1" ht="15" customHeight="1" collapsed="1" x14ac:dyDescent="0.25">
      <c r="B70" s="126" t="s">
        <v>104</v>
      </c>
      <c r="C70" s="22"/>
      <c r="D70" s="22"/>
      <c r="E70" s="84"/>
      <c r="F70" s="117">
        <f>F71</f>
        <v>0</v>
      </c>
      <c r="G70" s="84"/>
      <c r="H70" s="129">
        <f>H71</f>
        <v>0</v>
      </c>
      <c r="I70" s="84"/>
      <c r="J70" s="117">
        <f>J71</f>
        <v>1</v>
      </c>
      <c r="K70" s="84"/>
      <c r="L70" s="117">
        <f>L71</f>
        <v>0</v>
      </c>
      <c r="M70" s="118"/>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row>
    <row r="71" spans="2:51" s="33" customFormat="1" ht="15" hidden="1" customHeight="1" outlineLevel="1" x14ac:dyDescent="0.25">
      <c r="B71" s="166" t="s">
        <v>105</v>
      </c>
      <c r="C71" s="47"/>
      <c r="D71" s="47"/>
      <c r="E71" s="3"/>
      <c r="F71" s="190"/>
      <c r="G71" s="3"/>
      <c r="H71" s="185"/>
      <c r="I71" s="3"/>
      <c r="J71" s="190">
        <v>1</v>
      </c>
      <c r="K71" s="3"/>
      <c r="L71" s="190"/>
      <c r="M71" s="21"/>
      <c r="N71" s="3" t="str">
        <f t="shared" si="1"/>
        <v/>
      </c>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row>
    <row r="72" spans="2:51" s="33" customFormat="1" ht="15" customHeight="1" collapsed="1" x14ac:dyDescent="0.25">
      <c r="B72" s="56"/>
      <c r="C72" s="26"/>
      <c r="D72" s="26"/>
      <c r="E72" s="27"/>
      <c r="F72" s="28"/>
      <c r="G72" s="27"/>
      <c r="H72" s="60"/>
      <c r="I72" s="27"/>
      <c r="J72" s="28"/>
      <c r="K72" s="27"/>
      <c r="L72" s="28"/>
      <c r="M72" s="85"/>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row>
    <row r="73" spans="2:51" s="33" customFormat="1" ht="13.2" customHeight="1" x14ac:dyDescent="0.25">
      <c r="B73" s="53"/>
      <c r="C73" s="47"/>
      <c r="D73" s="47"/>
      <c r="E73" s="3"/>
      <c r="F73" s="52"/>
      <c r="G73" s="3"/>
      <c r="H73" s="3"/>
      <c r="I73" s="3"/>
      <c r="J73" s="3"/>
      <c r="K73" s="3"/>
      <c r="L73" s="52"/>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row>
    <row r="74" spans="2:51" s="33" customFormat="1" ht="13.2" customHeight="1" x14ac:dyDescent="0.25">
      <c r="B74" s="46" t="s">
        <v>192</v>
      </c>
      <c r="C74" s="47"/>
      <c r="D74" s="47"/>
      <c r="E74" s="3"/>
      <c r="F74" s="52"/>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row>
    <row r="75" spans="2:51" s="33" customFormat="1" ht="13.2" customHeight="1" x14ac:dyDescent="0.25">
      <c r="B75" s="53"/>
      <c r="C75" s="47"/>
      <c r="D75" s="47"/>
      <c r="E75" s="47"/>
      <c r="F75" s="3"/>
      <c r="G75" s="52"/>
      <c r="H75" s="3"/>
      <c r="I75" s="3"/>
      <c r="J75" s="3"/>
      <c r="K75" s="3"/>
      <c r="L75" s="3"/>
      <c r="M75" s="3"/>
      <c r="N75" s="3"/>
      <c r="O75" s="3"/>
      <c r="P75" s="3"/>
      <c r="Q75" s="3"/>
      <c r="R75" s="3"/>
      <c r="S75" s="3"/>
      <c r="T75" s="3"/>
      <c r="U75" s="3"/>
      <c r="V75" s="3"/>
      <c r="W75" s="52"/>
      <c r="X75" s="52"/>
      <c r="Y75" s="3"/>
      <c r="Z75" s="3"/>
      <c r="AA75" s="3"/>
      <c r="AB75" s="3"/>
      <c r="AC75" s="3"/>
      <c r="AD75" s="3"/>
      <c r="AE75" s="3"/>
      <c r="AF75" s="3"/>
      <c r="AG75" s="3"/>
      <c r="AH75" s="3"/>
      <c r="AI75" s="3"/>
      <c r="AJ75" s="3"/>
      <c r="AK75" s="3"/>
      <c r="AL75" s="3"/>
      <c r="AM75" s="3"/>
    </row>
    <row r="76" spans="2:51" s="33" customFormat="1" ht="18.600000000000001" customHeight="1" x14ac:dyDescent="0.25">
      <c r="B76" s="255" t="s">
        <v>48</v>
      </c>
      <c r="C76" s="256"/>
      <c r="D76" s="256"/>
      <c r="E76" s="257"/>
      <c r="F76" s="246" t="s">
        <v>191</v>
      </c>
      <c r="G76" s="247"/>
      <c r="H76" s="271" t="s">
        <v>160</v>
      </c>
      <c r="I76" s="272"/>
      <c r="J76" s="272"/>
      <c r="K76" s="272"/>
      <c r="L76" s="272"/>
      <c r="M76" s="272"/>
      <c r="N76" s="272"/>
      <c r="O76" s="272"/>
      <c r="P76" s="272"/>
      <c r="Q76" s="273"/>
      <c r="R76" s="3"/>
      <c r="S76" s="3"/>
      <c r="T76" s="3"/>
      <c r="U76" s="3"/>
      <c r="V76" s="3"/>
      <c r="W76" s="3"/>
      <c r="X76" s="3"/>
      <c r="Y76" s="3"/>
      <c r="Z76" s="3"/>
      <c r="AA76" s="3"/>
      <c r="AB76" s="3"/>
      <c r="AC76" s="3"/>
      <c r="AD76" s="3"/>
      <c r="AE76" s="3"/>
      <c r="AF76" s="3"/>
    </row>
    <row r="77" spans="2:51" s="33" customFormat="1" ht="35.25" customHeight="1" x14ac:dyDescent="0.25">
      <c r="B77" s="258"/>
      <c r="C77" s="275"/>
      <c r="D77" s="275"/>
      <c r="E77" s="276"/>
      <c r="F77" s="248"/>
      <c r="G77" s="249"/>
      <c r="H77" s="271" t="s">
        <v>312</v>
      </c>
      <c r="I77" s="272"/>
      <c r="J77" s="273"/>
      <c r="K77" s="180" t="s">
        <v>313</v>
      </c>
      <c r="L77" s="280" t="s">
        <v>355</v>
      </c>
      <c r="M77" s="281"/>
      <c r="N77" s="183" t="s">
        <v>332</v>
      </c>
      <c r="O77" s="280" t="s">
        <v>287</v>
      </c>
      <c r="P77" s="280"/>
      <c r="Q77" s="300"/>
      <c r="R77" s="3"/>
      <c r="S77" s="3"/>
      <c r="T77" s="3"/>
      <c r="U77" s="3"/>
      <c r="V77" s="3"/>
      <c r="W77" s="3"/>
      <c r="X77" s="3"/>
      <c r="Y77" s="3"/>
      <c r="Z77" s="3"/>
      <c r="AA77" s="3"/>
      <c r="AB77" s="3"/>
      <c r="AC77" s="3"/>
      <c r="AD77" s="3"/>
    </row>
    <row r="78" spans="2:51" s="3" customFormat="1" ht="88.5" customHeight="1" x14ac:dyDescent="0.25">
      <c r="B78" s="260"/>
      <c r="C78" s="261"/>
      <c r="D78" s="261"/>
      <c r="E78" s="277"/>
      <c r="F78" s="89" t="s">
        <v>49</v>
      </c>
      <c r="G78" s="89" t="s">
        <v>50</v>
      </c>
      <c r="H78" s="89" t="s">
        <v>314</v>
      </c>
      <c r="I78" s="89" t="s">
        <v>310</v>
      </c>
      <c r="J78" s="86" t="s">
        <v>309</v>
      </c>
      <c r="K78" s="89" t="s">
        <v>310</v>
      </c>
      <c r="L78" s="89" t="s">
        <v>316</v>
      </c>
      <c r="M78" s="93" t="s">
        <v>239</v>
      </c>
      <c r="N78" s="93" t="s">
        <v>311</v>
      </c>
      <c r="O78" s="101" t="s">
        <v>334</v>
      </c>
      <c r="P78" s="101" t="s">
        <v>333</v>
      </c>
      <c r="Q78" s="101" t="s">
        <v>329</v>
      </c>
    </row>
    <row r="79" spans="2:51" s="33" customFormat="1" ht="13.2" customHeight="1" x14ac:dyDescent="0.25">
      <c r="B79" s="32"/>
      <c r="E79" s="34"/>
      <c r="F79" s="20"/>
      <c r="G79" s="20"/>
      <c r="H79" s="20"/>
      <c r="I79" s="20"/>
      <c r="J79" s="64"/>
      <c r="K79" s="20"/>
      <c r="L79" s="20"/>
      <c r="M79" s="20"/>
      <c r="N79" s="20"/>
      <c r="O79" s="20"/>
      <c r="P79" s="88"/>
      <c r="Q79" s="20"/>
      <c r="R79" s="3"/>
      <c r="S79" s="3"/>
      <c r="T79" s="3"/>
      <c r="U79" s="3"/>
      <c r="V79" s="3"/>
      <c r="W79" s="3"/>
      <c r="X79" s="3"/>
      <c r="Y79" s="3"/>
      <c r="Z79" s="3"/>
      <c r="AA79" s="3"/>
      <c r="AB79" s="3"/>
      <c r="AC79" s="3"/>
      <c r="AD79" s="3"/>
    </row>
    <row r="80" spans="2:51" s="33" customFormat="1" ht="13.2" customHeight="1" x14ac:dyDescent="0.25">
      <c r="B80" s="37" t="s">
        <v>51</v>
      </c>
      <c r="C80" s="38"/>
      <c r="D80" s="38"/>
      <c r="E80" s="39"/>
      <c r="F80" s="66">
        <f t="shared" ref="F80:N80" si="2">SUM(F82,F85,F89,F97,F107,F112)</f>
        <v>32</v>
      </c>
      <c r="G80" s="67">
        <f t="shared" si="2"/>
        <v>39</v>
      </c>
      <c r="H80" s="67">
        <f t="shared" si="2"/>
        <v>7</v>
      </c>
      <c r="I80" s="67">
        <f t="shared" ref="I80:J80" si="3">SUM(I82,I85,I89,I97,I107,I112)</f>
        <v>4</v>
      </c>
      <c r="J80" s="67">
        <f t="shared" si="3"/>
        <v>2</v>
      </c>
      <c r="K80" s="67">
        <f t="shared" ref="K80" si="4">SUM(K82,K85,K89,K97,K107,K112)</f>
        <v>2</v>
      </c>
      <c r="L80" s="67">
        <f t="shared" si="2"/>
        <v>10</v>
      </c>
      <c r="M80" s="67">
        <f t="shared" si="2"/>
        <v>2</v>
      </c>
      <c r="N80" s="67">
        <f t="shared" si="2"/>
        <v>3</v>
      </c>
      <c r="O80" s="67">
        <f t="shared" ref="O80:P80" si="5">SUM(O82,O85,O89,O97,O107,O112)</f>
        <v>3</v>
      </c>
      <c r="P80" s="67">
        <f t="shared" si="5"/>
        <v>1</v>
      </c>
      <c r="Q80" s="67">
        <f t="shared" ref="Q80" si="6">SUM(Q82,Q85,Q89,Q97,Q107,Q112)</f>
        <v>7</v>
      </c>
      <c r="R80" s="3"/>
      <c r="S80" s="3"/>
      <c r="T80" s="3"/>
      <c r="U80" s="3"/>
      <c r="V80" s="3"/>
      <c r="W80" s="3"/>
      <c r="X80" s="3"/>
      <c r="Y80" s="3"/>
      <c r="Z80" s="3"/>
      <c r="AA80" s="3"/>
      <c r="AB80" s="3"/>
      <c r="AC80" s="3"/>
      <c r="AD80" s="3"/>
    </row>
    <row r="81" spans="2:30" s="33" customFormat="1" ht="13.2" customHeight="1" x14ac:dyDescent="0.25">
      <c r="B81" s="32" t="s">
        <v>47</v>
      </c>
      <c r="E81" s="34"/>
      <c r="F81" s="20"/>
      <c r="G81" s="20"/>
      <c r="H81" s="20"/>
      <c r="I81" s="65"/>
      <c r="J81" s="65"/>
      <c r="K81" s="65"/>
      <c r="L81" s="20"/>
      <c r="M81" s="14"/>
      <c r="N81" s="14"/>
      <c r="O81" s="14"/>
      <c r="P81" s="65"/>
      <c r="Q81" s="65"/>
      <c r="R81" s="3"/>
      <c r="S81" s="3"/>
      <c r="T81" s="3"/>
      <c r="U81" s="3"/>
      <c r="V81" s="3"/>
      <c r="W81" s="3"/>
      <c r="X81" s="3"/>
      <c r="Y81" s="3"/>
      <c r="Z81" s="3"/>
      <c r="AA81" s="3"/>
      <c r="AB81" s="3"/>
      <c r="AC81" s="3"/>
      <c r="AD81" s="3"/>
    </row>
    <row r="82" spans="2:30" s="33" customFormat="1" ht="13.2" customHeight="1" x14ac:dyDescent="0.25">
      <c r="B82" s="41" t="s">
        <v>52</v>
      </c>
      <c r="C82" s="42"/>
      <c r="D82" s="42"/>
      <c r="E82" s="34"/>
      <c r="F82" s="63">
        <f>+H13</f>
        <v>1</v>
      </c>
      <c r="G82" s="225">
        <f>G83</f>
        <v>0</v>
      </c>
      <c r="H82" s="225">
        <f t="shared" ref="H82:L82" si="7">H83</f>
        <v>0</v>
      </c>
      <c r="I82" s="225">
        <f t="shared" si="7"/>
        <v>0</v>
      </c>
      <c r="J82" s="225">
        <f t="shared" ref="J82:P82" si="8">J83</f>
        <v>0</v>
      </c>
      <c r="K82" s="225">
        <f t="shared" si="7"/>
        <v>0</v>
      </c>
      <c r="L82" s="225">
        <f t="shared" si="7"/>
        <v>0</v>
      </c>
      <c r="M82" s="225">
        <f t="shared" si="8"/>
        <v>0</v>
      </c>
      <c r="N82" s="225">
        <f>N83</f>
        <v>0</v>
      </c>
      <c r="O82" s="225">
        <f t="shared" si="8"/>
        <v>0</v>
      </c>
      <c r="P82" s="225">
        <f t="shared" si="8"/>
        <v>0</v>
      </c>
      <c r="Q82" s="225">
        <f>Q83</f>
        <v>1</v>
      </c>
      <c r="R82" s="3"/>
      <c r="S82" s="3"/>
      <c r="T82" s="3"/>
      <c r="U82" s="3"/>
      <c r="V82" s="3"/>
      <c r="W82" s="3"/>
      <c r="X82" s="3"/>
      <c r="Y82" s="3"/>
      <c r="Z82" s="3"/>
      <c r="AA82" s="3"/>
      <c r="AB82" s="3"/>
      <c r="AC82" s="3"/>
      <c r="AD82" s="3"/>
    </row>
    <row r="83" spans="2:30" s="31" customFormat="1" ht="13.2" outlineLevel="1" x14ac:dyDescent="0.25">
      <c r="B83" s="32" t="s">
        <v>108</v>
      </c>
      <c r="C83" s="47"/>
      <c r="D83" s="47"/>
      <c r="E83" s="47"/>
      <c r="F83" s="20"/>
      <c r="G83" s="202">
        <f>SUM(H83:O83)</f>
        <v>0</v>
      </c>
      <c r="H83" s="203"/>
      <c r="I83" s="203"/>
      <c r="J83" s="203"/>
      <c r="K83" s="203"/>
      <c r="L83" s="203"/>
      <c r="M83" s="202"/>
      <c r="N83" s="202"/>
      <c r="O83" s="202"/>
      <c r="P83" s="203"/>
      <c r="Q83" s="202">
        <v>1</v>
      </c>
      <c r="R83" s="3"/>
      <c r="S83" s="3"/>
      <c r="T83" s="3"/>
      <c r="U83" s="3"/>
      <c r="V83" s="3"/>
      <c r="W83" s="4"/>
      <c r="X83" s="4"/>
      <c r="Y83" s="4"/>
      <c r="Z83" s="4"/>
      <c r="AA83" s="4"/>
      <c r="AB83" s="4"/>
    </row>
    <row r="84" spans="2:30" s="31" customFormat="1" ht="13.2" x14ac:dyDescent="0.25">
      <c r="B84" s="32"/>
      <c r="C84" s="47"/>
      <c r="D84" s="47"/>
      <c r="E84" s="47"/>
      <c r="F84" s="20"/>
      <c r="G84" s="226"/>
      <c r="H84" s="227"/>
      <c r="I84" s="227"/>
      <c r="J84" s="227"/>
      <c r="K84" s="227"/>
      <c r="L84" s="227"/>
      <c r="M84" s="226"/>
      <c r="N84" s="226"/>
      <c r="O84" s="226"/>
      <c r="P84" s="227"/>
      <c r="Q84" s="227"/>
      <c r="R84" s="3"/>
      <c r="S84" s="3"/>
      <c r="T84" s="3"/>
      <c r="U84" s="3"/>
      <c r="V84" s="3"/>
      <c r="W84" s="4"/>
      <c r="X84" s="4"/>
      <c r="Y84" s="4"/>
      <c r="Z84" s="4"/>
      <c r="AA84" s="4"/>
      <c r="AB84" s="4"/>
    </row>
    <row r="85" spans="2:30" s="31" customFormat="1" ht="13.2" x14ac:dyDescent="0.25">
      <c r="B85" s="41" t="s">
        <v>57</v>
      </c>
      <c r="C85" s="47"/>
      <c r="D85" s="47"/>
      <c r="E85" s="3"/>
      <c r="F85" s="63">
        <f>H15</f>
        <v>2</v>
      </c>
      <c r="G85" s="225">
        <f>SUM(G86:G87)</f>
        <v>3</v>
      </c>
      <c r="H85" s="225">
        <f>SUM(H86:H87)</f>
        <v>0</v>
      </c>
      <c r="I85" s="225">
        <f t="shared" ref="I85:J85" si="9">SUM(I86:I87)</f>
        <v>0</v>
      </c>
      <c r="J85" s="225">
        <f t="shared" si="9"/>
        <v>0</v>
      </c>
      <c r="K85" s="225">
        <f t="shared" ref="K85" si="10">SUM(K86:K87)</f>
        <v>1</v>
      </c>
      <c r="L85" s="225">
        <f t="shared" ref="L85" si="11">SUM(L86:L87)</f>
        <v>2</v>
      </c>
      <c r="M85" s="225">
        <f t="shared" ref="M85" si="12">SUM(M86:M87)</f>
        <v>0</v>
      </c>
      <c r="N85" s="225">
        <f>SUM(N86:N87)</f>
        <v>0</v>
      </c>
      <c r="O85" s="225">
        <f t="shared" ref="O85:P85" si="13">SUM(O86:O87)</f>
        <v>0</v>
      </c>
      <c r="P85" s="225">
        <f t="shared" si="13"/>
        <v>0</v>
      </c>
      <c r="Q85" s="225">
        <f>SUM(Q86:Q87)</f>
        <v>1</v>
      </c>
      <c r="R85" s="3"/>
      <c r="S85" s="3"/>
      <c r="T85" s="3"/>
      <c r="U85" s="3"/>
      <c r="V85" s="4"/>
      <c r="W85" s="4"/>
      <c r="X85" s="4"/>
      <c r="Y85" s="4"/>
      <c r="Z85" s="4"/>
      <c r="AA85" s="4"/>
    </row>
    <row r="86" spans="2:30" s="31" customFormat="1" ht="13.2" outlineLevel="1" x14ac:dyDescent="0.25">
      <c r="B86" s="32" t="s">
        <v>109</v>
      </c>
      <c r="C86" s="47"/>
      <c r="D86" s="47"/>
      <c r="E86" s="3"/>
      <c r="F86" s="20"/>
      <c r="G86" s="204">
        <f>SUM(H86:O86)</f>
        <v>2</v>
      </c>
      <c r="H86" s="204"/>
      <c r="I86" s="204"/>
      <c r="J86" s="204"/>
      <c r="K86" s="204">
        <v>1</v>
      </c>
      <c r="L86" s="204">
        <v>1</v>
      </c>
      <c r="M86" s="204"/>
      <c r="N86" s="204"/>
      <c r="O86" s="204"/>
      <c r="P86" s="204"/>
      <c r="Q86" s="204"/>
      <c r="R86" s="3"/>
      <c r="S86" s="3"/>
      <c r="T86" s="3"/>
      <c r="U86" s="3"/>
      <c r="V86" s="4"/>
      <c r="W86" s="4" t="s">
        <v>47</v>
      </c>
      <c r="X86" s="4"/>
      <c r="Y86" s="4"/>
      <c r="Z86" s="4"/>
      <c r="AA86" s="4"/>
    </row>
    <row r="87" spans="2:30" s="1" customFormat="1" ht="13.2" outlineLevel="1" x14ac:dyDescent="0.25">
      <c r="B87" s="32" t="s">
        <v>110</v>
      </c>
      <c r="C87" s="47"/>
      <c r="D87" s="47"/>
      <c r="E87" s="3"/>
      <c r="F87" s="20"/>
      <c r="G87" s="206">
        <f>SUM(H87:O87)</f>
        <v>1</v>
      </c>
      <c r="H87" s="206"/>
      <c r="I87" s="206"/>
      <c r="J87" s="206"/>
      <c r="K87" s="206"/>
      <c r="L87" s="206">
        <v>1</v>
      </c>
      <c r="M87" s="206"/>
      <c r="N87" s="206"/>
      <c r="O87" s="206"/>
      <c r="P87" s="206"/>
      <c r="Q87" s="206">
        <v>1</v>
      </c>
      <c r="R87" s="3"/>
      <c r="S87" s="3"/>
      <c r="T87" s="3"/>
      <c r="U87" s="3"/>
      <c r="V87" s="2"/>
      <c r="W87" s="2"/>
      <c r="X87" s="2"/>
      <c r="Y87" s="2"/>
      <c r="Z87" s="2"/>
      <c r="AA87" s="2"/>
    </row>
    <row r="88" spans="2:30" s="31" customFormat="1" ht="13.2" x14ac:dyDescent="0.25">
      <c r="B88" s="32"/>
      <c r="C88" s="47"/>
      <c r="D88" s="47"/>
      <c r="E88" s="3"/>
      <c r="F88" s="20"/>
      <c r="G88" s="226"/>
      <c r="H88" s="227"/>
      <c r="I88" s="227"/>
      <c r="J88" s="227"/>
      <c r="K88" s="227"/>
      <c r="L88" s="227"/>
      <c r="M88" s="226"/>
      <c r="N88" s="226"/>
      <c r="O88" s="226"/>
      <c r="P88" s="227"/>
      <c r="Q88" s="227"/>
      <c r="R88" s="3"/>
      <c r="S88" s="3"/>
      <c r="T88" s="3"/>
      <c r="U88" s="3"/>
      <c r="V88" s="4"/>
      <c r="W88" s="4"/>
      <c r="X88" s="4"/>
      <c r="Y88" s="4"/>
      <c r="Z88" s="4"/>
      <c r="AA88" s="4"/>
    </row>
    <row r="89" spans="2:30" x14ac:dyDescent="0.3">
      <c r="B89" s="41" t="s">
        <v>60</v>
      </c>
      <c r="C89" s="19"/>
      <c r="D89" s="54"/>
      <c r="E89" s="54"/>
      <c r="F89" s="196">
        <f>H18</f>
        <v>6</v>
      </c>
      <c r="G89" s="200">
        <f t="shared" ref="G89:J89" si="14">SUM(G90:G95)</f>
        <v>5</v>
      </c>
      <c r="H89" s="200">
        <f t="shared" si="14"/>
        <v>0</v>
      </c>
      <c r="I89" s="200">
        <f t="shared" si="14"/>
        <v>1</v>
      </c>
      <c r="J89" s="200">
        <f t="shared" si="14"/>
        <v>1</v>
      </c>
      <c r="K89" s="200">
        <f t="shared" ref="K89" si="15">SUM(K90:K95)</f>
        <v>0</v>
      </c>
      <c r="L89" s="200">
        <f t="shared" ref="L89:M89" si="16">SUM(L90:L95)</f>
        <v>1</v>
      </c>
      <c r="M89" s="200">
        <f t="shared" si="16"/>
        <v>2</v>
      </c>
      <c r="N89" s="200">
        <f>SUM(N90:N95)</f>
        <v>0</v>
      </c>
      <c r="O89" s="200">
        <f t="shared" ref="O89:P89" si="17">SUM(O90:O95)</f>
        <v>0</v>
      </c>
      <c r="P89" s="200">
        <f t="shared" si="17"/>
        <v>0</v>
      </c>
      <c r="Q89" s="200">
        <f t="shared" ref="Q89" si="18">SUM(Q90:Q95)</f>
        <v>0</v>
      </c>
    </row>
    <row r="90" spans="2:30" outlineLevel="1" x14ac:dyDescent="0.3">
      <c r="B90" s="32" t="s">
        <v>112</v>
      </c>
      <c r="C90" s="19"/>
      <c r="D90" s="54"/>
      <c r="E90" s="54"/>
      <c r="F90" s="68"/>
      <c r="G90" s="204">
        <f>SUM(H90:Q90)</f>
        <v>2</v>
      </c>
      <c r="H90" s="204"/>
      <c r="I90" s="204">
        <v>1</v>
      </c>
      <c r="J90" s="204">
        <v>1</v>
      </c>
      <c r="K90" s="204"/>
      <c r="L90" s="204"/>
      <c r="M90" s="204"/>
      <c r="N90" s="204"/>
      <c r="O90" s="204"/>
      <c r="P90" s="204"/>
      <c r="Q90" s="204"/>
    </row>
    <row r="91" spans="2:30" outlineLevel="1" x14ac:dyDescent="0.3">
      <c r="B91" s="32" t="s">
        <v>114</v>
      </c>
      <c r="C91" s="19"/>
      <c r="D91" s="54"/>
      <c r="E91" s="54"/>
      <c r="F91" s="68"/>
      <c r="G91" s="205">
        <f>SUM(H91:Q91)</f>
        <v>0</v>
      </c>
      <c r="H91" s="205"/>
      <c r="I91" s="205"/>
      <c r="J91" s="205"/>
      <c r="K91" s="205"/>
      <c r="L91" s="205"/>
      <c r="M91" s="205"/>
      <c r="N91" s="205"/>
      <c r="O91" s="205"/>
      <c r="P91" s="205"/>
      <c r="Q91" s="205"/>
    </row>
    <row r="92" spans="2:30" outlineLevel="1" x14ac:dyDescent="0.3">
      <c r="B92" s="32" t="s">
        <v>115</v>
      </c>
      <c r="C92" s="19"/>
      <c r="D92" s="54"/>
      <c r="E92" s="54"/>
      <c r="F92" s="68" t="s">
        <v>47</v>
      </c>
      <c r="G92" s="205">
        <f t="shared" ref="G92:G94" si="19">SUM(H92:Q92)</f>
        <v>1</v>
      </c>
      <c r="H92" s="205"/>
      <c r="I92" s="205"/>
      <c r="J92" s="205"/>
      <c r="K92" s="205"/>
      <c r="L92" s="205"/>
      <c r="M92" s="205">
        <v>1</v>
      </c>
      <c r="N92" s="205"/>
      <c r="O92" s="205"/>
      <c r="P92" s="205"/>
      <c r="Q92" s="205"/>
    </row>
    <row r="93" spans="2:30" outlineLevel="1" x14ac:dyDescent="0.3">
      <c r="B93" s="32" t="s">
        <v>116</v>
      </c>
      <c r="C93" s="19"/>
      <c r="D93" s="54"/>
      <c r="E93" s="54"/>
      <c r="F93" s="68"/>
      <c r="G93" s="205">
        <f t="shared" si="19"/>
        <v>2</v>
      </c>
      <c r="H93" s="205"/>
      <c r="I93" s="205"/>
      <c r="J93" s="205"/>
      <c r="K93" s="205"/>
      <c r="L93" s="205">
        <v>1</v>
      </c>
      <c r="M93" s="205">
        <v>1</v>
      </c>
      <c r="N93" s="205"/>
      <c r="O93" s="205"/>
      <c r="P93" s="205"/>
      <c r="Q93" s="205"/>
    </row>
    <row r="94" spans="2:30" outlineLevel="1" x14ac:dyDescent="0.3">
      <c r="B94" s="32" t="s">
        <v>117</v>
      </c>
      <c r="C94" s="19"/>
      <c r="D94" s="54"/>
      <c r="E94" s="54"/>
      <c r="F94" s="68"/>
      <c r="G94" s="205">
        <f t="shared" si="19"/>
        <v>0</v>
      </c>
      <c r="H94" s="205"/>
      <c r="I94" s="205"/>
      <c r="J94" s="205"/>
      <c r="K94" s="205"/>
      <c r="L94" s="205"/>
      <c r="M94" s="205"/>
      <c r="N94" s="205"/>
      <c r="O94" s="205"/>
      <c r="P94" s="205"/>
      <c r="Q94" s="205"/>
    </row>
    <row r="95" spans="2:30" outlineLevel="1" x14ac:dyDescent="0.3">
      <c r="B95" s="32" t="s">
        <v>119</v>
      </c>
      <c r="C95" s="19"/>
      <c r="D95" s="54"/>
      <c r="E95" s="54"/>
      <c r="F95" s="68"/>
      <c r="G95" s="206">
        <f>SUM(H95:Q95)</f>
        <v>0</v>
      </c>
      <c r="H95" s="206"/>
      <c r="I95" s="206"/>
      <c r="J95" s="206"/>
      <c r="K95" s="206"/>
      <c r="L95" s="206"/>
      <c r="M95" s="206"/>
      <c r="N95" s="206"/>
      <c r="O95" s="206"/>
      <c r="P95" s="206"/>
      <c r="Q95" s="206"/>
    </row>
    <row r="96" spans="2:30" s="69" customFormat="1" x14ac:dyDescent="0.3">
      <c r="B96" s="32"/>
      <c r="C96" s="33"/>
      <c r="D96" s="62"/>
      <c r="E96" s="62"/>
      <c r="F96" s="73"/>
      <c r="G96" s="226"/>
      <c r="H96" s="227"/>
      <c r="I96" s="227"/>
      <c r="J96" s="227"/>
      <c r="K96" s="227"/>
      <c r="L96" s="227"/>
      <c r="M96" s="227"/>
      <c r="N96" s="227"/>
      <c r="O96" s="227"/>
      <c r="P96" s="227"/>
      <c r="Q96" s="227"/>
    </row>
    <row r="97" spans="2:17" x14ac:dyDescent="0.3">
      <c r="B97" s="41" t="s">
        <v>40</v>
      </c>
      <c r="C97" s="19"/>
      <c r="D97" s="54"/>
      <c r="E97" s="54"/>
      <c r="F97" s="171">
        <f>H28</f>
        <v>8</v>
      </c>
      <c r="G97" s="200">
        <f t="shared" ref="G97:N97" si="20">SUM(G98:G105)</f>
        <v>15</v>
      </c>
      <c r="H97" s="200">
        <f t="shared" si="20"/>
        <v>3</v>
      </c>
      <c r="I97" s="200">
        <f t="shared" ref="I97:J97" si="21">SUM(I98:I105)</f>
        <v>2</v>
      </c>
      <c r="J97" s="200">
        <f t="shared" si="21"/>
        <v>0</v>
      </c>
      <c r="K97" s="200">
        <f t="shared" ref="K97" si="22">SUM(K98:K105)</f>
        <v>1</v>
      </c>
      <c r="L97" s="200">
        <f t="shared" si="20"/>
        <v>3</v>
      </c>
      <c r="M97" s="200">
        <f t="shared" si="20"/>
        <v>0</v>
      </c>
      <c r="N97" s="200">
        <f t="shared" si="20"/>
        <v>2</v>
      </c>
      <c r="O97" s="200">
        <f t="shared" ref="O97:P97" si="23">SUM(O98:O105)</f>
        <v>1</v>
      </c>
      <c r="P97" s="200">
        <f t="shared" si="23"/>
        <v>1</v>
      </c>
      <c r="Q97" s="200">
        <f t="shared" ref="Q97" si="24">SUM(Q98:Q105)</f>
        <v>2</v>
      </c>
    </row>
    <row r="98" spans="2:17" outlineLevel="1" x14ac:dyDescent="0.3">
      <c r="B98" s="32" t="s">
        <v>120</v>
      </c>
      <c r="C98" s="19"/>
      <c r="D98" s="54"/>
      <c r="E98" s="54"/>
      <c r="F98" s="114"/>
      <c r="G98" s="204">
        <f>SUM(H98:Q98)</f>
        <v>2</v>
      </c>
      <c r="H98" s="204">
        <v>1</v>
      </c>
      <c r="I98" s="204"/>
      <c r="J98" s="204"/>
      <c r="K98" s="204"/>
      <c r="L98" s="204"/>
      <c r="M98" s="204"/>
      <c r="N98" s="204">
        <v>1</v>
      </c>
      <c r="O98" s="204"/>
      <c r="P98" s="204"/>
      <c r="Q98" s="204"/>
    </row>
    <row r="99" spans="2:17" outlineLevel="1" x14ac:dyDescent="0.3">
      <c r="B99" s="32" t="s">
        <v>121</v>
      </c>
      <c r="C99" s="19"/>
      <c r="D99" s="54"/>
      <c r="E99" s="54"/>
      <c r="F99" s="114"/>
      <c r="G99" s="205">
        <f>SUM(H99:Q99)</f>
        <v>1</v>
      </c>
      <c r="H99" s="205"/>
      <c r="I99" s="205"/>
      <c r="J99" s="205"/>
      <c r="K99" s="205"/>
      <c r="L99" s="205"/>
      <c r="M99" s="205"/>
      <c r="N99" s="205"/>
      <c r="O99" s="205"/>
      <c r="P99" s="205"/>
      <c r="Q99" s="205">
        <v>1</v>
      </c>
    </row>
    <row r="100" spans="2:17" outlineLevel="1" collapsed="1" x14ac:dyDescent="0.3">
      <c r="B100" s="32" t="s">
        <v>124</v>
      </c>
      <c r="C100" s="19"/>
      <c r="D100" s="54"/>
      <c r="E100" s="54"/>
      <c r="F100" s="114"/>
      <c r="G100" s="205">
        <f t="shared" ref="G100:G104" si="25">SUM(H100:Q100)</f>
        <v>3</v>
      </c>
      <c r="H100" s="205">
        <v>1</v>
      </c>
      <c r="I100" s="205"/>
      <c r="J100" s="205"/>
      <c r="K100" s="205"/>
      <c r="L100" s="205">
        <v>1</v>
      </c>
      <c r="M100" s="205"/>
      <c r="N100" s="205">
        <v>1</v>
      </c>
      <c r="O100" s="205"/>
      <c r="P100" s="205"/>
      <c r="Q100" s="205"/>
    </row>
    <row r="101" spans="2:17" outlineLevel="1" x14ac:dyDescent="0.3">
      <c r="B101" s="32" t="s">
        <v>125</v>
      </c>
      <c r="C101" s="19"/>
      <c r="D101" s="54"/>
      <c r="E101" s="54"/>
      <c r="F101" s="114"/>
      <c r="G101" s="205">
        <f t="shared" si="25"/>
        <v>1</v>
      </c>
      <c r="H101" s="205"/>
      <c r="I101" s="205">
        <v>1</v>
      </c>
      <c r="J101" s="205"/>
      <c r="K101" s="205"/>
      <c r="L101" s="205"/>
      <c r="M101" s="205"/>
      <c r="N101" s="205"/>
      <c r="O101" s="205"/>
      <c r="P101" s="205"/>
      <c r="Q101" s="205"/>
    </row>
    <row r="102" spans="2:17" outlineLevel="1" x14ac:dyDescent="0.3">
      <c r="B102" s="32" t="s">
        <v>127</v>
      </c>
      <c r="C102" s="19"/>
      <c r="D102" s="54"/>
      <c r="E102" s="54"/>
      <c r="F102" s="114"/>
      <c r="G102" s="205">
        <f t="shared" si="25"/>
        <v>5</v>
      </c>
      <c r="H102" s="205">
        <v>1</v>
      </c>
      <c r="I102" s="205">
        <v>1</v>
      </c>
      <c r="J102" s="205"/>
      <c r="K102" s="205"/>
      <c r="L102" s="205">
        <v>1</v>
      </c>
      <c r="M102" s="205"/>
      <c r="N102" s="205"/>
      <c r="O102" s="205"/>
      <c r="P102" s="205">
        <v>1</v>
      </c>
      <c r="Q102" s="205">
        <v>1</v>
      </c>
    </row>
    <row r="103" spans="2:17" outlineLevel="1" x14ac:dyDescent="0.3">
      <c r="B103" s="32" t="s">
        <v>128</v>
      </c>
      <c r="C103" s="19"/>
      <c r="D103" s="54"/>
      <c r="E103" s="54"/>
      <c r="F103" s="114"/>
      <c r="G103" s="205">
        <f t="shared" si="25"/>
        <v>0</v>
      </c>
      <c r="H103" s="205"/>
      <c r="I103" s="205"/>
      <c r="J103" s="205"/>
      <c r="K103" s="205"/>
      <c r="L103" s="205"/>
      <c r="M103" s="205"/>
      <c r="N103" s="205"/>
      <c r="O103" s="205"/>
      <c r="P103" s="205"/>
      <c r="Q103" s="205"/>
    </row>
    <row r="104" spans="2:17" outlineLevel="1" x14ac:dyDescent="0.3">
      <c r="B104" s="32" t="s">
        <v>129</v>
      </c>
      <c r="C104" s="19"/>
      <c r="D104" s="54"/>
      <c r="E104" s="54"/>
      <c r="F104" s="114"/>
      <c r="G104" s="205">
        <f t="shared" si="25"/>
        <v>2</v>
      </c>
      <c r="H104" s="205"/>
      <c r="I104" s="205"/>
      <c r="J104" s="205"/>
      <c r="K104" s="205">
        <v>1</v>
      </c>
      <c r="L104" s="205"/>
      <c r="M104" s="205"/>
      <c r="N104" s="205"/>
      <c r="O104" s="205">
        <v>1</v>
      </c>
      <c r="P104" s="205"/>
      <c r="Q104" s="205"/>
    </row>
    <row r="105" spans="2:17" outlineLevel="1" x14ac:dyDescent="0.3">
      <c r="B105" s="32" t="s">
        <v>130</v>
      </c>
      <c r="C105" s="19"/>
      <c r="D105" s="54"/>
      <c r="E105" s="54"/>
      <c r="F105" s="114"/>
      <c r="G105" s="206">
        <f>SUM(H105:Q105)</f>
        <v>1</v>
      </c>
      <c r="H105" s="206"/>
      <c r="I105" s="206"/>
      <c r="J105" s="206"/>
      <c r="K105" s="206"/>
      <c r="L105" s="206">
        <v>1</v>
      </c>
      <c r="M105" s="206"/>
      <c r="N105" s="206"/>
      <c r="O105" s="206"/>
      <c r="P105" s="206"/>
      <c r="Q105" s="206"/>
    </row>
    <row r="106" spans="2:17" s="69" customFormat="1" x14ac:dyDescent="0.3">
      <c r="B106" s="32"/>
      <c r="C106" s="33"/>
      <c r="D106" s="62"/>
      <c r="E106" s="62"/>
      <c r="F106" s="20"/>
      <c r="G106" s="226"/>
      <c r="H106" s="227"/>
      <c r="I106" s="227"/>
      <c r="J106" s="227"/>
      <c r="K106" s="227"/>
      <c r="L106" s="227"/>
      <c r="M106" s="227"/>
      <c r="N106" s="227"/>
      <c r="O106" s="227"/>
      <c r="P106" s="227"/>
      <c r="Q106" s="227"/>
    </row>
    <row r="107" spans="2:17" x14ac:dyDescent="0.3">
      <c r="B107" s="41" t="s">
        <v>80</v>
      </c>
      <c r="C107" s="19"/>
      <c r="D107" s="54"/>
      <c r="E107" s="54"/>
      <c r="F107" s="171">
        <f>H40</f>
        <v>3</v>
      </c>
      <c r="G107" s="200">
        <f t="shared" ref="G107:J107" si="26">SUM(G108:G110)</f>
        <v>1</v>
      </c>
      <c r="H107" s="200">
        <f t="shared" si="26"/>
        <v>0</v>
      </c>
      <c r="I107" s="200">
        <f t="shared" si="26"/>
        <v>0</v>
      </c>
      <c r="J107" s="200">
        <f t="shared" si="26"/>
        <v>0</v>
      </c>
      <c r="K107" s="200">
        <f t="shared" ref="K107" si="27">SUM(K108:K110)</f>
        <v>0</v>
      </c>
      <c r="L107" s="200">
        <f t="shared" ref="L107:M107" si="28">SUM(L108:L110)</f>
        <v>1</v>
      </c>
      <c r="M107" s="200">
        <f t="shared" si="28"/>
        <v>0</v>
      </c>
      <c r="N107" s="200">
        <f>SUM(N108:N110)</f>
        <v>0</v>
      </c>
      <c r="O107" s="200">
        <f t="shared" ref="O107:P107" si="29">SUM(O108:O110)</f>
        <v>0</v>
      </c>
      <c r="P107" s="200">
        <f t="shared" si="29"/>
        <v>0</v>
      </c>
      <c r="Q107" s="200">
        <f t="shared" ref="Q107" si="30">SUM(Q108:Q110)</f>
        <v>0</v>
      </c>
    </row>
    <row r="108" spans="2:17" outlineLevel="1" x14ac:dyDescent="0.3">
      <c r="B108" s="32" t="s">
        <v>131</v>
      </c>
      <c r="C108" s="19"/>
      <c r="D108" s="54"/>
      <c r="E108" s="54"/>
      <c r="F108" s="114"/>
      <c r="G108" s="204">
        <f>SUM(H108:O108)</f>
        <v>0</v>
      </c>
      <c r="H108" s="204"/>
      <c r="I108" s="204"/>
      <c r="J108" s="204"/>
      <c r="K108" s="204"/>
      <c r="L108" s="204"/>
      <c r="M108" s="204"/>
      <c r="N108" s="204"/>
      <c r="O108" s="204"/>
      <c r="P108" s="204"/>
      <c r="Q108" s="204"/>
    </row>
    <row r="109" spans="2:17" outlineLevel="1" x14ac:dyDescent="0.3">
      <c r="B109" s="32" t="s">
        <v>132</v>
      </c>
      <c r="C109" s="19"/>
      <c r="D109" s="54"/>
      <c r="E109" s="54"/>
      <c r="F109" s="114"/>
      <c r="G109" s="205">
        <f>SUM(H109:O109)</f>
        <v>1</v>
      </c>
      <c r="H109" s="205"/>
      <c r="I109" s="205"/>
      <c r="J109" s="205"/>
      <c r="K109" s="205"/>
      <c r="L109" s="205">
        <v>1</v>
      </c>
      <c r="M109" s="205"/>
      <c r="N109" s="205"/>
      <c r="O109" s="205"/>
      <c r="P109" s="205"/>
      <c r="Q109" s="205"/>
    </row>
    <row r="110" spans="2:17" outlineLevel="1" x14ac:dyDescent="0.3">
      <c r="B110" s="32" t="s">
        <v>134</v>
      </c>
      <c r="C110" s="19"/>
      <c r="D110" s="54"/>
      <c r="E110" s="54"/>
      <c r="F110" s="114"/>
      <c r="G110" s="206">
        <f>SUM(H110:O110)</f>
        <v>0</v>
      </c>
      <c r="H110" s="206"/>
      <c r="I110" s="206"/>
      <c r="J110" s="206"/>
      <c r="K110" s="206"/>
      <c r="L110" s="206"/>
      <c r="M110" s="206"/>
      <c r="N110" s="206"/>
      <c r="O110" s="206"/>
      <c r="P110" s="206"/>
      <c r="Q110" s="206"/>
    </row>
    <row r="111" spans="2:17" s="69" customFormat="1" x14ac:dyDescent="0.3">
      <c r="B111" s="32"/>
      <c r="C111" s="33"/>
      <c r="D111" s="62"/>
      <c r="E111" s="62"/>
      <c r="F111" s="20"/>
      <c r="G111" s="226"/>
      <c r="H111" s="227"/>
      <c r="I111" s="227"/>
      <c r="J111" s="227"/>
      <c r="K111" s="227"/>
      <c r="L111" s="227"/>
      <c r="M111" s="227"/>
      <c r="N111" s="227"/>
      <c r="O111" s="227"/>
      <c r="P111" s="227"/>
      <c r="Q111" s="227"/>
    </row>
    <row r="112" spans="2:17" x14ac:dyDescent="0.3">
      <c r="B112" s="41" t="s">
        <v>85</v>
      </c>
      <c r="C112" s="19"/>
      <c r="D112" s="54"/>
      <c r="E112" s="54"/>
      <c r="F112" s="171">
        <f>H45</f>
        <v>12</v>
      </c>
      <c r="G112" s="200">
        <f t="shared" ref="G112:J112" si="31">SUM(G113:G124)</f>
        <v>15</v>
      </c>
      <c r="H112" s="200">
        <f t="shared" si="31"/>
        <v>4</v>
      </c>
      <c r="I112" s="200">
        <f t="shared" si="31"/>
        <v>1</v>
      </c>
      <c r="J112" s="200">
        <f t="shared" si="31"/>
        <v>1</v>
      </c>
      <c r="K112" s="200">
        <f t="shared" ref="K112" si="32">SUM(K113:K124)</f>
        <v>0</v>
      </c>
      <c r="L112" s="200">
        <f t="shared" ref="L112:M112" si="33">SUM(L113:L124)</f>
        <v>3</v>
      </c>
      <c r="M112" s="200">
        <f t="shared" si="33"/>
        <v>0</v>
      </c>
      <c r="N112" s="200">
        <f>SUM(N113:N124)</f>
        <v>1</v>
      </c>
      <c r="O112" s="200">
        <f t="shared" ref="O112:P112" si="34">SUM(O113:O124)</f>
        <v>2</v>
      </c>
      <c r="P112" s="200">
        <f t="shared" si="34"/>
        <v>0</v>
      </c>
      <c r="Q112" s="200">
        <f t="shared" ref="Q112" si="35">SUM(Q113:Q124)</f>
        <v>3</v>
      </c>
    </row>
    <row r="113" spans="2:17" outlineLevel="1" x14ac:dyDescent="0.3">
      <c r="B113" s="32" t="s">
        <v>135</v>
      </c>
      <c r="C113" s="19"/>
      <c r="D113" s="54"/>
      <c r="E113" s="54"/>
      <c r="F113" s="114"/>
      <c r="G113" s="204">
        <f>SUM(H113:Q113)</f>
        <v>1</v>
      </c>
      <c r="H113" s="204">
        <v>1</v>
      </c>
      <c r="I113" s="204"/>
      <c r="J113" s="204"/>
      <c r="K113" s="204"/>
      <c r="L113" s="204"/>
      <c r="M113" s="204"/>
      <c r="N113" s="204"/>
      <c r="O113" s="204"/>
      <c r="P113" s="204"/>
      <c r="Q113" s="204"/>
    </row>
    <row r="114" spans="2:17" outlineLevel="1" x14ac:dyDescent="0.3">
      <c r="B114" s="32" t="s">
        <v>136</v>
      </c>
      <c r="C114" s="19"/>
      <c r="D114" s="54"/>
      <c r="E114" s="54"/>
      <c r="F114" s="114"/>
      <c r="G114" s="205">
        <f>SUM(H114:Q114)</f>
        <v>2</v>
      </c>
      <c r="H114" s="205">
        <v>1</v>
      </c>
      <c r="I114" s="205"/>
      <c r="J114" s="205"/>
      <c r="K114" s="205"/>
      <c r="L114" s="205"/>
      <c r="M114" s="205"/>
      <c r="N114" s="205"/>
      <c r="O114" s="205">
        <v>1</v>
      </c>
      <c r="P114" s="205"/>
      <c r="Q114" s="205"/>
    </row>
    <row r="115" spans="2:17" outlineLevel="1" x14ac:dyDescent="0.3">
      <c r="B115" s="32" t="s">
        <v>138</v>
      </c>
      <c r="C115" s="19"/>
      <c r="D115" s="54"/>
      <c r="E115" s="54"/>
      <c r="F115" s="114"/>
      <c r="G115" s="205">
        <f t="shared" ref="G115:G123" si="36">SUM(H115:Q115)</f>
        <v>1</v>
      </c>
      <c r="H115" s="205"/>
      <c r="I115" s="205"/>
      <c r="J115" s="205"/>
      <c r="K115" s="205"/>
      <c r="L115" s="205">
        <v>1</v>
      </c>
      <c r="M115" s="205"/>
      <c r="N115" s="205"/>
      <c r="O115" s="205"/>
      <c r="P115" s="205"/>
      <c r="Q115" s="205"/>
    </row>
    <row r="116" spans="2:17" outlineLevel="1" x14ac:dyDescent="0.3">
      <c r="B116" s="32" t="s">
        <v>139</v>
      </c>
      <c r="C116" s="19"/>
      <c r="D116" s="54"/>
      <c r="E116" s="54"/>
      <c r="F116" s="114"/>
      <c r="G116" s="205">
        <f t="shared" si="36"/>
        <v>2</v>
      </c>
      <c r="H116" s="205"/>
      <c r="I116" s="205"/>
      <c r="J116" s="205"/>
      <c r="K116" s="205"/>
      <c r="L116" s="205"/>
      <c r="M116" s="205"/>
      <c r="N116" s="205">
        <v>1</v>
      </c>
      <c r="O116" s="205"/>
      <c r="P116" s="205"/>
      <c r="Q116" s="205">
        <v>1</v>
      </c>
    </row>
    <row r="117" spans="2:17" outlineLevel="1" x14ac:dyDescent="0.3">
      <c r="B117" s="32" t="s">
        <v>140</v>
      </c>
      <c r="C117" s="19"/>
      <c r="D117" s="54"/>
      <c r="E117" s="54"/>
      <c r="F117" s="114"/>
      <c r="G117" s="205">
        <f t="shared" si="36"/>
        <v>0</v>
      </c>
      <c r="H117" s="205"/>
      <c r="I117" s="205"/>
      <c r="J117" s="205"/>
      <c r="K117" s="205"/>
      <c r="L117" s="205"/>
      <c r="M117" s="205"/>
      <c r="N117" s="205"/>
      <c r="O117" s="205"/>
      <c r="P117" s="205"/>
      <c r="Q117" s="205"/>
    </row>
    <row r="118" spans="2:17" outlineLevel="1" x14ac:dyDescent="0.3">
      <c r="B118" s="32" t="s">
        <v>142</v>
      </c>
      <c r="C118" s="19"/>
      <c r="D118" s="54"/>
      <c r="E118" s="54"/>
      <c r="F118" s="114"/>
      <c r="G118" s="205">
        <f t="shared" si="36"/>
        <v>0</v>
      </c>
      <c r="H118" s="205"/>
      <c r="I118" s="205"/>
      <c r="J118" s="205"/>
      <c r="K118" s="205"/>
      <c r="L118" s="205"/>
      <c r="M118" s="205"/>
      <c r="N118" s="205"/>
      <c r="O118" s="205"/>
      <c r="P118" s="205"/>
      <c r="Q118" s="205"/>
    </row>
    <row r="119" spans="2:17" outlineLevel="1" x14ac:dyDescent="0.3">
      <c r="B119" s="32" t="s">
        <v>147</v>
      </c>
      <c r="C119" s="19"/>
      <c r="D119" s="54"/>
      <c r="E119" s="54"/>
      <c r="F119" s="114"/>
      <c r="G119" s="205">
        <f t="shared" si="36"/>
        <v>1</v>
      </c>
      <c r="H119" s="205"/>
      <c r="I119" s="205"/>
      <c r="J119" s="205"/>
      <c r="K119" s="205"/>
      <c r="L119" s="205"/>
      <c r="M119" s="205"/>
      <c r="N119" s="205"/>
      <c r="O119" s="205">
        <v>1</v>
      </c>
      <c r="P119" s="205"/>
      <c r="Q119" s="205"/>
    </row>
    <row r="120" spans="2:17" outlineLevel="1" x14ac:dyDescent="0.3">
      <c r="B120" s="32" t="s">
        <v>151</v>
      </c>
      <c r="C120" s="19"/>
      <c r="D120" s="54"/>
      <c r="E120" s="54"/>
      <c r="F120" s="114"/>
      <c r="G120" s="205">
        <f t="shared" si="36"/>
        <v>2</v>
      </c>
      <c r="H120" s="205"/>
      <c r="I120" s="205"/>
      <c r="J120" s="205"/>
      <c r="K120" s="205"/>
      <c r="L120" s="205">
        <v>1</v>
      </c>
      <c r="M120" s="205"/>
      <c r="N120" s="205"/>
      <c r="O120" s="205"/>
      <c r="P120" s="205"/>
      <c r="Q120" s="205">
        <v>1</v>
      </c>
    </row>
    <row r="121" spans="2:17" outlineLevel="1" x14ac:dyDescent="0.3">
      <c r="B121" s="32" t="s">
        <v>152</v>
      </c>
      <c r="C121" s="19"/>
      <c r="D121" s="54"/>
      <c r="E121" s="54"/>
      <c r="F121" s="114"/>
      <c r="G121" s="205">
        <f t="shared" si="36"/>
        <v>1</v>
      </c>
      <c r="H121" s="205">
        <v>1</v>
      </c>
      <c r="I121" s="205"/>
      <c r="J121" s="205"/>
      <c r="K121" s="205"/>
      <c r="L121" s="205"/>
      <c r="M121" s="205"/>
      <c r="N121" s="205"/>
      <c r="O121" s="205"/>
      <c r="P121" s="205"/>
      <c r="Q121" s="205"/>
    </row>
    <row r="122" spans="2:17" outlineLevel="1" x14ac:dyDescent="0.3">
      <c r="B122" s="32" t="s">
        <v>155</v>
      </c>
      <c r="C122" s="19"/>
      <c r="D122" s="54"/>
      <c r="E122" s="54"/>
      <c r="F122" s="114"/>
      <c r="G122" s="205">
        <f t="shared" si="36"/>
        <v>2</v>
      </c>
      <c r="H122" s="205"/>
      <c r="I122" s="205">
        <v>1</v>
      </c>
      <c r="J122" s="205"/>
      <c r="K122" s="205"/>
      <c r="L122" s="205"/>
      <c r="M122" s="205"/>
      <c r="N122" s="205"/>
      <c r="O122" s="205"/>
      <c r="P122" s="205"/>
      <c r="Q122" s="205">
        <v>1</v>
      </c>
    </row>
    <row r="123" spans="2:17" outlineLevel="1" x14ac:dyDescent="0.3">
      <c r="B123" s="32" t="s">
        <v>157</v>
      </c>
      <c r="C123" s="19"/>
      <c r="D123" s="54"/>
      <c r="E123" s="54"/>
      <c r="F123" s="114"/>
      <c r="G123" s="205">
        <f t="shared" si="36"/>
        <v>3</v>
      </c>
      <c r="H123" s="205">
        <v>1</v>
      </c>
      <c r="I123" s="205"/>
      <c r="J123" s="205">
        <v>1</v>
      </c>
      <c r="K123" s="205"/>
      <c r="L123" s="205">
        <v>1</v>
      </c>
      <c r="M123" s="205"/>
      <c r="N123" s="205"/>
      <c r="O123" s="205"/>
      <c r="P123" s="205"/>
      <c r="Q123" s="205"/>
    </row>
    <row r="124" spans="2:17" outlineLevel="1" x14ac:dyDescent="0.3">
      <c r="B124" s="32" t="s">
        <v>158</v>
      </c>
      <c r="C124" s="19"/>
      <c r="D124" s="54"/>
      <c r="E124" s="54"/>
      <c r="F124" s="70"/>
      <c r="G124" s="206">
        <f>SUM(H124:Q124)</f>
        <v>0</v>
      </c>
      <c r="H124" s="206"/>
      <c r="I124" s="206"/>
      <c r="J124" s="206"/>
      <c r="K124" s="206"/>
      <c r="L124" s="206"/>
      <c r="M124" s="206"/>
      <c r="N124" s="206"/>
      <c r="O124" s="206"/>
      <c r="P124" s="206"/>
      <c r="Q124" s="206"/>
    </row>
    <row r="125" spans="2:17" x14ac:dyDescent="0.3">
      <c r="B125" s="207"/>
      <c r="C125" s="119"/>
      <c r="D125" s="72"/>
      <c r="E125" s="72"/>
      <c r="F125" s="74"/>
      <c r="G125" s="74"/>
      <c r="H125" s="74"/>
      <c r="I125" s="74"/>
      <c r="J125" s="74"/>
      <c r="K125" s="74"/>
      <c r="L125" s="74"/>
      <c r="M125" s="74"/>
      <c r="N125" s="74"/>
      <c r="O125" s="74"/>
      <c r="P125" s="74"/>
      <c r="Q125" s="74"/>
    </row>
    <row r="127" spans="2:17" x14ac:dyDescent="0.3">
      <c r="B127" s="46" t="s">
        <v>193</v>
      </c>
    </row>
    <row r="129" spans="2:14" ht="25.2" customHeight="1" x14ac:dyDescent="0.3">
      <c r="B129" s="255" t="s">
        <v>48</v>
      </c>
      <c r="C129" s="256"/>
      <c r="D129" s="256"/>
      <c r="E129" s="257"/>
      <c r="F129" s="246" t="s">
        <v>190</v>
      </c>
      <c r="G129" s="247"/>
      <c r="H129" s="271" t="s">
        <v>164</v>
      </c>
      <c r="I129" s="272"/>
      <c r="J129" s="272"/>
      <c r="K129" s="272"/>
      <c r="L129" s="272"/>
      <c r="M129" s="272"/>
      <c r="N129" s="273"/>
    </row>
    <row r="130" spans="2:14" ht="42.75" customHeight="1" x14ac:dyDescent="0.3">
      <c r="B130" s="258"/>
      <c r="C130" s="275"/>
      <c r="D130" s="275"/>
      <c r="E130" s="276"/>
      <c r="F130" s="248"/>
      <c r="G130" s="249"/>
      <c r="H130" s="301" t="s">
        <v>238</v>
      </c>
      <c r="I130" s="302"/>
      <c r="J130" s="228" t="s">
        <v>313</v>
      </c>
      <c r="K130" s="228" t="s">
        <v>356</v>
      </c>
      <c r="L130" s="223" t="s">
        <v>332</v>
      </c>
      <c r="M130" s="301" t="s">
        <v>287</v>
      </c>
      <c r="N130" s="302"/>
    </row>
    <row r="131" spans="2:14" s="90" customFormat="1" ht="78" customHeight="1" x14ac:dyDescent="0.3">
      <c r="B131" s="260"/>
      <c r="C131" s="261"/>
      <c r="D131" s="261"/>
      <c r="E131" s="277"/>
      <c r="F131" s="100" t="s">
        <v>49</v>
      </c>
      <c r="G131" s="89" t="s">
        <v>404</v>
      </c>
      <c r="H131" s="89" t="s">
        <v>314</v>
      </c>
      <c r="I131" s="101" t="s">
        <v>317</v>
      </c>
      <c r="J131" s="101" t="s">
        <v>315</v>
      </c>
      <c r="K131" s="89" t="s">
        <v>237</v>
      </c>
      <c r="L131" s="101" t="s">
        <v>311</v>
      </c>
      <c r="M131" s="101" t="s">
        <v>333</v>
      </c>
      <c r="N131" s="101" t="s">
        <v>335</v>
      </c>
    </row>
    <row r="132" spans="2:14" x14ac:dyDescent="0.3">
      <c r="B132" s="32"/>
      <c r="C132" s="33"/>
      <c r="D132" s="33"/>
      <c r="E132" s="34"/>
      <c r="F132" s="14"/>
      <c r="G132" s="20"/>
      <c r="H132" s="64"/>
      <c r="I132" s="20"/>
      <c r="J132" s="20"/>
      <c r="K132" s="14"/>
      <c r="L132" s="20"/>
      <c r="M132" s="20"/>
      <c r="N132" s="64"/>
    </row>
    <row r="133" spans="2:14" x14ac:dyDescent="0.3">
      <c r="B133" s="37" t="s">
        <v>51</v>
      </c>
      <c r="C133" s="38"/>
      <c r="D133" s="38"/>
      <c r="E133" s="39"/>
      <c r="F133" s="77">
        <f t="shared" ref="F133:H133" si="37">SUM(F135,F140,F144,F151)</f>
        <v>11</v>
      </c>
      <c r="G133" s="67">
        <f t="shared" si="37"/>
        <v>19</v>
      </c>
      <c r="H133" s="67">
        <f t="shared" si="37"/>
        <v>9</v>
      </c>
      <c r="I133" s="67">
        <f>SUM(I135,I140,I144,I151)</f>
        <v>1</v>
      </c>
      <c r="J133" s="67">
        <f>SUM(J135,J140,J144,J151)</f>
        <v>1</v>
      </c>
      <c r="K133" s="67">
        <f t="shared" ref="K133" si="38">SUM(K135,K140,K144,K151)</f>
        <v>1</v>
      </c>
      <c r="L133" s="67">
        <f>SUM(L135,L140,L144,L151)</f>
        <v>3</v>
      </c>
      <c r="M133" s="67">
        <f t="shared" ref="M133" si="39">SUM(M135,M140,M144,M151)</f>
        <v>2</v>
      </c>
      <c r="N133" s="67">
        <f t="shared" ref="N133" si="40">SUM(N135,N140,N144,N151)</f>
        <v>2</v>
      </c>
    </row>
    <row r="134" spans="2:14" s="107" customFormat="1" ht="13.2" x14ac:dyDescent="0.25">
      <c r="B134" s="32" t="s">
        <v>47</v>
      </c>
      <c r="C134" s="33"/>
      <c r="D134" s="33"/>
      <c r="E134" s="34"/>
      <c r="F134" s="20"/>
      <c r="G134" s="20"/>
      <c r="H134" s="65"/>
      <c r="I134" s="14"/>
      <c r="J134" s="14"/>
      <c r="K134" s="65"/>
      <c r="L134" s="14"/>
      <c r="M134" s="14"/>
      <c r="N134" s="65"/>
    </row>
    <row r="135" spans="2:14" s="107" customFormat="1" ht="13.2" x14ac:dyDescent="0.25">
      <c r="B135" s="41" t="s">
        <v>60</v>
      </c>
      <c r="C135" s="19"/>
      <c r="D135" s="19"/>
      <c r="E135" s="19"/>
      <c r="F135" s="171">
        <f>J18</f>
        <v>3</v>
      </c>
      <c r="G135" s="172">
        <f t="shared" ref="G135:H135" si="41">SUM(G136:G138)</f>
        <v>5</v>
      </c>
      <c r="H135" s="172">
        <f t="shared" si="41"/>
        <v>3</v>
      </c>
      <c r="I135" s="172">
        <f>SUM(I136:I138)</f>
        <v>0</v>
      </c>
      <c r="J135" s="172">
        <f>SUM(J136:J138)</f>
        <v>0</v>
      </c>
      <c r="K135" s="172">
        <f t="shared" ref="K135" si="42">SUM(K136:K138)</f>
        <v>0</v>
      </c>
      <c r="L135" s="172">
        <f>SUM(L136:L138)</f>
        <v>1</v>
      </c>
      <c r="M135" s="172">
        <f t="shared" ref="M135" si="43">SUM(M136:M138)</f>
        <v>1</v>
      </c>
      <c r="N135" s="172">
        <f t="shared" ref="N135" si="44">SUM(N136:N138)</f>
        <v>0</v>
      </c>
    </row>
    <row r="136" spans="2:14" s="107" customFormat="1" ht="13.2" outlineLevel="1" x14ac:dyDescent="0.25">
      <c r="B136" s="32" t="s">
        <v>111</v>
      </c>
      <c r="C136" s="19"/>
      <c r="D136" s="19"/>
      <c r="E136" s="19"/>
      <c r="F136" s="168"/>
      <c r="G136" s="194">
        <f>SUM(H136:N136)</f>
        <v>3</v>
      </c>
      <c r="H136" s="194">
        <v>1</v>
      </c>
      <c r="I136" s="194"/>
      <c r="J136" s="194"/>
      <c r="K136" s="194"/>
      <c r="L136" s="194">
        <v>1</v>
      </c>
      <c r="M136" s="194">
        <v>1</v>
      </c>
      <c r="N136" s="194"/>
    </row>
    <row r="137" spans="2:14" s="107" customFormat="1" ht="13.2" outlineLevel="1" x14ac:dyDescent="0.25">
      <c r="B137" s="32" t="s">
        <v>113</v>
      </c>
      <c r="C137" s="19"/>
      <c r="D137" s="19"/>
      <c r="E137" s="19"/>
      <c r="F137" s="168"/>
      <c r="G137" s="124">
        <f t="shared" ref="G137:G138" si="45">SUM(H137:N137)</f>
        <v>1</v>
      </c>
      <c r="H137" s="124">
        <v>1</v>
      </c>
      <c r="I137" s="124"/>
      <c r="J137" s="124"/>
      <c r="K137" s="124"/>
      <c r="L137" s="124"/>
      <c r="M137" s="124"/>
      <c r="N137" s="124"/>
    </row>
    <row r="138" spans="2:14" s="107" customFormat="1" ht="13.2" outlineLevel="1" x14ac:dyDescent="0.25">
      <c r="B138" s="32" t="s">
        <v>118</v>
      </c>
      <c r="C138" s="19"/>
      <c r="D138" s="19"/>
      <c r="E138" s="19"/>
      <c r="F138" s="168"/>
      <c r="G138" s="195">
        <f t="shared" si="45"/>
        <v>1</v>
      </c>
      <c r="H138" s="195">
        <v>1</v>
      </c>
      <c r="I138" s="195"/>
      <c r="J138" s="195"/>
      <c r="K138" s="195"/>
      <c r="L138" s="195"/>
      <c r="M138" s="195"/>
      <c r="N138" s="195"/>
    </row>
    <row r="139" spans="2:14" s="107" customFormat="1" ht="13.2" x14ac:dyDescent="0.25">
      <c r="B139" s="32"/>
      <c r="C139" s="33"/>
      <c r="D139" s="33"/>
      <c r="E139" s="33"/>
      <c r="F139" s="44"/>
      <c r="G139" s="20"/>
      <c r="H139" s="44"/>
      <c r="I139" s="44"/>
      <c r="J139" s="44"/>
      <c r="K139" s="44"/>
      <c r="L139" s="44"/>
      <c r="M139" s="44"/>
      <c r="N139" s="44"/>
    </row>
    <row r="140" spans="2:14" s="107" customFormat="1" ht="13.2" x14ac:dyDescent="0.25">
      <c r="B140" s="41" t="s">
        <v>40</v>
      </c>
      <c r="C140" s="19"/>
      <c r="D140" s="19"/>
      <c r="E140" s="19"/>
      <c r="F140" s="171">
        <f>J28</f>
        <v>2</v>
      </c>
      <c r="G140" s="172">
        <f t="shared" ref="G140:H140" si="46">SUM(G141:G142)</f>
        <v>4</v>
      </c>
      <c r="H140" s="172">
        <f t="shared" si="46"/>
        <v>2</v>
      </c>
      <c r="I140" s="172">
        <f>SUM(I141:I142)</f>
        <v>0</v>
      </c>
      <c r="J140" s="172">
        <f>SUM(J141:J142)</f>
        <v>0</v>
      </c>
      <c r="K140" s="172">
        <f t="shared" ref="K140" si="47">SUM(K141:K142)</f>
        <v>0</v>
      </c>
      <c r="L140" s="172">
        <f>SUM(L141:L142)</f>
        <v>1</v>
      </c>
      <c r="M140" s="172">
        <f t="shared" ref="M140" si="48">SUM(M141:M142)</f>
        <v>1</v>
      </c>
      <c r="N140" s="172">
        <f t="shared" ref="N140" si="49">SUM(N141:N142)</f>
        <v>0</v>
      </c>
    </row>
    <row r="141" spans="2:14" s="107" customFormat="1" ht="13.2" outlineLevel="1" x14ac:dyDescent="0.25">
      <c r="B141" s="32" t="s">
        <v>123</v>
      </c>
      <c r="C141" s="19"/>
      <c r="D141" s="19"/>
      <c r="E141" s="19"/>
      <c r="F141" s="114"/>
      <c r="G141" s="194">
        <f t="shared" ref="G141:G142" si="50">SUM(H141:N141)</f>
        <v>3</v>
      </c>
      <c r="H141" s="194">
        <v>1</v>
      </c>
      <c r="I141" s="194"/>
      <c r="J141" s="194"/>
      <c r="K141" s="194"/>
      <c r="L141" s="194">
        <v>1</v>
      </c>
      <c r="M141" s="194">
        <v>1</v>
      </c>
      <c r="N141" s="194"/>
    </row>
    <row r="142" spans="2:14" s="107" customFormat="1" ht="13.2" outlineLevel="1" x14ac:dyDescent="0.25">
      <c r="B142" s="32" t="s">
        <v>126</v>
      </c>
      <c r="C142" s="19"/>
      <c r="D142" s="19"/>
      <c r="E142" s="19"/>
      <c r="F142" s="114"/>
      <c r="G142" s="195">
        <f t="shared" si="50"/>
        <v>1</v>
      </c>
      <c r="H142" s="195">
        <v>1</v>
      </c>
      <c r="I142" s="195"/>
      <c r="J142" s="195"/>
      <c r="K142" s="195"/>
      <c r="L142" s="195"/>
      <c r="M142" s="195"/>
      <c r="N142" s="195"/>
    </row>
    <row r="143" spans="2:14" s="107" customFormat="1" ht="13.2" x14ac:dyDescent="0.25">
      <c r="B143" s="32"/>
      <c r="C143" s="33"/>
      <c r="D143" s="33"/>
      <c r="E143" s="33"/>
      <c r="F143" s="20"/>
      <c r="G143" s="20"/>
      <c r="H143" s="44"/>
      <c r="I143" s="44"/>
      <c r="J143" s="44"/>
      <c r="K143" s="44"/>
      <c r="L143" s="44"/>
      <c r="M143" s="44"/>
      <c r="N143" s="44"/>
    </row>
    <row r="144" spans="2:14" s="107" customFormat="1" ht="13.2" x14ac:dyDescent="0.25">
      <c r="B144" s="41" t="s">
        <v>85</v>
      </c>
      <c r="C144" s="19"/>
      <c r="D144" s="19"/>
      <c r="E144" s="19"/>
      <c r="F144" s="171">
        <f>J45</f>
        <v>5</v>
      </c>
      <c r="G144" s="172">
        <f t="shared" ref="G144:H144" si="51">SUM(G145:G149)</f>
        <v>9</v>
      </c>
      <c r="H144" s="172">
        <f t="shared" si="51"/>
        <v>3</v>
      </c>
      <c r="I144" s="172">
        <f>SUM(I145:I149)</f>
        <v>1</v>
      </c>
      <c r="J144" s="172">
        <f>SUM(J145:J149)</f>
        <v>1</v>
      </c>
      <c r="K144" s="172">
        <f t="shared" ref="K144" si="52">SUM(K145:K149)</f>
        <v>1</v>
      </c>
      <c r="L144" s="172">
        <f>SUM(L145:L149)</f>
        <v>1</v>
      </c>
      <c r="M144" s="172">
        <f t="shared" ref="M144" si="53">SUM(M145:M149)</f>
        <v>0</v>
      </c>
      <c r="N144" s="172">
        <f t="shared" ref="N144" si="54">SUM(N145:N149)</f>
        <v>2</v>
      </c>
    </row>
    <row r="145" spans="2:38" s="107" customFormat="1" ht="13.2" outlineLevel="1" x14ac:dyDescent="0.25">
      <c r="B145" s="32" t="s">
        <v>143</v>
      </c>
      <c r="C145" s="19"/>
      <c r="D145" s="19"/>
      <c r="E145" s="19"/>
      <c r="F145" s="114"/>
      <c r="G145" s="194">
        <f t="shared" ref="G145:G149" si="55">SUM(H145:N145)</f>
        <v>1</v>
      </c>
      <c r="H145" s="194"/>
      <c r="I145" s="194"/>
      <c r="J145" s="194"/>
      <c r="K145" s="194"/>
      <c r="L145" s="194"/>
      <c r="M145" s="194"/>
      <c r="N145" s="194">
        <v>1</v>
      </c>
    </row>
    <row r="146" spans="2:38" s="107" customFormat="1" ht="13.2" outlineLevel="1" x14ac:dyDescent="0.25">
      <c r="B146" s="32" t="s">
        <v>144</v>
      </c>
      <c r="C146" s="19"/>
      <c r="D146" s="19"/>
      <c r="E146" s="19"/>
      <c r="F146" s="114"/>
      <c r="G146" s="124">
        <f t="shared" si="55"/>
        <v>1</v>
      </c>
      <c r="H146" s="124"/>
      <c r="I146" s="124"/>
      <c r="J146" s="124"/>
      <c r="K146" s="124"/>
      <c r="L146" s="124"/>
      <c r="M146" s="124"/>
      <c r="N146" s="124">
        <v>1</v>
      </c>
    </row>
    <row r="147" spans="2:38" s="107" customFormat="1" ht="13.2" outlineLevel="1" x14ac:dyDescent="0.25">
      <c r="B147" s="32" t="s">
        <v>148</v>
      </c>
      <c r="C147" s="19"/>
      <c r="D147" s="19"/>
      <c r="E147" s="19"/>
      <c r="F147" s="114"/>
      <c r="G147" s="124">
        <f t="shared" si="55"/>
        <v>1</v>
      </c>
      <c r="H147" s="124">
        <v>1</v>
      </c>
      <c r="I147" s="124"/>
      <c r="J147" s="124"/>
      <c r="K147" s="124"/>
      <c r="L147" s="124"/>
      <c r="M147" s="124"/>
      <c r="N147" s="124"/>
    </row>
    <row r="148" spans="2:38" s="107" customFormat="1" ht="13.2" outlineLevel="1" x14ac:dyDescent="0.25">
      <c r="B148" s="32" t="s">
        <v>149</v>
      </c>
      <c r="C148" s="19"/>
      <c r="D148" s="19"/>
      <c r="E148" s="19"/>
      <c r="F148" s="114"/>
      <c r="G148" s="124">
        <f t="shared" si="55"/>
        <v>3</v>
      </c>
      <c r="H148" s="124">
        <v>1</v>
      </c>
      <c r="I148" s="124"/>
      <c r="J148" s="124">
        <v>1</v>
      </c>
      <c r="K148" s="124"/>
      <c r="L148" s="124">
        <v>1</v>
      </c>
      <c r="M148" s="124"/>
      <c r="N148" s="124"/>
    </row>
    <row r="149" spans="2:38" s="107" customFormat="1" ht="13.2" outlineLevel="1" x14ac:dyDescent="0.25">
      <c r="B149" s="32" t="s">
        <v>153</v>
      </c>
      <c r="C149" s="19"/>
      <c r="D149" s="19"/>
      <c r="E149" s="19"/>
      <c r="F149" s="114"/>
      <c r="G149" s="195">
        <f t="shared" si="55"/>
        <v>3</v>
      </c>
      <c r="H149" s="195">
        <v>1</v>
      </c>
      <c r="I149" s="195">
        <v>1</v>
      </c>
      <c r="J149" s="195"/>
      <c r="K149" s="195">
        <v>1</v>
      </c>
      <c r="L149" s="195"/>
      <c r="M149" s="195"/>
      <c r="N149" s="195"/>
    </row>
    <row r="150" spans="2:38" s="107" customFormat="1" ht="13.2" x14ac:dyDescent="0.25">
      <c r="B150" s="32"/>
      <c r="C150" s="33"/>
      <c r="D150" s="33"/>
      <c r="E150" s="33"/>
      <c r="F150" s="20"/>
      <c r="G150" s="20"/>
      <c r="H150" s="44"/>
      <c r="I150" s="44"/>
      <c r="J150" s="44"/>
      <c r="K150" s="44"/>
      <c r="L150" s="44"/>
      <c r="M150" s="44"/>
      <c r="N150" s="44"/>
    </row>
    <row r="151" spans="2:38" s="107" customFormat="1" ht="13.2" x14ac:dyDescent="0.25">
      <c r="B151" s="41" t="s">
        <v>104</v>
      </c>
      <c r="C151" s="19"/>
      <c r="D151" s="19"/>
      <c r="E151" s="19"/>
      <c r="F151" s="171">
        <f>J70</f>
        <v>1</v>
      </c>
      <c r="G151" s="172">
        <f>G152</f>
        <v>1</v>
      </c>
      <c r="H151" s="172">
        <f t="shared" ref="H151:N151" si="56">H152</f>
        <v>1</v>
      </c>
      <c r="I151" s="172">
        <f>I152</f>
        <v>0</v>
      </c>
      <c r="J151" s="172">
        <f>J152</f>
        <v>0</v>
      </c>
      <c r="K151" s="172">
        <f t="shared" si="56"/>
        <v>0</v>
      </c>
      <c r="L151" s="172">
        <f>L152</f>
        <v>0</v>
      </c>
      <c r="M151" s="172">
        <f t="shared" si="56"/>
        <v>0</v>
      </c>
      <c r="N151" s="172">
        <f t="shared" si="56"/>
        <v>0</v>
      </c>
    </row>
    <row r="152" spans="2:38" s="107" customFormat="1" ht="13.2" outlineLevel="1" x14ac:dyDescent="0.25">
      <c r="B152" s="32" t="s">
        <v>159</v>
      </c>
      <c r="C152" s="19"/>
      <c r="D152" s="19"/>
      <c r="E152" s="19"/>
      <c r="F152" s="168"/>
      <c r="G152" s="191">
        <f>SUM(H152:N152)</f>
        <v>1</v>
      </c>
      <c r="H152" s="191">
        <v>1</v>
      </c>
      <c r="I152" s="191"/>
      <c r="J152" s="191"/>
      <c r="K152" s="191"/>
      <c r="L152" s="191"/>
      <c r="M152" s="191"/>
      <c r="N152" s="191"/>
    </row>
    <row r="153" spans="2:38" s="107" customFormat="1" ht="13.2" x14ac:dyDescent="0.25">
      <c r="B153" s="207"/>
      <c r="C153" s="119"/>
      <c r="D153" s="119"/>
      <c r="E153" s="119"/>
      <c r="F153" s="169"/>
      <c r="G153" s="169"/>
      <c r="H153" s="169"/>
      <c r="I153" s="169"/>
      <c r="J153" s="169"/>
      <c r="K153" s="169"/>
      <c r="L153" s="169"/>
      <c r="M153" s="169"/>
      <c r="N153" s="169"/>
    </row>
    <row r="155" spans="2:38" x14ac:dyDescent="0.3">
      <c r="B155" s="48" t="s">
        <v>53</v>
      </c>
      <c r="D155" s="69"/>
      <c r="E155" s="8"/>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row>
    <row r="156" spans="2:38" x14ac:dyDescent="0.3">
      <c r="B156" s="46" t="s">
        <v>236</v>
      </c>
    </row>
  </sheetData>
  <mergeCells count="19">
    <mergeCell ref="H130:I130"/>
    <mergeCell ref="M130:N130"/>
    <mergeCell ref="H129:N129"/>
    <mergeCell ref="H77:J77"/>
    <mergeCell ref="L8:M8"/>
    <mergeCell ref="B6:L6"/>
    <mergeCell ref="H76:Q76"/>
    <mergeCell ref="L77:M77"/>
    <mergeCell ref="O77:Q77"/>
    <mergeCell ref="B2:C2"/>
    <mergeCell ref="B8:E8"/>
    <mergeCell ref="F8:G8"/>
    <mergeCell ref="H8:I8"/>
    <mergeCell ref="J8:K8"/>
    <mergeCell ref="B129:E131"/>
    <mergeCell ref="B9:E9"/>
    <mergeCell ref="B76:E78"/>
    <mergeCell ref="F76:G77"/>
    <mergeCell ref="F129:G130"/>
  </mergeCells>
  <pageMargins left="0.7" right="0.7" top="0.75" bottom="0.75" header="0.3" footer="0.3"/>
  <pageSetup scale="43" orientation="landscape" r:id="rId1"/>
  <ignoredErrors>
    <ignoredError sqref="G11:H11 I11:J11 K11:L1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0EC2-A4B3-47EE-B15B-68B2F4C2A1A6}">
  <sheetPr>
    <pageSetUpPr fitToPage="1"/>
  </sheetPr>
  <dimension ref="B1:AK139"/>
  <sheetViews>
    <sheetView showGridLines="0" workbookViewId="0">
      <selection activeCell="C89" sqref="C89"/>
    </sheetView>
  </sheetViews>
  <sheetFormatPr defaultRowHeight="14.4" outlineLevelRow="1" x14ac:dyDescent="0.3"/>
  <cols>
    <col min="1" max="1" width="3.109375" customWidth="1"/>
    <col min="2" max="3" width="16.44140625" customWidth="1"/>
    <col min="4" max="4" width="6.88671875" customWidth="1"/>
    <col min="6" max="6" width="13.88671875" customWidth="1"/>
    <col min="7" max="7" width="11.33203125" customWidth="1"/>
    <col min="8" max="8" width="13.88671875" customWidth="1"/>
    <col min="9" max="9" width="13.21875" customWidth="1"/>
    <col min="10" max="10" width="12.88671875" customWidth="1"/>
    <col min="11" max="11" width="13.21875" customWidth="1"/>
    <col min="12" max="12" width="12.21875" customWidth="1"/>
    <col min="13" max="13" width="12.88671875" customWidth="1"/>
    <col min="14" max="14" width="15.6640625" customWidth="1"/>
    <col min="15" max="15" width="20" customWidth="1"/>
    <col min="16" max="16" width="16.6640625" customWidth="1"/>
    <col min="17" max="17" width="20.109375" customWidth="1"/>
    <col min="18" max="18" width="21.6640625" customWidth="1"/>
    <col min="19" max="19" width="22.33203125" customWidth="1"/>
    <col min="20" max="23" width="16.6640625" customWidth="1"/>
  </cols>
  <sheetData>
    <row r="1" spans="2:37" s="1" customFormat="1" ht="13.2" x14ac:dyDescent="0.25">
      <c r="E1" s="2"/>
      <c r="F1" s="2"/>
      <c r="G1" s="2"/>
      <c r="H1" s="3"/>
      <c r="I1" s="3"/>
      <c r="J1" s="3"/>
      <c r="K1" s="3"/>
      <c r="L1" s="3"/>
      <c r="M1" s="3"/>
      <c r="N1" s="3"/>
      <c r="O1" s="3"/>
      <c r="P1" s="3"/>
      <c r="Q1" s="3"/>
      <c r="R1" s="3"/>
      <c r="S1" s="3"/>
      <c r="T1" s="3"/>
      <c r="U1" s="3"/>
      <c r="V1" s="3"/>
      <c r="W1" s="2"/>
      <c r="X1" s="2"/>
    </row>
    <row r="2" spans="2:37" s="1" customFormat="1" ht="18.600000000000001" customHeight="1" x14ac:dyDescent="0.25">
      <c r="B2" s="262" t="s">
        <v>179</v>
      </c>
      <c r="C2" s="263"/>
      <c r="E2" s="4"/>
      <c r="F2" s="2"/>
      <c r="G2" s="2"/>
      <c r="H2" s="3"/>
      <c r="I2" s="3"/>
      <c r="J2" s="3"/>
      <c r="K2" s="3"/>
      <c r="L2" s="3"/>
      <c r="M2" s="3"/>
      <c r="N2" s="3"/>
      <c r="O2" s="3"/>
      <c r="P2" s="3"/>
      <c r="Q2" s="3"/>
      <c r="R2" s="3"/>
      <c r="S2" s="3"/>
      <c r="T2" s="3"/>
      <c r="U2" s="3"/>
      <c r="V2" s="3"/>
      <c r="W2" s="2"/>
      <c r="X2" s="2"/>
    </row>
    <row r="3" spans="2:37" s="1" customFormat="1" ht="20.399999999999999" customHeight="1" x14ac:dyDescent="0.3">
      <c r="B3" s="7" t="s">
        <v>15</v>
      </c>
      <c r="F3" s="2"/>
      <c r="G3" s="2"/>
      <c r="H3" s="3"/>
      <c r="I3" s="3"/>
      <c r="J3" s="3"/>
      <c r="K3" s="3"/>
      <c r="L3" s="3"/>
      <c r="M3" s="3"/>
      <c r="N3" s="3"/>
      <c r="O3" s="3"/>
      <c r="P3" s="3"/>
      <c r="Q3" s="3"/>
      <c r="R3" s="3"/>
      <c r="S3" s="3"/>
      <c r="T3" s="3"/>
      <c r="U3" s="3"/>
      <c r="V3" s="3"/>
      <c r="W3" s="2"/>
      <c r="X3" s="2"/>
    </row>
    <row r="4" spans="2:37" s="1" customFormat="1" ht="15.6" x14ac:dyDescent="0.3">
      <c r="B4" s="5"/>
      <c r="F4" s="2"/>
      <c r="G4" s="2"/>
      <c r="H4" s="30"/>
      <c r="I4" s="3"/>
      <c r="J4" s="3"/>
      <c r="K4" s="3"/>
      <c r="L4" s="3"/>
      <c r="M4" s="3"/>
      <c r="N4" s="3"/>
      <c r="O4" s="3"/>
      <c r="P4" s="3"/>
      <c r="Q4" s="3"/>
      <c r="R4" s="3"/>
      <c r="S4" s="3"/>
      <c r="T4" s="3"/>
      <c r="U4" s="3"/>
      <c r="V4" s="3"/>
      <c r="W4" s="2"/>
      <c r="X4" s="2"/>
    </row>
    <row r="5" spans="2:37" s="1" customFormat="1" ht="15" customHeight="1" x14ac:dyDescent="0.25">
      <c r="B5" s="6" t="s">
        <v>9</v>
      </c>
      <c r="F5" s="2"/>
      <c r="G5" s="2"/>
      <c r="H5" s="3"/>
      <c r="I5" s="3"/>
      <c r="J5" s="3"/>
      <c r="K5" s="3"/>
      <c r="L5" s="3"/>
      <c r="M5" s="3"/>
      <c r="N5" s="3"/>
      <c r="O5" s="3"/>
      <c r="P5" s="3"/>
      <c r="Q5" s="3"/>
      <c r="R5" s="3"/>
      <c r="S5" s="3"/>
      <c r="T5" s="3"/>
      <c r="U5" s="3"/>
      <c r="V5" s="3"/>
      <c r="W5" s="2"/>
      <c r="X5" s="2"/>
    </row>
    <row r="6" spans="2:37" s="1" customFormat="1" ht="13.2" x14ac:dyDescent="0.25">
      <c r="B6" s="49" t="s">
        <v>14</v>
      </c>
      <c r="C6" s="49"/>
      <c r="D6" s="49"/>
      <c r="E6" s="49"/>
      <c r="F6" s="49"/>
      <c r="G6" s="49"/>
      <c r="H6" s="49"/>
      <c r="I6" s="49"/>
      <c r="J6" s="49"/>
      <c r="K6" s="49"/>
      <c r="L6" s="49"/>
      <c r="M6" s="49"/>
      <c r="N6" s="49"/>
      <c r="O6" s="49"/>
      <c r="P6" s="3"/>
      <c r="Q6" s="3"/>
      <c r="R6" s="3"/>
      <c r="S6" s="3"/>
      <c r="T6" s="3"/>
      <c r="U6" s="3"/>
      <c r="V6" s="3"/>
      <c r="W6" s="2"/>
      <c r="X6" s="2"/>
    </row>
    <row r="8" spans="2:37" s="1" customFormat="1" ht="53.4" customHeight="1" x14ac:dyDescent="0.25">
      <c r="B8" s="264" t="s">
        <v>34</v>
      </c>
      <c r="C8" s="265"/>
      <c r="D8" s="265"/>
      <c r="E8" s="266"/>
      <c r="F8" s="267" t="s">
        <v>194</v>
      </c>
      <c r="G8" s="268"/>
      <c r="H8" s="267" t="s">
        <v>195</v>
      </c>
      <c r="I8" s="268"/>
      <c r="J8" s="267" t="s">
        <v>196</v>
      </c>
      <c r="K8" s="268"/>
      <c r="L8" s="242" t="s">
        <v>197</v>
      </c>
      <c r="M8" s="243"/>
      <c r="N8" s="110"/>
      <c r="O8" s="8"/>
      <c r="P8" s="8"/>
      <c r="Q8" s="8"/>
      <c r="R8" s="8"/>
      <c r="S8" s="8"/>
      <c r="T8" s="303"/>
      <c r="U8" s="303"/>
      <c r="V8" s="3"/>
      <c r="W8" s="3"/>
      <c r="X8" s="3"/>
      <c r="Y8" s="3"/>
      <c r="Z8" s="3"/>
      <c r="AA8" s="3"/>
      <c r="AB8" s="3"/>
      <c r="AC8" s="3"/>
      <c r="AD8" s="3"/>
      <c r="AE8" s="3"/>
      <c r="AF8" s="2"/>
      <c r="AG8" s="2"/>
      <c r="AH8" s="2"/>
      <c r="AI8" s="2"/>
      <c r="AJ8" s="2"/>
      <c r="AK8" s="2"/>
    </row>
    <row r="9" spans="2:37" s="1" customFormat="1" ht="14.4" customHeight="1" x14ac:dyDescent="0.25">
      <c r="B9" s="244" t="s">
        <v>402</v>
      </c>
      <c r="C9" s="245"/>
      <c r="D9" s="245"/>
      <c r="E9" s="245"/>
      <c r="F9" s="9" t="s">
        <v>37</v>
      </c>
      <c r="G9" s="57" t="s">
        <v>38</v>
      </c>
      <c r="H9" s="9" t="s">
        <v>37</v>
      </c>
      <c r="I9" s="57" t="s">
        <v>38</v>
      </c>
      <c r="J9" s="9" t="s">
        <v>37</v>
      </c>
      <c r="K9" s="57" t="s">
        <v>38</v>
      </c>
      <c r="L9" s="9" t="s">
        <v>37</v>
      </c>
      <c r="M9" s="61" t="s">
        <v>38</v>
      </c>
      <c r="N9" s="50"/>
      <c r="O9" s="50"/>
      <c r="P9" s="50"/>
      <c r="Q9" s="10"/>
      <c r="R9" s="50"/>
      <c r="S9" s="50"/>
      <c r="T9" s="10"/>
      <c r="U9" s="10"/>
      <c r="V9" s="3"/>
      <c r="W9" s="3"/>
      <c r="X9" s="3"/>
      <c r="Y9" s="3"/>
      <c r="Z9" s="3"/>
      <c r="AA9" s="3"/>
      <c r="AB9" s="3"/>
      <c r="AC9" s="3"/>
      <c r="AD9" s="3"/>
      <c r="AE9" s="3"/>
      <c r="AF9" s="2"/>
      <c r="AG9" s="2"/>
      <c r="AH9" s="2"/>
      <c r="AI9" s="2"/>
      <c r="AJ9" s="2"/>
      <c r="AK9" s="2"/>
    </row>
    <row r="10" spans="2:37" s="1" customFormat="1" ht="15" customHeight="1" x14ac:dyDescent="0.25">
      <c r="B10" s="11"/>
      <c r="C10" s="12"/>
      <c r="D10" s="12"/>
      <c r="E10" s="12"/>
      <c r="F10" s="13"/>
      <c r="G10" s="80"/>
      <c r="H10" s="13"/>
      <c r="I10" s="80"/>
      <c r="J10" s="13"/>
      <c r="K10" s="80"/>
      <c r="L10" s="13"/>
      <c r="M10" s="79"/>
      <c r="N10" s="3"/>
      <c r="O10" s="3"/>
      <c r="P10" s="3"/>
      <c r="Q10" s="3"/>
      <c r="R10" s="3"/>
      <c r="S10" s="3"/>
      <c r="T10" s="3"/>
      <c r="U10" s="3"/>
      <c r="V10" s="3"/>
      <c r="W10" s="3"/>
      <c r="X10" s="3"/>
      <c r="Y10" s="3"/>
      <c r="Z10" s="3"/>
      <c r="AA10" s="3"/>
      <c r="AB10" s="3"/>
      <c r="AC10" s="3"/>
      <c r="AD10" s="3"/>
      <c r="AE10" s="3"/>
      <c r="AF10" s="2"/>
      <c r="AG10" s="2"/>
      <c r="AH10" s="2"/>
      <c r="AI10" s="2"/>
      <c r="AJ10" s="2"/>
      <c r="AK10" s="2"/>
    </row>
    <row r="11" spans="2:37" s="1" customFormat="1" ht="15" customHeight="1" x14ac:dyDescent="0.25">
      <c r="B11" s="15" t="s">
        <v>39</v>
      </c>
      <c r="C11" s="16"/>
      <c r="D11" s="16"/>
      <c r="E11" s="78">
        <f>SUM(F11,H11,J11,L11)</f>
        <v>52</v>
      </c>
      <c r="F11" s="17">
        <f>SUM(F13,F15,F18,F28,F40,F45,F70)</f>
        <v>26</v>
      </c>
      <c r="G11" s="81">
        <f>F11/$E$11</f>
        <v>0.5</v>
      </c>
      <c r="H11" s="75">
        <f>SUM(H13,H15,H18,H28,H40,H45,H70)</f>
        <v>13</v>
      </c>
      <c r="I11" s="81">
        <f>H11/$E$11</f>
        <v>0.25</v>
      </c>
      <c r="J11" s="18">
        <f>SUM(J13,J15,J18,J28,J40,J45,J70)</f>
        <v>12</v>
      </c>
      <c r="K11" s="81">
        <f>J11/$E$11</f>
        <v>0.23076923076923078</v>
      </c>
      <c r="L11" s="17">
        <f>SUM(L13,L15,L18,L28,L40,L45,L70)</f>
        <v>1</v>
      </c>
      <c r="M11" s="82">
        <f>L11/$E$11</f>
        <v>1.9230769230769232E-2</v>
      </c>
      <c r="N11" s="29"/>
      <c r="O11" s="29"/>
      <c r="P11" s="29"/>
      <c r="Q11" s="51"/>
      <c r="R11" s="29"/>
      <c r="S11" s="29"/>
      <c r="T11" s="51"/>
      <c r="U11" s="29"/>
      <c r="V11" s="30"/>
      <c r="W11" s="30"/>
      <c r="X11" s="30"/>
      <c r="Y11" s="30"/>
      <c r="Z11" s="30"/>
      <c r="AA11" s="30"/>
      <c r="AB11" s="30"/>
      <c r="AC11" s="30"/>
      <c r="AD11" s="30"/>
      <c r="AE11" s="30"/>
      <c r="AF11" s="2"/>
      <c r="AG11" s="2"/>
      <c r="AH11" s="2"/>
      <c r="AI11" s="2"/>
      <c r="AJ11" s="2"/>
      <c r="AK11" s="2"/>
    </row>
    <row r="12" spans="2:37" s="33" customFormat="1" ht="15" customHeight="1" x14ac:dyDescent="0.25">
      <c r="B12" s="25"/>
      <c r="C12" s="47"/>
      <c r="D12" s="47"/>
      <c r="E12" s="3"/>
      <c r="F12" s="20"/>
      <c r="G12" s="3"/>
      <c r="H12" s="58"/>
      <c r="I12" s="3"/>
      <c r="J12" s="20"/>
      <c r="K12" s="3"/>
      <c r="L12" s="20"/>
      <c r="M12" s="21"/>
      <c r="N12" s="3"/>
      <c r="O12" s="3"/>
      <c r="P12" s="3"/>
      <c r="Q12" s="3"/>
      <c r="R12" s="3"/>
      <c r="S12" s="3"/>
      <c r="T12" s="3"/>
      <c r="U12" s="3"/>
      <c r="V12" s="3"/>
      <c r="W12" s="3"/>
      <c r="X12" s="3"/>
      <c r="Y12" s="3"/>
      <c r="Z12" s="3"/>
      <c r="AA12" s="3"/>
      <c r="AB12" s="3"/>
      <c r="AC12" s="3"/>
      <c r="AD12" s="3"/>
      <c r="AE12" s="3"/>
      <c r="AF12" s="3"/>
      <c r="AG12" s="3"/>
      <c r="AH12" s="3"/>
      <c r="AI12" s="3"/>
      <c r="AJ12" s="3"/>
      <c r="AK12" s="3"/>
    </row>
    <row r="13" spans="2:37" s="33" customFormat="1" ht="15" customHeight="1" x14ac:dyDescent="0.25">
      <c r="B13" s="126" t="s">
        <v>52</v>
      </c>
      <c r="C13" s="22"/>
      <c r="D13" s="22"/>
      <c r="E13" s="84"/>
      <c r="F13" s="23">
        <f>F14</f>
        <v>0</v>
      </c>
      <c r="G13" s="84"/>
      <c r="H13" s="59">
        <f>H14</f>
        <v>1</v>
      </c>
      <c r="I13" s="84"/>
      <c r="J13" s="23">
        <f>J14</f>
        <v>0</v>
      </c>
      <c r="K13" s="84"/>
      <c r="L13" s="23">
        <f>L14</f>
        <v>0</v>
      </c>
      <c r="M13" s="83"/>
      <c r="N13" s="3"/>
      <c r="O13" s="3"/>
      <c r="P13" s="3"/>
      <c r="Q13" s="3"/>
      <c r="R13" s="3"/>
      <c r="S13" s="3"/>
      <c r="T13" s="3"/>
      <c r="U13" s="3"/>
      <c r="V13" s="3"/>
      <c r="W13" s="3"/>
      <c r="X13" s="3"/>
      <c r="Y13" s="3"/>
      <c r="Z13" s="3"/>
      <c r="AA13" s="3"/>
      <c r="AB13" s="3"/>
      <c r="AC13" s="3"/>
      <c r="AD13" s="3"/>
      <c r="AE13" s="3"/>
      <c r="AF13" s="3"/>
      <c r="AG13" s="3"/>
      <c r="AH13" s="3"/>
      <c r="AI13" s="3"/>
      <c r="AJ13" s="3"/>
      <c r="AK13" s="3"/>
    </row>
    <row r="14" spans="2:37" s="33" customFormat="1" ht="15" hidden="1" customHeight="1" outlineLevel="1" x14ac:dyDescent="0.25">
      <c r="B14" s="166" t="s">
        <v>55</v>
      </c>
      <c r="C14" s="47"/>
      <c r="D14" s="47"/>
      <c r="E14" s="3"/>
      <c r="F14" s="190"/>
      <c r="G14" s="3"/>
      <c r="H14" s="185">
        <v>1</v>
      </c>
      <c r="I14" s="3"/>
      <c r="J14" s="190"/>
      <c r="K14" s="3"/>
      <c r="L14" s="190"/>
      <c r="M14" s="21"/>
      <c r="N14" s="3" t="str">
        <f>IF(SUM(F14,H14,J14,L14)&gt;1,"Error","")</f>
        <v/>
      </c>
      <c r="O14" s="3"/>
      <c r="P14" s="3"/>
      <c r="Q14" s="3"/>
      <c r="R14" s="3"/>
      <c r="S14" s="3"/>
      <c r="T14" s="3"/>
      <c r="U14" s="3"/>
      <c r="V14" s="3"/>
      <c r="W14" s="3"/>
      <c r="X14" s="3"/>
      <c r="Y14" s="3"/>
      <c r="Z14" s="3"/>
      <c r="AA14" s="3"/>
      <c r="AB14" s="3"/>
      <c r="AC14" s="3"/>
      <c r="AD14" s="3"/>
      <c r="AE14" s="3"/>
      <c r="AF14" s="3"/>
      <c r="AG14" s="3"/>
      <c r="AH14" s="3"/>
      <c r="AI14" s="3"/>
      <c r="AJ14" s="3"/>
      <c r="AK14" s="3"/>
    </row>
    <row r="15" spans="2:37" s="33" customFormat="1" ht="15" customHeight="1" collapsed="1" x14ac:dyDescent="0.25">
      <c r="B15" s="32" t="s">
        <v>57</v>
      </c>
      <c r="C15" s="47"/>
      <c r="D15" s="47"/>
      <c r="E15" s="3"/>
      <c r="F15" s="20">
        <f>SUM(F16:F17)</f>
        <v>0</v>
      </c>
      <c r="G15" s="3"/>
      <c r="H15" s="58">
        <f>SUM(H16:H17)</f>
        <v>2</v>
      </c>
      <c r="I15" s="3"/>
      <c r="J15" s="20">
        <f>SUM(J16:J17)</f>
        <v>0</v>
      </c>
      <c r="K15" s="3"/>
      <c r="L15" s="20">
        <f>SUM(L16:L17)</f>
        <v>0</v>
      </c>
      <c r="M15" s="21"/>
      <c r="N15" s="3"/>
      <c r="O15" s="3"/>
      <c r="P15" s="3"/>
      <c r="Q15" s="3"/>
      <c r="R15" s="3"/>
      <c r="S15" s="3"/>
      <c r="T15" s="3"/>
      <c r="U15" s="3"/>
      <c r="V15" s="3"/>
      <c r="W15" s="3"/>
      <c r="X15" s="3"/>
      <c r="Y15" s="3"/>
      <c r="Z15" s="3"/>
      <c r="AA15" s="3"/>
      <c r="AB15" s="3"/>
      <c r="AC15" s="3"/>
      <c r="AD15" s="3"/>
      <c r="AE15" s="3"/>
      <c r="AF15" s="3"/>
      <c r="AG15" s="3"/>
      <c r="AH15" s="3"/>
      <c r="AI15" s="3"/>
      <c r="AJ15" s="3"/>
      <c r="AK15" s="3"/>
    </row>
    <row r="16" spans="2:37" s="33" customFormat="1" ht="15" hidden="1" customHeight="1" outlineLevel="1" x14ac:dyDescent="0.25">
      <c r="B16" s="166" t="s">
        <v>58</v>
      </c>
      <c r="C16" s="47"/>
      <c r="D16" s="47"/>
      <c r="E16" s="3"/>
      <c r="F16" s="186"/>
      <c r="G16" s="3"/>
      <c r="H16" s="188">
        <v>1</v>
      </c>
      <c r="I16" s="3"/>
      <c r="J16" s="186"/>
      <c r="K16" s="3"/>
      <c r="L16" s="186"/>
      <c r="M16" s="21"/>
      <c r="N16" s="3" t="str">
        <f t="shared" ref="N16:N17" si="0">IF(SUM(F16,H16,J16,L16)&gt;1,"Error","")</f>
        <v/>
      </c>
      <c r="O16" s="3"/>
      <c r="P16" s="3"/>
      <c r="Q16" s="3"/>
      <c r="R16" s="3"/>
      <c r="S16" s="3"/>
      <c r="T16" s="3"/>
      <c r="U16" s="3"/>
      <c r="V16" s="3"/>
      <c r="W16" s="3"/>
      <c r="X16" s="3"/>
      <c r="Y16" s="3"/>
      <c r="Z16" s="3"/>
      <c r="AA16" s="3"/>
      <c r="AB16" s="3"/>
      <c r="AC16" s="3"/>
      <c r="AD16" s="3"/>
      <c r="AE16" s="3"/>
      <c r="AF16" s="3"/>
      <c r="AG16" s="3"/>
      <c r="AH16" s="3"/>
      <c r="AI16" s="3"/>
      <c r="AJ16" s="3"/>
      <c r="AK16" s="3"/>
    </row>
    <row r="17" spans="2:37" s="33" customFormat="1" ht="15" hidden="1" customHeight="1" outlineLevel="1" x14ac:dyDescent="0.25">
      <c r="B17" s="166" t="s">
        <v>59</v>
      </c>
      <c r="C17" s="47"/>
      <c r="D17" s="47"/>
      <c r="E17" s="3"/>
      <c r="F17" s="187"/>
      <c r="G17" s="3"/>
      <c r="H17" s="189">
        <v>1</v>
      </c>
      <c r="I17" s="3"/>
      <c r="J17" s="187"/>
      <c r="K17" s="3"/>
      <c r="L17" s="187"/>
      <c r="M17" s="21"/>
      <c r="N17" s="3" t="str">
        <f t="shared" si="0"/>
        <v/>
      </c>
      <c r="O17" s="3"/>
      <c r="P17" s="3"/>
      <c r="Q17" s="3"/>
      <c r="R17" s="3"/>
      <c r="S17" s="3"/>
      <c r="T17" s="3"/>
      <c r="U17" s="3"/>
      <c r="V17" s="3"/>
      <c r="W17" s="3"/>
      <c r="X17" s="3"/>
      <c r="Y17" s="3"/>
      <c r="Z17" s="3"/>
      <c r="AA17" s="3"/>
      <c r="AB17" s="3"/>
      <c r="AC17" s="3"/>
      <c r="AD17" s="3"/>
      <c r="AE17" s="3"/>
      <c r="AF17" s="3"/>
      <c r="AG17" s="3"/>
      <c r="AH17" s="3"/>
      <c r="AI17" s="3"/>
      <c r="AJ17" s="3"/>
      <c r="AK17" s="3"/>
    </row>
    <row r="18" spans="2:37" s="33" customFormat="1" ht="15" customHeight="1" collapsed="1" x14ac:dyDescent="0.25">
      <c r="B18" s="126" t="s">
        <v>60</v>
      </c>
      <c r="C18" s="22"/>
      <c r="D18" s="22"/>
      <c r="E18" s="84"/>
      <c r="F18" s="23">
        <f>SUM(F19:F27)</f>
        <v>4</v>
      </c>
      <c r="G18" s="84"/>
      <c r="H18" s="59">
        <f>SUM(H19:H27)</f>
        <v>2</v>
      </c>
      <c r="I18" s="84"/>
      <c r="J18" s="23">
        <f>SUM(J19:J27)</f>
        <v>3</v>
      </c>
      <c r="K18" s="84"/>
      <c r="L18" s="23">
        <f>SUM(L19:L27)</f>
        <v>0</v>
      </c>
      <c r="M18" s="83"/>
      <c r="N18" s="3"/>
      <c r="O18" s="3"/>
      <c r="P18" s="3"/>
      <c r="Q18" s="3"/>
      <c r="R18" s="3"/>
      <c r="S18" s="3"/>
      <c r="T18" s="3"/>
      <c r="U18" s="3"/>
      <c r="V18" s="3"/>
      <c r="W18" s="3"/>
      <c r="X18" s="3"/>
      <c r="Y18" s="3"/>
      <c r="Z18" s="3"/>
      <c r="AA18" s="3"/>
      <c r="AB18" s="3"/>
      <c r="AC18" s="3"/>
      <c r="AD18" s="3"/>
      <c r="AE18" s="3"/>
      <c r="AF18" s="3"/>
      <c r="AG18" s="3"/>
      <c r="AH18" s="3"/>
      <c r="AI18" s="3"/>
      <c r="AJ18" s="3"/>
      <c r="AK18" s="3"/>
    </row>
    <row r="19" spans="2:37" s="33" customFormat="1" ht="15" hidden="1" customHeight="1" outlineLevel="1" x14ac:dyDescent="0.25">
      <c r="B19" s="166" t="s">
        <v>61</v>
      </c>
      <c r="C19" s="47"/>
      <c r="D19" s="47"/>
      <c r="E19" s="3"/>
      <c r="F19" s="186"/>
      <c r="G19" s="3"/>
      <c r="H19" s="188"/>
      <c r="I19" s="3"/>
      <c r="J19" s="186">
        <v>1</v>
      </c>
      <c r="K19" s="3"/>
      <c r="L19" s="186"/>
      <c r="M19" s="21"/>
      <c r="N19" s="3" t="str">
        <f t="shared" ref="N19:N71" si="1">IF(SUM(F19,H19,J19,L19)&gt;1,"Error","")</f>
        <v/>
      </c>
      <c r="O19" s="3"/>
      <c r="P19" s="3"/>
      <c r="Q19" s="3"/>
      <c r="R19" s="3"/>
      <c r="S19" s="3"/>
      <c r="T19" s="3"/>
      <c r="U19" s="3"/>
      <c r="V19" s="3"/>
      <c r="W19" s="3"/>
      <c r="X19" s="3"/>
      <c r="Y19" s="3"/>
      <c r="Z19" s="3"/>
      <c r="AA19" s="3"/>
      <c r="AB19" s="3"/>
      <c r="AC19" s="3"/>
      <c r="AD19" s="3"/>
      <c r="AE19" s="3"/>
      <c r="AF19" s="3"/>
      <c r="AG19" s="3"/>
      <c r="AH19" s="3"/>
      <c r="AI19" s="3"/>
      <c r="AJ19" s="3"/>
      <c r="AK19" s="3"/>
    </row>
    <row r="20" spans="2:37" s="33" customFormat="1" ht="15" hidden="1" customHeight="1" outlineLevel="1" x14ac:dyDescent="0.25">
      <c r="B20" s="166" t="s">
        <v>62</v>
      </c>
      <c r="C20" s="47"/>
      <c r="D20" s="47"/>
      <c r="E20" s="3"/>
      <c r="F20" s="127">
        <v>1</v>
      </c>
      <c r="G20" s="3"/>
      <c r="H20" s="130"/>
      <c r="I20" s="3"/>
      <c r="J20" s="127"/>
      <c r="K20" s="3"/>
      <c r="L20" s="127"/>
      <c r="M20" s="21"/>
      <c r="N20" s="3" t="str">
        <f t="shared" si="1"/>
        <v/>
      </c>
      <c r="O20" s="3"/>
      <c r="P20" s="3"/>
      <c r="Q20" s="3"/>
      <c r="R20" s="3"/>
      <c r="S20" s="3"/>
      <c r="T20" s="3"/>
      <c r="U20" s="3"/>
      <c r="V20" s="3"/>
      <c r="W20" s="3"/>
      <c r="X20" s="3"/>
      <c r="Y20" s="3"/>
      <c r="Z20" s="3"/>
      <c r="AA20" s="3"/>
      <c r="AB20" s="3"/>
      <c r="AC20" s="3"/>
      <c r="AD20" s="3"/>
      <c r="AE20" s="3"/>
      <c r="AF20" s="3"/>
      <c r="AG20" s="3"/>
      <c r="AH20" s="3"/>
      <c r="AI20" s="3"/>
      <c r="AJ20" s="3"/>
      <c r="AK20" s="3"/>
    </row>
    <row r="21" spans="2:37" s="33" customFormat="1" ht="15" hidden="1" customHeight="1" outlineLevel="1" x14ac:dyDescent="0.25">
      <c r="B21" s="166" t="s">
        <v>63</v>
      </c>
      <c r="C21" s="47"/>
      <c r="D21" s="47"/>
      <c r="E21" s="3"/>
      <c r="F21" s="127">
        <v>1</v>
      </c>
      <c r="G21" s="3"/>
      <c r="H21" s="130"/>
      <c r="I21" s="3"/>
      <c r="J21" s="127"/>
      <c r="K21" s="3"/>
      <c r="L21" s="127"/>
      <c r="M21" s="21"/>
      <c r="N21" s="3" t="str">
        <f t="shared" si="1"/>
        <v/>
      </c>
      <c r="O21" s="3"/>
      <c r="P21" s="3"/>
      <c r="Q21" s="3"/>
      <c r="R21" s="3"/>
      <c r="S21" s="3"/>
      <c r="T21" s="3"/>
      <c r="U21" s="3"/>
      <c r="V21" s="3"/>
      <c r="W21" s="3"/>
      <c r="X21" s="3"/>
      <c r="Y21" s="3"/>
      <c r="Z21" s="3"/>
      <c r="AA21" s="3"/>
      <c r="AB21" s="3"/>
      <c r="AC21" s="3"/>
      <c r="AD21" s="3"/>
      <c r="AE21" s="3"/>
      <c r="AF21" s="3"/>
      <c r="AG21" s="3"/>
      <c r="AH21" s="3"/>
      <c r="AI21" s="3"/>
      <c r="AJ21" s="3"/>
      <c r="AK21" s="3"/>
    </row>
    <row r="22" spans="2:37" s="33" customFormat="1" ht="15" hidden="1" customHeight="1" outlineLevel="1" x14ac:dyDescent="0.25">
      <c r="B22" s="166" t="s">
        <v>64</v>
      </c>
      <c r="C22" s="47"/>
      <c r="D22" s="47"/>
      <c r="E22" s="3"/>
      <c r="F22" s="127"/>
      <c r="G22" s="3"/>
      <c r="H22" s="130">
        <v>1</v>
      </c>
      <c r="I22" s="3"/>
      <c r="J22" s="127"/>
      <c r="K22" s="3"/>
      <c r="L22" s="127"/>
      <c r="M22" s="21"/>
      <c r="N22" s="3" t="str">
        <f t="shared" si="1"/>
        <v/>
      </c>
      <c r="O22" s="3"/>
      <c r="P22" s="3"/>
      <c r="Q22" s="3"/>
      <c r="R22" s="3"/>
      <c r="S22" s="3"/>
      <c r="T22" s="3"/>
      <c r="U22" s="3"/>
      <c r="V22" s="3"/>
      <c r="W22" s="3"/>
      <c r="X22" s="3"/>
      <c r="Y22" s="3"/>
      <c r="Z22" s="3"/>
      <c r="AA22" s="3"/>
      <c r="AB22" s="3"/>
      <c r="AC22" s="3"/>
      <c r="AD22" s="3"/>
      <c r="AE22" s="3"/>
      <c r="AF22" s="3"/>
      <c r="AG22" s="3"/>
      <c r="AH22" s="3"/>
      <c r="AI22" s="3"/>
      <c r="AJ22" s="3"/>
      <c r="AK22" s="3"/>
    </row>
    <row r="23" spans="2:37" s="33" customFormat="1" ht="15" hidden="1" customHeight="1" outlineLevel="1" x14ac:dyDescent="0.25">
      <c r="B23" s="166" t="s">
        <v>65</v>
      </c>
      <c r="C23" s="47"/>
      <c r="D23" s="47"/>
      <c r="E23" s="3"/>
      <c r="F23" s="127"/>
      <c r="G23" s="3"/>
      <c r="H23" s="130"/>
      <c r="I23" s="3"/>
      <c r="J23" s="127">
        <v>1</v>
      </c>
      <c r="K23" s="3"/>
      <c r="L23" s="127"/>
      <c r="M23" s="21"/>
      <c r="N23" s="3" t="str">
        <f t="shared" si="1"/>
        <v/>
      </c>
      <c r="O23" s="3"/>
      <c r="P23" s="3"/>
      <c r="Q23" s="3"/>
      <c r="R23" s="3"/>
      <c r="S23" s="3"/>
      <c r="T23" s="3"/>
      <c r="U23" s="3"/>
      <c r="V23" s="3"/>
      <c r="W23" s="3"/>
      <c r="X23" s="3"/>
      <c r="Y23" s="3"/>
      <c r="Z23" s="3"/>
      <c r="AA23" s="3"/>
      <c r="AB23" s="3"/>
      <c r="AC23" s="3"/>
      <c r="AD23" s="3"/>
      <c r="AE23" s="3"/>
      <c r="AF23" s="3"/>
      <c r="AG23" s="3"/>
      <c r="AH23" s="3"/>
      <c r="AI23" s="3"/>
      <c r="AJ23" s="3"/>
      <c r="AK23" s="3"/>
    </row>
    <row r="24" spans="2:37" s="33" customFormat="1" ht="15" hidden="1" customHeight="1" outlineLevel="1" x14ac:dyDescent="0.25">
      <c r="B24" s="166" t="s">
        <v>66</v>
      </c>
      <c r="C24" s="47"/>
      <c r="D24" s="47"/>
      <c r="E24" s="3"/>
      <c r="F24" s="127"/>
      <c r="G24" s="3"/>
      <c r="H24" s="130"/>
      <c r="I24" s="3"/>
      <c r="J24" s="127">
        <v>1</v>
      </c>
      <c r="K24" s="3"/>
      <c r="L24" s="127"/>
      <c r="M24" s="21"/>
      <c r="N24" s="3" t="str">
        <f t="shared" si="1"/>
        <v/>
      </c>
      <c r="O24" s="3"/>
      <c r="P24" s="3"/>
      <c r="Q24" s="3"/>
      <c r="R24" s="3"/>
      <c r="S24" s="3"/>
      <c r="T24" s="3"/>
      <c r="U24" s="3"/>
      <c r="V24" s="3"/>
      <c r="W24" s="3"/>
      <c r="X24" s="3"/>
      <c r="Y24" s="3"/>
      <c r="Z24" s="3"/>
      <c r="AA24" s="3"/>
      <c r="AB24" s="3"/>
      <c r="AC24" s="3"/>
      <c r="AD24" s="3"/>
      <c r="AE24" s="3"/>
      <c r="AF24" s="3"/>
      <c r="AG24" s="3"/>
      <c r="AH24" s="3"/>
      <c r="AI24" s="3"/>
      <c r="AJ24" s="3"/>
      <c r="AK24" s="3"/>
    </row>
    <row r="25" spans="2:37" s="33" customFormat="1" ht="15" hidden="1" customHeight="1" outlineLevel="1" x14ac:dyDescent="0.25">
      <c r="B25" s="166" t="s">
        <v>67</v>
      </c>
      <c r="C25" s="47"/>
      <c r="D25" s="47"/>
      <c r="E25" s="3"/>
      <c r="F25" s="127">
        <v>1</v>
      </c>
      <c r="G25" s="3"/>
      <c r="H25" s="130"/>
      <c r="I25" s="3"/>
      <c r="J25" s="127"/>
      <c r="K25" s="3"/>
      <c r="L25" s="127"/>
      <c r="M25" s="21"/>
      <c r="N25" s="3" t="str">
        <f t="shared" si="1"/>
        <v/>
      </c>
      <c r="O25" s="3"/>
      <c r="P25" s="3"/>
      <c r="Q25" s="3"/>
      <c r="R25" s="3"/>
      <c r="S25" s="3"/>
      <c r="T25" s="3"/>
      <c r="U25" s="3"/>
      <c r="V25" s="3"/>
      <c r="W25" s="3"/>
      <c r="X25" s="3"/>
      <c r="Y25" s="3"/>
      <c r="Z25" s="3"/>
      <c r="AA25" s="3"/>
      <c r="AB25" s="3"/>
      <c r="AC25" s="3"/>
      <c r="AD25" s="3"/>
      <c r="AE25" s="3"/>
      <c r="AF25" s="3"/>
      <c r="AG25" s="3"/>
      <c r="AH25" s="3"/>
      <c r="AI25" s="3"/>
      <c r="AJ25" s="3"/>
      <c r="AK25" s="3"/>
    </row>
    <row r="26" spans="2:37" s="33" customFormat="1" ht="15" hidden="1" customHeight="1" outlineLevel="1" x14ac:dyDescent="0.25">
      <c r="B26" s="166" t="s">
        <v>68</v>
      </c>
      <c r="C26" s="47"/>
      <c r="D26" s="47"/>
      <c r="E26" s="3"/>
      <c r="F26" s="127"/>
      <c r="G26" s="3"/>
      <c r="H26" s="130">
        <v>1</v>
      </c>
      <c r="I26" s="3"/>
      <c r="J26" s="127"/>
      <c r="K26" s="3"/>
      <c r="L26" s="127"/>
      <c r="M26" s="21"/>
      <c r="N26" s="3" t="str">
        <f t="shared" si="1"/>
        <v/>
      </c>
      <c r="O26" s="3"/>
      <c r="P26" s="3"/>
      <c r="Q26" s="3"/>
      <c r="R26" s="3"/>
      <c r="S26" s="3"/>
      <c r="T26" s="3"/>
      <c r="U26" s="3"/>
      <c r="V26" s="3"/>
      <c r="W26" s="3"/>
      <c r="X26" s="3"/>
      <c r="Y26" s="3"/>
      <c r="Z26" s="3"/>
      <c r="AA26" s="3"/>
      <c r="AB26" s="3"/>
      <c r="AC26" s="3"/>
      <c r="AD26" s="3"/>
      <c r="AE26" s="3"/>
      <c r="AF26" s="3"/>
      <c r="AG26" s="3"/>
      <c r="AH26" s="3"/>
      <c r="AI26" s="3"/>
      <c r="AJ26" s="3"/>
      <c r="AK26" s="3"/>
    </row>
    <row r="27" spans="2:37" s="33" customFormat="1" ht="15" hidden="1" customHeight="1" outlineLevel="1" x14ac:dyDescent="0.25">
      <c r="B27" s="166" t="s">
        <v>69</v>
      </c>
      <c r="C27" s="47"/>
      <c r="D27" s="47"/>
      <c r="E27" s="3"/>
      <c r="F27" s="187">
        <v>1</v>
      </c>
      <c r="G27" s="3"/>
      <c r="H27" s="189"/>
      <c r="I27" s="3"/>
      <c r="J27" s="187"/>
      <c r="K27" s="3"/>
      <c r="L27" s="187"/>
      <c r="M27" s="21"/>
      <c r="N27" s="3" t="str">
        <f t="shared" si="1"/>
        <v/>
      </c>
      <c r="O27" s="3"/>
      <c r="P27" s="3"/>
      <c r="Q27" s="3"/>
      <c r="R27" s="3"/>
      <c r="S27" s="3"/>
      <c r="T27" s="3"/>
      <c r="U27" s="3"/>
      <c r="V27" s="3"/>
      <c r="W27" s="3"/>
      <c r="X27" s="3"/>
      <c r="Y27" s="3"/>
      <c r="Z27" s="3"/>
      <c r="AA27" s="3"/>
      <c r="AB27" s="3"/>
      <c r="AC27" s="3"/>
      <c r="AD27" s="3"/>
      <c r="AE27" s="3"/>
      <c r="AF27" s="3"/>
      <c r="AG27" s="3"/>
      <c r="AH27" s="3"/>
      <c r="AI27" s="3"/>
      <c r="AJ27" s="3"/>
      <c r="AK27" s="3"/>
    </row>
    <row r="28" spans="2:37" s="33" customFormat="1" ht="15" customHeight="1" collapsed="1" x14ac:dyDescent="0.25">
      <c r="B28" s="32" t="s">
        <v>40</v>
      </c>
      <c r="C28" s="47"/>
      <c r="D28" s="47"/>
      <c r="E28" s="3"/>
      <c r="F28" s="20">
        <f>SUM(F29:F39)</f>
        <v>5</v>
      </c>
      <c r="G28" s="3"/>
      <c r="H28" s="58">
        <f>SUM(H29:H39)</f>
        <v>4</v>
      </c>
      <c r="I28" s="3"/>
      <c r="J28" s="20">
        <f>SUM(J29:J39)</f>
        <v>1</v>
      </c>
      <c r="K28" s="3"/>
      <c r="L28" s="20">
        <f>SUM(L29:L39)</f>
        <v>1</v>
      </c>
      <c r="M28" s="21"/>
      <c r="N28" s="3"/>
      <c r="O28" s="3"/>
      <c r="P28" s="3"/>
      <c r="Q28" s="3"/>
      <c r="R28" s="3"/>
      <c r="S28" s="3"/>
      <c r="T28" s="3"/>
      <c r="U28" s="3"/>
      <c r="V28" s="3"/>
      <c r="W28" s="3"/>
      <c r="X28" s="3"/>
      <c r="Y28" s="3"/>
      <c r="Z28" s="3"/>
      <c r="AA28" s="3"/>
      <c r="AB28" s="3"/>
      <c r="AC28" s="3"/>
      <c r="AD28" s="3"/>
      <c r="AE28" s="3"/>
      <c r="AF28" s="3"/>
      <c r="AG28" s="3"/>
      <c r="AH28" s="3"/>
      <c r="AI28" s="3"/>
      <c r="AJ28" s="3"/>
      <c r="AK28" s="3"/>
    </row>
    <row r="29" spans="2:37" s="33" customFormat="1" ht="15" hidden="1" customHeight="1" outlineLevel="1" x14ac:dyDescent="0.25">
      <c r="B29" s="166" t="s">
        <v>70</v>
      </c>
      <c r="C29" s="47"/>
      <c r="D29" s="47"/>
      <c r="E29" s="3"/>
      <c r="F29" s="186"/>
      <c r="G29" s="3"/>
      <c r="H29" s="188">
        <v>1</v>
      </c>
      <c r="I29" s="3"/>
      <c r="J29" s="186"/>
      <c r="K29" s="3"/>
      <c r="L29" s="186"/>
      <c r="M29" s="21"/>
      <c r="N29" s="3" t="str">
        <f t="shared" si="1"/>
        <v/>
      </c>
      <c r="O29" s="3"/>
      <c r="P29" s="3"/>
      <c r="Q29" s="3"/>
      <c r="R29" s="3"/>
      <c r="S29" s="3"/>
      <c r="T29" s="3"/>
      <c r="U29" s="3"/>
      <c r="V29" s="3"/>
      <c r="W29" s="3"/>
      <c r="X29" s="3"/>
      <c r="Y29" s="3"/>
      <c r="Z29" s="3"/>
      <c r="AA29" s="3"/>
      <c r="AB29" s="3"/>
      <c r="AC29" s="3"/>
      <c r="AD29" s="3"/>
      <c r="AE29" s="3"/>
      <c r="AF29" s="3"/>
      <c r="AG29" s="3"/>
      <c r="AH29" s="3"/>
      <c r="AI29" s="3"/>
      <c r="AJ29" s="3"/>
      <c r="AK29" s="3"/>
    </row>
    <row r="30" spans="2:37" s="33" customFormat="1" ht="15" hidden="1" customHeight="1" outlineLevel="1" x14ac:dyDescent="0.25">
      <c r="B30" s="166" t="s">
        <v>71</v>
      </c>
      <c r="C30" s="47"/>
      <c r="D30" s="47"/>
      <c r="E30" s="3"/>
      <c r="F30" s="127"/>
      <c r="G30" s="3"/>
      <c r="H30" s="130"/>
      <c r="I30" s="3"/>
      <c r="J30" s="127"/>
      <c r="K30" s="3"/>
      <c r="L30" s="127">
        <v>1</v>
      </c>
      <c r="M30" s="21"/>
      <c r="N30" s="3" t="str">
        <f t="shared" si="1"/>
        <v/>
      </c>
      <c r="O30" s="3"/>
      <c r="P30" s="76"/>
      <c r="Q30" s="3"/>
      <c r="R30" s="76"/>
      <c r="S30" s="76"/>
      <c r="T30" s="3"/>
      <c r="U30" s="3"/>
      <c r="V30" s="3"/>
      <c r="W30" s="3"/>
      <c r="X30" s="3"/>
      <c r="Y30" s="3"/>
      <c r="Z30" s="3"/>
      <c r="AA30" s="3"/>
      <c r="AB30" s="3"/>
      <c r="AC30" s="3"/>
      <c r="AD30" s="3"/>
      <c r="AE30" s="3"/>
      <c r="AF30" s="3"/>
      <c r="AG30" s="3"/>
      <c r="AH30" s="3"/>
      <c r="AI30" s="3"/>
      <c r="AJ30" s="3"/>
      <c r="AK30" s="3"/>
    </row>
    <row r="31" spans="2:37" s="33" customFormat="1" ht="15" hidden="1" customHeight="1" outlineLevel="1" x14ac:dyDescent="0.25">
      <c r="B31" s="166" t="s">
        <v>72</v>
      </c>
      <c r="C31" s="47"/>
      <c r="D31" s="47"/>
      <c r="E31" s="3"/>
      <c r="F31" s="127">
        <v>1</v>
      </c>
      <c r="G31" s="3"/>
      <c r="H31" s="130"/>
      <c r="I31" s="3"/>
      <c r="J31" s="127"/>
      <c r="K31" s="3"/>
      <c r="L31" s="127"/>
      <c r="M31" s="21"/>
      <c r="N31" s="3" t="str">
        <f t="shared" si="1"/>
        <v/>
      </c>
      <c r="O31" s="3"/>
      <c r="P31" s="3"/>
      <c r="Q31" s="3"/>
      <c r="R31" s="3"/>
      <c r="S31" s="3"/>
      <c r="T31" s="3"/>
      <c r="U31" s="3"/>
      <c r="V31" s="3"/>
      <c r="W31" s="3"/>
      <c r="X31" s="3"/>
      <c r="Y31" s="3"/>
      <c r="Z31" s="3"/>
      <c r="AA31" s="3"/>
      <c r="AB31" s="3"/>
      <c r="AC31" s="3"/>
      <c r="AD31" s="3"/>
      <c r="AE31" s="3"/>
      <c r="AF31" s="3"/>
      <c r="AG31" s="3"/>
      <c r="AH31" s="3"/>
      <c r="AI31" s="3"/>
      <c r="AJ31" s="3"/>
      <c r="AK31" s="3"/>
    </row>
    <row r="32" spans="2:37" s="33" customFormat="1" ht="15" hidden="1" customHeight="1" outlineLevel="1" x14ac:dyDescent="0.25">
      <c r="B32" s="166" t="s">
        <v>73</v>
      </c>
      <c r="C32" s="47"/>
      <c r="D32" s="47"/>
      <c r="E32" s="3"/>
      <c r="F32" s="127"/>
      <c r="G32" s="3"/>
      <c r="H32" s="130">
        <v>1</v>
      </c>
      <c r="I32" s="3"/>
      <c r="J32" s="127"/>
      <c r="K32" s="3"/>
      <c r="L32" s="127"/>
      <c r="M32" s="21"/>
      <c r="N32" s="3" t="str">
        <f t="shared" si="1"/>
        <v/>
      </c>
      <c r="O32" s="3"/>
      <c r="P32" s="3"/>
      <c r="Q32" s="3"/>
      <c r="R32" s="3"/>
      <c r="S32" s="3"/>
      <c r="T32" s="3"/>
      <c r="U32" s="3"/>
      <c r="V32" s="3"/>
      <c r="W32" s="3"/>
      <c r="X32" s="3"/>
      <c r="Y32" s="3"/>
      <c r="Z32" s="3"/>
      <c r="AA32" s="3"/>
      <c r="AB32" s="3"/>
      <c r="AC32" s="3"/>
      <c r="AD32" s="3"/>
      <c r="AE32" s="3"/>
      <c r="AF32" s="3"/>
      <c r="AG32" s="3"/>
      <c r="AH32" s="3"/>
      <c r="AI32" s="3"/>
      <c r="AJ32" s="3"/>
      <c r="AK32" s="3"/>
    </row>
    <row r="33" spans="2:37" s="33" customFormat="1" ht="15" hidden="1" customHeight="1" outlineLevel="1" x14ac:dyDescent="0.25">
      <c r="B33" s="166" t="s">
        <v>74</v>
      </c>
      <c r="C33" s="47"/>
      <c r="D33" s="47"/>
      <c r="E33" s="3"/>
      <c r="F33" s="127">
        <v>1</v>
      </c>
      <c r="G33" s="3"/>
      <c r="H33" s="130"/>
      <c r="I33" s="3"/>
      <c r="J33" s="127"/>
      <c r="K33" s="3"/>
      <c r="L33" s="127"/>
      <c r="M33" s="21"/>
      <c r="N33" s="3" t="str">
        <f t="shared" si="1"/>
        <v/>
      </c>
      <c r="O33" s="3"/>
      <c r="P33" s="3"/>
      <c r="Q33" s="3"/>
      <c r="R33" s="3"/>
      <c r="S33" s="3"/>
      <c r="T33" s="3"/>
      <c r="U33" s="3"/>
      <c r="V33" s="3"/>
      <c r="W33" s="3"/>
      <c r="X33" s="3"/>
      <c r="Y33" s="3"/>
      <c r="Z33" s="3"/>
      <c r="AA33" s="3"/>
      <c r="AB33" s="3"/>
      <c r="AC33" s="3"/>
      <c r="AD33" s="3"/>
      <c r="AE33" s="3"/>
      <c r="AF33" s="3"/>
      <c r="AG33" s="3"/>
      <c r="AH33" s="3"/>
      <c r="AI33" s="3"/>
      <c r="AJ33" s="3"/>
      <c r="AK33" s="3"/>
    </row>
    <row r="34" spans="2:37" s="33" customFormat="1" ht="15" hidden="1" customHeight="1" outlineLevel="1" x14ac:dyDescent="0.25">
      <c r="B34" s="166" t="s">
        <v>75</v>
      </c>
      <c r="C34" s="47"/>
      <c r="D34" s="47"/>
      <c r="E34" s="3"/>
      <c r="F34" s="127"/>
      <c r="G34" s="3"/>
      <c r="H34" s="130"/>
      <c r="I34" s="3"/>
      <c r="J34" s="127">
        <v>1</v>
      </c>
      <c r="K34" s="3"/>
      <c r="L34" s="127"/>
      <c r="M34" s="21"/>
      <c r="N34" s="3" t="str">
        <f t="shared" si="1"/>
        <v/>
      </c>
      <c r="O34" s="3"/>
      <c r="P34" s="3"/>
      <c r="Q34" s="3"/>
      <c r="R34" s="3"/>
      <c r="S34" s="3"/>
      <c r="T34" s="3"/>
      <c r="U34" s="3"/>
      <c r="V34" s="3"/>
      <c r="W34" s="3"/>
      <c r="X34" s="3"/>
      <c r="Y34" s="3"/>
      <c r="Z34" s="3"/>
      <c r="AA34" s="3"/>
      <c r="AB34" s="3"/>
      <c r="AC34" s="3"/>
      <c r="AD34" s="3"/>
      <c r="AE34" s="3"/>
      <c r="AF34" s="3"/>
      <c r="AG34" s="3"/>
      <c r="AH34" s="3"/>
      <c r="AI34" s="3"/>
      <c r="AJ34" s="3"/>
      <c r="AK34" s="3"/>
    </row>
    <row r="35" spans="2:37" s="33" customFormat="1" ht="15" hidden="1" customHeight="1" outlineLevel="1" x14ac:dyDescent="0.25">
      <c r="B35" s="166" t="s">
        <v>76</v>
      </c>
      <c r="C35" s="47"/>
      <c r="D35" s="47"/>
      <c r="E35" s="3"/>
      <c r="F35" s="127">
        <v>1</v>
      </c>
      <c r="G35" s="3"/>
      <c r="H35" s="130"/>
      <c r="I35" s="3"/>
      <c r="J35" s="127"/>
      <c r="K35" s="3"/>
      <c r="L35" s="127"/>
      <c r="M35" s="21"/>
      <c r="N35" s="3" t="str">
        <f t="shared" si="1"/>
        <v/>
      </c>
      <c r="O35" s="3"/>
      <c r="P35" s="3"/>
      <c r="Q35" s="3"/>
      <c r="R35" s="3"/>
      <c r="S35" s="3"/>
      <c r="T35" s="3"/>
      <c r="U35" s="3"/>
      <c r="V35" s="3"/>
      <c r="W35" s="3"/>
      <c r="X35" s="3"/>
      <c r="Y35" s="3"/>
      <c r="Z35" s="3"/>
      <c r="AA35" s="3"/>
      <c r="AB35" s="3"/>
      <c r="AC35" s="3"/>
      <c r="AD35" s="3"/>
      <c r="AE35" s="3"/>
      <c r="AF35" s="3"/>
      <c r="AG35" s="3"/>
      <c r="AH35" s="3"/>
      <c r="AI35" s="3"/>
      <c r="AJ35" s="3"/>
      <c r="AK35" s="3"/>
    </row>
    <row r="36" spans="2:37" s="33" customFormat="1" ht="15" hidden="1" customHeight="1" outlineLevel="1" x14ac:dyDescent="0.25">
      <c r="B36" s="166" t="s">
        <v>77</v>
      </c>
      <c r="C36" s="47"/>
      <c r="D36" s="47"/>
      <c r="E36" s="3"/>
      <c r="F36" s="127"/>
      <c r="G36" s="3"/>
      <c r="H36" s="130">
        <v>1</v>
      </c>
      <c r="I36" s="3"/>
      <c r="J36" s="127"/>
      <c r="K36" s="3"/>
      <c r="L36" s="127"/>
      <c r="M36" s="21"/>
      <c r="N36" s="3" t="str">
        <f t="shared" si="1"/>
        <v/>
      </c>
      <c r="O36" s="3"/>
      <c r="P36" s="3"/>
      <c r="Q36" s="3"/>
      <c r="R36" s="3"/>
      <c r="S36" s="3"/>
      <c r="T36" s="3"/>
      <c r="U36" s="3"/>
      <c r="V36" s="3"/>
      <c r="W36" s="3"/>
      <c r="X36" s="3"/>
      <c r="Y36" s="3"/>
      <c r="Z36" s="3"/>
      <c r="AA36" s="3"/>
      <c r="AB36" s="3"/>
      <c r="AC36" s="3"/>
      <c r="AD36" s="3"/>
      <c r="AE36" s="3"/>
      <c r="AF36" s="3"/>
      <c r="AG36" s="3"/>
      <c r="AH36" s="3"/>
      <c r="AI36" s="3"/>
      <c r="AJ36" s="3"/>
      <c r="AK36" s="3"/>
    </row>
    <row r="37" spans="2:37" s="33" customFormat="1" ht="15" hidden="1" customHeight="1" outlineLevel="1" x14ac:dyDescent="0.25">
      <c r="B37" s="166" t="s">
        <v>78</v>
      </c>
      <c r="C37" s="47"/>
      <c r="D37" s="47"/>
      <c r="E37" s="3"/>
      <c r="F37" s="127">
        <v>1</v>
      </c>
      <c r="G37" s="3"/>
      <c r="H37" s="130"/>
      <c r="I37" s="3"/>
      <c r="J37" s="127"/>
      <c r="K37" s="3"/>
      <c r="L37" s="127"/>
      <c r="M37" s="21"/>
      <c r="N37" s="3" t="str">
        <f t="shared" si="1"/>
        <v/>
      </c>
      <c r="O37" s="3"/>
      <c r="P37" s="3"/>
      <c r="Q37" s="3"/>
      <c r="R37" s="3"/>
      <c r="S37" s="3"/>
      <c r="T37" s="3"/>
      <c r="U37" s="3"/>
      <c r="V37" s="3"/>
      <c r="W37" s="3"/>
      <c r="X37" s="3"/>
      <c r="Y37" s="3"/>
      <c r="Z37" s="3"/>
      <c r="AA37" s="3"/>
      <c r="AB37" s="3"/>
      <c r="AC37" s="3"/>
      <c r="AD37" s="3"/>
      <c r="AE37" s="3"/>
      <c r="AF37" s="3"/>
      <c r="AG37" s="3"/>
      <c r="AH37" s="3"/>
      <c r="AI37" s="3"/>
      <c r="AJ37" s="3"/>
      <c r="AK37" s="3"/>
    </row>
    <row r="38" spans="2:37" s="33" customFormat="1" ht="15" hidden="1" customHeight="1" outlineLevel="1" x14ac:dyDescent="0.25">
      <c r="B38" s="166" t="s">
        <v>41</v>
      </c>
      <c r="C38" s="47"/>
      <c r="D38" s="47"/>
      <c r="E38" s="3"/>
      <c r="F38" s="127"/>
      <c r="G38" s="3"/>
      <c r="H38" s="130">
        <v>1</v>
      </c>
      <c r="I38" s="3"/>
      <c r="J38" s="127"/>
      <c r="K38" s="3"/>
      <c r="L38" s="127"/>
      <c r="M38" s="21"/>
      <c r="N38" s="3" t="str">
        <f t="shared" si="1"/>
        <v/>
      </c>
      <c r="O38" s="3"/>
      <c r="P38" s="3"/>
      <c r="Q38" s="3"/>
      <c r="R38" s="3"/>
      <c r="S38" s="3"/>
      <c r="T38" s="3"/>
      <c r="U38" s="3"/>
      <c r="V38" s="3"/>
      <c r="W38" s="3"/>
      <c r="X38" s="3"/>
      <c r="Y38" s="3"/>
      <c r="Z38" s="3"/>
      <c r="AA38" s="3"/>
      <c r="AB38" s="3"/>
      <c r="AC38" s="3"/>
      <c r="AD38" s="3"/>
      <c r="AE38" s="3"/>
      <c r="AF38" s="3"/>
      <c r="AG38" s="3"/>
      <c r="AH38" s="3"/>
      <c r="AI38" s="3"/>
      <c r="AJ38" s="3"/>
      <c r="AK38" s="3"/>
    </row>
    <row r="39" spans="2:37" s="33" customFormat="1" ht="15" hidden="1" customHeight="1" outlineLevel="1" x14ac:dyDescent="0.25">
      <c r="B39" s="166" t="s">
        <v>79</v>
      </c>
      <c r="C39" s="47"/>
      <c r="D39" s="47"/>
      <c r="E39" s="3"/>
      <c r="F39" s="187">
        <v>1</v>
      </c>
      <c r="G39" s="3"/>
      <c r="H39" s="189"/>
      <c r="I39" s="3"/>
      <c r="J39" s="187"/>
      <c r="K39" s="3"/>
      <c r="L39" s="187"/>
      <c r="M39" s="21"/>
      <c r="N39" s="3" t="str">
        <f t="shared" si="1"/>
        <v/>
      </c>
      <c r="O39" s="3"/>
      <c r="P39" s="3"/>
      <c r="Q39" s="3"/>
      <c r="R39" s="3"/>
      <c r="S39" s="3"/>
      <c r="T39" s="3"/>
      <c r="U39" s="3"/>
      <c r="V39" s="3"/>
      <c r="W39" s="3"/>
      <c r="X39" s="3"/>
      <c r="Y39" s="3"/>
      <c r="Z39" s="3"/>
      <c r="AA39" s="3"/>
      <c r="AB39" s="3"/>
      <c r="AC39" s="3"/>
      <c r="AD39" s="3"/>
      <c r="AE39" s="3"/>
      <c r="AF39" s="3"/>
      <c r="AG39" s="3"/>
      <c r="AH39" s="3"/>
      <c r="AI39" s="3"/>
      <c r="AJ39" s="3"/>
      <c r="AK39" s="3"/>
    </row>
    <row r="40" spans="2:37" s="33" customFormat="1" ht="15" customHeight="1" collapsed="1" x14ac:dyDescent="0.25">
      <c r="B40" s="126" t="s">
        <v>80</v>
      </c>
      <c r="C40" s="22"/>
      <c r="D40" s="22"/>
      <c r="E40" s="84"/>
      <c r="F40" s="23">
        <f>SUM(F41:F44)</f>
        <v>3</v>
      </c>
      <c r="G40" s="84"/>
      <c r="H40" s="59">
        <f>SUM(H41:H44)</f>
        <v>1</v>
      </c>
      <c r="I40" s="84"/>
      <c r="J40" s="23">
        <f>SUM(J41:J44)</f>
        <v>0</v>
      </c>
      <c r="K40" s="84"/>
      <c r="L40" s="23">
        <f>SUM(L41:L44)</f>
        <v>0</v>
      </c>
      <c r="M40" s="83"/>
      <c r="N40" s="3"/>
      <c r="O40" s="3"/>
      <c r="P40" s="3"/>
      <c r="Q40" s="3"/>
      <c r="R40" s="3"/>
      <c r="S40" s="3"/>
      <c r="T40" s="3"/>
      <c r="U40" s="3"/>
      <c r="V40" s="3"/>
      <c r="W40" s="3"/>
      <c r="X40" s="3"/>
      <c r="Y40" s="3"/>
      <c r="Z40" s="3"/>
      <c r="AA40" s="3"/>
      <c r="AB40" s="3"/>
      <c r="AC40" s="3"/>
      <c r="AD40" s="3"/>
      <c r="AE40" s="3"/>
      <c r="AF40" s="3"/>
      <c r="AG40" s="3"/>
      <c r="AH40" s="3"/>
      <c r="AI40" s="3"/>
      <c r="AJ40" s="3"/>
      <c r="AK40" s="3"/>
    </row>
    <row r="41" spans="2:37" s="33" customFormat="1" ht="15" hidden="1" customHeight="1" outlineLevel="1" x14ac:dyDescent="0.25">
      <c r="B41" s="166" t="s">
        <v>81</v>
      </c>
      <c r="C41" s="47"/>
      <c r="D41" s="47"/>
      <c r="E41" s="3"/>
      <c r="F41" s="186">
        <v>1</v>
      </c>
      <c r="G41" s="3"/>
      <c r="H41" s="188"/>
      <c r="I41" s="3"/>
      <c r="J41" s="186"/>
      <c r="K41" s="3"/>
      <c r="L41" s="186"/>
      <c r="M41" s="21"/>
      <c r="N41" s="3" t="str">
        <f t="shared" si="1"/>
        <v/>
      </c>
      <c r="O41" s="3"/>
      <c r="P41" s="3"/>
      <c r="Q41" s="3"/>
      <c r="R41" s="3"/>
      <c r="S41" s="3"/>
      <c r="T41" s="3"/>
      <c r="U41" s="3"/>
      <c r="V41" s="3"/>
      <c r="W41" s="3"/>
      <c r="X41" s="3"/>
      <c r="Y41" s="3"/>
      <c r="Z41" s="3"/>
      <c r="AA41" s="3"/>
      <c r="AB41" s="3"/>
      <c r="AC41" s="3"/>
      <c r="AD41" s="3"/>
      <c r="AE41" s="3"/>
      <c r="AF41" s="3"/>
      <c r="AG41" s="3"/>
      <c r="AH41" s="3"/>
      <c r="AI41" s="3"/>
      <c r="AJ41" s="3"/>
      <c r="AK41" s="3"/>
    </row>
    <row r="42" spans="2:37" s="33" customFormat="1" ht="15" hidden="1" customHeight="1" outlineLevel="1" x14ac:dyDescent="0.25">
      <c r="B42" s="166" t="s">
        <v>82</v>
      </c>
      <c r="C42" s="47"/>
      <c r="D42" s="47"/>
      <c r="E42" s="3"/>
      <c r="F42" s="127"/>
      <c r="G42" s="3"/>
      <c r="H42" s="130">
        <v>1</v>
      </c>
      <c r="I42" s="3"/>
      <c r="J42" s="127"/>
      <c r="K42" s="3"/>
      <c r="L42" s="127"/>
      <c r="M42" s="21"/>
      <c r="N42" s="3" t="str">
        <f t="shared" si="1"/>
        <v/>
      </c>
      <c r="O42" s="3"/>
      <c r="P42" s="76"/>
      <c r="Q42" s="3"/>
      <c r="R42" s="76"/>
      <c r="S42" s="76"/>
      <c r="T42" s="3"/>
      <c r="U42" s="3"/>
      <c r="V42" s="3"/>
      <c r="W42" s="3"/>
      <c r="X42" s="3"/>
      <c r="Y42" s="3"/>
      <c r="Z42" s="3"/>
      <c r="AA42" s="3"/>
      <c r="AB42" s="3"/>
      <c r="AC42" s="3"/>
      <c r="AD42" s="3"/>
      <c r="AE42" s="3"/>
      <c r="AF42" s="3"/>
      <c r="AG42" s="3"/>
      <c r="AH42" s="3"/>
      <c r="AI42" s="3"/>
      <c r="AJ42" s="3"/>
      <c r="AK42" s="3"/>
    </row>
    <row r="43" spans="2:37" s="33" customFormat="1" ht="15" hidden="1" customHeight="1" outlineLevel="1" x14ac:dyDescent="0.25">
      <c r="B43" s="166" t="s">
        <v>83</v>
      </c>
      <c r="C43" s="47"/>
      <c r="D43" s="47"/>
      <c r="E43" s="3"/>
      <c r="F43" s="127">
        <v>1</v>
      </c>
      <c r="G43" s="3"/>
      <c r="H43" s="130"/>
      <c r="I43" s="3"/>
      <c r="J43" s="127"/>
      <c r="K43" s="3"/>
      <c r="L43" s="127"/>
      <c r="M43" s="21"/>
      <c r="N43" s="3" t="str">
        <f t="shared" si="1"/>
        <v/>
      </c>
      <c r="O43" s="3"/>
      <c r="P43" s="3"/>
      <c r="Q43" s="3"/>
      <c r="R43" s="3"/>
      <c r="S43" s="3"/>
      <c r="T43" s="3"/>
      <c r="U43" s="3"/>
      <c r="V43" s="3"/>
      <c r="W43" s="3"/>
      <c r="X43" s="3"/>
      <c r="Y43" s="3"/>
      <c r="Z43" s="3"/>
      <c r="AA43" s="3"/>
      <c r="AB43" s="3"/>
      <c r="AC43" s="3"/>
      <c r="AD43" s="3"/>
      <c r="AE43" s="3"/>
      <c r="AF43" s="3"/>
      <c r="AG43" s="3"/>
      <c r="AH43" s="3"/>
      <c r="AI43" s="3"/>
      <c r="AJ43" s="3"/>
      <c r="AK43" s="3"/>
    </row>
    <row r="44" spans="2:37" s="33" customFormat="1" ht="15" hidden="1" customHeight="1" outlineLevel="1" x14ac:dyDescent="0.25">
      <c r="B44" s="166" t="s">
        <v>84</v>
      </c>
      <c r="C44" s="47"/>
      <c r="D44" s="47"/>
      <c r="E44" s="3"/>
      <c r="F44" s="187">
        <v>1</v>
      </c>
      <c r="G44" s="3"/>
      <c r="H44" s="189"/>
      <c r="I44" s="3"/>
      <c r="J44" s="187"/>
      <c r="K44" s="3"/>
      <c r="L44" s="187"/>
      <c r="M44" s="21"/>
      <c r="N44" s="3" t="str">
        <f t="shared" si="1"/>
        <v/>
      </c>
      <c r="O44" s="3"/>
      <c r="P44" s="3"/>
      <c r="Q44" s="3"/>
      <c r="R44" s="3"/>
      <c r="S44" s="3"/>
      <c r="T44" s="3"/>
      <c r="U44" s="3"/>
      <c r="V44" s="3"/>
      <c r="W44" s="3"/>
      <c r="X44" s="3"/>
      <c r="Y44" s="3"/>
      <c r="Z44" s="3"/>
      <c r="AA44" s="3"/>
      <c r="AB44" s="3"/>
      <c r="AC44" s="3"/>
      <c r="AD44" s="3"/>
      <c r="AE44" s="3"/>
      <c r="AF44" s="3"/>
      <c r="AG44" s="3"/>
      <c r="AH44" s="3"/>
      <c r="AI44" s="3"/>
      <c r="AJ44" s="3"/>
      <c r="AK44" s="3"/>
    </row>
    <row r="45" spans="2:37" s="33" customFormat="1" ht="15" customHeight="1" collapsed="1" x14ac:dyDescent="0.25">
      <c r="B45" s="32" t="s">
        <v>85</v>
      </c>
      <c r="C45" s="47"/>
      <c r="D45" s="47"/>
      <c r="E45" s="3"/>
      <c r="F45" s="20">
        <f>SUM(F46:F69)</f>
        <v>14</v>
      </c>
      <c r="G45" s="3"/>
      <c r="H45" s="58">
        <f>SUM(H46:H69)</f>
        <v>2</v>
      </c>
      <c r="I45" s="3"/>
      <c r="J45" s="20">
        <f>SUM(J46:J69)</f>
        <v>8</v>
      </c>
      <c r="K45" s="3"/>
      <c r="L45" s="20">
        <f>SUM(L46:L69)</f>
        <v>0</v>
      </c>
      <c r="M45" s="21"/>
      <c r="N45" s="3"/>
      <c r="O45" s="3"/>
      <c r="P45" s="3"/>
      <c r="Q45" s="3"/>
      <c r="R45" s="3"/>
      <c r="S45" s="3"/>
      <c r="T45" s="3"/>
      <c r="U45" s="3"/>
      <c r="V45" s="3"/>
      <c r="W45" s="3"/>
      <c r="X45" s="3"/>
      <c r="Y45" s="3"/>
      <c r="Z45" s="3"/>
      <c r="AA45" s="3"/>
      <c r="AB45" s="3"/>
      <c r="AC45" s="3"/>
      <c r="AD45" s="3"/>
      <c r="AE45" s="3"/>
      <c r="AF45" s="3"/>
      <c r="AG45" s="3"/>
      <c r="AH45" s="3"/>
      <c r="AI45" s="3"/>
      <c r="AJ45" s="3"/>
      <c r="AK45" s="3"/>
    </row>
    <row r="46" spans="2:37" s="33" customFormat="1" ht="15" hidden="1" customHeight="1" outlineLevel="1" x14ac:dyDescent="0.25">
      <c r="B46" s="166" t="s">
        <v>86</v>
      </c>
      <c r="C46" s="47"/>
      <c r="D46" s="47"/>
      <c r="E46" s="3"/>
      <c r="F46" s="186"/>
      <c r="G46" s="3"/>
      <c r="H46" s="188"/>
      <c r="I46" s="3"/>
      <c r="J46" s="186">
        <v>1</v>
      </c>
      <c r="K46" s="3"/>
      <c r="L46" s="186"/>
      <c r="M46" s="21"/>
      <c r="N46" s="3" t="str">
        <f t="shared" si="1"/>
        <v/>
      </c>
      <c r="O46" s="3"/>
      <c r="P46" s="3"/>
      <c r="Q46" s="3"/>
      <c r="R46" s="3"/>
      <c r="S46" s="3"/>
      <c r="T46" s="3"/>
      <c r="U46" s="3"/>
      <c r="V46" s="3"/>
      <c r="W46" s="3"/>
      <c r="X46" s="3"/>
      <c r="Y46" s="3"/>
      <c r="Z46" s="3"/>
      <c r="AA46" s="3"/>
      <c r="AB46" s="3"/>
      <c r="AC46" s="3"/>
      <c r="AD46" s="3"/>
      <c r="AE46" s="3"/>
      <c r="AF46" s="3"/>
      <c r="AG46" s="3"/>
      <c r="AH46" s="3"/>
      <c r="AI46" s="3"/>
      <c r="AJ46" s="3"/>
      <c r="AK46" s="3"/>
    </row>
    <row r="47" spans="2:37" s="33" customFormat="1" ht="15" hidden="1" customHeight="1" outlineLevel="1" x14ac:dyDescent="0.25">
      <c r="B47" s="166" t="s">
        <v>87</v>
      </c>
      <c r="C47" s="47"/>
      <c r="D47" s="47"/>
      <c r="E47" s="3"/>
      <c r="F47" s="127"/>
      <c r="G47" s="3"/>
      <c r="H47" s="130"/>
      <c r="I47" s="3"/>
      <c r="J47" s="127">
        <v>1</v>
      </c>
      <c r="K47" s="3"/>
      <c r="L47" s="127"/>
      <c r="M47" s="21"/>
      <c r="N47" s="3" t="str">
        <f t="shared" si="1"/>
        <v/>
      </c>
      <c r="O47" s="3"/>
      <c r="P47" s="3"/>
      <c r="Q47" s="3"/>
      <c r="R47" s="3"/>
      <c r="S47" s="3"/>
      <c r="T47" s="3"/>
      <c r="U47" s="3"/>
      <c r="V47" s="3"/>
      <c r="W47" s="3"/>
      <c r="X47" s="3"/>
      <c r="Y47" s="3"/>
      <c r="Z47" s="3"/>
      <c r="AA47" s="3"/>
      <c r="AB47" s="3"/>
      <c r="AC47" s="3"/>
      <c r="AD47" s="3"/>
      <c r="AE47" s="3"/>
      <c r="AF47" s="3"/>
      <c r="AG47" s="3"/>
      <c r="AH47" s="3"/>
      <c r="AI47" s="3"/>
      <c r="AJ47" s="3"/>
      <c r="AK47" s="3"/>
    </row>
    <row r="48" spans="2:37" s="33" customFormat="1" ht="15" hidden="1" customHeight="1" outlineLevel="1" x14ac:dyDescent="0.25">
      <c r="B48" s="166" t="s">
        <v>88</v>
      </c>
      <c r="C48" s="47"/>
      <c r="D48" s="47"/>
      <c r="E48" s="3"/>
      <c r="F48" s="127"/>
      <c r="G48" s="3"/>
      <c r="H48" s="130">
        <v>1</v>
      </c>
      <c r="I48" s="3"/>
      <c r="J48" s="127"/>
      <c r="K48" s="3"/>
      <c r="L48" s="127"/>
      <c r="M48" s="21"/>
      <c r="N48" s="3" t="str">
        <f t="shared" si="1"/>
        <v/>
      </c>
      <c r="O48" s="3"/>
      <c r="P48" s="76"/>
      <c r="Q48" s="3"/>
      <c r="R48" s="76"/>
      <c r="S48" s="76"/>
      <c r="T48" s="3"/>
      <c r="U48" s="3"/>
      <c r="V48" s="3"/>
      <c r="W48" s="3"/>
      <c r="X48" s="3"/>
      <c r="Y48" s="3"/>
      <c r="Z48" s="3"/>
      <c r="AA48" s="3"/>
      <c r="AB48" s="3"/>
      <c r="AC48" s="3"/>
      <c r="AD48" s="3"/>
      <c r="AE48" s="3"/>
      <c r="AF48" s="3"/>
      <c r="AG48" s="3"/>
      <c r="AH48" s="3"/>
      <c r="AI48" s="3"/>
      <c r="AJ48" s="3"/>
      <c r="AK48" s="3"/>
    </row>
    <row r="49" spans="2:37" s="33" customFormat="1" ht="15" hidden="1" customHeight="1" outlineLevel="1" x14ac:dyDescent="0.25">
      <c r="B49" s="166" t="s">
        <v>89</v>
      </c>
      <c r="C49" s="47"/>
      <c r="D49" s="47"/>
      <c r="E49" s="3"/>
      <c r="F49" s="127">
        <v>1</v>
      </c>
      <c r="G49" s="3"/>
      <c r="H49" s="130"/>
      <c r="I49" s="3"/>
      <c r="J49" s="127"/>
      <c r="K49" s="3"/>
      <c r="L49" s="127"/>
      <c r="M49" s="21"/>
      <c r="N49" s="3" t="str">
        <f t="shared" si="1"/>
        <v/>
      </c>
      <c r="O49" s="3"/>
      <c r="P49" s="3"/>
      <c r="Q49" s="3"/>
      <c r="R49" s="3"/>
      <c r="S49" s="3"/>
      <c r="T49" s="3"/>
      <c r="U49" s="3"/>
      <c r="V49" s="3"/>
      <c r="W49" s="3"/>
      <c r="X49" s="3"/>
      <c r="Y49" s="3"/>
      <c r="Z49" s="3"/>
      <c r="AA49" s="3"/>
      <c r="AB49" s="3"/>
      <c r="AC49" s="3"/>
      <c r="AD49" s="3"/>
      <c r="AE49" s="3"/>
      <c r="AF49" s="3"/>
      <c r="AG49" s="3"/>
      <c r="AH49" s="3"/>
      <c r="AI49" s="3"/>
      <c r="AJ49" s="3"/>
      <c r="AK49" s="3"/>
    </row>
    <row r="50" spans="2:37" s="33" customFormat="1" ht="15" hidden="1" customHeight="1" outlineLevel="1" x14ac:dyDescent="0.25">
      <c r="B50" s="166" t="s">
        <v>90</v>
      </c>
      <c r="C50" s="47"/>
      <c r="D50" s="47"/>
      <c r="E50" s="3"/>
      <c r="F50" s="127"/>
      <c r="G50" s="3"/>
      <c r="H50" s="130"/>
      <c r="I50" s="3"/>
      <c r="J50" s="127">
        <v>1</v>
      </c>
      <c r="K50" s="3"/>
      <c r="L50" s="127"/>
      <c r="M50" s="21"/>
      <c r="N50" s="3" t="str">
        <f t="shared" si="1"/>
        <v/>
      </c>
      <c r="O50" s="3"/>
      <c r="P50" s="3"/>
      <c r="Q50" s="3"/>
      <c r="R50" s="3"/>
      <c r="S50" s="3"/>
      <c r="T50" s="3"/>
      <c r="U50" s="3"/>
      <c r="V50" s="3"/>
      <c r="W50" s="3"/>
      <c r="X50" s="3"/>
      <c r="Y50" s="3"/>
      <c r="Z50" s="3"/>
      <c r="AA50" s="3"/>
      <c r="AB50" s="3"/>
      <c r="AC50" s="3"/>
      <c r="AD50" s="3"/>
      <c r="AE50" s="3"/>
      <c r="AF50" s="3"/>
      <c r="AG50" s="3"/>
      <c r="AH50" s="3"/>
      <c r="AI50" s="3"/>
      <c r="AJ50" s="3"/>
      <c r="AK50" s="3"/>
    </row>
    <row r="51" spans="2:37" s="33" customFormat="1" ht="15" hidden="1" customHeight="1" outlineLevel="1" x14ac:dyDescent="0.25">
      <c r="B51" s="166" t="s">
        <v>54</v>
      </c>
      <c r="C51" s="47"/>
      <c r="D51" s="47"/>
      <c r="E51" s="3"/>
      <c r="F51" s="127"/>
      <c r="G51" s="3"/>
      <c r="H51" s="130">
        <v>1</v>
      </c>
      <c r="I51" s="3"/>
      <c r="J51" s="127"/>
      <c r="K51" s="3"/>
      <c r="L51" s="127"/>
      <c r="M51" s="21"/>
      <c r="N51" s="3" t="str">
        <f t="shared" si="1"/>
        <v/>
      </c>
      <c r="O51" s="3"/>
      <c r="P51" s="3"/>
      <c r="Q51" s="3"/>
      <c r="R51" s="3"/>
      <c r="S51" s="3"/>
      <c r="T51" s="3"/>
      <c r="U51" s="3"/>
      <c r="V51" s="3"/>
      <c r="W51" s="3"/>
      <c r="X51" s="3"/>
      <c r="Y51" s="3"/>
      <c r="Z51" s="3"/>
      <c r="AA51" s="3"/>
      <c r="AB51" s="3"/>
      <c r="AC51" s="3"/>
      <c r="AD51" s="3"/>
      <c r="AE51" s="3"/>
      <c r="AF51" s="3"/>
      <c r="AG51" s="3"/>
      <c r="AH51" s="3"/>
      <c r="AI51" s="3"/>
      <c r="AJ51" s="3"/>
      <c r="AK51" s="3"/>
    </row>
    <row r="52" spans="2:37" s="33" customFormat="1" ht="15" hidden="1" customHeight="1" outlineLevel="1" x14ac:dyDescent="0.25">
      <c r="B52" s="166" t="s">
        <v>91</v>
      </c>
      <c r="C52" s="47"/>
      <c r="D52" s="47"/>
      <c r="E52" s="3"/>
      <c r="F52" s="127">
        <v>1</v>
      </c>
      <c r="G52" s="3"/>
      <c r="H52" s="130"/>
      <c r="I52" s="3"/>
      <c r="J52" s="127"/>
      <c r="K52" s="3"/>
      <c r="L52" s="127"/>
      <c r="M52" s="21"/>
      <c r="N52" s="3" t="str">
        <f t="shared" si="1"/>
        <v/>
      </c>
      <c r="O52" s="3"/>
      <c r="P52" s="3"/>
      <c r="Q52" s="3"/>
      <c r="R52" s="3"/>
      <c r="S52" s="3"/>
      <c r="T52" s="3"/>
      <c r="U52" s="3"/>
      <c r="V52" s="3"/>
      <c r="W52" s="3"/>
      <c r="X52" s="3"/>
      <c r="Y52" s="3"/>
      <c r="Z52" s="3"/>
      <c r="AA52" s="3"/>
      <c r="AB52" s="3"/>
      <c r="AC52" s="3"/>
      <c r="AD52" s="3"/>
      <c r="AE52" s="3"/>
      <c r="AF52" s="3"/>
      <c r="AG52" s="3"/>
      <c r="AH52" s="3"/>
      <c r="AI52" s="3"/>
      <c r="AJ52" s="3"/>
      <c r="AK52" s="3"/>
    </row>
    <row r="53" spans="2:37" s="33" customFormat="1" ht="15" hidden="1" customHeight="1" outlineLevel="1" x14ac:dyDescent="0.25">
      <c r="B53" s="166" t="s">
        <v>92</v>
      </c>
      <c r="C53" s="47"/>
      <c r="D53" s="47"/>
      <c r="E53" s="3"/>
      <c r="F53" s="127">
        <v>1</v>
      </c>
      <c r="G53" s="3"/>
      <c r="H53" s="130"/>
      <c r="I53" s="3"/>
      <c r="J53" s="127"/>
      <c r="K53" s="3"/>
      <c r="L53" s="127"/>
      <c r="M53" s="21"/>
      <c r="N53" s="3" t="str">
        <f t="shared" si="1"/>
        <v/>
      </c>
      <c r="O53" s="3"/>
      <c r="P53" s="3"/>
      <c r="Q53" s="3"/>
      <c r="R53" s="3"/>
      <c r="S53" s="3"/>
      <c r="T53" s="3"/>
      <c r="U53" s="3"/>
      <c r="V53" s="3"/>
      <c r="W53" s="3"/>
      <c r="X53" s="3"/>
      <c r="Y53" s="3"/>
      <c r="Z53" s="3"/>
      <c r="AA53" s="3"/>
      <c r="AB53" s="3"/>
      <c r="AC53" s="3"/>
      <c r="AD53" s="3"/>
      <c r="AE53" s="3"/>
      <c r="AF53" s="3"/>
      <c r="AG53" s="3"/>
      <c r="AH53" s="3"/>
      <c r="AI53" s="3"/>
      <c r="AJ53" s="3"/>
      <c r="AK53" s="3"/>
    </row>
    <row r="54" spans="2:37" s="33" customFormat="1" ht="15" hidden="1" customHeight="1" outlineLevel="1" x14ac:dyDescent="0.25">
      <c r="B54" s="166" t="s">
        <v>93</v>
      </c>
      <c r="C54" s="47"/>
      <c r="D54" s="47"/>
      <c r="E54" s="3"/>
      <c r="F54" s="127">
        <v>1</v>
      </c>
      <c r="G54" s="3"/>
      <c r="H54" s="130"/>
      <c r="I54" s="3"/>
      <c r="J54" s="127"/>
      <c r="K54" s="3"/>
      <c r="L54" s="127"/>
      <c r="M54" s="21"/>
      <c r="N54" s="3" t="str">
        <f t="shared" si="1"/>
        <v/>
      </c>
      <c r="O54" s="3"/>
      <c r="P54" s="3"/>
      <c r="Q54" s="3"/>
      <c r="R54" s="3"/>
      <c r="S54" s="3"/>
      <c r="T54" s="3"/>
      <c r="U54" s="3"/>
      <c r="V54" s="3"/>
      <c r="W54" s="3"/>
      <c r="X54" s="3"/>
      <c r="Y54" s="3"/>
      <c r="Z54" s="3"/>
      <c r="AA54" s="3"/>
      <c r="AB54" s="3"/>
      <c r="AC54" s="3"/>
      <c r="AD54" s="3"/>
      <c r="AE54" s="3"/>
      <c r="AF54" s="3"/>
      <c r="AG54" s="3"/>
      <c r="AH54" s="3"/>
      <c r="AI54" s="3"/>
      <c r="AJ54" s="3"/>
      <c r="AK54" s="3"/>
    </row>
    <row r="55" spans="2:37" s="33" customFormat="1" ht="15" hidden="1" customHeight="1" outlineLevel="1" x14ac:dyDescent="0.25">
      <c r="B55" s="166" t="s">
        <v>42</v>
      </c>
      <c r="C55" s="47"/>
      <c r="D55" s="47"/>
      <c r="E55" s="3"/>
      <c r="F55" s="127">
        <v>1</v>
      </c>
      <c r="G55" s="3"/>
      <c r="H55" s="130"/>
      <c r="I55" s="3"/>
      <c r="J55" s="127"/>
      <c r="K55" s="3"/>
      <c r="L55" s="127"/>
      <c r="M55" s="21"/>
      <c r="N55" s="3" t="str">
        <f t="shared" si="1"/>
        <v/>
      </c>
      <c r="O55" s="3"/>
      <c r="P55" s="3"/>
      <c r="Q55" s="3"/>
      <c r="R55" s="3"/>
      <c r="S55" s="3"/>
      <c r="T55" s="3"/>
      <c r="U55" s="3"/>
      <c r="V55" s="3"/>
      <c r="W55" s="3"/>
      <c r="X55" s="3"/>
      <c r="Y55" s="3"/>
      <c r="Z55" s="3"/>
      <c r="AA55" s="3"/>
      <c r="AB55" s="3"/>
      <c r="AC55" s="3"/>
      <c r="AD55" s="3"/>
      <c r="AE55" s="3"/>
      <c r="AF55" s="3"/>
      <c r="AG55" s="3"/>
      <c r="AH55" s="3"/>
      <c r="AI55" s="3"/>
      <c r="AJ55" s="3"/>
      <c r="AK55" s="3"/>
    </row>
    <row r="56" spans="2:37" s="33" customFormat="1" ht="15" hidden="1" customHeight="1" outlineLevel="1" x14ac:dyDescent="0.25">
      <c r="B56" s="166" t="s">
        <v>94</v>
      </c>
      <c r="C56" s="47"/>
      <c r="D56" s="47"/>
      <c r="E56" s="3"/>
      <c r="F56" s="127">
        <v>1</v>
      </c>
      <c r="G56" s="3"/>
      <c r="H56" s="130"/>
      <c r="I56" s="3"/>
      <c r="J56" s="127"/>
      <c r="K56" s="3"/>
      <c r="L56" s="127"/>
      <c r="M56" s="21"/>
      <c r="N56" s="3" t="str">
        <f t="shared" si="1"/>
        <v/>
      </c>
      <c r="O56" s="3"/>
      <c r="P56" s="3"/>
      <c r="Q56" s="3"/>
      <c r="R56" s="3"/>
      <c r="S56" s="3"/>
      <c r="T56" s="3"/>
      <c r="U56" s="3"/>
      <c r="V56" s="3"/>
      <c r="W56" s="3"/>
      <c r="X56" s="3"/>
      <c r="Y56" s="3"/>
      <c r="Z56" s="3"/>
      <c r="AA56" s="3"/>
      <c r="AB56" s="3"/>
      <c r="AC56" s="3"/>
      <c r="AD56" s="3"/>
      <c r="AE56" s="3"/>
      <c r="AF56" s="3"/>
      <c r="AG56" s="3"/>
      <c r="AH56" s="3"/>
      <c r="AI56" s="3"/>
      <c r="AJ56" s="3"/>
      <c r="AK56" s="3"/>
    </row>
    <row r="57" spans="2:37" s="33" customFormat="1" ht="15" hidden="1" customHeight="1" outlineLevel="1" x14ac:dyDescent="0.25">
      <c r="B57" s="166" t="s">
        <v>43</v>
      </c>
      <c r="C57" s="47"/>
      <c r="D57" s="47"/>
      <c r="E57" s="3"/>
      <c r="F57" s="127"/>
      <c r="G57" s="3"/>
      <c r="H57" s="130"/>
      <c r="I57" s="3"/>
      <c r="J57" s="127">
        <v>1</v>
      </c>
      <c r="K57" s="3"/>
      <c r="L57" s="127"/>
      <c r="M57" s="21"/>
      <c r="N57" s="3" t="str">
        <f t="shared" si="1"/>
        <v/>
      </c>
      <c r="O57" s="3"/>
      <c r="P57" s="3"/>
      <c r="Q57" s="3"/>
      <c r="R57" s="3"/>
      <c r="S57" s="3"/>
      <c r="T57" s="3"/>
      <c r="U57" s="3"/>
      <c r="V57" s="3"/>
      <c r="W57" s="3"/>
      <c r="X57" s="3"/>
      <c r="Y57" s="3"/>
      <c r="Z57" s="3"/>
      <c r="AA57" s="3"/>
      <c r="AB57" s="3"/>
      <c r="AC57" s="3"/>
      <c r="AD57" s="3"/>
      <c r="AE57" s="3"/>
      <c r="AF57" s="3"/>
      <c r="AG57" s="3"/>
      <c r="AH57" s="3"/>
      <c r="AI57" s="3"/>
      <c r="AJ57" s="3"/>
      <c r="AK57" s="3"/>
    </row>
    <row r="58" spans="2:37" s="33" customFormat="1" ht="15" hidden="1" customHeight="1" outlineLevel="1" x14ac:dyDescent="0.25">
      <c r="B58" s="166" t="s">
        <v>44</v>
      </c>
      <c r="C58" s="47"/>
      <c r="D58" s="47"/>
      <c r="E58" s="3"/>
      <c r="F58" s="127">
        <v>1</v>
      </c>
      <c r="G58" s="3"/>
      <c r="H58" s="130"/>
      <c r="I58" s="3"/>
      <c r="J58" s="127"/>
      <c r="K58" s="3"/>
      <c r="L58" s="127"/>
      <c r="M58" s="21"/>
      <c r="N58" s="3" t="str">
        <f t="shared" si="1"/>
        <v/>
      </c>
      <c r="O58" s="3"/>
      <c r="P58" s="3"/>
      <c r="Q58" s="3"/>
      <c r="R58" s="3"/>
      <c r="S58" s="3"/>
      <c r="T58" s="3"/>
      <c r="U58" s="3"/>
      <c r="V58" s="3"/>
      <c r="W58" s="3"/>
      <c r="X58" s="3"/>
      <c r="Y58" s="3"/>
      <c r="Z58" s="3"/>
      <c r="AA58" s="3"/>
      <c r="AB58" s="3"/>
      <c r="AC58" s="3"/>
      <c r="AD58" s="3"/>
      <c r="AE58" s="3"/>
      <c r="AF58" s="3"/>
      <c r="AG58" s="3"/>
      <c r="AH58" s="3"/>
      <c r="AI58" s="3"/>
      <c r="AJ58" s="3"/>
      <c r="AK58" s="3"/>
    </row>
    <row r="59" spans="2:37" s="33" customFormat="1" ht="15" hidden="1" customHeight="1" outlineLevel="1" x14ac:dyDescent="0.25">
      <c r="B59" s="166" t="s">
        <v>95</v>
      </c>
      <c r="C59" s="47"/>
      <c r="D59" s="47"/>
      <c r="E59" s="3"/>
      <c r="F59" s="127">
        <v>1</v>
      </c>
      <c r="G59" s="3"/>
      <c r="H59" s="130"/>
      <c r="I59" s="3"/>
      <c r="J59" s="127"/>
      <c r="K59" s="3"/>
      <c r="L59" s="127"/>
      <c r="M59" s="21"/>
      <c r="N59" s="3" t="str">
        <f t="shared" si="1"/>
        <v/>
      </c>
      <c r="O59" s="3"/>
      <c r="P59" s="3"/>
      <c r="Q59" s="3"/>
      <c r="R59" s="3"/>
      <c r="S59" s="3"/>
      <c r="T59" s="3"/>
      <c r="U59" s="3"/>
      <c r="V59" s="3"/>
      <c r="W59" s="3"/>
      <c r="X59" s="3"/>
      <c r="Y59" s="3"/>
      <c r="Z59" s="3"/>
      <c r="AA59" s="3"/>
      <c r="AB59" s="3"/>
      <c r="AC59" s="3"/>
      <c r="AD59" s="3"/>
      <c r="AE59" s="3"/>
      <c r="AF59" s="3"/>
      <c r="AG59" s="3"/>
      <c r="AH59" s="3"/>
      <c r="AI59" s="3"/>
      <c r="AJ59" s="3"/>
      <c r="AK59" s="3"/>
    </row>
    <row r="60" spans="2:37" s="33" customFormat="1" ht="15" hidden="1" customHeight="1" outlineLevel="1" x14ac:dyDescent="0.25">
      <c r="B60" s="166" t="s">
        <v>96</v>
      </c>
      <c r="C60" s="47"/>
      <c r="D60" s="47"/>
      <c r="E60" s="3"/>
      <c r="F60" s="127"/>
      <c r="G60" s="3"/>
      <c r="H60" s="130"/>
      <c r="I60" s="3"/>
      <c r="J60" s="127">
        <v>1</v>
      </c>
      <c r="K60" s="3"/>
      <c r="L60" s="127"/>
      <c r="M60" s="21"/>
      <c r="N60" s="3" t="str">
        <f t="shared" si="1"/>
        <v/>
      </c>
      <c r="O60" s="3"/>
      <c r="P60" s="3"/>
      <c r="Q60" s="3"/>
      <c r="R60" s="3"/>
      <c r="S60" s="3"/>
      <c r="T60" s="3"/>
      <c r="U60" s="3"/>
      <c r="V60" s="3"/>
      <c r="W60" s="3"/>
      <c r="X60" s="3"/>
      <c r="Y60" s="3"/>
      <c r="Z60" s="3"/>
      <c r="AA60" s="3"/>
      <c r="AB60" s="3"/>
      <c r="AC60" s="3"/>
      <c r="AD60" s="3"/>
      <c r="AE60" s="3"/>
      <c r="AF60" s="3"/>
      <c r="AG60" s="3"/>
      <c r="AH60" s="3"/>
      <c r="AI60" s="3"/>
      <c r="AJ60" s="3"/>
      <c r="AK60" s="3"/>
    </row>
    <row r="61" spans="2:37" s="33" customFormat="1" ht="15" hidden="1" customHeight="1" outlineLevel="1" x14ac:dyDescent="0.25">
      <c r="B61" s="166" t="s">
        <v>97</v>
      </c>
      <c r="C61" s="47"/>
      <c r="D61" s="47"/>
      <c r="E61" s="3"/>
      <c r="F61" s="127"/>
      <c r="G61" s="3"/>
      <c r="H61" s="130"/>
      <c r="I61" s="3"/>
      <c r="J61" s="127">
        <v>1</v>
      </c>
      <c r="K61" s="3"/>
      <c r="L61" s="127"/>
      <c r="M61" s="21"/>
      <c r="N61" s="3" t="str">
        <f t="shared" si="1"/>
        <v/>
      </c>
      <c r="O61" s="3"/>
      <c r="P61" s="3"/>
      <c r="Q61" s="3"/>
      <c r="R61" s="3"/>
      <c r="S61" s="3"/>
      <c r="T61" s="3"/>
      <c r="U61" s="3"/>
      <c r="V61" s="3"/>
      <c r="W61" s="3"/>
      <c r="X61" s="3"/>
      <c r="Y61" s="3"/>
      <c r="Z61" s="3"/>
      <c r="AA61" s="3"/>
      <c r="AB61" s="3"/>
      <c r="AC61" s="3"/>
      <c r="AD61" s="3"/>
      <c r="AE61" s="3"/>
      <c r="AF61" s="3"/>
      <c r="AG61" s="3"/>
      <c r="AH61" s="3"/>
      <c r="AI61" s="3"/>
      <c r="AJ61" s="3"/>
      <c r="AK61" s="3"/>
    </row>
    <row r="62" spans="2:37" s="33" customFormat="1" ht="15" hidden="1" customHeight="1" outlineLevel="1" x14ac:dyDescent="0.25">
      <c r="B62" s="166" t="s">
        <v>98</v>
      </c>
      <c r="C62" s="47"/>
      <c r="D62" s="47"/>
      <c r="E62" s="3"/>
      <c r="F62" s="127">
        <v>1</v>
      </c>
      <c r="G62" s="3"/>
      <c r="H62" s="130"/>
      <c r="I62" s="3"/>
      <c r="J62" s="127"/>
      <c r="K62" s="3"/>
      <c r="L62" s="127"/>
      <c r="M62" s="21"/>
      <c r="N62" s="3" t="str">
        <f t="shared" si="1"/>
        <v/>
      </c>
      <c r="O62" s="3"/>
      <c r="P62" s="3"/>
      <c r="Q62" s="3"/>
      <c r="R62" s="3"/>
      <c r="S62" s="3"/>
      <c r="T62" s="3"/>
      <c r="U62" s="3"/>
      <c r="V62" s="3"/>
      <c r="W62" s="3"/>
      <c r="X62" s="3"/>
      <c r="Y62" s="3"/>
      <c r="Z62" s="3"/>
      <c r="AA62" s="3"/>
      <c r="AB62" s="3"/>
      <c r="AC62" s="3"/>
      <c r="AD62" s="3"/>
      <c r="AE62" s="3"/>
      <c r="AF62" s="3"/>
      <c r="AG62" s="3"/>
      <c r="AH62" s="3"/>
      <c r="AI62" s="3"/>
      <c r="AJ62" s="3"/>
      <c r="AK62" s="3"/>
    </row>
    <row r="63" spans="2:37" s="33" customFormat="1" ht="15" hidden="1" customHeight="1" outlineLevel="1" x14ac:dyDescent="0.25">
      <c r="B63" s="166" t="s">
        <v>46</v>
      </c>
      <c r="C63" s="47"/>
      <c r="D63" s="47"/>
      <c r="E63" s="3"/>
      <c r="F63" s="127"/>
      <c r="G63" s="3"/>
      <c r="H63" s="130"/>
      <c r="I63" s="3"/>
      <c r="J63" s="127">
        <v>1</v>
      </c>
      <c r="K63" s="3"/>
      <c r="L63" s="127"/>
      <c r="M63" s="21"/>
      <c r="N63" s="3" t="str">
        <f t="shared" si="1"/>
        <v/>
      </c>
      <c r="O63" s="3"/>
      <c r="P63" s="3"/>
      <c r="Q63" s="3"/>
      <c r="R63" s="3"/>
      <c r="S63" s="3"/>
      <c r="T63" s="3"/>
      <c r="U63" s="3"/>
      <c r="V63" s="3"/>
      <c r="W63" s="3"/>
      <c r="X63" s="3"/>
      <c r="Y63" s="3"/>
      <c r="Z63" s="3"/>
      <c r="AA63" s="3"/>
      <c r="AB63" s="3"/>
      <c r="AC63" s="3"/>
      <c r="AD63" s="3"/>
      <c r="AE63" s="3"/>
      <c r="AF63" s="3"/>
      <c r="AG63" s="3"/>
      <c r="AH63" s="3"/>
      <c r="AI63" s="3"/>
      <c r="AJ63" s="3"/>
      <c r="AK63" s="3"/>
    </row>
    <row r="64" spans="2:37" s="33" customFormat="1" ht="15" hidden="1" customHeight="1" outlineLevel="1" x14ac:dyDescent="0.25">
      <c r="B64" s="166" t="s">
        <v>45</v>
      </c>
      <c r="C64" s="47"/>
      <c r="D64" s="47"/>
      <c r="E64" s="3"/>
      <c r="F64" s="127">
        <v>1</v>
      </c>
      <c r="G64" s="3"/>
      <c r="H64" s="130"/>
      <c r="I64" s="3"/>
      <c r="J64" s="127"/>
      <c r="K64" s="3"/>
      <c r="L64" s="127"/>
      <c r="M64" s="21"/>
      <c r="N64" s="3" t="str">
        <f t="shared" si="1"/>
        <v/>
      </c>
      <c r="O64" s="3"/>
      <c r="P64" s="3"/>
      <c r="Q64" s="3"/>
      <c r="R64" s="3"/>
      <c r="S64" s="3"/>
      <c r="T64" s="3"/>
      <c r="U64" s="3"/>
      <c r="V64" s="3"/>
      <c r="W64" s="3"/>
      <c r="X64" s="3"/>
      <c r="Y64" s="3"/>
      <c r="Z64" s="3"/>
      <c r="AA64" s="3"/>
      <c r="AB64" s="3"/>
      <c r="AC64" s="3"/>
      <c r="AD64" s="3"/>
      <c r="AE64" s="3"/>
      <c r="AF64" s="3"/>
      <c r="AG64" s="3"/>
      <c r="AH64" s="3"/>
      <c r="AI64" s="3"/>
      <c r="AJ64" s="3"/>
      <c r="AK64" s="3"/>
    </row>
    <row r="65" spans="2:37" s="33" customFormat="1" ht="15" hidden="1" customHeight="1" outlineLevel="1" x14ac:dyDescent="0.25">
      <c r="B65" s="166" t="s">
        <v>99</v>
      </c>
      <c r="C65" s="47"/>
      <c r="D65" s="47"/>
      <c r="E65" s="3"/>
      <c r="F65" s="127">
        <v>1</v>
      </c>
      <c r="G65" s="3"/>
      <c r="H65" s="130"/>
      <c r="I65" s="3"/>
      <c r="J65" s="127"/>
      <c r="K65" s="3"/>
      <c r="L65" s="127"/>
      <c r="M65" s="21"/>
      <c r="N65" s="3" t="str">
        <f t="shared" si="1"/>
        <v/>
      </c>
      <c r="O65" s="3"/>
      <c r="P65" s="3"/>
      <c r="Q65" s="3"/>
      <c r="R65" s="3"/>
      <c r="S65" s="3"/>
      <c r="T65" s="3"/>
      <c r="U65" s="3"/>
      <c r="V65" s="3"/>
      <c r="W65" s="3"/>
      <c r="X65" s="3"/>
      <c r="Y65" s="3"/>
      <c r="Z65" s="3"/>
      <c r="AA65" s="3"/>
      <c r="AB65" s="3"/>
      <c r="AC65" s="3"/>
      <c r="AD65" s="3"/>
      <c r="AE65" s="3"/>
      <c r="AF65" s="3"/>
      <c r="AG65" s="3"/>
      <c r="AH65" s="3"/>
      <c r="AI65" s="3"/>
      <c r="AJ65" s="3"/>
      <c r="AK65" s="3"/>
    </row>
    <row r="66" spans="2:37" s="33" customFormat="1" ht="15" hidden="1" customHeight="1" outlineLevel="1" x14ac:dyDescent="0.25">
      <c r="B66" s="166" t="s">
        <v>100</v>
      </c>
      <c r="C66" s="47"/>
      <c r="D66" s="47"/>
      <c r="E66" s="3"/>
      <c r="F66" s="127">
        <v>1</v>
      </c>
      <c r="G66" s="3"/>
      <c r="H66" s="130"/>
      <c r="I66" s="3"/>
      <c r="J66" s="127"/>
      <c r="K66" s="3"/>
      <c r="L66" s="127"/>
      <c r="M66" s="21"/>
      <c r="N66" s="3" t="str">
        <f t="shared" si="1"/>
        <v/>
      </c>
      <c r="O66" s="3"/>
      <c r="P66" s="3"/>
      <c r="Q66" s="3"/>
      <c r="R66" s="3"/>
      <c r="S66" s="3"/>
      <c r="T66" s="3"/>
      <c r="U66" s="3"/>
      <c r="V66" s="3"/>
      <c r="W66" s="3"/>
      <c r="X66" s="3"/>
      <c r="Y66" s="3"/>
      <c r="Z66" s="3"/>
      <c r="AA66" s="3"/>
      <c r="AB66" s="3"/>
      <c r="AC66" s="3"/>
      <c r="AD66" s="3"/>
      <c r="AE66" s="3"/>
      <c r="AF66" s="3"/>
      <c r="AG66" s="3"/>
      <c r="AH66" s="3"/>
      <c r="AI66" s="3"/>
      <c r="AJ66" s="3"/>
      <c r="AK66" s="3"/>
    </row>
    <row r="67" spans="2:37" s="33" customFormat="1" ht="15" hidden="1" customHeight="1" outlineLevel="1" x14ac:dyDescent="0.25">
      <c r="B67" s="166" t="s">
        <v>101</v>
      </c>
      <c r="C67" s="47"/>
      <c r="D67" s="47"/>
      <c r="E67" s="3"/>
      <c r="F67" s="127">
        <v>1</v>
      </c>
      <c r="G67" s="3"/>
      <c r="H67" s="130"/>
      <c r="I67" s="3"/>
      <c r="J67" s="127"/>
      <c r="K67" s="3"/>
      <c r="L67" s="127"/>
      <c r="M67" s="21"/>
      <c r="N67" s="3" t="str">
        <f t="shared" si="1"/>
        <v/>
      </c>
      <c r="O67" s="3"/>
      <c r="P67" s="3"/>
      <c r="Q67" s="3"/>
      <c r="R67" s="3"/>
      <c r="S67" s="3"/>
      <c r="T67" s="3"/>
      <c r="U67" s="3"/>
      <c r="V67" s="3"/>
      <c r="W67" s="3"/>
      <c r="X67" s="3"/>
      <c r="Y67" s="3"/>
      <c r="Z67" s="3"/>
      <c r="AA67" s="3"/>
      <c r="AB67" s="3"/>
      <c r="AC67" s="3"/>
      <c r="AD67" s="3"/>
      <c r="AE67" s="3"/>
      <c r="AF67" s="3"/>
      <c r="AG67" s="3"/>
      <c r="AH67" s="3"/>
      <c r="AI67" s="3"/>
      <c r="AJ67" s="3"/>
      <c r="AK67" s="3"/>
    </row>
    <row r="68" spans="2:37" s="33" customFormat="1" ht="15" hidden="1" customHeight="1" outlineLevel="1" x14ac:dyDescent="0.25">
      <c r="B68" s="166" t="s">
        <v>102</v>
      </c>
      <c r="C68" s="47"/>
      <c r="D68" s="47"/>
      <c r="E68" s="3"/>
      <c r="F68" s="127">
        <v>1</v>
      </c>
      <c r="G68" s="3"/>
      <c r="H68" s="130"/>
      <c r="I68" s="3"/>
      <c r="J68" s="127"/>
      <c r="K68" s="3"/>
      <c r="L68" s="127"/>
      <c r="M68" s="21"/>
      <c r="N68" s="3" t="str">
        <f t="shared" si="1"/>
        <v/>
      </c>
      <c r="O68" s="3"/>
      <c r="P68" s="3"/>
      <c r="Q68" s="3"/>
      <c r="R68" s="3"/>
      <c r="S68" s="3"/>
      <c r="T68" s="3"/>
      <c r="U68" s="3"/>
      <c r="V68" s="3"/>
      <c r="W68" s="3"/>
      <c r="X68" s="3"/>
      <c r="Y68" s="3"/>
      <c r="Z68" s="3"/>
      <c r="AA68" s="3"/>
      <c r="AB68" s="3"/>
      <c r="AC68" s="3"/>
      <c r="AD68" s="3"/>
      <c r="AE68" s="3"/>
      <c r="AF68" s="3"/>
      <c r="AG68" s="3"/>
      <c r="AH68" s="3"/>
      <c r="AI68" s="3"/>
      <c r="AJ68" s="3"/>
      <c r="AK68" s="3"/>
    </row>
    <row r="69" spans="2:37" s="33" customFormat="1" ht="15" hidden="1" customHeight="1" outlineLevel="1" x14ac:dyDescent="0.25">
      <c r="B69" s="166" t="s">
        <v>103</v>
      </c>
      <c r="C69" s="47"/>
      <c r="D69" s="47"/>
      <c r="E69" s="3"/>
      <c r="F69" s="187"/>
      <c r="G69" s="3"/>
      <c r="H69" s="189"/>
      <c r="I69" s="3"/>
      <c r="J69" s="187">
        <v>1</v>
      </c>
      <c r="K69" s="3"/>
      <c r="L69" s="187"/>
      <c r="M69" s="21"/>
      <c r="N69" s="3" t="str">
        <f t="shared" si="1"/>
        <v/>
      </c>
      <c r="O69" s="3"/>
      <c r="P69" s="3"/>
      <c r="Q69" s="3"/>
      <c r="R69" s="3"/>
      <c r="S69" s="3"/>
      <c r="T69" s="3"/>
      <c r="U69" s="3"/>
      <c r="V69" s="3"/>
      <c r="W69" s="3"/>
      <c r="X69" s="3"/>
      <c r="Y69" s="3"/>
      <c r="Z69" s="3"/>
      <c r="AA69" s="3"/>
      <c r="AB69" s="3"/>
      <c r="AC69" s="3"/>
      <c r="AD69" s="3"/>
      <c r="AE69" s="3"/>
      <c r="AF69" s="3"/>
      <c r="AG69" s="3"/>
      <c r="AH69" s="3"/>
      <c r="AI69" s="3"/>
      <c r="AJ69" s="3"/>
      <c r="AK69" s="3"/>
    </row>
    <row r="70" spans="2:37" s="33" customFormat="1" ht="15" customHeight="1" collapsed="1" x14ac:dyDescent="0.25">
      <c r="B70" s="126" t="s">
        <v>104</v>
      </c>
      <c r="C70" s="22"/>
      <c r="D70" s="22"/>
      <c r="E70" s="84"/>
      <c r="F70" s="23">
        <f>F71</f>
        <v>0</v>
      </c>
      <c r="G70" s="84"/>
      <c r="H70" s="59">
        <f>H71</f>
        <v>1</v>
      </c>
      <c r="I70" s="84"/>
      <c r="J70" s="23">
        <f>J71</f>
        <v>0</v>
      </c>
      <c r="K70" s="84"/>
      <c r="L70" s="23">
        <f>L71</f>
        <v>0</v>
      </c>
      <c r="M70" s="83"/>
      <c r="N70" s="3"/>
      <c r="O70" s="3"/>
      <c r="P70" s="3"/>
      <c r="Q70" s="3"/>
      <c r="R70" s="3"/>
      <c r="S70" s="3"/>
      <c r="T70" s="3"/>
      <c r="U70" s="3"/>
      <c r="V70" s="3"/>
      <c r="W70" s="3"/>
      <c r="X70" s="3"/>
      <c r="Y70" s="3"/>
      <c r="Z70" s="3"/>
      <c r="AA70" s="3"/>
      <c r="AB70" s="3"/>
      <c r="AC70" s="3"/>
      <c r="AD70" s="3"/>
      <c r="AE70" s="3"/>
      <c r="AF70" s="3"/>
      <c r="AG70" s="3"/>
      <c r="AH70" s="3"/>
      <c r="AI70" s="3"/>
      <c r="AJ70" s="3"/>
      <c r="AK70" s="3"/>
    </row>
    <row r="71" spans="2:37" s="33" customFormat="1" ht="15" hidden="1" customHeight="1" outlineLevel="1" x14ac:dyDescent="0.3">
      <c r="B71" s="55" t="s">
        <v>105</v>
      </c>
      <c r="C71" s="47"/>
      <c r="D71" s="47"/>
      <c r="E71" s="3"/>
      <c r="F71" s="190"/>
      <c r="G71" s="3"/>
      <c r="H71" s="185">
        <v>1</v>
      </c>
      <c r="I71" s="3"/>
      <c r="J71" s="190"/>
      <c r="K71" s="3"/>
      <c r="L71" s="190"/>
      <c r="M71" s="21"/>
      <c r="N71" s="3" t="str">
        <f t="shared" si="1"/>
        <v/>
      </c>
      <c r="O71" s="3"/>
      <c r="P71" s="3"/>
      <c r="Q71" s="3"/>
      <c r="R71" s="3"/>
      <c r="S71" s="3"/>
      <c r="T71" s="3"/>
      <c r="U71" s="3"/>
      <c r="V71" s="3"/>
      <c r="W71" s="3"/>
      <c r="X71" s="3"/>
      <c r="Y71" s="3"/>
      <c r="Z71" s="3"/>
      <c r="AA71" s="3"/>
      <c r="AB71" s="3"/>
      <c r="AC71" s="3"/>
      <c r="AD71" s="3"/>
      <c r="AE71" s="3"/>
      <c r="AF71" s="3"/>
      <c r="AG71" s="3"/>
      <c r="AH71" s="3"/>
      <c r="AI71" s="3"/>
      <c r="AJ71" s="3"/>
      <c r="AK71" s="3"/>
    </row>
    <row r="72" spans="2:37" s="33" customFormat="1" ht="15" customHeight="1" collapsed="1" x14ac:dyDescent="0.25">
      <c r="B72" s="56"/>
      <c r="C72" s="26"/>
      <c r="D72" s="26"/>
      <c r="E72" s="27"/>
      <c r="F72" s="28"/>
      <c r="G72" s="27"/>
      <c r="H72" s="60"/>
      <c r="I72" s="27"/>
      <c r="J72" s="28"/>
      <c r="K72" s="27"/>
      <c r="L72" s="28"/>
      <c r="M72" s="85"/>
      <c r="N72" s="3"/>
      <c r="O72" s="3"/>
      <c r="P72" s="3"/>
      <c r="Q72" s="3"/>
      <c r="R72" s="3"/>
      <c r="S72" s="3"/>
      <c r="T72" s="3"/>
      <c r="U72" s="3"/>
      <c r="V72" s="3"/>
      <c r="W72" s="3"/>
      <c r="X72" s="3"/>
      <c r="Y72" s="3"/>
      <c r="Z72" s="3"/>
      <c r="AA72" s="3"/>
      <c r="AB72" s="3"/>
      <c r="AC72" s="3"/>
      <c r="AD72" s="3"/>
      <c r="AE72" s="3"/>
      <c r="AF72" s="3"/>
      <c r="AG72" s="3"/>
      <c r="AH72" s="3"/>
      <c r="AI72" s="3"/>
      <c r="AJ72" s="3"/>
      <c r="AK72" s="3"/>
    </row>
    <row r="73" spans="2:37" s="33" customFormat="1" ht="13.2" customHeight="1" x14ac:dyDescent="0.25">
      <c r="B73" s="53"/>
      <c r="C73" s="47"/>
      <c r="D73" s="47"/>
      <c r="E73" s="3"/>
      <c r="F73" s="52"/>
      <c r="G73" s="3"/>
      <c r="H73" s="3"/>
      <c r="I73" s="3"/>
      <c r="J73" s="3"/>
      <c r="K73" s="3"/>
      <c r="L73" s="52"/>
      <c r="M73" s="3"/>
      <c r="N73" s="3"/>
      <c r="O73" s="3"/>
      <c r="P73" s="3"/>
      <c r="Q73" s="3"/>
      <c r="R73" s="3"/>
      <c r="S73" s="3"/>
      <c r="T73" s="3"/>
      <c r="U73" s="3"/>
      <c r="V73" s="3"/>
      <c r="W73" s="3"/>
      <c r="X73" s="3"/>
      <c r="Y73" s="3"/>
      <c r="Z73" s="3"/>
      <c r="AA73" s="3"/>
      <c r="AB73" s="3"/>
      <c r="AC73" s="3"/>
      <c r="AD73" s="3"/>
      <c r="AE73" s="3"/>
      <c r="AF73" s="3"/>
      <c r="AG73" s="3"/>
      <c r="AH73" s="3"/>
      <c r="AI73" s="3"/>
      <c r="AJ73" s="3"/>
      <c r="AK73" s="3"/>
    </row>
    <row r="74" spans="2:37" s="33" customFormat="1" ht="13.2" customHeight="1" x14ac:dyDescent="0.25">
      <c r="B74" s="53"/>
      <c r="C74" s="47"/>
      <c r="D74" s="47"/>
      <c r="E74" s="3"/>
      <c r="F74" s="52"/>
      <c r="G74" s="3"/>
      <c r="H74" s="3"/>
      <c r="I74" s="3"/>
      <c r="J74" s="3"/>
      <c r="K74" s="3"/>
      <c r="L74" s="52"/>
      <c r="M74" s="3"/>
      <c r="N74" s="3"/>
      <c r="O74" s="3"/>
      <c r="P74" s="3"/>
      <c r="Q74" s="3"/>
      <c r="R74" s="3"/>
      <c r="S74" s="3"/>
      <c r="T74" s="3"/>
      <c r="U74" s="3"/>
      <c r="V74" s="3"/>
      <c r="W74" s="3"/>
      <c r="X74" s="3"/>
      <c r="Y74" s="3"/>
      <c r="Z74" s="3"/>
      <c r="AA74" s="3"/>
      <c r="AB74" s="3"/>
      <c r="AC74" s="3"/>
      <c r="AD74" s="3"/>
      <c r="AE74" s="3"/>
      <c r="AF74" s="3"/>
      <c r="AG74" s="3"/>
      <c r="AH74" s="3"/>
      <c r="AI74" s="3"/>
      <c r="AJ74" s="3"/>
      <c r="AK74" s="3"/>
    </row>
    <row r="75" spans="2:37" s="33" customFormat="1" ht="13.2" customHeight="1" x14ac:dyDescent="0.25">
      <c r="B75" s="46" t="s">
        <v>199</v>
      </c>
      <c r="C75" s="47"/>
      <c r="D75" s="47"/>
      <c r="E75" s="3"/>
      <c r="F75" s="52"/>
      <c r="G75" s="3"/>
      <c r="H75" s="3"/>
      <c r="I75" s="3"/>
      <c r="J75" s="3"/>
      <c r="K75" s="3"/>
      <c r="L75" s="52"/>
      <c r="M75" s="3"/>
      <c r="N75" s="3"/>
      <c r="O75" s="3"/>
      <c r="P75" s="3"/>
      <c r="Q75" s="3"/>
      <c r="R75" s="3"/>
      <c r="S75" s="3"/>
      <c r="T75" s="3"/>
      <c r="U75" s="3"/>
      <c r="V75" s="3"/>
      <c r="W75" s="3"/>
      <c r="X75" s="3"/>
      <c r="Y75" s="3"/>
      <c r="Z75" s="3"/>
      <c r="AA75" s="3"/>
      <c r="AB75" s="3"/>
      <c r="AC75" s="3"/>
      <c r="AD75" s="3"/>
      <c r="AE75" s="3"/>
      <c r="AF75" s="3"/>
      <c r="AG75" s="3"/>
      <c r="AH75" s="3"/>
      <c r="AI75" s="3"/>
      <c r="AJ75" s="3"/>
      <c r="AK75" s="3"/>
    </row>
    <row r="76" spans="2:37" s="33" customFormat="1" ht="13.2" customHeight="1" x14ac:dyDescent="0.25">
      <c r="B76" s="53"/>
      <c r="C76" s="47"/>
      <c r="D76" s="47"/>
      <c r="E76" s="47"/>
      <c r="F76" s="3"/>
      <c r="G76" s="52"/>
      <c r="H76" s="3"/>
      <c r="I76" s="3"/>
      <c r="J76" s="3"/>
      <c r="K76" s="52"/>
      <c r="L76" s="3"/>
      <c r="M76" s="3"/>
      <c r="N76" s="3"/>
      <c r="O76" s="3"/>
      <c r="P76" s="3"/>
      <c r="Q76" s="3"/>
      <c r="R76" s="3"/>
      <c r="S76" s="3"/>
      <c r="T76" s="3"/>
      <c r="U76" s="3"/>
      <c r="V76" s="3"/>
      <c r="W76" s="3"/>
      <c r="X76" s="3"/>
      <c r="Y76" s="3"/>
      <c r="Z76" s="3"/>
      <c r="AA76" s="3"/>
      <c r="AB76" s="3"/>
      <c r="AC76" s="3"/>
      <c r="AD76" s="3"/>
      <c r="AE76" s="3"/>
    </row>
    <row r="77" spans="2:37" s="33" customFormat="1" ht="23.4" customHeight="1" x14ac:dyDescent="0.25">
      <c r="B77" s="255" t="s">
        <v>48</v>
      </c>
      <c r="C77" s="256"/>
      <c r="D77" s="256"/>
      <c r="E77" s="257"/>
      <c r="F77" s="246" t="s">
        <v>198</v>
      </c>
      <c r="G77" s="247"/>
      <c r="H77" s="271" t="s">
        <v>419</v>
      </c>
      <c r="I77" s="272"/>
      <c r="J77" s="272"/>
      <c r="K77" s="273"/>
      <c r="L77" s="3"/>
      <c r="M77" s="3"/>
      <c r="N77" s="3"/>
      <c r="O77" s="3"/>
      <c r="P77" s="3"/>
      <c r="Q77" s="3"/>
      <c r="R77" s="3"/>
      <c r="S77" s="3"/>
      <c r="T77" s="3"/>
      <c r="U77" s="3"/>
      <c r="V77" s="3"/>
      <c r="W77" s="3"/>
      <c r="X77" s="3"/>
      <c r="Y77" s="3"/>
      <c r="Z77" s="3"/>
    </row>
    <row r="78" spans="2:37" s="33" customFormat="1" ht="21" customHeight="1" x14ac:dyDescent="0.25">
      <c r="B78" s="258"/>
      <c r="C78" s="275"/>
      <c r="D78" s="275"/>
      <c r="E78" s="276"/>
      <c r="F78" s="248"/>
      <c r="G78" s="249"/>
      <c r="H78" s="230" t="s">
        <v>352</v>
      </c>
      <c r="I78" s="306" t="s">
        <v>354</v>
      </c>
      <c r="J78" s="307"/>
      <c r="K78" s="223" t="s">
        <v>287</v>
      </c>
      <c r="L78" s="3"/>
      <c r="M78" s="3"/>
      <c r="N78" s="3"/>
      <c r="O78" s="3"/>
      <c r="P78" s="3"/>
      <c r="Q78" s="3"/>
      <c r="R78" s="3"/>
      <c r="S78" s="3"/>
      <c r="T78" s="3"/>
      <c r="U78" s="3"/>
      <c r="V78" s="3"/>
      <c r="W78" s="3"/>
      <c r="X78" s="3"/>
      <c r="Y78" s="3"/>
      <c r="Z78" s="3"/>
    </row>
    <row r="79" spans="2:37" s="3" customFormat="1" ht="61.5" customHeight="1" x14ac:dyDescent="0.25">
      <c r="B79" s="260"/>
      <c r="C79" s="261"/>
      <c r="D79" s="261"/>
      <c r="E79" s="277"/>
      <c r="F79" s="89" t="s">
        <v>49</v>
      </c>
      <c r="G79" s="89" t="s">
        <v>50</v>
      </c>
      <c r="H79" s="94" t="s">
        <v>247</v>
      </c>
      <c r="I79" s="94" t="s">
        <v>353</v>
      </c>
      <c r="J79" s="89" t="s">
        <v>405</v>
      </c>
      <c r="K79" s="139" t="s">
        <v>329</v>
      </c>
    </row>
    <row r="80" spans="2:37" s="33" customFormat="1" ht="13.2" customHeight="1" x14ac:dyDescent="0.25">
      <c r="B80" s="32"/>
      <c r="E80" s="34"/>
      <c r="F80" s="20"/>
      <c r="G80" s="20"/>
      <c r="H80" s="88"/>
      <c r="I80" s="88"/>
      <c r="J80" s="20"/>
      <c r="K80" s="20"/>
      <c r="L80" s="3"/>
      <c r="M80" s="3"/>
      <c r="N80" s="3"/>
      <c r="O80" s="3"/>
      <c r="P80" s="3"/>
      <c r="Q80" s="3"/>
      <c r="R80" s="3"/>
      <c r="S80" s="3"/>
      <c r="T80" s="3"/>
      <c r="U80" s="3"/>
      <c r="V80" s="3"/>
      <c r="W80" s="3"/>
      <c r="X80" s="3"/>
      <c r="Y80" s="3"/>
      <c r="Z80" s="3"/>
    </row>
    <row r="81" spans="2:26" s="33" customFormat="1" ht="13.2" customHeight="1" x14ac:dyDescent="0.25">
      <c r="B81" s="37" t="s">
        <v>51</v>
      </c>
      <c r="C81" s="38"/>
      <c r="D81" s="38"/>
      <c r="E81" s="39"/>
      <c r="F81" s="66">
        <f t="shared" ref="F81:J81" si="2">SUM(F83,F86,F90,F94,F100,F103,F107)</f>
        <v>13</v>
      </c>
      <c r="G81" s="67">
        <f t="shared" si="2"/>
        <v>13</v>
      </c>
      <c r="H81" s="67">
        <f t="shared" si="2"/>
        <v>3</v>
      </c>
      <c r="I81" s="67">
        <f t="shared" si="2"/>
        <v>2</v>
      </c>
      <c r="J81" s="67">
        <f t="shared" si="2"/>
        <v>3</v>
      </c>
      <c r="K81" s="67">
        <f>SUM(K83,K86,K90,K94,K100,K103,K107)</f>
        <v>5</v>
      </c>
      <c r="L81" s="3"/>
      <c r="M81" s="3"/>
      <c r="N81" s="3"/>
      <c r="O81" s="3"/>
      <c r="P81" s="3"/>
      <c r="Q81" s="3"/>
      <c r="R81" s="3"/>
      <c r="S81" s="3"/>
      <c r="T81" s="3"/>
      <c r="U81" s="3"/>
      <c r="V81" s="3"/>
      <c r="W81" s="3"/>
      <c r="X81" s="3"/>
      <c r="Y81" s="3"/>
      <c r="Z81" s="3"/>
    </row>
    <row r="82" spans="2:26" s="33" customFormat="1" ht="13.2" customHeight="1" x14ac:dyDescent="0.25">
      <c r="B82" s="32" t="s">
        <v>47</v>
      </c>
      <c r="E82" s="34"/>
      <c r="F82" s="20"/>
      <c r="G82" s="20"/>
      <c r="H82" s="65"/>
      <c r="I82" s="65"/>
      <c r="J82" s="20"/>
      <c r="K82" s="20"/>
      <c r="L82" s="3"/>
      <c r="M82" s="3"/>
      <c r="N82" s="3"/>
      <c r="O82" s="3"/>
      <c r="P82" s="3"/>
      <c r="Q82" s="3"/>
      <c r="R82" s="3"/>
      <c r="S82" s="3"/>
      <c r="T82" s="3"/>
      <c r="U82" s="3"/>
      <c r="V82" s="3"/>
      <c r="W82" s="3"/>
      <c r="X82" s="3"/>
      <c r="Y82" s="3"/>
      <c r="Z82" s="3"/>
    </row>
    <row r="83" spans="2:26" s="33" customFormat="1" ht="13.2" customHeight="1" x14ac:dyDescent="0.25">
      <c r="B83" s="41" t="s">
        <v>52</v>
      </c>
      <c r="C83" s="42"/>
      <c r="D83" s="42"/>
      <c r="E83" s="34"/>
      <c r="F83" s="63">
        <f>+H13</f>
        <v>1</v>
      </c>
      <c r="G83" s="43">
        <f>G84</f>
        <v>1</v>
      </c>
      <c r="H83" s="43">
        <f>H84</f>
        <v>1</v>
      </c>
      <c r="I83" s="43">
        <f t="shared" ref="I83:K83" si="3">I84</f>
        <v>0</v>
      </c>
      <c r="J83" s="43">
        <f t="shared" si="3"/>
        <v>0</v>
      </c>
      <c r="K83" s="43">
        <f t="shared" si="3"/>
        <v>0</v>
      </c>
      <c r="L83" s="3"/>
      <c r="M83" s="3"/>
      <c r="N83" s="3"/>
      <c r="O83" s="3"/>
      <c r="P83" s="3"/>
      <c r="Q83" s="3"/>
      <c r="R83" s="3"/>
      <c r="S83" s="3"/>
      <c r="T83" s="3"/>
      <c r="U83" s="3"/>
      <c r="V83" s="3"/>
      <c r="W83" s="3"/>
      <c r="X83" s="3"/>
      <c r="Y83" s="3"/>
      <c r="Z83" s="3"/>
    </row>
    <row r="84" spans="2:26" s="31" customFormat="1" ht="13.2" outlineLevel="1" x14ac:dyDescent="0.25">
      <c r="B84" s="32" t="s">
        <v>108</v>
      </c>
      <c r="C84" s="47"/>
      <c r="D84" s="47"/>
      <c r="E84" s="47"/>
      <c r="F84" s="20"/>
      <c r="G84" s="191">
        <f>SUM(H84:K84)</f>
        <v>1</v>
      </c>
      <c r="H84" s="191">
        <v>1</v>
      </c>
      <c r="I84" s="193"/>
      <c r="J84" s="193"/>
      <c r="K84" s="193"/>
      <c r="L84" s="3"/>
      <c r="M84" s="3"/>
      <c r="N84" s="3"/>
      <c r="O84" s="3"/>
      <c r="P84" s="3"/>
      <c r="Q84" s="3"/>
      <c r="R84" s="3"/>
      <c r="S84" s="4"/>
      <c r="T84" s="4"/>
      <c r="U84" s="4"/>
      <c r="V84" s="4"/>
      <c r="W84" s="4"/>
      <c r="X84" s="4"/>
    </row>
    <row r="85" spans="2:26" s="31" customFormat="1" ht="13.2" x14ac:dyDescent="0.25">
      <c r="B85" s="32"/>
      <c r="C85" s="47"/>
      <c r="D85" s="47"/>
      <c r="E85" s="47"/>
      <c r="F85" s="20"/>
      <c r="G85" s="20"/>
      <c r="H85" s="20"/>
      <c r="I85" s="44"/>
      <c r="J85" s="44"/>
      <c r="K85" s="44"/>
      <c r="L85" s="3"/>
      <c r="M85" s="3"/>
      <c r="N85" s="3"/>
      <c r="O85" s="3"/>
      <c r="P85" s="3"/>
      <c r="Q85" s="3"/>
      <c r="R85" s="3"/>
      <c r="S85" s="4"/>
      <c r="T85" s="4"/>
      <c r="U85" s="4"/>
      <c r="V85" s="4"/>
      <c r="W85" s="4"/>
      <c r="X85" s="4"/>
    </row>
    <row r="86" spans="2:26" s="31" customFormat="1" ht="13.2" x14ac:dyDescent="0.25">
      <c r="B86" s="41" t="s">
        <v>57</v>
      </c>
      <c r="C86" s="47"/>
      <c r="D86" s="47"/>
      <c r="E86" s="3"/>
      <c r="F86" s="63">
        <f>H15</f>
        <v>2</v>
      </c>
      <c r="G86" s="43">
        <f>SUM(G87:G88)</f>
        <v>2</v>
      </c>
      <c r="H86" s="43">
        <f>SUM(H87:H88)</f>
        <v>0</v>
      </c>
      <c r="I86" s="43">
        <f t="shared" ref="I86:K86" si="4">SUM(I87:I88)</f>
        <v>0</v>
      </c>
      <c r="J86" s="43">
        <f t="shared" si="4"/>
        <v>1</v>
      </c>
      <c r="K86" s="43">
        <f t="shared" si="4"/>
        <v>1</v>
      </c>
      <c r="L86" s="3"/>
      <c r="M86" s="3"/>
      <c r="N86" s="3"/>
      <c r="O86" s="3"/>
      <c r="P86" s="3"/>
      <c r="Q86" s="3"/>
      <c r="R86" s="4"/>
      <c r="S86" s="4"/>
      <c r="T86" s="4"/>
      <c r="U86" s="4"/>
      <c r="V86" s="4"/>
      <c r="W86" s="4"/>
    </row>
    <row r="87" spans="2:26" s="31" customFormat="1" ht="13.2" outlineLevel="1" x14ac:dyDescent="0.25">
      <c r="B87" s="32" t="s">
        <v>109</v>
      </c>
      <c r="C87" s="47"/>
      <c r="D87" s="47"/>
      <c r="E87" s="3"/>
      <c r="F87" s="20"/>
      <c r="G87" s="194">
        <f>SUM(H87:K87)</f>
        <v>1</v>
      </c>
      <c r="H87" s="194"/>
      <c r="I87" s="194"/>
      <c r="J87" s="194">
        <v>1</v>
      </c>
      <c r="K87" s="194"/>
      <c r="L87" s="3"/>
      <c r="M87" s="3"/>
      <c r="N87" s="3"/>
      <c r="O87" s="3"/>
      <c r="P87" s="3"/>
      <c r="Q87" s="3"/>
      <c r="R87" s="4"/>
      <c r="S87" s="4" t="s">
        <v>47</v>
      </c>
      <c r="T87" s="4"/>
      <c r="U87" s="4"/>
      <c r="V87" s="4"/>
      <c r="W87" s="4"/>
    </row>
    <row r="88" spans="2:26" s="107" customFormat="1" ht="13.2" outlineLevel="1" x14ac:dyDescent="0.25">
      <c r="B88" s="32" t="s">
        <v>110</v>
      </c>
      <c r="C88" s="47"/>
      <c r="D88" s="47"/>
      <c r="E88" s="3"/>
      <c r="F88" s="20"/>
      <c r="G88" s="195">
        <f>SUM(H88:K88)</f>
        <v>1</v>
      </c>
      <c r="H88" s="195"/>
      <c r="I88" s="195"/>
      <c r="J88" s="195"/>
      <c r="K88" s="195">
        <v>1</v>
      </c>
      <c r="L88" s="3"/>
      <c r="M88" s="3"/>
      <c r="N88" s="3"/>
      <c r="O88" s="3"/>
      <c r="P88" s="3"/>
      <c r="Q88" s="3"/>
      <c r="R88" s="108"/>
      <c r="S88" s="108"/>
      <c r="T88" s="108"/>
      <c r="U88" s="108"/>
      <c r="V88" s="108"/>
      <c r="W88" s="108"/>
    </row>
    <row r="89" spans="2:26" s="31" customFormat="1" ht="13.2" x14ac:dyDescent="0.25">
      <c r="B89" s="32"/>
      <c r="C89" s="47"/>
      <c r="D89" s="47"/>
      <c r="E89" s="3"/>
      <c r="F89" s="20"/>
      <c r="G89" s="20"/>
      <c r="H89" s="44"/>
      <c r="I89" s="44"/>
      <c r="J89" s="44"/>
      <c r="K89" s="44"/>
      <c r="L89" s="3"/>
      <c r="M89" s="3"/>
      <c r="N89" s="3"/>
      <c r="O89" s="3"/>
      <c r="P89" s="3"/>
      <c r="Q89" s="3"/>
      <c r="R89" s="4"/>
      <c r="S89" s="4"/>
      <c r="T89" s="4"/>
      <c r="U89" s="4"/>
      <c r="V89" s="4"/>
      <c r="W89" s="4"/>
    </row>
    <row r="90" spans="2:26" s="107" customFormat="1" ht="13.2" x14ac:dyDescent="0.25">
      <c r="B90" s="41" t="s">
        <v>60</v>
      </c>
      <c r="C90" s="19"/>
      <c r="D90" s="19"/>
      <c r="E90" s="19"/>
      <c r="F90" s="171">
        <f>H18</f>
        <v>2</v>
      </c>
      <c r="G90" s="172">
        <f t="shared" ref="G90:K90" si="5">SUM(G91:G92)</f>
        <v>2</v>
      </c>
      <c r="H90" s="172">
        <f>SUM(H91:H92)</f>
        <v>1</v>
      </c>
      <c r="I90" s="172">
        <f t="shared" si="5"/>
        <v>1</v>
      </c>
      <c r="J90" s="172">
        <f t="shared" si="5"/>
        <v>0</v>
      </c>
      <c r="K90" s="172">
        <f t="shared" si="5"/>
        <v>0</v>
      </c>
    </row>
    <row r="91" spans="2:26" s="107" customFormat="1" ht="13.2" outlineLevel="1" x14ac:dyDescent="0.25">
      <c r="B91" s="32" t="s">
        <v>114</v>
      </c>
      <c r="C91" s="19"/>
      <c r="D91" s="19"/>
      <c r="E91" s="19"/>
      <c r="F91" s="168"/>
      <c r="G91" s="194">
        <f>SUM(H91:K91)</f>
        <v>1</v>
      </c>
      <c r="H91" s="194"/>
      <c r="I91" s="194">
        <v>1</v>
      </c>
      <c r="J91" s="194"/>
      <c r="K91" s="194"/>
    </row>
    <row r="92" spans="2:26" s="107" customFormat="1" ht="13.2" outlineLevel="1" x14ac:dyDescent="0.25">
      <c r="B92" s="32" t="s">
        <v>118</v>
      </c>
      <c r="C92" s="19"/>
      <c r="D92" s="19"/>
      <c r="E92" s="19"/>
      <c r="F92" s="168"/>
      <c r="G92" s="195">
        <f>SUM(H92:K92)</f>
        <v>1</v>
      </c>
      <c r="H92" s="195">
        <v>1</v>
      </c>
      <c r="I92" s="195"/>
      <c r="J92" s="195"/>
      <c r="K92" s="195"/>
    </row>
    <row r="93" spans="2:26" s="31" customFormat="1" ht="13.2" x14ac:dyDescent="0.25">
      <c r="B93" s="32"/>
      <c r="C93" s="33"/>
      <c r="D93" s="33"/>
      <c r="E93" s="33"/>
      <c r="F93" s="44"/>
      <c r="G93" s="20"/>
      <c r="H93" s="44"/>
      <c r="I93" s="44"/>
      <c r="J93" s="44"/>
      <c r="K93" s="44"/>
    </row>
    <row r="94" spans="2:26" s="107" customFormat="1" ht="13.2" x14ac:dyDescent="0.25">
      <c r="B94" s="41" t="s">
        <v>40</v>
      </c>
      <c r="C94" s="19"/>
      <c r="D94" s="19"/>
      <c r="E94" s="19"/>
      <c r="F94" s="171">
        <f>H28</f>
        <v>4</v>
      </c>
      <c r="G94" s="172">
        <f t="shared" ref="G94:K94" si="6">SUM(G95:G98)</f>
        <v>4</v>
      </c>
      <c r="H94" s="172">
        <f>SUM(H95:H98)</f>
        <v>0</v>
      </c>
      <c r="I94" s="172">
        <f t="shared" si="6"/>
        <v>0</v>
      </c>
      <c r="J94" s="172">
        <f t="shared" si="6"/>
        <v>2</v>
      </c>
      <c r="K94" s="172">
        <f t="shared" si="6"/>
        <v>2</v>
      </c>
    </row>
    <row r="95" spans="2:26" s="107" customFormat="1" ht="13.2" outlineLevel="1" x14ac:dyDescent="0.25">
      <c r="B95" s="32" t="s">
        <v>120</v>
      </c>
      <c r="C95" s="19"/>
      <c r="D95" s="19"/>
      <c r="E95" s="19"/>
      <c r="F95" s="114"/>
      <c r="G95" s="194">
        <f>SUM(H95:K95)</f>
        <v>1</v>
      </c>
      <c r="H95" s="194"/>
      <c r="I95" s="194"/>
      <c r="J95" s="194">
        <v>1</v>
      </c>
      <c r="K95" s="194"/>
    </row>
    <row r="96" spans="2:26" s="107" customFormat="1" ht="13.2" outlineLevel="1" x14ac:dyDescent="0.25">
      <c r="B96" s="32" t="s">
        <v>123</v>
      </c>
      <c r="C96" s="19"/>
      <c r="D96" s="19"/>
      <c r="E96" s="19"/>
      <c r="F96" s="114"/>
      <c r="G96" s="124">
        <f>SUM(H96:K96)</f>
        <v>1</v>
      </c>
      <c r="H96" s="124"/>
      <c r="I96" s="124"/>
      <c r="J96" s="124"/>
      <c r="K96" s="124">
        <v>1</v>
      </c>
    </row>
    <row r="97" spans="2:11" s="107" customFormat="1" ht="13.2" outlineLevel="1" x14ac:dyDescent="0.25">
      <c r="B97" s="32" t="s">
        <v>127</v>
      </c>
      <c r="C97" s="19"/>
      <c r="D97" s="19"/>
      <c r="E97" s="19"/>
      <c r="F97" s="114"/>
      <c r="G97" s="124">
        <f>SUM(H97:K97)</f>
        <v>1</v>
      </c>
      <c r="H97" s="124"/>
      <c r="I97" s="124"/>
      <c r="J97" s="124"/>
      <c r="K97" s="124">
        <v>1</v>
      </c>
    </row>
    <row r="98" spans="2:11" s="107" customFormat="1" ht="13.2" outlineLevel="1" x14ac:dyDescent="0.25">
      <c r="B98" s="32" t="s">
        <v>129</v>
      </c>
      <c r="C98" s="19"/>
      <c r="D98" s="19"/>
      <c r="E98" s="19"/>
      <c r="F98" s="114"/>
      <c r="G98" s="195">
        <f>SUM(H98:K98)</f>
        <v>1</v>
      </c>
      <c r="H98" s="195"/>
      <c r="I98" s="195"/>
      <c r="J98" s="195">
        <v>1</v>
      </c>
      <c r="K98" s="195"/>
    </row>
    <row r="99" spans="2:11" s="31" customFormat="1" ht="13.2" x14ac:dyDescent="0.25">
      <c r="B99" s="32"/>
      <c r="C99" s="33"/>
      <c r="D99" s="33"/>
      <c r="E99" s="33"/>
      <c r="F99" s="20"/>
      <c r="G99" s="20"/>
      <c r="H99" s="44"/>
      <c r="I99" s="44"/>
      <c r="J99" s="44"/>
      <c r="K99" s="44"/>
    </row>
    <row r="100" spans="2:11" s="107" customFormat="1" ht="13.2" x14ac:dyDescent="0.25">
      <c r="B100" s="41" t="s">
        <v>80</v>
      </c>
      <c r="C100" s="19"/>
      <c r="D100" s="19"/>
      <c r="E100" s="19"/>
      <c r="F100" s="171">
        <f>H40</f>
        <v>1</v>
      </c>
      <c r="G100" s="172">
        <f t="shared" ref="G100:K100" si="7">SUM(G101:G101)</f>
        <v>1</v>
      </c>
      <c r="H100" s="172">
        <f>SUM(H101:H101)</f>
        <v>0</v>
      </c>
      <c r="I100" s="172">
        <f t="shared" si="7"/>
        <v>1</v>
      </c>
      <c r="J100" s="172">
        <f t="shared" si="7"/>
        <v>0</v>
      </c>
      <c r="K100" s="172">
        <f t="shared" si="7"/>
        <v>0</v>
      </c>
    </row>
    <row r="101" spans="2:11" s="107" customFormat="1" ht="13.2" outlineLevel="1" x14ac:dyDescent="0.25">
      <c r="B101" s="32" t="s">
        <v>132</v>
      </c>
      <c r="C101" s="19"/>
      <c r="D101" s="19"/>
      <c r="E101" s="19"/>
      <c r="F101" s="114"/>
      <c r="G101" s="191">
        <f>SUM(H101:K101)</f>
        <v>1</v>
      </c>
      <c r="H101" s="191"/>
      <c r="I101" s="191">
        <v>1</v>
      </c>
      <c r="J101" s="191"/>
      <c r="K101" s="191"/>
    </row>
    <row r="102" spans="2:11" s="31" customFormat="1" ht="13.2" x14ac:dyDescent="0.25">
      <c r="B102" s="32"/>
      <c r="C102" s="33"/>
      <c r="D102" s="33"/>
      <c r="E102" s="33"/>
      <c r="F102" s="20"/>
      <c r="G102" s="20"/>
      <c r="H102" s="44"/>
      <c r="I102" s="44"/>
      <c r="J102" s="44"/>
      <c r="K102" s="44"/>
    </row>
    <row r="103" spans="2:11" s="107" customFormat="1" ht="13.2" x14ac:dyDescent="0.25">
      <c r="B103" s="41" t="s">
        <v>85</v>
      </c>
      <c r="C103" s="19"/>
      <c r="D103" s="19"/>
      <c r="E103" s="19"/>
      <c r="F103" s="171">
        <f>H45</f>
        <v>2</v>
      </c>
      <c r="G103" s="172">
        <f t="shared" ref="G103:J103" si="8">SUM(G104:G105)</f>
        <v>2</v>
      </c>
      <c r="H103" s="172">
        <f t="shared" si="8"/>
        <v>1</v>
      </c>
      <c r="I103" s="172">
        <f t="shared" si="8"/>
        <v>0</v>
      </c>
      <c r="J103" s="172">
        <f t="shared" si="8"/>
        <v>0</v>
      </c>
      <c r="K103" s="172">
        <f>SUM(K104:K105)</f>
        <v>1</v>
      </c>
    </row>
    <row r="104" spans="2:11" s="107" customFormat="1" ht="13.2" outlineLevel="1" x14ac:dyDescent="0.25">
      <c r="B104" s="32" t="s">
        <v>137</v>
      </c>
      <c r="C104" s="19"/>
      <c r="D104" s="19"/>
      <c r="E104" s="19"/>
      <c r="F104" s="114"/>
      <c r="G104" s="194">
        <f>SUM(H104:K104)</f>
        <v>1</v>
      </c>
      <c r="H104" s="194"/>
      <c r="I104" s="194"/>
      <c r="J104" s="194"/>
      <c r="K104" s="194">
        <v>1</v>
      </c>
    </row>
    <row r="105" spans="2:11" s="107" customFormat="1" ht="13.2" outlineLevel="1" x14ac:dyDescent="0.25">
      <c r="B105" s="32" t="s">
        <v>140</v>
      </c>
      <c r="C105" s="19"/>
      <c r="D105" s="19"/>
      <c r="E105" s="19"/>
      <c r="F105" s="114"/>
      <c r="G105" s="195">
        <f>SUM(H105:K105)</f>
        <v>1</v>
      </c>
      <c r="H105" s="195">
        <v>1</v>
      </c>
      <c r="I105" s="195"/>
      <c r="J105" s="195"/>
      <c r="K105" s="195"/>
    </row>
    <row r="106" spans="2:11" s="31" customFormat="1" ht="13.2" x14ac:dyDescent="0.25">
      <c r="B106" s="32"/>
      <c r="C106" s="33"/>
      <c r="D106" s="33"/>
      <c r="E106" s="33"/>
      <c r="F106" s="20"/>
      <c r="G106" s="20"/>
      <c r="H106" s="44"/>
      <c r="I106" s="44"/>
      <c r="J106" s="44"/>
      <c r="K106" s="44"/>
    </row>
    <row r="107" spans="2:11" s="107" customFormat="1" ht="13.2" x14ac:dyDescent="0.25">
      <c r="B107" s="41" t="s">
        <v>104</v>
      </c>
      <c r="C107" s="19"/>
      <c r="D107" s="19"/>
      <c r="E107" s="19"/>
      <c r="F107" s="171">
        <f>H70</f>
        <v>1</v>
      </c>
      <c r="G107" s="172">
        <f>G108</f>
        <v>1</v>
      </c>
      <c r="H107" s="172">
        <f>H108</f>
        <v>0</v>
      </c>
      <c r="I107" s="172">
        <f t="shared" ref="I107:K107" si="9">I108</f>
        <v>0</v>
      </c>
      <c r="J107" s="172">
        <f t="shared" si="9"/>
        <v>0</v>
      </c>
      <c r="K107" s="172">
        <f t="shared" si="9"/>
        <v>1</v>
      </c>
    </row>
    <row r="108" spans="2:11" s="107" customFormat="1" ht="13.2" outlineLevel="1" x14ac:dyDescent="0.25">
      <c r="B108" s="32" t="s">
        <v>159</v>
      </c>
      <c r="C108" s="19"/>
      <c r="D108" s="19"/>
      <c r="E108" s="19"/>
      <c r="F108" s="168"/>
      <c r="G108" s="191">
        <f>SUM(H108:K108)</f>
        <v>1</v>
      </c>
      <c r="H108" s="191"/>
      <c r="I108" s="191"/>
      <c r="J108" s="191"/>
      <c r="K108" s="191">
        <v>1</v>
      </c>
    </row>
    <row r="109" spans="2:11" s="107" customFormat="1" ht="13.2" x14ac:dyDescent="0.25">
      <c r="B109" s="207"/>
      <c r="C109" s="119"/>
      <c r="D109" s="119"/>
      <c r="E109" s="119"/>
      <c r="F109" s="169"/>
      <c r="G109" s="169"/>
      <c r="H109" s="169"/>
      <c r="I109" s="169"/>
      <c r="J109" s="169"/>
      <c r="K109" s="169"/>
    </row>
    <row r="111" spans="2:11" x14ac:dyDescent="0.3">
      <c r="B111" s="46" t="s">
        <v>200</v>
      </c>
    </row>
    <row r="113" spans="2:14" ht="21.6" customHeight="1" x14ac:dyDescent="0.3">
      <c r="B113" s="255" t="s">
        <v>48</v>
      </c>
      <c r="C113" s="256"/>
      <c r="D113" s="256"/>
      <c r="E113" s="257"/>
      <c r="F113" s="246" t="s">
        <v>196</v>
      </c>
      <c r="G113" s="247"/>
      <c r="H113" s="271" t="s">
        <v>164</v>
      </c>
      <c r="I113" s="278"/>
      <c r="J113" s="278"/>
      <c r="K113" s="278"/>
      <c r="L113" s="278"/>
      <c r="M113" s="279"/>
      <c r="N113" s="304" t="s">
        <v>330</v>
      </c>
    </row>
    <row r="114" spans="2:14" ht="35.4" customHeight="1" x14ac:dyDescent="0.3">
      <c r="B114" s="258"/>
      <c r="C114" s="275"/>
      <c r="D114" s="275"/>
      <c r="E114" s="276"/>
      <c r="F114" s="248"/>
      <c r="G114" s="249"/>
      <c r="H114" s="271" t="s">
        <v>242</v>
      </c>
      <c r="I114" s="272"/>
      <c r="J114" s="272"/>
      <c r="K114" s="272"/>
      <c r="L114" s="273"/>
      <c r="M114" s="181" t="s">
        <v>240</v>
      </c>
      <c r="N114" s="305"/>
    </row>
    <row r="115" spans="2:14" s="90" customFormat="1" ht="89.4" customHeight="1" x14ac:dyDescent="0.3">
      <c r="B115" s="260"/>
      <c r="C115" s="261"/>
      <c r="D115" s="261"/>
      <c r="E115" s="277"/>
      <c r="F115" s="89" t="s">
        <v>49</v>
      </c>
      <c r="G115" s="89" t="s">
        <v>50</v>
      </c>
      <c r="H115" s="94" t="s">
        <v>246</v>
      </c>
      <c r="I115" s="91" t="s">
        <v>245</v>
      </c>
      <c r="J115" s="89" t="s">
        <v>244</v>
      </c>
      <c r="K115" s="89" t="s">
        <v>249</v>
      </c>
      <c r="L115" s="91" t="s">
        <v>243</v>
      </c>
      <c r="M115" s="89" t="s">
        <v>241</v>
      </c>
      <c r="N115" s="101" t="s">
        <v>329</v>
      </c>
    </row>
    <row r="116" spans="2:14" x14ac:dyDescent="0.3">
      <c r="B116" s="32"/>
      <c r="C116" s="33"/>
      <c r="D116" s="33"/>
      <c r="E116" s="34"/>
      <c r="F116" s="20"/>
      <c r="G116" s="20"/>
      <c r="H116" s="44"/>
      <c r="I116" s="3"/>
      <c r="J116" s="88"/>
      <c r="K116" s="20"/>
      <c r="L116" s="88"/>
      <c r="M116" s="88"/>
      <c r="N116" s="20"/>
    </row>
    <row r="117" spans="2:14" x14ac:dyDescent="0.3">
      <c r="B117" s="37" t="s">
        <v>51</v>
      </c>
      <c r="C117" s="38"/>
      <c r="D117" s="38"/>
      <c r="E117" s="39"/>
      <c r="F117" s="77">
        <f>SUM(F119,F124,F127)</f>
        <v>12</v>
      </c>
      <c r="G117" s="67">
        <f t="shared" ref="G117:I117" si="10">SUM(G119,G124,G127)</f>
        <v>34</v>
      </c>
      <c r="H117" s="67">
        <f t="shared" si="10"/>
        <v>7</v>
      </c>
      <c r="I117" s="40">
        <f t="shared" si="10"/>
        <v>6</v>
      </c>
      <c r="J117" s="67">
        <f t="shared" ref="J117:N117" si="11">SUM(J119,J124,J127)</f>
        <v>6</v>
      </c>
      <c r="K117" s="67">
        <f>SUM(K119,K124,K127)</f>
        <v>2</v>
      </c>
      <c r="L117" s="67">
        <f t="shared" si="11"/>
        <v>3</v>
      </c>
      <c r="M117" s="67">
        <f t="shared" si="11"/>
        <v>4</v>
      </c>
      <c r="N117" s="67">
        <f t="shared" si="11"/>
        <v>6</v>
      </c>
    </row>
    <row r="118" spans="2:14" x14ac:dyDescent="0.3">
      <c r="B118" s="32" t="s">
        <v>47</v>
      </c>
      <c r="C118" s="33"/>
      <c r="D118" s="33"/>
      <c r="E118" s="34"/>
      <c r="F118" s="20"/>
      <c r="G118" s="20"/>
      <c r="H118" s="35"/>
      <c r="I118" s="3"/>
      <c r="J118" s="65"/>
      <c r="K118" s="20"/>
      <c r="L118" s="65"/>
      <c r="M118" s="65"/>
      <c r="N118" s="20"/>
    </row>
    <row r="119" spans="2:14" s="107" customFormat="1" ht="13.2" x14ac:dyDescent="0.25">
      <c r="B119" s="41" t="s">
        <v>60</v>
      </c>
      <c r="C119" s="19"/>
      <c r="D119" s="19"/>
      <c r="E119" s="19"/>
      <c r="F119" s="171">
        <f>J18</f>
        <v>3</v>
      </c>
      <c r="G119" s="172">
        <f t="shared" ref="G119:I119" si="12">SUM(G120:G122)</f>
        <v>10</v>
      </c>
      <c r="H119" s="172">
        <f t="shared" si="12"/>
        <v>1</v>
      </c>
      <c r="I119" s="231">
        <f t="shared" si="12"/>
        <v>2</v>
      </c>
      <c r="J119" s="172">
        <f t="shared" ref="J119:N119" si="13">SUM(J120:J122)</f>
        <v>2</v>
      </c>
      <c r="K119" s="172">
        <f t="shared" ref="K119" si="14">SUM(K120:K122)</f>
        <v>1</v>
      </c>
      <c r="L119" s="172">
        <f t="shared" si="13"/>
        <v>2</v>
      </c>
      <c r="M119" s="172">
        <f t="shared" si="13"/>
        <v>1</v>
      </c>
      <c r="N119" s="172">
        <f t="shared" si="13"/>
        <v>1</v>
      </c>
    </row>
    <row r="120" spans="2:14" s="107" customFormat="1" ht="13.2" outlineLevel="1" x14ac:dyDescent="0.25">
      <c r="B120" s="32" t="s">
        <v>406</v>
      </c>
      <c r="C120" s="19"/>
      <c r="D120" s="19"/>
      <c r="E120" s="19"/>
      <c r="F120" s="168"/>
      <c r="G120" s="194">
        <f>SUM(H120:N120)</f>
        <v>3</v>
      </c>
      <c r="H120" s="194"/>
      <c r="I120" s="208">
        <v>1</v>
      </c>
      <c r="J120" s="194">
        <v>1</v>
      </c>
      <c r="K120" s="194">
        <v>1</v>
      </c>
      <c r="L120" s="194"/>
      <c r="M120" s="194"/>
      <c r="N120" s="194"/>
    </row>
    <row r="121" spans="2:14" s="107" customFormat="1" ht="13.2" outlineLevel="1" x14ac:dyDescent="0.25">
      <c r="B121" s="32" t="s">
        <v>115</v>
      </c>
      <c r="C121" s="19"/>
      <c r="D121" s="19"/>
      <c r="E121" s="19"/>
      <c r="F121" s="168"/>
      <c r="G121" s="124">
        <f>SUM(H121:N121)</f>
        <v>5</v>
      </c>
      <c r="H121" s="124">
        <v>1</v>
      </c>
      <c r="I121" s="45">
        <v>1</v>
      </c>
      <c r="J121" s="124"/>
      <c r="K121" s="124"/>
      <c r="L121" s="124">
        <v>1</v>
      </c>
      <c r="M121" s="124">
        <v>1</v>
      </c>
      <c r="N121" s="124">
        <v>1</v>
      </c>
    </row>
    <row r="122" spans="2:14" s="107" customFormat="1" ht="13.2" outlineLevel="1" x14ac:dyDescent="0.25">
      <c r="B122" s="32" t="s">
        <v>407</v>
      </c>
      <c r="C122" s="19"/>
      <c r="D122" s="19"/>
      <c r="E122" s="19"/>
      <c r="F122" s="168"/>
      <c r="G122" s="195">
        <f>SUM(H122:N122)</f>
        <v>2</v>
      </c>
      <c r="H122" s="195"/>
      <c r="I122" s="209"/>
      <c r="J122" s="195">
        <v>1</v>
      </c>
      <c r="K122" s="195"/>
      <c r="L122" s="195">
        <v>1</v>
      </c>
      <c r="M122" s="195"/>
      <c r="N122" s="195"/>
    </row>
    <row r="123" spans="2:14" s="107" customFormat="1" ht="13.2" x14ac:dyDescent="0.25">
      <c r="B123" s="32"/>
      <c r="C123" s="33"/>
      <c r="D123" s="33"/>
      <c r="E123" s="33"/>
      <c r="F123" s="44"/>
      <c r="G123" s="20"/>
      <c r="H123" s="44"/>
      <c r="I123" s="33"/>
      <c r="J123" s="44"/>
      <c r="K123" s="44"/>
      <c r="L123" s="44"/>
      <c r="M123" s="44"/>
      <c r="N123" s="44"/>
    </row>
    <row r="124" spans="2:14" s="107" customFormat="1" ht="13.2" x14ac:dyDescent="0.25">
      <c r="B124" s="41" t="s">
        <v>40</v>
      </c>
      <c r="C124" s="19"/>
      <c r="D124" s="19"/>
      <c r="E124" s="19"/>
      <c r="F124" s="171">
        <f>J28</f>
        <v>1</v>
      </c>
      <c r="G124" s="172">
        <f t="shared" ref="G124:M124" si="15">SUM(G125:G125)</f>
        <v>4</v>
      </c>
      <c r="H124" s="172">
        <f t="shared" si="15"/>
        <v>1</v>
      </c>
      <c r="I124" s="231">
        <f t="shared" si="15"/>
        <v>1</v>
      </c>
      <c r="J124" s="172">
        <f t="shared" ref="J124:N124" si="16">SUM(J125:J125)</f>
        <v>1</v>
      </c>
      <c r="K124" s="172">
        <f t="shared" si="16"/>
        <v>0</v>
      </c>
      <c r="L124" s="172">
        <f t="shared" si="16"/>
        <v>0</v>
      </c>
      <c r="M124" s="172">
        <f t="shared" si="15"/>
        <v>0</v>
      </c>
      <c r="N124" s="172">
        <f t="shared" si="16"/>
        <v>1</v>
      </c>
    </row>
    <row r="125" spans="2:14" s="107" customFormat="1" ht="13.2" outlineLevel="1" x14ac:dyDescent="0.25">
      <c r="B125" s="32" t="s">
        <v>125</v>
      </c>
      <c r="C125" s="19"/>
      <c r="D125" s="19"/>
      <c r="E125" s="19"/>
      <c r="F125" s="114"/>
      <c r="G125" s="191">
        <f>SUM(H125:N125)</f>
        <v>4</v>
      </c>
      <c r="H125" s="191">
        <v>1</v>
      </c>
      <c r="I125" s="192">
        <v>1</v>
      </c>
      <c r="J125" s="191">
        <v>1</v>
      </c>
      <c r="K125" s="191"/>
      <c r="L125" s="191"/>
      <c r="M125" s="191"/>
      <c r="N125" s="191">
        <v>1</v>
      </c>
    </row>
    <row r="126" spans="2:14" s="107" customFormat="1" ht="13.2" x14ac:dyDescent="0.25">
      <c r="B126" s="32"/>
      <c r="C126" s="33"/>
      <c r="D126" s="33"/>
      <c r="E126" s="33"/>
      <c r="F126" s="20"/>
      <c r="G126" s="20"/>
      <c r="H126" s="44"/>
      <c r="I126" s="33"/>
      <c r="J126" s="44"/>
      <c r="K126" s="44"/>
      <c r="L126" s="44"/>
      <c r="M126" s="44"/>
      <c r="N126" s="44"/>
    </row>
    <row r="127" spans="2:14" s="107" customFormat="1" ht="13.2" x14ac:dyDescent="0.25">
      <c r="B127" s="41" t="s">
        <v>85</v>
      </c>
      <c r="C127" s="19"/>
      <c r="D127" s="19"/>
      <c r="E127" s="19"/>
      <c r="F127" s="171">
        <f>J45</f>
        <v>8</v>
      </c>
      <c r="G127" s="172">
        <f>SUM(G128:G135)</f>
        <v>20</v>
      </c>
      <c r="H127" s="172">
        <f t="shared" ref="H127:I127" si="17">SUM(H128:H135)</f>
        <v>5</v>
      </c>
      <c r="I127" s="231">
        <f t="shared" si="17"/>
        <v>3</v>
      </c>
      <c r="J127" s="172">
        <f t="shared" ref="J127:N127" si="18">SUM(J128:J135)</f>
        <v>3</v>
      </c>
      <c r="K127" s="172">
        <f t="shared" ref="K127" si="19">SUM(K128:K135)</f>
        <v>1</v>
      </c>
      <c r="L127" s="172">
        <f t="shared" si="18"/>
        <v>1</v>
      </c>
      <c r="M127" s="172">
        <f t="shared" si="18"/>
        <v>3</v>
      </c>
      <c r="N127" s="172">
        <f t="shared" si="18"/>
        <v>4</v>
      </c>
    </row>
    <row r="128" spans="2:14" s="107" customFormat="1" ht="13.2" outlineLevel="1" x14ac:dyDescent="0.25">
      <c r="B128" s="32" t="s">
        <v>135</v>
      </c>
      <c r="C128" s="19"/>
      <c r="D128" s="19"/>
      <c r="E128" s="19"/>
      <c r="F128" s="114"/>
      <c r="G128" s="194">
        <f t="shared" ref="G128:G135" si="20">SUM(H128:N128)</f>
        <v>3</v>
      </c>
      <c r="H128" s="194">
        <v>1</v>
      </c>
      <c r="I128" s="208">
        <v>1</v>
      </c>
      <c r="J128" s="194"/>
      <c r="K128" s="194"/>
      <c r="L128" s="194"/>
      <c r="M128" s="194">
        <v>1</v>
      </c>
      <c r="N128" s="194"/>
    </row>
    <row r="129" spans="2:24" s="107" customFormat="1" ht="13.2" outlineLevel="1" x14ac:dyDescent="0.25">
      <c r="B129" s="32" t="s">
        <v>136</v>
      </c>
      <c r="C129" s="19"/>
      <c r="D129" s="19"/>
      <c r="E129" s="19"/>
      <c r="F129" s="114"/>
      <c r="G129" s="124">
        <f t="shared" si="20"/>
        <v>4</v>
      </c>
      <c r="H129" s="124">
        <v>1</v>
      </c>
      <c r="I129" s="45"/>
      <c r="J129" s="124">
        <v>1</v>
      </c>
      <c r="K129" s="124"/>
      <c r="L129" s="124"/>
      <c r="M129" s="124">
        <v>1</v>
      </c>
      <c r="N129" s="124">
        <v>1</v>
      </c>
    </row>
    <row r="130" spans="2:24" s="107" customFormat="1" ht="13.2" outlineLevel="1" x14ac:dyDescent="0.25">
      <c r="B130" s="32" t="s">
        <v>139</v>
      </c>
      <c r="C130" s="19"/>
      <c r="D130" s="19"/>
      <c r="E130" s="19"/>
      <c r="F130" s="114"/>
      <c r="G130" s="124">
        <f t="shared" si="20"/>
        <v>3</v>
      </c>
      <c r="H130" s="124"/>
      <c r="I130" s="45"/>
      <c r="J130" s="124">
        <v>1</v>
      </c>
      <c r="K130" s="124">
        <v>1</v>
      </c>
      <c r="L130" s="124">
        <v>1</v>
      </c>
      <c r="M130" s="124"/>
      <c r="N130" s="124"/>
    </row>
    <row r="131" spans="2:24" s="107" customFormat="1" ht="13.2" outlineLevel="1" x14ac:dyDescent="0.25">
      <c r="B131" s="32" t="s">
        <v>146</v>
      </c>
      <c r="C131" s="19"/>
      <c r="D131" s="19"/>
      <c r="E131" s="19"/>
      <c r="F131" s="114"/>
      <c r="G131" s="124">
        <f t="shared" si="20"/>
        <v>2</v>
      </c>
      <c r="H131" s="124"/>
      <c r="I131" s="124">
        <v>1</v>
      </c>
      <c r="J131" s="45"/>
      <c r="K131" s="124"/>
      <c r="L131" s="124"/>
      <c r="M131" s="124"/>
      <c r="N131" s="124">
        <v>1</v>
      </c>
    </row>
    <row r="132" spans="2:24" s="107" customFormat="1" ht="13.2" outlineLevel="1" x14ac:dyDescent="0.25">
      <c r="B132" s="32" t="s">
        <v>149</v>
      </c>
      <c r="C132" s="19"/>
      <c r="D132" s="19"/>
      <c r="E132" s="19"/>
      <c r="F132" s="114"/>
      <c r="G132" s="124">
        <f t="shared" si="20"/>
        <v>1</v>
      </c>
      <c r="H132" s="124"/>
      <c r="I132" s="45"/>
      <c r="J132" s="124">
        <v>1</v>
      </c>
      <c r="K132" s="124"/>
      <c r="L132" s="124"/>
      <c r="M132" s="124"/>
      <c r="N132" s="124"/>
    </row>
    <row r="133" spans="2:24" s="107" customFormat="1" ht="13.2" outlineLevel="1" x14ac:dyDescent="0.25">
      <c r="B133" s="32" t="s">
        <v>150</v>
      </c>
      <c r="C133" s="19"/>
      <c r="D133" s="19"/>
      <c r="E133" s="19"/>
      <c r="F133" s="114"/>
      <c r="G133" s="124">
        <f t="shared" si="20"/>
        <v>2</v>
      </c>
      <c r="H133" s="124">
        <v>1</v>
      </c>
      <c r="I133" s="45"/>
      <c r="J133" s="124"/>
      <c r="K133" s="124"/>
      <c r="L133" s="124"/>
      <c r="M133" s="124"/>
      <c r="N133" s="124">
        <v>1</v>
      </c>
    </row>
    <row r="134" spans="2:24" s="107" customFormat="1" ht="13.2" outlineLevel="1" x14ac:dyDescent="0.25">
      <c r="B134" s="32" t="s">
        <v>152</v>
      </c>
      <c r="C134" s="19"/>
      <c r="D134" s="19"/>
      <c r="E134" s="19"/>
      <c r="F134" s="114"/>
      <c r="G134" s="124">
        <f t="shared" si="20"/>
        <v>4</v>
      </c>
      <c r="H134" s="124">
        <v>1</v>
      </c>
      <c r="I134" s="45">
        <v>1</v>
      </c>
      <c r="J134" s="124"/>
      <c r="K134" s="124"/>
      <c r="L134" s="124"/>
      <c r="M134" s="124">
        <v>1</v>
      </c>
      <c r="N134" s="124">
        <v>1</v>
      </c>
    </row>
    <row r="135" spans="2:24" s="107" customFormat="1" ht="13.2" outlineLevel="1" x14ac:dyDescent="0.25">
      <c r="B135" s="32" t="s">
        <v>158</v>
      </c>
      <c r="C135" s="19"/>
      <c r="D135" s="19"/>
      <c r="E135" s="19"/>
      <c r="F135" s="114"/>
      <c r="G135" s="195">
        <f t="shared" si="20"/>
        <v>1</v>
      </c>
      <c r="H135" s="195">
        <v>1</v>
      </c>
      <c r="I135" s="209"/>
      <c r="J135" s="195"/>
      <c r="K135" s="195"/>
      <c r="L135" s="195"/>
      <c r="M135" s="195"/>
      <c r="N135" s="195"/>
    </row>
    <row r="136" spans="2:24" x14ac:dyDescent="0.3">
      <c r="B136" s="71"/>
      <c r="C136" s="72"/>
      <c r="D136" s="72"/>
      <c r="E136" s="72"/>
      <c r="F136" s="74"/>
      <c r="G136" s="74"/>
      <c r="H136" s="74"/>
      <c r="I136" s="72"/>
      <c r="J136" s="74"/>
      <c r="K136" s="74"/>
      <c r="L136" s="74"/>
      <c r="M136" s="74"/>
      <c r="N136" s="74"/>
    </row>
    <row r="138" spans="2:24" x14ac:dyDescent="0.3">
      <c r="B138" s="48" t="s">
        <v>53</v>
      </c>
      <c r="D138" s="69"/>
      <c r="E138" s="8"/>
      <c r="F138" s="69"/>
      <c r="G138" s="69"/>
      <c r="H138" s="69"/>
      <c r="I138" s="69"/>
      <c r="J138" s="69"/>
      <c r="K138" s="69"/>
      <c r="L138" s="69"/>
      <c r="M138" s="69"/>
      <c r="N138" s="69"/>
      <c r="O138" s="69"/>
      <c r="P138" s="69"/>
      <c r="Q138" s="69"/>
      <c r="R138" s="69"/>
      <c r="S138" s="69"/>
      <c r="T138" s="69"/>
      <c r="U138" s="69"/>
      <c r="V138" s="69"/>
      <c r="W138" s="69"/>
      <c r="X138" s="69"/>
    </row>
    <row r="139" spans="2:24" x14ac:dyDescent="0.3">
      <c r="B139" s="46" t="s">
        <v>161</v>
      </c>
    </row>
  </sheetData>
  <mergeCells count="17">
    <mergeCell ref="B2:C2"/>
    <mergeCell ref="B8:E8"/>
    <mergeCell ref="F8:G8"/>
    <mergeCell ref="H8:I8"/>
    <mergeCell ref="J8:K8"/>
    <mergeCell ref="T8:U8"/>
    <mergeCell ref="B9:E9"/>
    <mergeCell ref="B77:E79"/>
    <mergeCell ref="F113:G114"/>
    <mergeCell ref="F77:G78"/>
    <mergeCell ref="H114:L114"/>
    <mergeCell ref="B113:E115"/>
    <mergeCell ref="L8:M8"/>
    <mergeCell ref="N113:N114"/>
    <mergeCell ref="H113:M113"/>
    <mergeCell ref="H77:K77"/>
    <mergeCell ref="I78:J78"/>
  </mergeCells>
  <pageMargins left="0.7" right="0.7" top="0.75" bottom="0.75" header="0.3" footer="0.3"/>
  <pageSetup scale="34" orientation="landscape" r:id="rId1"/>
  <ignoredErrors>
    <ignoredError sqref="G11:H11 J11:L11 I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68ED1-E0C5-4810-8470-551C8ECFEDF2}">
  <sheetPr>
    <pageSetUpPr fitToPage="1"/>
  </sheetPr>
  <dimension ref="B1:AS142"/>
  <sheetViews>
    <sheetView showGridLines="0" topLeftCell="A103" workbookViewId="0">
      <selection activeCell="E2" sqref="E2"/>
    </sheetView>
  </sheetViews>
  <sheetFormatPr defaultRowHeight="14.4" outlineLevelRow="1" x14ac:dyDescent="0.3"/>
  <cols>
    <col min="1" max="1" width="3.109375" customWidth="1"/>
    <col min="2" max="3" width="16.44140625" customWidth="1"/>
    <col min="6" max="6" width="12.6640625" customWidth="1"/>
    <col min="7" max="7" width="11.44140625" customWidth="1"/>
    <col min="8" max="8" width="13.77734375" customWidth="1"/>
    <col min="9" max="9" width="13.5546875" customWidth="1"/>
    <col min="10" max="10" width="13.21875" customWidth="1"/>
    <col min="11" max="11" width="12.109375" customWidth="1"/>
    <col min="12" max="12" width="13.21875" customWidth="1"/>
    <col min="13" max="13" width="12.88671875" customWidth="1"/>
    <col min="14" max="14" width="12.5546875" customWidth="1"/>
    <col min="15" max="15" width="14" customWidth="1"/>
    <col min="16" max="16" width="16.109375" customWidth="1"/>
    <col min="17" max="17" width="10" customWidth="1"/>
    <col min="18" max="18" width="12.6640625" customWidth="1"/>
    <col min="19" max="20" width="12.109375" customWidth="1"/>
    <col min="21" max="21" width="12.5546875" customWidth="1"/>
    <col min="22" max="22" width="11.44140625" customWidth="1"/>
    <col min="23" max="23" width="13" customWidth="1"/>
    <col min="24" max="24" width="12.88671875" customWidth="1"/>
    <col min="25" max="25" width="11.88671875" customWidth="1"/>
    <col min="26" max="26" width="16" customWidth="1"/>
    <col min="27" max="27" width="20.88671875" customWidth="1"/>
    <col min="28" max="28" width="18.6640625" customWidth="1"/>
    <col min="29" max="29" width="17.6640625" customWidth="1"/>
    <col min="30" max="30" width="16.88671875" customWidth="1"/>
    <col min="31" max="31" width="20.44140625" customWidth="1"/>
    <col min="32" max="33" width="18.109375" customWidth="1"/>
    <col min="34" max="34" width="18.44140625" customWidth="1"/>
    <col min="35" max="35" width="21" customWidth="1"/>
    <col min="36" max="36" width="19.109375" customWidth="1"/>
    <col min="37" max="37" width="17.44140625" customWidth="1"/>
    <col min="38" max="38" width="21.109375" customWidth="1"/>
  </cols>
  <sheetData>
    <row r="1" spans="2:45" s="1" customFormat="1" ht="13.2" x14ac:dyDescent="0.25">
      <c r="E1" s="2"/>
      <c r="F1" s="2"/>
      <c r="G1" s="2"/>
      <c r="H1" s="3"/>
      <c r="I1" s="3"/>
      <c r="J1" s="3"/>
      <c r="K1" s="3"/>
      <c r="L1" s="3"/>
      <c r="M1" s="3"/>
      <c r="N1" s="3"/>
      <c r="O1" s="3"/>
      <c r="P1" s="3"/>
      <c r="Q1" s="3"/>
      <c r="R1" s="3"/>
      <c r="S1" s="3"/>
      <c r="T1" s="3"/>
      <c r="U1" s="3"/>
      <c r="V1" s="3"/>
      <c r="W1" s="3"/>
      <c r="X1" s="2"/>
      <c r="Y1" s="2"/>
    </row>
    <row r="2" spans="2:45" s="1" customFormat="1" ht="18.600000000000001" customHeight="1" x14ac:dyDescent="0.25">
      <c r="B2" s="262" t="s">
        <v>180</v>
      </c>
      <c r="C2" s="263"/>
      <c r="E2" s="4"/>
      <c r="F2" s="2"/>
      <c r="G2" s="2"/>
      <c r="H2" s="3"/>
      <c r="I2" s="3"/>
      <c r="J2" s="30"/>
      <c r="K2" s="3"/>
      <c r="L2" s="3"/>
      <c r="M2" s="3"/>
      <c r="N2" s="3"/>
      <c r="O2" s="3"/>
      <c r="P2" s="3"/>
      <c r="Q2" s="3"/>
      <c r="R2" s="3"/>
      <c r="S2" s="3"/>
      <c r="T2" s="3"/>
      <c r="U2" s="3"/>
      <c r="V2" s="3"/>
      <c r="W2" s="3"/>
      <c r="X2" s="2"/>
      <c r="Y2" s="2"/>
    </row>
    <row r="3" spans="2:45" s="1" customFormat="1" ht="20.399999999999999" customHeight="1" x14ac:dyDescent="0.3">
      <c r="B3" s="7" t="s">
        <v>19</v>
      </c>
      <c r="F3" s="2"/>
      <c r="G3" s="2"/>
      <c r="H3" s="3"/>
      <c r="I3" s="3"/>
      <c r="J3" s="3"/>
      <c r="K3" s="3"/>
      <c r="L3" s="3"/>
      <c r="M3" s="3"/>
      <c r="N3" s="3"/>
      <c r="O3" s="3"/>
      <c r="P3" s="3"/>
      <c r="Q3" s="3"/>
      <c r="R3" s="3"/>
      <c r="S3" s="3"/>
      <c r="T3" s="3"/>
      <c r="U3" s="3"/>
      <c r="V3" s="3"/>
      <c r="W3" s="3"/>
      <c r="X3" s="2"/>
      <c r="Y3" s="2"/>
    </row>
    <row r="4" spans="2:45" s="1" customFormat="1" ht="15.6" x14ac:dyDescent="0.3">
      <c r="B4" s="5"/>
      <c r="F4" s="2"/>
      <c r="G4" s="2"/>
      <c r="H4" s="3"/>
      <c r="I4" s="3"/>
      <c r="J4" s="3"/>
      <c r="K4" s="3"/>
      <c r="L4" s="3"/>
      <c r="M4" s="3"/>
      <c r="N4" s="3"/>
      <c r="O4" s="3"/>
      <c r="P4" s="3"/>
      <c r="Q4" s="3"/>
      <c r="R4" s="3"/>
      <c r="S4" s="3"/>
      <c r="T4" s="3"/>
      <c r="U4" s="3"/>
      <c r="V4" s="3"/>
      <c r="W4" s="3"/>
      <c r="X4" s="2"/>
      <c r="Y4" s="2"/>
    </row>
    <row r="5" spans="2:45" s="1" customFormat="1" ht="15" customHeight="1" x14ac:dyDescent="0.25">
      <c r="B5" s="6" t="s">
        <v>10</v>
      </c>
      <c r="F5" s="2"/>
      <c r="G5" s="2"/>
      <c r="H5" s="3"/>
      <c r="I5" s="3"/>
      <c r="J5" s="3"/>
      <c r="K5" s="3"/>
      <c r="L5" s="3"/>
      <c r="M5" s="3"/>
      <c r="N5" s="3"/>
      <c r="O5" s="3"/>
      <c r="P5" s="3"/>
      <c r="Q5" s="3"/>
      <c r="R5" s="3"/>
      <c r="S5" s="3"/>
      <c r="T5" s="3"/>
      <c r="U5" s="3"/>
      <c r="V5" s="3"/>
      <c r="W5" s="3"/>
      <c r="X5" s="2"/>
      <c r="Y5" s="2"/>
    </row>
    <row r="6" spans="2:45" s="1" customFormat="1" ht="13.2" x14ac:dyDescent="0.25">
      <c r="B6" s="49" t="s">
        <v>16</v>
      </c>
      <c r="C6" s="49"/>
      <c r="D6" s="49"/>
      <c r="E6" s="49"/>
      <c r="F6" s="49"/>
      <c r="G6" s="49"/>
      <c r="H6" s="49"/>
      <c r="I6" s="49"/>
      <c r="J6" s="49"/>
      <c r="K6" s="49"/>
      <c r="L6" s="49"/>
      <c r="M6" s="49"/>
      <c r="N6" s="49"/>
      <c r="O6" s="49"/>
      <c r="P6" s="49"/>
      <c r="Q6" s="49"/>
      <c r="R6" s="3"/>
      <c r="S6" s="3"/>
      <c r="T6" s="3"/>
      <c r="U6" s="3"/>
      <c r="V6" s="3"/>
      <c r="W6" s="3"/>
      <c r="X6" s="2"/>
      <c r="Y6" s="2"/>
    </row>
    <row r="8" spans="2:45" s="1" customFormat="1" ht="53.4" customHeight="1" x14ac:dyDescent="0.25">
      <c r="B8" s="264" t="s">
        <v>34</v>
      </c>
      <c r="C8" s="265"/>
      <c r="D8" s="265"/>
      <c r="E8" s="266"/>
      <c r="F8" s="267" t="s">
        <v>201</v>
      </c>
      <c r="G8" s="268"/>
      <c r="H8" s="267" t="s">
        <v>202</v>
      </c>
      <c r="I8" s="268"/>
      <c r="J8" s="267" t="s">
        <v>203</v>
      </c>
      <c r="K8" s="268"/>
      <c r="L8" s="242" t="s">
        <v>209</v>
      </c>
      <c r="M8" s="243"/>
      <c r="N8" s="110"/>
      <c r="O8" s="8"/>
      <c r="P8" s="8"/>
      <c r="Q8" s="8"/>
      <c r="R8" s="8"/>
      <c r="S8" s="8"/>
      <c r="T8" s="303"/>
      <c r="U8" s="303"/>
      <c r="V8" s="303"/>
      <c r="W8" s="3"/>
      <c r="X8" s="3"/>
      <c r="Y8" s="3"/>
      <c r="Z8" s="3"/>
      <c r="AA8" s="3"/>
      <c r="AB8" s="3"/>
      <c r="AC8" s="3"/>
      <c r="AD8" s="3"/>
      <c r="AE8" s="3"/>
      <c r="AF8" s="3"/>
      <c r="AG8" s="3"/>
      <c r="AH8" s="3"/>
      <c r="AI8" s="3"/>
      <c r="AJ8" s="3"/>
      <c r="AK8" s="3"/>
      <c r="AL8" s="3"/>
      <c r="AM8" s="3"/>
      <c r="AN8" s="2"/>
      <c r="AO8" s="2"/>
      <c r="AP8" s="2"/>
      <c r="AQ8" s="2"/>
      <c r="AR8" s="2"/>
      <c r="AS8" s="2"/>
    </row>
    <row r="9" spans="2:45" s="1" customFormat="1" ht="14.4" customHeight="1" x14ac:dyDescent="0.25">
      <c r="B9" s="244" t="s">
        <v>402</v>
      </c>
      <c r="C9" s="245"/>
      <c r="D9" s="245"/>
      <c r="E9" s="245"/>
      <c r="F9" s="9" t="s">
        <v>37</v>
      </c>
      <c r="G9" s="57" t="s">
        <v>38</v>
      </c>
      <c r="H9" s="9" t="s">
        <v>37</v>
      </c>
      <c r="I9" s="57" t="s">
        <v>38</v>
      </c>
      <c r="J9" s="9" t="s">
        <v>37</v>
      </c>
      <c r="K9" s="57" t="s">
        <v>38</v>
      </c>
      <c r="L9" s="9" t="s">
        <v>37</v>
      </c>
      <c r="M9" s="61" t="s">
        <v>38</v>
      </c>
      <c r="N9" s="50"/>
      <c r="O9" s="50"/>
      <c r="P9" s="50"/>
      <c r="Q9" s="50"/>
      <c r="R9" s="10"/>
      <c r="S9" s="10"/>
      <c r="T9" s="10"/>
      <c r="U9" s="10"/>
      <c r="V9" s="10"/>
      <c r="W9" s="3"/>
      <c r="X9" s="3"/>
      <c r="Y9" s="3"/>
      <c r="Z9" s="3"/>
      <c r="AA9" s="3"/>
      <c r="AB9" s="3"/>
      <c r="AC9" s="3"/>
      <c r="AD9" s="3"/>
      <c r="AE9" s="3"/>
      <c r="AF9" s="3"/>
      <c r="AG9" s="3"/>
      <c r="AH9" s="3"/>
      <c r="AI9" s="3"/>
      <c r="AJ9" s="3"/>
      <c r="AK9" s="3"/>
      <c r="AL9" s="3"/>
      <c r="AM9" s="3"/>
      <c r="AN9" s="2"/>
      <c r="AO9" s="2"/>
      <c r="AP9" s="2"/>
      <c r="AQ9" s="2"/>
      <c r="AR9" s="2"/>
      <c r="AS9" s="2"/>
    </row>
    <row r="10" spans="2:45" s="1" customFormat="1" ht="15" customHeight="1" x14ac:dyDescent="0.25">
      <c r="B10" s="11"/>
      <c r="C10" s="12"/>
      <c r="D10" s="12"/>
      <c r="E10" s="12"/>
      <c r="F10" s="13"/>
      <c r="G10" s="80"/>
      <c r="H10" s="13"/>
      <c r="I10" s="80"/>
      <c r="J10" s="13"/>
      <c r="K10" s="80"/>
      <c r="L10" s="13"/>
      <c r="M10" s="79"/>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2"/>
      <c r="AO10" s="2"/>
      <c r="AP10" s="2"/>
      <c r="AQ10" s="2"/>
      <c r="AR10" s="2"/>
      <c r="AS10" s="2"/>
    </row>
    <row r="11" spans="2:45" s="1" customFormat="1" ht="15" customHeight="1" x14ac:dyDescent="0.25">
      <c r="B11" s="15" t="s">
        <v>39</v>
      </c>
      <c r="C11" s="16"/>
      <c r="D11" s="16"/>
      <c r="E11" s="78">
        <f>SUM(F11,H11,J11,L11)</f>
        <v>52</v>
      </c>
      <c r="F11" s="17">
        <f>SUM(F13,F15,F18,F28,F40,F45,F70)</f>
        <v>17</v>
      </c>
      <c r="G11" s="81">
        <f>F11/$E$11</f>
        <v>0.32692307692307693</v>
      </c>
      <c r="H11" s="75">
        <f>SUM(H13,H15,H18,H28,H40,H45,H70)</f>
        <v>32</v>
      </c>
      <c r="I11" s="81">
        <f>H11/$E$11</f>
        <v>0.61538461538461542</v>
      </c>
      <c r="J11" s="18">
        <f>SUM(J13,J15,J18,J28,J40,J45,J70)</f>
        <v>2</v>
      </c>
      <c r="K11" s="81">
        <f>J11/$E$11</f>
        <v>3.8461538461538464E-2</v>
      </c>
      <c r="L11" s="17">
        <f>SUM(L13,L15,L18,L28,L40,L45,L70)</f>
        <v>1</v>
      </c>
      <c r="M11" s="82">
        <f>L11/$E$11</f>
        <v>1.9230769230769232E-2</v>
      </c>
      <c r="N11" s="29"/>
      <c r="O11" s="29"/>
      <c r="P11" s="29"/>
      <c r="Q11" s="29"/>
      <c r="R11" s="51"/>
      <c r="S11" s="51"/>
      <c r="T11" s="51"/>
      <c r="U11" s="51"/>
      <c r="V11" s="29"/>
      <c r="W11" s="30"/>
      <c r="X11" s="30"/>
      <c r="Y11" s="30"/>
      <c r="Z11" s="30"/>
      <c r="AA11" s="30"/>
      <c r="AB11" s="30"/>
      <c r="AC11" s="30"/>
      <c r="AD11" s="30"/>
      <c r="AE11" s="30"/>
      <c r="AF11" s="30"/>
      <c r="AG11" s="30"/>
      <c r="AH11" s="30"/>
      <c r="AI11" s="30"/>
      <c r="AJ11" s="30"/>
      <c r="AK11" s="30"/>
      <c r="AL11" s="30"/>
      <c r="AM11" s="30"/>
      <c r="AN11" s="2"/>
      <c r="AO11" s="2"/>
      <c r="AP11" s="2"/>
      <c r="AQ11" s="2"/>
      <c r="AR11" s="2"/>
      <c r="AS11" s="2"/>
    </row>
    <row r="12" spans="2:45" s="33" customFormat="1" ht="15" customHeight="1" x14ac:dyDescent="0.25">
      <c r="B12" s="25"/>
      <c r="C12" s="47"/>
      <c r="D12" s="47"/>
      <c r="E12" s="3"/>
      <c r="F12" s="20"/>
      <c r="G12" s="3"/>
      <c r="H12" s="58"/>
      <c r="I12" s="3"/>
      <c r="J12" s="20"/>
      <c r="K12" s="3"/>
      <c r="L12" s="20"/>
      <c r="M12" s="21"/>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spans="2:45" s="33" customFormat="1" ht="15" customHeight="1" x14ac:dyDescent="0.25">
      <c r="B13" s="126" t="s">
        <v>52</v>
      </c>
      <c r="C13" s="22"/>
      <c r="D13" s="22"/>
      <c r="E13" s="84"/>
      <c r="F13" s="117">
        <f>F14</f>
        <v>1</v>
      </c>
      <c r="G13" s="84"/>
      <c r="H13" s="129">
        <f>H14</f>
        <v>0</v>
      </c>
      <c r="I13" s="84"/>
      <c r="J13" s="117">
        <f>J14</f>
        <v>0</v>
      </c>
      <c r="K13" s="84"/>
      <c r="L13" s="117">
        <f>L14</f>
        <v>0</v>
      </c>
      <c r="M13" s="11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spans="2:45" s="33" customFormat="1" ht="15" hidden="1" customHeight="1" outlineLevel="1" x14ac:dyDescent="0.25">
      <c r="B14" s="166" t="s">
        <v>55</v>
      </c>
      <c r="C14" s="47"/>
      <c r="D14" s="47"/>
      <c r="E14" s="3"/>
      <c r="F14" s="190">
        <v>1</v>
      </c>
      <c r="G14" s="3"/>
      <c r="H14" s="185"/>
      <c r="I14" s="3"/>
      <c r="J14" s="190"/>
      <c r="K14" s="3"/>
      <c r="L14" s="190"/>
      <c r="M14" s="21"/>
      <c r="N14" s="3" t="str">
        <f>IF(SUM(F14,H14,J14,L14)&gt;1,"Error","")</f>
        <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spans="2:45" s="33" customFormat="1" ht="15" customHeight="1" collapsed="1" x14ac:dyDescent="0.25">
      <c r="B15" s="32" t="s">
        <v>57</v>
      </c>
      <c r="C15" s="47"/>
      <c r="D15" s="47"/>
      <c r="E15" s="3"/>
      <c r="F15" s="20">
        <f>SUM(F16:F17)</f>
        <v>1</v>
      </c>
      <c r="G15" s="3"/>
      <c r="H15" s="58">
        <f>SUM(H16:H17)</f>
        <v>1</v>
      </c>
      <c r="I15" s="3"/>
      <c r="J15" s="20">
        <f>SUM(J16:J17)</f>
        <v>0</v>
      </c>
      <c r="K15" s="3"/>
      <c r="L15" s="20">
        <f>SUM(L16:L17)</f>
        <v>0</v>
      </c>
      <c r="M15" s="21"/>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spans="2:45" s="33" customFormat="1" ht="15" hidden="1" customHeight="1" outlineLevel="1" x14ac:dyDescent="0.25">
      <c r="B16" s="166" t="s">
        <v>58</v>
      </c>
      <c r="C16" s="47"/>
      <c r="D16" s="47"/>
      <c r="E16" s="3"/>
      <c r="F16" s="186">
        <v>1</v>
      </c>
      <c r="G16" s="3"/>
      <c r="H16" s="188"/>
      <c r="I16" s="3"/>
      <c r="J16" s="186"/>
      <c r="K16" s="3"/>
      <c r="L16" s="186"/>
      <c r="M16" s="21"/>
      <c r="N16" s="3" t="str">
        <f t="shared" ref="N16:N17" si="0">IF(SUM(F16,H16,J16,L16)&gt;1,"Error","")</f>
        <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spans="2:45" s="33" customFormat="1" ht="15" hidden="1" customHeight="1" outlineLevel="1" x14ac:dyDescent="0.25">
      <c r="B17" s="166" t="s">
        <v>59</v>
      </c>
      <c r="C17" s="47"/>
      <c r="D17" s="47"/>
      <c r="E17" s="3"/>
      <c r="F17" s="187"/>
      <c r="G17" s="3"/>
      <c r="H17" s="189">
        <v>1</v>
      </c>
      <c r="I17" s="3"/>
      <c r="J17" s="187"/>
      <c r="K17" s="3"/>
      <c r="L17" s="187"/>
      <c r="M17" s="21"/>
      <c r="N17" s="3" t="str">
        <f t="shared" si="0"/>
        <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2:45" s="33" customFormat="1" ht="15" customHeight="1" collapsed="1" x14ac:dyDescent="0.25">
      <c r="B18" s="126" t="s">
        <v>60</v>
      </c>
      <c r="C18" s="22"/>
      <c r="D18" s="22"/>
      <c r="E18" s="84"/>
      <c r="F18" s="117">
        <f>SUM(F19:F27)</f>
        <v>2</v>
      </c>
      <c r="G18" s="84"/>
      <c r="H18" s="129">
        <f>SUM(H19:H27)</f>
        <v>7</v>
      </c>
      <c r="I18" s="84"/>
      <c r="J18" s="117">
        <f>SUM(J19:J27)</f>
        <v>0</v>
      </c>
      <c r="K18" s="84"/>
      <c r="L18" s="117">
        <f>SUM(L19:L27)</f>
        <v>0</v>
      </c>
      <c r="M18" s="118"/>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2:45" s="33" customFormat="1" ht="15" hidden="1" customHeight="1" outlineLevel="1" x14ac:dyDescent="0.25">
      <c r="B19" s="166" t="s">
        <v>61</v>
      </c>
      <c r="C19" s="47"/>
      <c r="D19" s="47"/>
      <c r="E19" s="3"/>
      <c r="F19" s="186"/>
      <c r="G19" s="3"/>
      <c r="H19" s="188">
        <v>1</v>
      </c>
      <c r="I19" s="3"/>
      <c r="J19" s="186"/>
      <c r="K19" s="3"/>
      <c r="L19" s="186"/>
      <c r="M19" s="21"/>
      <c r="N19" s="3" t="str">
        <f t="shared" ref="N19:N27" si="1">IF(SUM(F19,H19,J19,L19)&gt;1,"Error","")</f>
        <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2:45" s="33" customFormat="1" ht="15" hidden="1" customHeight="1" outlineLevel="1" x14ac:dyDescent="0.25">
      <c r="B20" s="166" t="s">
        <v>62</v>
      </c>
      <c r="C20" s="47"/>
      <c r="D20" s="47"/>
      <c r="E20" s="3"/>
      <c r="F20" s="127"/>
      <c r="G20" s="3"/>
      <c r="H20" s="130">
        <v>1</v>
      </c>
      <c r="I20" s="3"/>
      <c r="J20" s="127"/>
      <c r="K20" s="3"/>
      <c r="L20" s="127"/>
      <c r="M20" s="21"/>
      <c r="N20" s="3" t="str">
        <f t="shared" si="1"/>
        <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2:45" s="33" customFormat="1" ht="15" hidden="1" customHeight="1" outlineLevel="1" x14ac:dyDescent="0.25">
      <c r="B21" s="166" t="s">
        <v>63</v>
      </c>
      <c r="C21" s="47"/>
      <c r="D21" s="47"/>
      <c r="E21" s="3"/>
      <c r="F21" s="127"/>
      <c r="G21" s="3"/>
      <c r="H21" s="130">
        <v>1</v>
      </c>
      <c r="I21" s="3"/>
      <c r="J21" s="127"/>
      <c r="K21" s="3"/>
      <c r="L21" s="127"/>
      <c r="M21" s="21"/>
      <c r="N21" s="3" t="str">
        <f t="shared" si="1"/>
        <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2:45" s="33" customFormat="1" ht="15" hidden="1" customHeight="1" outlineLevel="1" x14ac:dyDescent="0.25">
      <c r="B22" s="166" t="s">
        <v>64</v>
      </c>
      <c r="C22" s="47"/>
      <c r="D22" s="47"/>
      <c r="E22" s="3"/>
      <c r="F22" s="127"/>
      <c r="G22" s="3"/>
      <c r="H22" s="130">
        <v>1</v>
      </c>
      <c r="I22" s="3"/>
      <c r="J22" s="127"/>
      <c r="K22" s="3"/>
      <c r="L22" s="127"/>
      <c r="M22" s="21"/>
      <c r="N22" s="3" t="str">
        <f t="shared" si="1"/>
        <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spans="2:45" s="33" customFormat="1" ht="15" hidden="1" customHeight="1" outlineLevel="1" x14ac:dyDescent="0.25">
      <c r="B23" s="166" t="s">
        <v>65</v>
      </c>
      <c r="C23" s="47"/>
      <c r="D23" s="47"/>
      <c r="E23" s="3"/>
      <c r="F23" s="127"/>
      <c r="G23" s="3"/>
      <c r="H23" s="130">
        <v>1</v>
      </c>
      <c r="I23" s="3"/>
      <c r="J23" s="127"/>
      <c r="K23" s="3"/>
      <c r="L23" s="127"/>
      <c r="M23" s="21"/>
      <c r="N23" s="3" t="str">
        <f t="shared" si="1"/>
        <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2:45" s="33" customFormat="1" ht="15" hidden="1" customHeight="1" outlineLevel="1" x14ac:dyDescent="0.25">
      <c r="B24" s="166" t="s">
        <v>66</v>
      </c>
      <c r="C24" s="47"/>
      <c r="D24" s="47"/>
      <c r="E24" s="3"/>
      <c r="F24" s="127"/>
      <c r="G24" s="3"/>
      <c r="H24" s="130">
        <v>1</v>
      </c>
      <c r="I24" s="3"/>
      <c r="J24" s="127"/>
      <c r="K24" s="3"/>
      <c r="L24" s="127"/>
      <c r="M24" s="21"/>
      <c r="N24" s="3" t="str">
        <f t="shared" si="1"/>
        <v/>
      </c>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2:45" s="33" customFormat="1" ht="15" hidden="1" customHeight="1" outlineLevel="1" x14ac:dyDescent="0.25">
      <c r="B25" s="166" t="s">
        <v>67</v>
      </c>
      <c r="C25" s="47"/>
      <c r="D25" s="47"/>
      <c r="E25" s="3"/>
      <c r="F25" s="127">
        <v>1</v>
      </c>
      <c r="G25" s="3"/>
      <c r="H25" s="130"/>
      <c r="I25" s="3"/>
      <c r="J25" s="127"/>
      <c r="K25" s="3"/>
      <c r="L25" s="127"/>
      <c r="M25" s="21"/>
      <c r="N25" s="3" t="str">
        <f t="shared" si="1"/>
        <v/>
      </c>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2:45" s="33" customFormat="1" ht="15" hidden="1" customHeight="1" outlineLevel="1" x14ac:dyDescent="0.25">
      <c r="B26" s="166" t="s">
        <v>68</v>
      </c>
      <c r="C26" s="47"/>
      <c r="D26" s="47"/>
      <c r="E26" s="3"/>
      <c r="F26" s="127"/>
      <c r="G26" s="3"/>
      <c r="H26" s="130">
        <v>1</v>
      </c>
      <c r="I26" s="3"/>
      <c r="J26" s="127"/>
      <c r="K26" s="3"/>
      <c r="L26" s="127"/>
      <c r="M26" s="21"/>
      <c r="N26" s="3" t="str">
        <f t="shared" si="1"/>
        <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2:45" s="33" customFormat="1" ht="15" hidden="1" customHeight="1" outlineLevel="1" x14ac:dyDescent="0.25">
      <c r="B27" s="166" t="s">
        <v>69</v>
      </c>
      <c r="C27" s="47"/>
      <c r="D27" s="47"/>
      <c r="E27" s="3"/>
      <c r="F27" s="187">
        <v>1</v>
      </c>
      <c r="G27" s="3"/>
      <c r="H27" s="189"/>
      <c r="I27" s="3"/>
      <c r="J27" s="187"/>
      <c r="K27" s="3"/>
      <c r="L27" s="187"/>
      <c r="M27" s="21"/>
      <c r="N27" s="3" t="str">
        <f t="shared" si="1"/>
        <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2:45" s="33" customFormat="1" ht="15" customHeight="1" collapsed="1" x14ac:dyDescent="0.25">
      <c r="B28" s="32" t="s">
        <v>40</v>
      </c>
      <c r="C28" s="47"/>
      <c r="D28" s="47"/>
      <c r="E28" s="3"/>
      <c r="F28" s="20">
        <f>SUM(F29:F39)</f>
        <v>1</v>
      </c>
      <c r="G28" s="3"/>
      <c r="H28" s="58">
        <f>SUM(H29:H39)</f>
        <v>9</v>
      </c>
      <c r="I28" s="3"/>
      <c r="J28" s="20">
        <f>SUM(J29:J39)</f>
        <v>0</v>
      </c>
      <c r="K28" s="3"/>
      <c r="L28" s="20">
        <f>SUM(L29:L39)</f>
        <v>1</v>
      </c>
      <c r="M28" s="21"/>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2:45" s="33" customFormat="1" ht="15" hidden="1" customHeight="1" outlineLevel="1" x14ac:dyDescent="0.25">
      <c r="B29" s="166" t="s">
        <v>70</v>
      </c>
      <c r="C29" s="47"/>
      <c r="D29" s="47"/>
      <c r="E29" s="3"/>
      <c r="F29" s="186"/>
      <c r="G29" s="3"/>
      <c r="H29" s="188">
        <v>1</v>
      </c>
      <c r="I29" s="3"/>
      <c r="J29" s="186"/>
      <c r="K29" s="3"/>
      <c r="L29" s="186"/>
      <c r="M29" s="21"/>
      <c r="N29" s="3" t="str">
        <f t="shared" ref="N29:N39" si="2">IF(SUM(F29,H29,J29,L29)&gt;1,"Error","")</f>
        <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2:45" s="33" customFormat="1" ht="15" hidden="1" customHeight="1" outlineLevel="1" x14ac:dyDescent="0.25">
      <c r="B30" s="166" t="s">
        <v>71</v>
      </c>
      <c r="C30" s="47"/>
      <c r="D30" s="47"/>
      <c r="E30" s="3"/>
      <c r="F30" s="127"/>
      <c r="G30" s="3"/>
      <c r="H30" s="130"/>
      <c r="I30" s="3"/>
      <c r="J30" s="127"/>
      <c r="K30" s="3"/>
      <c r="L30" s="127">
        <v>1</v>
      </c>
      <c r="M30" s="21"/>
      <c r="N30" s="3" t="str">
        <f t="shared" si="2"/>
        <v/>
      </c>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2:45" s="33" customFormat="1" ht="15" hidden="1" customHeight="1" outlineLevel="1" x14ac:dyDescent="0.25">
      <c r="B31" s="166" t="s">
        <v>72</v>
      </c>
      <c r="C31" s="47"/>
      <c r="D31" s="47"/>
      <c r="E31" s="3"/>
      <c r="F31" s="127">
        <v>1</v>
      </c>
      <c r="G31" s="3"/>
      <c r="H31" s="130"/>
      <c r="I31" s="3"/>
      <c r="J31" s="127"/>
      <c r="K31" s="3"/>
      <c r="L31" s="127"/>
      <c r="M31" s="21"/>
      <c r="N31" s="3" t="str">
        <f t="shared" si="2"/>
        <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2:45" s="33" customFormat="1" ht="15" hidden="1" customHeight="1" outlineLevel="1" x14ac:dyDescent="0.25">
      <c r="B32" s="166" t="s">
        <v>73</v>
      </c>
      <c r="C32" s="47"/>
      <c r="D32" s="47"/>
      <c r="E32" s="3"/>
      <c r="F32" s="127"/>
      <c r="G32" s="3"/>
      <c r="H32" s="130">
        <v>1</v>
      </c>
      <c r="I32" s="3"/>
      <c r="J32" s="127"/>
      <c r="K32" s="3"/>
      <c r="L32" s="127"/>
      <c r="M32" s="21"/>
      <c r="N32" s="3" t="str">
        <f t="shared" si="2"/>
        <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2:45" s="33" customFormat="1" ht="15" hidden="1" customHeight="1" outlineLevel="1" x14ac:dyDescent="0.25">
      <c r="B33" s="166" t="s">
        <v>74</v>
      </c>
      <c r="C33" s="47"/>
      <c r="D33" s="47"/>
      <c r="E33" s="3"/>
      <c r="F33" s="127"/>
      <c r="G33" s="3"/>
      <c r="H33" s="130">
        <v>1</v>
      </c>
      <c r="I33" s="3"/>
      <c r="J33" s="127"/>
      <c r="K33" s="3"/>
      <c r="L33" s="127"/>
      <c r="M33" s="21"/>
      <c r="N33" s="3" t="str">
        <f t="shared" si="2"/>
        <v/>
      </c>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2:45" s="33" customFormat="1" ht="15" hidden="1" customHeight="1" outlineLevel="1" x14ac:dyDescent="0.25">
      <c r="B34" s="166" t="s">
        <v>75</v>
      </c>
      <c r="C34" s="47"/>
      <c r="D34" s="47"/>
      <c r="E34" s="3"/>
      <c r="F34" s="127"/>
      <c r="G34" s="3"/>
      <c r="H34" s="130">
        <v>1</v>
      </c>
      <c r="I34" s="3"/>
      <c r="J34" s="127"/>
      <c r="K34" s="3"/>
      <c r="L34" s="127"/>
      <c r="M34" s="21"/>
      <c r="N34" s="3" t="str">
        <f t="shared" si="2"/>
        <v/>
      </c>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2:45" s="33" customFormat="1" ht="15" hidden="1" customHeight="1" outlineLevel="1" x14ac:dyDescent="0.25">
      <c r="B35" s="166" t="s">
        <v>76</v>
      </c>
      <c r="C35" s="47"/>
      <c r="D35" s="47"/>
      <c r="E35" s="3"/>
      <c r="F35" s="127"/>
      <c r="G35" s="3"/>
      <c r="H35" s="130">
        <v>1</v>
      </c>
      <c r="I35" s="3"/>
      <c r="J35" s="127"/>
      <c r="K35" s="3"/>
      <c r="L35" s="127"/>
      <c r="M35" s="21"/>
      <c r="N35" s="3" t="str">
        <f t="shared" si="2"/>
        <v/>
      </c>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2:45" s="33" customFormat="1" ht="15" hidden="1" customHeight="1" outlineLevel="1" x14ac:dyDescent="0.25">
      <c r="B36" s="166" t="s">
        <v>77</v>
      </c>
      <c r="C36" s="47"/>
      <c r="D36" s="47"/>
      <c r="E36" s="3"/>
      <c r="F36" s="127"/>
      <c r="G36" s="3"/>
      <c r="H36" s="130">
        <v>1</v>
      </c>
      <c r="I36" s="3"/>
      <c r="J36" s="127"/>
      <c r="K36" s="3"/>
      <c r="L36" s="127"/>
      <c r="M36" s="21"/>
      <c r="N36" s="3" t="str">
        <f t="shared" si="2"/>
        <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2:45" s="33" customFormat="1" ht="15" hidden="1" customHeight="1" outlineLevel="1" x14ac:dyDescent="0.25">
      <c r="B37" s="166" t="s">
        <v>78</v>
      </c>
      <c r="C37" s="47"/>
      <c r="D37" s="47"/>
      <c r="E37" s="3"/>
      <c r="F37" s="127"/>
      <c r="G37" s="3"/>
      <c r="H37" s="130">
        <v>1</v>
      </c>
      <c r="I37" s="3"/>
      <c r="J37" s="127"/>
      <c r="K37" s="3"/>
      <c r="L37" s="127"/>
      <c r="M37" s="21"/>
      <c r="N37" s="3" t="str">
        <f t="shared" si="2"/>
        <v/>
      </c>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2:45" s="33" customFormat="1" ht="15" hidden="1" customHeight="1" outlineLevel="1" x14ac:dyDescent="0.25">
      <c r="B38" s="166" t="s">
        <v>41</v>
      </c>
      <c r="C38" s="47"/>
      <c r="D38" s="47"/>
      <c r="E38" s="3"/>
      <c r="F38" s="127"/>
      <c r="G38" s="3"/>
      <c r="H38" s="130">
        <v>1</v>
      </c>
      <c r="I38" s="3"/>
      <c r="J38" s="127"/>
      <c r="K38" s="3"/>
      <c r="L38" s="127"/>
      <c r="M38" s="21"/>
      <c r="N38" s="3" t="str">
        <f t="shared" si="2"/>
        <v/>
      </c>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2:45" s="33" customFormat="1" ht="15" hidden="1" customHeight="1" outlineLevel="1" x14ac:dyDescent="0.25">
      <c r="B39" s="166" t="s">
        <v>79</v>
      </c>
      <c r="C39" s="47"/>
      <c r="D39" s="47"/>
      <c r="E39" s="3"/>
      <c r="F39" s="187"/>
      <c r="G39" s="3"/>
      <c r="H39" s="189">
        <v>1</v>
      </c>
      <c r="I39" s="3"/>
      <c r="J39" s="187"/>
      <c r="K39" s="3"/>
      <c r="L39" s="187"/>
      <c r="M39" s="21"/>
      <c r="N39" s="3" t="str">
        <f t="shared" si="2"/>
        <v/>
      </c>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2:45" s="33" customFormat="1" ht="15" customHeight="1" collapsed="1" x14ac:dyDescent="0.25">
      <c r="B40" s="126" t="s">
        <v>80</v>
      </c>
      <c r="C40" s="22"/>
      <c r="D40" s="22"/>
      <c r="E40" s="84"/>
      <c r="F40" s="117">
        <f>SUM(F41:F44)</f>
        <v>2</v>
      </c>
      <c r="G40" s="84"/>
      <c r="H40" s="129">
        <f>SUM(H41:H44)</f>
        <v>1</v>
      </c>
      <c r="I40" s="84"/>
      <c r="J40" s="117">
        <f>SUM(J41:J44)</f>
        <v>1</v>
      </c>
      <c r="K40" s="84"/>
      <c r="L40" s="117">
        <f>SUM(L41:L44)</f>
        <v>0</v>
      </c>
      <c r="M40" s="118"/>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2:45" s="33" customFormat="1" ht="15" hidden="1" customHeight="1" outlineLevel="1" x14ac:dyDescent="0.25">
      <c r="B41" s="166" t="s">
        <v>81</v>
      </c>
      <c r="C41" s="47"/>
      <c r="D41" s="47"/>
      <c r="E41" s="3"/>
      <c r="F41" s="186">
        <v>1</v>
      </c>
      <c r="G41" s="3"/>
      <c r="H41" s="188"/>
      <c r="I41" s="3"/>
      <c r="J41" s="186"/>
      <c r="K41" s="3"/>
      <c r="L41" s="186"/>
      <c r="M41" s="21"/>
      <c r="N41" s="3" t="str">
        <f t="shared" ref="N41:N44" si="3">IF(SUM(F41,H41,J41,L41)&gt;1,"Error","")</f>
        <v/>
      </c>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2:45" s="33" customFormat="1" ht="15" hidden="1" customHeight="1" outlineLevel="1" x14ac:dyDescent="0.25">
      <c r="B42" s="166" t="s">
        <v>82</v>
      </c>
      <c r="C42" s="47"/>
      <c r="D42" s="47"/>
      <c r="E42" s="3"/>
      <c r="F42" s="127"/>
      <c r="G42" s="3"/>
      <c r="H42" s="130">
        <v>1</v>
      </c>
      <c r="I42" s="3"/>
      <c r="J42" s="127"/>
      <c r="K42" s="3"/>
      <c r="L42" s="127"/>
      <c r="M42" s="21"/>
      <c r="N42" s="3" t="str">
        <f t="shared" si="3"/>
        <v/>
      </c>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2:45" s="33" customFormat="1" ht="15" hidden="1" customHeight="1" outlineLevel="1" x14ac:dyDescent="0.25">
      <c r="B43" s="166" t="s">
        <v>83</v>
      </c>
      <c r="C43" s="47"/>
      <c r="D43" s="47"/>
      <c r="E43" s="3"/>
      <c r="F43" s="127">
        <v>1</v>
      </c>
      <c r="G43" s="3"/>
      <c r="H43" s="130"/>
      <c r="I43" s="3"/>
      <c r="J43" s="127"/>
      <c r="K43" s="3"/>
      <c r="L43" s="127"/>
      <c r="M43" s="21"/>
      <c r="N43" s="3" t="str">
        <f t="shared" si="3"/>
        <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2:45" s="33" customFormat="1" ht="15" hidden="1" customHeight="1" outlineLevel="1" x14ac:dyDescent="0.25">
      <c r="B44" s="166" t="s">
        <v>84</v>
      </c>
      <c r="C44" s="47"/>
      <c r="D44" s="47"/>
      <c r="E44" s="3"/>
      <c r="F44" s="187"/>
      <c r="G44" s="3"/>
      <c r="H44" s="189"/>
      <c r="I44" s="3"/>
      <c r="J44" s="187">
        <v>1</v>
      </c>
      <c r="K44" s="3"/>
      <c r="L44" s="187"/>
      <c r="M44" s="21"/>
      <c r="N44" s="3" t="str">
        <f t="shared" si="3"/>
        <v/>
      </c>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2:45" s="33" customFormat="1" ht="15" customHeight="1" collapsed="1" x14ac:dyDescent="0.25">
      <c r="B45" s="32" t="s">
        <v>85</v>
      </c>
      <c r="C45" s="47"/>
      <c r="D45" s="47"/>
      <c r="E45" s="3"/>
      <c r="F45" s="20">
        <f>SUM(F46:F69)</f>
        <v>9</v>
      </c>
      <c r="G45" s="3"/>
      <c r="H45" s="58">
        <f>SUM(H46:H69)</f>
        <v>14</v>
      </c>
      <c r="I45" s="3"/>
      <c r="J45" s="20">
        <f>SUM(J46:J69)</f>
        <v>1</v>
      </c>
      <c r="K45" s="3"/>
      <c r="L45" s="20">
        <f>SUM(L46:L69)</f>
        <v>0</v>
      </c>
      <c r="M45" s="21"/>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2:45" s="33" customFormat="1" ht="15" hidden="1" customHeight="1" outlineLevel="1" x14ac:dyDescent="0.25">
      <c r="B46" s="166" t="s">
        <v>86</v>
      </c>
      <c r="C46" s="47"/>
      <c r="D46" s="47"/>
      <c r="E46" s="3"/>
      <c r="F46" s="186"/>
      <c r="G46" s="3"/>
      <c r="H46" s="188">
        <v>1</v>
      </c>
      <c r="I46" s="3"/>
      <c r="J46" s="186"/>
      <c r="K46" s="3"/>
      <c r="L46" s="186"/>
      <c r="M46" s="21"/>
      <c r="N46" s="3" t="str">
        <f>IF(SUM(F46,H46,J46,L46)&gt;1,"Error","")</f>
        <v/>
      </c>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2:45" s="33" customFormat="1" ht="15" hidden="1" customHeight="1" outlineLevel="1" x14ac:dyDescent="0.25">
      <c r="B47" s="166" t="s">
        <v>87</v>
      </c>
      <c r="C47" s="47"/>
      <c r="D47" s="47"/>
      <c r="E47" s="3"/>
      <c r="F47" s="127">
        <v>1</v>
      </c>
      <c r="G47" s="3"/>
      <c r="H47" s="130"/>
      <c r="I47" s="3"/>
      <c r="J47" s="127"/>
      <c r="K47" s="3"/>
      <c r="L47" s="127"/>
      <c r="M47" s="21"/>
      <c r="N47" s="3" t="str">
        <f t="shared" ref="N47:N68" si="4">IF(SUM(F47,H47,J47,L47)&gt;1,"Error","")</f>
        <v/>
      </c>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2:45" s="33" customFormat="1" ht="15" hidden="1" customHeight="1" outlineLevel="1" x14ac:dyDescent="0.25">
      <c r="B48" s="166" t="s">
        <v>88</v>
      </c>
      <c r="C48" s="47"/>
      <c r="D48" s="47"/>
      <c r="E48" s="3"/>
      <c r="F48" s="127"/>
      <c r="G48" s="3"/>
      <c r="H48" s="130"/>
      <c r="I48" s="3"/>
      <c r="J48" s="127">
        <v>1</v>
      </c>
      <c r="K48" s="3"/>
      <c r="L48" s="127"/>
      <c r="M48" s="21"/>
      <c r="N48" s="3" t="str">
        <f t="shared" si="4"/>
        <v/>
      </c>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2:45" s="33" customFormat="1" ht="15" hidden="1" customHeight="1" outlineLevel="1" x14ac:dyDescent="0.25">
      <c r="B49" s="166" t="s">
        <v>89</v>
      </c>
      <c r="C49" s="47"/>
      <c r="D49" s="47"/>
      <c r="E49" s="3"/>
      <c r="F49" s="127"/>
      <c r="G49" s="3"/>
      <c r="H49" s="130">
        <v>1</v>
      </c>
      <c r="I49" s="3"/>
      <c r="J49" s="127"/>
      <c r="K49" s="3"/>
      <c r="L49" s="127"/>
      <c r="M49" s="21"/>
      <c r="N49" s="3" t="str">
        <f t="shared" si="4"/>
        <v/>
      </c>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2:45" s="33" customFormat="1" ht="15" hidden="1" customHeight="1" outlineLevel="1" x14ac:dyDescent="0.25">
      <c r="B50" s="166" t="s">
        <v>90</v>
      </c>
      <c r="C50" s="47"/>
      <c r="D50" s="47"/>
      <c r="E50" s="3"/>
      <c r="F50" s="127"/>
      <c r="G50" s="3"/>
      <c r="H50" s="130">
        <v>1</v>
      </c>
      <c r="I50" s="3"/>
      <c r="J50" s="127"/>
      <c r="K50" s="3"/>
      <c r="L50" s="127"/>
      <c r="M50" s="21"/>
      <c r="N50" s="3" t="str">
        <f t="shared" si="4"/>
        <v/>
      </c>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2:45" s="33" customFormat="1" ht="15" hidden="1" customHeight="1" outlineLevel="1" x14ac:dyDescent="0.25">
      <c r="B51" s="166" t="s">
        <v>54</v>
      </c>
      <c r="C51" s="47"/>
      <c r="D51" s="47"/>
      <c r="E51" s="3"/>
      <c r="F51" s="127">
        <v>1</v>
      </c>
      <c r="G51" s="3"/>
      <c r="H51" s="130"/>
      <c r="I51" s="3"/>
      <c r="J51" s="127"/>
      <c r="K51" s="3"/>
      <c r="L51" s="127"/>
      <c r="M51" s="21"/>
      <c r="N51" s="3" t="str">
        <f t="shared" si="4"/>
        <v/>
      </c>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2:45" s="33" customFormat="1" ht="15" hidden="1" customHeight="1" outlineLevel="1" x14ac:dyDescent="0.25">
      <c r="B52" s="166" t="s">
        <v>91</v>
      </c>
      <c r="C52" s="47"/>
      <c r="D52" s="47"/>
      <c r="E52" s="3"/>
      <c r="F52" s="127"/>
      <c r="G52" s="3"/>
      <c r="H52" s="130">
        <v>1</v>
      </c>
      <c r="I52" s="3"/>
      <c r="J52" s="127"/>
      <c r="K52" s="3"/>
      <c r="L52" s="127"/>
      <c r="M52" s="21"/>
      <c r="N52" s="3" t="str">
        <f t="shared" si="4"/>
        <v/>
      </c>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2:45" s="33" customFormat="1" ht="15" hidden="1" customHeight="1" outlineLevel="1" x14ac:dyDescent="0.25">
      <c r="B53" s="166" t="s">
        <v>92</v>
      </c>
      <c r="C53" s="47"/>
      <c r="D53" s="47"/>
      <c r="E53" s="3"/>
      <c r="F53" s="127">
        <v>1</v>
      </c>
      <c r="G53" s="3"/>
      <c r="H53" s="130"/>
      <c r="I53" s="3"/>
      <c r="J53" s="127"/>
      <c r="K53" s="3"/>
      <c r="L53" s="127"/>
      <c r="M53" s="21"/>
      <c r="N53" s="3" t="str">
        <f t="shared" si="4"/>
        <v/>
      </c>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2:45" s="33" customFormat="1" ht="15" hidden="1" customHeight="1" outlineLevel="1" x14ac:dyDescent="0.25">
      <c r="B54" s="166" t="s">
        <v>93</v>
      </c>
      <c r="C54" s="47"/>
      <c r="D54" s="47"/>
      <c r="E54" s="3"/>
      <c r="F54" s="127">
        <v>1</v>
      </c>
      <c r="G54" s="3"/>
      <c r="H54" s="130"/>
      <c r="I54" s="3"/>
      <c r="J54" s="127"/>
      <c r="K54" s="3"/>
      <c r="L54" s="127"/>
      <c r="M54" s="21"/>
      <c r="N54" s="3" t="str">
        <f t="shared" si="4"/>
        <v/>
      </c>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2:45" s="33" customFormat="1" ht="15" hidden="1" customHeight="1" outlineLevel="1" x14ac:dyDescent="0.25">
      <c r="B55" s="166" t="s">
        <v>42</v>
      </c>
      <c r="C55" s="47"/>
      <c r="D55" s="47"/>
      <c r="E55" s="3"/>
      <c r="F55" s="127"/>
      <c r="G55" s="3"/>
      <c r="H55" s="130">
        <v>1</v>
      </c>
      <c r="I55" s="3"/>
      <c r="J55" s="127"/>
      <c r="K55" s="3"/>
      <c r="L55" s="127"/>
      <c r="M55" s="21"/>
      <c r="N55" s="3" t="str">
        <f t="shared" si="4"/>
        <v/>
      </c>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2:45" s="33" customFormat="1" ht="15" hidden="1" customHeight="1" outlineLevel="1" x14ac:dyDescent="0.25">
      <c r="B56" s="166" t="s">
        <v>94</v>
      </c>
      <c r="C56" s="47"/>
      <c r="D56" s="47"/>
      <c r="E56" s="3"/>
      <c r="F56" s="127">
        <v>1</v>
      </c>
      <c r="G56" s="3"/>
      <c r="H56" s="130"/>
      <c r="I56" s="3"/>
      <c r="J56" s="127"/>
      <c r="K56" s="3"/>
      <c r="L56" s="127"/>
      <c r="M56" s="21"/>
      <c r="N56" s="3" t="str">
        <f t="shared" si="4"/>
        <v/>
      </c>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2:45" s="33" customFormat="1" ht="15" hidden="1" customHeight="1" outlineLevel="1" x14ac:dyDescent="0.25">
      <c r="B57" s="166" t="s">
        <v>43</v>
      </c>
      <c r="C57" s="47"/>
      <c r="D57" s="47"/>
      <c r="E57" s="3"/>
      <c r="F57" s="127"/>
      <c r="G57" s="3"/>
      <c r="H57" s="130">
        <v>1</v>
      </c>
      <c r="I57" s="3"/>
      <c r="J57" s="127"/>
      <c r="K57" s="3"/>
      <c r="L57" s="127"/>
      <c r="M57" s="21"/>
      <c r="N57" s="3" t="str">
        <f t="shared" si="4"/>
        <v/>
      </c>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2:45" s="33" customFormat="1" ht="15" hidden="1" customHeight="1" outlineLevel="1" x14ac:dyDescent="0.25">
      <c r="B58" s="166" t="s">
        <v>44</v>
      </c>
      <c r="C58" s="47"/>
      <c r="D58" s="47"/>
      <c r="E58" s="3"/>
      <c r="F58" s="127"/>
      <c r="G58" s="3"/>
      <c r="H58" s="130">
        <v>1</v>
      </c>
      <c r="I58" s="3"/>
      <c r="J58" s="127"/>
      <c r="K58" s="3"/>
      <c r="L58" s="127"/>
      <c r="M58" s="21"/>
      <c r="N58" s="3" t="str">
        <f t="shared" si="4"/>
        <v/>
      </c>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2:45" s="33" customFormat="1" ht="15" hidden="1" customHeight="1" outlineLevel="1" x14ac:dyDescent="0.25">
      <c r="B59" s="166" t="s">
        <v>95</v>
      </c>
      <c r="C59" s="47"/>
      <c r="D59" s="47"/>
      <c r="E59" s="3"/>
      <c r="F59" s="127">
        <v>1</v>
      </c>
      <c r="G59" s="3"/>
      <c r="H59" s="130"/>
      <c r="I59" s="3"/>
      <c r="J59" s="127"/>
      <c r="K59" s="3"/>
      <c r="L59" s="127"/>
      <c r="M59" s="21"/>
      <c r="N59" s="3" t="str">
        <f t="shared" si="4"/>
        <v/>
      </c>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2:45" s="33" customFormat="1" ht="15" hidden="1" customHeight="1" outlineLevel="1" x14ac:dyDescent="0.25">
      <c r="B60" s="166" t="s">
        <v>96</v>
      </c>
      <c r="C60" s="47"/>
      <c r="D60" s="47"/>
      <c r="E60" s="3"/>
      <c r="F60" s="127"/>
      <c r="G60" s="3"/>
      <c r="H60" s="130">
        <v>1</v>
      </c>
      <c r="I60" s="3"/>
      <c r="J60" s="127"/>
      <c r="K60" s="3"/>
      <c r="L60" s="127"/>
      <c r="M60" s="21"/>
      <c r="N60" s="3" t="str">
        <f t="shared" si="4"/>
        <v/>
      </c>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2:45" s="33" customFormat="1" ht="15" hidden="1" customHeight="1" outlineLevel="1" x14ac:dyDescent="0.25">
      <c r="B61" s="166" t="s">
        <v>97</v>
      </c>
      <c r="C61" s="47"/>
      <c r="D61" s="47"/>
      <c r="E61" s="3"/>
      <c r="F61" s="127">
        <v>1</v>
      </c>
      <c r="G61" s="3"/>
      <c r="H61" s="130"/>
      <c r="I61" s="3"/>
      <c r="J61" s="127"/>
      <c r="K61" s="3"/>
      <c r="L61" s="127"/>
      <c r="M61" s="21"/>
      <c r="N61" s="3" t="str">
        <f t="shared" si="4"/>
        <v/>
      </c>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2:45" s="33" customFormat="1" ht="15" hidden="1" customHeight="1" outlineLevel="1" x14ac:dyDescent="0.25">
      <c r="B62" s="166" t="s">
        <v>98</v>
      </c>
      <c r="C62" s="47"/>
      <c r="D62" s="47"/>
      <c r="E62" s="3"/>
      <c r="F62" s="127"/>
      <c r="G62" s="3"/>
      <c r="H62" s="130">
        <v>1</v>
      </c>
      <c r="I62" s="3"/>
      <c r="J62" s="127"/>
      <c r="K62" s="3"/>
      <c r="L62" s="127"/>
      <c r="M62" s="21"/>
      <c r="N62" s="3" t="str">
        <f t="shared" si="4"/>
        <v/>
      </c>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2:45" s="33" customFormat="1" ht="15" hidden="1" customHeight="1" outlineLevel="1" x14ac:dyDescent="0.25">
      <c r="B63" s="166" t="s">
        <v>46</v>
      </c>
      <c r="C63" s="47"/>
      <c r="D63" s="47"/>
      <c r="E63" s="3"/>
      <c r="F63" s="127"/>
      <c r="G63" s="3"/>
      <c r="H63" s="130">
        <v>1</v>
      </c>
      <c r="I63" s="3"/>
      <c r="J63" s="127"/>
      <c r="K63" s="3"/>
      <c r="L63" s="127"/>
      <c r="M63" s="21"/>
      <c r="N63" s="3" t="str">
        <f t="shared" si="4"/>
        <v/>
      </c>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2:45" s="33" customFormat="1" ht="15" hidden="1" customHeight="1" outlineLevel="1" x14ac:dyDescent="0.25">
      <c r="B64" s="166" t="s">
        <v>45</v>
      </c>
      <c r="C64" s="47"/>
      <c r="D64" s="47"/>
      <c r="E64" s="3"/>
      <c r="F64" s="127"/>
      <c r="G64" s="3"/>
      <c r="H64" s="130">
        <v>1</v>
      </c>
      <c r="I64" s="3"/>
      <c r="J64" s="127"/>
      <c r="K64" s="3"/>
      <c r="L64" s="127"/>
      <c r="M64" s="21"/>
      <c r="N64" s="3" t="str">
        <f t="shared" si="4"/>
        <v/>
      </c>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2:45" s="33" customFormat="1" ht="15" hidden="1" customHeight="1" outlineLevel="1" x14ac:dyDescent="0.25">
      <c r="B65" s="166" t="s">
        <v>99</v>
      </c>
      <c r="C65" s="47"/>
      <c r="D65" s="47"/>
      <c r="E65" s="3"/>
      <c r="F65" s="127">
        <v>1</v>
      </c>
      <c r="G65" s="3"/>
      <c r="H65" s="130"/>
      <c r="I65" s="3"/>
      <c r="J65" s="127"/>
      <c r="K65" s="3"/>
      <c r="L65" s="127"/>
      <c r="M65" s="21"/>
      <c r="N65" s="3" t="str">
        <f t="shared" si="4"/>
        <v/>
      </c>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2:45" s="33" customFormat="1" ht="15" hidden="1" customHeight="1" outlineLevel="1" x14ac:dyDescent="0.25">
      <c r="B66" s="166" t="s">
        <v>100</v>
      </c>
      <c r="C66" s="47"/>
      <c r="D66" s="47"/>
      <c r="E66" s="3"/>
      <c r="F66" s="127">
        <v>1</v>
      </c>
      <c r="G66" s="3"/>
      <c r="H66" s="130"/>
      <c r="I66" s="3"/>
      <c r="J66" s="127"/>
      <c r="K66" s="3"/>
      <c r="L66" s="127"/>
      <c r="M66" s="21"/>
      <c r="N66" s="3" t="str">
        <f t="shared" si="4"/>
        <v/>
      </c>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2:45" s="33" customFormat="1" ht="15" hidden="1" customHeight="1" outlineLevel="1" x14ac:dyDescent="0.25">
      <c r="B67" s="166" t="s">
        <v>101</v>
      </c>
      <c r="C67" s="47"/>
      <c r="D67" s="47"/>
      <c r="E67" s="3"/>
      <c r="F67" s="127"/>
      <c r="G67" s="3"/>
      <c r="H67" s="130">
        <v>1</v>
      </c>
      <c r="I67" s="3"/>
      <c r="J67" s="127"/>
      <c r="K67" s="3"/>
      <c r="L67" s="127"/>
      <c r="M67" s="21"/>
      <c r="N67" s="3" t="str">
        <f t="shared" si="4"/>
        <v/>
      </c>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2:45" s="33" customFormat="1" ht="15" hidden="1" customHeight="1" outlineLevel="1" x14ac:dyDescent="0.25">
      <c r="B68" s="166" t="s">
        <v>102</v>
      </c>
      <c r="C68" s="47"/>
      <c r="D68" s="47"/>
      <c r="E68" s="3"/>
      <c r="F68" s="127"/>
      <c r="G68" s="3"/>
      <c r="H68" s="130">
        <v>1</v>
      </c>
      <c r="I68" s="3"/>
      <c r="J68" s="127"/>
      <c r="K68" s="3"/>
      <c r="L68" s="127"/>
      <c r="M68" s="21"/>
      <c r="N68" s="3" t="str">
        <f t="shared" si="4"/>
        <v/>
      </c>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2:45" s="33" customFormat="1" ht="15" hidden="1" customHeight="1" outlineLevel="1" x14ac:dyDescent="0.25">
      <c r="B69" s="166" t="s">
        <v>103</v>
      </c>
      <c r="C69" s="47"/>
      <c r="D69" s="47"/>
      <c r="E69" s="3"/>
      <c r="F69" s="187"/>
      <c r="G69" s="3"/>
      <c r="H69" s="189">
        <v>1</v>
      </c>
      <c r="I69" s="3"/>
      <c r="J69" s="187"/>
      <c r="K69" s="3"/>
      <c r="L69" s="187"/>
      <c r="M69" s="21"/>
      <c r="N69" s="3" t="str">
        <f>IF(SUM(F69,H69,J69,L69)&gt;1,"Error","")</f>
        <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2:45" s="33" customFormat="1" ht="15" customHeight="1" collapsed="1" x14ac:dyDescent="0.25">
      <c r="B70" s="126" t="s">
        <v>104</v>
      </c>
      <c r="C70" s="22"/>
      <c r="D70" s="22"/>
      <c r="E70" s="84"/>
      <c r="F70" s="117">
        <f>F71</f>
        <v>1</v>
      </c>
      <c r="G70" s="84"/>
      <c r="H70" s="129">
        <f>H71</f>
        <v>0</v>
      </c>
      <c r="I70" s="84"/>
      <c r="J70" s="117">
        <f>J71</f>
        <v>0</v>
      </c>
      <c r="K70" s="84"/>
      <c r="L70" s="117">
        <f>L71</f>
        <v>0</v>
      </c>
      <c r="M70" s="118"/>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2:45" s="33" customFormat="1" ht="15" hidden="1" customHeight="1" outlineLevel="1" x14ac:dyDescent="0.25">
      <c r="B71" s="166" t="s">
        <v>105</v>
      </c>
      <c r="C71" s="47"/>
      <c r="D71" s="47"/>
      <c r="E71" s="3"/>
      <c r="F71" s="190">
        <v>1</v>
      </c>
      <c r="G71" s="3"/>
      <c r="H71" s="185"/>
      <c r="I71" s="3"/>
      <c r="J71" s="190"/>
      <c r="K71" s="3"/>
      <c r="L71" s="190"/>
      <c r="M71" s="21"/>
      <c r="N71" s="3" t="str">
        <f>IF(SUM(F71,H71,J71,L71)&gt;1,"Error","")</f>
        <v/>
      </c>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2:45" s="33" customFormat="1" ht="15" customHeight="1" collapsed="1" x14ac:dyDescent="0.25">
      <c r="B72" s="56"/>
      <c r="C72" s="26"/>
      <c r="D72" s="26"/>
      <c r="E72" s="27"/>
      <c r="F72" s="28"/>
      <c r="G72" s="27"/>
      <c r="H72" s="60"/>
      <c r="I72" s="27"/>
      <c r="J72" s="28"/>
      <c r="K72" s="27"/>
      <c r="L72" s="28"/>
      <c r="M72" s="85"/>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2:45" s="33" customFormat="1" ht="13.2" customHeight="1" x14ac:dyDescent="0.25">
      <c r="B73" s="53"/>
      <c r="C73" s="47"/>
      <c r="D73" s="47"/>
      <c r="E73" s="3"/>
      <c r="F73" s="52"/>
      <c r="G73" s="3"/>
      <c r="H73" s="3"/>
      <c r="I73" s="3"/>
      <c r="J73" s="3"/>
      <c r="K73" s="3"/>
      <c r="L73" s="52"/>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2:45" s="33" customFormat="1" ht="13.2" customHeight="1" x14ac:dyDescent="0.25">
      <c r="B74" s="46" t="s">
        <v>210</v>
      </c>
      <c r="C74" s="47"/>
      <c r="D74" s="47"/>
      <c r="E74" s="3"/>
      <c r="F74" s="52"/>
      <c r="G74" s="3"/>
      <c r="H74" s="3"/>
      <c r="I74" s="3"/>
      <c r="J74" s="3"/>
      <c r="K74" s="3"/>
      <c r="L74" s="52"/>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2:45" s="33" customFormat="1" ht="13.2" customHeight="1" x14ac:dyDescent="0.25">
      <c r="B75" s="53"/>
      <c r="C75" s="47"/>
      <c r="D75" s="47"/>
      <c r="E75" s="47"/>
      <c r="F75" s="3"/>
      <c r="G75" s="52"/>
      <c r="H75" s="3"/>
      <c r="I75" s="3"/>
      <c r="J75" s="3"/>
      <c r="K75" s="3"/>
      <c r="L75" s="3"/>
      <c r="M75" s="3"/>
      <c r="N75" s="3"/>
      <c r="O75" s="3"/>
      <c r="P75" s="3"/>
      <c r="Q75" s="52"/>
      <c r="V75" s="3"/>
      <c r="W75" s="3"/>
      <c r="X75" s="3"/>
      <c r="Y75" s="3"/>
      <c r="Z75" s="3"/>
      <c r="AA75" s="3"/>
      <c r="AB75" s="3"/>
      <c r="AC75" s="3"/>
      <c r="AD75" s="3"/>
      <c r="AE75" s="3"/>
    </row>
    <row r="76" spans="2:45" s="33" customFormat="1" ht="18" customHeight="1" x14ac:dyDescent="0.25">
      <c r="B76" s="255" t="s">
        <v>48</v>
      </c>
      <c r="C76" s="256"/>
      <c r="D76" s="256"/>
      <c r="E76" s="257"/>
      <c r="F76" s="246" t="s">
        <v>211</v>
      </c>
      <c r="G76" s="247"/>
      <c r="H76" s="252" t="s">
        <v>160</v>
      </c>
      <c r="I76" s="253"/>
      <c r="J76" s="253"/>
      <c r="K76" s="253"/>
      <c r="L76" s="253"/>
      <c r="M76" s="253"/>
      <c r="N76" s="253"/>
      <c r="O76" s="253"/>
      <c r="P76" s="253"/>
      <c r="Q76" s="253"/>
      <c r="R76" s="253"/>
      <c r="S76" s="253"/>
      <c r="T76" s="253"/>
      <c r="U76" s="253"/>
      <c r="V76" s="253"/>
      <c r="W76" s="253"/>
      <c r="X76" s="253"/>
      <c r="Y76" s="254"/>
      <c r="Z76" s="3"/>
      <c r="AA76" s="3"/>
      <c r="AB76" s="3"/>
      <c r="AC76" s="3"/>
      <c r="AD76" s="3"/>
      <c r="AE76" s="3"/>
    </row>
    <row r="77" spans="2:45" s="33" customFormat="1" ht="22.8" customHeight="1" x14ac:dyDescent="0.25">
      <c r="B77" s="258"/>
      <c r="C77" s="275"/>
      <c r="D77" s="275"/>
      <c r="E77" s="275"/>
      <c r="F77" s="248"/>
      <c r="G77" s="249"/>
      <c r="H77" s="271" t="s">
        <v>253</v>
      </c>
      <c r="I77" s="272"/>
      <c r="J77" s="272"/>
      <c r="K77" s="272"/>
      <c r="L77" s="273"/>
      <c r="M77" s="271" t="s">
        <v>252</v>
      </c>
      <c r="N77" s="273"/>
      <c r="O77" s="210" t="s">
        <v>254</v>
      </c>
      <c r="P77" s="232" t="s">
        <v>278</v>
      </c>
      <c r="Q77" s="271" t="s">
        <v>248</v>
      </c>
      <c r="R77" s="273"/>
      <c r="S77" s="232" t="s">
        <v>279</v>
      </c>
      <c r="T77" s="271" t="s">
        <v>250</v>
      </c>
      <c r="U77" s="272"/>
      <c r="V77" s="272"/>
      <c r="W77" s="272"/>
      <c r="X77" s="272"/>
      <c r="Y77" s="273"/>
    </row>
    <row r="78" spans="2:45" s="3" customFormat="1" ht="89.25" customHeight="1" x14ac:dyDescent="0.25">
      <c r="B78" s="260"/>
      <c r="C78" s="261"/>
      <c r="D78" s="261"/>
      <c r="E78" s="261"/>
      <c r="F78" s="89" t="s">
        <v>49</v>
      </c>
      <c r="G78" s="89" t="s">
        <v>50</v>
      </c>
      <c r="H78" s="91" t="s">
        <v>255</v>
      </c>
      <c r="I78" s="95" t="s">
        <v>259</v>
      </c>
      <c r="J78" s="89" t="s">
        <v>260</v>
      </c>
      <c r="K78" s="95" t="s">
        <v>337</v>
      </c>
      <c r="L78" s="95" t="s">
        <v>338</v>
      </c>
      <c r="M78" s="95" t="s">
        <v>256</v>
      </c>
      <c r="N78" s="95" t="s">
        <v>267</v>
      </c>
      <c r="O78" s="95" t="s">
        <v>339</v>
      </c>
      <c r="P78" s="95" t="s">
        <v>268</v>
      </c>
      <c r="Q78" s="95" t="s">
        <v>261</v>
      </c>
      <c r="R78" s="95" t="s">
        <v>262</v>
      </c>
      <c r="S78" s="95" t="s">
        <v>266</v>
      </c>
      <c r="T78" s="95" t="s">
        <v>265</v>
      </c>
      <c r="U78" s="95" t="s">
        <v>264</v>
      </c>
      <c r="V78" s="95" t="s">
        <v>257</v>
      </c>
      <c r="W78" s="95" t="s">
        <v>263</v>
      </c>
      <c r="X78" s="95" t="s">
        <v>251</v>
      </c>
      <c r="Y78" s="101" t="s">
        <v>329</v>
      </c>
    </row>
    <row r="79" spans="2:45" s="33" customFormat="1" ht="13.2" customHeight="1" x14ac:dyDescent="0.25">
      <c r="B79" s="32"/>
      <c r="E79" s="34"/>
      <c r="F79" s="20"/>
      <c r="G79" s="20"/>
      <c r="H79" s="3"/>
      <c r="I79" s="88"/>
      <c r="J79" s="44"/>
      <c r="K79" s="88"/>
      <c r="L79" s="28"/>
      <c r="M79" s="44"/>
      <c r="N79" s="88"/>
      <c r="O79" s="20"/>
      <c r="P79" s="20"/>
      <c r="Q79" s="20"/>
      <c r="R79" s="20"/>
      <c r="S79" s="20"/>
      <c r="T79" s="20"/>
      <c r="U79" s="44"/>
      <c r="V79" s="20"/>
      <c r="W79" s="20"/>
      <c r="X79" s="20"/>
      <c r="Y79" s="20"/>
      <c r="Z79" s="3"/>
      <c r="AA79" s="3"/>
      <c r="AB79" s="3"/>
      <c r="AC79" s="3"/>
      <c r="AD79" s="3"/>
      <c r="AE79" s="3"/>
      <c r="AF79" s="3"/>
      <c r="AG79" s="3"/>
      <c r="AH79" s="3"/>
      <c r="AI79" s="3"/>
      <c r="AJ79" s="3"/>
      <c r="AK79" s="3"/>
      <c r="AL79" s="3"/>
      <c r="AM79" s="3"/>
      <c r="AN79" s="3"/>
    </row>
    <row r="80" spans="2:45" s="33" customFormat="1" ht="13.2" customHeight="1" x14ac:dyDescent="0.25">
      <c r="B80" s="37" t="s">
        <v>51</v>
      </c>
      <c r="C80" s="38"/>
      <c r="D80" s="38"/>
      <c r="E80" s="39"/>
      <c r="F80" s="66">
        <f>SUM(F82,F85,F94,F105,F108)</f>
        <v>32</v>
      </c>
      <c r="G80" s="67">
        <f t="shared" ref="G80:X80" si="5">SUM(G82,G85,G94,G105,G108)</f>
        <v>63</v>
      </c>
      <c r="H80" s="40">
        <f t="shared" si="5"/>
        <v>4</v>
      </c>
      <c r="I80" s="67">
        <f t="shared" si="5"/>
        <v>5</v>
      </c>
      <c r="J80" s="67">
        <f t="shared" si="5"/>
        <v>3</v>
      </c>
      <c r="K80" s="67">
        <f t="shared" si="5"/>
        <v>2</v>
      </c>
      <c r="L80" s="67">
        <f t="shared" si="5"/>
        <v>3</v>
      </c>
      <c r="M80" s="67">
        <f t="shared" si="5"/>
        <v>4</v>
      </c>
      <c r="N80" s="67">
        <f>SUM(N82,N85,N94,N105,N108)</f>
        <v>3</v>
      </c>
      <c r="O80" s="67">
        <f>SUM(O82,O85,O94,O105,O108)</f>
        <v>4</v>
      </c>
      <c r="P80" s="67">
        <f t="shared" ref="P80:W80" si="6">SUM(P82,P85,P94,P105,P108)</f>
        <v>2</v>
      </c>
      <c r="Q80" s="67">
        <f t="shared" si="6"/>
        <v>3</v>
      </c>
      <c r="R80" s="67">
        <f t="shared" si="6"/>
        <v>2</v>
      </c>
      <c r="S80" s="67">
        <f t="shared" si="6"/>
        <v>2</v>
      </c>
      <c r="T80" s="67">
        <f t="shared" si="6"/>
        <v>4</v>
      </c>
      <c r="U80" s="67">
        <f t="shared" si="6"/>
        <v>3</v>
      </c>
      <c r="V80" s="67">
        <f t="shared" si="6"/>
        <v>3</v>
      </c>
      <c r="W80" s="67">
        <f t="shared" si="6"/>
        <v>2</v>
      </c>
      <c r="X80" s="67">
        <f t="shared" si="5"/>
        <v>3</v>
      </c>
      <c r="Y80" s="67">
        <f>SUM(Y82,Y85,Y94,Y105,Y108)</f>
        <v>11</v>
      </c>
      <c r="Z80" s="3"/>
      <c r="AA80" s="3"/>
      <c r="AB80" s="3"/>
      <c r="AC80" s="3"/>
      <c r="AD80" s="3"/>
      <c r="AE80" s="3"/>
      <c r="AF80" s="3"/>
      <c r="AG80" s="3"/>
      <c r="AH80" s="3"/>
      <c r="AI80" s="3"/>
      <c r="AJ80" s="3"/>
      <c r="AK80" s="3"/>
      <c r="AL80" s="3"/>
      <c r="AM80" s="3"/>
      <c r="AN80" s="3"/>
    </row>
    <row r="81" spans="2:40" s="33" customFormat="1" ht="13.2" customHeight="1" x14ac:dyDescent="0.25">
      <c r="B81" s="32" t="s">
        <v>47</v>
      </c>
      <c r="E81" s="34"/>
      <c r="F81" s="20"/>
      <c r="G81" s="20"/>
      <c r="H81" s="3"/>
      <c r="I81" s="65"/>
      <c r="J81" s="35"/>
      <c r="K81" s="65"/>
      <c r="L81" s="14"/>
      <c r="M81" s="65"/>
      <c r="N81" s="65"/>
      <c r="O81" s="14"/>
      <c r="P81" s="20"/>
      <c r="Q81" s="20"/>
      <c r="R81" s="20"/>
      <c r="S81" s="20"/>
      <c r="T81" s="14"/>
      <c r="U81" s="65"/>
      <c r="V81" s="20"/>
      <c r="W81" s="14"/>
      <c r="X81" s="65"/>
      <c r="Y81" s="20"/>
      <c r="Z81" s="3"/>
      <c r="AA81" s="3"/>
      <c r="AB81" s="3"/>
      <c r="AC81" s="3"/>
      <c r="AD81" s="3"/>
      <c r="AE81" s="3"/>
      <c r="AF81" s="3"/>
      <c r="AG81" s="3"/>
      <c r="AH81" s="3"/>
      <c r="AI81" s="3"/>
      <c r="AJ81" s="3"/>
      <c r="AK81" s="3"/>
      <c r="AL81" s="3"/>
      <c r="AM81" s="3"/>
      <c r="AN81" s="3"/>
    </row>
    <row r="82" spans="2:40" s="31" customFormat="1" ht="13.2" x14ac:dyDescent="0.25">
      <c r="B82" s="41" t="s">
        <v>57</v>
      </c>
      <c r="C82" s="47"/>
      <c r="D82" s="47"/>
      <c r="E82" s="3"/>
      <c r="F82" s="63">
        <f>H15</f>
        <v>1</v>
      </c>
      <c r="G82" s="43">
        <f t="shared" ref="G82:X82" si="7">SUM(G83:G83)</f>
        <v>1</v>
      </c>
      <c r="H82" s="34">
        <f>SUM(H83:H83)</f>
        <v>0</v>
      </c>
      <c r="I82" s="43">
        <f>SUM(I83:I83)</f>
        <v>0</v>
      </c>
      <c r="J82" s="43">
        <f>SUM(J83:J83)</f>
        <v>0</v>
      </c>
      <c r="K82" s="43">
        <f t="shared" si="7"/>
        <v>0</v>
      </c>
      <c r="L82" s="43">
        <f>SUM(L83:L83)</f>
        <v>0</v>
      </c>
      <c r="M82" s="43">
        <f t="shared" ref="M82" si="8">SUM(M83:M83)</f>
        <v>0</v>
      </c>
      <c r="N82" s="43">
        <f>SUM(N83:N83)</f>
        <v>0</v>
      </c>
      <c r="O82" s="43">
        <f>SUM(O83:O83)</f>
        <v>0</v>
      </c>
      <c r="P82" s="43">
        <f t="shared" ref="P82:W82" si="9">SUM(P83:P83)</f>
        <v>0</v>
      </c>
      <c r="Q82" s="43">
        <f t="shared" si="9"/>
        <v>0</v>
      </c>
      <c r="R82" s="43">
        <f t="shared" si="9"/>
        <v>0</v>
      </c>
      <c r="S82" s="43">
        <f t="shared" si="9"/>
        <v>0</v>
      </c>
      <c r="T82" s="43">
        <f t="shared" si="9"/>
        <v>0</v>
      </c>
      <c r="U82" s="43">
        <f t="shared" si="9"/>
        <v>0</v>
      </c>
      <c r="V82" s="43">
        <f t="shared" si="9"/>
        <v>1</v>
      </c>
      <c r="W82" s="43">
        <f t="shared" si="9"/>
        <v>0</v>
      </c>
      <c r="X82" s="43">
        <f t="shared" si="7"/>
        <v>0</v>
      </c>
      <c r="Y82" s="43">
        <f>SUM(Y83:Y83)</f>
        <v>0</v>
      </c>
      <c r="Z82" s="3"/>
      <c r="AA82" s="3"/>
      <c r="AB82" s="3"/>
      <c r="AC82" s="3"/>
      <c r="AD82" s="3"/>
      <c r="AE82" s="3"/>
      <c r="AF82" s="4"/>
      <c r="AG82" s="4"/>
      <c r="AH82" s="4"/>
      <c r="AI82" s="4"/>
      <c r="AJ82" s="4"/>
      <c r="AK82" s="4"/>
    </row>
    <row r="83" spans="2:40" s="107" customFormat="1" ht="13.2" outlineLevel="1" x14ac:dyDescent="0.25">
      <c r="B83" s="32" t="s">
        <v>110</v>
      </c>
      <c r="C83" s="47"/>
      <c r="D83" s="47"/>
      <c r="E83" s="3"/>
      <c r="F83" s="20"/>
      <c r="G83" s="191">
        <f>SUM(H83:Y83)</f>
        <v>1</v>
      </c>
      <c r="H83" s="192"/>
      <c r="I83" s="191"/>
      <c r="J83" s="191"/>
      <c r="K83" s="191"/>
      <c r="L83" s="191"/>
      <c r="M83" s="191"/>
      <c r="N83" s="191"/>
      <c r="O83" s="191"/>
      <c r="P83" s="191"/>
      <c r="Q83" s="191"/>
      <c r="R83" s="191"/>
      <c r="S83" s="191"/>
      <c r="T83" s="191"/>
      <c r="U83" s="191"/>
      <c r="V83" s="191">
        <v>1</v>
      </c>
      <c r="W83" s="191"/>
      <c r="X83" s="191"/>
      <c r="Y83" s="191"/>
      <c r="Z83" s="3"/>
      <c r="AA83" s="3"/>
      <c r="AB83" s="3"/>
      <c r="AC83" s="3"/>
      <c r="AD83" s="3"/>
      <c r="AE83" s="3"/>
      <c r="AF83" s="108"/>
      <c r="AG83" s="108"/>
      <c r="AH83" s="108"/>
      <c r="AI83" s="108"/>
      <c r="AJ83" s="108"/>
      <c r="AK83" s="108"/>
    </row>
    <row r="84" spans="2:40" s="31" customFormat="1" ht="13.2" x14ac:dyDescent="0.25">
      <c r="B84" s="32"/>
      <c r="C84" s="47"/>
      <c r="D84" s="47"/>
      <c r="E84" s="3"/>
      <c r="F84" s="20"/>
      <c r="G84" s="20"/>
      <c r="H84" s="3"/>
      <c r="I84" s="44"/>
      <c r="J84" s="20"/>
      <c r="K84" s="44"/>
      <c r="L84" s="20"/>
      <c r="M84" s="44"/>
      <c r="N84" s="44"/>
      <c r="O84" s="20"/>
      <c r="P84" s="20"/>
      <c r="Q84" s="20"/>
      <c r="R84" s="20"/>
      <c r="S84" s="20"/>
      <c r="T84" s="20"/>
      <c r="U84" s="44"/>
      <c r="V84" s="44"/>
      <c r="W84" s="20"/>
      <c r="X84" s="44"/>
      <c r="Y84" s="20"/>
      <c r="Z84" s="3"/>
      <c r="AA84" s="3"/>
      <c r="AB84" s="3"/>
      <c r="AC84" s="3"/>
      <c r="AD84" s="3"/>
      <c r="AE84" s="3"/>
      <c r="AF84" s="4"/>
      <c r="AG84" s="4"/>
      <c r="AH84" s="4"/>
      <c r="AI84" s="4"/>
      <c r="AJ84" s="4"/>
      <c r="AK84" s="4"/>
    </row>
    <row r="85" spans="2:40" s="107" customFormat="1" ht="13.2" x14ac:dyDescent="0.25">
      <c r="B85" s="41" t="s">
        <v>60</v>
      </c>
      <c r="C85" s="33"/>
      <c r="D85" s="19"/>
      <c r="E85" s="19"/>
      <c r="F85" s="171">
        <f>H18</f>
        <v>7</v>
      </c>
      <c r="G85" s="172">
        <f t="shared" ref="G85:X85" si="10">SUM(G86:G92)</f>
        <v>22</v>
      </c>
      <c r="H85" s="231">
        <f t="shared" si="10"/>
        <v>1</v>
      </c>
      <c r="I85" s="172">
        <f t="shared" si="10"/>
        <v>2</v>
      </c>
      <c r="J85" s="172">
        <f t="shared" si="10"/>
        <v>2</v>
      </c>
      <c r="K85" s="172">
        <f t="shared" si="10"/>
        <v>1</v>
      </c>
      <c r="L85" s="172">
        <f t="shared" si="10"/>
        <v>1</v>
      </c>
      <c r="M85" s="172">
        <f t="shared" si="10"/>
        <v>1</v>
      </c>
      <c r="N85" s="172">
        <f>SUM(N86:N92)</f>
        <v>2</v>
      </c>
      <c r="O85" s="172">
        <f>SUM(O86:O92)</f>
        <v>0</v>
      </c>
      <c r="P85" s="172">
        <f t="shared" ref="P85:W85" si="11">SUM(P86:P92)</f>
        <v>0</v>
      </c>
      <c r="Q85" s="172">
        <f t="shared" si="11"/>
        <v>1</v>
      </c>
      <c r="R85" s="172">
        <f t="shared" si="11"/>
        <v>0</v>
      </c>
      <c r="S85" s="172">
        <f t="shared" si="11"/>
        <v>1</v>
      </c>
      <c r="T85" s="172">
        <f t="shared" si="11"/>
        <v>2</v>
      </c>
      <c r="U85" s="172">
        <f t="shared" si="11"/>
        <v>1</v>
      </c>
      <c r="V85" s="172">
        <f t="shared" si="11"/>
        <v>0</v>
      </c>
      <c r="W85" s="172">
        <f t="shared" si="11"/>
        <v>1</v>
      </c>
      <c r="X85" s="172">
        <f t="shared" si="10"/>
        <v>2</v>
      </c>
      <c r="Y85" s="172">
        <f>SUM(Y86:Y92)</f>
        <v>4</v>
      </c>
    </row>
    <row r="86" spans="2:40" s="107" customFormat="1" ht="13.2" outlineLevel="1" x14ac:dyDescent="0.25">
      <c r="B86" s="32" t="s">
        <v>111</v>
      </c>
      <c r="C86" s="33"/>
      <c r="D86" s="19"/>
      <c r="E86" s="19"/>
      <c r="F86" s="168"/>
      <c r="G86" s="194">
        <f t="shared" ref="G86:G92" si="12">SUM(H86:Y86)</f>
        <v>5</v>
      </c>
      <c r="H86" s="208"/>
      <c r="I86" s="194"/>
      <c r="J86" s="194"/>
      <c r="K86" s="194"/>
      <c r="L86" s="194">
        <v>1</v>
      </c>
      <c r="M86" s="194">
        <v>1</v>
      </c>
      <c r="N86" s="194">
        <v>1</v>
      </c>
      <c r="O86" s="194"/>
      <c r="P86" s="194"/>
      <c r="Q86" s="194"/>
      <c r="R86" s="194"/>
      <c r="S86" s="194"/>
      <c r="T86" s="194"/>
      <c r="U86" s="194"/>
      <c r="V86" s="194"/>
      <c r="W86" s="194"/>
      <c r="X86" s="194">
        <v>1</v>
      </c>
      <c r="Y86" s="194">
        <v>1</v>
      </c>
    </row>
    <row r="87" spans="2:40" s="107" customFormat="1" ht="13.2" outlineLevel="1" x14ac:dyDescent="0.25">
      <c r="B87" s="32" t="s">
        <v>112</v>
      </c>
      <c r="C87" s="33"/>
      <c r="D87" s="19"/>
      <c r="E87" s="19"/>
      <c r="F87" s="168"/>
      <c r="G87" s="124">
        <f t="shared" si="12"/>
        <v>2</v>
      </c>
      <c r="H87" s="45">
        <v>1</v>
      </c>
      <c r="I87" s="124"/>
      <c r="J87" s="124">
        <v>1</v>
      </c>
      <c r="K87" s="124"/>
      <c r="L87" s="124"/>
      <c r="M87" s="124"/>
      <c r="N87" s="124"/>
      <c r="O87" s="124"/>
      <c r="P87" s="124"/>
      <c r="Q87" s="124"/>
      <c r="R87" s="124"/>
      <c r="S87" s="124"/>
      <c r="T87" s="124"/>
      <c r="U87" s="124"/>
      <c r="V87" s="124"/>
      <c r="W87" s="124"/>
      <c r="X87" s="124"/>
      <c r="Y87" s="124"/>
    </row>
    <row r="88" spans="2:40" s="107" customFormat="1" ht="13.2" outlineLevel="1" x14ac:dyDescent="0.25">
      <c r="B88" s="32" t="s">
        <v>113</v>
      </c>
      <c r="C88" s="33"/>
      <c r="D88" s="19"/>
      <c r="E88" s="19"/>
      <c r="F88" s="168"/>
      <c r="G88" s="124">
        <f t="shared" si="12"/>
        <v>7</v>
      </c>
      <c r="H88" s="45"/>
      <c r="I88" s="124">
        <v>1</v>
      </c>
      <c r="J88" s="124"/>
      <c r="K88" s="124">
        <v>1</v>
      </c>
      <c r="L88" s="124"/>
      <c r="M88" s="124"/>
      <c r="N88" s="124"/>
      <c r="O88" s="124"/>
      <c r="P88" s="124"/>
      <c r="Q88" s="124">
        <v>1</v>
      </c>
      <c r="R88" s="124"/>
      <c r="S88" s="124">
        <v>1</v>
      </c>
      <c r="T88" s="124">
        <v>1</v>
      </c>
      <c r="U88" s="124"/>
      <c r="V88" s="124"/>
      <c r="W88" s="124"/>
      <c r="X88" s="124">
        <v>1</v>
      </c>
      <c r="Y88" s="124">
        <v>1</v>
      </c>
    </row>
    <row r="89" spans="2:40" s="107" customFormat="1" ht="13.2" outlineLevel="1" x14ac:dyDescent="0.25">
      <c r="B89" s="32" t="s">
        <v>114</v>
      </c>
      <c r="C89" s="33"/>
      <c r="D89" s="19"/>
      <c r="E89" s="19"/>
      <c r="F89" s="168"/>
      <c r="G89" s="124">
        <f t="shared" si="12"/>
        <v>2</v>
      </c>
      <c r="H89" s="45"/>
      <c r="I89" s="124"/>
      <c r="J89" s="124"/>
      <c r="K89" s="124"/>
      <c r="L89" s="124"/>
      <c r="M89" s="124"/>
      <c r="N89" s="124"/>
      <c r="O89" s="124"/>
      <c r="P89" s="124"/>
      <c r="Q89" s="124"/>
      <c r="R89" s="124"/>
      <c r="S89" s="124"/>
      <c r="T89" s="124"/>
      <c r="U89" s="124">
        <v>1</v>
      </c>
      <c r="V89" s="124"/>
      <c r="W89" s="124">
        <v>1</v>
      </c>
      <c r="X89" s="124"/>
      <c r="Y89" s="124"/>
    </row>
    <row r="90" spans="2:40" s="107" customFormat="1" ht="13.2" outlineLevel="1" x14ac:dyDescent="0.25">
      <c r="B90" s="32" t="s">
        <v>115</v>
      </c>
      <c r="C90" s="33"/>
      <c r="D90" s="19"/>
      <c r="E90" s="19"/>
      <c r="F90" s="168"/>
      <c r="G90" s="124">
        <f t="shared" si="12"/>
        <v>2</v>
      </c>
      <c r="H90" s="45"/>
      <c r="I90" s="124">
        <v>1</v>
      </c>
      <c r="J90" s="124"/>
      <c r="K90" s="124"/>
      <c r="L90" s="124"/>
      <c r="M90" s="124"/>
      <c r="N90" s="124"/>
      <c r="O90" s="124"/>
      <c r="P90" s="124"/>
      <c r="Q90" s="124"/>
      <c r="R90" s="124"/>
      <c r="S90" s="124"/>
      <c r="T90" s="124"/>
      <c r="U90" s="124"/>
      <c r="V90" s="124"/>
      <c r="W90" s="124"/>
      <c r="X90" s="124"/>
      <c r="Y90" s="124">
        <v>1</v>
      </c>
    </row>
    <row r="91" spans="2:40" s="107" customFormat="1" ht="13.2" outlineLevel="1" x14ac:dyDescent="0.25">
      <c r="B91" s="32" t="s">
        <v>116</v>
      </c>
      <c r="C91" s="33"/>
      <c r="D91" s="19"/>
      <c r="E91" s="19"/>
      <c r="F91" s="168"/>
      <c r="G91" s="124">
        <f t="shared" si="12"/>
        <v>2</v>
      </c>
      <c r="H91" s="45"/>
      <c r="I91" s="124"/>
      <c r="J91" s="124">
        <v>1</v>
      </c>
      <c r="K91" s="124"/>
      <c r="L91" s="124"/>
      <c r="M91" s="124"/>
      <c r="N91" s="124"/>
      <c r="O91" s="124"/>
      <c r="P91" s="124"/>
      <c r="Q91" s="124"/>
      <c r="R91" s="124"/>
      <c r="S91" s="124"/>
      <c r="T91" s="124"/>
      <c r="U91" s="124"/>
      <c r="V91" s="124"/>
      <c r="W91" s="124"/>
      <c r="X91" s="124"/>
      <c r="Y91" s="124">
        <v>1</v>
      </c>
    </row>
    <row r="92" spans="2:40" s="107" customFormat="1" ht="13.2" outlineLevel="1" x14ac:dyDescent="0.25">
      <c r="B92" s="32" t="s">
        <v>118</v>
      </c>
      <c r="C92" s="33"/>
      <c r="D92" s="19"/>
      <c r="E92" s="19"/>
      <c r="F92" s="168"/>
      <c r="G92" s="195">
        <f t="shared" si="12"/>
        <v>2</v>
      </c>
      <c r="H92" s="209"/>
      <c r="I92" s="195"/>
      <c r="J92" s="195"/>
      <c r="K92" s="195"/>
      <c r="L92" s="195"/>
      <c r="M92" s="195"/>
      <c r="N92" s="195">
        <v>1</v>
      </c>
      <c r="O92" s="195"/>
      <c r="P92" s="195"/>
      <c r="Q92" s="195"/>
      <c r="R92" s="195"/>
      <c r="S92" s="195"/>
      <c r="T92" s="195">
        <v>1</v>
      </c>
      <c r="U92" s="195"/>
      <c r="V92" s="195"/>
      <c r="W92" s="195"/>
      <c r="X92" s="195"/>
      <c r="Y92" s="195"/>
    </row>
    <row r="93" spans="2:40" s="31" customFormat="1" ht="13.2" x14ac:dyDescent="0.25">
      <c r="B93" s="32"/>
      <c r="C93" s="33"/>
      <c r="D93" s="33"/>
      <c r="E93" s="33"/>
      <c r="F93" s="44"/>
      <c r="G93" s="20"/>
      <c r="H93" s="33"/>
      <c r="I93" s="44"/>
      <c r="J93" s="44"/>
      <c r="K93" s="44"/>
      <c r="L93" s="44"/>
      <c r="M93" s="44"/>
      <c r="N93" s="44"/>
      <c r="O93" s="44"/>
      <c r="P93" s="44"/>
      <c r="Q93" s="44"/>
      <c r="R93" s="44"/>
      <c r="S93" s="44"/>
      <c r="T93" s="44"/>
      <c r="U93" s="44"/>
      <c r="V93" s="44"/>
      <c r="W93" s="44"/>
      <c r="X93" s="44"/>
      <c r="Y93" s="44"/>
    </row>
    <row r="94" spans="2:40" s="107" customFormat="1" ht="13.2" x14ac:dyDescent="0.25">
      <c r="B94" s="41" t="s">
        <v>40</v>
      </c>
      <c r="C94" s="33"/>
      <c r="D94" s="19"/>
      <c r="E94" s="19"/>
      <c r="F94" s="171">
        <f>H28</f>
        <v>9</v>
      </c>
      <c r="G94" s="172">
        <f>SUM(G95:G103)</f>
        <v>19</v>
      </c>
      <c r="H94" s="231">
        <f>SUM(H95:H103)</f>
        <v>3</v>
      </c>
      <c r="I94" s="172">
        <f>SUM(I95:I103)</f>
        <v>1</v>
      </c>
      <c r="J94" s="172">
        <f>SUM(J95:J103)</f>
        <v>0</v>
      </c>
      <c r="K94" s="172">
        <f t="shared" ref="K94" si="13">SUM(K95:K103)</f>
        <v>1</v>
      </c>
      <c r="L94" s="172">
        <f>SUM(L95:L103)</f>
        <v>1</v>
      </c>
      <c r="M94" s="172">
        <f t="shared" ref="M94" si="14">SUM(M95:M103)</f>
        <v>2</v>
      </c>
      <c r="N94" s="172">
        <f>SUM(N95:N103)</f>
        <v>1</v>
      </c>
      <c r="O94" s="172">
        <f>SUM(O95:O103)</f>
        <v>1</v>
      </c>
      <c r="P94" s="172">
        <f t="shared" ref="P94:W94" si="15">SUM(P95:P103)</f>
        <v>0</v>
      </c>
      <c r="Q94" s="172">
        <f t="shared" si="15"/>
        <v>1</v>
      </c>
      <c r="R94" s="172">
        <f t="shared" si="15"/>
        <v>1</v>
      </c>
      <c r="S94" s="172">
        <f t="shared" si="15"/>
        <v>1</v>
      </c>
      <c r="T94" s="172">
        <f t="shared" si="15"/>
        <v>1</v>
      </c>
      <c r="U94" s="172">
        <f t="shared" si="15"/>
        <v>2</v>
      </c>
      <c r="V94" s="172">
        <f t="shared" si="15"/>
        <v>0</v>
      </c>
      <c r="W94" s="172">
        <f t="shared" si="15"/>
        <v>0</v>
      </c>
      <c r="X94" s="172">
        <f t="shared" ref="X94" si="16">SUM(X95:X103)</f>
        <v>1</v>
      </c>
      <c r="Y94" s="172">
        <f t="shared" ref="Y94" si="17">SUM(Y95:Y103)</f>
        <v>2</v>
      </c>
    </row>
    <row r="95" spans="2:40" s="107" customFormat="1" ht="13.2" outlineLevel="1" x14ac:dyDescent="0.25">
      <c r="B95" s="32" t="s">
        <v>120</v>
      </c>
      <c r="C95" s="33"/>
      <c r="D95" s="19"/>
      <c r="E95" s="19"/>
      <c r="F95" s="114"/>
      <c r="G95" s="194">
        <f t="shared" ref="G95:G103" si="18">SUM(H95:Y95)</f>
        <v>1</v>
      </c>
      <c r="H95" s="208"/>
      <c r="I95" s="194"/>
      <c r="J95" s="194"/>
      <c r="K95" s="194"/>
      <c r="L95" s="194"/>
      <c r="M95" s="194"/>
      <c r="N95" s="194"/>
      <c r="O95" s="194"/>
      <c r="P95" s="194"/>
      <c r="Q95" s="194"/>
      <c r="R95" s="194"/>
      <c r="S95" s="194"/>
      <c r="T95" s="194"/>
      <c r="U95" s="194"/>
      <c r="V95" s="194"/>
      <c r="W95" s="194"/>
      <c r="X95" s="194"/>
      <c r="Y95" s="194">
        <v>1</v>
      </c>
    </row>
    <row r="96" spans="2:40" s="107" customFormat="1" ht="13.2" outlineLevel="1" x14ac:dyDescent="0.25">
      <c r="B96" s="32" t="s">
        <v>123</v>
      </c>
      <c r="C96" s="33"/>
      <c r="D96" s="19"/>
      <c r="E96" s="19"/>
      <c r="F96" s="114"/>
      <c r="G96" s="124">
        <f t="shared" si="18"/>
        <v>2</v>
      </c>
      <c r="H96" s="45">
        <v>1</v>
      </c>
      <c r="I96" s="124"/>
      <c r="J96" s="124"/>
      <c r="K96" s="124"/>
      <c r="L96" s="124"/>
      <c r="M96" s="124"/>
      <c r="N96" s="124">
        <v>1</v>
      </c>
      <c r="O96" s="124"/>
      <c r="P96" s="124"/>
      <c r="Q96" s="124"/>
      <c r="R96" s="124"/>
      <c r="S96" s="124"/>
      <c r="T96" s="124"/>
      <c r="U96" s="124"/>
      <c r="V96" s="124"/>
      <c r="W96" s="124"/>
      <c r="X96" s="124"/>
      <c r="Y96" s="124"/>
    </row>
    <row r="97" spans="2:25" s="107" customFormat="1" ht="13.2" outlineLevel="1" x14ac:dyDescent="0.25">
      <c r="B97" s="32" t="s">
        <v>124</v>
      </c>
      <c r="C97" s="33"/>
      <c r="D97" s="19"/>
      <c r="E97" s="19"/>
      <c r="F97" s="114"/>
      <c r="G97" s="124">
        <f t="shared" si="18"/>
        <v>4</v>
      </c>
      <c r="H97" s="45">
        <v>1</v>
      </c>
      <c r="I97" s="124"/>
      <c r="J97" s="124"/>
      <c r="K97" s="124">
        <v>1</v>
      </c>
      <c r="L97" s="124"/>
      <c r="M97" s="124"/>
      <c r="N97" s="124"/>
      <c r="O97" s="124"/>
      <c r="P97" s="124"/>
      <c r="Q97" s="124"/>
      <c r="R97" s="124"/>
      <c r="S97" s="124"/>
      <c r="T97" s="124"/>
      <c r="U97" s="124">
        <v>1</v>
      </c>
      <c r="V97" s="124"/>
      <c r="W97" s="124"/>
      <c r="X97" s="124"/>
      <c r="Y97" s="124">
        <v>1</v>
      </c>
    </row>
    <row r="98" spans="2:25" s="107" customFormat="1" ht="13.2" outlineLevel="1" x14ac:dyDescent="0.25">
      <c r="B98" s="32" t="s">
        <v>125</v>
      </c>
      <c r="C98" s="33"/>
      <c r="D98" s="19"/>
      <c r="E98" s="19"/>
      <c r="F98" s="114"/>
      <c r="G98" s="124">
        <f t="shared" si="18"/>
        <v>4</v>
      </c>
      <c r="H98" s="45"/>
      <c r="I98" s="124">
        <v>1</v>
      </c>
      <c r="J98" s="124"/>
      <c r="K98" s="124"/>
      <c r="L98" s="124"/>
      <c r="M98" s="124"/>
      <c r="N98" s="124"/>
      <c r="O98" s="124">
        <v>1</v>
      </c>
      <c r="P98" s="124"/>
      <c r="Q98" s="124"/>
      <c r="R98" s="124"/>
      <c r="S98" s="124">
        <v>1</v>
      </c>
      <c r="T98" s="124">
        <v>1</v>
      </c>
      <c r="U98" s="124"/>
      <c r="V98" s="124"/>
      <c r="W98" s="124"/>
      <c r="X98" s="124"/>
      <c r="Y98" s="124"/>
    </row>
    <row r="99" spans="2:25" s="107" customFormat="1" ht="13.2" outlineLevel="1" x14ac:dyDescent="0.25">
      <c r="B99" s="32" t="s">
        <v>126</v>
      </c>
      <c r="C99" s="33"/>
      <c r="D99" s="19"/>
      <c r="E99" s="19"/>
      <c r="F99" s="114"/>
      <c r="G99" s="124">
        <f t="shared" si="18"/>
        <v>1</v>
      </c>
      <c r="H99" s="45"/>
      <c r="I99" s="124"/>
      <c r="J99" s="124"/>
      <c r="K99" s="124"/>
      <c r="L99" s="124"/>
      <c r="M99" s="124"/>
      <c r="N99" s="124"/>
      <c r="O99" s="124"/>
      <c r="P99" s="124"/>
      <c r="Q99" s="124">
        <v>1</v>
      </c>
      <c r="R99" s="124"/>
      <c r="S99" s="124"/>
      <c r="T99" s="124"/>
      <c r="U99" s="124"/>
      <c r="V99" s="124"/>
      <c r="W99" s="124"/>
      <c r="X99" s="124"/>
      <c r="Y99" s="124"/>
    </row>
    <row r="100" spans="2:25" s="107" customFormat="1" ht="13.2" outlineLevel="1" x14ac:dyDescent="0.25">
      <c r="B100" s="32" t="s">
        <v>127</v>
      </c>
      <c r="C100" s="33"/>
      <c r="D100" s="19"/>
      <c r="E100" s="19"/>
      <c r="F100" s="114"/>
      <c r="G100" s="124">
        <f t="shared" si="18"/>
        <v>2</v>
      </c>
      <c r="H100" s="45"/>
      <c r="I100" s="124"/>
      <c r="J100" s="124"/>
      <c r="K100" s="124"/>
      <c r="L100" s="124">
        <v>1</v>
      </c>
      <c r="M100" s="124">
        <v>1</v>
      </c>
      <c r="N100" s="124"/>
      <c r="O100" s="124"/>
      <c r="P100" s="124"/>
      <c r="Q100" s="124"/>
      <c r="R100" s="124"/>
      <c r="S100" s="124"/>
      <c r="T100" s="124"/>
      <c r="U100" s="124"/>
      <c r="V100" s="124"/>
      <c r="W100" s="124"/>
      <c r="X100" s="124"/>
      <c r="Y100" s="124"/>
    </row>
    <row r="101" spans="2:25" s="107" customFormat="1" ht="13.2" outlineLevel="1" x14ac:dyDescent="0.25">
      <c r="B101" s="32" t="s">
        <v>128</v>
      </c>
      <c r="C101" s="33"/>
      <c r="D101" s="19"/>
      <c r="E101" s="19"/>
      <c r="F101" s="114"/>
      <c r="G101" s="124">
        <f t="shared" si="18"/>
        <v>1</v>
      </c>
      <c r="H101" s="45"/>
      <c r="I101" s="124"/>
      <c r="J101" s="124"/>
      <c r="K101" s="124"/>
      <c r="L101" s="124"/>
      <c r="M101" s="124"/>
      <c r="N101" s="124"/>
      <c r="O101" s="124"/>
      <c r="P101" s="124"/>
      <c r="Q101" s="124"/>
      <c r="R101" s="124"/>
      <c r="S101" s="124"/>
      <c r="T101" s="124"/>
      <c r="U101" s="124"/>
      <c r="V101" s="124"/>
      <c r="W101" s="124"/>
      <c r="X101" s="124">
        <v>1</v>
      </c>
      <c r="Y101" s="124"/>
    </row>
    <row r="102" spans="2:25" s="107" customFormat="1" ht="13.2" outlineLevel="1" x14ac:dyDescent="0.25">
      <c r="B102" s="32" t="s">
        <v>129</v>
      </c>
      <c r="C102" s="33"/>
      <c r="D102" s="19"/>
      <c r="E102" s="19"/>
      <c r="F102" s="114"/>
      <c r="G102" s="124">
        <f t="shared" si="18"/>
        <v>3</v>
      </c>
      <c r="H102" s="45">
        <v>1</v>
      </c>
      <c r="I102" s="124"/>
      <c r="J102" s="124"/>
      <c r="K102" s="124"/>
      <c r="L102" s="124"/>
      <c r="M102" s="124">
        <v>1</v>
      </c>
      <c r="N102" s="124"/>
      <c r="O102" s="124"/>
      <c r="P102" s="124"/>
      <c r="Q102" s="124"/>
      <c r="R102" s="124"/>
      <c r="S102" s="124"/>
      <c r="T102" s="124"/>
      <c r="U102" s="124">
        <v>1</v>
      </c>
      <c r="V102" s="124"/>
      <c r="W102" s="124"/>
      <c r="X102" s="124"/>
      <c r="Y102" s="124"/>
    </row>
    <row r="103" spans="2:25" s="107" customFormat="1" ht="13.2" outlineLevel="1" x14ac:dyDescent="0.25">
      <c r="B103" s="32" t="s">
        <v>130</v>
      </c>
      <c r="C103" s="19"/>
      <c r="D103" s="19"/>
      <c r="E103" s="19"/>
      <c r="F103" s="114"/>
      <c r="G103" s="195">
        <f t="shared" si="18"/>
        <v>1</v>
      </c>
      <c r="H103" s="209"/>
      <c r="I103" s="195"/>
      <c r="J103" s="195"/>
      <c r="K103" s="195"/>
      <c r="L103" s="195"/>
      <c r="M103" s="195"/>
      <c r="N103" s="195"/>
      <c r="O103" s="195"/>
      <c r="P103" s="195"/>
      <c r="Q103" s="195"/>
      <c r="R103" s="195">
        <v>1</v>
      </c>
      <c r="S103" s="195"/>
      <c r="T103" s="195"/>
      <c r="U103" s="195"/>
      <c r="V103" s="195"/>
      <c r="W103" s="195"/>
      <c r="X103" s="195"/>
      <c r="Y103" s="195"/>
    </row>
    <row r="104" spans="2:25" s="31" customFormat="1" ht="13.2" x14ac:dyDescent="0.25">
      <c r="B104" s="32"/>
      <c r="C104" s="33"/>
      <c r="D104" s="33"/>
      <c r="E104" s="33"/>
      <c r="F104" s="20"/>
      <c r="G104" s="20"/>
      <c r="H104" s="33"/>
      <c r="I104" s="44"/>
      <c r="J104" s="44"/>
      <c r="K104" s="44"/>
      <c r="L104" s="44"/>
      <c r="M104" s="44"/>
      <c r="N104" s="44"/>
      <c r="O104" s="44"/>
      <c r="P104" s="44"/>
      <c r="Q104" s="44"/>
      <c r="R104" s="44"/>
      <c r="S104" s="44"/>
      <c r="T104" s="44"/>
      <c r="U104" s="44"/>
      <c r="V104" s="44"/>
      <c r="W104" s="44"/>
      <c r="X104" s="44"/>
      <c r="Y104" s="44"/>
    </row>
    <row r="105" spans="2:25" s="107" customFormat="1" ht="13.2" x14ac:dyDescent="0.25">
      <c r="B105" s="41" t="s">
        <v>80</v>
      </c>
      <c r="C105" s="19"/>
      <c r="D105" s="19"/>
      <c r="E105" s="19"/>
      <c r="F105" s="171">
        <f>H40</f>
        <v>1</v>
      </c>
      <c r="G105" s="172">
        <f t="shared" ref="G105:X105" si="19">SUM(G106:G106)</f>
        <v>1</v>
      </c>
      <c r="H105" s="231">
        <f>SUM(H106:H106)</f>
        <v>0</v>
      </c>
      <c r="I105" s="172">
        <f>SUM(I106:I106)</f>
        <v>0</v>
      </c>
      <c r="J105" s="172">
        <f>SUM(J106:J106)</f>
        <v>0</v>
      </c>
      <c r="K105" s="172">
        <f t="shared" ref="K105" si="20">SUM(K106:K106)</f>
        <v>0</v>
      </c>
      <c r="L105" s="172">
        <f>SUM(L106:L106)</f>
        <v>0</v>
      </c>
      <c r="M105" s="172">
        <f t="shared" ref="M105" si="21">SUM(M106:M106)</f>
        <v>0</v>
      </c>
      <c r="N105" s="172">
        <f>SUM(N106:N106)</f>
        <v>0</v>
      </c>
      <c r="O105" s="172">
        <f>SUM(O106:O106)</f>
        <v>0</v>
      </c>
      <c r="P105" s="172">
        <f t="shared" ref="P105:W105" si="22">SUM(P106:P106)</f>
        <v>0</v>
      </c>
      <c r="Q105" s="172">
        <f t="shared" si="22"/>
        <v>0</v>
      </c>
      <c r="R105" s="172">
        <f t="shared" si="22"/>
        <v>0</v>
      </c>
      <c r="S105" s="172">
        <f t="shared" si="22"/>
        <v>0</v>
      </c>
      <c r="T105" s="172">
        <f t="shared" si="22"/>
        <v>0</v>
      </c>
      <c r="U105" s="172">
        <f t="shared" si="22"/>
        <v>0</v>
      </c>
      <c r="V105" s="172">
        <f t="shared" si="22"/>
        <v>0</v>
      </c>
      <c r="W105" s="172">
        <f t="shared" si="22"/>
        <v>0</v>
      </c>
      <c r="X105" s="172">
        <f t="shared" si="19"/>
        <v>0</v>
      </c>
      <c r="Y105" s="172">
        <f>SUM(Y106:Y106)</f>
        <v>1</v>
      </c>
    </row>
    <row r="106" spans="2:25" s="107" customFormat="1" ht="13.2" outlineLevel="1" x14ac:dyDescent="0.25">
      <c r="B106" s="32" t="s">
        <v>132</v>
      </c>
      <c r="C106" s="19"/>
      <c r="D106" s="19"/>
      <c r="E106" s="19"/>
      <c r="F106" s="114"/>
      <c r="G106" s="191">
        <f>SUM(H106:Y106)</f>
        <v>1</v>
      </c>
      <c r="H106" s="192"/>
      <c r="I106" s="191"/>
      <c r="J106" s="191"/>
      <c r="K106" s="191"/>
      <c r="L106" s="191"/>
      <c r="M106" s="191"/>
      <c r="N106" s="191"/>
      <c r="O106" s="191"/>
      <c r="P106" s="191"/>
      <c r="Q106" s="191"/>
      <c r="R106" s="191"/>
      <c r="S106" s="191"/>
      <c r="T106" s="191"/>
      <c r="U106" s="191"/>
      <c r="V106" s="191"/>
      <c r="W106" s="191"/>
      <c r="X106" s="191"/>
      <c r="Y106" s="191">
        <v>1</v>
      </c>
    </row>
    <row r="107" spans="2:25" s="31" customFormat="1" ht="13.2" x14ac:dyDescent="0.25">
      <c r="B107" s="32"/>
      <c r="C107" s="33"/>
      <c r="D107" s="33"/>
      <c r="E107" s="33"/>
      <c r="F107" s="20"/>
      <c r="G107" s="20"/>
      <c r="H107" s="33"/>
      <c r="I107" s="44"/>
      <c r="J107" s="44"/>
      <c r="K107" s="44"/>
      <c r="L107" s="44"/>
      <c r="M107" s="44"/>
      <c r="N107" s="44"/>
      <c r="O107" s="44"/>
      <c r="P107" s="44"/>
      <c r="Q107" s="44"/>
      <c r="R107" s="44"/>
      <c r="S107" s="44"/>
      <c r="T107" s="44"/>
      <c r="U107" s="44"/>
      <c r="V107" s="44"/>
      <c r="W107" s="44"/>
      <c r="X107" s="44"/>
      <c r="Y107" s="44"/>
    </row>
    <row r="108" spans="2:25" s="107" customFormat="1" ht="13.2" x14ac:dyDescent="0.25">
      <c r="B108" s="41" t="s">
        <v>85</v>
      </c>
      <c r="C108" s="19"/>
      <c r="D108" s="19"/>
      <c r="E108" s="19"/>
      <c r="F108" s="171">
        <f>H45</f>
        <v>14</v>
      </c>
      <c r="G108" s="172">
        <f t="shared" ref="G108:X108" si="23">SUM(G109:G122)</f>
        <v>20</v>
      </c>
      <c r="H108" s="231">
        <f t="shared" si="23"/>
        <v>0</v>
      </c>
      <c r="I108" s="172">
        <f t="shared" si="23"/>
        <v>2</v>
      </c>
      <c r="J108" s="172">
        <f t="shared" si="23"/>
        <v>1</v>
      </c>
      <c r="K108" s="172">
        <f t="shared" si="23"/>
        <v>0</v>
      </c>
      <c r="L108" s="172">
        <f t="shared" si="23"/>
        <v>1</v>
      </c>
      <c r="M108" s="172">
        <f t="shared" si="23"/>
        <v>1</v>
      </c>
      <c r="N108" s="172">
        <f>SUM(N109:N122)</f>
        <v>0</v>
      </c>
      <c r="O108" s="172">
        <f>SUM(O109:O122)</f>
        <v>3</v>
      </c>
      <c r="P108" s="172">
        <f t="shared" ref="P108:W108" si="24">SUM(P109:P122)</f>
        <v>2</v>
      </c>
      <c r="Q108" s="172">
        <f t="shared" si="24"/>
        <v>1</v>
      </c>
      <c r="R108" s="172">
        <f t="shared" si="24"/>
        <v>1</v>
      </c>
      <c r="S108" s="172">
        <f t="shared" si="24"/>
        <v>0</v>
      </c>
      <c r="T108" s="172">
        <f t="shared" si="24"/>
        <v>1</v>
      </c>
      <c r="U108" s="172">
        <f t="shared" si="24"/>
        <v>0</v>
      </c>
      <c r="V108" s="172">
        <f t="shared" si="24"/>
        <v>2</v>
      </c>
      <c r="W108" s="172">
        <f t="shared" si="24"/>
        <v>1</v>
      </c>
      <c r="X108" s="172">
        <f t="shared" si="23"/>
        <v>0</v>
      </c>
      <c r="Y108" s="172">
        <f>SUM(Y109:Y122)</f>
        <v>4</v>
      </c>
    </row>
    <row r="109" spans="2:25" s="107" customFormat="1" ht="13.2" outlineLevel="1" x14ac:dyDescent="0.25">
      <c r="B109" s="32" t="s">
        <v>135</v>
      </c>
      <c r="C109" s="19"/>
      <c r="D109" s="19"/>
      <c r="E109" s="19"/>
      <c r="F109" s="114"/>
      <c r="G109" s="194">
        <f t="shared" ref="G109:G122" si="25">SUM(H109:Y109)</f>
        <v>1</v>
      </c>
      <c r="H109" s="208"/>
      <c r="I109" s="194"/>
      <c r="J109" s="194"/>
      <c r="K109" s="194"/>
      <c r="L109" s="194"/>
      <c r="M109" s="194"/>
      <c r="N109" s="194"/>
      <c r="O109" s="194"/>
      <c r="P109" s="194"/>
      <c r="Q109" s="194"/>
      <c r="R109" s="194"/>
      <c r="S109" s="194"/>
      <c r="T109" s="194"/>
      <c r="U109" s="194"/>
      <c r="V109" s="194">
        <v>1</v>
      </c>
      <c r="W109" s="194"/>
      <c r="X109" s="194"/>
      <c r="Y109" s="194"/>
    </row>
    <row r="110" spans="2:25" s="107" customFormat="1" ht="13.2" outlineLevel="1" x14ac:dyDescent="0.25">
      <c r="B110" s="32" t="s">
        <v>138</v>
      </c>
      <c r="C110" s="19"/>
      <c r="D110" s="19"/>
      <c r="E110" s="19"/>
      <c r="F110" s="114"/>
      <c r="G110" s="124">
        <f t="shared" si="25"/>
        <v>1</v>
      </c>
      <c r="H110" s="45"/>
      <c r="I110" s="124"/>
      <c r="J110" s="124"/>
      <c r="K110" s="124"/>
      <c r="L110" s="124"/>
      <c r="M110" s="124"/>
      <c r="N110" s="124"/>
      <c r="O110" s="124"/>
      <c r="P110" s="124">
        <v>1</v>
      </c>
      <c r="Q110" s="124"/>
      <c r="R110" s="124"/>
      <c r="S110" s="124"/>
      <c r="T110" s="124"/>
      <c r="U110" s="124"/>
      <c r="V110" s="124"/>
      <c r="W110" s="124"/>
      <c r="X110" s="124"/>
      <c r="Y110" s="124"/>
    </row>
    <row r="111" spans="2:25" s="107" customFormat="1" ht="13.2" outlineLevel="1" x14ac:dyDescent="0.25">
      <c r="B111" s="32" t="s">
        <v>139</v>
      </c>
      <c r="C111" s="19"/>
      <c r="D111" s="19"/>
      <c r="E111" s="19"/>
      <c r="F111" s="114"/>
      <c r="G111" s="124">
        <f t="shared" si="25"/>
        <v>1</v>
      </c>
      <c r="H111" s="45"/>
      <c r="I111" s="124"/>
      <c r="J111" s="124"/>
      <c r="K111" s="124"/>
      <c r="L111" s="124"/>
      <c r="M111" s="124">
        <v>1</v>
      </c>
      <c r="N111" s="124"/>
      <c r="O111" s="124"/>
      <c r="P111" s="124"/>
      <c r="Q111" s="124"/>
      <c r="R111" s="124"/>
      <c r="S111" s="124"/>
      <c r="T111" s="124"/>
      <c r="U111" s="124"/>
      <c r="V111" s="124"/>
      <c r="W111" s="124"/>
      <c r="X111" s="124"/>
      <c r="Y111" s="124"/>
    </row>
    <row r="112" spans="2:25" s="107" customFormat="1" ht="13.2" outlineLevel="1" x14ac:dyDescent="0.25">
      <c r="B112" s="32" t="s">
        <v>141</v>
      </c>
      <c r="C112" s="19"/>
      <c r="D112" s="19"/>
      <c r="E112" s="19"/>
      <c r="F112" s="114"/>
      <c r="G112" s="124">
        <f t="shared" si="25"/>
        <v>1</v>
      </c>
      <c r="H112" s="45"/>
      <c r="I112" s="124"/>
      <c r="J112" s="124"/>
      <c r="K112" s="124"/>
      <c r="L112" s="124"/>
      <c r="M112" s="124"/>
      <c r="N112" s="124"/>
      <c r="O112" s="124">
        <v>1</v>
      </c>
      <c r="P112" s="124"/>
      <c r="Q112" s="124"/>
      <c r="R112" s="124"/>
      <c r="S112" s="124"/>
      <c r="T112" s="124"/>
      <c r="U112" s="124"/>
      <c r="V112" s="124"/>
      <c r="W112" s="124"/>
      <c r="X112" s="124"/>
      <c r="Y112" s="124"/>
    </row>
    <row r="113" spans="2:25" s="107" customFormat="1" ht="13.2" outlineLevel="1" x14ac:dyDescent="0.25">
      <c r="B113" s="32" t="s">
        <v>144</v>
      </c>
      <c r="C113" s="19"/>
      <c r="D113" s="19"/>
      <c r="E113" s="19"/>
      <c r="F113" s="114"/>
      <c r="G113" s="124">
        <f t="shared" si="25"/>
        <v>1</v>
      </c>
      <c r="H113" s="45"/>
      <c r="I113" s="124"/>
      <c r="J113" s="124">
        <v>1</v>
      </c>
      <c r="K113" s="124"/>
      <c r="L113" s="124"/>
      <c r="M113" s="124"/>
      <c r="N113" s="124"/>
      <c r="O113" s="124"/>
      <c r="P113" s="124"/>
      <c r="Q113" s="124"/>
      <c r="R113" s="124"/>
      <c r="S113" s="124"/>
      <c r="T113" s="124"/>
      <c r="U113" s="124"/>
      <c r="V113" s="124"/>
      <c r="W113" s="124"/>
      <c r="X113" s="124"/>
      <c r="Y113" s="124"/>
    </row>
    <row r="114" spans="2:25" s="107" customFormat="1" ht="13.2" outlineLevel="1" x14ac:dyDescent="0.25">
      <c r="B114" s="32" t="s">
        <v>146</v>
      </c>
      <c r="C114" s="19"/>
      <c r="D114" s="19"/>
      <c r="E114" s="19"/>
      <c r="F114" s="114"/>
      <c r="G114" s="124">
        <f t="shared" si="25"/>
        <v>1</v>
      </c>
      <c r="H114" s="45"/>
      <c r="I114" s="124">
        <v>1</v>
      </c>
      <c r="J114" s="124"/>
      <c r="K114" s="124"/>
      <c r="L114" s="124"/>
      <c r="M114" s="124"/>
      <c r="N114" s="124"/>
      <c r="O114" s="124"/>
      <c r="P114" s="124"/>
      <c r="Q114" s="124"/>
      <c r="R114" s="124"/>
      <c r="S114" s="124"/>
      <c r="T114" s="124"/>
      <c r="U114" s="124"/>
      <c r="V114" s="124"/>
      <c r="W114" s="124"/>
      <c r="X114" s="124"/>
      <c r="Y114" s="124"/>
    </row>
    <row r="115" spans="2:25" s="107" customFormat="1" ht="13.2" outlineLevel="1" x14ac:dyDescent="0.25">
      <c r="B115" s="32" t="s">
        <v>147</v>
      </c>
      <c r="C115" s="19"/>
      <c r="D115" s="19"/>
      <c r="E115" s="19"/>
      <c r="F115" s="114"/>
      <c r="G115" s="124">
        <f t="shared" si="25"/>
        <v>2</v>
      </c>
      <c r="H115" s="45"/>
      <c r="I115" s="124"/>
      <c r="J115" s="124"/>
      <c r="K115" s="124"/>
      <c r="L115" s="124"/>
      <c r="M115" s="124"/>
      <c r="N115" s="124"/>
      <c r="O115" s="124"/>
      <c r="P115" s="124"/>
      <c r="Q115" s="124"/>
      <c r="R115" s="124"/>
      <c r="S115" s="124"/>
      <c r="T115" s="124">
        <v>1</v>
      </c>
      <c r="U115" s="124"/>
      <c r="V115" s="124"/>
      <c r="W115" s="124"/>
      <c r="X115" s="124"/>
      <c r="Y115" s="124">
        <v>1</v>
      </c>
    </row>
    <row r="116" spans="2:25" s="107" customFormat="1" ht="13.2" outlineLevel="1" x14ac:dyDescent="0.25">
      <c r="B116" s="32" t="s">
        <v>149</v>
      </c>
      <c r="C116" s="19"/>
      <c r="D116" s="19"/>
      <c r="E116" s="19"/>
      <c r="F116" s="114"/>
      <c r="G116" s="124">
        <f t="shared" si="25"/>
        <v>1</v>
      </c>
      <c r="H116" s="45"/>
      <c r="I116" s="124"/>
      <c r="J116" s="124"/>
      <c r="K116" s="124"/>
      <c r="L116" s="124">
        <v>1</v>
      </c>
      <c r="M116" s="124"/>
      <c r="N116" s="124"/>
      <c r="O116" s="124"/>
      <c r="P116" s="124"/>
      <c r="Q116" s="124"/>
      <c r="R116" s="124"/>
      <c r="S116" s="124"/>
      <c r="T116" s="124"/>
      <c r="U116" s="124"/>
      <c r="V116" s="124"/>
      <c r="W116" s="124"/>
      <c r="X116" s="124"/>
      <c r="Y116" s="124"/>
    </row>
    <row r="117" spans="2:25" s="107" customFormat="1" ht="13.2" outlineLevel="1" x14ac:dyDescent="0.25">
      <c r="B117" s="32" t="s">
        <v>151</v>
      </c>
      <c r="C117" s="19"/>
      <c r="D117" s="19"/>
      <c r="E117" s="19"/>
      <c r="F117" s="114"/>
      <c r="G117" s="124">
        <f t="shared" si="25"/>
        <v>1</v>
      </c>
      <c r="H117" s="45"/>
      <c r="I117" s="124"/>
      <c r="J117" s="124"/>
      <c r="K117" s="124"/>
      <c r="L117" s="124"/>
      <c r="M117" s="124"/>
      <c r="N117" s="124"/>
      <c r="O117" s="124"/>
      <c r="P117" s="124"/>
      <c r="Q117" s="124"/>
      <c r="R117" s="124"/>
      <c r="S117" s="124"/>
      <c r="T117" s="124"/>
      <c r="U117" s="124"/>
      <c r="V117" s="124">
        <v>1</v>
      </c>
      <c r="W117" s="124"/>
      <c r="X117" s="124"/>
      <c r="Y117" s="124"/>
    </row>
    <row r="118" spans="2:25" s="107" customFormat="1" ht="13.2" outlineLevel="1" x14ac:dyDescent="0.25">
      <c r="B118" s="32" t="s">
        <v>152</v>
      </c>
      <c r="C118" s="19"/>
      <c r="D118" s="19"/>
      <c r="E118" s="19"/>
      <c r="F118" s="114"/>
      <c r="G118" s="124">
        <f t="shared" si="25"/>
        <v>1</v>
      </c>
      <c r="H118" s="45"/>
      <c r="I118" s="124"/>
      <c r="J118" s="124"/>
      <c r="K118" s="124"/>
      <c r="L118" s="124"/>
      <c r="M118" s="124"/>
      <c r="N118" s="124"/>
      <c r="O118" s="124"/>
      <c r="P118" s="124"/>
      <c r="Q118" s="124"/>
      <c r="R118" s="124"/>
      <c r="S118" s="124"/>
      <c r="T118" s="124"/>
      <c r="U118" s="124"/>
      <c r="V118" s="124"/>
      <c r="W118" s="124">
        <v>1</v>
      </c>
      <c r="X118" s="124"/>
      <c r="Y118" s="124"/>
    </row>
    <row r="119" spans="2:25" s="107" customFormat="1" ht="13.2" outlineLevel="1" x14ac:dyDescent="0.25">
      <c r="B119" s="32" t="s">
        <v>153</v>
      </c>
      <c r="C119" s="19"/>
      <c r="D119" s="19"/>
      <c r="E119" s="19"/>
      <c r="F119" s="114"/>
      <c r="G119" s="124">
        <f t="shared" si="25"/>
        <v>1</v>
      </c>
      <c r="H119" s="45"/>
      <c r="I119" s="124"/>
      <c r="J119" s="124"/>
      <c r="K119" s="124"/>
      <c r="L119" s="124"/>
      <c r="M119" s="124"/>
      <c r="N119" s="124"/>
      <c r="O119" s="124">
        <v>1</v>
      </c>
      <c r="P119" s="124"/>
      <c r="Q119" s="124"/>
      <c r="R119" s="124"/>
      <c r="S119" s="124"/>
      <c r="T119" s="124"/>
      <c r="U119" s="124"/>
      <c r="V119" s="124"/>
      <c r="W119" s="124"/>
      <c r="X119" s="124"/>
      <c r="Y119" s="124"/>
    </row>
    <row r="120" spans="2:25" s="107" customFormat="1" ht="13.2" outlineLevel="1" x14ac:dyDescent="0.25">
      <c r="B120" s="32" t="s">
        <v>156</v>
      </c>
      <c r="C120" s="19"/>
      <c r="D120" s="19"/>
      <c r="E120" s="19"/>
      <c r="F120" s="114"/>
      <c r="G120" s="124">
        <f t="shared" si="25"/>
        <v>3</v>
      </c>
      <c r="H120" s="45"/>
      <c r="I120" s="124"/>
      <c r="J120" s="124"/>
      <c r="K120" s="124"/>
      <c r="L120" s="124"/>
      <c r="M120" s="124"/>
      <c r="N120" s="124"/>
      <c r="O120" s="124"/>
      <c r="P120" s="124"/>
      <c r="Q120" s="124">
        <v>1</v>
      </c>
      <c r="R120" s="124">
        <v>1</v>
      </c>
      <c r="S120" s="124"/>
      <c r="T120" s="124"/>
      <c r="U120" s="124"/>
      <c r="V120" s="124"/>
      <c r="W120" s="124"/>
      <c r="X120" s="124"/>
      <c r="Y120" s="124">
        <v>1</v>
      </c>
    </row>
    <row r="121" spans="2:25" s="107" customFormat="1" ht="13.2" outlineLevel="1" x14ac:dyDescent="0.25">
      <c r="B121" s="32" t="s">
        <v>157</v>
      </c>
      <c r="C121" s="19"/>
      <c r="D121" s="19"/>
      <c r="E121" s="19"/>
      <c r="F121" s="114"/>
      <c r="G121" s="124">
        <f t="shared" si="25"/>
        <v>3</v>
      </c>
      <c r="H121" s="45"/>
      <c r="I121" s="124"/>
      <c r="J121" s="124"/>
      <c r="K121" s="124"/>
      <c r="L121" s="124"/>
      <c r="M121" s="124"/>
      <c r="N121" s="124"/>
      <c r="O121" s="124">
        <v>1</v>
      </c>
      <c r="P121" s="124">
        <v>1</v>
      </c>
      <c r="Q121" s="124"/>
      <c r="R121" s="124"/>
      <c r="S121" s="124"/>
      <c r="T121" s="124"/>
      <c r="U121" s="124"/>
      <c r="V121" s="124"/>
      <c r="W121" s="124"/>
      <c r="X121" s="124"/>
      <c r="Y121" s="124">
        <v>1</v>
      </c>
    </row>
    <row r="122" spans="2:25" s="107" customFormat="1" ht="13.2" outlineLevel="1" x14ac:dyDescent="0.25">
      <c r="B122" s="32" t="s">
        <v>158</v>
      </c>
      <c r="C122" s="19"/>
      <c r="D122" s="19"/>
      <c r="E122" s="19"/>
      <c r="F122" s="114"/>
      <c r="G122" s="195">
        <f t="shared" si="25"/>
        <v>2</v>
      </c>
      <c r="H122" s="209"/>
      <c r="I122" s="195">
        <v>1</v>
      </c>
      <c r="J122" s="195"/>
      <c r="K122" s="195"/>
      <c r="L122" s="195"/>
      <c r="M122" s="195"/>
      <c r="N122" s="195"/>
      <c r="O122" s="195"/>
      <c r="P122" s="195"/>
      <c r="Q122" s="195"/>
      <c r="R122" s="195"/>
      <c r="S122" s="195"/>
      <c r="T122" s="195"/>
      <c r="U122" s="195"/>
      <c r="V122" s="195"/>
      <c r="W122" s="195"/>
      <c r="X122" s="195"/>
      <c r="Y122" s="195">
        <v>1</v>
      </c>
    </row>
    <row r="123" spans="2:25" s="107" customFormat="1" ht="13.2" x14ac:dyDescent="0.25">
      <c r="B123" s="207"/>
      <c r="C123" s="119"/>
      <c r="D123" s="119"/>
      <c r="E123" s="119"/>
      <c r="F123" s="169"/>
      <c r="G123" s="169"/>
      <c r="H123" s="119"/>
      <c r="I123" s="169"/>
      <c r="J123" s="169"/>
      <c r="K123" s="169"/>
      <c r="L123" s="169"/>
      <c r="M123" s="169"/>
      <c r="N123" s="169"/>
      <c r="O123" s="169"/>
      <c r="P123" s="169"/>
      <c r="Q123" s="169"/>
      <c r="R123" s="169"/>
      <c r="S123" s="169"/>
      <c r="T123" s="169"/>
      <c r="U123" s="169"/>
      <c r="V123" s="169"/>
      <c r="W123" s="169"/>
      <c r="X123" s="169"/>
      <c r="Y123" s="169"/>
    </row>
    <row r="125" spans="2:25" x14ac:dyDescent="0.3">
      <c r="B125" s="46" t="s">
        <v>204</v>
      </c>
    </row>
    <row r="127" spans="2:25" ht="22.8" customHeight="1" x14ac:dyDescent="0.3">
      <c r="B127" s="255" t="s">
        <v>48</v>
      </c>
      <c r="C127" s="256"/>
      <c r="D127" s="256"/>
      <c r="E127" s="257"/>
      <c r="F127" s="246" t="s">
        <v>203</v>
      </c>
      <c r="G127" s="247"/>
      <c r="H127" s="271" t="s">
        <v>164</v>
      </c>
      <c r="I127" s="273"/>
    </row>
    <row r="128" spans="2:25" ht="16.8" customHeight="1" x14ac:dyDescent="0.3">
      <c r="B128" s="258"/>
      <c r="C128" s="275"/>
      <c r="D128" s="275"/>
      <c r="E128" s="276"/>
      <c r="F128" s="248"/>
      <c r="G128" s="249"/>
      <c r="H128" s="210" t="s">
        <v>253</v>
      </c>
      <c r="I128" s="232" t="s">
        <v>254</v>
      </c>
    </row>
    <row r="129" spans="2:25" s="90" customFormat="1" ht="72.75" customHeight="1" x14ac:dyDescent="0.3">
      <c r="B129" s="260"/>
      <c r="C129" s="261"/>
      <c r="D129" s="261"/>
      <c r="E129" s="261"/>
      <c r="F129" s="89" t="s">
        <v>49</v>
      </c>
      <c r="G129" s="89" t="s">
        <v>50</v>
      </c>
      <c r="H129" s="89" t="s">
        <v>336</v>
      </c>
      <c r="I129" s="89" t="s">
        <v>258</v>
      </c>
    </row>
    <row r="130" spans="2:25" x14ac:dyDescent="0.3">
      <c r="B130" s="32"/>
      <c r="C130" s="33"/>
      <c r="D130" s="33"/>
      <c r="E130" s="34"/>
      <c r="F130" s="20"/>
      <c r="G130" s="20"/>
      <c r="H130" s="3"/>
      <c r="I130" s="88"/>
    </row>
    <row r="131" spans="2:25" x14ac:dyDescent="0.3">
      <c r="B131" s="37" t="s">
        <v>51</v>
      </c>
      <c r="C131" s="38"/>
      <c r="D131" s="38"/>
      <c r="E131" s="39"/>
      <c r="F131" s="77">
        <f>SUM(F133,F136)</f>
        <v>2</v>
      </c>
      <c r="G131" s="67">
        <f t="shared" ref="G131:I131" si="26">SUM(G133,G136)</f>
        <v>2</v>
      </c>
      <c r="H131" s="40">
        <f t="shared" si="26"/>
        <v>1</v>
      </c>
      <c r="I131" s="67">
        <f t="shared" si="26"/>
        <v>1</v>
      </c>
    </row>
    <row r="132" spans="2:25" x14ac:dyDescent="0.3">
      <c r="B132" s="32" t="s">
        <v>47</v>
      </c>
      <c r="C132" s="33"/>
      <c r="D132" s="33"/>
      <c r="E132" s="34"/>
      <c r="F132" s="20"/>
      <c r="G132" s="20"/>
      <c r="H132" s="3"/>
      <c r="I132" s="65"/>
    </row>
    <row r="133" spans="2:25" s="107" customFormat="1" ht="13.2" x14ac:dyDescent="0.25">
      <c r="B133" s="41" t="s">
        <v>80</v>
      </c>
      <c r="C133" s="19"/>
      <c r="D133" s="19"/>
      <c r="E133" s="19"/>
      <c r="F133" s="171">
        <f>J40</f>
        <v>1</v>
      </c>
      <c r="G133" s="172">
        <f t="shared" ref="G133:I133" si="27">SUM(G134:G134)</f>
        <v>1</v>
      </c>
      <c r="H133" s="231">
        <f t="shared" si="27"/>
        <v>1</v>
      </c>
      <c r="I133" s="172">
        <f t="shared" si="27"/>
        <v>0</v>
      </c>
    </row>
    <row r="134" spans="2:25" s="107" customFormat="1" ht="13.2" outlineLevel="1" x14ac:dyDescent="0.25">
      <c r="B134" s="32" t="s">
        <v>134</v>
      </c>
      <c r="C134" s="19"/>
      <c r="D134" s="19"/>
      <c r="E134" s="19"/>
      <c r="F134" s="114"/>
      <c r="G134" s="191">
        <f>SUM(H134:J134)</f>
        <v>1</v>
      </c>
      <c r="H134" s="192">
        <v>1</v>
      </c>
      <c r="I134" s="191"/>
    </row>
    <row r="135" spans="2:25" s="107" customFormat="1" ht="13.2" x14ac:dyDescent="0.25">
      <c r="B135" s="32"/>
      <c r="C135" s="33"/>
      <c r="D135" s="33"/>
      <c r="E135" s="33"/>
      <c r="F135" s="20"/>
      <c r="G135" s="20"/>
      <c r="H135" s="33"/>
      <c r="I135" s="44"/>
    </row>
    <row r="136" spans="2:25" s="107" customFormat="1" ht="13.2" x14ac:dyDescent="0.25">
      <c r="B136" s="41" t="s">
        <v>85</v>
      </c>
      <c r="C136" s="19"/>
      <c r="D136" s="19"/>
      <c r="E136" s="19"/>
      <c r="F136" s="171">
        <f>J45</f>
        <v>1</v>
      </c>
      <c r="G136" s="172">
        <f t="shared" ref="G136:I136" si="28">SUM(G137:G137)</f>
        <v>1</v>
      </c>
      <c r="H136" s="231">
        <f t="shared" si="28"/>
        <v>0</v>
      </c>
      <c r="I136" s="172">
        <f t="shared" si="28"/>
        <v>1</v>
      </c>
    </row>
    <row r="137" spans="2:25" s="107" customFormat="1" ht="13.2" outlineLevel="1" x14ac:dyDescent="0.25">
      <c r="B137" s="32" t="s">
        <v>137</v>
      </c>
      <c r="C137" s="19"/>
      <c r="D137" s="19"/>
      <c r="E137" s="19"/>
      <c r="F137" s="114"/>
      <c r="G137" s="191">
        <f>SUM(H137:J137)</f>
        <v>1</v>
      </c>
      <c r="H137" s="192"/>
      <c r="I137" s="191">
        <v>1</v>
      </c>
    </row>
    <row r="138" spans="2:25" s="107" customFormat="1" ht="13.2" x14ac:dyDescent="0.25">
      <c r="B138" s="207"/>
      <c r="C138" s="119"/>
      <c r="D138" s="119"/>
      <c r="E138" s="119"/>
      <c r="F138" s="169"/>
      <c r="G138" s="169"/>
      <c r="H138" s="119"/>
      <c r="I138" s="169"/>
    </row>
    <row r="140" spans="2:25" x14ac:dyDescent="0.3">
      <c r="B140" s="48" t="s">
        <v>53</v>
      </c>
      <c r="D140" s="69"/>
      <c r="E140" s="8"/>
      <c r="F140" s="69"/>
      <c r="G140" s="69"/>
      <c r="H140" s="69"/>
      <c r="I140" s="69"/>
      <c r="J140" s="69"/>
      <c r="K140" s="69"/>
      <c r="L140" s="69"/>
      <c r="M140" s="69"/>
      <c r="N140" s="69"/>
      <c r="O140" s="69"/>
      <c r="P140" s="69"/>
      <c r="Q140" s="69"/>
      <c r="R140" s="69"/>
      <c r="S140" s="69"/>
      <c r="T140" s="69"/>
      <c r="U140" s="69"/>
      <c r="V140" s="69"/>
      <c r="W140" s="69"/>
      <c r="X140" s="69"/>
      <c r="Y140" s="69"/>
    </row>
    <row r="141" spans="2:25" x14ac:dyDescent="0.3">
      <c r="B141" s="46" t="s">
        <v>161</v>
      </c>
    </row>
    <row r="142" spans="2:25" x14ac:dyDescent="0.3">
      <c r="B142" s="107" t="s">
        <v>408</v>
      </c>
    </row>
  </sheetData>
  <mergeCells count="18">
    <mergeCell ref="B2:C2"/>
    <mergeCell ref="B8:E8"/>
    <mergeCell ref="F8:G8"/>
    <mergeCell ref="H8:I8"/>
    <mergeCell ref="J8:K8"/>
    <mergeCell ref="B127:E129"/>
    <mergeCell ref="L8:M8"/>
    <mergeCell ref="T8:V8"/>
    <mergeCell ref="B9:E9"/>
    <mergeCell ref="B76:E78"/>
    <mergeCell ref="F76:G77"/>
    <mergeCell ref="F127:G128"/>
    <mergeCell ref="T77:Y77"/>
    <mergeCell ref="H76:Y76"/>
    <mergeCell ref="H127:I127"/>
    <mergeCell ref="M77:N77"/>
    <mergeCell ref="H77:L77"/>
    <mergeCell ref="Q77:R77"/>
  </mergeCells>
  <pageMargins left="0.7" right="0.7" top="0.75" bottom="0.75" header="0.3" footer="0.3"/>
  <pageSetup scale="31" orientation="landscape" r:id="rId1"/>
  <ignoredErrors>
    <ignoredError sqref="G11:H11 I11:J11 K11:L1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3BC12-3456-444C-8545-A2CE0493FB15}">
  <sheetPr>
    <pageSetUpPr fitToPage="1"/>
  </sheetPr>
  <dimension ref="B1:AZ142"/>
  <sheetViews>
    <sheetView showGridLines="0" topLeftCell="A28" workbookViewId="0">
      <selection activeCell="F72" sqref="F72"/>
    </sheetView>
  </sheetViews>
  <sheetFormatPr defaultRowHeight="14.4" outlineLevelRow="1" x14ac:dyDescent="0.3"/>
  <cols>
    <col min="1" max="1" width="3.109375" customWidth="1"/>
    <col min="2" max="3" width="16.44140625" customWidth="1"/>
    <col min="6" max="6" width="12.5546875" customWidth="1"/>
    <col min="7" max="7" width="12" customWidth="1"/>
    <col min="8" max="8" width="13.88671875" customWidth="1"/>
    <col min="9" max="9" width="13.33203125" customWidth="1"/>
    <col min="10" max="10" width="13.109375" customWidth="1"/>
    <col min="11" max="11" width="12.77734375" customWidth="1"/>
    <col min="12" max="12" width="14.21875" customWidth="1"/>
    <col min="13" max="13" width="13.44140625" customWidth="1"/>
    <col min="14" max="14" width="13.5546875" customWidth="1"/>
    <col min="15" max="15" width="14.44140625" customWidth="1"/>
    <col min="16" max="16" width="11" customWidth="1"/>
    <col min="17" max="17" width="11.6640625" customWidth="1"/>
    <col min="18" max="18" width="13.21875" customWidth="1"/>
    <col min="19" max="19" width="12" customWidth="1"/>
    <col min="20" max="20" width="15.6640625" customWidth="1"/>
    <col min="21" max="21" width="14.5546875" customWidth="1"/>
    <col min="22" max="22" width="22.5546875" customWidth="1"/>
    <col min="23" max="23" width="22.44140625" customWidth="1"/>
    <col min="24" max="25" width="22.5546875" customWidth="1"/>
    <col min="26" max="26" width="18.88671875" customWidth="1"/>
    <col min="27" max="27" width="17.33203125" customWidth="1"/>
    <col min="28" max="28" width="16.44140625" customWidth="1"/>
    <col min="29" max="35" width="23" customWidth="1"/>
    <col min="36" max="36" width="20" customWidth="1"/>
    <col min="37" max="37" width="21.44140625" customWidth="1"/>
    <col min="38" max="38" width="19.5546875" customWidth="1"/>
    <col min="39" max="39" width="19.33203125" customWidth="1"/>
    <col min="40" max="41" width="20.109375" customWidth="1"/>
    <col min="42" max="42" width="20.44140625" customWidth="1"/>
    <col min="43" max="43" width="20" customWidth="1"/>
    <col min="44" max="44" width="22.109375" customWidth="1"/>
    <col min="45" max="47" width="20.44140625" customWidth="1"/>
    <col min="48" max="48" width="25" customWidth="1"/>
    <col min="49" max="49" width="22.109375" customWidth="1"/>
    <col min="50" max="50" width="17.88671875" customWidth="1"/>
    <col min="51" max="51" width="20.44140625" customWidth="1"/>
    <col min="52" max="52" width="16.44140625" customWidth="1"/>
    <col min="53" max="53" width="17.6640625" customWidth="1"/>
    <col min="54" max="54" width="16.88671875" customWidth="1"/>
    <col min="55" max="55" width="13.109375" customWidth="1"/>
    <col min="56" max="56" width="19.5546875" customWidth="1"/>
    <col min="57" max="57" width="15.109375" customWidth="1"/>
  </cols>
  <sheetData>
    <row r="1" spans="2:52" s="1" customFormat="1" ht="13.2" x14ac:dyDescent="0.25">
      <c r="E1" s="2"/>
      <c r="F1" s="2"/>
      <c r="G1" s="2"/>
      <c r="H1" s="3"/>
      <c r="I1" s="3"/>
      <c r="J1" s="3"/>
      <c r="K1" s="3"/>
      <c r="L1" s="3"/>
      <c r="M1" s="3"/>
      <c r="N1" s="3"/>
      <c r="O1" s="3"/>
      <c r="P1" s="3"/>
      <c r="Q1" s="2"/>
      <c r="R1" s="3"/>
      <c r="S1" s="3"/>
      <c r="T1" s="3"/>
      <c r="U1" s="2"/>
      <c r="V1" s="2"/>
      <c r="AA1" s="2"/>
      <c r="AF1" s="2"/>
    </row>
    <row r="2" spans="2:52" s="1" customFormat="1" ht="18.600000000000001" customHeight="1" x14ac:dyDescent="0.25">
      <c r="B2" s="262" t="s">
        <v>181</v>
      </c>
      <c r="C2" s="263"/>
      <c r="E2" s="4"/>
      <c r="F2" s="2"/>
      <c r="G2" s="2"/>
      <c r="H2" s="3"/>
      <c r="I2" s="3"/>
      <c r="J2" s="3"/>
      <c r="K2" s="3"/>
      <c r="L2" s="3"/>
      <c r="M2" s="3"/>
      <c r="N2" s="3"/>
      <c r="O2" s="3"/>
      <c r="P2" s="3"/>
      <c r="Q2" s="2"/>
      <c r="R2" s="3"/>
      <c r="S2" s="3"/>
      <c r="T2" s="3"/>
      <c r="U2" s="2"/>
      <c r="V2" s="2"/>
      <c r="AA2" s="2"/>
      <c r="AF2" s="2"/>
    </row>
    <row r="3" spans="2:52" s="1" customFormat="1" ht="20.399999999999999" customHeight="1" x14ac:dyDescent="0.3">
      <c r="B3" s="7" t="s">
        <v>18</v>
      </c>
      <c r="F3" s="2"/>
      <c r="G3" s="2"/>
      <c r="H3" s="3"/>
      <c r="I3" s="3"/>
      <c r="J3" s="30"/>
      <c r="K3" s="3"/>
      <c r="L3" s="3"/>
      <c r="M3" s="3"/>
      <c r="N3" s="3"/>
      <c r="O3" s="3"/>
      <c r="P3" s="3"/>
      <c r="Q3" s="2"/>
      <c r="R3" s="3"/>
      <c r="S3" s="3"/>
      <c r="T3" s="3"/>
      <c r="U3" s="2"/>
      <c r="V3" s="2"/>
      <c r="AA3" s="2"/>
      <c r="AF3" s="2"/>
    </row>
    <row r="4" spans="2:52" s="1" customFormat="1" ht="12" customHeight="1" x14ac:dyDescent="0.3">
      <c r="B4" s="5"/>
      <c r="F4" s="2"/>
      <c r="G4" s="2"/>
      <c r="H4" s="3"/>
      <c r="I4" s="3"/>
      <c r="J4" s="3"/>
      <c r="K4" s="3"/>
      <c r="L4" s="3"/>
      <c r="M4" s="3"/>
      <c r="N4" s="3"/>
      <c r="O4" s="3"/>
      <c r="P4" s="3"/>
      <c r="Q4" s="2"/>
      <c r="R4" s="3"/>
      <c r="S4" s="3"/>
      <c r="T4" s="3"/>
      <c r="U4" s="2"/>
      <c r="V4" s="2"/>
      <c r="AA4" s="2"/>
      <c r="AF4" s="2"/>
    </row>
    <row r="5" spans="2:52" s="1" customFormat="1" ht="15" customHeight="1" x14ac:dyDescent="0.25">
      <c r="B5" s="6" t="s">
        <v>11</v>
      </c>
      <c r="F5" s="2"/>
      <c r="G5" s="2"/>
      <c r="H5" s="3"/>
      <c r="I5" s="3"/>
      <c r="J5" s="3"/>
      <c r="K5" s="3"/>
      <c r="L5" s="3"/>
      <c r="M5" s="3"/>
      <c r="N5" s="3"/>
      <c r="O5" s="3"/>
      <c r="P5" s="3"/>
      <c r="Q5" s="2"/>
      <c r="R5" s="3"/>
      <c r="S5" s="3"/>
      <c r="T5" s="3"/>
      <c r="U5" s="2"/>
      <c r="V5" s="2"/>
      <c r="AA5" s="2"/>
      <c r="AF5" s="2"/>
    </row>
    <row r="6" spans="2:52" s="1" customFormat="1" ht="27" customHeight="1" x14ac:dyDescent="0.25">
      <c r="B6" s="285" t="s">
        <v>17</v>
      </c>
      <c r="C6" s="285"/>
      <c r="D6" s="285"/>
      <c r="E6" s="285"/>
      <c r="F6" s="285"/>
      <c r="G6" s="285"/>
      <c r="H6" s="285"/>
      <c r="I6" s="285"/>
      <c r="J6" s="285"/>
      <c r="K6" s="182"/>
      <c r="L6" s="182"/>
      <c r="M6" s="182"/>
      <c r="N6" s="182"/>
      <c r="O6" s="182"/>
      <c r="P6" s="3"/>
      <c r="Q6" s="2"/>
      <c r="R6" s="3"/>
      <c r="S6" s="3"/>
      <c r="T6" s="3"/>
      <c r="U6" s="2"/>
      <c r="V6" s="2"/>
      <c r="AA6" s="2"/>
      <c r="AF6" s="2"/>
    </row>
    <row r="8" spans="2:52" s="1" customFormat="1" ht="53.4" customHeight="1" x14ac:dyDescent="0.25">
      <c r="B8" s="264" t="s">
        <v>34</v>
      </c>
      <c r="C8" s="265"/>
      <c r="D8" s="265"/>
      <c r="E8" s="266"/>
      <c r="F8" s="267" t="s">
        <v>205</v>
      </c>
      <c r="G8" s="268"/>
      <c r="H8" s="267" t="s">
        <v>206</v>
      </c>
      <c r="I8" s="268"/>
      <c r="J8" s="267" t="s">
        <v>207</v>
      </c>
      <c r="K8" s="268"/>
      <c r="L8" s="242" t="s">
        <v>208</v>
      </c>
      <c r="M8" s="243"/>
      <c r="N8" s="110"/>
      <c r="O8" s="8"/>
      <c r="P8" s="8"/>
      <c r="Q8" s="3"/>
      <c r="R8" s="303"/>
      <c r="S8" s="303"/>
      <c r="T8" s="3"/>
      <c r="U8" s="3"/>
      <c r="V8" s="3"/>
      <c r="W8" s="3"/>
      <c r="X8" s="3"/>
      <c r="Y8" s="3"/>
      <c r="Z8" s="3"/>
      <c r="AA8" s="3"/>
      <c r="AB8" s="3"/>
      <c r="AC8" s="3"/>
      <c r="AD8" s="3"/>
      <c r="AE8" s="3"/>
      <c r="AF8" s="3"/>
      <c r="AG8" s="3"/>
      <c r="AH8" s="3"/>
      <c r="AI8" s="3"/>
      <c r="AJ8" s="3"/>
      <c r="AK8" s="3"/>
      <c r="AL8" s="3"/>
      <c r="AM8" s="3"/>
      <c r="AN8" s="3"/>
      <c r="AO8" s="3"/>
      <c r="AP8" s="3"/>
      <c r="AQ8" s="3"/>
      <c r="AR8" s="2"/>
      <c r="AS8" s="2"/>
      <c r="AT8" s="2"/>
      <c r="AU8" s="2"/>
      <c r="AX8" s="2"/>
      <c r="AY8" s="2"/>
      <c r="AZ8" s="2"/>
    </row>
    <row r="9" spans="2:52" s="1" customFormat="1" ht="14.4" customHeight="1" x14ac:dyDescent="0.25">
      <c r="B9" s="244" t="s">
        <v>402</v>
      </c>
      <c r="C9" s="245"/>
      <c r="D9" s="245"/>
      <c r="E9" s="245"/>
      <c r="F9" s="9" t="s">
        <v>37</v>
      </c>
      <c r="G9" s="57" t="s">
        <v>38</v>
      </c>
      <c r="H9" s="9" t="s">
        <v>37</v>
      </c>
      <c r="I9" s="57" t="s">
        <v>38</v>
      </c>
      <c r="J9" s="9" t="s">
        <v>37</v>
      </c>
      <c r="K9" s="57" t="s">
        <v>38</v>
      </c>
      <c r="L9" s="9" t="s">
        <v>37</v>
      </c>
      <c r="M9" s="61" t="s">
        <v>38</v>
      </c>
      <c r="N9" s="50"/>
      <c r="O9" s="50"/>
      <c r="P9" s="50"/>
      <c r="Q9" s="3"/>
      <c r="R9" s="10"/>
      <c r="S9" s="10"/>
      <c r="T9" s="3"/>
      <c r="U9" s="3"/>
      <c r="V9" s="3"/>
      <c r="W9" s="3"/>
      <c r="X9" s="3"/>
      <c r="Y9" s="3"/>
      <c r="Z9" s="3"/>
      <c r="AA9" s="3"/>
      <c r="AB9" s="3"/>
      <c r="AC9" s="3"/>
      <c r="AD9" s="3"/>
      <c r="AE9" s="3"/>
      <c r="AF9" s="3"/>
      <c r="AG9" s="3"/>
      <c r="AH9" s="3"/>
      <c r="AI9" s="3"/>
      <c r="AJ9" s="3"/>
      <c r="AK9" s="3"/>
      <c r="AL9" s="3"/>
      <c r="AM9" s="3"/>
      <c r="AN9" s="3"/>
      <c r="AO9" s="3"/>
      <c r="AP9" s="3"/>
      <c r="AQ9" s="3"/>
      <c r="AR9" s="2"/>
      <c r="AS9" s="2"/>
      <c r="AT9" s="2"/>
      <c r="AU9" s="2"/>
      <c r="AX9" s="2"/>
      <c r="AY9" s="2"/>
      <c r="AZ9" s="2"/>
    </row>
    <row r="10" spans="2:52" s="1" customFormat="1" ht="15" customHeight="1" x14ac:dyDescent="0.25">
      <c r="B10" s="11"/>
      <c r="C10" s="12"/>
      <c r="D10" s="12"/>
      <c r="E10" s="12"/>
      <c r="F10" s="13"/>
      <c r="G10" s="80"/>
      <c r="H10" s="13"/>
      <c r="I10" s="80"/>
      <c r="J10" s="13"/>
      <c r="K10" s="80"/>
      <c r="L10" s="13"/>
      <c r="M10" s="79"/>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2"/>
      <c r="AS10" s="2"/>
      <c r="AT10" s="2"/>
      <c r="AU10" s="2"/>
      <c r="AX10" s="2"/>
      <c r="AY10" s="2"/>
      <c r="AZ10" s="2"/>
    </row>
    <row r="11" spans="2:52" s="1" customFormat="1" ht="15" customHeight="1" x14ac:dyDescent="0.25">
      <c r="B11" s="15" t="s">
        <v>39</v>
      </c>
      <c r="C11" s="16"/>
      <c r="D11" s="16"/>
      <c r="E11" s="78">
        <f>SUM(F11,H11,J11,L11)</f>
        <v>52</v>
      </c>
      <c r="F11" s="17">
        <f>SUM(F13,F15,F18,F28,F40,F45,F70)</f>
        <v>17</v>
      </c>
      <c r="G11" s="81">
        <f>F11/$E$11</f>
        <v>0.32692307692307693</v>
      </c>
      <c r="H11" s="75">
        <f>SUM(H13,H15,H18,H28,H40,H45,H70)</f>
        <v>33</v>
      </c>
      <c r="I11" s="81">
        <f>H11/$E$11</f>
        <v>0.63461538461538458</v>
      </c>
      <c r="J11" s="18">
        <f>SUM(J13,J15,J18,J28,J40,J45,J70)</f>
        <v>1</v>
      </c>
      <c r="K11" s="81">
        <f>J11/$E$11</f>
        <v>1.9230769230769232E-2</v>
      </c>
      <c r="L11" s="17">
        <f>SUM(L13,L15,L18,L28,L40,L45,L70)</f>
        <v>1</v>
      </c>
      <c r="M11" s="82">
        <f>L11/$E$11</f>
        <v>1.9230769230769232E-2</v>
      </c>
      <c r="N11" s="29"/>
      <c r="O11" s="29"/>
      <c r="P11" s="29"/>
      <c r="Q11" s="30"/>
      <c r="R11" s="51"/>
      <c r="S11" s="29"/>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2"/>
      <c r="AS11" s="2"/>
      <c r="AT11" s="2"/>
      <c r="AU11" s="2"/>
      <c r="AX11" s="2"/>
      <c r="AY11" s="2"/>
      <c r="AZ11" s="2"/>
    </row>
    <row r="12" spans="2:52" s="33" customFormat="1" ht="15" customHeight="1" x14ac:dyDescent="0.25">
      <c r="B12" s="25"/>
      <c r="C12" s="47"/>
      <c r="D12" s="47"/>
      <c r="E12" s="3"/>
      <c r="F12" s="20"/>
      <c r="G12" s="3"/>
      <c r="H12" s="58"/>
      <c r="I12" s="3"/>
      <c r="J12" s="20"/>
      <c r="K12" s="3"/>
      <c r="L12" s="20"/>
      <c r="M12" s="21"/>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X12" s="3"/>
      <c r="AY12" s="3"/>
      <c r="AZ12" s="3"/>
    </row>
    <row r="13" spans="2:52" s="33" customFormat="1" ht="15" customHeight="1" x14ac:dyDescent="0.25">
      <c r="B13" s="126" t="s">
        <v>52</v>
      </c>
      <c r="C13" s="22"/>
      <c r="D13" s="22"/>
      <c r="E13" s="84"/>
      <c r="F13" s="117">
        <f>F14</f>
        <v>0</v>
      </c>
      <c r="G13" s="84"/>
      <c r="H13" s="129">
        <f>H14</f>
        <v>1</v>
      </c>
      <c r="I13" s="84"/>
      <c r="J13" s="117">
        <f>J14</f>
        <v>0</v>
      </c>
      <c r="K13" s="84"/>
      <c r="L13" s="117">
        <f>L14</f>
        <v>0</v>
      </c>
      <c r="M13" s="11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X13" s="3"/>
      <c r="AY13" s="3"/>
      <c r="AZ13" s="3"/>
    </row>
    <row r="14" spans="2:52" s="33" customFormat="1" ht="15" hidden="1" customHeight="1" outlineLevel="1" x14ac:dyDescent="0.25">
      <c r="B14" s="166" t="s">
        <v>55</v>
      </c>
      <c r="C14" s="47"/>
      <c r="D14" s="47"/>
      <c r="E14" s="3"/>
      <c r="F14" s="190"/>
      <c r="G14" s="3"/>
      <c r="H14" s="185">
        <v>1</v>
      </c>
      <c r="I14" s="3"/>
      <c r="J14" s="190"/>
      <c r="K14" s="3"/>
      <c r="L14" s="190"/>
      <c r="M14" s="21"/>
      <c r="N14" s="3" t="str">
        <f>IF(SUM(F14,H14,J14,L14)&gt;1,"Error","")</f>
        <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X14" s="3"/>
      <c r="AY14" s="3"/>
      <c r="AZ14" s="3"/>
    </row>
    <row r="15" spans="2:52" s="33" customFormat="1" ht="15" customHeight="1" collapsed="1" x14ac:dyDescent="0.25">
      <c r="B15" s="32" t="s">
        <v>57</v>
      </c>
      <c r="C15" s="47"/>
      <c r="D15" s="47"/>
      <c r="E15" s="3"/>
      <c r="F15" s="20">
        <f>SUM(F16:F17)</f>
        <v>0</v>
      </c>
      <c r="G15" s="3"/>
      <c r="H15" s="58">
        <f>SUM(H16:H17)</f>
        <v>2</v>
      </c>
      <c r="I15" s="3"/>
      <c r="J15" s="20">
        <f>SUM(J16:J17)</f>
        <v>0</v>
      </c>
      <c r="K15" s="3"/>
      <c r="L15" s="20">
        <f>SUM(L16:L17)</f>
        <v>0</v>
      </c>
      <c r="M15" s="21"/>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X15" s="3"/>
      <c r="AY15" s="3"/>
      <c r="AZ15" s="3"/>
    </row>
    <row r="16" spans="2:52" s="33" customFormat="1" ht="15" hidden="1" customHeight="1" outlineLevel="1" x14ac:dyDescent="0.25">
      <c r="B16" s="166" t="s">
        <v>58</v>
      </c>
      <c r="C16" s="47"/>
      <c r="D16" s="47"/>
      <c r="E16" s="3"/>
      <c r="F16" s="186"/>
      <c r="G16" s="3"/>
      <c r="H16" s="188">
        <v>1</v>
      </c>
      <c r="I16" s="3"/>
      <c r="J16" s="186"/>
      <c r="K16" s="3"/>
      <c r="L16" s="186"/>
      <c r="M16" s="21"/>
      <c r="N16" s="3" t="str">
        <f t="shared" ref="N16:N17" si="0">IF(SUM(F16,H16,J16,L16)&gt;1,"Error","")</f>
        <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X16" s="3"/>
      <c r="AY16" s="3"/>
      <c r="AZ16" s="3"/>
    </row>
    <row r="17" spans="2:52" s="33" customFormat="1" ht="15" hidden="1" customHeight="1" outlineLevel="1" x14ac:dyDescent="0.25">
      <c r="B17" s="166" t="s">
        <v>59</v>
      </c>
      <c r="C17" s="47"/>
      <c r="D17" s="47"/>
      <c r="E17" s="3"/>
      <c r="F17" s="187"/>
      <c r="G17" s="3"/>
      <c r="H17" s="189">
        <v>1</v>
      </c>
      <c r="I17" s="3"/>
      <c r="J17" s="187"/>
      <c r="K17" s="3"/>
      <c r="L17" s="187"/>
      <c r="M17" s="21"/>
      <c r="N17" s="3" t="str">
        <f t="shared" si="0"/>
        <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X17" s="3"/>
      <c r="AY17" s="3"/>
      <c r="AZ17" s="3"/>
    </row>
    <row r="18" spans="2:52" s="33" customFormat="1" ht="15" customHeight="1" collapsed="1" x14ac:dyDescent="0.25">
      <c r="B18" s="126" t="s">
        <v>60</v>
      </c>
      <c r="C18" s="22"/>
      <c r="D18" s="22"/>
      <c r="E18" s="84"/>
      <c r="F18" s="117">
        <f>SUM(F19:F27)</f>
        <v>1</v>
      </c>
      <c r="G18" s="84"/>
      <c r="H18" s="129">
        <f>SUM(H19:H27)</f>
        <v>8</v>
      </c>
      <c r="I18" s="84"/>
      <c r="J18" s="117">
        <f>SUM(J19:J27)</f>
        <v>0</v>
      </c>
      <c r="K18" s="84"/>
      <c r="L18" s="117">
        <f>SUM(L19:L27)</f>
        <v>0</v>
      </c>
      <c r="M18" s="118"/>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X18" s="3"/>
      <c r="AY18" s="3"/>
      <c r="AZ18" s="3"/>
    </row>
    <row r="19" spans="2:52" s="33" customFormat="1" ht="15" hidden="1" customHeight="1" outlineLevel="1" x14ac:dyDescent="0.25">
      <c r="B19" s="166" t="s">
        <v>61</v>
      </c>
      <c r="C19" s="47"/>
      <c r="D19" s="47"/>
      <c r="E19" s="3"/>
      <c r="F19" s="186"/>
      <c r="G19" s="3"/>
      <c r="H19" s="188">
        <v>1</v>
      </c>
      <c r="I19" s="3"/>
      <c r="J19" s="186"/>
      <c r="K19" s="3"/>
      <c r="L19" s="186"/>
      <c r="M19" s="21"/>
      <c r="N19" s="3" t="str">
        <f t="shared" ref="N19:N71" si="1">IF(SUM(F19,H19,J19,L19)&gt;1,"Error","")</f>
        <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X19" s="3"/>
      <c r="AY19" s="3"/>
      <c r="AZ19" s="3"/>
    </row>
    <row r="20" spans="2:52" s="33" customFormat="1" ht="15" hidden="1" customHeight="1" outlineLevel="1" x14ac:dyDescent="0.25">
      <c r="B20" s="166" t="s">
        <v>62</v>
      </c>
      <c r="C20" s="47"/>
      <c r="D20" s="47"/>
      <c r="E20" s="3"/>
      <c r="F20" s="127"/>
      <c r="G20" s="3"/>
      <c r="H20" s="130">
        <v>1</v>
      </c>
      <c r="I20" s="3"/>
      <c r="J20" s="127"/>
      <c r="K20" s="3"/>
      <c r="L20" s="127"/>
      <c r="M20" s="21"/>
      <c r="N20" s="3" t="str">
        <f t="shared" si="1"/>
        <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X20" s="3"/>
      <c r="AY20" s="3"/>
      <c r="AZ20" s="3"/>
    </row>
    <row r="21" spans="2:52" s="33" customFormat="1" ht="15" hidden="1" customHeight="1" outlineLevel="1" x14ac:dyDescent="0.25">
      <c r="B21" s="166" t="s">
        <v>63</v>
      </c>
      <c r="C21" s="47"/>
      <c r="D21" s="47"/>
      <c r="E21" s="3"/>
      <c r="F21" s="127"/>
      <c r="G21" s="3"/>
      <c r="H21" s="130">
        <v>1</v>
      </c>
      <c r="I21" s="3"/>
      <c r="J21" s="127"/>
      <c r="K21" s="3"/>
      <c r="L21" s="127"/>
      <c r="M21" s="21"/>
      <c r="N21" s="3" t="str">
        <f t="shared" si="1"/>
        <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X21" s="3"/>
      <c r="AY21" s="3"/>
      <c r="AZ21" s="3"/>
    </row>
    <row r="22" spans="2:52" s="33" customFormat="1" ht="15" hidden="1" customHeight="1" outlineLevel="1" x14ac:dyDescent="0.25">
      <c r="B22" s="166" t="s">
        <v>64</v>
      </c>
      <c r="C22" s="47"/>
      <c r="D22" s="47"/>
      <c r="E22" s="3"/>
      <c r="F22" s="127"/>
      <c r="G22" s="3"/>
      <c r="H22" s="130">
        <v>1</v>
      </c>
      <c r="I22" s="3"/>
      <c r="J22" s="127"/>
      <c r="K22" s="3"/>
      <c r="L22" s="127"/>
      <c r="M22" s="21"/>
      <c r="N22" s="3" t="str">
        <f t="shared" si="1"/>
        <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X22" s="3"/>
      <c r="AY22" s="3"/>
      <c r="AZ22" s="3"/>
    </row>
    <row r="23" spans="2:52" s="33" customFormat="1" ht="15" hidden="1" customHeight="1" outlineLevel="1" x14ac:dyDescent="0.25">
      <c r="B23" s="166" t="s">
        <v>65</v>
      </c>
      <c r="C23" s="47"/>
      <c r="D23" s="47"/>
      <c r="E23" s="3"/>
      <c r="F23" s="127"/>
      <c r="G23" s="3"/>
      <c r="H23" s="130">
        <v>1</v>
      </c>
      <c r="I23" s="3"/>
      <c r="J23" s="127"/>
      <c r="K23" s="3"/>
      <c r="L23" s="127"/>
      <c r="M23" s="21"/>
      <c r="N23" s="3" t="str">
        <f t="shared" si="1"/>
        <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X23" s="3"/>
      <c r="AY23" s="3"/>
      <c r="AZ23" s="3"/>
    </row>
    <row r="24" spans="2:52" s="33" customFormat="1" ht="15" hidden="1" customHeight="1" outlineLevel="1" x14ac:dyDescent="0.25">
      <c r="B24" s="166" t="s">
        <v>66</v>
      </c>
      <c r="C24" s="47"/>
      <c r="D24" s="47"/>
      <c r="E24" s="3"/>
      <c r="F24" s="127">
        <v>1</v>
      </c>
      <c r="G24" s="3"/>
      <c r="H24" s="130"/>
      <c r="I24" s="3"/>
      <c r="J24" s="127"/>
      <c r="K24" s="3"/>
      <c r="L24" s="127"/>
      <c r="M24" s="21"/>
      <c r="N24" s="3" t="str">
        <f t="shared" si="1"/>
        <v/>
      </c>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X24" s="3"/>
      <c r="AY24" s="3"/>
      <c r="AZ24" s="3"/>
    </row>
    <row r="25" spans="2:52" s="33" customFormat="1" ht="15" hidden="1" customHeight="1" outlineLevel="1" x14ac:dyDescent="0.25">
      <c r="B25" s="166" t="s">
        <v>67</v>
      </c>
      <c r="C25" s="47"/>
      <c r="D25" s="47"/>
      <c r="E25" s="3"/>
      <c r="F25" s="127"/>
      <c r="G25" s="3"/>
      <c r="H25" s="130">
        <v>1</v>
      </c>
      <c r="I25" s="3"/>
      <c r="J25" s="127"/>
      <c r="K25" s="3"/>
      <c r="L25" s="127"/>
      <c r="M25" s="21"/>
      <c r="N25" s="3" t="str">
        <f t="shared" si="1"/>
        <v/>
      </c>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X25" s="3"/>
      <c r="AY25" s="3"/>
      <c r="AZ25" s="3"/>
    </row>
    <row r="26" spans="2:52" s="33" customFormat="1" ht="15" hidden="1" customHeight="1" outlineLevel="1" x14ac:dyDescent="0.25">
      <c r="B26" s="166" t="s">
        <v>68</v>
      </c>
      <c r="C26" s="47"/>
      <c r="D26" s="47"/>
      <c r="E26" s="3"/>
      <c r="F26" s="127"/>
      <c r="G26" s="3"/>
      <c r="H26" s="130">
        <v>1</v>
      </c>
      <c r="I26" s="3"/>
      <c r="J26" s="127"/>
      <c r="K26" s="3"/>
      <c r="L26" s="127"/>
      <c r="M26" s="21"/>
      <c r="N26" s="3" t="str">
        <f t="shared" si="1"/>
        <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X26" s="3"/>
      <c r="AY26" s="3"/>
      <c r="AZ26" s="3"/>
    </row>
    <row r="27" spans="2:52" s="33" customFormat="1" ht="15" hidden="1" customHeight="1" outlineLevel="1" x14ac:dyDescent="0.25">
      <c r="B27" s="166" t="s">
        <v>69</v>
      </c>
      <c r="C27" s="47"/>
      <c r="D27" s="47"/>
      <c r="E27" s="3"/>
      <c r="F27" s="187"/>
      <c r="G27" s="3"/>
      <c r="H27" s="189">
        <v>1</v>
      </c>
      <c r="I27" s="3"/>
      <c r="J27" s="187"/>
      <c r="K27" s="3"/>
      <c r="L27" s="187"/>
      <c r="M27" s="21"/>
      <c r="N27" s="3" t="str">
        <f t="shared" si="1"/>
        <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X27" s="3"/>
      <c r="AY27" s="3"/>
      <c r="AZ27" s="3"/>
    </row>
    <row r="28" spans="2:52" s="33" customFormat="1" ht="15" customHeight="1" collapsed="1" x14ac:dyDescent="0.25">
      <c r="B28" s="32" t="s">
        <v>40</v>
      </c>
      <c r="C28" s="47"/>
      <c r="D28" s="47"/>
      <c r="E28" s="3"/>
      <c r="F28" s="20">
        <f>SUM(F29:F39)</f>
        <v>3</v>
      </c>
      <c r="G28" s="3"/>
      <c r="H28" s="58">
        <f>SUM(H29:H39)</f>
        <v>7</v>
      </c>
      <c r="I28" s="3"/>
      <c r="J28" s="20">
        <f>SUM(J29:J39)</f>
        <v>0</v>
      </c>
      <c r="K28" s="3"/>
      <c r="L28" s="20">
        <f>SUM(L29:L39)</f>
        <v>1</v>
      </c>
      <c r="M28" s="21"/>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X28" s="3"/>
      <c r="AY28" s="3"/>
      <c r="AZ28" s="3"/>
    </row>
    <row r="29" spans="2:52" s="33" customFormat="1" ht="15" hidden="1" customHeight="1" outlineLevel="1" x14ac:dyDescent="0.25">
      <c r="B29" s="166" t="s">
        <v>70</v>
      </c>
      <c r="C29" s="47"/>
      <c r="D29" s="47"/>
      <c r="E29" s="3"/>
      <c r="F29" s="186"/>
      <c r="G29" s="3"/>
      <c r="H29" s="188">
        <v>1</v>
      </c>
      <c r="I29" s="3"/>
      <c r="J29" s="186"/>
      <c r="K29" s="3"/>
      <c r="L29" s="186"/>
      <c r="M29" s="21"/>
      <c r="N29" s="3" t="str">
        <f t="shared" si="1"/>
        <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X29" s="3"/>
      <c r="AY29" s="3"/>
      <c r="AZ29" s="3"/>
    </row>
    <row r="30" spans="2:52" s="33" customFormat="1" ht="15" hidden="1" customHeight="1" outlineLevel="1" x14ac:dyDescent="0.25">
      <c r="B30" s="166" t="s">
        <v>71</v>
      </c>
      <c r="C30" s="47"/>
      <c r="D30" s="47"/>
      <c r="E30" s="3"/>
      <c r="F30" s="127"/>
      <c r="G30" s="3"/>
      <c r="H30" s="130"/>
      <c r="I30" s="3"/>
      <c r="J30" s="127"/>
      <c r="K30" s="3"/>
      <c r="L30" s="127">
        <v>1</v>
      </c>
      <c r="M30" s="21"/>
      <c r="N30" s="3" t="str">
        <f t="shared" si="1"/>
        <v/>
      </c>
      <c r="O30" s="3"/>
      <c r="P30" s="76"/>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X30" s="3"/>
      <c r="AY30" s="3"/>
      <c r="AZ30" s="3"/>
    </row>
    <row r="31" spans="2:52" s="33" customFormat="1" ht="15" hidden="1" customHeight="1" outlineLevel="1" x14ac:dyDescent="0.25">
      <c r="B31" s="166" t="s">
        <v>72</v>
      </c>
      <c r="C31" s="47"/>
      <c r="D31" s="47"/>
      <c r="E31" s="3"/>
      <c r="F31" s="127">
        <v>1</v>
      </c>
      <c r="G31" s="3"/>
      <c r="H31" s="130"/>
      <c r="I31" s="3"/>
      <c r="J31" s="127"/>
      <c r="K31" s="3"/>
      <c r="L31" s="127"/>
      <c r="M31" s="21"/>
      <c r="N31" s="3" t="str">
        <f t="shared" si="1"/>
        <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X31" s="3"/>
      <c r="AY31" s="3"/>
      <c r="AZ31" s="3"/>
    </row>
    <row r="32" spans="2:52" s="33" customFormat="1" ht="15" hidden="1" customHeight="1" outlineLevel="1" x14ac:dyDescent="0.25">
      <c r="B32" s="166" t="s">
        <v>73</v>
      </c>
      <c r="C32" s="47"/>
      <c r="D32" s="47"/>
      <c r="E32" s="3"/>
      <c r="F32" s="127"/>
      <c r="G32" s="3"/>
      <c r="H32" s="130">
        <v>1</v>
      </c>
      <c r="I32" s="3"/>
      <c r="J32" s="127"/>
      <c r="K32" s="3"/>
      <c r="L32" s="127"/>
      <c r="M32" s="21"/>
      <c r="N32" s="3" t="str">
        <f t="shared" si="1"/>
        <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X32" s="3"/>
      <c r="AY32" s="3"/>
      <c r="AZ32" s="3"/>
    </row>
    <row r="33" spans="2:52" s="33" customFormat="1" ht="15" hidden="1" customHeight="1" outlineLevel="1" x14ac:dyDescent="0.25">
      <c r="B33" s="166" t="s">
        <v>74</v>
      </c>
      <c r="C33" s="47"/>
      <c r="D33" s="47"/>
      <c r="E33" s="3"/>
      <c r="F33" s="127"/>
      <c r="G33" s="3"/>
      <c r="H33" s="130">
        <v>1</v>
      </c>
      <c r="I33" s="3"/>
      <c r="J33" s="127"/>
      <c r="K33" s="3"/>
      <c r="L33" s="127"/>
      <c r="M33" s="21"/>
      <c r="N33" s="3" t="str">
        <f t="shared" si="1"/>
        <v/>
      </c>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X33" s="3"/>
      <c r="AY33" s="3"/>
      <c r="AZ33" s="3"/>
    </row>
    <row r="34" spans="2:52" s="33" customFormat="1" ht="15" hidden="1" customHeight="1" outlineLevel="1" x14ac:dyDescent="0.25">
      <c r="B34" s="166" t="s">
        <v>75</v>
      </c>
      <c r="C34" s="47"/>
      <c r="D34" s="47"/>
      <c r="E34" s="3"/>
      <c r="F34" s="127"/>
      <c r="G34" s="3"/>
      <c r="H34" s="130">
        <v>1</v>
      </c>
      <c r="I34" s="3"/>
      <c r="J34" s="127"/>
      <c r="K34" s="3"/>
      <c r="L34" s="127"/>
      <c r="M34" s="21"/>
      <c r="N34" s="3" t="str">
        <f t="shared" si="1"/>
        <v/>
      </c>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X34" s="3"/>
      <c r="AY34" s="3"/>
      <c r="AZ34" s="3"/>
    </row>
    <row r="35" spans="2:52" s="33" customFormat="1" ht="15" hidden="1" customHeight="1" outlineLevel="1" x14ac:dyDescent="0.25">
      <c r="B35" s="166" t="s">
        <v>76</v>
      </c>
      <c r="C35" s="47"/>
      <c r="D35" s="47"/>
      <c r="E35" s="3"/>
      <c r="F35" s="127">
        <v>1</v>
      </c>
      <c r="G35" s="3"/>
      <c r="H35" s="130"/>
      <c r="I35" s="3"/>
      <c r="J35" s="127"/>
      <c r="K35" s="3"/>
      <c r="L35" s="127"/>
      <c r="M35" s="21"/>
      <c r="N35" s="3" t="str">
        <f t="shared" si="1"/>
        <v/>
      </c>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X35" s="3"/>
      <c r="AY35" s="3"/>
      <c r="AZ35" s="3"/>
    </row>
    <row r="36" spans="2:52" s="33" customFormat="1" ht="15" hidden="1" customHeight="1" outlineLevel="1" x14ac:dyDescent="0.25">
      <c r="B36" s="166" t="s">
        <v>77</v>
      </c>
      <c r="C36" s="47"/>
      <c r="D36" s="47"/>
      <c r="E36" s="3"/>
      <c r="F36" s="127"/>
      <c r="G36" s="3"/>
      <c r="H36" s="130">
        <v>1</v>
      </c>
      <c r="I36" s="3"/>
      <c r="J36" s="127"/>
      <c r="K36" s="3"/>
      <c r="L36" s="127"/>
      <c r="M36" s="21"/>
      <c r="N36" s="3" t="str">
        <f t="shared" si="1"/>
        <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X36" s="3"/>
      <c r="AY36" s="3"/>
      <c r="AZ36" s="3"/>
    </row>
    <row r="37" spans="2:52" s="33" customFormat="1" ht="15" hidden="1" customHeight="1" outlineLevel="1" x14ac:dyDescent="0.25">
      <c r="B37" s="166" t="s">
        <v>78</v>
      </c>
      <c r="C37" s="47"/>
      <c r="D37" s="47"/>
      <c r="E37" s="3"/>
      <c r="F37" s="127"/>
      <c r="G37" s="3"/>
      <c r="H37" s="130">
        <v>1</v>
      </c>
      <c r="I37" s="3"/>
      <c r="J37" s="127"/>
      <c r="K37" s="3"/>
      <c r="L37" s="127"/>
      <c r="M37" s="21"/>
      <c r="N37" s="3" t="str">
        <f t="shared" si="1"/>
        <v/>
      </c>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X37" s="3"/>
      <c r="AY37" s="3"/>
      <c r="AZ37" s="3"/>
    </row>
    <row r="38" spans="2:52" s="33" customFormat="1" ht="15" hidden="1" customHeight="1" outlineLevel="1" x14ac:dyDescent="0.25">
      <c r="B38" s="166" t="s">
        <v>41</v>
      </c>
      <c r="C38" s="47"/>
      <c r="D38" s="47"/>
      <c r="E38" s="3"/>
      <c r="F38" s="127"/>
      <c r="G38" s="3"/>
      <c r="H38" s="130">
        <v>1</v>
      </c>
      <c r="I38" s="3"/>
      <c r="J38" s="127"/>
      <c r="K38" s="3"/>
      <c r="L38" s="127"/>
      <c r="M38" s="21"/>
      <c r="N38" s="3" t="str">
        <f t="shared" si="1"/>
        <v/>
      </c>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X38" s="3"/>
      <c r="AY38" s="3"/>
      <c r="AZ38" s="3"/>
    </row>
    <row r="39" spans="2:52" s="33" customFormat="1" ht="15" hidden="1" customHeight="1" outlineLevel="1" x14ac:dyDescent="0.25">
      <c r="B39" s="166" t="s">
        <v>79</v>
      </c>
      <c r="C39" s="47"/>
      <c r="D39" s="47"/>
      <c r="E39" s="3"/>
      <c r="F39" s="187">
        <v>1</v>
      </c>
      <c r="G39" s="3"/>
      <c r="H39" s="189"/>
      <c r="I39" s="3"/>
      <c r="J39" s="187"/>
      <c r="K39" s="3"/>
      <c r="L39" s="187"/>
      <c r="M39" s="21"/>
      <c r="N39" s="3" t="str">
        <f t="shared" si="1"/>
        <v/>
      </c>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X39" s="3"/>
      <c r="AY39" s="3"/>
      <c r="AZ39" s="3"/>
    </row>
    <row r="40" spans="2:52" s="33" customFormat="1" ht="15" customHeight="1" collapsed="1" x14ac:dyDescent="0.25">
      <c r="B40" s="126" t="s">
        <v>80</v>
      </c>
      <c r="C40" s="22"/>
      <c r="D40" s="22"/>
      <c r="E40" s="84"/>
      <c r="F40" s="117">
        <f>SUM(F41:F44)</f>
        <v>2</v>
      </c>
      <c r="G40" s="84"/>
      <c r="H40" s="129">
        <f>SUM(H41:H44)</f>
        <v>1</v>
      </c>
      <c r="I40" s="84"/>
      <c r="J40" s="117">
        <f>SUM(J41:J44)</f>
        <v>1</v>
      </c>
      <c r="K40" s="84"/>
      <c r="L40" s="117">
        <f>SUM(L41:L44)</f>
        <v>0</v>
      </c>
      <c r="M40" s="118"/>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X40" s="3"/>
      <c r="AY40" s="3"/>
      <c r="AZ40" s="3"/>
    </row>
    <row r="41" spans="2:52" s="33" customFormat="1" ht="15" hidden="1" customHeight="1" outlineLevel="1" x14ac:dyDescent="0.25">
      <c r="B41" s="166" t="s">
        <v>81</v>
      </c>
      <c r="C41" s="47"/>
      <c r="D41" s="47"/>
      <c r="E41" s="3"/>
      <c r="F41" s="186">
        <v>1</v>
      </c>
      <c r="G41" s="3"/>
      <c r="H41" s="188"/>
      <c r="I41" s="3"/>
      <c r="J41" s="186"/>
      <c r="K41" s="3"/>
      <c r="L41" s="186"/>
      <c r="M41" s="21"/>
      <c r="N41" s="3" t="str">
        <f t="shared" si="1"/>
        <v/>
      </c>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X41" s="3"/>
      <c r="AY41" s="3"/>
      <c r="AZ41" s="3"/>
    </row>
    <row r="42" spans="2:52" s="33" customFormat="1" ht="15" hidden="1" customHeight="1" outlineLevel="1" x14ac:dyDescent="0.25">
      <c r="B42" s="166" t="s">
        <v>82</v>
      </c>
      <c r="C42" s="47"/>
      <c r="D42" s="47"/>
      <c r="E42" s="3"/>
      <c r="F42" s="127"/>
      <c r="G42" s="3"/>
      <c r="H42" s="130">
        <v>1</v>
      </c>
      <c r="I42" s="3"/>
      <c r="J42" s="127"/>
      <c r="K42" s="3"/>
      <c r="L42" s="127"/>
      <c r="M42" s="21"/>
      <c r="N42" s="3" t="str">
        <f t="shared" si="1"/>
        <v/>
      </c>
      <c r="O42" s="3"/>
      <c r="P42" s="76"/>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X42" s="3"/>
      <c r="AY42" s="3"/>
      <c r="AZ42" s="3"/>
    </row>
    <row r="43" spans="2:52" s="33" customFormat="1" ht="15" hidden="1" customHeight="1" outlineLevel="1" x14ac:dyDescent="0.25">
      <c r="B43" s="166" t="s">
        <v>83</v>
      </c>
      <c r="C43" s="47"/>
      <c r="D43" s="47"/>
      <c r="E43" s="3"/>
      <c r="F43" s="127">
        <v>1</v>
      </c>
      <c r="G43" s="3"/>
      <c r="H43" s="130"/>
      <c r="I43" s="3"/>
      <c r="J43" s="127"/>
      <c r="K43" s="3"/>
      <c r="L43" s="127"/>
      <c r="M43" s="21"/>
      <c r="N43" s="3" t="str">
        <f t="shared" si="1"/>
        <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X43" s="3"/>
      <c r="AY43" s="3"/>
      <c r="AZ43" s="3"/>
    </row>
    <row r="44" spans="2:52" s="33" customFormat="1" ht="15" hidden="1" customHeight="1" outlineLevel="1" x14ac:dyDescent="0.25">
      <c r="B44" s="166" t="s">
        <v>84</v>
      </c>
      <c r="C44" s="47"/>
      <c r="D44" s="47"/>
      <c r="E44" s="3"/>
      <c r="F44" s="187"/>
      <c r="G44" s="3"/>
      <c r="H44" s="189"/>
      <c r="I44" s="3"/>
      <c r="J44" s="187">
        <v>1</v>
      </c>
      <c r="K44" s="3"/>
      <c r="L44" s="187"/>
      <c r="M44" s="21"/>
      <c r="N44" s="3" t="str">
        <f t="shared" si="1"/>
        <v/>
      </c>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X44" s="3"/>
      <c r="AY44" s="3"/>
      <c r="AZ44" s="3"/>
    </row>
    <row r="45" spans="2:52" s="33" customFormat="1" ht="15" customHeight="1" collapsed="1" x14ac:dyDescent="0.25">
      <c r="B45" s="32" t="s">
        <v>85</v>
      </c>
      <c r="C45" s="47"/>
      <c r="D45" s="47"/>
      <c r="E45" s="3"/>
      <c r="F45" s="20">
        <f>SUM(F46:F69)</f>
        <v>10</v>
      </c>
      <c r="G45" s="3"/>
      <c r="H45" s="58">
        <f>SUM(H46:H69)</f>
        <v>14</v>
      </c>
      <c r="I45" s="3"/>
      <c r="J45" s="20">
        <f>SUM(J46:J69)</f>
        <v>0</v>
      </c>
      <c r="K45" s="3"/>
      <c r="L45" s="20">
        <f>SUM(L46:L69)</f>
        <v>0</v>
      </c>
      <c r="M45" s="21"/>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X45" s="3"/>
      <c r="AY45" s="3"/>
      <c r="AZ45" s="3"/>
    </row>
    <row r="46" spans="2:52" s="33" customFormat="1" ht="15" hidden="1" customHeight="1" outlineLevel="1" x14ac:dyDescent="0.25">
      <c r="B46" s="166" t="s">
        <v>86</v>
      </c>
      <c r="C46" s="47"/>
      <c r="D46" s="47"/>
      <c r="E46" s="3"/>
      <c r="F46" s="186"/>
      <c r="G46" s="3"/>
      <c r="H46" s="188">
        <v>1</v>
      </c>
      <c r="I46" s="3"/>
      <c r="J46" s="186"/>
      <c r="K46" s="3"/>
      <c r="L46" s="186"/>
      <c r="M46" s="21"/>
      <c r="N46" s="3" t="str">
        <f t="shared" si="1"/>
        <v/>
      </c>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X46" s="3"/>
      <c r="AY46" s="3"/>
      <c r="AZ46" s="3"/>
    </row>
    <row r="47" spans="2:52" s="33" customFormat="1" ht="15" hidden="1" customHeight="1" outlineLevel="1" x14ac:dyDescent="0.25">
      <c r="B47" s="166" t="s">
        <v>87</v>
      </c>
      <c r="C47" s="47"/>
      <c r="D47" s="47"/>
      <c r="E47" s="3"/>
      <c r="F47" s="127"/>
      <c r="G47" s="3"/>
      <c r="H47" s="130">
        <v>1</v>
      </c>
      <c r="I47" s="3"/>
      <c r="J47" s="127"/>
      <c r="K47" s="3"/>
      <c r="L47" s="127"/>
      <c r="M47" s="21"/>
      <c r="N47" s="3" t="str">
        <f t="shared" si="1"/>
        <v/>
      </c>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X47" s="3"/>
      <c r="AY47" s="3"/>
      <c r="AZ47" s="3"/>
    </row>
    <row r="48" spans="2:52" s="33" customFormat="1" ht="15" hidden="1" customHeight="1" outlineLevel="1" x14ac:dyDescent="0.25">
      <c r="B48" s="166" t="s">
        <v>88</v>
      </c>
      <c r="C48" s="47"/>
      <c r="D48" s="47"/>
      <c r="E48" s="3"/>
      <c r="F48" s="127">
        <v>1</v>
      </c>
      <c r="G48" s="3"/>
      <c r="H48" s="130"/>
      <c r="I48" s="3"/>
      <c r="J48" s="127"/>
      <c r="K48" s="3"/>
      <c r="L48" s="127"/>
      <c r="M48" s="21"/>
      <c r="N48" s="3" t="str">
        <f t="shared" si="1"/>
        <v/>
      </c>
      <c r="O48" s="3"/>
      <c r="P48" s="76"/>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X48" s="3"/>
      <c r="AY48" s="3"/>
      <c r="AZ48" s="3"/>
    </row>
    <row r="49" spans="2:52" s="33" customFormat="1" ht="15" hidden="1" customHeight="1" outlineLevel="1" x14ac:dyDescent="0.25">
      <c r="B49" s="166" t="s">
        <v>89</v>
      </c>
      <c r="C49" s="47"/>
      <c r="D49" s="47"/>
      <c r="E49" s="3"/>
      <c r="F49" s="127"/>
      <c r="G49" s="3"/>
      <c r="H49" s="130">
        <v>1</v>
      </c>
      <c r="I49" s="3"/>
      <c r="J49" s="127"/>
      <c r="K49" s="3"/>
      <c r="L49" s="127"/>
      <c r="M49" s="21"/>
      <c r="N49" s="3" t="str">
        <f t="shared" si="1"/>
        <v/>
      </c>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X49" s="3"/>
      <c r="AY49" s="3"/>
      <c r="AZ49" s="3"/>
    </row>
    <row r="50" spans="2:52" s="33" customFormat="1" ht="15" hidden="1" customHeight="1" outlineLevel="1" x14ac:dyDescent="0.25">
      <c r="B50" s="166" t="s">
        <v>90</v>
      </c>
      <c r="C50" s="47"/>
      <c r="D50" s="47"/>
      <c r="E50" s="3"/>
      <c r="F50" s="127"/>
      <c r="G50" s="3"/>
      <c r="H50" s="130">
        <v>1</v>
      </c>
      <c r="I50" s="3"/>
      <c r="J50" s="127"/>
      <c r="K50" s="3"/>
      <c r="L50" s="127"/>
      <c r="M50" s="21"/>
      <c r="N50" s="3" t="str">
        <f t="shared" si="1"/>
        <v/>
      </c>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X50" s="3"/>
      <c r="AY50" s="3"/>
      <c r="AZ50" s="3"/>
    </row>
    <row r="51" spans="2:52" s="33" customFormat="1" ht="15" hidden="1" customHeight="1" outlineLevel="1" x14ac:dyDescent="0.25">
      <c r="B51" s="166" t="s">
        <v>54</v>
      </c>
      <c r="C51" s="47"/>
      <c r="D51" s="47"/>
      <c r="E51" s="3"/>
      <c r="F51" s="127">
        <v>1</v>
      </c>
      <c r="G51" s="3"/>
      <c r="H51" s="130"/>
      <c r="I51" s="3"/>
      <c r="J51" s="127"/>
      <c r="K51" s="3"/>
      <c r="L51" s="127"/>
      <c r="M51" s="21"/>
      <c r="N51" s="3" t="str">
        <f t="shared" si="1"/>
        <v/>
      </c>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X51" s="3"/>
      <c r="AY51" s="3"/>
      <c r="AZ51" s="3"/>
    </row>
    <row r="52" spans="2:52" s="33" customFormat="1" ht="15" hidden="1" customHeight="1" outlineLevel="1" x14ac:dyDescent="0.25">
      <c r="B52" s="166" t="s">
        <v>91</v>
      </c>
      <c r="C52" s="47"/>
      <c r="D52" s="47"/>
      <c r="E52" s="3"/>
      <c r="F52" s="127">
        <v>1</v>
      </c>
      <c r="G52" s="3"/>
      <c r="H52" s="130"/>
      <c r="I52" s="3"/>
      <c r="J52" s="127"/>
      <c r="K52" s="3"/>
      <c r="L52" s="127"/>
      <c r="M52" s="21"/>
      <c r="N52" s="3" t="str">
        <f t="shared" si="1"/>
        <v/>
      </c>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X52" s="3"/>
      <c r="AY52" s="3"/>
      <c r="AZ52" s="3"/>
    </row>
    <row r="53" spans="2:52" s="33" customFormat="1" ht="15" hidden="1" customHeight="1" outlineLevel="1" x14ac:dyDescent="0.25">
      <c r="B53" s="166" t="s">
        <v>92</v>
      </c>
      <c r="C53" s="47"/>
      <c r="D53" s="47"/>
      <c r="E53" s="3"/>
      <c r="F53" s="127">
        <v>1</v>
      </c>
      <c r="G53" s="3"/>
      <c r="H53" s="130"/>
      <c r="I53" s="3"/>
      <c r="J53" s="127"/>
      <c r="K53" s="3"/>
      <c r="L53" s="127"/>
      <c r="M53" s="21"/>
      <c r="N53" s="3" t="str">
        <f t="shared" si="1"/>
        <v/>
      </c>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X53" s="3"/>
      <c r="AY53" s="3"/>
      <c r="AZ53" s="3"/>
    </row>
    <row r="54" spans="2:52" s="33" customFormat="1" ht="15" hidden="1" customHeight="1" outlineLevel="1" x14ac:dyDescent="0.25">
      <c r="B54" s="166" t="s">
        <v>93</v>
      </c>
      <c r="C54" s="47"/>
      <c r="D54" s="47"/>
      <c r="E54" s="3"/>
      <c r="F54" s="127"/>
      <c r="G54" s="3"/>
      <c r="H54" s="130">
        <v>1</v>
      </c>
      <c r="I54" s="3"/>
      <c r="J54" s="127"/>
      <c r="K54" s="3"/>
      <c r="L54" s="127"/>
      <c r="M54" s="21"/>
      <c r="N54" s="3" t="str">
        <f t="shared" si="1"/>
        <v/>
      </c>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X54" s="3"/>
      <c r="AY54" s="3"/>
      <c r="AZ54" s="3"/>
    </row>
    <row r="55" spans="2:52" s="33" customFormat="1" ht="15" hidden="1" customHeight="1" outlineLevel="1" x14ac:dyDescent="0.25">
      <c r="B55" s="166" t="s">
        <v>42</v>
      </c>
      <c r="C55" s="47"/>
      <c r="D55" s="47"/>
      <c r="E55" s="3"/>
      <c r="F55" s="127">
        <v>1</v>
      </c>
      <c r="G55" s="3"/>
      <c r="H55" s="130"/>
      <c r="I55" s="3"/>
      <c r="J55" s="127"/>
      <c r="K55" s="3"/>
      <c r="L55" s="127"/>
      <c r="M55" s="21"/>
      <c r="N55" s="3" t="str">
        <f t="shared" si="1"/>
        <v/>
      </c>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X55" s="3"/>
      <c r="AY55" s="3"/>
      <c r="AZ55" s="3"/>
    </row>
    <row r="56" spans="2:52" s="33" customFormat="1" ht="15" hidden="1" customHeight="1" outlineLevel="1" x14ac:dyDescent="0.25">
      <c r="B56" s="166" t="s">
        <v>94</v>
      </c>
      <c r="C56" s="47"/>
      <c r="D56" s="47"/>
      <c r="E56" s="3"/>
      <c r="F56" s="127">
        <v>1</v>
      </c>
      <c r="G56" s="3"/>
      <c r="H56" s="130"/>
      <c r="I56" s="3"/>
      <c r="J56" s="127"/>
      <c r="K56" s="3"/>
      <c r="L56" s="127"/>
      <c r="M56" s="21"/>
      <c r="N56" s="3" t="str">
        <f t="shared" si="1"/>
        <v/>
      </c>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X56" s="3"/>
      <c r="AY56" s="3"/>
      <c r="AZ56" s="3"/>
    </row>
    <row r="57" spans="2:52" s="33" customFormat="1" ht="15" hidden="1" customHeight="1" outlineLevel="1" x14ac:dyDescent="0.25">
      <c r="B57" s="166" t="s">
        <v>43</v>
      </c>
      <c r="C57" s="47"/>
      <c r="D57" s="47"/>
      <c r="E57" s="3"/>
      <c r="F57" s="127"/>
      <c r="G57" s="3"/>
      <c r="H57" s="130">
        <v>1</v>
      </c>
      <c r="I57" s="3"/>
      <c r="J57" s="127"/>
      <c r="K57" s="3"/>
      <c r="L57" s="127"/>
      <c r="M57" s="21"/>
      <c r="N57" s="3" t="str">
        <f t="shared" si="1"/>
        <v/>
      </c>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X57" s="3"/>
      <c r="AY57" s="3"/>
      <c r="AZ57" s="3"/>
    </row>
    <row r="58" spans="2:52" s="33" customFormat="1" ht="15" hidden="1" customHeight="1" outlineLevel="1" x14ac:dyDescent="0.25">
      <c r="B58" s="166" t="s">
        <v>44</v>
      </c>
      <c r="C58" s="47"/>
      <c r="D58" s="47"/>
      <c r="E58" s="3"/>
      <c r="F58" s="127"/>
      <c r="G58" s="3"/>
      <c r="H58" s="130">
        <v>1</v>
      </c>
      <c r="I58" s="3"/>
      <c r="J58" s="127"/>
      <c r="K58" s="3"/>
      <c r="L58" s="127"/>
      <c r="M58" s="21"/>
      <c r="N58" s="3" t="str">
        <f t="shared" si="1"/>
        <v/>
      </c>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X58" s="3"/>
      <c r="AY58" s="3"/>
      <c r="AZ58" s="3"/>
    </row>
    <row r="59" spans="2:52" s="33" customFormat="1" ht="15" hidden="1" customHeight="1" outlineLevel="1" x14ac:dyDescent="0.25">
      <c r="B59" s="166" t="s">
        <v>95</v>
      </c>
      <c r="C59" s="47"/>
      <c r="D59" s="47"/>
      <c r="E59" s="3"/>
      <c r="F59" s="127">
        <v>1</v>
      </c>
      <c r="G59" s="3"/>
      <c r="H59" s="130"/>
      <c r="I59" s="3"/>
      <c r="J59" s="127"/>
      <c r="K59" s="3"/>
      <c r="L59" s="127"/>
      <c r="M59" s="21"/>
      <c r="N59" s="3" t="str">
        <f t="shared" si="1"/>
        <v/>
      </c>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X59" s="3"/>
      <c r="AY59" s="3"/>
      <c r="AZ59" s="3"/>
    </row>
    <row r="60" spans="2:52" s="33" customFormat="1" ht="15" hidden="1" customHeight="1" outlineLevel="1" x14ac:dyDescent="0.25">
      <c r="B60" s="166" t="s">
        <v>96</v>
      </c>
      <c r="C60" s="47"/>
      <c r="D60" s="47"/>
      <c r="E60" s="3"/>
      <c r="F60" s="127"/>
      <c r="G60" s="3"/>
      <c r="H60" s="130">
        <v>1</v>
      </c>
      <c r="I60" s="3"/>
      <c r="J60" s="127"/>
      <c r="K60" s="3"/>
      <c r="L60" s="127"/>
      <c r="M60" s="21"/>
      <c r="N60" s="3" t="str">
        <f t="shared" si="1"/>
        <v/>
      </c>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X60" s="3"/>
      <c r="AY60" s="3"/>
      <c r="AZ60" s="3"/>
    </row>
    <row r="61" spans="2:52" s="33" customFormat="1" ht="15" hidden="1" customHeight="1" outlineLevel="1" x14ac:dyDescent="0.25">
      <c r="B61" s="166" t="s">
        <v>97</v>
      </c>
      <c r="C61" s="47"/>
      <c r="D61" s="47"/>
      <c r="E61" s="3"/>
      <c r="F61" s="127"/>
      <c r="G61" s="3"/>
      <c r="H61" s="130">
        <v>1</v>
      </c>
      <c r="I61" s="3"/>
      <c r="J61" s="127"/>
      <c r="K61" s="3"/>
      <c r="L61" s="127"/>
      <c r="M61" s="21"/>
      <c r="N61" s="3" t="str">
        <f t="shared" si="1"/>
        <v/>
      </c>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X61" s="3"/>
      <c r="AY61" s="3"/>
      <c r="AZ61" s="3"/>
    </row>
    <row r="62" spans="2:52" s="33" customFormat="1" ht="15" hidden="1" customHeight="1" outlineLevel="1" x14ac:dyDescent="0.25">
      <c r="B62" s="166" t="s">
        <v>98</v>
      </c>
      <c r="C62" s="47"/>
      <c r="D62" s="47"/>
      <c r="E62" s="3"/>
      <c r="F62" s="127">
        <v>1</v>
      </c>
      <c r="G62" s="3"/>
      <c r="H62" s="130"/>
      <c r="I62" s="3"/>
      <c r="J62" s="127"/>
      <c r="K62" s="3"/>
      <c r="L62" s="127"/>
      <c r="M62" s="21"/>
      <c r="N62" s="3" t="str">
        <f t="shared" si="1"/>
        <v/>
      </c>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X62" s="3"/>
      <c r="AY62" s="3"/>
      <c r="AZ62" s="3"/>
    </row>
    <row r="63" spans="2:52" s="33" customFormat="1" ht="15" hidden="1" customHeight="1" outlineLevel="1" x14ac:dyDescent="0.25">
      <c r="B63" s="166" t="s">
        <v>46</v>
      </c>
      <c r="C63" s="47"/>
      <c r="D63" s="47"/>
      <c r="E63" s="3"/>
      <c r="F63" s="127"/>
      <c r="G63" s="3"/>
      <c r="H63" s="130">
        <v>1</v>
      </c>
      <c r="I63" s="3"/>
      <c r="J63" s="127"/>
      <c r="K63" s="3"/>
      <c r="L63" s="127"/>
      <c r="M63" s="21"/>
      <c r="N63" s="3" t="str">
        <f t="shared" si="1"/>
        <v/>
      </c>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X63" s="3"/>
      <c r="AY63" s="3"/>
      <c r="AZ63" s="3"/>
    </row>
    <row r="64" spans="2:52" s="33" customFormat="1" ht="15" hidden="1" customHeight="1" outlineLevel="1" x14ac:dyDescent="0.25">
      <c r="B64" s="166" t="s">
        <v>45</v>
      </c>
      <c r="C64" s="47"/>
      <c r="D64" s="47"/>
      <c r="E64" s="3"/>
      <c r="F64" s="127"/>
      <c r="G64" s="3"/>
      <c r="H64" s="130">
        <v>1</v>
      </c>
      <c r="I64" s="3"/>
      <c r="J64" s="127"/>
      <c r="K64" s="3"/>
      <c r="L64" s="127"/>
      <c r="M64" s="21"/>
      <c r="N64" s="3" t="str">
        <f t="shared" si="1"/>
        <v/>
      </c>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X64" s="3"/>
      <c r="AY64" s="3"/>
      <c r="AZ64" s="3"/>
    </row>
    <row r="65" spans="2:52" s="33" customFormat="1" ht="15" hidden="1" customHeight="1" outlineLevel="1" x14ac:dyDescent="0.25">
      <c r="B65" s="166" t="s">
        <v>99</v>
      </c>
      <c r="C65" s="47"/>
      <c r="D65" s="47"/>
      <c r="E65" s="3"/>
      <c r="F65" s="127">
        <v>1</v>
      </c>
      <c r="G65" s="3"/>
      <c r="H65" s="130"/>
      <c r="I65" s="3"/>
      <c r="J65" s="127"/>
      <c r="K65" s="3"/>
      <c r="L65" s="127"/>
      <c r="M65" s="21"/>
      <c r="N65" s="3" t="str">
        <f t="shared" si="1"/>
        <v/>
      </c>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X65" s="3"/>
      <c r="AY65" s="3"/>
      <c r="AZ65" s="3"/>
    </row>
    <row r="66" spans="2:52" s="33" customFormat="1" ht="15" hidden="1" customHeight="1" outlineLevel="1" x14ac:dyDescent="0.25">
      <c r="B66" s="166" t="s">
        <v>100</v>
      </c>
      <c r="C66" s="47"/>
      <c r="D66" s="47"/>
      <c r="E66" s="3"/>
      <c r="F66" s="127"/>
      <c r="G66" s="3"/>
      <c r="H66" s="130">
        <v>1</v>
      </c>
      <c r="I66" s="3"/>
      <c r="J66" s="127"/>
      <c r="K66" s="3"/>
      <c r="L66" s="127"/>
      <c r="M66" s="21"/>
      <c r="N66" s="3" t="str">
        <f t="shared" si="1"/>
        <v/>
      </c>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X66" s="3"/>
      <c r="AY66" s="3"/>
      <c r="AZ66" s="3"/>
    </row>
    <row r="67" spans="2:52" s="33" customFormat="1" ht="15" hidden="1" customHeight="1" outlineLevel="1" x14ac:dyDescent="0.25">
      <c r="B67" s="166" t="s">
        <v>101</v>
      </c>
      <c r="C67" s="47"/>
      <c r="D67" s="47"/>
      <c r="E67" s="3"/>
      <c r="F67" s="127"/>
      <c r="G67" s="3"/>
      <c r="H67" s="130">
        <v>1</v>
      </c>
      <c r="I67" s="3"/>
      <c r="J67" s="127"/>
      <c r="K67" s="3"/>
      <c r="L67" s="127"/>
      <c r="M67" s="21"/>
      <c r="N67" s="3" t="str">
        <f t="shared" si="1"/>
        <v/>
      </c>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X67" s="3"/>
      <c r="AY67" s="3"/>
      <c r="AZ67" s="3"/>
    </row>
    <row r="68" spans="2:52" s="33" customFormat="1" ht="15" hidden="1" customHeight="1" outlineLevel="1" x14ac:dyDescent="0.25">
      <c r="B68" s="166" t="s">
        <v>102</v>
      </c>
      <c r="C68" s="47"/>
      <c r="D68" s="47"/>
      <c r="E68" s="3"/>
      <c r="F68" s="127"/>
      <c r="G68" s="3"/>
      <c r="H68" s="130">
        <v>1</v>
      </c>
      <c r="I68" s="3"/>
      <c r="J68" s="127"/>
      <c r="K68" s="3"/>
      <c r="L68" s="127"/>
      <c r="M68" s="21"/>
      <c r="N68" s="3" t="str">
        <f t="shared" si="1"/>
        <v/>
      </c>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X68" s="3"/>
      <c r="AY68" s="3"/>
      <c r="AZ68" s="3"/>
    </row>
    <row r="69" spans="2:52" s="33" customFormat="1" ht="15" hidden="1" customHeight="1" outlineLevel="1" x14ac:dyDescent="0.25">
      <c r="B69" s="166" t="s">
        <v>103</v>
      </c>
      <c r="C69" s="47"/>
      <c r="D69" s="47"/>
      <c r="E69" s="3"/>
      <c r="F69" s="187">
        <v>1</v>
      </c>
      <c r="G69" s="3"/>
      <c r="H69" s="189"/>
      <c r="I69" s="3"/>
      <c r="J69" s="187"/>
      <c r="K69" s="3"/>
      <c r="L69" s="187"/>
      <c r="M69" s="21"/>
      <c r="N69" s="3" t="str">
        <f t="shared" si="1"/>
        <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X69" s="3"/>
      <c r="AY69" s="3"/>
      <c r="AZ69" s="3"/>
    </row>
    <row r="70" spans="2:52" s="33" customFormat="1" ht="15" customHeight="1" collapsed="1" x14ac:dyDescent="0.25">
      <c r="B70" s="126" t="s">
        <v>104</v>
      </c>
      <c r="C70" s="22"/>
      <c r="D70" s="22"/>
      <c r="E70" s="84"/>
      <c r="F70" s="117">
        <f>F71</f>
        <v>1</v>
      </c>
      <c r="G70" s="84"/>
      <c r="H70" s="129">
        <f>H71</f>
        <v>0</v>
      </c>
      <c r="I70" s="84"/>
      <c r="J70" s="117">
        <f>J71</f>
        <v>0</v>
      </c>
      <c r="K70" s="84"/>
      <c r="L70" s="117">
        <f>L71</f>
        <v>0</v>
      </c>
      <c r="M70" s="118"/>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X70" s="3"/>
      <c r="AY70" s="3"/>
      <c r="AZ70" s="3"/>
    </row>
    <row r="71" spans="2:52" s="33" customFormat="1" ht="15" hidden="1" customHeight="1" outlineLevel="1" x14ac:dyDescent="0.25">
      <c r="B71" s="166" t="s">
        <v>105</v>
      </c>
      <c r="C71" s="47"/>
      <c r="D71" s="47"/>
      <c r="E71" s="3"/>
      <c r="F71" s="127">
        <v>1</v>
      </c>
      <c r="G71" s="3"/>
      <c r="H71" s="185"/>
      <c r="I71" s="3"/>
      <c r="J71" s="190"/>
      <c r="K71" s="3"/>
      <c r="L71" s="190"/>
      <c r="M71" s="21"/>
      <c r="N71" s="3" t="str">
        <f t="shared" si="1"/>
        <v/>
      </c>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X71" s="3"/>
      <c r="AY71" s="3"/>
      <c r="AZ71" s="3"/>
    </row>
    <row r="72" spans="2:52" s="33" customFormat="1" ht="15" customHeight="1" collapsed="1" x14ac:dyDescent="0.25">
      <c r="B72" s="56"/>
      <c r="C72" s="26"/>
      <c r="D72" s="26"/>
      <c r="E72" s="27"/>
      <c r="F72" s="28"/>
      <c r="G72" s="27"/>
      <c r="H72" s="60"/>
      <c r="I72" s="27"/>
      <c r="J72" s="28"/>
      <c r="K72" s="27"/>
      <c r="L72" s="28"/>
      <c r="M72" s="85"/>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X72" s="3"/>
      <c r="AY72" s="3"/>
      <c r="AZ72" s="3"/>
    </row>
    <row r="73" spans="2:52" s="33" customFormat="1" ht="13.2" customHeight="1" x14ac:dyDescent="0.25">
      <c r="B73" s="53"/>
      <c r="C73" s="47"/>
      <c r="D73" s="47"/>
      <c r="E73" s="3"/>
      <c r="F73" s="52"/>
      <c r="G73" s="3"/>
      <c r="H73" s="3"/>
      <c r="I73" s="3"/>
      <c r="J73" s="3"/>
      <c r="K73" s="3"/>
      <c r="L73" s="52"/>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X73" s="3"/>
      <c r="AY73" s="3"/>
      <c r="AZ73" s="3"/>
    </row>
    <row r="74" spans="2:52" s="33" customFormat="1" ht="13.2" customHeight="1" x14ac:dyDescent="0.25">
      <c r="B74" s="46" t="s">
        <v>213</v>
      </c>
      <c r="C74" s="47"/>
      <c r="D74" s="47"/>
      <c r="E74" s="3"/>
      <c r="F74" s="52"/>
      <c r="G74" s="3"/>
      <c r="H74" s="3"/>
      <c r="I74" s="3"/>
      <c r="J74" s="3"/>
      <c r="K74" s="3"/>
      <c r="L74" s="52"/>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X74" s="3"/>
      <c r="AY74" s="3"/>
      <c r="AZ74" s="3"/>
    </row>
    <row r="75" spans="2:52" s="33" customFormat="1" ht="13.2" customHeight="1" x14ac:dyDescent="0.25">
      <c r="B75" s="53"/>
      <c r="C75" s="47"/>
      <c r="D75" s="47"/>
      <c r="E75" s="47"/>
      <c r="F75" s="3"/>
      <c r="G75" s="52"/>
      <c r="H75" s="3"/>
      <c r="I75" s="3"/>
      <c r="J75" s="3"/>
      <c r="K75" s="3"/>
      <c r="L75" s="3"/>
      <c r="M75" s="3"/>
      <c r="N75" s="3"/>
      <c r="O75" s="3"/>
      <c r="P75" s="3"/>
      <c r="Q75" s="3"/>
      <c r="R75" s="3"/>
      <c r="S75" s="3"/>
      <c r="T75" s="3"/>
      <c r="U75" s="3"/>
      <c r="V75" s="3"/>
      <c r="W75" s="3"/>
      <c r="X75" s="3"/>
      <c r="Y75" s="3"/>
    </row>
    <row r="76" spans="2:52" s="33" customFormat="1" ht="24" customHeight="1" x14ac:dyDescent="0.25">
      <c r="B76" s="255" t="s">
        <v>48</v>
      </c>
      <c r="C76" s="256"/>
      <c r="D76" s="256"/>
      <c r="E76" s="257"/>
      <c r="F76" s="246" t="s">
        <v>212</v>
      </c>
      <c r="G76" s="247"/>
      <c r="H76" s="271" t="s">
        <v>160</v>
      </c>
      <c r="I76" s="272"/>
      <c r="J76" s="272"/>
      <c r="K76" s="272"/>
      <c r="L76" s="272"/>
      <c r="M76" s="272"/>
      <c r="N76" s="272"/>
      <c r="O76" s="272"/>
      <c r="P76" s="272"/>
      <c r="Q76" s="272"/>
      <c r="R76" s="272"/>
      <c r="S76" s="272"/>
      <c r="T76" s="272"/>
      <c r="U76" s="273"/>
      <c r="V76" s="3"/>
      <c r="W76" s="3"/>
      <c r="X76" s="3"/>
      <c r="Y76" s="3"/>
    </row>
    <row r="77" spans="2:52" s="33" customFormat="1" ht="24" customHeight="1" x14ac:dyDescent="0.25">
      <c r="B77" s="258"/>
      <c r="C77" s="275"/>
      <c r="D77" s="275"/>
      <c r="E77" s="275"/>
      <c r="F77" s="248"/>
      <c r="G77" s="249"/>
      <c r="H77" s="224" t="s">
        <v>331</v>
      </c>
      <c r="I77" s="271" t="s">
        <v>349</v>
      </c>
      <c r="J77" s="272"/>
      <c r="K77" s="272"/>
      <c r="L77" s="272"/>
      <c r="M77" s="273"/>
      <c r="N77" s="271" t="s">
        <v>350</v>
      </c>
      <c r="O77" s="273"/>
      <c r="P77" s="271" t="s">
        <v>351</v>
      </c>
      <c r="Q77" s="272"/>
      <c r="R77" s="272"/>
      <c r="S77" s="272"/>
      <c r="T77" s="273"/>
      <c r="U77" s="183" t="s">
        <v>287</v>
      </c>
      <c r="V77" s="3"/>
      <c r="W77" s="3"/>
      <c r="X77" s="3"/>
      <c r="Y77" s="3"/>
      <c r="Z77" s="3"/>
      <c r="AA77" s="3"/>
      <c r="AB77" s="3"/>
      <c r="AC77" s="3"/>
      <c r="AD77" s="3"/>
      <c r="AE77" s="3"/>
      <c r="AF77" s="3"/>
      <c r="AG77" s="3"/>
      <c r="AH77" s="3"/>
      <c r="AI77" s="3"/>
      <c r="AJ77" s="3"/>
    </row>
    <row r="78" spans="2:52" s="3" customFormat="1" ht="77.400000000000006" customHeight="1" x14ac:dyDescent="0.25">
      <c r="B78" s="260"/>
      <c r="C78" s="261"/>
      <c r="D78" s="261"/>
      <c r="E78" s="261"/>
      <c r="F78" s="89" t="s">
        <v>49</v>
      </c>
      <c r="G78" s="89" t="s">
        <v>50</v>
      </c>
      <c r="H78" s="91" t="s">
        <v>318</v>
      </c>
      <c r="I78" s="96" t="s">
        <v>270</v>
      </c>
      <c r="J78" s="96" t="s">
        <v>319</v>
      </c>
      <c r="K78" s="96" t="s">
        <v>321</v>
      </c>
      <c r="L78" s="96" t="s">
        <v>272</v>
      </c>
      <c r="M78" s="96" t="s">
        <v>320</v>
      </c>
      <c r="N78" s="96" t="s">
        <v>271</v>
      </c>
      <c r="O78" s="96" t="s">
        <v>340</v>
      </c>
      <c r="P78" s="96" t="s">
        <v>269</v>
      </c>
      <c r="Q78" s="96" t="s">
        <v>322</v>
      </c>
      <c r="R78" s="99" t="s">
        <v>323</v>
      </c>
      <c r="S78" s="96" t="s">
        <v>325</v>
      </c>
      <c r="T78" s="99" t="s">
        <v>324</v>
      </c>
      <c r="U78" s="96" t="s">
        <v>328</v>
      </c>
    </row>
    <row r="79" spans="2:52" s="33" customFormat="1" ht="13.2" customHeight="1" x14ac:dyDescent="0.25">
      <c r="B79" s="32"/>
      <c r="E79" s="34"/>
      <c r="F79" s="20"/>
      <c r="G79" s="20"/>
      <c r="H79" s="3"/>
      <c r="I79" s="44"/>
      <c r="J79" s="88"/>
      <c r="K79" s="20"/>
      <c r="L79" s="88"/>
      <c r="M79" s="20"/>
      <c r="N79" s="88"/>
      <c r="O79" s="88"/>
      <c r="P79" s="20"/>
      <c r="Q79" s="88"/>
      <c r="R79" s="88"/>
      <c r="S79" s="20"/>
      <c r="T79" s="20"/>
      <c r="U79" s="20"/>
      <c r="V79" s="3"/>
      <c r="W79" s="3"/>
      <c r="X79" s="3"/>
      <c r="Y79" s="3"/>
      <c r="Z79" s="3"/>
      <c r="AA79" s="3"/>
      <c r="AB79" s="3"/>
      <c r="AC79" s="3"/>
      <c r="AD79" s="3"/>
      <c r="AE79" s="3"/>
      <c r="AF79" s="3"/>
      <c r="AG79" s="3"/>
      <c r="AH79" s="3"/>
      <c r="AI79" s="3"/>
      <c r="AJ79" s="3"/>
    </row>
    <row r="80" spans="2:52" s="33" customFormat="1" ht="13.2" customHeight="1" x14ac:dyDescent="0.25">
      <c r="B80" s="37" t="s">
        <v>51</v>
      </c>
      <c r="C80" s="38"/>
      <c r="D80" s="38"/>
      <c r="E80" s="39"/>
      <c r="F80" s="66">
        <f>SUM(F82,F85,F89,F99,F108,F111)</f>
        <v>33</v>
      </c>
      <c r="G80" s="67">
        <f t="shared" ref="G80:U80" si="2">SUM(G82,G85,G89,G99,G108,G111)</f>
        <v>63</v>
      </c>
      <c r="H80" s="40">
        <f t="shared" si="2"/>
        <v>4</v>
      </c>
      <c r="I80" s="67">
        <f>SUM(I82,I85,I89,I99,I108,I111)</f>
        <v>4</v>
      </c>
      <c r="J80" s="67">
        <f t="shared" si="2"/>
        <v>4</v>
      </c>
      <c r="K80" s="67">
        <f t="shared" ref="K80" si="3">SUM(K82,K85,K89,K99,K108,K111)</f>
        <v>5</v>
      </c>
      <c r="L80" s="67">
        <f t="shared" si="2"/>
        <v>2</v>
      </c>
      <c r="M80" s="67">
        <f t="shared" si="2"/>
        <v>3</v>
      </c>
      <c r="N80" s="67">
        <f t="shared" ref="N80:T80" si="4">SUM(N82,N85,N89,N99,N108,N111)</f>
        <v>3</v>
      </c>
      <c r="O80" s="67">
        <f t="shared" si="4"/>
        <v>4</v>
      </c>
      <c r="P80" s="67">
        <f t="shared" si="4"/>
        <v>9</v>
      </c>
      <c r="Q80" s="67">
        <f t="shared" si="4"/>
        <v>8</v>
      </c>
      <c r="R80" s="67">
        <f t="shared" si="4"/>
        <v>2</v>
      </c>
      <c r="S80" s="67">
        <f t="shared" si="4"/>
        <v>4</v>
      </c>
      <c r="T80" s="67">
        <f t="shared" si="4"/>
        <v>3</v>
      </c>
      <c r="U80" s="67">
        <f t="shared" si="2"/>
        <v>8</v>
      </c>
      <c r="V80" s="3"/>
      <c r="W80" s="3"/>
      <c r="X80" s="3"/>
      <c r="Y80" s="3"/>
      <c r="Z80" s="3"/>
      <c r="AA80" s="3"/>
      <c r="AB80" s="3"/>
      <c r="AC80" s="3"/>
      <c r="AD80" s="3"/>
      <c r="AE80" s="3"/>
      <c r="AF80" s="3"/>
      <c r="AG80" s="3"/>
      <c r="AH80" s="3"/>
      <c r="AI80" s="3"/>
      <c r="AJ80" s="3"/>
    </row>
    <row r="81" spans="2:36" s="33" customFormat="1" ht="13.2" customHeight="1" x14ac:dyDescent="0.25">
      <c r="B81" s="32" t="s">
        <v>47</v>
      </c>
      <c r="E81" s="34"/>
      <c r="F81" s="20"/>
      <c r="G81" s="20"/>
      <c r="H81" s="3"/>
      <c r="I81" s="65"/>
      <c r="J81" s="65"/>
      <c r="K81" s="14"/>
      <c r="L81" s="65"/>
      <c r="M81" s="65"/>
      <c r="N81" s="65"/>
      <c r="O81" s="65"/>
      <c r="P81" s="20"/>
      <c r="Q81" s="65"/>
      <c r="R81" s="65"/>
      <c r="S81" s="20"/>
      <c r="T81" s="20"/>
      <c r="U81" s="14"/>
      <c r="V81" s="3"/>
      <c r="W81" s="3"/>
      <c r="X81" s="3"/>
      <c r="Y81" s="3"/>
      <c r="Z81" s="3"/>
      <c r="AA81" s="3"/>
      <c r="AB81" s="3"/>
      <c r="AC81" s="3"/>
      <c r="AD81" s="3"/>
      <c r="AE81" s="3"/>
      <c r="AF81" s="3"/>
      <c r="AG81" s="3"/>
      <c r="AH81" s="3"/>
      <c r="AI81" s="3"/>
      <c r="AJ81" s="3"/>
    </row>
    <row r="82" spans="2:36" s="33" customFormat="1" ht="13.2" customHeight="1" x14ac:dyDescent="0.25">
      <c r="B82" s="41" t="s">
        <v>52</v>
      </c>
      <c r="C82" s="42"/>
      <c r="D82" s="42"/>
      <c r="E82" s="34"/>
      <c r="F82" s="63">
        <f>+H13</f>
        <v>1</v>
      </c>
      <c r="G82" s="43">
        <f>G83</f>
        <v>2</v>
      </c>
      <c r="H82" s="34">
        <f t="shared" ref="H82:U82" si="5">H83</f>
        <v>0</v>
      </c>
      <c r="I82" s="43">
        <f>I83</f>
        <v>0</v>
      </c>
      <c r="J82" s="43">
        <f t="shared" si="5"/>
        <v>1</v>
      </c>
      <c r="K82" s="43">
        <f t="shared" ref="K82" si="6">K83</f>
        <v>0</v>
      </c>
      <c r="L82" s="43">
        <f t="shared" si="5"/>
        <v>0</v>
      </c>
      <c r="M82" s="43">
        <f t="shared" si="5"/>
        <v>0</v>
      </c>
      <c r="N82" s="43">
        <f>N83</f>
        <v>0</v>
      </c>
      <c r="O82" s="43">
        <f>O83</f>
        <v>0</v>
      </c>
      <c r="P82" s="43">
        <f>P83</f>
        <v>0</v>
      </c>
      <c r="Q82" s="43">
        <f t="shared" ref="Q82:S82" si="7">Q83</f>
        <v>0</v>
      </c>
      <c r="R82" s="43">
        <f t="shared" si="7"/>
        <v>0</v>
      </c>
      <c r="S82" s="43">
        <f t="shared" si="7"/>
        <v>0</v>
      </c>
      <c r="T82" s="43">
        <f>T83</f>
        <v>1</v>
      </c>
      <c r="U82" s="43">
        <f t="shared" si="5"/>
        <v>0</v>
      </c>
      <c r="V82" s="3"/>
      <c r="W82" s="3"/>
      <c r="X82" s="3"/>
      <c r="Y82" s="3"/>
      <c r="Z82" s="3"/>
      <c r="AA82" s="3"/>
      <c r="AB82" s="3"/>
      <c r="AC82" s="3"/>
      <c r="AD82" s="3"/>
      <c r="AE82" s="3"/>
      <c r="AF82" s="3"/>
      <c r="AG82" s="3"/>
      <c r="AH82" s="3"/>
      <c r="AI82" s="3"/>
      <c r="AJ82" s="3"/>
    </row>
    <row r="83" spans="2:36" s="31" customFormat="1" ht="13.2" outlineLevel="1" x14ac:dyDescent="0.25">
      <c r="B83" s="32" t="s">
        <v>108</v>
      </c>
      <c r="C83" s="47"/>
      <c r="D83" s="47"/>
      <c r="E83" s="47"/>
      <c r="F83" s="20"/>
      <c r="G83" s="191">
        <f>SUM(H83:U83)</f>
        <v>2</v>
      </c>
      <c r="H83" s="192"/>
      <c r="I83" s="191"/>
      <c r="J83" s="191">
        <v>1</v>
      </c>
      <c r="K83" s="191"/>
      <c r="L83" s="191"/>
      <c r="M83" s="191"/>
      <c r="N83" s="191"/>
      <c r="O83" s="191"/>
      <c r="P83" s="191"/>
      <c r="Q83" s="191"/>
      <c r="R83" s="191"/>
      <c r="S83" s="191"/>
      <c r="T83" s="191">
        <v>1</v>
      </c>
      <c r="U83" s="191"/>
      <c r="V83" s="3"/>
      <c r="W83" s="3"/>
      <c r="X83" s="3"/>
      <c r="Y83" s="3"/>
      <c r="Z83" s="3"/>
      <c r="AA83" s="3"/>
      <c r="AB83" s="3"/>
      <c r="AC83" s="4"/>
      <c r="AD83" s="4"/>
      <c r="AE83" s="4"/>
      <c r="AF83" s="4"/>
      <c r="AG83" s="4"/>
      <c r="AH83" s="4"/>
    </row>
    <row r="84" spans="2:36" s="31" customFormat="1" ht="13.2" x14ac:dyDescent="0.25">
      <c r="B84" s="32"/>
      <c r="C84" s="47"/>
      <c r="D84" s="47"/>
      <c r="E84" s="47"/>
      <c r="F84" s="20"/>
      <c r="G84" s="20"/>
      <c r="H84" s="3"/>
      <c r="I84" s="20"/>
      <c r="J84" s="20"/>
      <c r="K84" s="20"/>
      <c r="L84" s="20"/>
      <c r="M84" s="20"/>
      <c r="N84" s="20"/>
      <c r="O84" s="20"/>
      <c r="P84" s="20"/>
      <c r="Q84" s="20"/>
      <c r="R84" s="20"/>
      <c r="S84" s="20"/>
      <c r="T84" s="20"/>
      <c r="U84" s="20"/>
      <c r="V84" s="3"/>
      <c r="W84" s="3"/>
      <c r="X84" s="3"/>
      <c r="Y84" s="3"/>
      <c r="Z84" s="3"/>
      <c r="AA84" s="3"/>
      <c r="AB84" s="3"/>
      <c r="AC84" s="4"/>
      <c r="AD84" s="4"/>
      <c r="AE84" s="4"/>
      <c r="AF84" s="4"/>
      <c r="AG84" s="4"/>
      <c r="AH84" s="4"/>
    </row>
    <row r="85" spans="2:36" s="31" customFormat="1" ht="13.2" x14ac:dyDescent="0.25">
      <c r="B85" s="41" t="s">
        <v>57</v>
      </c>
      <c r="C85" s="47"/>
      <c r="D85" s="47"/>
      <c r="E85" s="3"/>
      <c r="F85" s="63">
        <f>H15</f>
        <v>2</v>
      </c>
      <c r="G85" s="43">
        <f>SUM(G86:G87)</f>
        <v>2</v>
      </c>
      <c r="H85" s="34">
        <f t="shared" ref="H85:U85" si="8">SUM(H86:H87)</f>
        <v>0</v>
      </c>
      <c r="I85" s="43">
        <f>SUM(I86:I87)</f>
        <v>0</v>
      </c>
      <c r="J85" s="43">
        <f t="shared" si="8"/>
        <v>1</v>
      </c>
      <c r="K85" s="43">
        <f t="shared" ref="K85" si="9">SUM(K86:K87)</f>
        <v>0</v>
      </c>
      <c r="L85" s="43">
        <f t="shared" si="8"/>
        <v>0</v>
      </c>
      <c r="M85" s="43">
        <f t="shared" si="8"/>
        <v>0</v>
      </c>
      <c r="N85" s="43">
        <f>SUM(N86:N87)</f>
        <v>0</v>
      </c>
      <c r="O85" s="43">
        <f>SUM(O86:O87)</f>
        <v>0</v>
      </c>
      <c r="P85" s="43">
        <f>SUM(P86:P87)</f>
        <v>1</v>
      </c>
      <c r="Q85" s="43">
        <f t="shared" ref="Q85:S85" si="10">SUM(Q86:Q87)</f>
        <v>0</v>
      </c>
      <c r="R85" s="43">
        <f t="shared" ref="R85" si="11">SUM(R86:R87)</f>
        <v>0</v>
      </c>
      <c r="S85" s="43">
        <f t="shared" si="10"/>
        <v>0</v>
      </c>
      <c r="T85" s="43">
        <f>SUM(T86:T87)</f>
        <v>0</v>
      </c>
      <c r="U85" s="43">
        <f t="shared" si="8"/>
        <v>0</v>
      </c>
      <c r="V85" s="3"/>
      <c r="W85" s="3"/>
      <c r="X85" s="3"/>
      <c r="Y85" s="3"/>
      <c r="Z85" s="3"/>
      <c r="AA85" s="3"/>
      <c r="AB85" s="4"/>
      <c r="AC85" s="4"/>
      <c r="AD85" s="4"/>
      <c r="AE85" s="4"/>
      <c r="AF85" s="4"/>
      <c r="AG85" s="4"/>
    </row>
    <row r="86" spans="2:36" s="31" customFormat="1" ht="13.2" outlineLevel="1" x14ac:dyDescent="0.25">
      <c r="B86" s="32" t="s">
        <v>109</v>
      </c>
      <c r="C86" s="47"/>
      <c r="D86" s="47"/>
      <c r="E86" s="3"/>
      <c r="F86" s="20"/>
      <c r="G86" s="194">
        <f>SUM(H86:U86)</f>
        <v>1</v>
      </c>
      <c r="H86" s="208"/>
      <c r="I86" s="194"/>
      <c r="J86" s="194"/>
      <c r="K86" s="194"/>
      <c r="L86" s="194"/>
      <c r="M86" s="194"/>
      <c r="N86" s="194"/>
      <c r="O86" s="194"/>
      <c r="P86" s="194">
        <v>1</v>
      </c>
      <c r="Q86" s="194"/>
      <c r="R86" s="194"/>
      <c r="S86" s="194"/>
      <c r="T86" s="194"/>
      <c r="U86" s="194"/>
      <c r="V86" s="3"/>
      <c r="W86" s="3"/>
      <c r="X86" s="3"/>
      <c r="Y86" s="3"/>
      <c r="Z86" s="3"/>
      <c r="AA86" s="3"/>
      <c r="AB86" s="4"/>
      <c r="AC86" s="4" t="s">
        <v>47</v>
      </c>
      <c r="AD86" s="4"/>
      <c r="AE86" s="4"/>
      <c r="AF86" s="4"/>
      <c r="AG86" s="4"/>
    </row>
    <row r="87" spans="2:36" s="107" customFormat="1" ht="13.2" outlineLevel="1" x14ac:dyDescent="0.25">
      <c r="B87" s="32" t="s">
        <v>110</v>
      </c>
      <c r="C87" s="47"/>
      <c r="D87" s="47"/>
      <c r="E87" s="3"/>
      <c r="F87" s="20"/>
      <c r="G87" s="195">
        <f>SUM(H87:U87)</f>
        <v>1</v>
      </c>
      <c r="H87" s="209"/>
      <c r="I87" s="195"/>
      <c r="J87" s="195">
        <v>1</v>
      </c>
      <c r="K87" s="195"/>
      <c r="L87" s="195"/>
      <c r="M87" s="195"/>
      <c r="N87" s="195"/>
      <c r="O87" s="195"/>
      <c r="P87" s="195"/>
      <c r="Q87" s="195"/>
      <c r="R87" s="195"/>
      <c r="S87" s="195"/>
      <c r="T87" s="195"/>
      <c r="U87" s="195"/>
      <c r="V87" s="3"/>
      <c r="W87" s="3"/>
      <c r="X87" s="3"/>
      <c r="Y87" s="3"/>
      <c r="Z87" s="3"/>
      <c r="AA87" s="3"/>
      <c r="AB87" s="108"/>
      <c r="AC87" s="108"/>
      <c r="AD87" s="108"/>
      <c r="AE87" s="108"/>
      <c r="AF87" s="108"/>
      <c r="AG87" s="108"/>
    </row>
    <row r="88" spans="2:36" s="31" customFormat="1" ht="13.2" x14ac:dyDescent="0.25">
      <c r="B88" s="32"/>
      <c r="C88" s="47"/>
      <c r="D88" s="47"/>
      <c r="E88" s="3"/>
      <c r="F88" s="20"/>
      <c r="G88" s="20"/>
      <c r="H88" s="3"/>
      <c r="I88" s="20"/>
      <c r="J88" s="20"/>
      <c r="K88" s="20"/>
      <c r="L88" s="20"/>
      <c r="M88" s="20"/>
      <c r="N88" s="20"/>
      <c r="O88" s="20"/>
      <c r="P88" s="20"/>
      <c r="Q88" s="20"/>
      <c r="R88" s="20"/>
      <c r="S88" s="20"/>
      <c r="T88" s="20"/>
      <c r="U88" s="20"/>
      <c r="V88" s="3"/>
      <c r="W88" s="3"/>
      <c r="X88" s="3"/>
      <c r="Y88" s="3"/>
      <c r="Z88" s="3"/>
      <c r="AA88" s="3"/>
      <c r="AB88" s="4"/>
      <c r="AC88" s="4"/>
      <c r="AD88" s="4"/>
      <c r="AE88" s="4"/>
      <c r="AF88" s="4"/>
      <c r="AG88" s="4"/>
    </row>
    <row r="89" spans="2:36" s="107" customFormat="1" ht="13.2" x14ac:dyDescent="0.25">
      <c r="B89" s="41" t="s">
        <v>60</v>
      </c>
      <c r="C89" s="19"/>
      <c r="D89" s="19"/>
      <c r="E89" s="19"/>
      <c r="F89" s="171">
        <f>H18</f>
        <v>8</v>
      </c>
      <c r="G89" s="172">
        <f t="shared" ref="G89:U89" si="12">SUM(G90:G97)</f>
        <v>16</v>
      </c>
      <c r="H89" s="231">
        <f t="shared" si="12"/>
        <v>0</v>
      </c>
      <c r="I89" s="172">
        <f>SUM(I90:I97)</f>
        <v>1</v>
      </c>
      <c r="J89" s="172">
        <f t="shared" si="12"/>
        <v>0</v>
      </c>
      <c r="K89" s="172">
        <f>SUM(K90:K97)</f>
        <v>1</v>
      </c>
      <c r="L89" s="172">
        <f t="shared" si="12"/>
        <v>1</v>
      </c>
      <c r="M89" s="172">
        <f t="shared" si="12"/>
        <v>0</v>
      </c>
      <c r="N89" s="172">
        <f t="shared" ref="N89:T89" si="13">SUM(N90:N97)</f>
        <v>1</v>
      </c>
      <c r="O89" s="172">
        <f t="shared" si="13"/>
        <v>0</v>
      </c>
      <c r="P89" s="172">
        <f t="shared" si="13"/>
        <v>3</v>
      </c>
      <c r="Q89" s="172">
        <f t="shared" si="13"/>
        <v>4</v>
      </c>
      <c r="R89" s="172">
        <f t="shared" si="13"/>
        <v>0</v>
      </c>
      <c r="S89" s="172">
        <f t="shared" si="13"/>
        <v>0</v>
      </c>
      <c r="T89" s="172">
        <f t="shared" si="13"/>
        <v>2</v>
      </c>
      <c r="U89" s="172">
        <f t="shared" si="12"/>
        <v>3</v>
      </c>
    </row>
    <row r="90" spans="2:36" s="107" customFormat="1" ht="13.2" outlineLevel="1" x14ac:dyDescent="0.25">
      <c r="B90" s="32" t="s">
        <v>111</v>
      </c>
      <c r="C90" s="19"/>
      <c r="D90" s="19"/>
      <c r="E90" s="19"/>
      <c r="F90" s="168"/>
      <c r="G90" s="194">
        <f t="shared" ref="G90:G97" si="14">SUM(H90:U90)</f>
        <v>4</v>
      </c>
      <c r="H90" s="208"/>
      <c r="I90" s="194">
        <v>1</v>
      </c>
      <c r="J90" s="194"/>
      <c r="K90" s="194">
        <v>1</v>
      </c>
      <c r="L90" s="194"/>
      <c r="M90" s="194"/>
      <c r="N90" s="194"/>
      <c r="O90" s="194"/>
      <c r="P90" s="194">
        <v>1</v>
      </c>
      <c r="Q90" s="194">
        <v>1</v>
      </c>
      <c r="R90" s="194"/>
      <c r="S90" s="194"/>
      <c r="T90" s="194"/>
      <c r="U90" s="194"/>
    </row>
    <row r="91" spans="2:36" s="107" customFormat="1" ht="13.2" outlineLevel="1" x14ac:dyDescent="0.25">
      <c r="B91" s="32" t="s">
        <v>112</v>
      </c>
      <c r="C91" s="19"/>
      <c r="D91" s="19"/>
      <c r="E91" s="19"/>
      <c r="F91" s="168"/>
      <c r="G91" s="124">
        <f t="shared" si="14"/>
        <v>1</v>
      </c>
      <c r="H91" s="45"/>
      <c r="I91" s="124"/>
      <c r="J91" s="124"/>
      <c r="K91" s="124"/>
      <c r="L91" s="124"/>
      <c r="M91" s="124"/>
      <c r="N91" s="124"/>
      <c r="O91" s="124"/>
      <c r="P91" s="124"/>
      <c r="Q91" s="124">
        <v>1</v>
      </c>
      <c r="R91" s="124"/>
      <c r="S91" s="124"/>
      <c r="T91" s="124"/>
      <c r="U91" s="124"/>
    </row>
    <row r="92" spans="2:36" s="107" customFormat="1" ht="13.2" outlineLevel="1" x14ac:dyDescent="0.25">
      <c r="B92" s="32" t="s">
        <v>113</v>
      </c>
      <c r="C92" s="19"/>
      <c r="D92" s="19"/>
      <c r="E92" s="19"/>
      <c r="F92" s="168"/>
      <c r="G92" s="124">
        <f t="shared" si="14"/>
        <v>1</v>
      </c>
      <c r="H92" s="45"/>
      <c r="I92" s="124"/>
      <c r="J92" s="124"/>
      <c r="K92" s="124"/>
      <c r="L92" s="124"/>
      <c r="M92" s="124"/>
      <c r="N92" s="124"/>
      <c r="O92" s="124"/>
      <c r="P92" s="124"/>
      <c r="Q92" s="124"/>
      <c r="R92" s="124"/>
      <c r="S92" s="124"/>
      <c r="T92" s="124">
        <v>1</v>
      </c>
      <c r="U92" s="124"/>
    </row>
    <row r="93" spans="2:36" s="107" customFormat="1" ht="13.2" outlineLevel="1" x14ac:dyDescent="0.25">
      <c r="B93" s="32" t="s">
        <v>114</v>
      </c>
      <c r="C93" s="19"/>
      <c r="D93" s="19"/>
      <c r="E93" s="19"/>
      <c r="F93" s="168"/>
      <c r="G93" s="124">
        <f t="shared" si="14"/>
        <v>4</v>
      </c>
      <c r="H93" s="45"/>
      <c r="I93" s="124"/>
      <c r="J93" s="124"/>
      <c r="K93" s="124"/>
      <c r="L93" s="124">
        <v>1</v>
      </c>
      <c r="M93" s="124"/>
      <c r="N93" s="124"/>
      <c r="O93" s="124"/>
      <c r="P93" s="124">
        <v>1</v>
      </c>
      <c r="Q93" s="124"/>
      <c r="R93" s="124"/>
      <c r="S93" s="124"/>
      <c r="T93" s="124">
        <v>1</v>
      </c>
      <c r="U93" s="124">
        <v>1</v>
      </c>
    </row>
    <row r="94" spans="2:36" s="107" customFormat="1" ht="13.2" outlineLevel="1" x14ac:dyDescent="0.25">
      <c r="B94" s="32" t="s">
        <v>115</v>
      </c>
      <c r="C94" s="19"/>
      <c r="D94" s="19"/>
      <c r="E94" s="19"/>
      <c r="F94" s="168"/>
      <c r="G94" s="124">
        <f t="shared" si="14"/>
        <v>1</v>
      </c>
      <c r="H94" s="45"/>
      <c r="I94" s="124"/>
      <c r="J94" s="124"/>
      <c r="K94" s="124"/>
      <c r="L94" s="124"/>
      <c r="M94" s="124"/>
      <c r="N94" s="124"/>
      <c r="O94" s="124"/>
      <c r="P94" s="124"/>
      <c r="Q94" s="124">
        <v>1</v>
      </c>
      <c r="R94" s="124"/>
      <c r="S94" s="124"/>
      <c r="T94" s="124"/>
      <c r="U94" s="124"/>
    </row>
    <row r="95" spans="2:36" s="107" customFormat="1" ht="13.2" outlineLevel="1" x14ac:dyDescent="0.25">
      <c r="B95" s="32" t="s">
        <v>117</v>
      </c>
      <c r="C95" s="19"/>
      <c r="D95" s="19"/>
      <c r="E95" s="19"/>
      <c r="F95" s="168"/>
      <c r="G95" s="124">
        <f t="shared" si="14"/>
        <v>2</v>
      </c>
      <c r="H95" s="45"/>
      <c r="I95" s="124"/>
      <c r="J95" s="124"/>
      <c r="K95" s="124"/>
      <c r="L95" s="124"/>
      <c r="M95" s="124"/>
      <c r="N95" s="124"/>
      <c r="O95" s="124"/>
      <c r="P95" s="124">
        <v>1</v>
      </c>
      <c r="Q95" s="124">
        <v>1</v>
      </c>
      <c r="R95" s="124"/>
      <c r="S95" s="124"/>
      <c r="T95" s="124"/>
      <c r="U95" s="124"/>
    </row>
    <row r="96" spans="2:36" s="107" customFormat="1" ht="13.2" outlineLevel="1" x14ac:dyDescent="0.25">
      <c r="B96" s="32" t="s">
        <v>118</v>
      </c>
      <c r="C96" s="19"/>
      <c r="D96" s="19"/>
      <c r="E96" s="19"/>
      <c r="F96" s="168"/>
      <c r="G96" s="124">
        <f t="shared" si="14"/>
        <v>2</v>
      </c>
      <c r="H96" s="45"/>
      <c r="I96" s="124"/>
      <c r="J96" s="124"/>
      <c r="K96" s="124"/>
      <c r="L96" s="124"/>
      <c r="M96" s="124"/>
      <c r="N96" s="124">
        <v>1</v>
      </c>
      <c r="O96" s="124"/>
      <c r="P96" s="124"/>
      <c r="Q96" s="124"/>
      <c r="R96" s="124"/>
      <c r="S96" s="124"/>
      <c r="T96" s="124"/>
      <c r="U96" s="124">
        <v>1</v>
      </c>
    </row>
    <row r="97" spans="2:21" s="107" customFormat="1" ht="13.2" outlineLevel="1" x14ac:dyDescent="0.25">
      <c r="B97" s="32" t="s">
        <v>119</v>
      </c>
      <c r="C97" s="19"/>
      <c r="D97" s="19"/>
      <c r="E97" s="19"/>
      <c r="F97" s="168"/>
      <c r="G97" s="195">
        <f t="shared" si="14"/>
        <v>1</v>
      </c>
      <c r="H97" s="209"/>
      <c r="I97" s="195"/>
      <c r="J97" s="195"/>
      <c r="K97" s="195"/>
      <c r="L97" s="195"/>
      <c r="M97" s="195"/>
      <c r="N97" s="195"/>
      <c r="O97" s="195"/>
      <c r="P97" s="195"/>
      <c r="Q97" s="195"/>
      <c r="R97" s="195"/>
      <c r="S97" s="195"/>
      <c r="T97" s="195"/>
      <c r="U97" s="195">
        <v>1</v>
      </c>
    </row>
    <row r="98" spans="2:21" s="31" customFormat="1" ht="13.2" x14ac:dyDescent="0.25">
      <c r="B98" s="32"/>
      <c r="C98" s="33"/>
      <c r="D98" s="33"/>
      <c r="E98" s="33"/>
      <c r="F98" s="44"/>
      <c r="G98" s="20"/>
      <c r="H98" s="3"/>
      <c r="I98" s="20"/>
      <c r="J98" s="20"/>
      <c r="K98" s="20"/>
      <c r="L98" s="20"/>
      <c r="M98" s="20"/>
      <c r="N98" s="20"/>
      <c r="O98" s="20"/>
      <c r="P98" s="20"/>
      <c r="Q98" s="20"/>
      <c r="R98" s="20"/>
      <c r="S98" s="20"/>
      <c r="T98" s="20"/>
      <c r="U98" s="20"/>
    </row>
    <row r="99" spans="2:21" s="107" customFormat="1" ht="13.2" x14ac:dyDescent="0.25">
      <c r="B99" s="41" t="s">
        <v>40</v>
      </c>
      <c r="C99" s="19"/>
      <c r="D99" s="19"/>
      <c r="E99" s="19"/>
      <c r="F99" s="171">
        <f>H28</f>
        <v>7</v>
      </c>
      <c r="G99" s="172">
        <f t="shared" ref="G99:U99" si="15">SUM(G100:G106)</f>
        <v>12</v>
      </c>
      <c r="H99" s="231">
        <f t="shared" si="15"/>
        <v>2</v>
      </c>
      <c r="I99" s="172">
        <f>SUM(I100:I106)</f>
        <v>1</v>
      </c>
      <c r="J99" s="172">
        <f t="shared" si="15"/>
        <v>2</v>
      </c>
      <c r="K99" s="172">
        <f>SUM(K100:K106)</f>
        <v>1</v>
      </c>
      <c r="L99" s="172">
        <f t="shared" si="15"/>
        <v>0</v>
      </c>
      <c r="M99" s="172">
        <f t="shared" si="15"/>
        <v>0</v>
      </c>
      <c r="N99" s="172">
        <f t="shared" ref="N99:T99" si="16">SUM(N100:N106)</f>
        <v>0</v>
      </c>
      <c r="O99" s="172">
        <f t="shared" si="16"/>
        <v>1</v>
      </c>
      <c r="P99" s="172">
        <f t="shared" si="16"/>
        <v>2</v>
      </c>
      <c r="Q99" s="172">
        <f t="shared" si="16"/>
        <v>0</v>
      </c>
      <c r="R99" s="172">
        <f t="shared" si="16"/>
        <v>0</v>
      </c>
      <c r="S99" s="172">
        <f t="shared" si="16"/>
        <v>1</v>
      </c>
      <c r="T99" s="172">
        <f t="shared" si="16"/>
        <v>0</v>
      </c>
      <c r="U99" s="172">
        <f t="shared" si="15"/>
        <v>2</v>
      </c>
    </row>
    <row r="100" spans="2:21" s="107" customFormat="1" ht="13.2" outlineLevel="1" x14ac:dyDescent="0.25">
      <c r="B100" s="32" t="s">
        <v>120</v>
      </c>
      <c r="C100" s="19"/>
      <c r="D100" s="19"/>
      <c r="E100" s="19"/>
      <c r="F100" s="114"/>
      <c r="G100" s="194">
        <f t="shared" ref="G100:G106" si="17">SUM(H100:U100)</f>
        <v>2</v>
      </c>
      <c r="H100" s="208">
        <v>1</v>
      </c>
      <c r="I100" s="194"/>
      <c r="J100" s="194">
        <v>1</v>
      </c>
      <c r="K100" s="194"/>
      <c r="L100" s="194"/>
      <c r="M100" s="194"/>
      <c r="N100" s="194"/>
      <c r="O100" s="194"/>
      <c r="P100" s="194"/>
      <c r="Q100" s="194"/>
      <c r="R100" s="194"/>
      <c r="S100" s="194"/>
      <c r="T100" s="194"/>
      <c r="U100" s="194"/>
    </row>
    <row r="101" spans="2:21" s="107" customFormat="1" ht="13.2" outlineLevel="1" x14ac:dyDescent="0.25">
      <c r="B101" s="32" t="s">
        <v>123</v>
      </c>
      <c r="C101" s="19"/>
      <c r="D101" s="19"/>
      <c r="E101" s="19"/>
      <c r="F101" s="114"/>
      <c r="G101" s="124">
        <f t="shared" si="17"/>
        <v>1</v>
      </c>
      <c r="H101" s="45"/>
      <c r="I101" s="124"/>
      <c r="J101" s="124">
        <v>1</v>
      </c>
      <c r="K101" s="124"/>
      <c r="L101" s="124"/>
      <c r="M101" s="124"/>
      <c r="N101" s="124"/>
      <c r="O101" s="124"/>
      <c r="P101" s="124"/>
      <c r="Q101" s="124"/>
      <c r="R101" s="124"/>
      <c r="S101" s="124"/>
      <c r="T101" s="124"/>
      <c r="U101" s="124"/>
    </row>
    <row r="102" spans="2:21" s="107" customFormat="1" ht="13.2" outlineLevel="1" x14ac:dyDescent="0.25">
      <c r="B102" s="32" t="s">
        <v>124</v>
      </c>
      <c r="C102" s="19"/>
      <c r="D102" s="19"/>
      <c r="E102" s="19"/>
      <c r="F102" s="114"/>
      <c r="G102" s="124">
        <f t="shared" si="17"/>
        <v>1</v>
      </c>
      <c r="H102" s="45"/>
      <c r="I102" s="124">
        <v>1</v>
      </c>
      <c r="J102" s="124"/>
      <c r="K102" s="124"/>
      <c r="L102" s="124"/>
      <c r="M102" s="124"/>
      <c r="N102" s="124"/>
      <c r="O102" s="124"/>
      <c r="P102" s="124"/>
      <c r="Q102" s="124"/>
      <c r="R102" s="124"/>
      <c r="S102" s="124"/>
      <c r="T102" s="124"/>
      <c r="U102" s="124"/>
    </row>
    <row r="103" spans="2:21" s="107" customFormat="1" ht="13.2" outlineLevel="1" x14ac:dyDescent="0.25">
      <c r="B103" s="32" t="s">
        <v>125</v>
      </c>
      <c r="C103" s="19"/>
      <c r="D103" s="19"/>
      <c r="E103" s="19"/>
      <c r="F103" s="114"/>
      <c r="G103" s="124">
        <f t="shared" si="17"/>
        <v>2</v>
      </c>
      <c r="H103" s="45"/>
      <c r="I103" s="124"/>
      <c r="J103" s="124"/>
      <c r="K103" s="124"/>
      <c r="L103" s="124"/>
      <c r="M103" s="124"/>
      <c r="N103" s="124"/>
      <c r="O103" s="124">
        <v>1</v>
      </c>
      <c r="P103" s="124">
        <v>1</v>
      </c>
      <c r="Q103" s="124"/>
      <c r="R103" s="124"/>
      <c r="S103" s="124"/>
      <c r="T103" s="124"/>
      <c r="U103" s="124"/>
    </row>
    <row r="104" spans="2:21" s="107" customFormat="1" ht="13.2" outlineLevel="1" x14ac:dyDescent="0.25">
      <c r="B104" s="32" t="s">
        <v>127</v>
      </c>
      <c r="C104" s="19"/>
      <c r="D104" s="19"/>
      <c r="E104" s="19"/>
      <c r="F104" s="114"/>
      <c r="G104" s="124">
        <f t="shared" si="17"/>
        <v>3</v>
      </c>
      <c r="H104" s="45"/>
      <c r="I104" s="124"/>
      <c r="J104" s="124"/>
      <c r="K104" s="124">
        <v>1</v>
      </c>
      <c r="L104" s="124"/>
      <c r="M104" s="124"/>
      <c r="N104" s="124"/>
      <c r="O104" s="124"/>
      <c r="P104" s="124"/>
      <c r="Q104" s="124"/>
      <c r="R104" s="124"/>
      <c r="S104" s="124">
        <v>1</v>
      </c>
      <c r="T104" s="124"/>
      <c r="U104" s="124">
        <v>1</v>
      </c>
    </row>
    <row r="105" spans="2:21" s="107" customFormat="1" ht="13.2" outlineLevel="1" x14ac:dyDescent="0.25">
      <c r="B105" s="32" t="s">
        <v>128</v>
      </c>
      <c r="C105" s="19"/>
      <c r="D105" s="19"/>
      <c r="E105" s="19"/>
      <c r="F105" s="114"/>
      <c r="G105" s="124">
        <f t="shared" si="17"/>
        <v>1</v>
      </c>
      <c r="H105" s="45">
        <v>1</v>
      </c>
      <c r="I105" s="124"/>
      <c r="J105" s="124"/>
      <c r="K105" s="124"/>
      <c r="L105" s="124"/>
      <c r="M105" s="124"/>
      <c r="N105" s="124"/>
      <c r="O105" s="124"/>
      <c r="P105" s="124"/>
      <c r="Q105" s="124"/>
      <c r="R105" s="124"/>
      <c r="S105" s="124"/>
      <c r="T105" s="124"/>
      <c r="U105" s="124"/>
    </row>
    <row r="106" spans="2:21" s="107" customFormat="1" ht="13.2" outlineLevel="1" x14ac:dyDescent="0.25">
      <c r="B106" s="32" t="s">
        <v>129</v>
      </c>
      <c r="C106" s="19"/>
      <c r="D106" s="19"/>
      <c r="E106" s="19"/>
      <c r="F106" s="114"/>
      <c r="G106" s="195">
        <f t="shared" si="17"/>
        <v>2</v>
      </c>
      <c r="H106" s="209"/>
      <c r="I106" s="195"/>
      <c r="J106" s="195"/>
      <c r="K106" s="195"/>
      <c r="L106" s="195"/>
      <c r="M106" s="195"/>
      <c r="N106" s="195"/>
      <c r="O106" s="195"/>
      <c r="P106" s="195">
        <v>1</v>
      </c>
      <c r="Q106" s="195"/>
      <c r="R106" s="195"/>
      <c r="S106" s="195"/>
      <c r="T106" s="195"/>
      <c r="U106" s="195">
        <v>1</v>
      </c>
    </row>
    <row r="107" spans="2:21" s="31" customFormat="1" ht="13.2" x14ac:dyDescent="0.25">
      <c r="B107" s="32"/>
      <c r="C107" s="33"/>
      <c r="D107" s="33"/>
      <c r="E107" s="33"/>
      <c r="F107" s="20"/>
      <c r="G107" s="20"/>
      <c r="H107" s="3"/>
      <c r="I107" s="20"/>
      <c r="J107" s="20"/>
      <c r="K107" s="20"/>
      <c r="L107" s="20"/>
      <c r="M107" s="20"/>
      <c r="N107" s="20"/>
      <c r="O107" s="20"/>
      <c r="P107" s="20"/>
      <c r="Q107" s="20"/>
      <c r="R107" s="20"/>
      <c r="S107" s="20"/>
      <c r="T107" s="20"/>
      <c r="U107" s="20"/>
    </row>
    <row r="108" spans="2:21" s="107" customFormat="1" ht="13.2" x14ac:dyDescent="0.25">
      <c r="B108" s="41" t="s">
        <v>80</v>
      </c>
      <c r="C108" s="19"/>
      <c r="D108" s="19"/>
      <c r="E108" s="19"/>
      <c r="F108" s="171">
        <f>H40</f>
        <v>1</v>
      </c>
      <c r="G108" s="172">
        <f t="shared" ref="G108:U108" si="18">SUM(G109:G109)</f>
        <v>2</v>
      </c>
      <c r="H108" s="231">
        <f t="shared" si="18"/>
        <v>0</v>
      </c>
      <c r="I108" s="172">
        <f>SUM(I109:I109)</f>
        <v>0</v>
      </c>
      <c r="J108" s="172">
        <f t="shared" si="18"/>
        <v>0</v>
      </c>
      <c r="K108" s="172">
        <f>SUM(K109:K109)</f>
        <v>0</v>
      </c>
      <c r="L108" s="172">
        <f t="shared" si="18"/>
        <v>0</v>
      </c>
      <c r="M108" s="172">
        <f t="shared" si="18"/>
        <v>0</v>
      </c>
      <c r="N108" s="172">
        <f t="shared" ref="N108:T108" si="19">SUM(N109:N109)</f>
        <v>0</v>
      </c>
      <c r="O108" s="172">
        <f t="shared" si="19"/>
        <v>0</v>
      </c>
      <c r="P108" s="172">
        <f t="shared" si="19"/>
        <v>1</v>
      </c>
      <c r="Q108" s="172">
        <f t="shared" si="19"/>
        <v>0</v>
      </c>
      <c r="R108" s="172">
        <f t="shared" si="19"/>
        <v>1</v>
      </c>
      <c r="S108" s="172">
        <f t="shared" si="19"/>
        <v>0</v>
      </c>
      <c r="T108" s="172">
        <f t="shared" si="19"/>
        <v>0</v>
      </c>
      <c r="U108" s="172">
        <f t="shared" si="18"/>
        <v>0</v>
      </c>
    </row>
    <row r="109" spans="2:21" s="107" customFormat="1" ht="13.2" outlineLevel="1" x14ac:dyDescent="0.25">
      <c r="B109" s="32" t="s">
        <v>132</v>
      </c>
      <c r="C109" s="19"/>
      <c r="D109" s="19"/>
      <c r="E109" s="19"/>
      <c r="F109" s="114"/>
      <c r="G109" s="191">
        <f>SUM(H109:U109)</f>
        <v>2</v>
      </c>
      <c r="H109" s="192"/>
      <c r="I109" s="191"/>
      <c r="J109" s="191"/>
      <c r="K109" s="191"/>
      <c r="L109" s="191"/>
      <c r="M109" s="191"/>
      <c r="N109" s="191"/>
      <c r="O109" s="191"/>
      <c r="P109" s="191">
        <v>1</v>
      </c>
      <c r="Q109" s="191"/>
      <c r="R109" s="191">
        <v>1</v>
      </c>
      <c r="S109" s="191"/>
      <c r="T109" s="191"/>
      <c r="U109" s="191"/>
    </row>
    <row r="110" spans="2:21" s="31" customFormat="1" ht="13.2" x14ac:dyDescent="0.25">
      <c r="B110" s="32"/>
      <c r="C110" s="33"/>
      <c r="D110" s="33"/>
      <c r="E110" s="33"/>
      <c r="F110" s="20"/>
      <c r="G110" s="20"/>
      <c r="H110" s="3"/>
      <c r="I110" s="20"/>
      <c r="J110" s="20"/>
      <c r="K110" s="20"/>
      <c r="L110" s="20"/>
      <c r="M110" s="20"/>
      <c r="N110" s="20"/>
      <c r="O110" s="20"/>
      <c r="P110" s="20"/>
      <c r="Q110" s="20"/>
      <c r="R110" s="20"/>
      <c r="S110" s="20"/>
      <c r="T110" s="20"/>
      <c r="U110" s="20"/>
    </row>
    <row r="111" spans="2:21" s="107" customFormat="1" ht="13.2" x14ac:dyDescent="0.25">
      <c r="B111" s="41" t="s">
        <v>85</v>
      </c>
      <c r="C111" s="19"/>
      <c r="D111" s="19"/>
      <c r="E111" s="19"/>
      <c r="F111" s="171">
        <f>H45</f>
        <v>14</v>
      </c>
      <c r="G111" s="172">
        <f t="shared" ref="G111:U111" si="20">SUM(G112:G125)</f>
        <v>29</v>
      </c>
      <c r="H111" s="231">
        <f t="shared" si="20"/>
        <v>2</v>
      </c>
      <c r="I111" s="172">
        <f t="shared" si="20"/>
        <v>2</v>
      </c>
      <c r="J111" s="172">
        <f t="shared" si="20"/>
        <v>0</v>
      </c>
      <c r="K111" s="172">
        <f t="shared" si="20"/>
        <v>3</v>
      </c>
      <c r="L111" s="172">
        <f t="shared" si="20"/>
        <v>1</v>
      </c>
      <c r="M111" s="172">
        <f t="shared" si="20"/>
        <v>3</v>
      </c>
      <c r="N111" s="172">
        <f t="shared" si="20"/>
        <v>2</v>
      </c>
      <c r="O111" s="172">
        <f>SUM(O112:O125)</f>
        <v>3</v>
      </c>
      <c r="P111" s="172">
        <f>SUM(P112:P125)</f>
        <v>2</v>
      </c>
      <c r="Q111" s="172">
        <f t="shared" si="20"/>
        <v>4</v>
      </c>
      <c r="R111" s="172">
        <f t="shared" ref="R111" si="21">SUM(R112:R125)</f>
        <v>1</v>
      </c>
      <c r="S111" s="172">
        <f t="shared" si="20"/>
        <v>3</v>
      </c>
      <c r="T111" s="172">
        <f>SUM(T112:T125)</f>
        <v>0</v>
      </c>
      <c r="U111" s="172">
        <f t="shared" si="20"/>
        <v>3</v>
      </c>
    </row>
    <row r="112" spans="2:21" s="107" customFormat="1" ht="13.2" outlineLevel="1" x14ac:dyDescent="0.25">
      <c r="B112" s="32" t="s">
        <v>135</v>
      </c>
      <c r="C112" s="19"/>
      <c r="D112" s="19"/>
      <c r="E112" s="19"/>
      <c r="F112" s="114"/>
      <c r="G112" s="194">
        <f t="shared" ref="G112:G125" si="22">SUM(H112:U112)</f>
        <v>2</v>
      </c>
      <c r="H112" s="208"/>
      <c r="I112" s="194"/>
      <c r="J112" s="194"/>
      <c r="K112" s="194">
        <v>1</v>
      </c>
      <c r="L112" s="194"/>
      <c r="M112" s="194"/>
      <c r="N112" s="194"/>
      <c r="O112" s="194"/>
      <c r="P112" s="194"/>
      <c r="Q112" s="194">
        <v>1</v>
      </c>
      <c r="R112" s="194"/>
      <c r="S112" s="194"/>
      <c r="T112" s="194"/>
      <c r="U112" s="194"/>
    </row>
    <row r="113" spans="2:21" s="107" customFormat="1" ht="13.2" outlineLevel="1" x14ac:dyDescent="0.25">
      <c r="B113" s="32" t="s">
        <v>136</v>
      </c>
      <c r="C113" s="19"/>
      <c r="D113" s="19"/>
      <c r="E113" s="19"/>
      <c r="F113" s="114"/>
      <c r="G113" s="124">
        <f t="shared" si="22"/>
        <v>6</v>
      </c>
      <c r="H113" s="45">
        <v>1</v>
      </c>
      <c r="I113" s="124">
        <v>1</v>
      </c>
      <c r="J113" s="124"/>
      <c r="K113" s="124"/>
      <c r="L113" s="124"/>
      <c r="M113" s="124">
        <v>1</v>
      </c>
      <c r="N113" s="124"/>
      <c r="O113" s="124">
        <v>1</v>
      </c>
      <c r="P113" s="124"/>
      <c r="Q113" s="124">
        <v>1</v>
      </c>
      <c r="R113" s="124"/>
      <c r="S113" s="124"/>
      <c r="T113" s="124"/>
      <c r="U113" s="124">
        <v>1</v>
      </c>
    </row>
    <row r="114" spans="2:21" s="107" customFormat="1" ht="13.2" outlineLevel="1" x14ac:dyDescent="0.25">
      <c r="B114" s="32" t="s">
        <v>138</v>
      </c>
      <c r="C114" s="19"/>
      <c r="D114" s="19"/>
      <c r="E114" s="19"/>
      <c r="F114" s="114"/>
      <c r="G114" s="124">
        <f t="shared" si="22"/>
        <v>1</v>
      </c>
      <c r="H114" s="45"/>
      <c r="I114" s="124"/>
      <c r="J114" s="124"/>
      <c r="K114" s="124"/>
      <c r="L114" s="124"/>
      <c r="M114" s="124"/>
      <c r="N114" s="124"/>
      <c r="O114" s="124"/>
      <c r="P114" s="124">
        <v>1</v>
      </c>
      <c r="Q114" s="124"/>
      <c r="R114" s="124"/>
      <c r="S114" s="124"/>
      <c r="T114" s="124"/>
      <c r="U114" s="124"/>
    </row>
    <row r="115" spans="2:21" s="107" customFormat="1" ht="13.2" outlineLevel="1" x14ac:dyDescent="0.25">
      <c r="B115" s="32" t="s">
        <v>139</v>
      </c>
      <c r="C115" s="19"/>
      <c r="D115" s="19"/>
      <c r="E115" s="19"/>
      <c r="F115" s="114"/>
      <c r="G115" s="124">
        <f t="shared" si="22"/>
        <v>1</v>
      </c>
      <c r="H115" s="45"/>
      <c r="I115" s="124"/>
      <c r="J115" s="124"/>
      <c r="K115" s="124"/>
      <c r="L115" s="124"/>
      <c r="M115" s="124">
        <v>1</v>
      </c>
      <c r="N115" s="124"/>
      <c r="O115" s="124"/>
      <c r="P115" s="124"/>
      <c r="Q115" s="124"/>
      <c r="R115" s="124"/>
      <c r="S115" s="124"/>
      <c r="T115" s="124"/>
      <c r="U115" s="124"/>
    </row>
    <row r="116" spans="2:21" s="107" customFormat="1" ht="13.2" outlineLevel="1" x14ac:dyDescent="0.25">
      <c r="B116" s="32" t="s">
        <v>143</v>
      </c>
      <c r="C116" s="19"/>
      <c r="D116" s="19"/>
      <c r="E116" s="19"/>
      <c r="F116" s="114"/>
      <c r="G116" s="124">
        <f t="shared" si="22"/>
        <v>2</v>
      </c>
      <c r="H116" s="45"/>
      <c r="I116" s="124"/>
      <c r="J116" s="124"/>
      <c r="K116" s="124">
        <v>1</v>
      </c>
      <c r="L116" s="124"/>
      <c r="M116" s="124"/>
      <c r="N116" s="124">
        <v>1</v>
      </c>
      <c r="O116" s="124"/>
      <c r="P116" s="124"/>
      <c r="Q116" s="124"/>
      <c r="R116" s="124"/>
      <c r="S116" s="124"/>
      <c r="T116" s="124"/>
      <c r="U116" s="124"/>
    </row>
    <row r="117" spans="2:21" s="107" customFormat="1" ht="13.2" outlineLevel="1" x14ac:dyDescent="0.25">
      <c r="B117" s="32" t="s">
        <v>146</v>
      </c>
      <c r="C117" s="19"/>
      <c r="D117" s="19"/>
      <c r="E117" s="19"/>
      <c r="F117" s="114"/>
      <c r="G117" s="124">
        <f t="shared" si="22"/>
        <v>1</v>
      </c>
      <c r="H117" s="45"/>
      <c r="I117" s="124"/>
      <c r="J117" s="124"/>
      <c r="K117" s="124"/>
      <c r="L117" s="124"/>
      <c r="M117" s="124"/>
      <c r="N117" s="124">
        <v>1</v>
      </c>
      <c r="O117" s="124"/>
      <c r="P117" s="124"/>
      <c r="Q117" s="124"/>
      <c r="R117" s="124"/>
      <c r="S117" s="124"/>
      <c r="T117" s="124"/>
      <c r="U117" s="124"/>
    </row>
    <row r="118" spans="2:21" s="107" customFormat="1" ht="13.2" outlineLevel="1" x14ac:dyDescent="0.25">
      <c r="B118" s="32" t="s">
        <v>147</v>
      </c>
      <c r="C118" s="19"/>
      <c r="D118" s="19"/>
      <c r="E118" s="19"/>
      <c r="F118" s="114"/>
      <c r="G118" s="124">
        <f t="shared" si="22"/>
        <v>1</v>
      </c>
      <c r="H118" s="45"/>
      <c r="I118" s="124"/>
      <c r="J118" s="124"/>
      <c r="K118" s="124"/>
      <c r="L118" s="124"/>
      <c r="M118" s="124"/>
      <c r="N118" s="124"/>
      <c r="O118" s="124"/>
      <c r="P118" s="124"/>
      <c r="Q118" s="124"/>
      <c r="R118" s="124"/>
      <c r="S118" s="124">
        <v>1</v>
      </c>
      <c r="T118" s="124"/>
      <c r="U118" s="124"/>
    </row>
    <row r="119" spans="2:21" s="107" customFormat="1" ht="13.2" outlineLevel="1" x14ac:dyDescent="0.25">
      <c r="B119" s="32" t="s">
        <v>149</v>
      </c>
      <c r="C119" s="19"/>
      <c r="D119" s="19"/>
      <c r="E119" s="19"/>
      <c r="F119" s="114"/>
      <c r="G119" s="124">
        <f t="shared" si="22"/>
        <v>1</v>
      </c>
      <c r="H119" s="45"/>
      <c r="I119" s="124"/>
      <c r="J119" s="124"/>
      <c r="K119" s="124">
        <v>1</v>
      </c>
      <c r="L119" s="124"/>
      <c r="M119" s="124"/>
      <c r="N119" s="124"/>
      <c r="O119" s="124"/>
      <c r="P119" s="124"/>
      <c r="Q119" s="124"/>
      <c r="R119" s="124"/>
      <c r="S119" s="124"/>
      <c r="T119" s="124"/>
      <c r="U119" s="124"/>
    </row>
    <row r="120" spans="2:21" s="107" customFormat="1" ht="13.2" outlineLevel="1" x14ac:dyDescent="0.25">
      <c r="B120" s="32" t="s">
        <v>150</v>
      </c>
      <c r="C120" s="19"/>
      <c r="D120" s="19"/>
      <c r="E120" s="19"/>
      <c r="F120" s="114"/>
      <c r="G120" s="124">
        <f t="shared" si="22"/>
        <v>2</v>
      </c>
      <c r="H120" s="45"/>
      <c r="I120" s="124"/>
      <c r="J120" s="124"/>
      <c r="K120" s="124"/>
      <c r="L120" s="124"/>
      <c r="M120" s="124"/>
      <c r="N120" s="124"/>
      <c r="O120" s="124">
        <v>1</v>
      </c>
      <c r="P120" s="124"/>
      <c r="Q120" s="124">
        <v>1</v>
      </c>
      <c r="R120" s="124"/>
      <c r="S120" s="124"/>
      <c r="T120" s="124"/>
      <c r="U120" s="124"/>
    </row>
    <row r="121" spans="2:21" s="107" customFormat="1" ht="13.2" outlineLevel="1" x14ac:dyDescent="0.25">
      <c r="B121" s="32" t="s">
        <v>152</v>
      </c>
      <c r="C121" s="19"/>
      <c r="D121" s="19"/>
      <c r="E121" s="19"/>
      <c r="F121" s="114"/>
      <c r="G121" s="124">
        <f t="shared" si="22"/>
        <v>4</v>
      </c>
      <c r="H121" s="45">
        <v>1</v>
      </c>
      <c r="I121" s="124"/>
      <c r="J121" s="124"/>
      <c r="K121" s="124"/>
      <c r="L121" s="124"/>
      <c r="M121" s="124">
        <v>1</v>
      </c>
      <c r="N121" s="124"/>
      <c r="O121" s="124">
        <v>1</v>
      </c>
      <c r="P121" s="124"/>
      <c r="Q121" s="124"/>
      <c r="R121" s="124"/>
      <c r="S121" s="124"/>
      <c r="T121" s="124"/>
      <c r="U121" s="124">
        <v>1</v>
      </c>
    </row>
    <row r="122" spans="2:21" s="107" customFormat="1" ht="13.2" outlineLevel="1" x14ac:dyDescent="0.25">
      <c r="B122" s="32" t="s">
        <v>153</v>
      </c>
      <c r="C122" s="19"/>
      <c r="D122" s="19"/>
      <c r="E122" s="19"/>
      <c r="F122" s="114"/>
      <c r="G122" s="124">
        <f t="shared" si="22"/>
        <v>2</v>
      </c>
      <c r="H122" s="45"/>
      <c r="I122" s="124"/>
      <c r="J122" s="124"/>
      <c r="K122" s="124"/>
      <c r="L122" s="124"/>
      <c r="M122" s="124"/>
      <c r="N122" s="124"/>
      <c r="O122" s="124"/>
      <c r="P122" s="124"/>
      <c r="Q122" s="124">
        <v>1</v>
      </c>
      <c r="R122" s="124"/>
      <c r="S122" s="124">
        <v>1</v>
      </c>
      <c r="T122" s="124"/>
      <c r="U122" s="124"/>
    </row>
    <row r="123" spans="2:21" s="107" customFormat="1" ht="13.2" outlineLevel="1" x14ac:dyDescent="0.25">
      <c r="B123" s="32" t="s">
        <v>155</v>
      </c>
      <c r="C123" s="19"/>
      <c r="D123" s="19"/>
      <c r="E123" s="19"/>
      <c r="F123" s="114"/>
      <c r="G123" s="124">
        <f t="shared" si="22"/>
        <v>1</v>
      </c>
      <c r="H123" s="45"/>
      <c r="I123" s="124"/>
      <c r="J123" s="124"/>
      <c r="K123" s="124"/>
      <c r="L123" s="124"/>
      <c r="M123" s="124"/>
      <c r="N123" s="124"/>
      <c r="O123" s="124"/>
      <c r="P123" s="124"/>
      <c r="Q123" s="124"/>
      <c r="R123" s="124"/>
      <c r="S123" s="124">
        <v>1</v>
      </c>
      <c r="T123" s="124"/>
      <c r="U123" s="124"/>
    </row>
    <row r="124" spans="2:21" s="107" customFormat="1" ht="13.2" outlineLevel="1" x14ac:dyDescent="0.25">
      <c r="B124" s="32" t="s">
        <v>156</v>
      </c>
      <c r="C124" s="19"/>
      <c r="D124" s="19"/>
      <c r="E124" s="19"/>
      <c r="F124" s="114"/>
      <c r="G124" s="124">
        <f t="shared" si="22"/>
        <v>2</v>
      </c>
      <c r="H124" s="45"/>
      <c r="I124" s="124"/>
      <c r="J124" s="124"/>
      <c r="K124" s="124"/>
      <c r="L124" s="124"/>
      <c r="M124" s="124"/>
      <c r="N124" s="124"/>
      <c r="O124" s="124"/>
      <c r="P124" s="124"/>
      <c r="Q124" s="124"/>
      <c r="R124" s="124">
        <v>1</v>
      </c>
      <c r="S124" s="124"/>
      <c r="T124" s="124"/>
      <c r="U124" s="124">
        <v>1</v>
      </c>
    </row>
    <row r="125" spans="2:21" s="107" customFormat="1" ht="13.2" outlineLevel="1" x14ac:dyDescent="0.25">
      <c r="B125" s="32" t="s">
        <v>157</v>
      </c>
      <c r="C125" s="19"/>
      <c r="D125" s="19"/>
      <c r="E125" s="19"/>
      <c r="F125" s="114"/>
      <c r="G125" s="195">
        <f t="shared" si="22"/>
        <v>3</v>
      </c>
      <c r="H125" s="209"/>
      <c r="I125" s="195">
        <v>1</v>
      </c>
      <c r="J125" s="195"/>
      <c r="K125" s="195"/>
      <c r="L125" s="195">
        <v>1</v>
      </c>
      <c r="M125" s="195"/>
      <c r="N125" s="195"/>
      <c r="O125" s="195"/>
      <c r="P125" s="195">
        <v>1</v>
      </c>
      <c r="Q125" s="195"/>
      <c r="R125" s="195"/>
      <c r="S125" s="195"/>
      <c r="T125" s="195"/>
      <c r="U125" s="195"/>
    </row>
    <row r="126" spans="2:21" s="107" customFormat="1" ht="13.2" x14ac:dyDescent="0.25">
      <c r="B126" s="207"/>
      <c r="C126" s="119"/>
      <c r="D126" s="119"/>
      <c r="E126" s="119"/>
      <c r="F126" s="169"/>
      <c r="G126" s="169"/>
      <c r="H126" s="119"/>
      <c r="I126" s="169"/>
      <c r="J126" s="169"/>
      <c r="K126" s="169"/>
      <c r="L126" s="169"/>
      <c r="M126" s="169"/>
      <c r="N126" s="169"/>
      <c r="O126" s="169"/>
      <c r="P126" s="169"/>
      <c r="Q126" s="169"/>
      <c r="R126" s="169"/>
      <c r="S126" s="169"/>
      <c r="T126" s="169"/>
      <c r="U126" s="169"/>
    </row>
    <row r="128" spans="2:21" x14ac:dyDescent="0.3">
      <c r="B128" s="46" t="s">
        <v>214</v>
      </c>
    </row>
    <row r="130" spans="2:32" ht="20.399999999999999" customHeight="1" x14ac:dyDescent="0.3">
      <c r="B130" s="255" t="s">
        <v>48</v>
      </c>
      <c r="C130" s="256"/>
      <c r="D130" s="256"/>
      <c r="E130" s="257"/>
      <c r="F130" s="246" t="s">
        <v>207</v>
      </c>
      <c r="G130" s="247"/>
      <c r="H130" s="308" t="s">
        <v>164</v>
      </c>
    </row>
    <row r="131" spans="2:32" ht="12" customHeight="1" x14ac:dyDescent="0.3">
      <c r="B131" s="258"/>
      <c r="C131" s="275"/>
      <c r="D131" s="275"/>
      <c r="E131" s="276"/>
      <c r="F131" s="248"/>
      <c r="G131" s="249"/>
      <c r="H131" s="309"/>
    </row>
    <row r="132" spans="2:32" ht="67.5" customHeight="1" x14ac:dyDescent="0.3">
      <c r="B132" s="260"/>
      <c r="C132" s="261"/>
      <c r="D132" s="261"/>
      <c r="E132" s="261"/>
      <c r="F132" s="89" t="s">
        <v>49</v>
      </c>
      <c r="G132" s="89" t="s">
        <v>50</v>
      </c>
      <c r="H132" s="99" t="s">
        <v>326</v>
      </c>
    </row>
    <row r="133" spans="2:32" x14ac:dyDescent="0.3">
      <c r="B133" s="32"/>
      <c r="C133" s="33"/>
      <c r="D133" s="33"/>
      <c r="E133" s="34"/>
      <c r="F133" s="20"/>
      <c r="G133" s="20"/>
      <c r="H133" s="44"/>
    </row>
    <row r="134" spans="2:32" x14ac:dyDescent="0.3">
      <c r="B134" s="37" t="s">
        <v>51</v>
      </c>
      <c r="C134" s="38"/>
      <c r="D134" s="38"/>
      <c r="E134" s="39"/>
      <c r="F134" s="77">
        <f>SUM(F136)</f>
        <v>1</v>
      </c>
      <c r="G134" s="67">
        <f t="shared" ref="G134:H134" si="23">SUM(G136)</f>
        <v>1</v>
      </c>
      <c r="H134" s="67">
        <f t="shared" si="23"/>
        <v>1</v>
      </c>
    </row>
    <row r="135" spans="2:32" x14ac:dyDescent="0.3">
      <c r="B135" s="32" t="s">
        <v>47</v>
      </c>
      <c r="C135" s="33"/>
      <c r="D135" s="33"/>
      <c r="E135" s="34"/>
      <c r="F135" s="20"/>
      <c r="G135" s="20"/>
      <c r="H135" s="35"/>
    </row>
    <row r="136" spans="2:32" x14ac:dyDescent="0.3">
      <c r="B136" s="41" t="s">
        <v>80</v>
      </c>
      <c r="C136" s="19"/>
      <c r="D136" s="19"/>
      <c r="E136" s="19"/>
      <c r="F136" s="171">
        <f>J40</f>
        <v>1</v>
      </c>
      <c r="G136" s="172">
        <f t="shared" ref="G136:H136" si="24">SUM(G137:G137)</f>
        <v>1</v>
      </c>
      <c r="H136" s="172">
        <f t="shared" si="24"/>
        <v>1</v>
      </c>
    </row>
    <row r="137" spans="2:32" outlineLevel="1" x14ac:dyDescent="0.3">
      <c r="B137" s="32" t="s">
        <v>134</v>
      </c>
      <c r="C137" s="19"/>
      <c r="D137" s="19"/>
      <c r="E137" s="19"/>
      <c r="F137" s="114"/>
      <c r="G137" s="191">
        <f>SUM(H137:H137)</f>
        <v>1</v>
      </c>
      <c r="H137" s="191">
        <v>1</v>
      </c>
    </row>
    <row r="138" spans="2:32" x14ac:dyDescent="0.3">
      <c r="B138" s="71"/>
      <c r="C138" s="72"/>
      <c r="D138" s="72"/>
      <c r="E138" s="72"/>
      <c r="F138" s="74"/>
      <c r="G138" s="74"/>
      <c r="H138" s="74"/>
    </row>
    <row r="140" spans="2:32" x14ac:dyDescent="0.3">
      <c r="D140" s="69"/>
      <c r="E140" s="8"/>
      <c r="F140" s="69"/>
      <c r="G140" s="69"/>
      <c r="H140" s="69"/>
      <c r="I140" s="69"/>
      <c r="J140" s="69"/>
      <c r="K140" s="69"/>
      <c r="L140" s="69"/>
      <c r="M140" s="69"/>
      <c r="N140" s="69"/>
      <c r="O140" s="69"/>
      <c r="P140" s="69"/>
      <c r="Q140" s="69"/>
      <c r="R140" s="69"/>
      <c r="S140" s="69"/>
      <c r="T140" s="69"/>
      <c r="U140" s="69"/>
      <c r="V140" s="69"/>
      <c r="AA140" s="69"/>
      <c r="AF140" s="69"/>
    </row>
    <row r="141" spans="2:32" x14ac:dyDescent="0.3">
      <c r="B141" s="48" t="s">
        <v>53</v>
      </c>
      <c r="D141" s="69"/>
      <c r="E141" s="8"/>
      <c r="F141" s="69"/>
      <c r="G141" s="69"/>
      <c r="H141" s="69"/>
      <c r="I141" s="69"/>
      <c r="J141" s="69"/>
      <c r="K141" s="69"/>
      <c r="L141" s="69"/>
      <c r="M141" s="69"/>
      <c r="N141" s="69"/>
      <c r="O141" s="69"/>
      <c r="P141" s="69"/>
      <c r="Q141" s="69"/>
      <c r="R141" s="69"/>
      <c r="S141" s="69"/>
      <c r="T141" s="69"/>
      <c r="U141" s="69"/>
      <c r="V141" s="69"/>
      <c r="AA141" s="69"/>
      <c r="AF141" s="69"/>
    </row>
    <row r="142" spans="2:32" x14ac:dyDescent="0.3">
      <c r="B142" s="46" t="s">
        <v>161</v>
      </c>
    </row>
  </sheetData>
  <mergeCells count="18">
    <mergeCell ref="B2:C2"/>
    <mergeCell ref="B8:E8"/>
    <mergeCell ref="F8:G8"/>
    <mergeCell ref="H8:I8"/>
    <mergeCell ref="J8:K8"/>
    <mergeCell ref="B6:J6"/>
    <mergeCell ref="B130:E132"/>
    <mergeCell ref="R8:S8"/>
    <mergeCell ref="B9:E9"/>
    <mergeCell ref="B76:E78"/>
    <mergeCell ref="F76:G77"/>
    <mergeCell ref="F130:G131"/>
    <mergeCell ref="P77:T77"/>
    <mergeCell ref="N77:O77"/>
    <mergeCell ref="I77:M77"/>
    <mergeCell ref="H76:U76"/>
    <mergeCell ref="H130:H131"/>
    <mergeCell ref="L8:M8"/>
  </mergeCells>
  <pageMargins left="0.7" right="0.7" top="0.75" bottom="0.75" header="0.3" footer="0.3"/>
  <pageSetup scale="35" orientation="landscape" r:id="rId1"/>
  <ignoredErrors>
    <ignoredError sqref="G11:H11 I11:J11 K11:L11"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882F-1B6F-4540-979E-F84B43C7B170}">
  <sheetPr>
    <pageSetUpPr fitToPage="1"/>
  </sheetPr>
  <dimension ref="B1:AL142"/>
  <sheetViews>
    <sheetView showGridLines="0" workbookViewId="0">
      <selection activeCell="E3" sqref="E3"/>
    </sheetView>
  </sheetViews>
  <sheetFormatPr defaultRowHeight="14.4" outlineLevelRow="1" x14ac:dyDescent="0.3"/>
  <cols>
    <col min="1" max="1" width="2.88671875" customWidth="1"/>
    <col min="2" max="2" width="20.6640625" customWidth="1"/>
    <col min="3" max="3" width="13.5546875" customWidth="1"/>
    <col min="6" max="6" width="14.44140625" customWidth="1"/>
    <col min="7" max="7" width="13.109375" customWidth="1"/>
    <col min="8" max="8" width="16.33203125" customWidth="1"/>
    <col min="9" max="9" width="14.33203125" customWidth="1"/>
    <col min="10" max="10" width="15.109375" customWidth="1"/>
    <col min="11" max="11" width="12" customWidth="1"/>
    <col min="12" max="12" width="15" customWidth="1"/>
    <col min="13" max="13" width="12.5546875" customWidth="1"/>
    <col min="14" max="14" width="17.109375" customWidth="1"/>
    <col min="15" max="15" width="15.109375" customWidth="1"/>
    <col min="16" max="16" width="17.44140625" customWidth="1"/>
    <col min="17" max="17" width="22.44140625" customWidth="1"/>
    <col min="18" max="18" width="21.6640625" customWidth="1"/>
    <col min="19" max="19" width="19" customWidth="1"/>
    <col min="20" max="20" width="19.88671875" customWidth="1"/>
    <col min="21" max="21" width="21.6640625" customWidth="1"/>
    <col min="22" max="24" width="19.88671875" customWidth="1"/>
    <col min="25" max="25" width="22.5546875" customWidth="1"/>
    <col min="26" max="26" width="23.6640625" customWidth="1"/>
    <col min="27" max="27" width="21.6640625" customWidth="1"/>
    <col min="28" max="28" width="20.5546875" customWidth="1"/>
    <col min="29" max="29" width="18.5546875" customWidth="1"/>
    <col min="30" max="30" width="19.109375" customWidth="1"/>
    <col min="31" max="31" width="16" customWidth="1"/>
  </cols>
  <sheetData>
    <row r="1" spans="2:37" s="1" customFormat="1" ht="13.2" x14ac:dyDescent="0.25">
      <c r="E1" s="2"/>
      <c r="F1" s="2"/>
      <c r="G1" s="2"/>
      <c r="H1" s="3"/>
      <c r="I1" s="3"/>
      <c r="J1" s="3"/>
      <c r="K1" s="3"/>
      <c r="L1" s="3"/>
      <c r="M1" s="3"/>
      <c r="N1" s="3"/>
      <c r="O1" s="3"/>
      <c r="P1" s="3"/>
      <c r="Q1" s="2"/>
      <c r="R1" s="2"/>
      <c r="S1" s="3"/>
      <c r="T1" s="3"/>
      <c r="U1" s="3"/>
      <c r="V1" s="3"/>
      <c r="W1" s="3"/>
      <c r="X1" s="3"/>
      <c r="Y1" s="3"/>
      <c r="Z1" s="3"/>
      <c r="AA1" s="3"/>
      <c r="AB1" s="3"/>
      <c r="AC1" s="3"/>
      <c r="AD1" s="3"/>
      <c r="AE1" s="3"/>
    </row>
    <row r="2" spans="2:37" s="1" customFormat="1" ht="18.600000000000001" customHeight="1" x14ac:dyDescent="0.25">
      <c r="B2" s="262" t="s">
        <v>182</v>
      </c>
      <c r="C2" s="263"/>
      <c r="E2" s="4"/>
      <c r="F2" s="2"/>
      <c r="G2" s="2"/>
      <c r="H2" s="3"/>
      <c r="I2" s="3"/>
      <c r="J2" s="3"/>
      <c r="K2" s="3"/>
      <c r="L2" s="3"/>
      <c r="M2" s="3"/>
      <c r="N2" s="3"/>
      <c r="O2" s="3"/>
      <c r="P2" s="3"/>
      <c r="Q2" s="2"/>
      <c r="R2" s="2"/>
      <c r="S2" s="3"/>
      <c r="T2" s="3"/>
      <c r="U2" s="3"/>
      <c r="V2" s="3"/>
      <c r="W2" s="3"/>
      <c r="X2" s="3"/>
      <c r="Y2" s="3"/>
      <c r="Z2" s="3"/>
      <c r="AA2" s="3"/>
      <c r="AB2" s="3"/>
      <c r="AC2" s="3"/>
      <c r="AD2" s="3"/>
      <c r="AE2" s="3"/>
    </row>
    <row r="3" spans="2:37" s="1" customFormat="1" ht="20.399999999999999" customHeight="1" x14ac:dyDescent="0.3">
      <c r="B3" s="7" t="s">
        <v>30</v>
      </c>
      <c r="F3" s="2"/>
      <c r="G3" s="2"/>
      <c r="H3" s="3"/>
      <c r="I3" s="3"/>
      <c r="J3" s="3"/>
      <c r="K3" s="3"/>
      <c r="L3" s="3"/>
      <c r="M3" s="3"/>
      <c r="N3" s="3"/>
      <c r="O3" s="3"/>
      <c r="P3" s="3"/>
      <c r="Q3" s="2"/>
      <c r="R3" s="2"/>
      <c r="S3" s="3"/>
      <c r="T3" s="3"/>
      <c r="U3" s="3"/>
      <c r="V3" s="3"/>
      <c r="W3" s="3"/>
      <c r="X3" s="3"/>
      <c r="Y3" s="3"/>
      <c r="Z3" s="3"/>
      <c r="AA3" s="3"/>
      <c r="AB3" s="3"/>
      <c r="AC3" s="3"/>
      <c r="AD3" s="3"/>
      <c r="AE3" s="3"/>
    </row>
    <row r="4" spans="2:37" s="1" customFormat="1" ht="15.6" x14ac:dyDescent="0.3">
      <c r="B4" s="5"/>
      <c r="F4" s="2"/>
      <c r="G4" s="2"/>
      <c r="H4" s="3"/>
      <c r="I4" s="3"/>
      <c r="J4" s="3"/>
      <c r="K4" s="3"/>
      <c r="L4" s="3"/>
      <c r="M4" s="3"/>
      <c r="N4" s="3"/>
      <c r="O4" s="3"/>
      <c r="P4" s="3"/>
      <c r="Q4" s="2"/>
      <c r="R4" s="2"/>
      <c r="S4" s="3"/>
      <c r="T4" s="3"/>
      <c r="U4" s="3"/>
      <c r="V4" s="3"/>
      <c r="W4" s="3"/>
      <c r="X4" s="3"/>
      <c r="Y4" s="3"/>
      <c r="Z4" s="3"/>
      <c r="AA4" s="3"/>
      <c r="AB4" s="3"/>
      <c r="AC4" s="3"/>
      <c r="AD4" s="3"/>
      <c r="AE4" s="3"/>
    </row>
    <row r="5" spans="2:37" s="1" customFormat="1" ht="15" customHeight="1" x14ac:dyDescent="0.25">
      <c r="B5" s="6" t="s">
        <v>20</v>
      </c>
      <c r="F5" s="2"/>
      <c r="G5" s="2"/>
      <c r="H5" s="3"/>
      <c r="I5" s="3"/>
      <c r="J5" s="3"/>
      <c r="K5" s="3"/>
      <c r="L5" s="3"/>
      <c r="M5" s="3"/>
      <c r="N5" s="3"/>
      <c r="O5" s="3"/>
      <c r="P5" s="3"/>
      <c r="Q5" s="2"/>
      <c r="R5" s="2"/>
      <c r="S5" s="3"/>
      <c r="T5" s="3"/>
      <c r="U5" s="3"/>
      <c r="V5" s="3"/>
      <c r="W5" s="3"/>
      <c r="X5" s="3"/>
      <c r="Y5" s="3"/>
      <c r="Z5" s="3"/>
      <c r="AA5" s="3"/>
      <c r="AB5" s="3"/>
      <c r="AC5" s="3"/>
      <c r="AD5" s="3"/>
      <c r="AE5" s="3"/>
    </row>
    <row r="6" spans="2:37" s="1" customFormat="1" ht="30" customHeight="1" x14ac:dyDescent="0.25">
      <c r="B6" s="285" t="s">
        <v>31</v>
      </c>
      <c r="C6" s="285"/>
      <c r="D6" s="285"/>
      <c r="E6" s="285"/>
      <c r="F6" s="285"/>
      <c r="G6" s="285"/>
      <c r="H6" s="285"/>
      <c r="I6" s="285"/>
      <c r="J6" s="285"/>
      <c r="K6" s="182"/>
      <c r="L6" s="182"/>
      <c r="M6" s="182"/>
      <c r="N6" s="182"/>
      <c r="O6" s="3"/>
      <c r="P6" s="3"/>
      <c r="Q6" s="2"/>
      <c r="R6" s="2"/>
      <c r="S6" s="3"/>
      <c r="T6" s="3"/>
      <c r="U6" s="3"/>
      <c r="V6" s="3"/>
      <c r="W6" s="3"/>
      <c r="X6" s="3"/>
      <c r="Y6" s="3"/>
      <c r="Z6" s="3"/>
      <c r="AA6" s="3"/>
      <c r="AB6" s="3"/>
      <c r="AC6" s="3"/>
      <c r="AD6" s="3"/>
      <c r="AE6" s="3"/>
    </row>
    <row r="7" spans="2:37" ht="6" customHeight="1" x14ac:dyDescent="0.3">
      <c r="B7" s="310"/>
      <c r="C7" s="310"/>
      <c r="D7" s="310"/>
      <c r="E7" s="310"/>
      <c r="F7" s="310"/>
      <c r="G7" s="310"/>
      <c r="H7" s="310"/>
      <c r="I7" s="310"/>
      <c r="J7" s="310"/>
    </row>
    <row r="8" spans="2:37" s="1" customFormat="1" ht="53.4" customHeight="1" x14ac:dyDescent="0.25">
      <c r="B8" s="264" t="s">
        <v>34</v>
      </c>
      <c r="C8" s="265"/>
      <c r="D8" s="265"/>
      <c r="E8" s="266"/>
      <c r="F8" s="267" t="s">
        <v>215</v>
      </c>
      <c r="G8" s="268"/>
      <c r="H8" s="267" t="s">
        <v>216</v>
      </c>
      <c r="I8" s="268"/>
      <c r="J8" s="267" t="s">
        <v>217</v>
      </c>
      <c r="K8" s="268"/>
      <c r="L8" s="242" t="s">
        <v>218</v>
      </c>
      <c r="M8" s="243"/>
      <c r="N8" s="110"/>
      <c r="O8" s="97"/>
      <c r="P8" s="3"/>
      <c r="Q8" s="3"/>
      <c r="R8" s="3"/>
      <c r="S8" s="97"/>
      <c r="T8" s="3"/>
      <c r="U8" s="303"/>
      <c r="V8" s="303"/>
      <c r="W8" s="303"/>
      <c r="X8" s="303"/>
      <c r="Y8" s="303"/>
      <c r="Z8" s="303"/>
      <c r="AA8" s="303"/>
      <c r="AB8" s="303"/>
      <c r="AC8" s="303"/>
      <c r="AD8" s="303"/>
      <c r="AE8" s="3"/>
      <c r="AF8" s="2"/>
      <c r="AG8" s="2"/>
      <c r="AH8" s="2"/>
      <c r="AI8" s="2"/>
      <c r="AJ8" s="2"/>
      <c r="AK8" s="2"/>
    </row>
    <row r="9" spans="2:37" s="1" customFormat="1" ht="14.4" customHeight="1" x14ac:dyDescent="0.25">
      <c r="B9" s="244" t="s">
        <v>402</v>
      </c>
      <c r="C9" s="245"/>
      <c r="D9" s="245"/>
      <c r="E9" s="245"/>
      <c r="F9" s="111" t="s">
        <v>37</v>
      </c>
      <c r="G9" s="128" t="s">
        <v>38</v>
      </c>
      <c r="H9" s="111" t="s">
        <v>37</v>
      </c>
      <c r="I9" s="128" t="s">
        <v>38</v>
      </c>
      <c r="J9" s="111" t="s">
        <v>37</v>
      </c>
      <c r="K9" s="128" t="s">
        <v>38</v>
      </c>
      <c r="L9" s="111" t="s">
        <v>37</v>
      </c>
      <c r="M9" s="131" t="s">
        <v>38</v>
      </c>
      <c r="N9" s="50"/>
      <c r="O9" s="10"/>
      <c r="P9" s="3"/>
      <c r="Q9" s="3"/>
      <c r="R9" s="3"/>
      <c r="S9" s="10"/>
      <c r="T9" s="10"/>
      <c r="U9" s="3"/>
      <c r="V9" s="3"/>
      <c r="W9" s="3"/>
      <c r="X9" s="3"/>
      <c r="Y9" s="3"/>
      <c r="Z9" s="3"/>
      <c r="AA9" s="3"/>
      <c r="AB9" s="3"/>
      <c r="AC9" s="3"/>
      <c r="AD9" s="10"/>
      <c r="AE9" s="3"/>
      <c r="AF9" s="2"/>
      <c r="AG9" s="2"/>
      <c r="AH9" s="2"/>
      <c r="AI9" s="2"/>
      <c r="AJ9" s="2"/>
      <c r="AK9" s="2"/>
    </row>
    <row r="10" spans="2:37" s="1" customFormat="1" ht="15" customHeight="1" x14ac:dyDescent="0.25">
      <c r="B10" s="145"/>
      <c r="C10" s="146"/>
      <c r="D10" s="146"/>
      <c r="E10" s="146"/>
      <c r="F10" s="112"/>
      <c r="G10" s="125"/>
      <c r="H10" s="112"/>
      <c r="I10" s="125"/>
      <c r="J10" s="112"/>
      <c r="K10" s="125"/>
      <c r="L10" s="112"/>
      <c r="M10" s="113"/>
      <c r="N10" s="3"/>
      <c r="O10" s="3"/>
      <c r="P10" s="3"/>
      <c r="Q10" s="3"/>
      <c r="R10" s="3"/>
      <c r="S10" s="3"/>
      <c r="T10" s="3"/>
      <c r="U10" s="3"/>
      <c r="V10" s="3"/>
      <c r="W10" s="3"/>
      <c r="X10" s="3"/>
      <c r="Y10" s="3"/>
      <c r="Z10" s="3"/>
      <c r="AA10" s="3"/>
      <c r="AB10" s="3"/>
      <c r="AC10" s="3"/>
      <c r="AD10" s="3"/>
      <c r="AE10" s="3"/>
      <c r="AF10" s="2"/>
      <c r="AG10" s="2"/>
      <c r="AH10" s="2"/>
      <c r="AI10" s="2"/>
      <c r="AJ10" s="2"/>
      <c r="AK10" s="2"/>
    </row>
    <row r="11" spans="2:37" s="1" customFormat="1" ht="15" customHeight="1" x14ac:dyDescent="0.25">
      <c r="B11" s="147" t="s">
        <v>39</v>
      </c>
      <c r="C11" s="148"/>
      <c r="D11" s="148"/>
      <c r="E11" s="149">
        <f>SUM(F11,H11,J11,L11)</f>
        <v>52</v>
      </c>
      <c r="F11" s="114">
        <f>SUM(F13,F15,F18,F28,F40,F45,F70)</f>
        <v>21</v>
      </c>
      <c r="G11" s="150">
        <f>F11/$E$11</f>
        <v>0.40384615384615385</v>
      </c>
      <c r="H11" s="137">
        <f>SUM(H13,H15,H18,H28,H40,H45,H70)</f>
        <v>23</v>
      </c>
      <c r="I11" s="150">
        <f>H11/$E$11</f>
        <v>0.44230769230769229</v>
      </c>
      <c r="J11" s="116">
        <f>SUM(J13,J15,J18,J28,J40,J45,J70)</f>
        <v>7</v>
      </c>
      <c r="K11" s="150">
        <f>J11/$E$11</f>
        <v>0.13461538461538461</v>
      </c>
      <c r="L11" s="114">
        <f>SUM(L13,L15,L18,L28,L40,L45,L70)</f>
        <v>1</v>
      </c>
      <c r="M11" s="115">
        <f>L11/$E$11</f>
        <v>1.9230769230769232E-2</v>
      </c>
      <c r="N11" s="29"/>
      <c r="O11" s="51"/>
      <c r="P11" s="30"/>
      <c r="Q11" s="30"/>
      <c r="R11" s="30"/>
      <c r="S11" s="51"/>
      <c r="T11" s="29"/>
      <c r="U11" s="30"/>
      <c r="V11" s="30"/>
      <c r="W11" s="30"/>
      <c r="X11" s="30"/>
      <c r="Y11" s="30"/>
      <c r="Z11" s="30"/>
      <c r="AA11" s="30"/>
      <c r="AB11" s="30"/>
      <c r="AC11" s="30"/>
      <c r="AD11" s="29"/>
      <c r="AE11" s="30"/>
      <c r="AF11" s="2"/>
      <c r="AG11" s="2"/>
      <c r="AH11" s="2"/>
      <c r="AI11" s="2"/>
      <c r="AJ11" s="2"/>
      <c r="AK11" s="2"/>
    </row>
    <row r="12" spans="2:37" s="33" customFormat="1" ht="15" customHeight="1" x14ac:dyDescent="0.25">
      <c r="B12" s="152"/>
      <c r="C12" s="107"/>
      <c r="D12" s="107"/>
      <c r="E12" s="108"/>
      <c r="F12" s="114"/>
      <c r="G12" s="108"/>
      <c r="H12" s="153"/>
      <c r="I12" s="108"/>
      <c r="J12" s="114"/>
      <c r="K12" s="108"/>
      <c r="L12" s="114"/>
      <c r="M12" s="154"/>
      <c r="N12" s="3"/>
      <c r="O12" s="3"/>
      <c r="P12" s="3"/>
      <c r="Q12" s="3"/>
      <c r="R12" s="3"/>
      <c r="S12" s="3"/>
      <c r="T12" s="3"/>
      <c r="U12" s="3"/>
      <c r="V12" s="3"/>
      <c r="W12" s="3"/>
      <c r="X12" s="3"/>
      <c r="Y12" s="3"/>
      <c r="Z12" s="3"/>
      <c r="AA12" s="3"/>
      <c r="AB12" s="3"/>
      <c r="AC12" s="3"/>
      <c r="AD12" s="3"/>
      <c r="AE12" s="3"/>
      <c r="AF12" s="3"/>
      <c r="AG12" s="3"/>
      <c r="AH12" s="3"/>
      <c r="AI12" s="3"/>
      <c r="AJ12" s="3"/>
      <c r="AK12" s="3"/>
    </row>
    <row r="13" spans="2:37" s="33" customFormat="1" ht="15" customHeight="1" x14ac:dyDescent="0.25">
      <c r="B13" s="126" t="s">
        <v>52</v>
      </c>
      <c r="C13" s="155"/>
      <c r="D13" s="155"/>
      <c r="E13" s="156"/>
      <c r="F13" s="117">
        <f>F14</f>
        <v>0</v>
      </c>
      <c r="G13" s="156"/>
      <c r="H13" s="129">
        <f>H14</f>
        <v>1</v>
      </c>
      <c r="I13" s="156"/>
      <c r="J13" s="117">
        <f>J14</f>
        <v>0</v>
      </c>
      <c r="K13" s="156"/>
      <c r="L13" s="117">
        <f>L14</f>
        <v>0</v>
      </c>
      <c r="M13" s="118"/>
      <c r="N13" s="3"/>
      <c r="O13" s="3"/>
      <c r="P13" s="3"/>
      <c r="Q13" s="3"/>
      <c r="R13" s="3"/>
      <c r="S13" s="3"/>
      <c r="T13" s="3"/>
      <c r="U13" s="3"/>
      <c r="V13" s="3"/>
      <c r="W13" s="3"/>
      <c r="X13" s="3"/>
      <c r="Y13" s="3"/>
      <c r="Z13" s="3"/>
      <c r="AA13" s="3"/>
      <c r="AB13" s="3"/>
      <c r="AC13" s="3"/>
      <c r="AD13" s="3"/>
      <c r="AE13" s="3"/>
      <c r="AF13" s="3"/>
      <c r="AG13" s="3"/>
      <c r="AH13" s="3"/>
      <c r="AI13" s="3"/>
      <c r="AJ13" s="3"/>
      <c r="AK13" s="3"/>
    </row>
    <row r="14" spans="2:37" s="33" customFormat="1" ht="15" hidden="1" customHeight="1" outlineLevel="1" x14ac:dyDescent="0.25">
      <c r="B14" s="166" t="s">
        <v>55</v>
      </c>
      <c r="C14" s="107"/>
      <c r="D14" s="107"/>
      <c r="E14" s="108"/>
      <c r="F14" s="190"/>
      <c r="G14" s="108"/>
      <c r="H14" s="185">
        <v>1</v>
      </c>
      <c r="I14" s="108"/>
      <c r="J14" s="190"/>
      <c r="K14" s="108"/>
      <c r="L14" s="190"/>
      <c r="M14" s="154"/>
      <c r="N14" s="3" t="str">
        <f>IF(SUM(F14,H14,J14,L14)&gt;1,"Error","")</f>
        <v/>
      </c>
      <c r="O14" s="3"/>
      <c r="P14" s="3"/>
      <c r="Q14" s="3"/>
      <c r="R14" s="3"/>
      <c r="S14" s="3"/>
      <c r="T14" s="3"/>
      <c r="U14" s="3"/>
      <c r="V14" s="3"/>
      <c r="W14" s="3"/>
      <c r="X14" s="3"/>
      <c r="Y14" s="3"/>
      <c r="Z14" s="3"/>
      <c r="AA14" s="3"/>
      <c r="AB14" s="3"/>
      <c r="AC14" s="3"/>
      <c r="AD14" s="3"/>
      <c r="AE14" s="3"/>
      <c r="AF14" s="3"/>
      <c r="AG14" s="3"/>
      <c r="AH14" s="3"/>
      <c r="AI14" s="3"/>
      <c r="AJ14" s="3"/>
      <c r="AK14" s="3"/>
    </row>
    <row r="15" spans="2:37" s="33" customFormat="1" ht="15" customHeight="1" collapsed="1" x14ac:dyDescent="0.25">
      <c r="B15" s="166" t="s">
        <v>57</v>
      </c>
      <c r="C15" s="107"/>
      <c r="D15" s="107"/>
      <c r="E15" s="108"/>
      <c r="F15" s="114">
        <f>SUM(F16:F17)</f>
        <v>1</v>
      </c>
      <c r="G15" s="108"/>
      <c r="H15" s="153">
        <f>SUM(H16:H17)</f>
        <v>0</v>
      </c>
      <c r="I15" s="108"/>
      <c r="J15" s="114">
        <f>SUM(J16:J17)</f>
        <v>1</v>
      </c>
      <c r="K15" s="108"/>
      <c r="L15" s="114">
        <f>SUM(L16:L17)</f>
        <v>0</v>
      </c>
      <c r="M15" s="154"/>
      <c r="N15" s="3"/>
      <c r="O15" s="3"/>
      <c r="P15" s="3"/>
      <c r="Q15" s="3"/>
      <c r="R15" s="3"/>
      <c r="S15" s="3"/>
      <c r="T15" s="3"/>
      <c r="U15" s="3"/>
      <c r="V15" s="3"/>
      <c r="W15" s="3"/>
      <c r="X15" s="3"/>
      <c r="Y15" s="3"/>
      <c r="Z15" s="3"/>
      <c r="AA15" s="3"/>
      <c r="AB15" s="3"/>
      <c r="AC15" s="3"/>
      <c r="AD15" s="3"/>
      <c r="AE15" s="3"/>
      <c r="AF15" s="3"/>
      <c r="AG15" s="3"/>
      <c r="AH15" s="3"/>
      <c r="AI15" s="3"/>
      <c r="AJ15" s="3"/>
      <c r="AK15" s="3"/>
    </row>
    <row r="16" spans="2:37" s="33" customFormat="1" ht="15" hidden="1" customHeight="1" outlineLevel="1" x14ac:dyDescent="0.25">
      <c r="B16" s="166" t="s">
        <v>58</v>
      </c>
      <c r="C16" s="107"/>
      <c r="D16" s="107"/>
      <c r="E16" s="108"/>
      <c r="F16" s="186">
        <v>1</v>
      </c>
      <c r="G16" s="108"/>
      <c r="H16" s="188"/>
      <c r="I16" s="108"/>
      <c r="J16" s="186"/>
      <c r="K16" s="108"/>
      <c r="L16" s="186"/>
      <c r="M16" s="154"/>
      <c r="N16" s="3" t="str">
        <f>IF(SUM(F16,H16,J16,L16)&gt;1,"Error","")</f>
        <v/>
      </c>
      <c r="O16" s="3"/>
      <c r="P16" s="3"/>
      <c r="Q16" s="3"/>
      <c r="R16" s="3"/>
      <c r="S16" s="3"/>
      <c r="T16" s="3"/>
      <c r="U16" s="3"/>
      <c r="V16" s="3"/>
      <c r="W16" s="3"/>
      <c r="X16" s="3"/>
      <c r="Y16" s="3"/>
      <c r="Z16" s="3"/>
      <c r="AA16" s="3"/>
      <c r="AB16" s="3"/>
      <c r="AC16" s="3"/>
      <c r="AD16" s="3"/>
      <c r="AE16" s="3"/>
      <c r="AF16" s="3"/>
      <c r="AG16" s="3"/>
      <c r="AH16" s="3"/>
      <c r="AI16" s="3"/>
      <c r="AJ16" s="3"/>
      <c r="AK16" s="3"/>
    </row>
    <row r="17" spans="2:37" s="33" customFormat="1" ht="15" hidden="1" customHeight="1" outlineLevel="1" x14ac:dyDescent="0.25">
      <c r="B17" s="166" t="s">
        <v>59</v>
      </c>
      <c r="C17" s="107"/>
      <c r="D17" s="107"/>
      <c r="E17" s="108"/>
      <c r="F17" s="187"/>
      <c r="G17" s="108"/>
      <c r="H17" s="189"/>
      <c r="I17" s="108"/>
      <c r="J17" s="187">
        <v>1</v>
      </c>
      <c r="K17" s="108"/>
      <c r="L17" s="187"/>
      <c r="M17" s="154"/>
      <c r="N17" s="3" t="str">
        <f>IF(SUM(F17,H17,J17,L17)&gt;1,"Error","")</f>
        <v/>
      </c>
      <c r="O17" s="3"/>
      <c r="P17" s="3"/>
      <c r="Q17" s="3"/>
      <c r="R17" s="3"/>
      <c r="S17" s="3"/>
      <c r="T17" s="3"/>
      <c r="U17" s="3"/>
      <c r="V17" s="3"/>
      <c r="W17" s="3"/>
      <c r="X17" s="3"/>
      <c r="Y17" s="3"/>
      <c r="Z17" s="3"/>
      <c r="AA17" s="3"/>
      <c r="AB17" s="3"/>
      <c r="AC17" s="3"/>
      <c r="AD17" s="3"/>
      <c r="AE17" s="3"/>
      <c r="AF17" s="3"/>
      <c r="AG17" s="3"/>
      <c r="AH17" s="3"/>
      <c r="AI17" s="3"/>
      <c r="AJ17" s="3"/>
      <c r="AK17" s="3"/>
    </row>
    <row r="18" spans="2:37" s="33" customFormat="1" ht="15" customHeight="1" collapsed="1" x14ac:dyDescent="0.25">
      <c r="B18" s="126" t="s">
        <v>60</v>
      </c>
      <c r="C18" s="155"/>
      <c r="D18" s="155"/>
      <c r="E18" s="156"/>
      <c r="F18" s="117">
        <f>SUM(F19:F27)</f>
        <v>3</v>
      </c>
      <c r="G18" s="156"/>
      <c r="H18" s="129">
        <f>SUM(H19:H27)</f>
        <v>4</v>
      </c>
      <c r="I18" s="156"/>
      <c r="J18" s="117">
        <f>SUM(J19:J27)</f>
        <v>2</v>
      </c>
      <c r="K18" s="156"/>
      <c r="L18" s="117">
        <f>SUM(L19:L27)</f>
        <v>0</v>
      </c>
      <c r="M18" s="118"/>
      <c r="N18" s="3"/>
      <c r="O18" s="3"/>
      <c r="P18" s="3"/>
      <c r="Q18" s="3"/>
      <c r="R18" s="3"/>
      <c r="S18" s="3"/>
      <c r="T18" s="3"/>
      <c r="U18" s="3"/>
      <c r="V18" s="3"/>
      <c r="W18" s="3"/>
      <c r="X18" s="3"/>
      <c r="Y18" s="3"/>
      <c r="Z18" s="3"/>
      <c r="AA18" s="3"/>
      <c r="AB18" s="3"/>
      <c r="AC18" s="3"/>
      <c r="AD18" s="3"/>
      <c r="AE18" s="3"/>
      <c r="AF18" s="3"/>
      <c r="AG18" s="3"/>
      <c r="AH18" s="3"/>
      <c r="AI18" s="3"/>
      <c r="AJ18" s="3"/>
      <c r="AK18" s="3"/>
    </row>
    <row r="19" spans="2:37" s="33" customFormat="1" ht="15" hidden="1" customHeight="1" outlineLevel="1" x14ac:dyDescent="0.25">
      <c r="B19" s="166" t="s">
        <v>61</v>
      </c>
      <c r="C19" s="107"/>
      <c r="D19" s="107"/>
      <c r="E19" s="108"/>
      <c r="F19" s="186"/>
      <c r="G19" s="108"/>
      <c r="H19" s="188"/>
      <c r="I19" s="108"/>
      <c r="J19" s="186">
        <v>1</v>
      </c>
      <c r="K19" s="108"/>
      <c r="L19" s="186"/>
      <c r="M19" s="154"/>
      <c r="N19" s="3" t="str">
        <f t="shared" ref="N19:N27" si="0">IF(SUM(F19,H19,J19,L19)&gt;1,"Error","")</f>
        <v/>
      </c>
      <c r="O19" s="3"/>
      <c r="P19" s="3"/>
      <c r="Q19" s="3"/>
      <c r="R19" s="3"/>
      <c r="S19" s="3"/>
      <c r="T19" s="3"/>
      <c r="U19" s="3"/>
      <c r="V19" s="3"/>
      <c r="W19" s="3"/>
      <c r="X19" s="3"/>
      <c r="Y19" s="3"/>
      <c r="Z19" s="3"/>
      <c r="AA19" s="3"/>
      <c r="AB19" s="3"/>
      <c r="AC19" s="3"/>
      <c r="AD19" s="3"/>
      <c r="AE19" s="3"/>
      <c r="AF19" s="3"/>
      <c r="AG19" s="3"/>
      <c r="AH19" s="3"/>
      <c r="AI19" s="3"/>
      <c r="AJ19" s="3"/>
      <c r="AK19" s="3"/>
    </row>
    <row r="20" spans="2:37" s="33" customFormat="1" ht="15" hidden="1" customHeight="1" outlineLevel="1" x14ac:dyDescent="0.25">
      <c r="B20" s="166" t="s">
        <v>62</v>
      </c>
      <c r="C20" s="107"/>
      <c r="D20" s="107"/>
      <c r="E20" s="108"/>
      <c r="F20" s="127">
        <v>1</v>
      </c>
      <c r="G20" s="108"/>
      <c r="H20" s="130"/>
      <c r="I20" s="108"/>
      <c r="J20" s="127"/>
      <c r="K20" s="108"/>
      <c r="L20" s="127"/>
      <c r="M20" s="154"/>
      <c r="N20" s="3" t="str">
        <f t="shared" si="0"/>
        <v/>
      </c>
      <c r="O20" s="3"/>
      <c r="P20" s="3"/>
      <c r="Q20" s="3"/>
      <c r="R20" s="3"/>
      <c r="S20" s="3"/>
      <c r="T20" s="3"/>
      <c r="U20" s="3"/>
      <c r="V20" s="3"/>
      <c r="W20" s="3"/>
      <c r="X20" s="3"/>
      <c r="Y20" s="3"/>
      <c r="Z20" s="3"/>
      <c r="AA20" s="3"/>
      <c r="AB20" s="3"/>
      <c r="AC20" s="3"/>
      <c r="AD20" s="3"/>
      <c r="AE20" s="3"/>
      <c r="AF20" s="3"/>
      <c r="AG20" s="3"/>
      <c r="AH20" s="3"/>
      <c r="AI20" s="3"/>
      <c r="AJ20" s="3"/>
      <c r="AK20" s="3"/>
    </row>
    <row r="21" spans="2:37" s="33" customFormat="1" ht="15" hidden="1" customHeight="1" outlineLevel="1" x14ac:dyDescent="0.25">
      <c r="B21" s="166" t="s">
        <v>63</v>
      </c>
      <c r="C21" s="107"/>
      <c r="D21" s="107"/>
      <c r="E21" s="108"/>
      <c r="F21" s="127"/>
      <c r="G21" s="108"/>
      <c r="H21" s="130">
        <v>1</v>
      </c>
      <c r="I21" s="108"/>
      <c r="J21" s="127"/>
      <c r="K21" s="108"/>
      <c r="L21" s="127"/>
      <c r="M21" s="154"/>
      <c r="N21" s="3" t="str">
        <f t="shared" si="0"/>
        <v/>
      </c>
      <c r="O21" s="3"/>
      <c r="P21" s="3"/>
      <c r="Q21" s="3"/>
      <c r="R21" s="3"/>
      <c r="S21" s="3"/>
      <c r="T21" s="3"/>
      <c r="U21" s="3"/>
      <c r="V21" s="3"/>
      <c r="W21" s="3"/>
      <c r="X21" s="3"/>
      <c r="Y21" s="3"/>
      <c r="Z21" s="3"/>
      <c r="AA21" s="3"/>
      <c r="AB21" s="3"/>
      <c r="AC21" s="3"/>
      <c r="AD21" s="3"/>
      <c r="AE21" s="3"/>
      <c r="AF21" s="3"/>
      <c r="AG21" s="3"/>
      <c r="AH21" s="3"/>
      <c r="AI21" s="3"/>
      <c r="AJ21" s="3"/>
      <c r="AK21" s="3"/>
    </row>
    <row r="22" spans="2:37" s="33" customFormat="1" ht="15" hidden="1" customHeight="1" outlineLevel="1" x14ac:dyDescent="0.25">
      <c r="B22" s="166" t="s">
        <v>64</v>
      </c>
      <c r="C22" s="107"/>
      <c r="D22" s="107"/>
      <c r="E22" s="108"/>
      <c r="F22" s="127"/>
      <c r="G22" s="108"/>
      <c r="H22" s="130">
        <v>1</v>
      </c>
      <c r="I22" s="108"/>
      <c r="J22" s="127"/>
      <c r="K22" s="108"/>
      <c r="L22" s="127"/>
      <c r="M22" s="154"/>
      <c r="N22" s="3" t="str">
        <f t="shared" si="0"/>
        <v/>
      </c>
      <c r="O22" s="3"/>
      <c r="P22" s="3"/>
      <c r="Q22" s="3"/>
      <c r="R22" s="3"/>
      <c r="S22" s="3"/>
      <c r="T22" s="3"/>
      <c r="U22" s="3"/>
      <c r="V22" s="3"/>
      <c r="W22" s="3"/>
      <c r="X22" s="3"/>
      <c r="Y22" s="3"/>
      <c r="Z22" s="3"/>
      <c r="AA22" s="3"/>
      <c r="AB22" s="3"/>
      <c r="AC22" s="3"/>
      <c r="AD22" s="3"/>
      <c r="AE22" s="3"/>
      <c r="AF22" s="3"/>
      <c r="AG22" s="3"/>
      <c r="AH22" s="3"/>
      <c r="AI22" s="3"/>
      <c r="AJ22" s="3"/>
      <c r="AK22" s="3"/>
    </row>
    <row r="23" spans="2:37" s="33" customFormat="1" ht="15" hidden="1" customHeight="1" outlineLevel="1" x14ac:dyDescent="0.25">
      <c r="B23" s="166" t="s">
        <v>65</v>
      </c>
      <c r="C23" s="107"/>
      <c r="D23" s="107"/>
      <c r="E23" s="108"/>
      <c r="F23" s="127"/>
      <c r="G23" s="108"/>
      <c r="H23" s="130">
        <v>1</v>
      </c>
      <c r="I23" s="108"/>
      <c r="J23" s="127"/>
      <c r="K23" s="108"/>
      <c r="L23" s="127"/>
      <c r="M23" s="154"/>
      <c r="N23" s="3" t="str">
        <f t="shared" si="0"/>
        <v/>
      </c>
      <c r="O23" s="3"/>
      <c r="P23" s="3"/>
      <c r="Q23" s="3"/>
      <c r="R23" s="3"/>
      <c r="S23" s="3"/>
      <c r="T23" s="3"/>
      <c r="U23" s="3"/>
      <c r="V23" s="3"/>
      <c r="W23" s="3"/>
      <c r="X23" s="3"/>
      <c r="Y23" s="3"/>
      <c r="Z23" s="3"/>
      <c r="AA23" s="3"/>
      <c r="AB23" s="3"/>
      <c r="AC23" s="3"/>
      <c r="AD23" s="3"/>
      <c r="AE23" s="3"/>
      <c r="AF23" s="3"/>
      <c r="AG23" s="3"/>
      <c r="AH23" s="3"/>
      <c r="AI23" s="3"/>
      <c r="AJ23" s="3"/>
      <c r="AK23" s="3"/>
    </row>
    <row r="24" spans="2:37" s="33" customFormat="1" ht="15" hidden="1" customHeight="1" outlineLevel="1" x14ac:dyDescent="0.25">
      <c r="B24" s="166" t="s">
        <v>66</v>
      </c>
      <c r="C24" s="107"/>
      <c r="D24" s="107"/>
      <c r="E24" s="108"/>
      <c r="F24" s="127"/>
      <c r="G24" s="108"/>
      <c r="H24" s="130">
        <v>1</v>
      </c>
      <c r="I24" s="108"/>
      <c r="J24" s="127"/>
      <c r="K24" s="108"/>
      <c r="L24" s="127"/>
      <c r="M24" s="154"/>
      <c r="N24" s="3" t="str">
        <f t="shared" si="0"/>
        <v/>
      </c>
      <c r="O24" s="3"/>
      <c r="P24" s="3"/>
      <c r="Q24" s="3"/>
      <c r="R24" s="3"/>
      <c r="S24" s="3"/>
      <c r="T24" s="3"/>
      <c r="U24" s="3"/>
      <c r="V24" s="3"/>
      <c r="W24" s="3"/>
      <c r="X24" s="3"/>
      <c r="Y24" s="3"/>
      <c r="Z24" s="3"/>
      <c r="AA24" s="3"/>
      <c r="AB24" s="3"/>
      <c r="AC24" s="3"/>
      <c r="AD24" s="3"/>
      <c r="AE24" s="3"/>
      <c r="AF24" s="3"/>
      <c r="AG24" s="3"/>
      <c r="AH24" s="3"/>
      <c r="AI24" s="3"/>
      <c r="AJ24" s="3"/>
      <c r="AK24" s="3"/>
    </row>
    <row r="25" spans="2:37" s="33" customFormat="1" ht="15" hidden="1" customHeight="1" outlineLevel="1" x14ac:dyDescent="0.25">
      <c r="B25" s="166" t="s">
        <v>67</v>
      </c>
      <c r="C25" s="107"/>
      <c r="D25" s="107"/>
      <c r="E25" s="108"/>
      <c r="F25" s="127">
        <v>1</v>
      </c>
      <c r="G25" s="108"/>
      <c r="H25" s="130"/>
      <c r="I25" s="108"/>
      <c r="J25" s="127"/>
      <c r="K25" s="108"/>
      <c r="L25" s="127"/>
      <c r="M25" s="154"/>
      <c r="N25" s="3" t="str">
        <f t="shared" si="0"/>
        <v/>
      </c>
      <c r="O25" s="3"/>
      <c r="P25" s="3"/>
      <c r="Q25" s="3"/>
      <c r="R25" s="3"/>
      <c r="S25" s="3"/>
      <c r="T25" s="3"/>
      <c r="U25" s="3"/>
      <c r="V25" s="3"/>
      <c r="W25" s="3"/>
      <c r="X25" s="3"/>
      <c r="Y25" s="3"/>
      <c r="Z25" s="3"/>
      <c r="AA25" s="3"/>
      <c r="AB25" s="3"/>
      <c r="AC25" s="3"/>
      <c r="AD25" s="3"/>
      <c r="AE25" s="3"/>
      <c r="AF25" s="3"/>
      <c r="AG25" s="3"/>
      <c r="AH25" s="3"/>
      <c r="AI25" s="3"/>
      <c r="AJ25" s="3"/>
      <c r="AK25" s="3"/>
    </row>
    <row r="26" spans="2:37" s="33" customFormat="1" ht="15" hidden="1" customHeight="1" outlineLevel="1" x14ac:dyDescent="0.25">
      <c r="B26" s="166" t="s">
        <v>68</v>
      </c>
      <c r="C26" s="107"/>
      <c r="D26" s="107"/>
      <c r="E26" s="108"/>
      <c r="F26" s="127"/>
      <c r="G26" s="108"/>
      <c r="H26" s="130"/>
      <c r="I26" s="108"/>
      <c r="J26" s="127">
        <v>1</v>
      </c>
      <c r="K26" s="108"/>
      <c r="L26" s="127"/>
      <c r="M26" s="154"/>
      <c r="N26" s="3" t="str">
        <f t="shared" si="0"/>
        <v/>
      </c>
      <c r="O26" s="3"/>
      <c r="P26" s="3"/>
      <c r="Q26" s="3"/>
      <c r="R26" s="3"/>
      <c r="S26" s="3"/>
      <c r="T26" s="3"/>
      <c r="U26" s="3"/>
      <c r="V26" s="3"/>
      <c r="W26" s="3"/>
      <c r="X26" s="3"/>
      <c r="Y26" s="3"/>
      <c r="Z26" s="3"/>
      <c r="AA26" s="3"/>
      <c r="AB26" s="3"/>
      <c r="AC26" s="3"/>
      <c r="AD26" s="3"/>
      <c r="AE26" s="3"/>
      <c r="AF26" s="3"/>
      <c r="AG26" s="3"/>
      <c r="AH26" s="3"/>
      <c r="AI26" s="3"/>
      <c r="AJ26" s="3"/>
      <c r="AK26" s="3"/>
    </row>
    <row r="27" spans="2:37" s="33" customFormat="1" ht="15" hidden="1" customHeight="1" outlineLevel="1" x14ac:dyDescent="0.25">
      <c r="B27" s="166" t="s">
        <v>69</v>
      </c>
      <c r="C27" s="107"/>
      <c r="D27" s="107"/>
      <c r="E27" s="108"/>
      <c r="F27" s="187">
        <v>1</v>
      </c>
      <c r="G27" s="108"/>
      <c r="H27" s="189"/>
      <c r="I27" s="108"/>
      <c r="J27" s="187"/>
      <c r="K27" s="108"/>
      <c r="L27" s="187"/>
      <c r="M27" s="154"/>
      <c r="N27" s="3" t="str">
        <f t="shared" si="0"/>
        <v/>
      </c>
      <c r="O27" s="3"/>
      <c r="P27" s="3"/>
      <c r="Q27" s="3"/>
      <c r="R27" s="3"/>
      <c r="S27" s="3"/>
      <c r="T27" s="3"/>
      <c r="U27" s="3"/>
      <c r="V27" s="3"/>
      <c r="W27" s="3"/>
      <c r="X27" s="3"/>
      <c r="Y27" s="3"/>
      <c r="Z27" s="3"/>
      <c r="AA27" s="3"/>
      <c r="AB27" s="3"/>
      <c r="AC27" s="3"/>
      <c r="AD27" s="3"/>
      <c r="AE27" s="3"/>
      <c r="AF27" s="3"/>
      <c r="AG27" s="3"/>
      <c r="AH27" s="3"/>
      <c r="AI27" s="3"/>
      <c r="AJ27" s="3"/>
      <c r="AK27" s="3"/>
    </row>
    <row r="28" spans="2:37" s="33" customFormat="1" ht="15" customHeight="1" collapsed="1" x14ac:dyDescent="0.25">
      <c r="B28" s="166" t="s">
        <v>40</v>
      </c>
      <c r="C28" s="107"/>
      <c r="D28" s="107"/>
      <c r="E28" s="108"/>
      <c r="F28" s="114">
        <f>SUM(F29:F39)</f>
        <v>4</v>
      </c>
      <c r="G28" s="108"/>
      <c r="H28" s="153">
        <f>SUM(H29:H39)</f>
        <v>7</v>
      </c>
      <c r="I28" s="108"/>
      <c r="J28" s="114">
        <f>SUM(J29:J39)</f>
        <v>0</v>
      </c>
      <c r="K28" s="108"/>
      <c r="L28" s="114">
        <f>SUM(L29:L39)</f>
        <v>0</v>
      </c>
      <c r="M28" s="154"/>
      <c r="N28" s="3"/>
      <c r="O28" s="3"/>
      <c r="P28" s="3"/>
      <c r="Q28" s="3"/>
      <c r="R28" s="3"/>
      <c r="S28" s="3"/>
      <c r="T28" s="3"/>
      <c r="U28" s="3"/>
      <c r="V28" s="3"/>
      <c r="W28" s="3"/>
      <c r="X28" s="3"/>
      <c r="Y28" s="3"/>
      <c r="Z28" s="3"/>
      <c r="AA28" s="3"/>
      <c r="AB28" s="3"/>
      <c r="AC28" s="3"/>
      <c r="AD28" s="3"/>
      <c r="AE28" s="3"/>
      <c r="AF28" s="3"/>
      <c r="AG28" s="3"/>
      <c r="AH28" s="3"/>
      <c r="AI28" s="3"/>
      <c r="AJ28" s="3"/>
      <c r="AK28" s="3"/>
    </row>
    <row r="29" spans="2:37" s="33" customFormat="1" ht="15" hidden="1" customHeight="1" outlineLevel="1" x14ac:dyDescent="0.25">
      <c r="B29" s="166" t="s">
        <v>70</v>
      </c>
      <c r="C29" s="107"/>
      <c r="D29" s="107"/>
      <c r="E29" s="108"/>
      <c r="F29" s="186"/>
      <c r="G29" s="108"/>
      <c r="H29" s="188">
        <v>1</v>
      </c>
      <c r="I29" s="108"/>
      <c r="J29" s="186"/>
      <c r="K29" s="108"/>
      <c r="L29" s="186"/>
      <c r="M29" s="154"/>
      <c r="N29" s="3" t="str">
        <f t="shared" ref="N29:N39" si="1">IF(SUM(F29,H29,J29,L29)&gt;1,"Error","")</f>
        <v/>
      </c>
      <c r="O29" s="3"/>
      <c r="P29" s="3"/>
      <c r="Q29" s="3"/>
      <c r="R29" s="3"/>
      <c r="S29" s="3"/>
      <c r="T29" s="3"/>
      <c r="U29" s="3"/>
      <c r="V29" s="3"/>
      <c r="W29" s="3"/>
      <c r="X29" s="3"/>
      <c r="Y29" s="3"/>
      <c r="Z29" s="3"/>
      <c r="AA29" s="3"/>
      <c r="AB29" s="3"/>
      <c r="AC29" s="3"/>
      <c r="AD29" s="3"/>
      <c r="AE29" s="3"/>
      <c r="AF29" s="3"/>
      <c r="AG29" s="3"/>
      <c r="AH29" s="3"/>
      <c r="AI29" s="3"/>
      <c r="AJ29" s="3"/>
      <c r="AK29" s="3"/>
    </row>
    <row r="30" spans="2:37" s="33" customFormat="1" ht="15" hidden="1" customHeight="1" outlineLevel="1" x14ac:dyDescent="0.25">
      <c r="B30" s="166" t="s">
        <v>71</v>
      </c>
      <c r="C30" s="107"/>
      <c r="D30" s="107"/>
      <c r="E30" s="108"/>
      <c r="F30" s="127">
        <v>1</v>
      </c>
      <c r="G30" s="108"/>
      <c r="H30" s="130"/>
      <c r="I30" s="108"/>
      <c r="J30" s="127"/>
      <c r="K30" s="108"/>
      <c r="L30" s="127"/>
      <c r="M30" s="154"/>
      <c r="N30" s="3" t="str">
        <f t="shared" si="1"/>
        <v/>
      </c>
      <c r="O30" s="3"/>
      <c r="P30" s="3"/>
      <c r="Q30" s="3"/>
      <c r="R30" s="3"/>
      <c r="S30" s="3"/>
      <c r="T30" s="3"/>
      <c r="U30" s="3"/>
      <c r="V30" s="3"/>
      <c r="W30" s="3"/>
      <c r="X30" s="3"/>
      <c r="Y30" s="3"/>
      <c r="Z30" s="3"/>
      <c r="AA30" s="3"/>
      <c r="AB30" s="3"/>
      <c r="AC30" s="3"/>
      <c r="AD30" s="3"/>
      <c r="AE30" s="3"/>
      <c r="AF30" s="3"/>
      <c r="AG30" s="3"/>
      <c r="AH30" s="3"/>
      <c r="AI30" s="3"/>
      <c r="AJ30" s="3"/>
      <c r="AK30" s="3"/>
    </row>
    <row r="31" spans="2:37" s="33" customFormat="1" ht="15" hidden="1" customHeight="1" outlineLevel="1" x14ac:dyDescent="0.25">
      <c r="B31" s="166" t="s">
        <v>72</v>
      </c>
      <c r="C31" s="107"/>
      <c r="D31" s="107"/>
      <c r="E31" s="108"/>
      <c r="F31" s="127">
        <v>1</v>
      </c>
      <c r="G31" s="108"/>
      <c r="H31" s="130"/>
      <c r="I31" s="108"/>
      <c r="J31" s="127"/>
      <c r="K31" s="108"/>
      <c r="L31" s="127"/>
      <c r="M31" s="154"/>
      <c r="N31" s="3" t="str">
        <f t="shared" si="1"/>
        <v/>
      </c>
      <c r="O31" s="3"/>
      <c r="P31" s="3"/>
      <c r="Q31" s="3"/>
      <c r="R31" s="3"/>
      <c r="S31" s="3"/>
      <c r="T31" s="3"/>
      <c r="U31" s="3"/>
      <c r="V31" s="3"/>
      <c r="W31" s="3"/>
      <c r="X31" s="3"/>
      <c r="Y31" s="3"/>
      <c r="Z31" s="3"/>
      <c r="AA31" s="3"/>
      <c r="AB31" s="3"/>
      <c r="AC31" s="3"/>
      <c r="AD31" s="3"/>
      <c r="AE31" s="3"/>
      <c r="AF31" s="3"/>
      <c r="AG31" s="3"/>
      <c r="AH31" s="3"/>
      <c r="AI31" s="3"/>
      <c r="AJ31" s="3"/>
      <c r="AK31" s="3"/>
    </row>
    <row r="32" spans="2:37" s="33" customFormat="1" ht="15" hidden="1" customHeight="1" outlineLevel="1" x14ac:dyDescent="0.25">
      <c r="B32" s="166" t="s">
        <v>73</v>
      </c>
      <c r="C32" s="107"/>
      <c r="D32" s="107"/>
      <c r="E32" s="108"/>
      <c r="F32" s="127"/>
      <c r="G32" s="108"/>
      <c r="H32" s="130">
        <v>1</v>
      </c>
      <c r="I32" s="108"/>
      <c r="J32" s="127"/>
      <c r="K32" s="108"/>
      <c r="L32" s="127"/>
      <c r="M32" s="154"/>
      <c r="N32" s="3" t="str">
        <f t="shared" si="1"/>
        <v/>
      </c>
      <c r="O32" s="3"/>
      <c r="P32" s="3"/>
      <c r="Q32" s="3"/>
      <c r="R32" s="3"/>
      <c r="S32" s="3"/>
      <c r="T32" s="3"/>
      <c r="U32" s="3"/>
      <c r="V32" s="3"/>
      <c r="W32" s="3"/>
      <c r="X32" s="3"/>
      <c r="Y32" s="3"/>
      <c r="Z32" s="3"/>
      <c r="AA32" s="3"/>
      <c r="AB32" s="3"/>
      <c r="AC32" s="3"/>
      <c r="AD32" s="3"/>
      <c r="AE32" s="3"/>
      <c r="AF32" s="3"/>
      <c r="AG32" s="3"/>
      <c r="AH32" s="3"/>
      <c r="AI32" s="3"/>
      <c r="AJ32" s="3"/>
      <c r="AK32" s="3"/>
    </row>
    <row r="33" spans="2:37" s="33" customFormat="1" ht="15" hidden="1" customHeight="1" outlineLevel="1" x14ac:dyDescent="0.25">
      <c r="B33" s="166" t="s">
        <v>74</v>
      </c>
      <c r="C33" s="107"/>
      <c r="D33" s="107"/>
      <c r="E33" s="108"/>
      <c r="F33" s="127"/>
      <c r="G33" s="108"/>
      <c r="H33" s="130">
        <v>1</v>
      </c>
      <c r="I33" s="108"/>
      <c r="J33" s="127"/>
      <c r="K33" s="108"/>
      <c r="L33" s="127"/>
      <c r="M33" s="154"/>
      <c r="N33" s="3" t="str">
        <f t="shared" si="1"/>
        <v/>
      </c>
      <c r="O33" s="3"/>
      <c r="P33" s="3"/>
      <c r="Q33" s="3"/>
      <c r="R33" s="3"/>
      <c r="S33" s="3"/>
      <c r="T33" s="3"/>
      <c r="U33" s="3"/>
      <c r="V33" s="3"/>
      <c r="W33" s="3"/>
      <c r="X33" s="3"/>
      <c r="Y33" s="3"/>
      <c r="Z33" s="3"/>
      <c r="AA33" s="3"/>
      <c r="AB33" s="3"/>
      <c r="AC33" s="3"/>
      <c r="AD33" s="3"/>
      <c r="AE33" s="3"/>
      <c r="AF33" s="3"/>
      <c r="AG33" s="3"/>
      <c r="AH33" s="3"/>
      <c r="AI33" s="3"/>
      <c r="AJ33" s="3"/>
      <c r="AK33" s="3"/>
    </row>
    <row r="34" spans="2:37" s="33" customFormat="1" ht="15" hidden="1" customHeight="1" outlineLevel="1" x14ac:dyDescent="0.25">
      <c r="B34" s="166" t="s">
        <v>75</v>
      </c>
      <c r="C34" s="107"/>
      <c r="D34" s="107"/>
      <c r="E34" s="108"/>
      <c r="F34" s="127"/>
      <c r="G34" s="108"/>
      <c r="H34" s="130">
        <v>1</v>
      </c>
      <c r="I34" s="108"/>
      <c r="J34" s="127"/>
      <c r="K34" s="108"/>
      <c r="L34" s="127"/>
      <c r="M34" s="154"/>
      <c r="N34" s="3" t="str">
        <f t="shared" si="1"/>
        <v/>
      </c>
      <c r="O34" s="3"/>
      <c r="P34" s="3"/>
      <c r="Q34" s="3"/>
      <c r="R34" s="3"/>
      <c r="S34" s="3"/>
      <c r="T34" s="3"/>
      <c r="U34" s="3"/>
      <c r="V34" s="3"/>
      <c r="W34" s="3"/>
      <c r="X34" s="3"/>
      <c r="Y34" s="3"/>
      <c r="Z34" s="3"/>
      <c r="AA34" s="3"/>
      <c r="AB34" s="3"/>
      <c r="AC34" s="3"/>
      <c r="AD34" s="3"/>
      <c r="AE34" s="3"/>
      <c r="AF34" s="3"/>
      <c r="AG34" s="3"/>
      <c r="AH34" s="3"/>
      <c r="AI34" s="3"/>
      <c r="AJ34" s="3"/>
      <c r="AK34" s="3"/>
    </row>
    <row r="35" spans="2:37" s="33" customFormat="1" ht="15" hidden="1" customHeight="1" outlineLevel="1" x14ac:dyDescent="0.25">
      <c r="B35" s="166" t="s">
        <v>76</v>
      </c>
      <c r="C35" s="107"/>
      <c r="D35" s="107"/>
      <c r="E35" s="108"/>
      <c r="F35" s="127">
        <v>1</v>
      </c>
      <c r="G35" s="108"/>
      <c r="H35" s="130"/>
      <c r="I35" s="108"/>
      <c r="J35" s="127"/>
      <c r="K35" s="108"/>
      <c r="L35" s="127"/>
      <c r="M35" s="154"/>
      <c r="N35" s="3" t="str">
        <f t="shared" si="1"/>
        <v/>
      </c>
      <c r="O35" s="3"/>
      <c r="P35" s="3"/>
      <c r="Q35" s="3"/>
      <c r="R35" s="3"/>
      <c r="S35" s="3"/>
      <c r="T35" s="3"/>
      <c r="U35" s="3"/>
      <c r="V35" s="3"/>
      <c r="W35" s="3"/>
      <c r="X35" s="3"/>
      <c r="Y35" s="3"/>
      <c r="Z35" s="3"/>
      <c r="AA35" s="3"/>
      <c r="AB35" s="3"/>
      <c r="AC35" s="3"/>
      <c r="AD35" s="3"/>
      <c r="AE35" s="3"/>
      <c r="AF35" s="3"/>
      <c r="AG35" s="3"/>
      <c r="AH35" s="3"/>
      <c r="AI35" s="3"/>
      <c r="AJ35" s="3"/>
      <c r="AK35" s="3"/>
    </row>
    <row r="36" spans="2:37" s="33" customFormat="1" ht="15" hidden="1" customHeight="1" outlineLevel="1" x14ac:dyDescent="0.25">
      <c r="B36" s="166" t="s">
        <v>77</v>
      </c>
      <c r="C36" s="107"/>
      <c r="D36" s="107"/>
      <c r="E36" s="108"/>
      <c r="F36" s="127"/>
      <c r="G36" s="108"/>
      <c r="H36" s="130">
        <v>1</v>
      </c>
      <c r="I36" s="108"/>
      <c r="J36" s="127"/>
      <c r="K36" s="108"/>
      <c r="L36" s="127"/>
      <c r="M36" s="154"/>
      <c r="N36" s="3" t="str">
        <f t="shared" si="1"/>
        <v/>
      </c>
      <c r="O36" s="3"/>
      <c r="P36" s="3"/>
      <c r="Q36" s="3"/>
      <c r="R36" s="3"/>
      <c r="S36" s="3"/>
      <c r="T36" s="3"/>
      <c r="U36" s="3"/>
      <c r="V36" s="3"/>
      <c r="W36" s="3"/>
      <c r="X36" s="3"/>
      <c r="Y36" s="3"/>
      <c r="Z36" s="3"/>
      <c r="AA36" s="3"/>
      <c r="AB36" s="3"/>
      <c r="AC36" s="3"/>
      <c r="AD36" s="3"/>
      <c r="AE36" s="3"/>
      <c r="AF36" s="3"/>
      <c r="AG36" s="3"/>
      <c r="AH36" s="3"/>
      <c r="AI36" s="3"/>
      <c r="AJ36" s="3"/>
      <c r="AK36" s="3"/>
    </row>
    <row r="37" spans="2:37" s="33" customFormat="1" ht="15" hidden="1" customHeight="1" outlineLevel="1" x14ac:dyDescent="0.25">
      <c r="B37" s="166" t="s">
        <v>78</v>
      </c>
      <c r="C37" s="107"/>
      <c r="D37" s="107"/>
      <c r="E37" s="108"/>
      <c r="F37" s="127"/>
      <c r="G37" s="108"/>
      <c r="H37" s="130">
        <v>1</v>
      </c>
      <c r="I37" s="108"/>
      <c r="J37" s="127"/>
      <c r="K37" s="108"/>
      <c r="L37" s="127"/>
      <c r="M37" s="154"/>
      <c r="N37" s="3" t="str">
        <f t="shared" si="1"/>
        <v/>
      </c>
      <c r="O37" s="3"/>
      <c r="P37" s="3"/>
      <c r="Q37" s="3"/>
      <c r="R37" s="3"/>
      <c r="S37" s="3"/>
      <c r="T37" s="3"/>
      <c r="U37" s="3"/>
      <c r="V37" s="3"/>
      <c r="W37" s="3"/>
      <c r="X37" s="3"/>
      <c r="Y37" s="3"/>
      <c r="Z37" s="3"/>
      <c r="AA37" s="3"/>
      <c r="AB37" s="3"/>
      <c r="AC37" s="3"/>
      <c r="AD37" s="3"/>
      <c r="AE37" s="3"/>
      <c r="AF37" s="3"/>
      <c r="AG37" s="3"/>
      <c r="AH37" s="3"/>
      <c r="AI37" s="3"/>
      <c r="AJ37" s="3"/>
      <c r="AK37" s="3"/>
    </row>
    <row r="38" spans="2:37" s="33" customFormat="1" ht="15" hidden="1" customHeight="1" outlineLevel="1" x14ac:dyDescent="0.25">
      <c r="B38" s="166" t="s">
        <v>41</v>
      </c>
      <c r="C38" s="107"/>
      <c r="D38" s="107"/>
      <c r="E38" s="108"/>
      <c r="F38" s="127"/>
      <c r="G38" s="108"/>
      <c r="H38" s="130">
        <v>1</v>
      </c>
      <c r="I38" s="108"/>
      <c r="J38" s="127"/>
      <c r="K38" s="108"/>
      <c r="L38" s="127"/>
      <c r="M38" s="154"/>
      <c r="N38" s="3" t="str">
        <f t="shared" si="1"/>
        <v/>
      </c>
      <c r="O38" s="3"/>
      <c r="P38" s="3"/>
      <c r="Q38" s="3"/>
      <c r="R38" s="3"/>
      <c r="S38" s="3"/>
      <c r="T38" s="3"/>
      <c r="U38" s="3"/>
      <c r="V38" s="3"/>
      <c r="W38" s="3"/>
      <c r="X38" s="3"/>
      <c r="Y38" s="3"/>
      <c r="Z38" s="3"/>
      <c r="AA38" s="3"/>
      <c r="AB38" s="3"/>
      <c r="AC38" s="3"/>
      <c r="AD38" s="3"/>
      <c r="AE38" s="3"/>
      <c r="AF38" s="3"/>
      <c r="AG38" s="3"/>
      <c r="AH38" s="3"/>
      <c r="AI38" s="3"/>
      <c r="AJ38" s="3"/>
      <c r="AK38" s="3"/>
    </row>
    <row r="39" spans="2:37" s="33" customFormat="1" ht="15" hidden="1" customHeight="1" outlineLevel="1" x14ac:dyDescent="0.25">
      <c r="B39" s="166" t="s">
        <v>79</v>
      </c>
      <c r="C39" s="107"/>
      <c r="D39" s="107"/>
      <c r="E39" s="108"/>
      <c r="F39" s="187">
        <v>1</v>
      </c>
      <c r="G39" s="108"/>
      <c r="H39" s="189"/>
      <c r="I39" s="108"/>
      <c r="J39" s="187"/>
      <c r="K39" s="108"/>
      <c r="L39" s="187"/>
      <c r="M39" s="154"/>
      <c r="N39" s="3" t="str">
        <f t="shared" si="1"/>
        <v/>
      </c>
      <c r="O39" s="3"/>
      <c r="P39" s="3"/>
      <c r="Q39" s="3"/>
      <c r="R39" s="3"/>
      <c r="S39" s="3"/>
      <c r="T39" s="3"/>
      <c r="U39" s="3"/>
      <c r="V39" s="3"/>
      <c r="W39" s="3"/>
      <c r="X39" s="3"/>
      <c r="Y39" s="3"/>
      <c r="Z39" s="3"/>
      <c r="AA39" s="3"/>
      <c r="AB39" s="3"/>
      <c r="AC39" s="3"/>
      <c r="AD39" s="3"/>
      <c r="AE39" s="3"/>
      <c r="AF39" s="3"/>
      <c r="AG39" s="3"/>
      <c r="AH39" s="3"/>
      <c r="AI39" s="3"/>
      <c r="AJ39" s="3"/>
      <c r="AK39" s="3"/>
    </row>
    <row r="40" spans="2:37" s="33" customFormat="1" ht="15" customHeight="1" collapsed="1" x14ac:dyDescent="0.25">
      <c r="B40" s="126" t="s">
        <v>80</v>
      </c>
      <c r="C40" s="155"/>
      <c r="D40" s="155"/>
      <c r="E40" s="156"/>
      <c r="F40" s="117">
        <f>SUM(F41:F44)</f>
        <v>1</v>
      </c>
      <c r="G40" s="156"/>
      <c r="H40" s="129">
        <f>SUM(H41:H44)</f>
        <v>1</v>
      </c>
      <c r="I40" s="156"/>
      <c r="J40" s="117">
        <f>SUM(J41:J44)</f>
        <v>1</v>
      </c>
      <c r="K40" s="156"/>
      <c r="L40" s="117">
        <f>SUM(L41:L44)</f>
        <v>1</v>
      </c>
      <c r="M40" s="118"/>
      <c r="N40" s="3"/>
      <c r="O40" s="3"/>
      <c r="P40" s="3"/>
      <c r="Q40" s="3"/>
      <c r="R40" s="3"/>
      <c r="S40" s="3"/>
      <c r="T40" s="3"/>
      <c r="U40" s="3"/>
      <c r="V40" s="3"/>
      <c r="W40" s="3"/>
      <c r="X40" s="3"/>
      <c r="Y40" s="3"/>
      <c r="Z40" s="3"/>
      <c r="AA40" s="3"/>
      <c r="AB40" s="3"/>
      <c r="AC40" s="3"/>
      <c r="AD40" s="3"/>
      <c r="AE40" s="3"/>
      <c r="AF40" s="3"/>
      <c r="AG40" s="3"/>
      <c r="AH40" s="3"/>
      <c r="AI40" s="3"/>
      <c r="AJ40" s="3"/>
      <c r="AK40" s="3"/>
    </row>
    <row r="41" spans="2:37" s="33" customFormat="1" ht="15" hidden="1" customHeight="1" outlineLevel="1" x14ac:dyDescent="0.25">
      <c r="B41" s="166" t="s">
        <v>81</v>
      </c>
      <c r="C41" s="107"/>
      <c r="D41" s="107"/>
      <c r="E41" s="108"/>
      <c r="F41" s="186"/>
      <c r="G41" s="108"/>
      <c r="H41" s="188"/>
      <c r="I41" s="108"/>
      <c r="J41" s="186"/>
      <c r="K41" s="108"/>
      <c r="L41" s="186">
        <v>1</v>
      </c>
      <c r="M41" s="154"/>
      <c r="N41" s="3" t="str">
        <f>IF(SUM(F41,H41,J41,L41)&gt;1,"Error","")</f>
        <v/>
      </c>
      <c r="O41" s="3"/>
      <c r="P41" s="3"/>
      <c r="Q41" s="3"/>
      <c r="R41" s="3"/>
      <c r="S41" s="3"/>
      <c r="T41" s="3"/>
      <c r="U41" s="3"/>
      <c r="V41" s="3"/>
      <c r="W41" s="3"/>
      <c r="X41" s="3"/>
      <c r="Y41" s="3"/>
      <c r="Z41" s="3"/>
      <c r="AA41" s="3"/>
      <c r="AB41" s="3"/>
      <c r="AC41" s="3"/>
      <c r="AD41" s="3"/>
      <c r="AE41" s="3"/>
      <c r="AF41" s="3"/>
      <c r="AG41" s="3"/>
      <c r="AH41" s="3"/>
      <c r="AI41" s="3"/>
      <c r="AJ41" s="3"/>
      <c r="AK41" s="3"/>
    </row>
    <row r="42" spans="2:37" s="33" customFormat="1" ht="15" hidden="1" customHeight="1" outlineLevel="1" x14ac:dyDescent="0.25">
      <c r="B42" s="166" t="s">
        <v>82</v>
      </c>
      <c r="C42" s="107"/>
      <c r="D42" s="107"/>
      <c r="E42" s="108"/>
      <c r="F42" s="127"/>
      <c r="G42" s="108"/>
      <c r="H42" s="130">
        <v>1</v>
      </c>
      <c r="I42" s="108"/>
      <c r="J42" s="127"/>
      <c r="K42" s="108"/>
      <c r="L42" s="127"/>
      <c r="M42" s="154"/>
      <c r="N42" s="3" t="str">
        <f>IF(SUM(F42,H42,J42,L42)&gt;1,"Error","")</f>
        <v/>
      </c>
      <c r="O42" s="3"/>
      <c r="P42" s="3"/>
      <c r="Q42" s="3"/>
      <c r="R42" s="3"/>
      <c r="S42" s="3"/>
      <c r="T42" s="3"/>
      <c r="U42" s="3"/>
      <c r="V42" s="3"/>
      <c r="W42" s="3"/>
      <c r="X42" s="3"/>
      <c r="Y42" s="3"/>
      <c r="Z42" s="3"/>
      <c r="AA42" s="3"/>
      <c r="AB42" s="3"/>
      <c r="AC42" s="3"/>
      <c r="AD42" s="3"/>
      <c r="AE42" s="3"/>
      <c r="AF42" s="3"/>
      <c r="AG42" s="3"/>
      <c r="AH42" s="3"/>
      <c r="AI42" s="3"/>
      <c r="AJ42" s="3"/>
      <c r="AK42" s="3"/>
    </row>
    <row r="43" spans="2:37" s="33" customFormat="1" ht="15" hidden="1" customHeight="1" outlineLevel="1" x14ac:dyDescent="0.25">
      <c r="B43" s="166" t="s">
        <v>83</v>
      </c>
      <c r="C43" s="107"/>
      <c r="D43" s="107"/>
      <c r="E43" s="108"/>
      <c r="F43" s="127"/>
      <c r="G43" s="108"/>
      <c r="H43" s="130"/>
      <c r="I43" s="108"/>
      <c r="J43" s="127">
        <v>1</v>
      </c>
      <c r="K43" s="108"/>
      <c r="L43" s="127"/>
      <c r="M43" s="154"/>
      <c r="N43" s="3" t="str">
        <f>IF(SUM(F43,H43,J43,L43)&gt;1,"Error","")</f>
        <v/>
      </c>
      <c r="O43" s="3"/>
      <c r="P43" s="3"/>
      <c r="Q43" s="3"/>
      <c r="R43" s="3"/>
      <c r="S43" s="3"/>
      <c r="T43" s="3"/>
      <c r="U43" s="3"/>
      <c r="V43" s="3"/>
      <c r="W43" s="3"/>
      <c r="X43" s="3"/>
      <c r="Y43" s="3"/>
      <c r="Z43" s="3"/>
      <c r="AA43" s="3"/>
      <c r="AB43" s="3"/>
      <c r="AC43" s="3"/>
      <c r="AD43" s="3"/>
      <c r="AE43" s="3"/>
      <c r="AF43" s="3"/>
      <c r="AG43" s="3"/>
      <c r="AH43" s="3"/>
      <c r="AI43" s="3"/>
      <c r="AJ43" s="3"/>
      <c r="AK43" s="3"/>
    </row>
    <row r="44" spans="2:37" s="33" customFormat="1" ht="15" hidden="1" customHeight="1" outlineLevel="1" x14ac:dyDescent="0.25">
      <c r="B44" s="166" t="s">
        <v>84</v>
      </c>
      <c r="C44" s="107"/>
      <c r="D44" s="107"/>
      <c r="E44" s="108"/>
      <c r="F44" s="187">
        <v>1</v>
      </c>
      <c r="G44" s="108"/>
      <c r="H44" s="189"/>
      <c r="I44" s="108"/>
      <c r="J44" s="187"/>
      <c r="K44" s="108"/>
      <c r="L44" s="187"/>
      <c r="M44" s="154"/>
      <c r="N44" s="3" t="str">
        <f>IF(SUM(F44,H44,J44,L44)&gt;1,"Error","")</f>
        <v/>
      </c>
      <c r="O44" s="3"/>
      <c r="P44" s="3"/>
      <c r="Q44" s="3"/>
      <c r="R44" s="3"/>
      <c r="S44" s="3"/>
      <c r="T44" s="3"/>
      <c r="U44" s="3"/>
      <c r="V44" s="3"/>
      <c r="W44" s="3"/>
      <c r="X44" s="3"/>
      <c r="Y44" s="3"/>
      <c r="Z44" s="3"/>
      <c r="AA44" s="3"/>
      <c r="AB44" s="3"/>
      <c r="AC44" s="3"/>
      <c r="AD44" s="3"/>
      <c r="AE44" s="3"/>
      <c r="AF44" s="3"/>
      <c r="AG44" s="3"/>
      <c r="AH44" s="3"/>
      <c r="AI44" s="3"/>
      <c r="AJ44" s="3"/>
      <c r="AK44" s="3"/>
    </row>
    <row r="45" spans="2:37" s="33" customFormat="1" ht="15" customHeight="1" collapsed="1" x14ac:dyDescent="0.25">
      <c r="B45" s="166" t="s">
        <v>85</v>
      </c>
      <c r="C45" s="107"/>
      <c r="D45" s="107"/>
      <c r="E45" s="108"/>
      <c r="F45" s="114">
        <f>SUM(F46:F69)</f>
        <v>11</v>
      </c>
      <c r="G45" s="108"/>
      <c r="H45" s="153">
        <f>SUM(H46:H69)</f>
        <v>10</v>
      </c>
      <c r="I45" s="108"/>
      <c r="J45" s="114">
        <f>SUM(J46:J69)</f>
        <v>3</v>
      </c>
      <c r="K45" s="108"/>
      <c r="L45" s="114">
        <f>SUM(L46:L69)</f>
        <v>0</v>
      </c>
      <c r="M45" s="154"/>
      <c r="N45" s="3"/>
      <c r="O45" s="3"/>
      <c r="P45" s="3"/>
      <c r="Q45" s="3"/>
      <c r="R45" s="3"/>
      <c r="S45" s="3"/>
      <c r="T45" s="3"/>
      <c r="U45" s="3"/>
      <c r="V45" s="3"/>
      <c r="W45" s="3"/>
      <c r="X45" s="3"/>
      <c r="Y45" s="3"/>
      <c r="Z45" s="3"/>
      <c r="AA45" s="3"/>
      <c r="AB45" s="3"/>
      <c r="AC45" s="3"/>
      <c r="AD45" s="3"/>
      <c r="AE45" s="3"/>
      <c r="AF45" s="3"/>
      <c r="AG45" s="3"/>
      <c r="AH45" s="3"/>
      <c r="AI45" s="3"/>
      <c r="AJ45" s="3"/>
      <c r="AK45" s="3"/>
    </row>
    <row r="46" spans="2:37" s="33" customFormat="1" ht="15" hidden="1" customHeight="1" outlineLevel="1" x14ac:dyDescent="0.25">
      <c r="B46" s="166" t="s">
        <v>86</v>
      </c>
      <c r="C46" s="107"/>
      <c r="D46" s="107"/>
      <c r="E46" s="108"/>
      <c r="F46" s="186"/>
      <c r="G46" s="108"/>
      <c r="H46" s="188">
        <v>1</v>
      </c>
      <c r="I46" s="108"/>
      <c r="J46" s="186"/>
      <c r="K46" s="108"/>
      <c r="L46" s="186"/>
      <c r="M46" s="154"/>
      <c r="N46" s="3" t="str">
        <f t="shared" ref="N46:N69" si="2">IF(SUM(F46,H46,J46,L46)&gt;1,"Error","")</f>
        <v/>
      </c>
      <c r="O46" s="3"/>
      <c r="P46" s="3"/>
      <c r="Q46" s="3"/>
      <c r="R46" s="3"/>
      <c r="S46" s="3"/>
      <c r="T46" s="3"/>
      <c r="U46" s="3"/>
      <c r="V46" s="3"/>
      <c r="W46" s="3"/>
      <c r="X46" s="3"/>
      <c r="Y46" s="3"/>
      <c r="Z46" s="3"/>
      <c r="AA46" s="3"/>
      <c r="AB46" s="3"/>
      <c r="AC46" s="3"/>
      <c r="AD46" s="3"/>
      <c r="AE46" s="3"/>
      <c r="AF46" s="3"/>
      <c r="AG46" s="3"/>
      <c r="AH46" s="3"/>
      <c r="AI46" s="3"/>
      <c r="AJ46" s="3"/>
      <c r="AK46" s="3"/>
    </row>
    <row r="47" spans="2:37" s="33" customFormat="1" ht="15" hidden="1" customHeight="1" outlineLevel="1" x14ac:dyDescent="0.25">
      <c r="B47" s="166" t="s">
        <v>87</v>
      </c>
      <c r="C47" s="107"/>
      <c r="D47" s="107"/>
      <c r="E47" s="108"/>
      <c r="F47" s="127">
        <v>1</v>
      </c>
      <c r="G47" s="108"/>
      <c r="H47" s="130"/>
      <c r="I47" s="108"/>
      <c r="J47" s="127"/>
      <c r="K47" s="108"/>
      <c r="L47" s="127"/>
      <c r="M47" s="154"/>
      <c r="N47" s="3" t="str">
        <f t="shared" si="2"/>
        <v/>
      </c>
      <c r="O47" s="3"/>
      <c r="P47" s="3"/>
      <c r="Q47" s="3"/>
      <c r="R47" s="3"/>
      <c r="S47" s="3"/>
      <c r="T47" s="3"/>
      <c r="U47" s="3"/>
      <c r="V47" s="3"/>
      <c r="W47" s="3"/>
      <c r="X47" s="3"/>
      <c r="Y47" s="3"/>
      <c r="Z47" s="3"/>
      <c r="AA47" s="3"/>
      <c r="AB47" s="3"/>
      <c r="AC47" s="3"/>
      <c r="AD47" s="3"/>
      <c r="AE47" s="3"/>
      <c r="AF47" s="3"/>
      <c r="AG47" s="3"/>
      <c r="AH47" s="3"/>
      <c r="AI47" s="3"/>
      <c r="AJ47" s="3"/>
      <c r="AK47" s="3"/>
    </row>
    <row r="48" spans="2:37" s="33" customFormat="1" ht="15" hidden="1" customHeight="1" outlineLevel="1" x14ac:dyDescent="0.25">
      <c r="B48" s="166" t="s">
        <v>88</v>
      </c>
      <c r="C48" s="107"/>
      <c r="D48" s="107"/>
      <c r="E48" s="108"/>
      <c r="F48" s="127"/>
      <c r="G48" s="108"/>
      <c r="H48" s="130">
        <v>1</v>
      </c>
      <c r="I48" s="108"/>
      <c r="J48" s="127"/>
      <c r="K48" s="108"/>
      <c r="L48" s="127"/>
      <c r="M48" s="154"/>
      <c r="N48" s="3" t="str">
        <f t="shared" si="2"/>
        <v/>
      </c>
      <c r="O48" s="3"/>
      <c r="P48" s="3"/>
      <c r="Q48" s="3"/>
      <c r="R48" s="3"/>
      <c r="S48" s="3"/>
      <c r="T48" s="3"/>
      <c r="U48" s="3"/>
      <c r="V48" s="3"/>
      <c r="W48" s="3"/>
      <c r="X48" s="3"/>
      <c r="Y48" s="3"/>
      <c r="Z48" s="3"/>
      <c r="AA48" s="3"/>
      <c r="AB48" s="3"/>
      <c r="AC48" s="3"/>
      <c r="AD48" s="3"/>
      <c r="AE48" s="3"/>
      <c r="AF48" s="3"/>
      <c r="AG48" s="3"/>
      <c r="AH48" s="3"/>
      <c r="AI48" s="3"/>
      <c r="AJ48" s="3"/>
      <c r="AK48" s="3"/>
    </row>
    <row r="49" spans="2:37" s="33" customFormat="1" ht="15" hidden="1" customHeight="1" outlineLevel="1" x14ac:dyDescent="0.25">
      <c r="B49" s="166" t="s">
        <v>89</v>
      </c>
      <c r="C49" s="107"/>
      <c r="D49" s="107"/>
      <c r="E49" s="108"/>
      <c r="F49" s="127"/>
      <c r="G49" s="108"/>
      <c r="H49" s="130">
        <v>1</v>
      </c>
      <c r="I49" s="108"/>
      <c r="J49" s="127"/>
      <c r="K49" s="108"/>
      <c r="L49" s="127"/>
      <c r="M49" s="154"/>
      <c r="N49" s="3" t="str">
        <f t="shared" si="2"/>
        <v/>
      </c>
      <c r="O49" s="3"/>
      <c r="P49" s="3"/>
      <c r="Q49" s="3"/>
      <c r="R49" s="3"/>
      <c r="S49" s="3"/>
      <c r="T49" s="3"/>
      <c r="U49" s="3"/>
      <c r="V49" s="3"/>
      <c r="W49" s="3"/>
      <c r="X49" s="3"/>
      <c r="Y49" s="3"/>
      <c r="Z49" s="3"/>
      <c r="AA49" s="3"/>
      <c r="AB49" s="3"/>
      <c r="AC49" s="3"/>
      <c r="AD49" s="3"/>
      <c r="AE49" s="3"/>
      <c r="AF49" s="3"/>
      <c r="AG49" s="3"/>
      <c r="AH49" s="3"/>
      <c r="AI49" s="3"/>
      <c r="AJ49" s="3"/>
      <c r="AK49" s="3"/>
    </row>
    <row r="50" spans="2:37" s="33" customFormat="1" ht="15" hidden="1" customHeight="1" outlineLevel="1" x14ac:dyDescent="0.25">
      <c r="B50" s="166" t="s">
        <v>90</v>
      </c>
      <c r="C50" s="107"/>
      <c r="D50" s="107"/>
      <c r="E50" s="108"/>
      <c r="F50" s="127"/>
      <c r="G50" s="108"/>
      <c r="H50" s="130">
        <v>1</v>
      </c>
      <c r="I50" s="108"/>
      <c r="J50" s="127"/>
      <c r="K50" s="108"/>
      <c r="L50" s="127"/>
      <c r="M50" s="154"/>
      <c r="N50" s="3" t="str">
        <f t="shared" si="2"/>
        <v/>
      </c>
      <c r="O50" s="3"/>
      <c r="P50" s="3"/>
      <c r="Q50" s="3"/>
      <c r="R50" s="3"/>
      <c r="S50" s="3"/>
      <c r="T50" s="3"/>
      <c r="U50" s="3"/>
      <c r="V50" s="3"/>
      <c r="W50" s="3"/>
      <c r="X50" s="3"/>
      <c r="Y50" s="3"/>
      <c r="Z50" s="3"/>
      <c r="AA50" s="3"/>
      <c r="AB50" s="3"/>
      <c r="AC50" s="3"/>
      <c r="AD50" s="3"/>
      <c r="AE50" s="3"/>
      <c r="AF50" s="3"/>
      <c r="AG50" s="3"/>
      <c r="AH50" s="3"/>
      <c r="AI50" s="3"/>
      <c r="AJ50" s="3"/>
      <c r="AK50" s="3"/>
    </row>
    <row r="51" spans="2:37" s="33" customFormat="1" ht="15" hidden="1" customHeight="1" outlineLevel="1" x14ac:dyDescent="0.25">
      <c r="B51" s="166" t="s">
        <v>54</v>
      </c>
      <c r="C51" s="107"/>
      <c r="D51" s="107"/>
      <c r="E51" s="108"/>
      <c r="F51" s="127">
        <v>1</v>
      </c>
      <c r="G51" s="108"/>
      <c r="H51" s="130"/>
      <c r="I51" s="108"/>
      <c r="J51" s="127"/>
      <c r="K51" s="108"/>
      <c r="L51" s="127"/>
      <c r="M51" s="154"/>
      <c r="N51" s="3" t="str">
        <f t="shared" si="2"/>
        <v/>
      </c>
      <c r="O51" s="3"/>
      <c r="P51" s="3"/>
      <c r="Q51" s="3"/>
      <c r="R51" s="3"/>
      <c r="S51" s="3"/>
      <c r="T51" s="3"/>
      <c r="U51" s="3"/>
      <c r="V51" s="3"/>
      <c r="W51" s="3"/>
      <c r="X51" s="3"/>
      <c r="Y51" s="3"/>
      <c r="Z51" s="3"/>
      <c r="AA51" s="3"/>
      <c r="AB51" s="3"/>
      <c r="AC51" s="3"/>
      <c r="AD51" s="3"/>
      <c r="AE51" s="3"/>
      <c r="AF51" s="3"/>
      <c r="AG51" s="3"/>
      <c r="AH51" s="3"/>
      <c r="AI51" s="3"/>
      <c r="AJ51" s="3"/>
      <c r="AK51" s="3"/>
    </row>
    <row r="52" spans="2:37" s="33" customFormat="1" ht="15" hidden="1" customHeight="1" outlineLevel="1" x14ac:dyDescent="0.25">
      <c r="B52" s="166" t="s">
        <v>91</v>
      </c>
      <c r="C52" s="107"/>
      <c r="D52" s="107"/>
      <c r="E52" s="108"/>
      <c r="F52" s="127">
        <v>1</v>
      </c>
      <c r="G52" s="108"/>
      <c r="H52" s="130"/>
      <c r="I52" s="108"/>
      <c r="J52" s="127"/>
      <c r="K52" s="108"/>
      <c r="L52" s="127"/>
      <c r="M52" s="154"/>
      <c r="N52" s="3" t="str">
        <f t="shared" si="2"/>
        <v/>
      </c>
      <c r="O52" s="3"/>
      <c r="P52" s="3"/>
      <c r="Q52" s="3"/>
      <c r="R52" s="3"/>
      <c r="S52" s="3"/>
      <c r="T52" s="3"/>
      <c r="U52" s="3"/>
      <c r="V52" s="3"/>
      <c r="W52" s="3"/>
      <c r="X52" s="3"/>
      <c r="Y52" s="3"/>
      <c r="Z52" s="3"/>
      <c r="AA52" s="3"/>
      <c r="AB52" s="3"/>
      <c r="AC52" s="3"/>
      <c r="AD52" s="3"/>
      <c r="AE52" s="3"/>
      <c r="AF52" s="3"/>
      <c r="AG52" s="3"/>
      <c r="AH52" s="3"/>
      <c r="AI52" s="3"/>
      <c r="AJ52" s="3"/>
      <c r="AK52" s="3"/>
    </row>
    <row r="53" spans="2:37" s="33" customFormat="1" ht="15" hidden="1" customHeight="1" outlineLevel="1" x14ac:dyDescent="0.25">
      <c r="B53" s="166" t="s">
        <v>92</v>
      </c>
      <c r="C53" s="107"/>
      <c r="D53" s="107"/>
      <c r="E53" s="108"/>
      <c r="F53" s="127">
        <v>1</v>
      </c>
      <c r="G53" s="108"/>
      <c r="H53" s="130"/>
      <c r="I53" s="108"/>
      <c r="J53" s="127"/>
      <c r="K53" s="108"/>
      <c r="L53" s="127"/>
      <c r="M53" s="154"/>
      <c r="N53" s="3" t="str">
        <f t="shared" si="2"/>
        <v/>
      </c>
      <c r="O53" s="3"/>
      <c r="P53" s="3"/>
      <c r="Q53" s="3"/>
      <c r="R53" s="3"/>
      <c r="S53" s="3"/>
      <c r="T53" s="3"/>
      <c r="U53" s="3"/>
      <c r="V53" s="3"/>
      <c r="W53" s="3"/>
      <c r="X53" s="3"/>
      <c r="Y53" s="3"/>
      <c r="Z53" s="3"/>
      <c r="AA53" s="3"/>
      <c r="AB53" s="3"/>
      <c r="AC53" s="3"/>
      <c r="AD53" s="3"/>
      <c r="AE53" s="3"/>
      <c r="AF53" s="3"/>
      <c r="AG53" s="3"/>
      <c r="AH53" s="3"/>
      <c r="AI53" s="3"/>
      <c r="AJ53" s="3"/>
      <c r="AK53" s="3"/>
    </row>
    <row r="54" spans="2:37" s="33" customFormat="1" ht="15" hidden="1" customHeight="1" outlineLevel="1" x14ac:dyDescent="0.25">
      <c r="B54" s="166" t="s">
        <v>93</v>
      </c>
      <c r="C54" s="107"/>
      <c r="D54" s="107"/>
      <c r="E54" s="108"/>
      <c r="F54" s="127">
        <v>1</v>
      </c>
      <c r="G54" s="108"/>
      <c r="H54" s="130"/>
      <c r="I54" s="108"/>
      <c r="J54" s="127"/>
      <c r="K54" s="108"/>
      <c r="L54" s="127"/>
      <c r="M54" s="154"/>
      <c r="N54" s="3" t="str">
        <f t="shared" si="2"/>
        <v/>
      </c>
      <c r="O54" s="3"/>
      <c r="P54" s="3"/>
      <c r="Q54" s="3"/>
      <c r="R54" s="3"/>
      <c r="S54" s="3"/>
      <c r="T54" s="3"/>
      <c r="U54" s="3"/>
      <c r="V54" s="3"/>
      <c r="W54" s="3"/>
      <c r="X54" s="3"/>
      <c r="Y54" s="3"/>
      <c r="Z54" s="3"/>
      <c r="AA54" s="3"/>
      <c r="AB54" s="3"/>
      <c r="AC54" s="3"/>
      <c r="AD54" s="3"/>
      <c r="AE54" s="3"/>
      <c r="AF54" s="3"/>
      <c r="AG54" s="3"/>
      <c r="AH54" s="3"/>
      <c r="AI54" s="3"/>
      <c r="AJ54" s="3"/>
      <c r="AK54" s="3"/>
    </row>
    <row r="55" spans="2:37" s="33" customFormat="1" ht="15" hidden="1" customHeight="1" outlineLevel="1" x14ac:dyDescent="0.25">
      <c r="B55" s="166" t="s">
        <v>42</v>
      </c>
      <c r="C55" s="107"/>
      <c r="D55" s="107"/>
      <c r="E55" s="108"/>
      <c r="F55" s="127"/>
      <c r="G55" s="108"/>
      <c r="H55" s="130"/>
      <c r="I55" s="108"/>
      <c r="J55" s="127">
        <v>1</v>
      </c>
      <c r="K55" s="108"/>
      <c r="L55" s="127"/>
      <c r="M55" s="154"/>
      <c r="N55" s="3" t="str">
        <f t="shared" si="2"/>
        <v/>
      </c>
      <c r="O55" s="3"/>
      <c r="P55" s="3"/>
      <c r="Q55" s="3"/>
      <c r="R55" s="3"/>
      <c r="S55" s="3"/>
      <c r="T55" s="3"/>
      <c r="U55" s="3"/>
      <c r="V55" s="3"/>
      <c r="W55" s="3"/>
      <c r="X55" s="3"/>
      <c r="Y55" s="3"/>
      <c r="Z55" s="3"/>
      <c r="AA55" s="3"/>
      <c r="AB55" s="3"/>
      <c r="AC55" s="3"/>
      <c r="AD55" s="3"/>
      <c r="AE55" s="3"/>
      <c r="AF55" s="3"/>
      <c r="AG55" s="3"/>
      <c r="AH55" s="3"/>
      <c r="AI55" s="3"/>
      <c r="AJ55" s="3"/>
      <c r="AK55" s="3"/>
    </row>
    <row r="56" spans="2:37" s="33" customFormat="1" ht="15" hidden="1" customHeight="1" outlineLevel="1" x14ac:dyDescent="0.25">
      <c r="B56" s="166" t="s">
        <v>94</v>
      </c>
      <c r="C56" s="107"/>
      <c r="D56" s="107"/>
      <c r="E56" s="108"/>
      <c r="F56" s="127"/>
      <c r="G56" s="108"/>
      <c r="H56" s="130">
        <v>1</v>
      </c>
      <c r="I56" s="108"/>
      <c r="J56" s="127"/>
      <c r="K56" s="108"/>
      <c r="L56" s="127"/>
      <c r="M56" s="154"/>
      <c r="N56" s="3" t="str">
        <f t="shared" si="2"/>
        <v/>
      </c>
      <c r="O56" s="3"/>
      <c r="P56" s="3"/>
      <c r="Q56" s="3"/>
      <c r="R56" s="3"/>
      <c r="S56" s="3"/>
      <c r="T56" s="3"/>
      <c r="U56" s="3"/>
      <c r="V56" s="3"/>
      <c r="W56" s="3"/>
      <c r="X56" s="3"/>
      <c r="Y56" s="3"/>
      <c r="Z56" s="3"/>
      <c r="AA56" s="3"/>
      <c r="AB56" s="3"/>
      <c r="AC56" s="3"/>
      <c r="AD56" s="3"/>
      <c r="AE56" s="3"/>
      <c r="AF56" s="3"/>
      <c r="AG56" s="3"/>
      <c r="AH56" s="3"/>
      <c r="AI56" s="3"/>
      <c r="AJ56" s="3"/>
      <c r="AK56" s="3"/>
    </row>
    <row r="57" spans="2:37" s="33" customFormat="1" ht="15" hidden="1" customHeight="1" outlineLevel="1" x14ac:dyDescent="0.25">
      <c r="B57" s="166" t="s">
        <v>43</v>
      </c>
      <c r="C57" s="107"/>
      <c r="D57" s="107"/>
      <c r="E57" s="108"/>
      <c r="F57" s="127">
        <v>1</v>
      </c>
      <c r="G57" s="108"/>
      <c r="H57" s="130"/>
      <c r="I57" s="108"/>
      <c r="J57" s="127"/>
      <c r="K57" s="108"/>
      <c r="L57" s="127"/>
      <c r="M57" s="154"/>
      <c r="N57" s="3" t="str">
        <f t="shared" si="2"/>
        <v/>
      </c>
      <c r="O57" s="3"/>
      <c r="P57" s="3"/>
      <c r="Q57" s="3"/>
      <c r="R57" s="3"/>
      <c r="S57" s="3"/>
      <c r="T57" s="3"/>
      <c r="U57" s="3"/>
      <c r="V57" s="3"/>
      <c r="W57" s="3"/>
      <c r="X57" s="3"/>
      <c r="Y57" s="3"/>
      <c r="Z57" s="3"/>
      <c r="AA57" s="3"/>
      <c r="AB57" s="3"/>
      <c r="AC57" s="3"/>
      <c r="AD57" s="3"/>
      <c r="AE57" s="3"/>
      <c r="AF57" s="3"/>
      <c r="AG57" s="3"/>
      <c r="AH57" s="3"/>
      <c r="AI57" s="3"/>
      <c r="AJ57" s="3"/>
      <c r="AK57" s="3"/>
    </row>
    <row r="58" spans="2:37" s="33" customFormat="1" ht="15" hidden="1" customHeight="1" outlineLevel="1" x14ac:dyDescent="0.25">
      <c r="B58" s="166" t="s">
        <v>44</v>
      </c>
      <c r="C58" s="107"/>
      <c r="D58" s="107"/>
      <c r="E58" s="108"/>
      <c r="F58" s="127">
        <v>1</v>
      </c>
      <c r="G58" s="108"/>
      <c r="H58" s="130"/>
      <c r="I58" s="108"/>
      <c r="J58" s="127"/>
      <c r="K58" s="108"/>
      <c r="L58" s="127"/>
      <c r="M58" s="154"/>
      <c r="N58" s="3" t="str">
        <f t="shared" si="2"/>
        <v/>
      </c>
      <c r="O58" s="3"/>
      <c r="P58" s="3"/>
      <c r="Q58" s="3"/>
      <c r="R58" s="3"/>
      <c r="S58" s="3"/>
      <c r="T58" s="3"/>
      <c r="U58" s="3"/>
      <c r="V58" s="3"/>
      <c r="W58" s="3"/>
      <c r="X58" s="3"/>
      <c r="Y58" s="3"/>
      <c r="Z58" s="3"/>
      <c r="AA58" s="3"/>
      <c r="AB58" s="3"/>
      <c r="AC58" s="3"/>
      <c r="AD58" s="3"/>
      <c r="AE58" s="3"/>
      <c r="AF58" s="3"/>
      <c r="AG58" s="3"/>
      <c r="AH58" s="3"/>
      <c r="AI58" s="3"/>
      <c r="AJ58" s="3"/>
      <c r="AK58" s="3"/>
    </row>
    <row r="59" spans="2:37" s="33" customFormat="1" ht="15" hidden="1" customHeight="1" outlineLevel="1" x14ac:dyDescent="0.25">
      <c r="B59" s="166" t="s">
        <v>95</v>
      </c>
      <c r="C59" s="107"/>
      <c r="D59" s="107"/>
      <c r="E59" s="108"/>
      <c r="F59" s="127">
        <v>1</v>
      </c>
      <c r="G59" s="108"/>
      <c r="H59" s="130"/>
      <c r="I59" s="108"/>
      <c r="J59" s="127"/>
      <c r="K59" s="108"/>
      <c r="L59" s="127"/>
      <c r="M59" s="154"/>
      <c r="N59" s="3" t="str">
        <f t="shared" si="2"/>
        <v/>
      </c>
      <c r="O59" s="3"/>
      <c r="P59" s="3"/>
      <c r="Q59" s="3"/>
      <c r="R59" s="3"/>
      <c r="S59" s="3"/>
      <c r="T59" s="3"/>
      <c r="U59" s="3"/>
      <c r="V59" s="3"/>
      <c r="W59" s="3"/>
      <c r="X59" s="3"/>
      <c r="Y59" s="3"/>
      <c r="Z59" s="3"/>
      <c r="AA59" s="3"/>
      <c r="AB59" s="3"/>
      <c r="AC59" s="3"/>
      <c r="AD59" s="3"/>
      <c r="AE59" s="3"/>
      <c r="AF59" s="3"/>
      <c r="AG59" s="3"/>
      <c r="AH59" s="3"/>
      <c r="AI59" s="3"/>
      <c r="AJ59" s="3"/>
      <c r="AK59" s="3"/>
    </row>
    <row r="60" spans="2:37" s="33" customFormat="1" ht="15" hidden="1" customHeight="1" outlineLevel="1" x14ac:dyDescent="0.25">
      <c r="B60" s="166" t="s">
        <v>96</v>
      </c>
      <c r="C60" s="107"/>
      <c r="D60" s="107"/>
      <c r="E60" s="108"/>
      <c r="F60" s="127"/>
      <c r="G60" s="108"/>
      <c r="H60" s="130"/>
      <c r="I60" s="108"/>
      <c r="J60" s="127">
        <v>1</v>
      </c>
      <c r="K60" s="108"/>
      <c r="L60" s="127"/>
      <c r="M60" s="154"/>
      <c r="N60" s="3" t="str">
        <f t="shared" si="2"/>
        <v/>
      </c>
      <c r="O60" s="3"/>
      <c r="P60" s="3"/>
      <c r="Q60" s="3"/>
      <c r="R60" s="3"/>
      <c r="S60" s="3"/>
      <c r="T60" s="3"/>
      <c r="U60" s="3"/>
      <c r="V60" s="3"/>
      <c r="W60" s="3"/>
      <c r="X60" s="3"/>
      <c r="Y60" s="3"/>
      <c r="Z60" s="3"/>
      <c r="AA60" s="3"/>
      <c r="AB60" s="3"/>
      <c r="AC60" s="3"/>
      <c r="AD60" s="3"/>
      <c r="AE60" s="3"/>
      <c r="AF60" s="3"/>
      <c r="AG60" s="3"/>
      <c r="AH60" s="3"/>
      <c r="AI60" s="3"/>
      <c r="AJ60" s="3"/>
      <c r="AK60" s="3"/>
    </row>
    <row r="61" spans="2:37" s="33" customFormat="1" ht="15" hidden="1" customHeight="1" outlineLevel="1" x14ac:dyDescent="0.25">
      <c r="B61" s="166" t="s">
        <v>97</v>
      </c>
      <c r="C61" s="107"/>
      <c r="D61" s="107"/>
      <c r="E61" s="108"/>
      <c r="F61" s="127">
        <v>1</v>
      </c>
      <c r="G61" s="108"/>
      <c r="H61" s="130"/>
      <c r="I61" s="108"/>
      <c r="J61" s="127"/>
      <c r="K61" s="108"/>
      <c r="L61" s="127"/>
      <c r="M61" s="154"/>
      <c r="N61" s="3" t="str">
        <f t="shared" si="2"/>
        <v/>
      </c>
      <c r="O61" s="3"/>
      <c r="P61" s="3"/>
      <c r="Q61" s="3"/>
      <c r="R61" s="3"/>
      <c r="S61" s="3"/>
      <c r="T61" s="3"/>
      <c r="U61" s="3"/>
      <c r="V61" s="3"/>
      <c r="W61" s="3"/>
      <c r="X61" s="3"/>
      <c r="Y61" s="3"/>
      <c r="Z61" s="3"/>
      <c r="AA61" s="3"/>
      <c r="AB61" s="3"/>
      <c r="AC61" s="3"/>
      <c r="AD61" s="3"/>
      <c r="AE61" s="3"/>
      <c r="AF61" s="3"/>
      <c r="AG61" s="3"/>
      <c r="AH61" s="3"/>
      <c r="AI61" s="3"/>
      <c r="AJ61" s="3"/>
      <c r="AK61" s="3"/>
    </row>
    <row r="62" spans="2:37" s="33" customFormat="1" ht="15" hidden="1" customHeight="1" outlineLevel="1" x14ac:dyDescent="0.25">
      <c r="B62" s="166" t="s">
        <v>98</v>
      </c>
      <c r="C62" s="107"/>
      <c r="D62" s="107"/>
      <c r="E62" s="108"/>
      <c r="F62" s="127"/>
      <c r="G62" s="108"/>
      <c r="H62" s="130"/>
      <c r="I62" s="108"/>
      <c r="J62" s="127">
        <v>1</v>
      </c>
      <c r="K62" s="108"/>
      <c r="L62" s="127"/>
      <c r="M62" s="154"/>
      <c r="N62" s="3" t="str">
        <f t="shared" si="2"/>
        <v/>
      </c>
      <c r="O62" s="3"/>
      <c r="P62" s="3"/>
      <c r="Q62" s="3"/>
      <c r="R62" s="3"/>
      <c r="S62" s="3"/>
      <c r="T62" s="3"/>
      <c r="U62" s="3"/>
      <c r="V62" s="3"/>
      <c r="W62" s="3"/>
      <c r="X62" s="3"/>
      <c r="Y62" s="3"/>
      <c r="Z62" s="3"/>
      <c r="AA62" s="3"/>
      <c r="AB62" s="3"/>
      <c r="AC62" s="3"/>
      <c r="AD62" s="3"/>
      <c r="AE62" s="3"/>
      <c r="AF62" s="3"/>
      <c r="AG62" s="3"/>
      <c r="AH62" s="3"/>
      <c r="AI62" s="3"/>
      <c r="AJ62" s="3"/>
      <c r="AK62" s="3"/>
    </row>
    <row r="63" spans="2:37" s="33" customFormat="1" ht="15" hidden="1" customHeight="1" outlineLevel="1" x14ac:dyDescent="0.25">
      <c r="B63" s="166" t="s">
        <v>46</v>
      </c>
      <c r="C63" s="107"/>
      <c r="D63" s="107"/>
      <c r="E63" s="108"/>
      <c r="F63" s="127"/>
      <c r="G63" s="108"/>
      <c r="H63" s="130">
        <v>1</v>
      </c>
      <c r="I63" s="108"/>
      <c r="J63" s="127"/>
      <c r="K63" s="108"/>
      <c r="L63" s="127"/>
      <c r="M63" s="154"/>
      <c r="N63" s="3" t="str">
        <f t="shared" si="2"/>
        <v/>
      </c>
      <c r="O63" s="3"/>
      <c r="P63" s="3"/>
      <c r="Q63" s="3"/>
      <c r="R63" s="3"/>
      <c r="S63" s="3"/>
      <c r="T63" s="3"/>
      <c r="U63" s="3"/>
      <c r="V63" s="3"/>
      <c r="W63" s="3"/>
      <c r="X63" s="3"/>
      <c r="Y63" s="3"/>
      <c r="Z63" s="3"/>
      <c r="AA63" s="3"/>
      <c r="AB63" s="3"/>
      <c r="AC63" s="3"/>
      <c r="AD63" s="3"/>
      <c r="AE63" s="3"/>
      <c r="AF63" s="3"/>
      <c r="AG63" s="3"/>
      <c r="AH63" s="3"/>
      <c r="AI63" s="3"/>
      <c r="AJ63" s="3"/>
      <c r="AK63" s="3"/>
    </row>
    <row r="64" spans="2:37" s="33" customFormat="1" ht="15" hidden="1" customHeight="1" outlineLevel="1" x14ac:dyDescent="0.25">
      <c r="B64" s="166" t="s">
        <v>45</v>
      </c>
      <c r="C64" s="107"/>
      <c r="D64" s="107"/>
      <c r="E64" s="108"/>
      <c r="F64" s="127"/>
      <c r="G64" s="108"/>
      <c r="H64" s="130">
        <v>1</v>
      </c>
      <c r="I64" s="108"/>
      <c r="J64" s="127"/>
      <c r="K64" s="108"/>
      <c r="L64" s="127"/>
      <c r="M64" s="154"/>
      <c r="N64" s="3" t="str">
        <f t="shared" si="2"/>
        <v/>
      </c>
      <c r="O64" s="3"/>
      <c r="P64" s="3"/>
      <c r="Q64" s="3"/>
      <c r="R64" s="3"/>
      <c r="S64" s="3"/>
      <c r="T64" s="3"/>
      <c r="U64" s="3"/>
      <c r="V64" s="3"/>
      <c r="W64" s="3"/>
      <c r="X64" s="3"/>
      <c r="Y64" s="3"/>
      <c r="Z64" s="3"/>
      <c r="AA64" s="3"/>
      <c r="AB64" s="3"/>
      <c r="AC64" s="3"/>
      <c r="AD64" s="3"/>
      <c r="AE64" s="3"/>
      <c r="AF64" s="3"/>
      <c r="AG64" s="3"/>
      <c r="AH64" s="3"/>
      <c r="AI64" s="3"/>
      <c r="AJ64" s="3"/>
      <c r="AK64" s="3"/>
    </row>
    <row r="65" spans="2:38" s="33" customFormat="1" ht="15" hidden="1" customHeight="1" outlineLevel="1" x14ac:dyDescent="0.25">
      <c r="B65" s="166" t="s">
        <v>99</v>
      </c>
      <c r="C65" s="107"/>
      <c r="D65" s="107"/>
      <c r="E65" s="108"/>
      <c r="F65" s="127"/>
      <c r="G65" s="108"/>
      <c r="H65" s="130">
        <v>1</v>
      </c>
      <c r="I65" s="108"/>
      <c r="J65" s="127"/>
      <c r="K65" s="108"/>
      <c r="L65" s="127"/>
      <c r="M65" s="154"/>
      <c r="N65" s="3" t="str">
        <f t="shared" si="2"/>
        <v/>
      </c>
      <c r="O65" s="3"/>
      <c r="P65" s="3"/>
      <c r="Q65" s="3"/>
      <c r="R65" s="3"/>
      <c r="S65" s="3"/>
      <c r="T65" s="3"/>
      <c r="U65" s="3"/>
      <c r="V65" s="3"/>
      <c r="W65" s="3"/>
      <c r="X65" s="3"/>
      <c r="Y65" s="3"/>
      <c r="Z65" s="3"/>
      <c r="AA65" s="3"/>
      <c r="AB65" s="3"/>
      <c r="AC65" s="3"/>
      <c r="AD65" s="3"/>
      <c r="AE65" s="3"/>
      <c r="AF65" s="3"/>
      <c r="AG65" s="3"/>
      <c r="AH65" s="3"/>
      <c r="AI65" s="3"/>
      <c r="AJ65" s="3"/>
      <c r="AK65" s="3"/>
    </row>
    <row r="66" spans="2:38" s="33" customFormat="1" ht="15" hidden="1" customHeight="1" outlineLevel="1" x14ac:dyDescent="0.25">
      <c r="B66" s="166" t="s">
        <v>100</v>
      </c>
      <c r="C66" s="107"/>
      <c r="D66" s="107"/>
      <c r="E66" s="108"/>
      <c r="F66" s="127"/>
      <c r="G66" s="108"/>
      <c r="H66" s="130">
        <v>1</v>
      </c>
      <c r="I66" s="108"/>
      <c r="J66" s="127"/>
      <c r="K66" s="108"/>
      <c r="L66" s="127"/>
      <c r="M66" s="154"/>
      <c r="N66" s="3" t="str">
        <f t="shared" si="2"/>
        <v/>
      </c>
      <c r="O66" s="3"/>
      <c r="P66" s="3"/>
      <c r="Q66" s="3"/>
      <c r="R66" s="3"/>
      <c r="S66" s="3"/>
      <c r="T66" s="3"/>
      <c r="U66" s="3"/>
      <c r="V66" s="3"/>
      <c r="W66" s="3"/>
      <c r="X66" s="3"/>
      <c r="Y66" s="3"/>
      <c r="Z66" s="3"/>
      <c r="AA66" s="3"/>
      <c r="AB66" s="3"/>
      <c r="AC66" s="3"/>
      <c r="AD66" s="3"/>
      <c r="AE66" s="3"/>
      <c r="AF66" s="3"/>
      <c r="AG66" s="3"/>
      <c r="AH66" s="3"/>
      <c r="AI66" s="3"/>
      <c r="AJ66" s="3"/>
      <c r="AK66" s="3"/>
    </row>
    <row r="67" spans="2:38" s="33" customFormat="1" ht="15" hidden="1" customHeight="1" outlineLevel="1" x14ac:dyDescent="0.25">
      <c r="B67" s="166" t="s">
        <v>101</v>
      </c>
      <c r="C67" s="107"/>
      <c r="D67" s="107"/>
      <c r="E67" s="108"/>
      <c r="F67" s="127">
        <v>1</v>
      </c>
      <c r="G67" s="108"/>
      <c r="H67" s="130"/>
      <c r="I67" s="108"/>
      <c r="J67" s="127"/>
      <c r="K67" s="108"/>
      <c r="L67" s="127"/>
      <c r="M67" s="154"/>
      <c r="N67" s="3" t="str">
        <f t="shared" si="2"/>
        <v/>
      </c>
      <c r="O67" s="3"/>
      <c r="P67" s="3"/>
      <c r="Q67" s="3"/>
      <c r="R67" s="3"/>
      <c r="S67" s="3"/>
      <c r="T67" s="3"/>
      <c r="U67" s="3"/>
      <c r="V67" s="3"/>
      <c r="W67" s="3"/>
      <c r="X67" s="3"/>
      <c r="Y67" s="3"/>
      <c r="Z67" s="3"/>
      <c r="AA67" s="3"/>
      <c r="AB67" s="3"/>
      <c r="AC67" s="3"/>
      <c r="AD67" s="3"/>
      <c r="AE67" s="3"/>
      <c r="AF67" s="3"/>
      <c r="AG67" s="3"/>
      <c r="AH67" s="3"/>
      <c r="AI67" s="3"/>
      <c r="AJ67" s="3"/>
      <c r="AK67" s="3"/>
    </row>
    <row r="68" spans="2:38" s="33" customFormat="1" ht="15" hidden="1" customHeight="1" outlineLevel="1" x14ac:dyDescent="0.25">
      <c r="B68" s="166" t="s">
        <v>102</v>
      </c>
      <c r="C68" s="107"/>
      <c r="D68" s="107"/>
      <c r="E68" s="108"/>
      <c r="F68" s="127"/>
      <c r="G68" s="108"/>
      <c r="H68" s="130">
        <v>1</v>
      </c>
      <c r="I68" s="108"/>
      <c r="J68" s="127"/>
      <c r="K68" s="108"/>
      <c r="L68" s="127"/>
      <c r="M68" s="154"/>
      <c r="N68" s="3" t="str">
        <f t="shared" si="2"/>
        <v/>
      </c>
      <c r="O68" s="3"/>
      <c r="P68" s="3"/>
      <c r="Q68" s="3"/>
      <c r="R68" s="3"/>
      <c r="S68" s="3"/>
      <c r="T68" s="3"/>
      <c r="U68" s="3"/>
      <c r="V68" s="3"/>
      <c r="W68" s="3"/>
      <c r="X68" s="3"/>
      <c r="Y68" s="3"/>
      <c r="Z68" s="3"/>
      <c r="AA68" s="3"/>
      <c r="AB68" s="3"/>
      <c r="AC68" s="3"/>
      <c r="AD68" s="3"/>
      <c r="AE68" s="3"/>
      <c r="AF68" s="3"/>
      <c r="AG68" s="3"/>
      <c r="AH68" s="3"/>
      <c r="AI68" s="3"/>
      <c r="AJ68" s="3"/>
      <c r="AK68" s="3"/>
    </row>
    <row r="69" spans="2:38" s="33" customFormat="1" ht="15" hidden="1" customHeight="1" outlineLevel="1" x14ac:dyDescent="0.25">
      <c r="B69" s="166" t="s">
        <v>103</v>
      </c>
      <c r="C69" s="107"/>
      <c r="D69" s="107"/>
      <c r="E69" s="108"/>
      <c r="F69" s="187">
        <v>1</v>
      </c>
      <c r="G69" s="108"/>
      <c r="H69" s="189"/>
      <c r="I69" s="108"/>
      <c r="J69" s="187"/>
      <c r="K69" s="108"/>
      <c r="L69" s="187"/>
      <c r="M69" s="154"/>
      <c r="N69" s="3" t="str">
        <f t="shared" si="2"/>
        <v/>
      </c>
      <c r="O69" s="3"/>
      <c r="P69" s="3"/>
      <c r="Q69" s="3"/>
      <c r="R69" s="3"/>
      <c r="S69" s="3"/>
      <c r="T69" s="3"/>
      <c r="U69" s="3"/>
      <c r="V69" s="3"/>
      <c r="W69" s="3"/>
      <c r="X69" s="3"/>
      <c r="Y69" s="3"/>
      <c r="Z69" s="3"/>
      <c r="AA69" s="3"/>
      <c r="AB69" s="3"/>
      <c r="AC69" s="3"/>
      <c r="AD69" s="3"/>
      <c r="AE69" s="3"/>
      <c r="AF69" s="3"/>
      <c r="AG69" s="3"/>
      <c r="AH69" s="3"/>
      <c r="AI69" s="3"/>
      <c r="AJ69" s="3"/>
      <c r="AK69" s="3"/>
    </row>
    <row r="70" spans="2:38" s="33" customFormat="1" ht="15" customHeight="1" collapsed="1" x14ac:dyDescent="0.25">
      <c r="B70" s="126" t="s">
        <v>104</v>
      </c>
      <c r="C70" s="155"/>
      <c r="D70" s="155"/>
      <c r="E70" s="156"/>
      <c r="F70" s="117">
        <f>F71</f>
        <v>1</v>
      </c>
      <c r="G70" s="156"/>
      <c r="H70" s="129">
        <f>H71</f>
        <v>0</v>
      </c>
      <c r="I70" s="156"/>
      <c r="J70" s="117">
        <f>J71</f>
        <v>0</v>
      </c>
      <c r="K70" s="156"/>
      <c r="L70" s="117">
        <f>L71</f>
        <v>0</v>
      </c>
      <c r="M70" s="118"/>
      <c r="N70" s="3"/>
      <c r="O70" s="3"/>
      <c r="P70" s="3"/>
      <c r="Q70" s="3"/>
      <c r="R70" s="3"/>
      <c r="S70" s="3"/>
      <c r="T70" s="3"/>
      <c r="U70" s="3"/>
      <c r="V70" s="3"/>
      <c r="W70" s="3"/>
      <c r="X70" s="3"/>
      <c r="Y70" s="3"/>
      <c r="Z70" s="3"/>
      <c r="AA70" s="3"/>
      <c r="AB70" s="3"/>
      <c r="AC70" s="3"/>
      <c r="AD70" s="3"/>
      <c r="AE70" s="3"/>
      <c r="AF70" s="3"/>
      <c r="AG70" s="3"/>
      <c r="AH70" s="3"/>
      <c r="AI70" s="3"/>
      <c r="AJ70" s="3"/>
      <c r="AK70" s="3"/>
    </row>
    <row r="71" spans="2:38" s="33" customFormat="1" ht="15" hidden="1" customHeight="1" outlineLevel="1" x14ac:dyDescent="0.25">
      <c r="B71" s="166" t="s">
        <v>105</v>
      </c>
      <c r="C71" s="107"/>
      <c r="D71" s="107"/>
      <c r="E71" s="108"/>
      <c r="F71" s="190">
        <v>1</v>
      </c>
      <c r="G71" s="108"/>
      <c r="H71" s="185"/>
      <c r="I71" s="108"/>
      <c r="J71" s="190"/>
      <c r="K71" s="108"/>
      <c r="L71" s="190"/>
      <c r="M71" s="154"/>
      <c r="N71" s="3" t="str">
        <f>IF(SUM(F71,H71,J71,L71)&gt;1,"Error","")</f>
        <v/>
      </c>
      <c r="O71" s="3"/>
      <c r="P71" s="3"/>
      <c r="Q71" s="3"/>
      <c r="R71" s="3"/>
      <c r="S71" s="3"/>
      <c r="T71" s="3"/>
      <c r="U71" s="3"/>
      <c r="V71" s="3"/>
      <c r="W71" s="3"/>
      <c r="X71" s="3"/>
      <c r="Y71" s="3"/>
      <c r="Z71" s="3"/>
      <c r="AA71" s="3"/>
      <c r="AB71" s="3"/>
      <c r="AC71" s="3"/>
      <c r="AD71" s="3"/>
      <c r="AE71" s="3"/>
      <c r="AF71" s="3"/>
      <c r="AG71" s="3"/>
      <c r="AH71" s="3"/>
      <c r="AI71" s="3"/>
      <c r="AJ71" s="3"/>
      <c r="AK71" s="3"/>
    </row>
    <row r="72" spans="2:38" s="33" customFormat="1" ht="15" customHeight="1" collapsed="1" x14ac:dyDescent="0.25">
      <c r="B72" s="159"/>
      <c r="C72" s="119"/>
      <c r="D72" s="119"/>
      <c r="E72" s="160"/>
      <c r="F72" s="161"/>
      <c r="G72" s="160"/>
      <c r="H72" s="162"/>
      <c r="I72" s="160"/>
      <c r="J72" s="161"/>
      <c r="K72" s="160"/>
      <c r="L72" s="161"/>
      <c r="M72" s="163"/>
      <c r="N72" s="3"/>
      <c r="O72" s="3"/>
      <c r="P72" s="3"/>
      <c r="Q72" s="3"/>
      <c r="R72" s="3"/>
      <c r="S72" s="3"/>
      <c r="T72" s="3"/>
      <c r="U72" s="3"/>
      <c r="V72" s="3"/>
      <c r="W72" s="3"/>
      <c r="X72" s="3"/>
      <c r="Y72" s="3"/>
      <c r="Z72" s="3"/>
      <c r="AA72" s="3"/>
      <c r="AB72" s="3"/>
      <c r="AC72" s="3"/>
      <c r="AD72" s="3"/>
      <c r="AE72" s="3"/>
      <c r="AF72" s="3"/>
      <c r="AG72" s="3"/>
      <c r="AH72" s="3"/>
      <c r="AI72" s="3"/>
      <c r="AJ72" s="3"/>
      <c r="AK72" s="3"/>
    </row>
    <row r="73" spans="2:38" s="33" customFormat="1" ht="13.2" customHeight="1" x14ac:dyDescent="0.25">
      <c r="B73" s="53"/>
      <c r="C73" s="47"/>
      <c r="D73" s="47"/>
      <c r="E73" s="3"/>
      <c r="F73" s="52"/>
      <c r="G73" s="3"/>
      <c r="H73" s="3"/>
      <c r="I73" s="3"/>
      <c r="J73" s="3"/>
      <c r="K73" s="3"/>
      <c r="L73" s="52"/>
      <c r="M73" s="3"/>
      <c r="N73" s="3"/>
      <c r="O73" s="3"/>
      <c r="P73" s="3"/>
      <c r="Q73" s="3"/>
      <c r="R73" s="3"/>
      <c r="S73" s="3"/>
      <c r="T73" s="3"/>
      <c r="U73" s="3"/>
      <c r="V73" s="3"/>
      <c r="W73" s="3"/>
      <c r="X73" s="3"/>
      <c r="Y73" s="3"/>
      <c r="Z73" s="3"/>
      <c r="AA73" s="3"/>
      <c r="AB73" s="3"/>
      <c r="AC73" s="3"/>
      <c r="AD73" s="3"/>
      <c r="AE73" s="3"/>
      <c r="AF73" s="3"/>
      <c r="AG73" s="3"/>
      <c r="AH73" s="3"/>
      <c r="AI73" s="3"/>
      <c r="AJ73" s="3"/>
      <c r="AK73" s="3"/>
    </row>
    <row r="74" spans="2:38" s="33" customFormat="1" ht="13.2" customHeight="1" x14ac:dyDescent="0.25">
      <c r="B74" s="46" t="s">
        <v>220</v>
      </c>
      <c r="C74" s="47"/>
      <c r="D74" s="47"/>
      <c r="E74" s="3"/>
      <c r="F74" s="52"/>
      <c r="G74" s="3"/>
      <c r="H74" s="3"/>
      <c r="I74" s="3"/>
      <c r="J74" s="3"/>
      <c r="K74" s="3"/>
      <c r="L74" s="52"/>
      <c r="M74" s="3"/>
      <c r="N74" s="3"/>
      <c r="O74" s="3"/>
      <c r="P74" s="3"/>
      <c r="Q74" s="3"/>
      <c r="R74" s="3"/>
      <c r="S74" s="3"/>
      <c r="T74" s="3"/>
      <c r="U74" s="3"/>
      <c r="V74" s="3"/>
      <c r="W74" s="3"/>
      <c r="X74" s="3"/>
      <c r="Y74" s="3"/>
      <c r="Z74" s="3"/>
      <c r="AA74" s="3"/>
      <c r="AB74" s="3"/>
      <c r="AC74" s="3"/>
      <c r="AD74" s="3"/>
      <c r="AE74" s="3"/>
      <c r="AF74" s="3"/>
      <c r="AG74" s="3"/>
      <c r="AH74" s="3"/>
      <c r="AI74" s="3"/>
      <c r="AJ74" s="3"/>
      <c r="AK74" s="3"/>
    </row>
    <row r="75" spans="2:38" s="33" customFormat="1" ht="13.2" customHeight="1" x14ac:dyDescent="0.25">
      <c r="B75" s="53"/>
      <c r="C75" s="47"/>
      <c r="D75" s="47"/>
      <c r="E75" s="47"/>
      <c r="F75" s="3"/>
      <c r="G75" s="52"/>
      <c r="H75" s="3"/>
      <c r="I75" s="3"/>
      <c r="J75" s="3"/>
      <c r="K75" s="3"/>
      <c r="L75" s="52"/>
      <c r="M75" s="52"/>
      <c r="N75" s="52"/>
      <c r="O75" s="3"/>
      <c r="P75" s="3"/>
      <c r="Q75" s="3"/>
      <c r="R75" s="3"/>
      <c r="S75" s="3"/>
      <c r="T75" s="3"/>
      <c r="U75" s="3"/>
      <c r="V75" s="3"/>
      <c r="W75" s="3"/>
      <c r="X75" s="3"/>
      <c r="Y75" s="3"/>
      <c r="Z75" s="3"/>
      <c r="AA75" s="3"/>
      <c r="AB75" s="3"/>
      <c r="AC75" s="3"/>
      <c r="AD75" s="3"/>
      <c r="AE75" s="3"/>
      <c r="AF75" s="3"/>
      <c r="AG75" s="3"/>
      <c r="AH75" s="3"/>
      <c r="AI75" s="3"/>
      <c r="AJ75" s="3"/>
      <c r="AK75" s="3"/>
      <c r="AL75" s="3"/>
    </row>
    <row r="76" spans="2:38" s="33" customFormat="1" ht="22.8" customHeight="1" x14ac:dyDescent="0.25">
      <c r="B76" s="255" t="s">
        <v>48</v>
      </c>
      <c r="C76" s="256"/>
      <c r="D76" s="256"/>
      <c r="E76" s="257"/>
      <c r="F76" s="246" t="s">
        <v>219</v>
      </c>
      <c r="G76" s="247"/>
      <c r="H76" s="271" t="s">
        <v>160</v>
      </c>
      <c r="I76" s="272"/>
      <c r="J76" s="272"/>
      <c r="K76" s="272"/>
      <c r="L76" s="272"/>
      <c r="M76" s="272"/>
      <c r="N76" s="272"/>
      <c r="O76" s="272"/>
      <c r="P76" s="273"/>
      <c r="Q76" s="3"/>
      <c r="R76" s="3"/>
      <c r="S76" s="3"/>
      <c r="T76" s="3"/>
      <c r="U76" s="3"/>
      <c r="V76" s="3"/>
    </row>
    <row r="77" spans="2:38" s="33" customFormat="1" ht="23.4" customHeight="1" x14ac:dyDescent="0.25">
      <c r="B77" s="258"/>
      <c r="C77" s="275"/>
      <c r="D77" s="275"/>
      <c r="E77" s="275"/>
      <c r="F77" s="248"/>
      <c r="G77" s="249"/>
      <c r="H77" s="271" t="s">
        <v>347</v>
      </c>
      <c r="I77" s="272"/>
      <c r="J77" s="272"/>
      <c r="K77" s="272"/>
      <c r="L77" s="272"/>
      <c r="M77" s="273"/>
      <c r="N77" s="180" t="s">
        <v>348</v>
      </c>
      <c r="O77" s="280" t="s">
        <v>287</v>
      </c>
      <c r="P77" s="281"/>
      <c r="Q77" s="3"/>
      <c r="R77" s="3"/>
      <c r="S77" s="3"/>
      <c r="T77" s="3"/>
      <c r="U77" s="3"/>
      <c r="V77" s="3"/>
      <c r="W77" s="3"/>
    </row>
    <row r="78" spans="2:38" s="3" customFormat="1" ht="78.75" customHeight="1" x14ac:dyDescent="0.25">
      <c r="B78" s="260"/>
      <c r="C78" s="261"/>
      <c r="D78" s="261"/>
      <c r="E78" s="261"/>
      <c r="F78" s="89" t="s">
        <v>49</v>
      </c>
      <c r="G78" s="89" t="s">
        <v>50</v>
      </c>
      <c r="H78" s="98" t="s">
        <v>274</v>
      </c>
      <c r="I78" s="98" t="s">
        <v>343</v>
      </c>
      <c r="J78" s="98" t="s">
        <v>277</v>
      </c>
      <c r="K78" s="98" t="s">
        <v>345</v>
      </c>
      <c r="L78" s="101" t="s">
        <v>342</v>
      </c>
      <c r="M78" s="98" t="s">
        <v>344</v>
      </c>
      <c r="N78" s="98" t="s">
        <v>346</v>
      </c>
      <c r="O78" s="139" t="s">
        <v>275</v>
      </c>
      <c r="P78" s="139" t="s">
        <v>329</v>
      </c>
    </row>
    <row r="79" spans="2:38" s="33" customFormat="1" ht="13.2" customHeight="1" x14ac:dyDescent="0.25">
      <c r="B79" s="32"/>
      <c r="E79" s="34"/>
      <c r="F79" s="20"/>
      <c r="G79" s="20"/>
      <c r="H79" s="44"/>
      <c r="I79" s="28"/>
      <c r="J79" s="20"/>
      <c r="K79" s="88"/>
      <c r="L79" s="3"/>
      <c r="M79" s="20"/>
      <c r="N79" s="20"/>
      <c r="O79" s="20"/>
      <c r="P79" s="20"/>
      <c r="Q79" s="3"/>
      <c r="R79" s="3"/>
      <c r="S79" s="3"/>
      <c r="T79" s="3"/>
      <c r="U79" s="3"/>
      <c r="V79" s="3"/>
      <c r="W79" s="3"/>
    </row>
    <row r="80" spans="2:38" s="33" customFormat="1" ht="13.2" customHeight="1" x14ac:dyDescent="0.25">
      <c r="B80" s="37" t="s">
        <v>51</v>
      </c>
      <c r="C80" s="38"/>
      <c r="D80" s="38"/>
      <c r="E80" s="39"/>
      <c r="F80" s="66">
        <f t="shared" ref="F80:P80" si="3">SUM(F82,F85,F91,F100,F103)</f>
        <v>23</v>
      </c>
      <c r="G80" s="67">
        <f t="shared" si="3"/>
        <v>30</v>
      </c>
      <c r="H80" s="67">
        <f t="shared" si="3"/>
        <v>2</v>
      </c>
      <c r="I80" s="67">
        <f t="shared" si="3"/>
        <v>3</v>
      </c>
      <c r="J80" s="67">
        <f t="shared" si="3"/>
        <v>5</v>
      </c>
      <c r="K80" s="67">
        <f t="shared" si="3"/>
        <v>3</v>
      </c>
      <c r="L80" s="40">
        <f t="shared" si="3"/>
        <v>1</v>
      </c>
      <c r="M80" s="67">
        <f t="shared" si="3"/>
        <v>2</v>
      </c>
      <c r="N80" s="67">
        <f t="shared" si="3"/>
        <v>5</v>
      </c>
      <c r="O80" s="67">
        <f t="shared" si="3"/>
        <v>2</v>
      </c>
      <c r="P80" s="67">
        <f t="shared" si="3"/>
        <v>7</v>
      </c>
      <c r="Q80" s="3"/>
      <c r="R80" s="3"/>
      <c r="S80" s="3"/>
      <c r="T80" s="3"/>
      <c r="U80" s="3"/>
      <c r="V80" s="3"/>
      <c r="W80" s="3"/>
    </row>
    <row r="81" spans="2:23" s="33" customFormat="1" ht="13.2" customHeight="1" x14ac:dyDescent="0.25">
      <c r="B81" s="32" t="s">
        <v>47</v>
      </c>
      <c r="E81" s="34"/>
      <c r="F81" s="20"/>
      <c r="G81" s="20"/>
      <c r="H81" s="35"/>
      <c r="I81" s="14"/>
      <c r="J81" s="14"/>
      <c r="K81" s="65"/>
      <c r="L81" s="3"/>
      <c r="M81" s="14"/>
      <c r="N81" s="20"/>
      <c r="O81" s="14"/>
      <c r="P81" s="14"/>
      <c r="Q81" s="3"/>
      <c r="R81" s="3"/>
      <c r="S81" s="3"/>
      <c r="T81" s="3"/>
      <c r="U81" s="3"/>
      <c r="V81" s="3"/>
      <c r="W81" s="3"/>
    </row>
    <row r="82" spans="2:23" s="33" customFormat="1" ht="13.2" customHeight="1" x14ac:dyDescent="0.25">
      <c r="B82" s="41" t="s">
        <v>52</v>
      </c>
      <c r="C82" s="42"/>
      <c r="D82" s="42"/>
      <c r="E82" s="34"/>
      <c r="F82" s="63">
        <f>+H13</f>
        <v>1</v>
      </c>
      <c r="G82" s="43">
        <f>G83</f>
        <v>1</v>
      </c>
      <c r="H82" s="43">
        <f t="shared" ref="H82:P82" si="4">H83</f>
        <v>0</v>
      </c>
      <c r="I82" s="43">
        <f>I83</f>
        <v>0</v>
      </c>
      <c r="J82" s="43">
        <f>J83</f>
        <v>0</v>
      </c>
      <c r="K82" s="43">
        <f>K83</f>
        <v>0</v>
      </c>
      <c r="L82" s="34">
        <f t="shared" si="4"/>
        <v>0</v>
      </c>
      <c r="M82" s="43">
        <f t="shared" ref="M82" si="5">M83</f>
        <v>0</v>
      </c>
      <c r="N82" s="43">
        <f t="shared" si="4"/>
        <v>0</v>
      </c>
      <c r="O82" s="43">
        <f t="shared" si="4"/>
        <v>1</v>
      </c>
      <c r="P82" s="43">
        <f t="shared" si="4"/>
        <v>0</v>
      </c>
      <c r="Q82" s="3"/>
      <c r="R82" s="3"/>
      <c r="S82" s="3"/>
      <c r="T82" s="3"/>
      <c r="U82" s="3"/>
      <c r="V82" s="3"/>
      <c r="W82" s="3"/>
    </row>
    <row r="83" spans="2:23" s="31" customFormat="1" ht="13.2" outlineLevel="1" x14ac:dyDescent="0.25">
      <c r="B83" s="32" t="s">
        <v>108</v>
      </c>
      <c r="C83" s="47"/>
      <c r="D83" s="47"/>
      <c r="E83" s="47"/>
      <c r="F83" s="20"/>
      <c r="G83" s="191">
        <f>SUM(H83:P83)</f>
        <v>1</v>
      </c>
      <c r="H83" s="191"/>
      <c r="I83" s="191"/>
      <c r="J83" s="191"/>
      <c r="K83" s="191"/>
      <c r="L83" s="192"/>
      <c r="M83" s="191"/>
      <c r="N83" s="191"/>
      <c r="O83" s="191">
        <v>1</v>
      </c>
      <c r="P83" s="191"/>
      <c r="Q83" s="4"/>
      <c r="R83" s="4"/>
      <c r="S83" s="4"/>
      <c r="T83" s="4"/>
      <c r="U83" s="4"/>
    </row>
    <row r="84" spans="2:23" s="31" customFormat="1" ht="13.2" x14ac:dyDescent="0.25">
      <c r="B84" s="32"/>
      <c r="C84" s="47"/>
      <c r="D84" s="47"/>
      <c r="E84" s="47"/>
      <c r="F84" s="20"/>
      <c r="G84" s="20"/>
      <c r="H84" s="20"/>
      <c r="I84" s="20"/>
      <c r="J84" s="20"/>
      <c r="K84" s="20"/>
      <c r="L84" s="3"/>
      <c r="M84" s="20"/>
      <c r="N84" s="20"/>
      <c r="O84" s="20"/>
      <c r="P84" s="20"/>
      <c r="Q84" s="4"/>
      <c r="R84" s="4"/>
      <c r="S84" s="4"/>
      <c r="T84" s="4"/>
      <c r="U84" s="4"/>
    </row>
    <row r="85" spans="2:23" s="107" customFormat="1" ht="13.2" x14ac:dyDescent="0.25">
      <c r="B85" s="41" t="s">
        <v>60</v>
      </c>
      <c r="C85" s="19"/>
      <c r="D85" s="19"/>
      <c r="E85" s="19"/>
      <c r="F85" s="171">
        <f>H18</f>
        <v>4</v>
      </c>
      <c r="G85" s="172">
        <f t="shared" ref="G85:N85" si="6">SUM(G86:G89)</f>
        <v>4</v>
      </c>
      <c r="H85" s="172">
        <f t="shared" si="6"/>
        <v>0</v>
      </c>
      <c r="I85" s="172">
        <f>SUM(I86:I89)</f>
        <v>0</v>
      </c>
      <c r="J85" s="172">
        <f>SUM(J86:J89)</f>
        <v>0</v>
      </c>
      <c r="K85" s="172">
        <f>SUM(K86:K89)</f>
        <v>1</v>
      </c>
      <c r="L85" s="231">
        <f t="shared" si="6"/>
        <v>0</v>
      </c>
      <c r="M85" s="172">
        <f>SUM(M86:M89)</f>
        <v>0</v>
      </c>
      <c r="N85" s="172">
        <f t="shared" si="6"/>
        <v>0</v>
      </c>
      <c r="O85" s="172">
        <f t="shared" ref="O85" si="7">SUM(O86:O89)</f>
        <v>0</v>
      </c>
      <c r="P85" s="172">
        <f t="shared" ref="P85" si="8">SUM(P86:P89)</f>
        <v>3</v>
      </c>
    </row>
    <row r="86" spans="2:23" s="107" customFormat="1" ht="13.2" outlineLevel="1" x14ac:dyDescent="0.25">
      <c r="B86" s="32" t="s">
        <v>113</v>
      </c>
      <c r="C86" s="19"/>
      <c r="D86" s="19"/>
      <c r="E86" s="19"/>
      <c r="F86" s="168"/>
      <c r="G86" s="194">
        <f>SUM(H86:P86)</f>
        <v>1</v>
      </c>
      <c r="H86" s="194"/>
      <c r="I86" s="194"/>
      <c r="J86" s="194"/>
      <c r="K86" s="194"/>
      <c r="L86" s="208"/>
      <c r="M86" s="194"/>
      <c r="N86" s="194"/>
      <c r="O86" s="194"/>
      <c r="P86" s="194">
        <v>1</v>
      </c>
    </row>
    <row r="87" spans="2:23" s="107" customFormat="1" ht="13.2" outlineLevel="1" x14ac:dyDescent="0.25">
      <c r="B87" s="32" t="s">
        <v>114</v>
      </c>
      <c r="C87" s="19"/>
      <c r="D87" s="19"/>
      <c r="E87" s="19"/>
      <c r="F87" s="168"/>
      <c r="G87" s="124">
        <f>SUM(H87:P87)</f>
        <v>1</v>
      </c>
      <c r="H87" s="124"/>
      <c r="I87" s="124"/>
      <c r="J87" s="124"/>
      <c r="K87" s="124"/>
      <c r="L87" s="45"/>
      <c r="M87" s="124"/>
      <c r="N87" s="124"/>
      <c r="O87" s="124"/>
      <c r="P87" s="124">
        <v>1</v>
      </c>
    </row>
    <row r="88" spans="2:23" s="107" customFormat="1" ht="13.2" outlineLevel="1" x14ac:dyDescent="0.25">
      <c r="B88" s="32" t="s">
        <v>115</v>
      </c>
      <c r="C88" s="19"/>
      <c r="D88" s="19"/>
      <c r="E88" s="19"/>
      <c r="F88" s="168"/>
      <c r="G88" s="124">
        <f>SUM(H88:P88)</f>
        <v>1</v>
      </c>
      <c r="H88" s="124"/>
      <c r="I88" s="124"/>
      <c r="J88" s="124"/>
      <c r="K88" s="124"/>
      <c r="L88" s="45"/>
      <c r="M88" s="124"/>
      <c r="N88" s="124"/>
      <c r="O88" s="124"/>
      <c r="P88" s="124">
        <v>1</v>
      </c>
    </row>
    <row r="89" spans="2:23" s="107" customFormat="1" ht="13.2" outlineLevel="1" x14ac:dyDescent="0.25">
      <c r="B89" s="32" t="s">
        <v>116</v>
      </c>
      <c r="C89" s="19"/>
      <c r="D89" s="19"/>
      <c r="E89" s="19"/>
      <c r="F89" s="168"/>
      <c r="G89" s="195">
        <f>SUM(H89:P89)</f>
        <v>1</v>
      </c>
      <c r="H89" s="195"/>
      <c r="I89" s="195"/>
      <c r="J89" s="195"/>
      <c r="K89" s="195">
        <v>1</v>
      </c>
      <c r="L89" s="209"/>
      <c r="M89" s="195"/>
      <c r="N89" s="195"/>
      <c r="O89" s="195"/>
      <c r="P89" s="195"/>
    </row>
    <row r="90" spans="2:23" s="31" customFormat="1" ht="13.2" x14ac:dyDescent="0.25">
      <c r="B90" s="32"/>
      <c r="C90" s="33"/>
      <c r="D90" s="33"/>
      <c r="E90" s="33"/>
      <c r="F90" s="44"/>
      <c r="G90" s="20"/>
      <c r="H90" s="20"/>
      <c r="I90" s="20"/>
      <c r="J90" s="20"/>
      <c r="K90" s="20"/>
      <c r="L90" s="3"/>
      <c r="M90" s="20"/>
      <c r="N90" s="20"/>
      <c r="O90" s="20"/>
      <c r="P90" s="20"/>
    </row>
    <row r="91" spans="2:23" s="107" customFormat="1" ht="13.2" x14ac:dyDescent="0.25">
      <c r="B91" s="41" t="s">
        <v>40</v>
      </c>
      <c r="C91" s="19"/>
      <c r="D91" s="19"/>
      <c r="E91" s="19"/>
      <c r="F91" s="171">
        <f>H28</f>
        <v>7</v>
      </c>
      <c r="G91" s="172">
        <f t="shared" ref="G91:P91" si="9">SUM(G92:G98)</f>
        <v>13</v>
      </c>
      <c r="H91" s="172">
        <f t="shared" si="9"/>
        <v>2</v>
      </c>
      <c r="I91" s="172">
        <f t="shared" si="9"/>
        <v>1</v>
      </c>
      <c r="J91" s="172">
        <f t="shared" si="9"/>
        <v>4</v>
      </c>
      <c r="K91" s="172">
        <f t="shared" si="9"/>
        <v>0</v>
      </c>
      <c r="L91" s="231">
        <f t="shared" si="9"/>
        <v>1</v>
      </c>
      <c r="M91" s="172">
        <f t="shared" si="9"/>
        <v>1</v>
      </c>
      <c r="N91" s="172">
        <f t="shared" si="9"/>
        <v>2</v>
      </c>
      <c r="O91" s="172">
        <f t="shared" si="9"/>
        <v>1</v>
      </c>
      <c r="P91" s="172">
        <f t="shared" si="9"/>
        <v>1</v>
      </c>
    </row>
    <row r="92" spans="2:23" s="107" customFormat="1" ht="13.2" outlineLevel="1" x14ac:dyDescent="0.25">
      <c r="B92" s="32" t="s">
        <v>120</v>
      </c>
      <c r="C92" s="19"/>
      <c r="D92" s="19"/>
      <c r="E92" s="19"/>
      <c r="F92" s="114"/>
      <c r="G92" s="194">
        <f t="shared" ref="G92:G98" si="10">SUM(H92:P92)</f>
        <v>2</v>
      </c>
      <c r="H92" s="194"/>
      <c r="I92" s="194"/>
      <c r="J92" s="194">
        <v>1</v>
      </c>
      <c r="K92" s="194"/>
      <c r="L92" s="208">
        <v>1</v>
      </c>
      <c r="M92" s="194"/>
      <c r="N92" s="194"/>
      <c r="O92" s="194"/>
      <c r="P92" s="194"/>
    </row>
    <row r="93" spans="2:23" s="107" customFormat="1" ht="13.2" outlineLevel="1" x14ac:dyDescent="0.25">
      <c r="B93" s="32" t="s">
        <v>123</v>
      </c>
      <c r="C93" s="19"/>
      <c r="D93" s="19"/>
      <c r="E93" s="19"/>
      <c r="F93" s="114"/>
      <c r="G93" s="124">
        <f t="shared" si="10"/>
        <v>2</v>
      </c>
      <c r="H93" s="124">
        <v>1</v>
      </c>
      <c r="I93" s="124"/>
      <c r="J93" s="124">
        <v>1</v>
      </c>
      <c r="K93" s="124"/>
      <c r="L93" s="45"/>
      <c r="M93" s="124"/>
      <c r="N93" s="124"/>
      <c r="O93" s="124"/>
      <c r="P93" s="124"/>
    </row>
    <row r="94" spans="2:23" s="107" customFormat="1" ht="13.2" outlineLevel="1" x14ac:dyDescent="0.25">
      <c r="B94" s="32" t="s">
        <v>124</v>
      </c>
      <c r="C94" s="19"/>
      <c r="D94" s="19"/>
      <c r="E94" s="19"/>
      <c r="F94" s="114"/>
      <c r="G94" s="124">
        <f t="shared" si="10"/>
        <v>2</v>
      </c>
      <c r="H94" s="124">
        <v>1</v>
      </c>
      <c r="I94" s="124"/>
      <c r="J94" s="124">
        <v>1</v>
      </c>
      <c r="K94" s="124"/>
      <c r="L94" s="45"/>
      <c r="M94" s="124"/>
      <c r="N94" s="124"/>
      <c r="O94" s="124"/>
      <c r="P94" s="124"/>
    </row>
    <row r="95" spans="2:23" s="107" customFormat="1" ht="13.2" outlineLevel="1" x14ac:dyDescent="0.25">
      <c r="B95" s="32" t="s">
        <v>125</v>
      </c>
      <c r="C95" s="19"/>
      <c r="D95" s="19"/>
      <c r="E95" s="19"/>
      <c r="F95" s="114"/>
      <c r="G95" s="124">
        <f t="shared" si="10"/>
        <v>1</v>
      </c>
      <c r="H95" s="124"/>
      <c r="I95" s="124"/>
      <c r="J95" s="124">
        <v>1</v>
      </c>
      <c r="K95" s="124"/>
      <c r="L95" s="45"/>
      <c r="M95" s="124"/>
      <c r="N95" s="124"/>
      <c r="O95" s="124"/>
      <c r="P95" s="124"/>
    </row>
    <row r="96" spans="2:23" s="107" customFormat="1" ht="13.2" outlineLevel="1" x14ac:dyDescent="0.25">
      <c r="B96" s="32" t="s">
        <v>127</v>
      </c>
      <c r="C96" s="19"/>
      <c r="D96" s="19"/>
      <c r="E96" s="19"/>
      <c r="F96" s="114"/>
      <c r="G96" s="124">
        <f t="shared" si="10"/>
        <v>4</v>
      </c>
      <c r="H96" s="124"/>
      <c r="I96" s="124">
        <v>1</v>
      </c>
      <c r="J96" s="124"/>
      <c r="K96" s="124"/>
      <c r="L96" s="45"/>
      <c r="M96" s="124">
        <v>1</v>
      </c>
      <c r="N96" s="124">
        <v>1</v>
      </c>
      <c r="O96" s="124"/>
      <c r="P96" s="124">
        <v>1</v>
      </c>
    </row>
    <row r="97" spans="2:16" s="107" customFormat="1" ht="13.2" outlineLevel="1" x14ac:dyDescent="0.25">
      <c r="B97" s="32" t="s">
        <v>128</v>
      </c>
      <c r="C97" s="19"/>
      <c r="D97" s="19"/>
      <c r="E97" s="19"/>
      <c r="F97" s="114"/>
      <c r="G97" s="124">
        <f t="shared" si="10"/>
        <v>1</v>
      </c>
      <c r="H97" s="124"/>
      <c r="I97" s="124"/>
      <c r="J97" s="124"/>
      <c r="K97" s="124"/>
      <c r="L97" s="45"/>
      <c r="M97" s="124"/>
      <c r="N97" s="124"/>
      <c r="O97" s="124">
        <v>1</v>
      </c>
      <c r="P97" s="124"/>
    </row>
    <row r="98" spans="2:16" s="107" customFormat="1" ht="13.2" outlineLevel="1" x14ac:dyDescent="0.25">
      <c r="B98" s="32" t="s">
        <v>129</v>
      </c>
      <c r="C98" s="19"/>
      <c r="D98" s="19"/>
      <c r="E98" s="19"/>
      <c r="F98" s="114"/>
      <c r="G98" s="195">
        <f t="shared" si="10"/>
        <v>1</v>
      </c>
      <c r="H98" s="195"/>
      <c r="I98" s="195"/>
      <c r="J98" s="195"/>
      <c r="K98" s="195"/>
      <c r="L98" s="209"/>
      <c r="M98" s="195"/>
      <c r="N98" s="195">
        <v>1</v>
      </c>
      <c r="O98" s="195"/>
      <c r="P98" s="195"/>
    </row>
    <row r="99" spans="2:16" s="31" customFormat="1" ht="13.2" x14ac:dyDescent="0.25">
      <c r="B99" s="32"/>
      <c r="C99" s="33"/>
      <c r="D99" s="33"/>
      <c r="E99" s="33"/>
      <c r="F99" s="20"/>
      <c r="G99" s="20"/>
      <c r="H99" s="20"/>
      <c r="I99" s="20"/>
      <c r="J99" s="20"/>
      <c r="K99" s="20"/>
      <c r="L99" s="3"/>
      <c r="M99" s="20"/>
      <c r="N99" s="20"/>
      <c r="O99" s="20"/>
      <c r="P99" s="20"/>
    </row>
    <row r="100" spans="2:16" s="107" customFormat="1" ht="13.2" x14ac:dyDescent="0.25">
      <c r="B100" s="41" t="s">
        <v>80</v>
      </c>
      <c r="C100" s="19"/>
      <c r="D100" s="19"/>
      <c r="E100" s="19"/>
      <c r="F100" s="171">
        <f>H40</f>
        <v>1</v>
      </c>
      <c r="G100" s="172">
        <f t="shared" ref="G100:N100" si="11">SUM(G101:G101)</f>
        <v>2</v>
      </c>
      <c r="H100" s="172">
        <f t="shared" si="11"/>
        <v>0</v>
      </c>
      <c r="I100" s="172">
        <f>SUM(I101:I101)</f>
        <v>1</v>
      </c>
      <c r="J100" s="172">
        <f>SUM(J101:J101)</f>
        <v>0</v>
      </c>
      <c r="K100" s="172">
        <f>SUM(K101:K101)</f>
        <v>1</v>
      </c>
      <c r="L100" s="231">
        <f t="shared" si="11"/>
        <v>0</v>
      </c>
      <c r="M100" s="172">
        <f>SUM(M101:M101)</f>
        <v>0</v>
      </c>
      <c r="N100" s="172">
        <f t="shared" si="11"/>
        <v>0</v>
      </c>
      <c r="O100" s="172">
        <f t="shared" ref="O100" si="12">SUM(O101:O101)</f>
        <v>0</v>
      </c>
      <c r="P100" s="172">
        <f t="shared" ref="P100" si="13">SUM(P101:P101)</f>
        <v>0</v>
      </c>
    </row>
    <row r="101" spans="2:16" s="107" customFormat="1" ht="13.2" outlineLevel="1" x14ac:dyDescent="0.25">
      <c r="B101" s="32" t="s">
        <v>132</v>
      </c>
      <c r="C101" s="19"/>
      <c r="D101" s="19"/>
      <c r="E101" s="19"/>
      <c r="F101" s="114"/>
      <c r="G101" s="191">
        <f>SUM(H101:P101)</f>
        <v>2</v>
      </c>
      <c r="H101" s="191"/>
      <c r="I101" s="191">
        <v>1</v>
      </c>
      <c r="J101" s="191"/>
      <c r="K101" s="191">
        <v>1</v>
      </c>
      <c r="L101" s="192"/>
      <c r="M101" s="191"/>
      <c r="N101" s="191"/>
      <c r="O101" s="191"/>
      <c r="P101" s="191"/>
    </row>
    <row r="102" spans="2:16" s="31" customFormat="1" ht="13.2" x14ac:dyDescent="0.25">
      <c r="B102" s="32"/>
      <c r="C102" s="33"/>
      <c r="D102" s="33"/>
      <c r="E102" s="33"/>
      <c r="F102" s="20"/>
      <c r="G102" s="20"/>
      <c r="H102" s="20"/>
      <c r="I102" s="20"/>
      <c r="J102" s="20"/>
      <c r="K102" s="20"/>
      <c r="L102" s="3"/>
      <c r="M102" s="20"/>
      <c r="N102" s="20"/>
      <c r="O102" s="20"/>
      <c r="P102" s="20"/>
    </row>
    <row r="103" spans="2:16" s="107" customFormat="1" ht="13.2" x14ac:dyDescent="0.25">
      <c r="B103" s="41" t="s">
        <v>85</v>
      </c>
      <c r="C103" s="19"/>
      <c r="D103" s="19"/>
      <c r="E103" s="19"/>
      <c r="F103" s="171">
        <f>H45</f>
        <v>10</v>
      </c>
      <c r="G103" s="172">
        <f t="shared" ref="G103:N103" si="14">SUM(G104:G113)</f>
        <v>10</v>
      </c>
      <c r="H103" s="172">
        <f t="shared" si="14"/>
        <v>0</v>
      </c>
      <c r="I103" s="172">
        <f>SUM(I104:I113)</f>
        <v>1</v>
      </c>
      <c r="J103" s="172">
        <f>SUM(J104:J113)</f>
        <v>1</v>
      </c>
      <c r="K103" s="172">
        <f>SUM(K104:K113)</f>
        <v>1</v>
      </c>
      <c r="L103" s="231">
        <f t="shared" si="14"/>
        <v>0</v>
      </c>
      <c r="M103" s="172">
        <f>SUM(M104:M113)</f>
        <v>1</v>
      </c>
      <c r="N103" s="172">
        <f t="shared" si="14"/>
        <v>3</v>
      </c>
      <c r="O103" s="172">
        <f t="shared" ref="O103" si="15">SUM(O104:O113)</f>
        <v>0</v>
      </c>
      <c r="P103" s="172">
        <f t="shared" ref="P103" si="16">SUM(P104:P113)</f>
        <v>3</v>
      </c>
    </row>
    <row r="104" spans="2:16" s="107" customFormat="1" ht="13.2" outlineLevel="1" x14ac:dyDescent="0.25">
      <c r="B104" s="32" t="s">
        <v>135</v>
      </c>
      <c r="C104" s="19"/>
      <c r="D104" s="19"/>
      <c r="E104" s="19"/>
      <c r="F104" s="114"/>
      <c r="G104" s="194">
        <f t="shared" ref="G104:G113" si="17">SUM(H104:P104)</f>
        <v>1</v>
      </c>
      <c r="H104" s="194"/>
      <c r="I104" s="194">
        <v>1</v>
      </c>
      <c r="J104" s="194"/>
      <c r="K104" s="194"/>
      <c r="L104" s="208"/>
      <c r="M104" s="194"/>
      <c r="N104" s="194"/>
      <c r="O104" s="194"/>
      <c r="P104" s="194"/>
    </row>
    <row r="105" spans="2:16" s="107" customFormat="1" ht="13.2" outlineLevel="1" x14ac:dyDescent="0.25">
      <c r="B105" s="32" t="s">
        <v>137</v>
      </c>
      <c r="C105" s="19"/>
      <c r="D105" s="19"/>
      <c r="E105" s="19"/>
      <c r="F105" s="114"/>
      <c r="G105" s="124">
        <f t="shared" si="17"/>
        <v>1</v>
      </c>
      <c r="H105" s="124"/>
      <c r="I105" s="124"/>
      <c r="J105" s="124"/>
      <c r="K105" s="124"/>
      <c r="L105" s="45"/>
      <c r="M105" s="124"/>
      <c r="N105" s="124">
        <v>1</v>
      </c>
      <c r="O105" s="124"/>
      <c r="P105" s="124"/>
    </row>
    <row r="106" spans="2:16" s="107" customFormat="1" ht="13.2" outlineLevel="1" x14ac:dyDescent="0.25">
      <c r="B106" s="32" t="s">
        <v>138</v>
      </c>
      <c r="C106" s="19"/>
      <c r="D106" s="19"/>
      <c r="E106" s="19"/>
      <c r="F106" s="114"/>
      <c r="G106" s="124">
        <f t="shared" si="17"/>
        <v>1</v>
      </c>
      <c r="H106" s="124"/>
      <c r="I106" s="124"/>
      <c r="J106" s="124"/>
      <c r="K106" s="124"/>
      <c r="L106" s="45"/>
      <c r="M106" s="124"/>
      <c r="N106" s="124">
        <v>1</v>
      </c>
      <c r="O106" s="124"/>
      <c r="P106" s="124"/>
    </row>
    <row r="107" spans="2:16" s="107" customFormat="1" ht="13.2" outlineLevel="1" x14ac:dyDescent="0.25">
      <c r="B107" s="32" t="s">
        <v>139</v>
      </c>
      <c r="C107" s="19"/>
      <c r="D107" s="19"/>
      <c r="E107" s="19"/>
      <c r="F107" s="114"/>
      <c r="G107" s="124">
        <f t="shared" si="17"/>
        <v>1</v>
      </c>
      <c r="H107" s="124"/>
      <c r="I107" s="124"/>
      <c r="J107" s="124"/>
      <c r="K107" s="124"/>
      <c r="L107" s="45"/>
      <c r="M107" s="124"/>
      <c r="N107" s="124"/>
      <c r="O107" s="124"/>
      <c r="P107" s="124">
        <v>1</v>
      </c>
    </row>
    <row r="108" spans="2:16" s="107" customFormat="1" ht="13.2" outlineLevel="1" x14ac:dyDescent="0.25">
      <c r="B108" s="32" t="s">
        <v>145</v>
      </c>
      <c r="C108" s="19"/>
      <c r="D108" s="19"/>
      <c r="E108" s="19"/>
      <c r="F108" s="114"/>
      <c r="G108" s="124">
        <f t="shared" si="17"/>
        <v>1</v>
      </c>
      <c r="H108" s="124"/>
      <c r="I108" s="124"/>
      <c r="J108" s="124">
        <v>1</v>
      </c>
      <c r="K108" s="124"/>
      <c r="L108" s="45"/>
      <c r="M108" s="124"/>
      <c r="N108" s="124"/>
      <c r="O108" s="124"/>
      <c r="P108" s="124"/>
    </row>
    <row r="109" spans="2:16" s="107" customFormat="1" ht="13.2" outlineLevel="1" x14ac:dyDescent="0.25">
      <c r="B109" s="32" t="s">
        <v>152</v>
      </c>
      <c r="C109" s="19"/>
      <c r="D109" s="19"/>
      <c r="E109" s="19"/>
      <c r="F109" s="114"/>
      <c r="G109" s="124">
        <f t="shared" si="17"/>
        <v>1</v>
      </c>
      <c r="H109" s="124"/>
      <c r="I109" s="124"/>
      <c r="J109" s="124"/>
      <c r="K109" s="124"/>
      <c r="L109" s="45"/>
      <c r="M109" s="124">
        <v>1</v>
      </c>
      <c r="N109" s="124"/>
      <c r="O109" s="124"/>
      <c r="P109" s="124"/>
    </row>
    <row r="110" spans="2:16" s="107" customFormat="1" ht="13.2" outlineLevel="1" x14ac:dyDescent="0.25">
      <c r="B110" s="32" t="s">
        <v>153</v>
      </c>
      <c r="C110" s="19"/>
      <c r="D110" s="19"/>
      <c r="E110" s="19"/>
      <c r="F110" s="114"/>
      <c r="G110" s="124">
        <f t="shared" si="17"/>
        <v>1</v>
      </c>
      <c r="H110" s="124"/>
      <c r="I110" s="124"/>
      <c r="J110" s="124"/>
      <c r="K110" s="124"/>
      <c r="L110" s="45"/>
      <c r="M110" s="124"/>
      <c r="N110" s="124"/>
      <c r="O110" s="124"/>
      <c r="P110" s="124">
        <v>1</v>
      </c>
    </row>
    <row r="111" spans="2:16" s="107" customFormat="1" ht="13.2" outlineLevel="1" x14ac:dyDescent="0.25">
      <c r="B111" s="32" t="s">
        <v>154</v>
      </c>
      <c r="C111" s="19"/>
      <c r="D111" s="19"/>
      <c r="E111" s="19"/>
      <c r="F111" s="114"/>
      <c r="G111" s="124">
        <f t="shared" si="17"/>
        <v>1</v>
      </c>
      <c r="H111" s="124"/>
      <c r="I111" s="124"/>
      <c r="J111" s="124"/>
      <c r="K111" s="124">
        <v>1</v>
      </c>
      <c r="L111" s="45"/>
      <c r="M111" s="124"/>
      <c r="N111" s="124"/>
      <c r="O111" s="124"/>
      <c r="P111" s="124"/>
    </row>
    <row r="112" spans="2:16" s="107" customFormat="1" ht="13.2" outlineLevel="1" x14ac:dyDescent="0.25">
      <c r="B112" s="32" t="s">
        <v>155</v>
      </c>
      <c r="C112" s="19"/>
      <c r="D112" s="19"/>
      <c r="E112" s="19"/>
      <c r="F112" s="114"/>
      <c r="G112" s="124">
        <f t="shared" si="17"/>
        <v>1</v>
      </c>
      <c r="H112" s="124"/>
      <c r="I112" s="124"/>
      <c r="J112" s="124"/>
      <c r="K112" s="124"/>
      <c r="L112" s="45"/>
      <c r="M112" s="124"/>
      <c r="N112" s="124"/>
      <c r="O112" s="124"/>
      <c r="P112" s="124">
        <v>1</v>
      </c>
    </row>
    <row r="113" spans="2:16" s="107" customFormat="1" ht="13.2" outlineLevel="1" x14ac:dyDescent="0.25">
      <c r="B113" s="32" t="s">
        <v>157</v>
      </c>
      <c r="C113" s="19"/>
      <c r="D113" s="19"/>
      <c r="E113" s="19"/>
      <c r="F113" s="114"/>
      <c r="G113" s="195">
        <f t="shared" si="17"/>
        <v>1</v>
      </c>
      <c r="H113" s="195"/>
      <c r="I113" s="195"/>
      <c r="J113" s="195"/>
      <c r="K113" s="195"/>
      <c r="L113" s="209"/>
      <c r="M113" s="195"/>
      <c r="N113" s="195">
        <v>1</v>
      </c>
      <c r="O113" s="195"/>
      <c r="P113" s="195"/>
    </row>
    <row r="114" spans="2:16" s="107" customFormat="1" ht="13.2" x14ac:dyDescent="0.25">
      <c r="B114" s="207"/>
      <c r="C114" s="119"/>
      <c r="D114" s="119"/>
      <c r="E114" s="119"/>
      <c r="F114" s="169"/>
      <c r="G114" s="169"/>
      <c r="H114" s="161"/>
      <c r="I114" s="161"/>
      <c r="J114" s="161"/>
      <c r="K114" s="161"/>
      <c r="L114" s="160"/>
      <c r="M114" s="161"/>
      <c r="N114" s="161"/>
      <c r="O114" s="161"/>
      <c r="P114" s="161"/>
    </row>
    <row r="116" spans="2:16" x14ac:dyDescent="0.3">
      <c r="B116" s="46" t="s">
        <v>221</v>
      </c>
    </row>
    <row r="117" spans="2:16" ht="9" customHeight="1" x14ac:dyDescent="0.3"/>
    <row r="118" spans="2:16" ht="10.199999999999999" customHeight="1" x14ac:dyDescent="0.3">
      <c r="B118" s="255" t="s">
        <v>48</v>
      </c>
      <c r="C118" s="256"/>
      <c r="D118" s="256"/>
      <c r="E118" s="257"/>
      <c r="F118" s="246" t="s">
        <v>162</v>
      </c>
      <c r="G118" s="247"/>
      <c r="H118" s="291" t="s">
        <v>164</v>
      </c>
      <c r="I118" s="292"/>
      <c r="J118" s="292"/>
      <c r="K118" s="293"/>
    </row>
    <row r="119" spans="2:16" ht="13.8" customHeight="1" x14ac:dyDescent="0.3">
      <c r="B119" s="258"/>
      <c r="C119" s="275"/>
      <c r="D119" s="275"/>
      <c r="E119" s="276"/>
      <c r="F119" s="248"/>
      <c r="G119" s="249"/>
      <c r="H119" s="294"/>
      <c r="I119" s="295"/>
      <c r="J119" s="295"/>
      <c r="K119" s="296"/>
    </row>
    <row r="120" spans="2:16" s="90" customFormat="1" ht="57" customHeight="1" x14ac:dyDescent="0.3">
      <c r="B120" s="260"/>
      <c r="C120" s="261"/>
      <c r="D120" s="261"/>
      <c r="E120" s="261"/>
      <c r="F120" s="89" t="s">
        <v>49</v>
      </c>
      <c r="G120" s="89" t="s">
        <v>50</v>
      </c>
      <c r="H120" s="98" t="s">
        <v>273</v>
      </c>
      <c r="I120" s="91" t="s">
        <v>341</v>
      </c>
      <c r="J120" s="98" t="s">
        <v>276</v>
      </c>
      <c r="K120" s="98" t="s">
        <v>342</v>
      </c>
    </row>
    <row r="121" spans="2:16" x14ac:dyDescent="0.3">
      <c r="B121" s="32"/>
      <c r="C121" s="33"/>
      <c r="D121" s="33"/>
      <c r="E121" s="34"/>
      <c r="F121" s="20"/>
      <c r="G121" s="20"/>
      <c r="H121" s="44"/>
      <c r="I121" s="3"/>
      <c r="J121" s="44"/>
      <c r="K121" s="88"/>
    </row>
    <row r="122" spans="2:16" x14ac:dyDescent="0.3">
      <c r="B122" s="37" t="s">
        <v>51</v>
      </c>
      <c r="C122" s="38"/>
      <c r="D122" s="38"/>
      <c r="E122" s="39"/>
      <c r="F122" s="77">
        <f>SUM(F124,F127,F131,F134)</f>
        <v>7</v>
      </c>
      <c r="G122" s="67">
        <f t="shared" ref="G122:J122" si="18">SUM(G124,G127,G131,G134)</f>
        <v>7</v>
      </c>
      <c r="H122" s="67">
        <f t="shared" si="18"/>
        <v>3</v>
      </c>
      <c r="I122" s="40">
        <f t="shared" si="18"/>
        <v>2</v>
      </c>
      <c r="J122" s="67">
        <f t="shared" si="18"/>
        <v>1</v>
      </c>
      <c r="K122" s="67">
        <f>SUM(K124,K127,K131,K134)</f>
        <v>1</v>
      </c>
    </row>
    <row r="123" spans="2:16" x14ac:dyDescent="0.3">
      <c r="B123" s="32" t="s">
        <v>47</v>
      </c>
      <c r="C123" s="33"/>
      <c r="D123" s="33"/>
      <c r="E123" s="34"/>
      <c r="F123" s="20"/>
      <c r="G123" s="20"/>
      <c r="H123" s="35"/>
      <c r="I123" s="3"/>
      <c r="J123" s="65"/>
      <c r="K123" s="65"/>
    </row>
    <row r="124" spans="2:16" s="107" customFormat="1" ht="13.2" x14ac:dyDescent="0.25">
      <c r="B124" s="41" t="s">
        <v>57</v>
      </c>
      <c r="C124" s="47"/>
      <c r="D124" s="47"/>
      <c r="E124" s="3"/>
      <c r="F124" s="63">
        <f>J15</f>
        <v>1</v>
      </c>
      <c r="G124" s="43">
        <f>SUM(G125:G125)</f>
        <v>1</v>
      </c>
      <c r="H124" s="43">
        <f t="shared" ref="H124:J124" si="19">SUM(H125:H125)</f>
        <v>1</v>
      </c>
      <c r="I124" s="34">
        <f t="shared" si="19"/>
        <v>0</v>
      </c>
      <c r="J124" s="43">
        <f t="shared" si="19"/>
        <v>0</v>
      </c>
      <c r="K124" s="43">
        <f>SUM(K125:K125)</f>
        <v>0</v>
      </c>
    </row>
    <row r="125" spans="2:16" s="107" customFormat="1" ht="13.2" outlineLevel="1" x14ac:dyDescent="0.25">
      <c r="B125" s="32" t="s">
        <v>110</v>
      </c>
      <c r="C125" s="47"/>
      <c r="D125" s="47"/>
      <c r="E125" s="3"/>
      <c r="F125" s="20"/>
      <c r="G125" s="191">
        <f>SUM(H125:K125)</f>
        <v>1</v>
      </c>
      <c r="H125" s="191">
        <v>1</v>
      </c>
      <c r="I125" s="192"/>
      <c r="J125" s="193"/>
      <c r="K125" s="193"/>
    </row>
    <row r="126" spans="2:16" s="107" customFormat="1" ht="13.2" x14ac:dyDescent="0.25">
      <c r="B126" s="32"/>
      <c r="C126" s="47"/>
      <c r="D126" s="47"/>
      <c r="E126" s="3"/>
      <c r="F126" s="20"/>
      <c r="G126" s="20"/>
      <c r="H126" s="20"/>
      <c r="I126" s="3"/>
      <c r="J126" s="44"/>
      <c r="K126" s="44"/>
    </row>
    <row r="127" spans="2:16" s="107" customFormat="1" ht="13.2" x14ac:dyDescent="0.25">
      <c r="B127" s="41" t="s">
        <v>60</v>
      </c>
      <c r="C127" s="19"/>
      <c r="D127" s="19"/>
      <c r="E127" s="19"/>
      <c r="F127" s="171">
        <f>J18</f>
        <v>2</v>
      </c>
      <c r="G127" s="172">
        <f t="shared" ref="G127:J127" si="20">SUM(G128:G129)</f>
        <v>2</v>
      </c>
      <c r="H127" s="172">
        <f t="shared" si="20"/>
        <v>1</v>
      </c>
      <c r="I127" s="231">
        <f t="shared" si="20"/>
        <v>1</v>
      </c>
      <c r="J127" s="172">
        <f t="shared" si="20"/>
        <v>0</v>
      </c>
      <c r="K127" s="172">
        <f>SUM(K128:K129)</f>
        <v>0</v>
      </c>
    </row>
    <row r="128" spans="2:16" s="107" customFormat="1" ht="13.2" outlineLevel="1" x14ac:dyDescent="0.25">
      <c r="B128" s="32" t="s">
        <v>111</v>
      </c>
      <c r="C128" s="19"/>
      <c r="D128" s="19"/>
      <c r="E128" s="19"/>
      <c r="F128" s="168"/>
      <c r="G128" s="194">
        <f>SUM(H128:K128)</f>
        <v>1</v>
      </c>
      <c r="H128" s="194"/>
      <c r="I128" s="208">
        <v>1</v>
      </c>
      <c r="J128" s="194"/>
      <c r="K128" s="194"/>
    </row>
    <row r="129" spans="2:31" s="107" customFormat="1" ht="13.2" outlineLevel="1" x14ac:dyDescent="0.25">
      <c r="B129" s="32" t="s">
        <v>118</v>
      </c>
      <c r="C129" s="19"/>
      <c r="D129" s="19"/>
      <c r="E129" s="19"/>
      <c r="F129" s="168"/>
      <c r="G129" s="195">
        <f>SUM(H129:K129)</f>
        <v>1</v>
      </c>
      <c r="H129" s="195">
        <v>1</v>
      </c>
      <c r="I129" s="209"/>
      <c r="J129" s="195"/>
      <c r="K129" s="195"/>
    </row>
    <row r="130" spans="2:31" s="107" customFormat="1" ht="13.2" x14ac:dyDescent="0.25">
      <c r="B130" s="32"/>
      <c r="C130" s="33"/>
      <c r="D130" s="33"/>
      <c r="E130" s="33"/>
      <c r="F130" s="44"/>
      <c r="G130" s="20"/>
      <c r="H130" s="44"/>
      <c r="I130" s="33"/>
      <c r="J130" s="44"/>
      <c r="K130" s="44"/>
    </row>
    <row r="131" spans="2:31" s="107" customFormat="1" ht="13.2" x14ac:dyDescent="0.25">
      <c r="B131" s="41" t="s">
        <v>80</v>
      </c>
      <c r="C131" s="19"/>
      <c r="D131" s="19"/>
      <c r="E131" s="19"/>
      <c r="F131" s="171">
        <f>J40</f>
        <v>1</v>
      </c>
      <c r="G131" s="172">
        <f t="shared" ref="G131:J131" si="21">SUM(G132:G132)</f>
        <v>1</v>
      </c>
      <c r="H131" s="172">
        <f t="shared" si="21"/>
        <v>0</v>
      </c>
      <c r="I131" s="231">
        <f t="shared" si="21"/>
        <v>0</v>
      </c>
      <c r="J131" s="172">
        <f t="shared" si="21"/>
        <v>0</v>
      </c>
      <c r="K131" s="172">
        <f>SUM(K132:K132)</f>
        <v>1</v>
      </c>
    </row>
    <row r="132" spans="2:31" s="107" customFormat="1" ht="13.2" outlineLevel="1" x14ac:dyDescent="0.25">
      <c r="B132" s="32" t="s">
        <v>133</v>
      </c>
      <c r="C132" s="19"/>
      <c r="D132" s="19"/>
      <c r="E132" s="19"/>
      <c r="F132" s="114"/>
      <c r="G132" s="191">
        <f>SUM(H132:K132)</f>
        <v>1</v>
      </c>
      <c r="H132" s="191"/>
      <c r="I132" s="192"/>
      <c r="J132" s="191"/>
      <c r="K132" s="191">
        <v>1</v>
      </c>
    </row>
    <row r="133" spans="2:31" s="107" customFormat="1" ht="13.2" x14ac:dyDescent="0.25">
      <c r="B133" s="32"/>
      <c r="C133" s="33"/>
      <c r="D133" s="33"/>
      <c r="E133" s="33"/>
      <c r="F133" s="20"/>
      <c r="G133" s="20"/>
      <c r="H133" s="44"/>
      <c r="I133" s="33"/>
      <c r="J133" s="44"/>
      <c r="K133" s="44"/>
    </row>
    <row r="134" spans="2:31" s="107" customFormat="1" ht="13.2" x14ac:dyDescent="0.25">
      <c r="B134" s="41" t="s">
        <v>85</v>
      </c>
      <c r="C134" s="19"/>
      <c r="D134" s="19"/>
      <c r="E134" s="19"/>
      <c r="F134" s="171">
        <f>J45</f>
        <v>3</v>
      </c>
      <c r="G134" s="172">
        <f t="shared" ref="G134:J134" si="22">SUM(G135:G137)</f>
        <v>3</v>
      </c>
      <c r="H134" s="172">
        <f t="shared" si="22"/>
        <v>1</v>
      </c>
      <c r="I134" s="231">
        <f t="shared" si="22"/>
        <v>1</v>
      </c>
      <c r="J134" s="172">
        <f t="shared" si="22"/>
        <v>1</v>
      </c>
      <c r="K134" s="172">
        <f>SUM(K135:K137)</f>
        <v>0</v>
      </c>
    </row>
    <row r="135" spans="2:31" s="107" customFormat="1" ht="13.2" outlineLevel="1" x14ac:dyDescent="0.25">
      <c r="B135" s="32" t="s">
        <v>144</v>
      </c>
      <c r="C135" s="19"/>
      <c r="D135" s="19"/>
      <c r="E135" s="19"/>
      <c r="F135" s="114"/>
      <c r="G135" s="194">
        <f>SUM(H135:K135)</f>
        <v>1</v>
      </c>
      <c r="H135" s="194"/>
      <c r="I135" s="208">
        <v>1</v>
      </c>
      <c r="J135" s="194"/>
      <c r="K135" s="194"/>
    </row>
    <row r="136" spans="2:31" s="107" customFormat="1" ht="13.2" outlineLevel="1" x14ac:dyDescent="0.25">
      <c r="B136" s="32" t="s">
        <v>149</v>
      </c>
      <c r="C136" s="19"/>
      <c r="D136" s="19"/>
      <c r="E136" s="19"/>
      <c r="F136" s="114"/>
      <c r="G136" s="124">
        <f>SUM(H136:K136)</f>
        <v>1</v>
      </c>
      <c r="H136" s="124"/>
      <c r="I136" s="45"/>
      <c r="J136" s="124">
        <v>1</v>
      </c>
      <c r="K136" s="124"/>
    </row>
    <row r="137" spans="2:31" s="107" customFormat="1" ht="13.2" outlineLevel="1" x14ac:dyDescent="0.25">
      <c r="B137" s="32" t="s">
        <v>151</v>
      </c>
      <c r="C137" s="19"/>
      <c r="D137" s="19"/>
      <c r="E137" s="19"/>
      <c r="F137" s="114"/>
      <c r="G137" s="195">
        <f>SUM(H137:K137)</f>
        <v>1</v>
      </c>
      <c r="H137" s="195">
        <v>1</v>
      </c>
      <c r="I137" s="209"/>
      <c r="J137" s="195"/>
      <c r="K137" s="195"/>
    </row>
    <row r="138" spans="2:31" s="107" customFormat="1" ht="13.2" x14ac:dyDescent="0.25">
      <c r="B138" s="207"/>
      <c r="C138" s="119"/>
      <c r="D138" s="119"/>
      <c r="E138" s="119"/>
      <c r="F138" s="169"/>
      <c r="G138" s="169"/>
      <c r="H138" s="169"/>
      <c r="I138" s="119"/>
      <c r="J138" s="169"/>
      <c r="K138" s="169"/>
    </row>
    <row r="140" spans="2:31" x14ac:dyDescent="0.3">
      <c r="D140" s="69"/>
      <c r="E140" s="8"/>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row>
    <row r="141" spans="2:31" x14ac:dyDescent="0.3">
      <c r="B141" s="48"/>
      <c r="D141" s="69"/>
      <c r="E141" s="8"/>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row>
    <row r="142" spans="2:31" x14ac:dyDescent="0.3">
      <c r="B142" s="46"/>
    </row>
  </sheetData>
  <mergeCells count="17">
    <mergeCell ref="B2:C2"/>
    <mergeCell ref="B8:E8"/>
    <mergeCell ref="F8:G8"/>
    <mergeCell ref="H8:I8"/>
    <mergeCell ref="J8:K8"/>
    <mergeCell ref="B6:J7"/>
    <mergeCell ref="U8:AD8"/>
    <mergeCell ref="B118:E120"/>
    <mergeCell ref="F118:G119"/>
    <mergeCell ref="B9:E9"/>
    <mergeCell ref="B76:E78"/>
    <mergeCell ref="F76:G77"/>
    <mergeCell ref="H76:P76"/>
    <mergeCell ref="O77:P77"/>
    <mergeCell ref="H77:M77"/>
    <mergeCell ref="H118:K119"/>
    <mergeCell ref="L8:M8"/>
  </mergeCells>
  <pageMargins left="0.7" right="0.7" top="0.75" bottom="0.75" header="0.3" footer="0.3"/>
  <pageSetup scale="22" orientation="landscape" r:id="rId1"/>
  <ignoredErrors>
    <ignoredError sqref="G11:H11 I11:J11 K11:L11"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0570-E1D7-4190-BC8D-153FF0AA17E0}">
  <sheetPr>
    <pageSetUpPr fitToPage="1"/>
  </sheetPr>
  <dimension ref="B1:BE128"/>
  <sheetViews>
    <sheetView showGridLines="0" workbookViewId="0">
      <selection activeCell="E3" sqref="E3"/>
    </sheetView>
  </sheetViews>
  <sheetFormatPr defaultColWidth="9.109375" defaultRowHeight="14.4" outlineLevelRow="1" x14ac:dyDescent="0.3"/>
  <cols>
    <col min="1" max="1" width="2.88671875" style="106" customWidth="1"/>
    <col min="2" max="2" width="19" style="106" customWidth="1"/>
    <col min="3" max="3" width="13.5546875" style="106" customWidth="1"/>
    <col min="4" max="5" width="9.109375" style="106"/>
    <col min="6" max="7" width="12.5546875" style="106" customWidth="1"/>
    <col min="8" max="8" width="14.88671875" style="106" customWidth="1"/>
    <col min="9" max="9" width="15.44140625" style="106" customWidth="1"/>
    <col min="10" max="10" width="14" style="106" customWidth="1"/>
    <col min="11" max="11" width="14.6640625" style="106" customWidth="1"/>
    <col min="12" max="13" width="13.88671875" style="106" customWidth="1"/>
    <col min="14" max="14" width="12.21875" style="106" customWidth="1"/>
    <col min="15" max="15" width="13.44140625" style="106" customWidth="1"/>
    <col min="16" max="16" width="13.109375" style="106" customWidth="1"/>
    <col min="17" max="17" width="12.109375" style="106" customWidth="1"/>
    <col min="18" max="18" width="15.6640625" style="106" customWidth="1"/>
    <col min="19" max="19" width="13" style="106" customWidth="1"/>
    <col min="20" max="20" width="13.88671875" style="106" customWidth="1"/>
    <col min="21" max="33" width="17.88671875" style="106" customWidth="1"/>
    <col min="34" max="34" width="18.88671875" style="106" customWidth="1"/>
    <col min="35" max="35" width="16.88671875" style="106" customWidth="1"/>
    <col min="36" max="36" width="18" style="106" customWidth="1"/>
    <col min="37" max="43" width="16.88671875" style="106" customWidth="1"/>
    <col min="44" max="16384" width="9.109375" style="106"/>
  </cols>
  <sheetData>
    <row r="1" spans="2:44" s="107" customFormat="1" ht="13.2" x14ac:dyDescent="0.25">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row>
    <row r="2" spans="2:44" s="107" customFormat="1" ht="18.600000000000001" customHeight="1" x14ac:dyDescent="0.25">
      <c r="B2" s="262" t="s">
        <v>183</v>
      </c>
      <c r="C2" s="263"/>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row>
    <row r="3" spans="2:44" s="107" customFormat="1" ht="20.399999999999999" customHeight="1" x14ac:dyDescent="0.3">
      <c r="B3" s="109" t="s">
        <v>29</v>
      </c>
      <c r="F3" s="108"/>
      <c r="G3" s="108"/>
      <c r="H3" s="108"/>
      <c r="I3" s="151"/>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row>
    <row r="4" spans="2:44" s="107" customFormat="1" ht="15.6" x14ac:dyDescent="0.3">
      <c r="B4" s="109"/>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row>
    <row r="5" spans="2:44" s="107" customFormat="1" ht="15" customHeight="1" x14ac:dyDescent="0.25">
      <c r="B5" s="105" t="s">
        <v>21</v>
      </c>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row>
    <row r="6" spans="2:44" s="107" customFormat="1" ht="33" customHeight="1" x14ac:dyDescent="0.25">
      <c r="B6" s="312" t="s">
        <v>28</v>
      </c>
      <c r="C6" s="312"/>
      <c r="D6" s="312"/>
      <c r="E6" s="312"/>
      <c r="F6" s="312"/>
      <c r="G6" s="312"/>
      <c r="H6" s="312"/>
      <c r="I6" s="312"/>
      <c r="J6" s="184"/>
      <c r="K6" s="184"/>
      <c r="L6" s="184"/>
      <c r="M6" s="184"/>
      <c r="N6" s="184"/>
      <c r="O6" s="184"/>
      <c r="P6" s="184"/>
      <c r="Q6" s="184"/>
      <c r="R6" s="184"/>
      <c r="S6" s="184"/>
      <c r="T6" s="184"/>
      <c r="U6" s="184"/>
      <c r="V6" s="184"/>
      <c r="W6" s="184"/>
      <c r="X6" s="184"/>
      <c r="Y6" s="184"/>
      <c r="Z6" s="184"/>
      <c r="AA6" s="184"/>
      <c r="AB6" s="184"/>
      <c r="AC6" s="184"/>
      <c r="AD6" s="108"/>
      <c r="AE6" s="108"/>
      <c r="AF6" s="108"/>
      <c r="AG6" s="108"/>
      <c r="AH6" s="108"/>
      <c r="AI6" s="108"/>
      <c r="AJ6" s="108"/>
      <c r="AK6" s="108"/>
      <c r="AL6" s="108"/>
      <c r="AM6" s="108"/>
      <c r="AN6" s="108"/>
      <c r="AO6" s="108"/>
      <c r="AP6" s="108"/>
      <c r="AQ6" s="108"/>
      <c r="AR6" s="108"/>
    </row>
    <row r="7" spans="2:44" ht="7.2" customHeight="1" x14ac:dyDescent="0.3"/>
    <row r="8" spans="2:44" s="107" customFormat="1" ht="53.4" customHeight="1" x14ac:dyDescent="0.25">
      <c r="B8" s="264" t="s">
        <v>34</v>
      </c>
      <c r="C8" s="265"/>
      <c r="D8" s="265"/>
      <c r="E8" s="266"/>
      <c r="F8" s="267" t="s">
        <v>222</v>
      </c>
      <c r="G8" s="268"/>
      <c r="H8" s="313" t="s">
        <v>223</v>
      </c>
      <c r="I8" s="314"/>
      <c r="J8" s="313" t="s">
        <v>224</v>
      </c>
      <c r="K8" s="314"/>
      <c r="L8" s="242" t="s">
        <v>225</v>
      </c>
      <c r="M8" s="311"/>
      <c r="N8" s="104"/>
      <c r="O8" s="173"/>
      <c r="P8" s="108"/>
      <c r="Q8" s="108"/>
      <c r="R8" s="104"/>
      <c r="S8" s="104"/>
      <c r="T8" s="104"/>
      <c r="U8" s="104"/>
      <c r="V8" s="173"/>
      <c r="W8" s="108"/>
      <c r="X8" s="108"/>
      <c r="Y8" s="108"/>
      <c r="Z8" s="104"/>
      <c r="AA8" s="104"/>
      <c r="AB8" s="104"/>
      <c r="AC8" s="173"/>
      <c r="AD8" s="104"/>
      <c r="AE8" s="108"/>
      <c r="AF8" s="108"/>
      <c r="AG8" s="108"/>
      <c r="AH8" s="108"/>
      <c r="AI8" s="108"/>
      <c r="AJ8" s="108"/>
      <c r="AK8" s="108"/>
      <c r="AL8" s="108"/>
      <c r="AM8" s="108"/>
      <c r="AN8" s="108"/>
      <c r="AO8" s="108"/>
      <c r="AP8" s="108"/>
      <c r="AQ8" s="108"/>
    </row>
    <row r="9" spans="2:44" s="107" customFormat="1" ht="14.4" customHeight="1" x14ac:dyDescent="0.25">
      <c r="B9" s="244" t="s">
        <v>402</v>
      </c>
      <c r="C9" s="245"/>
      <c r="D9" s="245"/>
      <c r="E9" s="245"/>
      <c r="F9" s="111" t="s">
        <v>37</v>
      </c>
      <c r="G9" s="128" t="s">
        <v>38</v>
      </c>
      <c r="H9" s="111" t="s">
        <v>37</v>
      </c>
      <c r="I9" s="128" t="s">
        <v>38</v>
      </c>
      <c r="J9" s="111" t="s">
        <v>37</v>
      </c>
      <c r="K9" s="128" t="s">
        <v>38</v>
      </c>
      <c r="L9" s="111" t="s">
        <v>37</v>
      </c>
      <c r="M9" s="131" t="s">
        <v>38</v>
      </c>
      <c r="N9" s="144"/>
      <c r="O9" s="174"/>
      <c r="P9" s="108"/>
      <c r="Q9" s="108"/>
      <c r="R9" s="144"/>
      <c r="S9" s="144"/>
      <c r="T9" s="144"/>
      <c r="U9" s="174"/>
      <c r="V9" s="174"/>
      <c r="W9" s="108"/>
      <c r="X9" s="108"/>
      <c r="Y9" s="108"/>
      <c r="Z9" s="174"/>
      <c r="AA9" s="174"/>
      <c r="AB9" s="174"/>
      <c r="AC9" s="175"/>
      <c r="AD9" s="174"/>
      <c r="AE9" s="108"/>
      <c r="AF9" s="108"/>
      <c r="AG9" s="174"/>
      <c r="AH9" s="108"/>
      <c r="AI9" s="108"/>
      <c r="AJ9" s="108"/>
      <c r="AK9" s="108"/>
      <c r="AL9" s="108"/>
      <c r="AM9" s="108"/>
      <c r="AN9" s="108"/>
      <c r="AO9" s="108"/>
      <c r="AP9" s="108"/>
      <c r="AQ9" s="108"/>
    </row>
    <row r="10" spans="2:44" s="107" customFormat="1" ht="15" customHeight="1" x14ac:dyDescent="0.25">
      <c r="B10" s="145"/>
      <c r="C10" s="146"/>
      <c r="D10" s="146"/>
      <c r="E10" s="146"/>
      <c r="F10" s="112"/>
      <c r="G10" s="125"/>
      <c r="H10" s="112"/>
      <c r="I10" s="125"/>
      <c r="J10" s="112"/>
      <c r="K10" s="125"/>
      <c r="L10" s="112"/>
      <c r="M10" s="113"/>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row>
    <row r="11" spans="2:44" s="107" customFormat="1" ht="15" customHeight="1" x14ac:dyDescent="0.25">
      <c r="B11" s="147" t="s">
        <v>39</v>
      </c>
      <c r="C11" s="148"/>
      <c r="D11" s="148"/>
      <c r="E11" s="149">
        <f>SUM(F11,H11,J11,L11)</f>
        <v>52</v>
      </c>
      <c r="F11" s="114">
        <f>SUM(F13,F15,F18,F28,F40,F45,F70)</f>
        <v>22</v>
      </c>
      <c r="G11" s="150">
        <f>F11/$E$11</f>
        <v>0.42307692307692307</v>
      </c>
      <c r="H11" s="235">
        <f>SUM(H13,H15,H18,H28,H40,H45,H70)</f>
        <v>23</v>
      </c>
      <c r="I11" s="150">
        <f>H11/$E$11</f>
        <v>0.44230769230769229</v>
      </c>
      <c r="J11" s="116">
        <f>SUM(J13,J15,J18,J28,J40,J45,J70)</f>
        <v>1</v>
      </c>
      <c r="K11" s="150">
        <f>J11/$E$11</f>
        <v>1.9230769230769232E-2</v>
      </c>
      <c r="L11" s="114">
        <f>SUM(L13,L15,L18,L28,L40,L45,L70)</f>
        <v>6</v>
      </c>
      <c r="M11" s="115">
        <f>L11/$E$11</f>
        <v>0.11538461538461539</v>
      </c>
      <c r="N11" s="150"/>
      <c r="O11" s="150"/>
      <c r="P11" s="151"/>
      <c r="Q11" s="151"/>
      <c r="R11" s="150"/>
      <c r="S11" s="150"/>
      <c r="T11" s="150"/>
      <c r="U11" s="176"/>
      <c r="V11" s="150"/>
      <c r="W11" s="151"/>
      <c r="X11" s="151"/>
      <c r="Y11" s="151"/>
      <c r="Z11" s="176"/>
      <c r="AA11" s="176"/>
      <c r="AB11" s="176"/>
      <c r="AC11" s="150"/>
      <c r="AD11" s="176"/>
      <c r="AE11" s="151"/>
      <c r="AF11" s="151"/>
      <c r="AG11" s="176"/>
      <c r="AH11" s="151"/>
      <c r="AI11" s="151"/>
      <c r="AJ11" s="151"/>
      <c r="AK11" s="151"/>
      <c r="AL11" s="151"/>
      <c r="AM11" s="151"/>
      <c r="AN11" s="151"/>
      <c r="AO11" s="108"/>
      <c r="AP11" s="108"/>
      <c r="AQ11" s="108"/>
    </row>
    <row r="12" spans="2:44" s="107" customFormat="1" ht="15" customHeight="1" x14ac:dyDescent="0.25">
      <c r="B12" s="152"/>
      <c r="E12" s="108"/>
      <c r="F12" s="114"/>
      <c r="G12" s="108"/>
      <c r="H12" s="153"/>
      <c r="I12" s="108"/>
      <c r="J12" s="114"/>
      <c r="K12" s="108"/>
      <c r="L12" s="114"/>
      <c r="M12" s="154"/>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row>
    <row r="13" spans="2:44" s="107" customFormat="1" ht="15" customHeight="1" x14ac:dyDescent="0.25">
      <c r="B13" s="126" t="s">
        <v>52</v>
      </c>
      <c r="C13" s="155"/>
      <c r="D13" s="155"/>
      <c r="E13" s="156"/>
      <c r="F13" s="117">
        <f>F14</f>
        <v>0</v>
      </c>
      <c r="G13" s="156"/>
      <c r="H13" s="129">
        <f>H14</f>
        <v>1</v>
      </c>
      <c r="I13" s="156"/>
      <c r="J13" s="117">
        <f>J14</f>
        <v>0</v>
      </c>
      <c r="K13" s="156"/>
      <c r="L13" s="117">
        <f>L14</f>
        <v>0</v>
      </c>
      <c r="M13" s="11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row>
    <row r="14" spans="2:44" s="107" customFormat="1" ht="15" hidden="1" customHeight="1" outlineLevel="1" x14ac:dyDescent="0.25">
      <c r="B14" s="166" t="s">
        <v>55</v>
      </c>
      <c r="E14" s="108"/>
      <c r="F14" s="190"/>
      <c r="G14" s="108"/>
      <c r="H14" s="185">
        <v>1</v>
      </c>
      <c r="I14" s="108"/>
      <c r="J14" s="190"/>
      <c r="K14" s="108"/>
      <c r="L14" s="190"/>
      <c r="M14" s="154"/>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row>
    <row r="15" spans="2:44" s="107" customFormat="1" ht="15" customHeight="1" collapsed="1" x14ac:dyDescent="0.25">
      <c r="B15" s="166" t="s">
        <v>57</v>
      </c>
      <c r="E15" s="108"/>
      <c r="F15" s="114">
        <f>SUM(F16:F17)</f>
        <v>1</v>
      </c>
      <c r="G15" s="108"/>
      <c r="H15" s="153">
        <f>SUM(H16:H17)</f>
        <v>0</v>
      </c>
      <c r="I15" s="108"/>
      <c r="J15" s="114">
        <f>SUM(J16:J17)</f>
        <v>0</v>
      </c>
      <c r="K15" s="108"/>
      <c r="L15" s="114">
        <f>SUM(L16:L17)</f>
        <v>1</v>
      </c>
      <c r="M15" s="154"/>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row>
    <row r="16" spans="2:44" s="107" customFormat="1" ht="15" hidden="1" customHeight="1" outlineLevel="1" x14ac:dyDescent="0.25">
      <c r="B16" s="166" t="s">
        <v>58</v>
      </c>
      <c r="E16" s="108"/>
      <c r="F16" s="186">
        <v>1</v>
      </c>
      <c r="G16" s="108"/>
      <c r="H16" s="188"/>
      <c r="I16" s="108"/>
      <c r="J16" s="186"/>
      <c r="K16" s="108"/>
      <c r="L16" s="186"/>
      <c r="M16" s="154"/>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row>
    <row r="17" spans="2:43" s="107" customFormat="1" ht="15" hidden="1" customHeight="1" outlineLevel="1" x14ac:dyDescent="0.25">
      <c r="B17" s="166" t="s">
        <v>59</v>
      </c>
      <c r="E17" s="108"/>
      <c r="F17" s="187"/>
      <c r="G17" s="108"/>
      <c r="H17" s="189"/>
      <c r="I17" s="108"/>
      <c r="J17" s="187"/>
      <c r="K17" s="108"/>
      <c r="L17" s="187">
        <v>1</v>
      </c>
      <c r="M17" s="154"/>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row>
    <row r="18" spans="2:43" s="107" customFormat="1" ht="15" customHeight="1" collapsed="1" x14ac:dyDescent="0.25">
      <c r="B18" s="126" t="s">
        <v>60</v>
      </c>
      <c r="C18" s="155"/>
      <c r="D18" s="155"/>
      <c r="E18" s="156"/>
      <c r="F18" s="117">
        <f>SUM(F19:F27)</f>
        <v>2</v>
      </c>
      <c r="G18" s="156"/>
      <c r="H18" s="129">
        <f>SUM(H19:H27)</f>
        <v>7</v>
      </c>
      <c r="I18" s="156"/>
      <c r="J18" s="117">
        <f>SUM(J19:J27)</f>
        <v>0</v>
      </c>
      <c r="K18" s="156"/>
      <c r="L18" s="117">
        <f>SUM(L19:L27)</f>
        <v>0</v>
      </c>
      <c r="M18" s="11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row>
    <row r="19" spans="2:43" s="107" customFormat="1" ht="15" hidden="1" customHeight="1" outlineLevel="1" x14ac:dyDescent="0.25">
      <c r="B19" s="166" t="s">
        <v>61</v>
      </c>
      <c r="E19" s="108"/>
      <c r="F19" s="186"/>
      <c r="G19" s="108"/>
      <c r="H19" s="188">
        <v>1</v>
      </c>
      <c r="I19" s="108"/>
      <c r="J19" s="186"/>
      <c r="K19" s="108"/>
      <c r="L19" s="186"/>
      <c r="M19" s="154"/>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row>
    <row r="20" spans="2:43" s="107" customFormat="1" ht="15" hidden="1" customHeight="1" outlineLevel="1" x14ac:dyDescent="0.25">
      <c r="B20" s="166" t="s">
        <v>62</v>
      </c>
      <c r="E20" s="108"/>
      <c r="F20" s="127"/>
      <c r="G20" s="108"/>
      <c r="H20" s="130">
        <v>1</v>
      </c>
      <c r="I20" s="108"/>
      <c r="J20" s="127"/>
      <c r="K20" s="108"/>
      <c r="L20" s="127"/>
      <c r="M20" s="154"/>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row>
    <row r="21" spans="2:43" s="107" customFormat="1" ht="15" hidden="1" customHeight="1" outlineLevel="1" x14ac:dyDescent="0.25">
      <c r="B21" s="166" t="s">
        <v>63</v>
      </c>
      <c r="E21" s="108"/>
      <c r="F21" s="127"/>
      <c r="G21" s="108"/>
      <c r="H21" s="130">
        <v>1</v>
      </c>
      <c r="I21" s="108"/>
      <c r="J21" s="127"/>
      <c r="K21" s="108"/>
      <c r="L21" s="127"/>
      <c r="M21" s="154"/>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row>
    <row r="22" spans="2:43" s="107" customFormat="1" ht="15" hidden="1" customHeight="1" outlineLevel="1" x14ac:dyDescent="0.25">
      <c r="B22" s="166" t="s">
        <v>64</v>
      </c>
      <c r="E22" s="108"/>
      <c r="F22" s="127"/>
      <c r="G22" s="108"/>
      <c r="H22" s="130">
        <v>1</v>
      </c>
      <c r="I22" s="108"/>
      <c r="J22" s="127"/>
      <c r="K22" s="108"/>
      <c r="L22" s="127"/>
      <c r="M22" s="154"/>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row>
    <row r="23" spans="2:43" s="107" customFormat="1" ht="15" hidden="1" customHeight="1" outlineLevel="1" x14ac:dyDescent="0.25">
      <c r="B23" s="166" t="s">
        <v>65</v>
      </c>
      <c r="E23" s="108"/>
      <c r="F23" s="127"/>
      <c r="G23" s="108"/>
      <c r="H23" s="130">
        <v>1</v>
      </c>
      <c r="I23" s="108"/>
      <c r="J23" s="127"/>
      <c r="K23" s="108"/>
      <c r="L23" s="127"/>
      <c r="M23" s="154"/>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row>
    <row r="24" spans="2:43" s="107" customFormat="1" ht="15" hidden="1" customHeight="1" outlineLevel="1" x14ac:dyDescent="0.25">
      <c r="B24" s="166" t="s">
        <v>66</v>
      </c>
      <c r="E24" s="108"/>
      <c r="F24" s="127"/>
      <c r="G24" s="108"/>
      <c r="H24" s="130">
        <v>1</v>
      </c>
      <c r="I24" s="108"/>
      <c r="J24" s="127"/>
      <c r="K24" s="108"/>
      <c r="L24" s="127"/>
      <c r="M24" s="154"/>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row>
    <row r="25" spans="2:43" s="107" customFormat="1" ht="15" hidden="1" customHeight="1" outlineLevel="1" x14ac:dyDescent="0.25">
      <c r="B25" s="166" t="s">
        <v>67</v>
      </c>
      <c r="E25" s="108"/>
      <c r="F25" s="127">
        <v>1</v>
      </c>
      <c r="G25" s="108"/>
      <c r="H25" s="130"/>
      <c r="I25" s="108"/>
      <c r="J25" s="127"/>
      <c r="K25" s="108"/>
      <c r="L25" s="127"/>
      <c r="M25" s="154"/>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row>
    <row r="26" spans="2:43" s="107" customFormat="1" ht="15" hidden="1" customHeight="1" outlineLevel="1" x14ac:dyDescent="0.25">
      <c r="B26" s="166" t="s">
        <v>68</v>
      </c>
      <c r="E26" s="108"/>
      <c r="F26" s="127"/>
      <c r="G26" s="108"/>
      <c r="H26" s="130">
        <v>1</v>
      </c>
      <c r="I26" s="108"/>
      <c r="J26" s="127"/>
      <c r="K26" s="108"/>
      <c r="L26" s="127"/>
      <c r="M26" s="154"/>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row>
    <row r="27" spans="2:43" s="107" customFormat="1" ht="15" hidden="1" customHeight="1" outlineLevel="1" x14ac:dyDescent="0.25">
      <c r="B27" s="166" t="s">
        <v>69</v>
      </c>
      <c r="E27" s="108"/>
      <c r="F27" s="187">
        <v>1</v>
      </c>
      <c r="G27" s="108"/>
      <c r="H27" s="189"/>
      <c r="I27" s="108"/>
      <c r="J27" s="187"/>
      <c r="K27" s="108"/>
      <c r="L27" s="187"/>
      <c r="M27" s="154"/>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row>
    <row r="28" spans="2:43" s="107" customFormat="1" ht="15" customHeight="1" collapsed="1" x14ac:dyDescent="0.25">
      <c r="B28" s="166" t="s">
        <v>40</v>
      </c>
      <c r="E28" s="108"/>
      <c r="F28" s="114">
        <f>SUM(F29:F39)</f>
        <v>5</v>
      </c>
      <c r="G28" s="108"/>
      <c r="H28" s="153">
        <f>SUM(H29:H39)</f>
        <v>5</v>
      </c>
      <c r="I28" s="108"/>
      <c r="J28" s="114">
        <f>SUM(J29:J39)</f>
        <v>0</v>
      </c>
      <c r="K28" s="108"/>
      <c r="L28" s="114">
        <f>SUM(L29:L39)</f>
        <v>1</v>
      </c>
      <c r="M28" s="154"/>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row>
    <row r="29" spans="2:43" s="107" customFormat="1" ht="15" hidden="1" customHeight="1" outlineLevel="1" x14ac:dyDescent="0.25">
      <c r="B29" s="166" t="s">
        <v>70</v>
      </c>
      <c r="E29" s="108"/>
      <c r="F29" s="186"/>
      <c r="G29" s="108"/>
      <c r="H29" s="188">
        <v>1</v>
      </c>
      <c r="I29" s="108"/>
      <c r="J29" s="186"/>
      <c r="K29" s="108"/>
      <c r="L29" s="186"/>
      <c r="M29" s="154"/>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row>
    <row r="30" spans="2:43" s="107" customFormat="1" ht="15" hidden="1" customHeight="1" outlineLevel="1" x14ac:dyDescent="0.25">
      <c r="B30" s="166" t="s">
        <v>71</v>
      </c>
      <c r="E30" s="108"/>
      <c r="F30" s="127"/>
      <c r="G30" s="108"/>
      <c r="H30" s="130"/>
      <c r="I30" s="108"/>
      <c r="J30" s="127"/>
      <c r="K30" s="108"/>
      <c r="L30" s="127">
        <v>1</v>
      </c>
      <c r="M30" s="154"/>
      <c r="N30" s="158"/>
      <c r="O30" s="108"/>
      <c r="P30" s="108"/>
      <c r="Q30" s="108"/>
      <c r="R30" s="108"/>
      <c r="S30" s="158"/>
      <c r="T30" s="15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row>
    <row r="31" spans="2:43" s="107" customFormat="1" ht="15" hidden="1" customHeight="1" outlineLevel="1" x14ac:dyDescent="0.25">
      <c r="B31" s="166" t="s">
        <v>72</v>
      </c>
      <c r="E31" s="108"/>
      <c r="F31" s="127">
        <v>1</v>
      </c>
      <c r="G31" s="108"/>
      <c r="H31" s="130"/>
      <c r="I31" s="108"/>
      <c r="J31" s="127"/>
      <c r="K31" s="108"/>
      <c r="L31" s="127"/>
      <c r="M31" s="154"/>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row>
    <row r="32" spans="2:43" s="107" customFormat="1" ht="15" hidden="1" customHeight="1" outlineLevel="1" x14ac:dyDescent="0.25">
      <c r="B32" s="166" t="s">
        <v>73</v>
      </c>
      <c r="E32" s="108"/>
      <c r="F32" s="127"/>
      <c r="G32" s="108"/>
      <c r="H32" s="130">
        <v>1</v>
      </c>
      <c r="I32" s="108"/>
      <c r="J32" s="127"/>
      <c r="K32" s="108"/>
      <c r="L32" s="127"/>
      <c r="M32" s="154"/>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row>
    <row r="33" spans="2:43" s="107" customFormat="1" ht="15" hidden="1" customHeight="1" outlineLevel="1" x14ac:dyDescent="0.25">
      <c r="B33" s="166" t="s">
        <v>74</v>
      </c>
      <c r="E33" s="108"/>
      <c r="F33" s="127"/>
      <c r="G33" s="108"/>
      <c r="H33" s="130">
        <v>1</v>
      </c>
      <c r="I33" s="108"/>
      <c r="J33" s="127"/>
      <c r="K33" s="108"/>
      <c r="L33" s="127"/>
      <c r="M33" s="154"/>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row>
    <row r="34" spans="2:43" s="107" customFormat="1" ht="15" hidden="1" customHeight="1" outlineLevel="1" x14ac:dyDescent="0.25">
      <c r="B34" s="166" t="s">
        <v>75</v>
      </c>
      <c r="E34" s="108"/>
      <c r="F34" s="127"/>
      <c r="G34" s="108"/>
      <c r="H34" s="130">
        <v>1</v>
      </c>
      <c r="I34" s="108"/>
      <c r="J34" s="127"/>
      <c r="K34" s="108"/>
      <c r="L34" s="127"/>
      <c r="M34" s="154"/>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row>
    <row r="35" spans="2:43" s="107" customFormat="1" ht="15" hidden="1" customHeight="1" outlineLevel="1" x14ac:dyDescent="0.25">
      <c r="B35" s="166" t="s">
        <v>76</v>
      </c>
      <c r="E35" s="108"/>
      <c r="F35" s="127">
        <v>1</v>
      </c>
      <c r="G35" s="108"/>
      <c r="H35" s="130"/>
      <c r="I35" s="108"/>
      <c r="J35" s="127"/>
      <c r="K35" s="108"/>
      <c r="L35" s="127"/>
      <c r="M35" s="154"/>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row>
    <row r="36" spans="2:43" s="107" customFormat="1" ht="15" hidden="1" customHeight="1" outlineLevel="1" x14ac:dyDescent="0.25">
      <c r="B36" s="166" t="s">
        <v>77</v>
      </c>
      <c r="E36" s="108"/>
      <c r="F36" s="127"/>
      <c r="G36" s="108"/>
      <c r="H36" s="130">
        <v>1</v>
      </c>
      <c r="I36" s="108"/>
      <c r="J36" s="127"/>
      <c r="K36" s="108"/>
      <c r="L36" s="127"/>
      <c r="M36" s="154"/>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row>
    <row r="37" spans="2:43" s="107" customFormat="1" ht="15" hidden="1" customHeight="1" outlineLevel="1" x14ac:dyDescent="0.25">
      <c r="B37" s="166" t="s">
        <v>78</v>
      </c>
      <c r="E37" s="108"/>
      <c r="F37" s="127">
        <v>1</v>
      </c>
      <c r="G37" s="108"/>
      <c r="H37" s="130"/>
      <c r="I37" s="108"/>
      <c r="J37" s="127"/>
      <c r="K37" s="108"/>
      <c r="L37" s="127"/>
      <c r="M37" s="154"/>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row>
    <row r="38" spans="2:43" s="107" customFormat="1" ht="15" hidden="1" customHeight="1" outlineLevel="1" x14ac:dyDescent="0.25">
      <c r="B38" s="166" t="s">
        <v>41</v>
      </c>
      <c r="E38" s="108"/>
      <c r="F38" s="127">
        <v>1</v>
      </c>
      <c r="G38" s="108"/>
      <c r="H38" s="130"/>
      <c r="I38" s="108"/>
      <c r="J38" s="127"/>
      <c r="K38" s="108"/>
      <c r="L38" s="127"/>
      <c r="M38" s="154"/>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row>
    <row r="39" spans="2:43" s="107" customFormat="1" ht="15" hidden="1" customHeight="1" outlineLevel="1" x14ac:dyDescent="0.25">
      <c r="B39" s="166" t="s">
        <v>79</v>
      </c>
      <c r="E39" s="108"/>
      <c r="F39" s="187">
        <v>1</v>
      </c>
      <c r="G39" s="108"/>
      <c r="H39" s="189"/>
      <c r="I39" s="108"/>
      <c r="J39" s="187"/>
      <c r="K39" s="108"/>
      <c r="L39" s="187"/>
      <c r="M39" s="154"/>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row>
    <row r="40" spans="2:43" s="107" customFormat="1" ht="15" customHeight="1" collapsed="1" x14ac:dyDescent="0.25">
      <c r="B40" s="126" t="s">
        <v>80</v>
      </c>
      <c r="C40" s="155"/>
      <c r="D40" s="155"/>
      <c r="E40" s="156"/>
      <c r="F40" s="117">
        <f>SUM(F41:F44)</f>
        <v>2</v>
      </c>
      <c r="G40" s="156"/>
      <c r="H40" s="129">
        <f>SUM(H41:H44)</f>
        <v>0</v>
      </c>
      <c r="I40" s="156"/>
      <c r="J40" s="117">
        <f>SUM(J41:J44)</f>
        <v>1</v>
      </c>
      <c r="K40" s="156"/>
      <c r="L40" s="117">
        <f>SUM(L41:L44)</f>
        <v>1</v>
      </c>
      <c r="M40" s="11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row>
    <row r="41" spans="2:43" s="107" customFormat="1" ht="15" hidden="1" customHeight="1" outlineLevel="1" x14ac:dyDescent="0.25">
      <c r="B41" s="166" t="s">
        <v>81</v>
      </c>
      <c r="E41" s="108"/>
      <c r="F41" s="186"/>
      <c r="G41" s="108"/>
      <c r="H41" s="188"/>
      <c r="I41" s="108"/>
      <c r="J41" s="186"/>
      <c r="K41" s="108"/>
      <c r="L41" s="186">
        <v>1</v>
      </c>
      <c r="M41" s="154"/>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row>
    <row r="42" spans="2:43" s="107" customFormat="1" ht="15" hidden="1" customHeight="1" outlineLevel="1" x14ac:dyDescent="0.25">
      <c r="B42" s="166" t="s">
        <v>82</v>
      </c>
      <c r="E42" s="108"/>
      <c r="F42" s="127">
        <v>1</v>
      </c>
      <c r="G42" s="108"/>
      <c r="H42" s="130"/>
      <c r="I42" s="108"/>
      <c r="J42" s="127"/>
      <c r="K42" s="108"/>
      <c r="L42" s="127"/>
      <c r="M42" s="154"/>
      <c r="N42" s="158"/>
      <c r="O42" s="108"/>
      <c r="P42" s="108"/>
      <c r="Q42" s="108"/>
      <c r="R42" s="108"/>
      <c r="S42" s="158"/>
      <c r="T42" s="15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row>
    <row r="43" spans="2:43" s="107" customFormat="1" ht="15" hidden="1" customHeight="1" outlineLevel="1" x14ac:dyDescent="0.25">
      <c r="B43" s="166" t="s">
        <v>83</v>
      </c>
      <c r="E43" s="108"/>
      <c r="F43" s="127">
        <v>1</v>
      </c>
      <c r="G43" s="108"/>
      <c r="H43" s="130"/>
      <c r="I43" s="108"/>
      <c r="J43" s="127"/>
      <c r="K43" s="108"/>
      <c r="L43" s="127"/>
      <c r="M43" s="154"/>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row>
    <row r="44" spans="2:43" s="107" customFormat="1" ht="15" hidden="1" customHeight="1" outlineLevel="1" x14ac:dyDescent="0.25">
      <c r="B44" s="166" t="s">
        <v>84</v>
      </c>
      <c r="E44" s="108"/>
      <c r="F44" s="187"/>
      <c r="G44" s="108"/>
      <c r="H44" s="189"/>
      <c r="I44" s="108"/>
      <c r="J44" s="187">
        <v>1</v>
      </c>
      <c r="K44" s="108"/>
      <c r="L44" s="187"/>
      <c r="M44" s="154"/>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row>
    <row r="45" spans="2:43" s="107" customFormat="1" ht="15" customHeight="1" collapsed="1" x14ac:dyDescent="0.25">
      <c r="B45" s="166" t="s">
        <v>85</v>
      </c>
      <c r="E45" s="108"/>
      <c r="F45" s="114">
        <f>SUM(F46:F69)</f>
        <v>11</v>
      </c>
      <c r="G45" s="108"/>
      <c r="H45" s="153">
        <f>SUM(H46:H69)</f>
        <v>10</v>
      </c>
      <c r="I45" s="108"/>
      <c r="J45" s="114">
        <f>SUM(J46:J69)</f>
        <v>0</v>
      </c>
      <c r="K45" s="108"/>
      <c r="L45" s="114">
        <f>SUM(L46:L69)</f>
        <v>3</v>
      </c>
      <c r="M45" s="154"/>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row>
    <row r="46" spans="2:43" s="107" customFormat="1" ht="15" hidden="1" customHeight="1" outlineLevel="1" x14ac:dyDescent="0.25">
      <c r="B46" s="166" t="s">
        <v>86</v>
      </c>
      <c r="E46" s="108"/>
      <c r="F46" s="186"/>
      <c r="G46" s="108"/>
      <c r="H46" s="188">
        <v>1</v>
      </c>
      <c r="I46" s="108"/>
      <c r="J46" s="186"/>
      <c r="K46" s="108"/>
      <c r="L46" s="186"/>
      <c r="M46" s="154"/>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row>
    <row r="47" spans="2:43" s="107" customFormat="1" ht="15" hidden="1" customHeight="1" outlineLevel="1" x14ac:dyDescent="0.25">
      <c r="B47" s="166" t="s">
        <v>87</v>
      </c>
      <c r="E47" s="108"/>
      <c r="F47" s="127">
        <v>1</v>
      </c>
      <c r="G47" s="108"/>
      <c r="H47" s="130"/>
      <c r="I47" s="108"/>
      <c r="J47" s="127"/>
      <c r="K47" s="108"/>
      <c r="L47" s="127"/>
      <c r="M47" s="154"/>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row>
    <row r="48" spans="2:43" s="107" customFormat="1" ht="15" hidden="1" customHeight="1" outlineLevel="1" x14ac:dyDescent="0.25">
      <c r="B48" s="166" t="s">
        <v>88</v>
      </c>
      <c r="E48" s="108"/>
      <c r="F48" s="127"/>
      <c r="G48" s="108"/>
      <c r="H48" s="130"/>
      <c r="I48" s="108"/>
      <c r="J48" s="127"/>
      <c r="K48" s="108"/>
      <c r="L48" s="127">
        <v>1</v>
      </c>
      <c r="M48" s="154"/>
      <c r="N48" s="158"/>
      <c r="O48" s="108"/>
      <c r="P48" s="108"/>
      <c r="Q48" s="108"/>
      <c r="R48" s="108"/>
      <c r="S48" s="158"/>
      <c r="T48" s="15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row>
    <row r="49" spans="2:43" s="107" customFormat="1" ht="15" hidden="1" customHeight="1" outlineLevel="1" x14ac:dyDescent="0.25">
      <c r="B49" s="166" t="s">
        <v>89</v>
      </c>
      <c r="E49" s="108"/>
      <c r="F49" s="127"/>
      <c r="G49" s="108"/>
      <c r="H49" s="130">
        <v>1</v>
      </c>
      <c r="I49" s="108"/>
      <c r="J49" s="127"/>
      <c r="K49" s="108"/>
      <c r="L49" s="127"/>
      <c r="M49" s="154"/>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row>
    <row r="50" spans="2:43" s="107" customFormat="1" ht="15" hidden="1" customHeight="1" outlineLevel="1" x14ac:dyDescent="0.25">
      <c r="B50" s="166" t="s">
        <v>90</v>
      </c>
      <c r="E50" s="108"/>
      <c r="F50" s="127"/>
      <c r="G50" s="108"/>
      <c r="H50" s="130">
        <v>1</v>
      </c>
      <c r="I50" s="108"/>
      <c r="J50" s="127"/>
      <c r="K50" s="108"/>
      <c r="L50" s="127"/>
      <c r="M50" s="154"/>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row>
    <row r="51" spans="2:43" s="107" customFormat="1" ht="15" hidden="1" customHeight="1" outlineLevel="1" x14ac:dyDescent="0.25">
      <c r="B51" s="166" t="s">
        <v>54</v>
      </c>
      <c r="E51" s="108"/>
      <c r="F51" s="127"/>
      <c r="G51" s="108"/>
      <c r="H51" s="130"/>
      <c r="I51" s="108"/>
      <c r="J51" s="127"/>
      <c r="K51" s="108"/>
      <c r="L51" s="127">
        <v>1</v>
      </c>
      <c r="M51" s="154"/>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row>
    <row r="52" spans="2:43" s="107" customFormat="1" ht="15" hidden="1" customHeight="1" outlineLevel="1" x14ac:dyDescent="0.25">
      <c r="B52" s="166" t="s">
        <v>91</v>
      </c>
      <c r="E52" s="108"/>
      <c r="F52" s="127"/>
      <c r="G52" s="108"/>
      <c r="H52" s="130">
        <v>1</v>
      </c>
      <c r="I52" s="108"/>
      <c r="J52" s="127"/>
      <c r="K52" s="108"/>
      <c r="L52" s="127"/>
      <c r="M52" s="154"/>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row>
    <row r="53" spans="2:43" s="107" customFormat="1" ht="15" hidden="1" customHeight="1" outlineLevel="1" x14ac:dyDescent="0.25">
      <c r="B53" s="166" t="s">
        <v>92</v>
      </c>
      <c r="E53" s="108"/>
      <c r="F53" s="127">
        <v>1</v>
      </c>
      <c r="G53" s="108"/>
      <c r="H53" s="130"/>
      <c r="I53" s="108"/>
      <c r="J53" s="127"/>
      <c r="K53" s="108"/>
      <c r="L53" s="127"/>
      <c r="M53" s="154"/>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row>
    <row r="54" spans="2:43" s="107" customFormat="1" ht="15" hidden="1" customHeight="1" outlineLevel="1" x14ac:dyDescent="0.25">
      <c r="B54" s="166" t="s">
        <v>93</v>
      </c>
      <c r="E54" s="108"/>
      <c r="F54" s="127"/>
      <c r="G54" s="108"/>
      <c r="H54" s="130">
        <v>1</v>
      </c>
      <c r="I54" s="108"/>
      <c r="J54" s="127"/>
      <c r="K54" s="108"/>
      <c r="L54" s="127"/>
      <c r="M54" s="154"/>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8"/>
      <c r="AP54" s="108"/>
      <c r="AQ54" s="108"/>
    </row>
    <row r="55" spans="2:43" s="107" customFormat="1" ht="15" hidden="1" customHeight="1" outlineLevel="1" x14ac:dyDescent="0.25">
      <c r="B55" s="166" t="s">
        <v>42</v>
      </c>
      <c r="E55" s="108"/>
      <c r="F55" s="127">
        <v>1</v>
      </c>
      <c r="G55" s="108"/>
      <c r="H55" s="130"/>
      <c r="I55" s="108"/>
      <c r="J55" s="127"/>
      <c r="K55" s="108"/>
      <c r="L55" s="127"/>
      <c r="M55" s="154"/>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row>
    <row r="56" spans="2:43" s="107" customFormat="1" ht="15" hidden="1" customHeight="1" outlineLevel="1" x14ac:dyDescent="0.25">
      <c r="B56" s="166" t="s">
        <v>94</v>
      </c>
      <c r="E56" s="108"/>
      <c r="F56" s="127">
        <v>1</v>
      </c>
      <c r="G56" s="108"/>
      <c r="H56" s="130"/>
      <c r="I56" s="108"/>
      <c r="J56" s="127"/>
      <c r="K56" s="108"/>
      <c r="L56" s="127"/>
      <c r="M56" s="154"/>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row>
    <row r="57" spans="2:43" s="107" customFormat="1" ht="15" hidden="1" customHeight="1" outlineLevel="1" x14ac:dyDescent="0.25">
      <c r="B57" s="166" t="s">
        <v>43</v>
      </c>
      <c r="E57" s="108"/>
      <c r="F57" s="127"/>
      <c r="G57" s="108"/>
      <c r="H57" s="130"/>
      <c r="I57" s="108"/>
      <c r="J57" s="127"/>
      <c r="K57" s="108"/>
      <c r="L57" s="127">
        <v>1</v>
      </c>
      <c r="M57" s="154"/>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row>
    <row r="58" spans="2:43" s="107" customFormat="1" ht="15" hidden="1" customHeight="1" outlineLevel="1" x14ac:dyDescent="0.25">
      <c r="B58" s="166" t="s">
        <v>44</v>
      </c>
      <c r="E58" s="108"/>
      <c r="F58" s="127"/>
      <c r="G58" s="108"/>
      <c r="H58" s="130">
        <v>1</v>
      </c>
      <c r="I58" s="108"/>
      <c r="J58" s="127"/>
      <c r="K58" s="108"/>
      <c r="L58" s="127"/>
      <c r="M58" s="154"/>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row>
    <row r="59" spans="2:43" s="107" customFormat="1" ht="15" hidden="1" customHeight="1" outlineLevel="1" x14ac:dyDescent="0.25">
      <c r="B59" s="166" t="s">
        <v>95</v>
      </c>
      <c r="E59" s="108"/>
      <c r="F59" s="127">
        <v>1</v>
      </c>
      <c r="G59" s="108"/>
      <c r="H59" s="130"/>
      <c r="I59" s="108"/>
      <c r="J59" s="127"/>
      <c r="K59" s="108"/>
      <c r="L59" s="127"/>
      <c r="M59" s="154"/>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108"/>
    </row>
    <row r="60" spans="2:43" s="107" customFormat="1" ht="15" hidden="1" customHeight="1" outlineLevel="1" x14ac:dyDescent="0.25">
      <c r="B60" s="166" t="s">
        <v>96</v>
      </c>
      <c r="E60" s="108"/>
      <c r="F60" s="127">
        <v>1</v>
      </c>
      <c r="G60" s="108"/>
      <c r="H60" s="130"/>
      <c r="I60" s="108"/>
      <c r="J60" s="127"/>
      <c r="K60" s="108"/>
      <c r="L60" s="127"/>
      <c r="M60" s="154"/>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8"/>
      <c r="AP60" s="108"/>
      <c r="AQ60" s="108"/>
    </row>
    <row r="61" spans="2:43" s="107" customFormat="1" ht="15" hidden="1" customHeight="1" outlineLevel="1" x14ac:dyDescent="0.25">
      <c r="B61" s="166" t="s">
        <v>97</v>
      </c>
      <c r="E61" s="108"/>
      <c r="F61" s="127"/>
      <c r="G61" s="108"/>
      <c r="H61" s="130">
        <v>1</v>
      </c>
      <c r="I61" s="108"/>
      <c r="J61" s="127"/>
      <c r="K61" s="108"/>
      <c r="L61" s="127"/>
      <c r="M61" s="154"/>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row>
    <row r="62" spans="2:43" s="107" customFormat="1" ht="15" hidden="1" customHeight="1" outlineLevel="1" x14ac:dyDescent="0.25">
      <c r="B62" s="166" t="s">
        <v>98</v>
      </c>
      <c r="E62" s="108"/>
      <c r="F62" s="127">
        <v>1</v>
      </c>
      <c r="G62" s="108"/>
      <c r="H62" s="130"/>
      <c r="I62" s="108"/>
      <c r="J62" s="127"/>
      <c r="K62" s="108"/>
      <c r="L62" s="127"/>
      <c r="M62" s="154"/>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row>
    <row r="63" spans="2:43" s="107" customFormat="1" ht="15" hidden="1" customHeight="1" outlineLevel="1" x14ac:dyDescent="0.25">
      <c r="B63" s="166" t="s">
        <v>46</v>
      </c>
      <c r="E63" s="108"/>
      <c r="F63" s="127">
        <v>1</v>
      </c>
      <c r="G63" s="108"/>
      <c r="H63" s="130"/>
      <c r="I63" s="108"/>
      <c r="J63" s="127"/>
      <c r="K63" s="108"/>
      <c r="L63" s="127"/>
      <c r="M63" s="154"/>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row>
    <row r="64" spans="2:43" s="107" customFormat="1" ht="15" hidden="1" customHeight="1" outlineLevel="1" x14ac:dyDescent="0.25">
      <c r="B64" s="166" t="s">
        <v>45</v>
      </c>
      <c r="E64" s="108"/>
      <c r="F64" s="127"/>
      <c r="G64" s="108"/>
      <c r="H64" s="130">
        <v>1</v>
      </c>
      <c r="I64" s="108"/>
      <c r="J64" s="127"/>
      <c r="K64" s="108"/>
      <c r="L64" s="127"/>
      <c r="M64" s="154"/>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row>
    <row r="65" spans="2:57" s="107" customFormat="1" ht="15" hidden="1" customHeight="1" outlineLevel="1" x14ac:dyDescent="0.25">
      <c r="B65" s="166" t="s">
        <v>99</v>
      </c>
      <c r="E65" s="108"/>
      <c r="F65" s="127"/>
      <c r="G65" s="108"/>
      <c r="H65" s="130">
        <v>1</v>
      </c>
      <c r="I65" s="108"/>
      <c r="J65" s="127"/>
      <c r="K65" s="108"/>
      <c r="L65" s="127"/>
      <c r="M65" s="154"/>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row>
    <row r="66" spans="2:57" s="107" customFormat="1" ht="15" hidden="1" customHeight="1" outlineLevel="1" x14ac:dyDescent="0.25">
      <c r="B66" s="166" t="s">
        <v>100</v>
      </c>
      <c r="E66" s="108"/>
      <c r="F66" s="127">
        <v>1</v>
      </c>
      <c r="G66" s="108"/>
      <c r="H66" s="130"/>
      <c r="I66" s="108"/>
      <c r="J66" s="127"/>
      <c r="K66" s="108"/>
      <c r="L66" s="127"/>
      <c r="M66" s="154"/>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row>
    <row r="67" spans="2:57" s="107" customFormat="1" ht="15" hidden="1" customHeight="1" outlineLevel="1" x14ac:dyDescent="0.25">
      <c r="B67" s="166" t="s">
        <v>101</v>
      </c>
      <c r="E67" s="108"/>
      <c r="F67" s="127"/>
      <c r="G67" s="108"/>
      <c r="H67" s="130">
        <v>1</v>
      </c>
      <c r="I67" s="108"/>
      <c r="J67" s="127"/>
      <c r="K67" s="108"/>
      <c r="L67" s="127"/>
      <c r="M67" s="154"/>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row>
    <row r="68" spans="2:57" s="107" customFormat="1" ht="15" hidden="1" customHeight="1" outlineLevel="1" x14ac:dyDescent="0.25">
      <c r="B68" s="166" t="s">
        <v>102</v>
      </c>
      <c r="E68" s="108"/>
      <c r="F68" s="127">
        <v>1</v>
      </c>
      <c r="G68" s="108"/>
      <c r="H68" s="130"/>
      <c r="I68" s="108"/>
      <c r="J68" s="127"/>
      <c r="K68" s="108"/>
      <c r="L68" s="127"/>
      <c r="M68" s="154"/>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row>
    <row r="69" spans="2:57" s="107" customFormat="1" ht="15" hidden="1" customHeight="1" outlineLevel="1" x14ac:dyDescent="0.25">
      <c r="B69" s="166" t="s">
        <v>103</v>
      </c>
      <c r="E69" s="108"/>
      <c r="F69" s="187">
        <v>1</v>
      </c>
      <c r="G69" s="108"/>
      <c r="H69" s="189"/>
      <c r="I69" s="108"/>
      <c r="J69" s="187"/>
      <c r="K69" s="108"/>
      <c r="L69" s="187"/>
      <c r="M69" s="154"/>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row>
    <row r="70" spans="2:57" s="107" customFormat="1" ht="15" customHeight="1" collapsed="1" x14ac:dyDescent="0.25">
      <c r="B70" s="126" t="s">
        <v>104</v>
      </c>
      <c r="C70" s="155"/>
      <c r="D70" s="155"/>
      <c r="E70" s="156"/>
      <c r="F70" s="117">
        <f>F71</f>
        <v>1</v>
      </c>
      <c r="G70" s="156"/>
      <c r="H70" s="129">
        <f>H71</f>
        <v>0</v>
      </c>
      <c r="I70" s="156"/>
      <c r="J70" s="117">
        <f>J71</f>
        <v>0</v>
      </c>
      <c r="K70" s="156"/>
      <c r="L70" s="117">
        <f>L71</f>
        <v>0</v>
      </c>
      <c r="M70" s="11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row>
    <row r="71" spans="2:57" s="107" customFormat="1" ht="15" hidden="1" customHeight="1" outlineLevel="1" x14ac:dyDescent="0.25">
      <c r="B71" s="166" t="s">
        <v>105</v>
      </c>
      <c r="E71" s="108"/>
      <c r="F71" s="190">
        <v>1</v>
      </c>
      <c r="G71" s="108"/>
      <c r="H71" s="185"/>
      <c r="I71" s="108"/>
      <c r="J71" s="190"/>
      <c r="K71" s="108"/>
      <c r="L71" s="190"/>
      <c r="M71" s="154"/>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row>
    <row r="72" spans="2:57" s="107" customFormat="1" ht="15" customHeight="1" collapsed="1" x14ac:dyDescent="0.25">
      <c r="B72" s="159"/>
      <c r="C72" s="119"/>
      <c r="D72" s="119"/>
      <c r="E72" s="160"/>
      <c r="F72" s="161"/>
      <c r="G72" s="160"/>
      <c r="H72" s="162"/>
      <c r="I72" s="160"/>
      <c r="J72" s="161"/>
      <c r="K72" s="160"/>
      <c r="L72" s="161"/>
      <c r="M72" s="163"/>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row>
    <row r="73" spans="2:57" s="107" customFormat="1" ht="13.2" customHeight="1" x14ac:dyDescent="0.25">
      <c r="B73" s="164"/>
      <c r="E73" s="108"/>
      <c r="F73" s="165"/>
      <c r="G73" s="108"/>
      <c r="H73" s="108"/>
      <c r="I73" s="108"/>
      <c r="J73" s="108"/>
      <c r="K73" s="108"/>
      <c r="L73" s="165"/>
      <c r="M73" s="165"/>
      <c r="N73" s="165"/>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row>
    <row r="74" spans="2:57" s="107" customFormat="1" ht="13.2" customHeight="1" x14ac:dyDescent="0.25">
      <c r="B74" s="148" t="s">
        <v>226</v>
      </c>
      <c r="E74" s="108"/>
      <c r="F74" s="165"/>
      <c r="G74" s="108"/>
      <c r="H74" s="108"/>
      <c r="I74" s="108"/>
      <c r="J74" s="108"/>
      <c r="K74" s="108"/>
      <c r="L74" s="108"/>
      <c r="M74" s="108"/>
      <c r="N74" s="165"/>
      <c r="O74" s="165"/>
      <c r="P74" s="165"/>
      <c r="Q74" s="165"/>
      <c r="R74" s="165"/>
      <c r="S74" s="165"/>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row>
    <row r="75" spans="2:57" s="107" customFormat="1" ht="6" customHeight="1" x14ac:dyDescent="0.25">
      <c r="B75" s="164"/>
      <c r="F75" s="108"/>
      <c r="G75" s="165"/>
      <c r="H75" s="108"/>
      <c r="I75" s="108"/>
      <c r="J75" s="108"/>
      <c r="K75" s="108"/>
      <c r="L75" s="108"/>
      <c r="M75" s="165"/>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row>
    <row r="76" spans="2:57" s="107" customFormat="1" ht="19.2" customHeight="1" x14ac:dyDescent="0.25">
      <c r="B76" s="255" t="s">
        <v>48</v>
      </c>
      <c r="C76" s="256"/>
      <c r="D76" s="256"/>
      <c r="E76" s="257"/>
      <c r="F76" s="246" t="s">
        <v>227</v>
      </c>
      <c r="G76" s="247"/>
      <c r="H76" s="271" t="s">
        <v>160</v>
      </c>
      <c r="I76" s="272"/>
      <c r="J76" s="272"/>
      <c r="K76" s="272"/>
      <c r="L76" s="272"/>
      <c r="M76" s="272"/>
      <c r="N76" s="272"/>
      <c r="O76" s="272"/>
      <c r="P76" s="272"/>
      <c r="Q76" s="272"/>
      <c r="R76" s="272"/>
      <c r="S76" s="272"/>
      <c r="T76" s="273"/>
      <c r="U76" s="108"/>
      <c r="V76" s="108"/>
      <c r="W76" s="108"/>
      <c r="X76" s="108"/>
      <c r="Y76" s="108"/>
      <c r="Z76" s="108"/>
      <c r="AA76" s="108"/>
      <c r="AB76" s="108"/>
      <c r="AC76" s="108"/>
      <c r="AD76" s="108"/>
      <c r="AE76" s="108"/>
      <c r="AF76" s="108"/>
      <c r="AG76" s="108"/>
      <c r="AH76" s="108"/>
      <c r="AI76" s="108"/>
    </row>
    <row r="77" spans="2:57" s="108" customFormat="1" ht="24.6" customHeight="1" x14ac:dyDescent="0.25">
      <c r="B77" s="258"/>
      <c r="C77" s="259"/>
      <c r="D77" s="259"/>
      <c r="E77" s="259"/>
      <c r="F77" s="248"/>
      <c r="G77" s="249"/>
      <c r="H77" s="301" t="s">
        <v>378</v>
      </c>
      <c r="I77" s="302"/>
      <c r="J77" s="230" t="s">
        <v>377</v>
      </c>
      <c r="K77" s="228" t="s">
        <v>375</v>
      </c>
      <c r="L77" s="306" t="s">
        <v>379</v>
      </c>
      <c r="M77" s="320"/>
      <c r="N77" s="320"/>
      <c r="O77" s="320"/>
      <c r="P77" s="320"/>
      <c r="Q77" s="320"/>
      <c r="R77" s="320"/>
      <c r="S77" s="307"/>
      <c r="T77" s="232" t="s">
        <v>287</v>
      </c>
    </row>
    <row r="78" spans="2:57" s="108" customFormat="1" ht="92.4" customHeight="1" x14ac:dyDescent="0.25">
      <c r="B78" s="260"/>
      <c r="C78" s="261"/>
      <c r="D78" s="261"/>
      <c r="E78" s="261"/>
      <c r="F78" s="139" t="s">
        <v>49</v>
      </c>
      <c r="G78" s="139" t="s">
        <v>50</v>
      </c>
      <c r="H78" s="141" t="s">
        <v>361</v>
      </c>
      <c r="I78" s="141" t="s">
        <v>376</v>
      </c>
      <c r="J78" s="141" t="s">
        <v>362</v>
      </c>
      <c r="K78" s="141" t="s">
        <v>374</v>
      </c>
      <c r="L78" s="141" t="s">
        <v>372</v>
      </c>
      <c r="M78" s="141" t="s">
        <v>364</v>
      </c>
      <c r="N78" s="141" t="s">
        <v>365</v>
      </c>
      <c r="O78" s="141" t="s">
        <v>366</v>
      </c>
      <c r="P78" s="141" t="s">
        <v>373</v>
      </c>
      <c r="Q78" s="141" t="s">
        <v>367</v>
      </c>
      <c r="R78" s="141" t="s">
        <v>363</v>
      </c>
      <c r="S78" s="141" t="s">
        <v>399</v>
      </c>
      <c r="T78" s="141" t="s">
        <v>329</v>
      </c>
    </row>
    <row r="79" spans="2:57" s="107" customFormat="1" ht="13.2" customHeight="1" x14ac:dyDescent="0.25">
      <c r="B79" s="166"/>
      <c r="E79" s="167"/>
      <c r="F79" s="114"/>
      <c r="G79" s="114"/>
      <c r="H79" s="168"/>
      <c r="I79" s="114"/>
      <c r="J79" s="169"/>
      <c r="K79" s="114"/>
      <c r="L79" s="114"/>
      <c r="M79" s="114"/>
      <c r="N79" s="114"/>
      <c r="O79" s="114"/>
      <c r="P79" s="161"/>
      <c r="Q79" s="114"/>
      <c r="R79" s="114"/>
      <c r="S79" s="114"/>
      <c r="T79" s="114"/>
      <c r="U79" s="108"/>
      <c r="V79" s="108"/>
      <c r="W79" s="108"/>
      <c r="X79" s="108"/>
      <c r="Y79" s="108"/>
      <c r="Z79" s="108"/>
      <c r="AA79" s="108"/>
      <c r="AB79" s="108"/>
      <c r="AC79" s="108"/>
      <c r="AD79" s="108"/>
      <c r="AE79" s="108"/>
      <c r="AF79" s="108"/>
      <c r="AG79" s="108"/>
      <c r="AH79" s="108"/>
      <c r="AI79" s="108"/>
    </row>
    <row r="80" spans="2:57" s="107" customFormat="1" ht="13.2" customHeight="1" x14ac:dyDescent="0.25">
      <c r="B80" s="120" t="s">
        <v>51</v>
      </c>
      <c r="C80" s="121"/>
      <c r="D80" s="121"/>
      <c r="E80" s="122"/>
      <c r="F80" s="132">
        <f t="shared" ref="F80:T80" si="0">SUM(F82,F85,F94,F101)</f>
        <v>23</v>
      </c>
      <c r="G80" s="234">
        <f t="shared" si="0"/>
        <v>52</v>
      </c>
      <c r="H80" s="234">
        <f t="shared" si="0"/>
        <v>4</v>
      </c>
      <c r="I80" s="234">
        <f>SUM(I82,I85,I94,I101)</f>
        <v>4</v>
      </c>
      <c r="J80" s="234">
        <f t="shared" si="0"/>
        <v>2</v>
      </c>
      <c r="K80" s="234">
        <f t="shared" si="0"/>
        <v>4</v>
      </c>
      <c r="L80" s="234">
        <f t="shared" si="0"/>
        <v>5</v>
      </c>
      <c r="M80" s="234">
        <f t="shared" si="0"/>
        <v>5</v>
      </c>
      <c r="N80" s="234">
        <f t="shared" si="0"/>
        <v>5</v>
      </c>
      <c r="O80" s="234">
        <f>SUM(O82,O85,O94,O101)</f>
        <v>4</v>
      </c>
      <c r="P80" s="234">
        <f t="shared" ref="P80:Q80" si="1">SUM(P82,P85,P94,P101)</f>
        <v>4</v>
      </c>
      <c r="Q80" s="234">
        <f t="shared" si="1"/>
        <v>3</v>
      </c>
      <c r="R80" s="234">
        <f t="shared" ref="R80" si="2">SUM(R82,R85,R94,R101)</f>
        <v>2</v>
      </c>
      <c r="S80" s="234">
        <f t="shared" si="0"/>
        <v>2</v>
      </c>
      <c r="T80" s="234">
        <f t="shared" si="0"/>
        <v>8</v>
      </c>
      <c r="U80" s="108"/>
      <c r="V80" s="108"/>
      <c r="W80" s="108"/>
      <c r="X80" s="108"/>
      <c r="Y80" s="108"/>
      <c r="Z80" s="108"/>
      <c r="AA80" s="108"/>
      <c r="AB80" s="108"/>
      <c r="AC80" s="108"/>
      <c r="AD80" s="108"/>
      <c r="AE80" s="108"/>
      <c r="AF80" s="108"/>
      <c r="AG80" s="108"/>
      <c r="AH80" s="108"/>
      <c r="AI80" s="108"/>
    </row>
    <row r="81" spans="2:35" s="107" customFormat="1" ht="13.2" customHeight="1" x14ac:dyDescent="0.25">
      <c r="B81" s="166" t="s">
        <v>47</v>
      </c>
      <c r="E81" s="167"/>
      <c r="F81" s="114"/>
      <c r="G81" s="114"/>
      <c r="H81" s="112"/>
      <c r="I81" s="114"/>
      <c r="J81" s="114"/>
      <c r="K81" s="114"/>
      <c r="L81" s="114"/>
      <c r="M81" s="114"/>
      <c r="N81" s="112"/>
      <c r="O81" s="114"/>
      <c r="P81" s="112"/>
      <c r="Q81" s="112"/>
      <c r="R81" s="112"/>
      <c r="S81" s="114"/>
      <c r="T81" s="114"/>
      <c r="U81" s="108"/>
      <c r="V81" s="108"/>
      <c r="W81" s="108"/>
      <c r="X81" s="108"/>
      <c r="Y81" s="108"/>
      <c r="Z81" s="108"/>
      <c r="AA81" s="108"/>
      <c r="AB81" s="108"/>
      <c r="AC81" s="108"/>
      <c r="AD81" s="108"/>
      <c r="AE81" s="108"/>
      <c r="AF81" s="108"/>
      <c r="AG81" s="108"/>
      <c r="AH81" s="108"/>
      <c r="AI81" s="108"/>
    </row>
    <row r="82" spans="2:35" s="107" customFormat="1" ht="13.2" customHeight="1" x14ac:dyDescent="0.25">
      <c r="B82" s="147" t="s">
        <v>52</v>
      </c>
      <c r="C82" s="148"/>
      <c r="D82" s="148"/>
      <c r="E82" s="167"/>
      <c r="F82" s="171">
        <f>+H13</f>
        <v>1</v>
      </c>
      <c r="G82" s="172">
        <f>G83</f>
        <v>2</v>
      </c>
      <c r="H82" s="172">
        <f t="shared" ref="H82:T82" si="3">H83</f>
        <v>0</v>
      </c>
      <c r="I82" s="172">
        <f>I83</f>
        <v>0</v>
      </c>
      <c r="J82" s="172">
        <f t="shared" si="3"/>
        <v>0</v>
      </c>
      <c r="K82" s="172">
        <f t="shared" si="3"/>
        <v>0</v>
      </c>
      <c r="L82" s="172">
        <f>L83</f>
        <v>0</v>
      </c>
      <c r="M82" s="172">
        <f>M83</f>
        <v>0</v>
      </c>
      <c r="N82" s="172">
        <f>N83</f>
        <v>0</v>
      </c>
      <c r="O82" s="172">
        <f>O83</f>
        <v>1</v>
      </c>
      <c r="P82" s="172">
        <f t="shared" si="3"/>
        <v>0</v>
      </c>
      <c r="Q82" s="172">
        <f t="shared" ref="Q82" si="4">Q83</f>
        <v>1</v>
      </c>
      <c r="R82" s="172">
        <f>R83</f>
        <v>0</v>
      </c>
      <c r="S82" s="172">
        <f>S83</f>
        <v>0</v>
      </c>
      <c r="T82" s="172">
        <f t="shared" si="3"/>
        <v>0</v>
      </c>
      <c r="U82" s="108"/>
      <c r="V82" s="108"/>
      <c r="W82" s="108"/>
      <c r="X82" s="108"/>
      <c r="Y82" s="108"/>
      <c r="Z82" s="108"/>
      <c r="AA82" s="108"/>
      <c r="AB82" s="108"/>
      <c r="AC82" s="108"/>
      <c r="AD82" s="108"/>
      <c r="AE82" s="108"/>
      <c r="AF82" s="108"/>
      <c r="AG82" s="108"/>
      <c r="AH82" s="108"/>
      <c r="AI82" s="108"/>
    </row>
    <row r="83" spans="2:35" s="107" customFormat="1" ht="13.2" outlineLevel="1" x14ac:dyDescent="0.25">
      <c r="B83" s="166" t="s">
        <v>108</v>
      </c>
      <c r="F83" s="114"/>
      <c r="G83" s="191">
        <f>SUM(H83:T83)</f>
        <v>2</v>
      </c>
      <c r="H83" s="191"/>
      <c r="I83" s="191"/>
      <c r="J83" s="191"/>
      <c r="K83" s="191"/>
      <c r="L83" s="191"/>
      <c r="M83" s="191"/>
      <c r="N83" s="191"/>
      <c r="O83" s="191">
        <v>1</v>
      </c>
      <c r="P83" s="191"/>
      <c r="Q83" s="191">
        <v>1</v>
      </c>
      <c r="R83" s="191"/>
      <c r="S83" s="191"/>
      <c r="T83" s="191"/>
      <c r="U83" s="108"/>
      <c r="V83" s="108"/>
      <c r="W83" s="108"/>
      <c r="X83" s="108"/>
      <c r="Y83" s="108"/>
      <c r="Z83" s="108"/>
      <c r="AA83" s="108"/>
      <c r="AB83" s="108"/>
      <c r="AC83" s="108"/>
      <c r="AD83" s="108"/>
      <c r="AE83" s="108"/>
      <c r="AF83" s="108"/>
      <c r="AG83" s="108"/>
    </row>
    <row r="84" spans="2:35" s="107" customFormat="1" ht="13.2" x14ac:dyDescent="0.25">
      <c r="B84" s="166"/>
      <c r="F84" s="114"/>
      <c r="G84" s="114"/>
      <c r="H84" s="114"/>
      <c r="I84" s="114"/>
      <c r="J84" s="114"/>
      <c r="K84" s="114"/>
      <c r="L84" s="114"/>
      <c r="M84" s="114"/>
      <c r="N84" s="114"/>
      <c r="O84" s="114"/>
      <c r="P84" s="114"/>
      <c r="Q84" s="114"/>
      <c r="R84" s="114"/>
      <c r="S84" s="114"/>
      <c r="T84" s="114"/>
      <c r="U84" s="108"/>
      <c r="V84" s="108"/>
      <c r="W84" s="108"/>
      <c r="X84" s="108"/>
      <c r="Y84" s="108"/>
      <c r="Z84" s="108"/>
      <c r="AA84" s="108"/>
      <c r="AB84" s="108"/>
      <c r="AC84" s="108"/>
      <c r="AD84" s="108"/>
      <c r="AE84" s="108"/>
      <c r="AF84" s="108"/>
      <c r="AG84" s="108"/>
    </row>
    <row r="85" spans="2:35" s="107" customFormat="1" ht="13.2" x14ac:dyDescent="0.25">
      <c r="B85" s="147" t="s">
        <v>60</v>
      </c>
      <c r="F85" s="171">
        <f>H18</f>
        <v>7</v>
      </c>
      <c r="G85" s="172">
        <f t="shared" ref="G85:K85" si="5">SUM(G86:G92)</f>
        <v>15</v>
      </c>
      <c r="H85" s="172">
        <f t="shared" si="5"/>
        <v>2</v>
      </c>
      <c r="I85" s="172">
        <f>SUM(I86:I92)</f>
        <v>1</v>
      </c>
      <c r="J85" s="172">
        <f t="shared" si="5"/>
        <v>1</v>
      </c>
      <c r="K85" s="172">
        <f t="shared" si="5"/>
        <v>1</v>
      </c>
      <c r="L85" s="172">
        <f>SUM(L86:L92)</f>
        <v>2</v>
      </c>
      <c r="M85" s="172">
        <f>SUM(M86:M92)</f>
        <v>2</v>
      </c>
      <c r="N85" s="172">
        <f>SUM(N86:N92)</f>
        <v>0</v>
      </c>
      <c r="O85" s="172">
        <f t="shared" ref="O85" si="6">SUM(O86:O92)</f>
        <v>1</v>
      </c>
      <c r="P85" s="172">
        <f t="shared" ref="P85" si="7">SUM(P86:P92)</f>
        <v>2</v>
      </c>
      <c r="Q85" s="172">
        <f>SUM(Q86:Q92)</f>
        <v>0</v>
      </c>
      <c r="R85" s="172">
        <f t="shared" ref="R85" si="8">SUM(R86:R92)</f>
        <v>0</v>
      </c>
      <c r="S85" s="172">
        <f>SUM(S86:S92)</f>
        <v>0</v>
      </c>
      <c r="T85" s="172">
        <f t="shared" ref="T85" si="9">SUM(T86:T92)</f>
        <v>3</v>
      </c>
    </row>
    <row r="86" spans="2:35" s="107" customFormat="1" ht="13.2" outlineLevel="1" x14ac:dyDescent="0.25">
      <c r="B86" s="166" t="s">
        <v>111</v>
      </c>
      <c r="F86" s="168"/>
      <c r="G86" s="194">
        <f t="shared" ref="G86:G92" si="10">SUM(H86:T86)</f>
        <v>2</v>
      </c>
      <c r="H86" s="194"/>
      <c r="I86" s="194"/>
      <c r="J86" s="194"/>
      <c r="K86" s="194">
        <v>1</v>
      </c>
      <c r="L86" s="194"/>
      <c r="M86" s="194"/>
      <c r="N86" s="194"/>
      <c r="O86" s="194"/>
      <c r="P86" s="194">
        <v>1</v>
      </c>
      <c r="Q86" s="194"/>
      <c r="R86" s="194"/>
      <c r="S86" s="194"/>
      <c r="T86" s="194"/>
    </row>
    <row r="87" spans="2:35" s="107" customFormat="1" ht="13.2" outlineLevel="1" x14ac:dyDescent="0.25">
      <c r="B87" s="166" t="s">
        <v>112</v>
      </c>
      <c r="F87" s="168"/>
      <c r="G87" s="124">
        <f t="shared" si="10"/>
        <v>2</v>
      </c>
      <c r="H87" s="124"/>
      <c r="I87" s="124"/>
      <c r="J87" s="124">
        <v>1</v>
      </c>
      <c r="K87" s="124"/>
      <c r="L87" s="124"/>
      <c r="M87" s="124"/>
      <c r="N87" s="124"/>
      <c r="O87" s="124"/>
      <c r="P87" s="124">
        <v>1</v>
      </c>
      <c r="Q87" s="124"/>
      <c r="R87" s="124"/>
      <c r="S87" s="124"/>
      <c r="T87" s="124"/>
    </row>
    <row r="88" spans="2:35" s="107" customFormat="1" ht="13.2" outlineLevel="1" x14ac:dyDescent="0.25">
      <c r="B88" s="166" t="s">
        <v>113</v>
      </c>
      <c r="F88" s="168"/>
      <c r="G88" s="124">
        <f t="shared" si="10"/>
        <v>1</v>
      </c>
      <c r="H88" s="124"/>
      <c r="I88" s="124"/>
      <c r="J88" s="124"/>
      <c r="K88" s="124"/>
      <c r="L88" s="124">
        <v>1</v>
      </c>
      <c r="M88" s="124"/>
      <c r="N88" s="124"/>
      <c r="O88" s="124"/>
      <c r="P88" s="124"/>
      <c r="Q88" s="124"/>
      <c r="R88" s="124"/>
      <c r="S88" s="124"/>
      <c r="T88" s="124"/>
    </row>
    <row r="89" spans="2:35" s="107" customFormat="1" ht="13.2" outlineLevel="1" x14ac:dyDescent="0.25">
      <c r="B89" s="166" t="s">
        <v>114</v>
      </c>
      <c r="F89" s="168"/>
      <c r="G89" s="124">
        <f t="shared" si="10"/>
        <v>0</v>
      </c>
      <c r="H89" s="124"/>
      <c r="I89" s="124"/>
      <c r="J89" s="124"/>
      <c r="K89" s="124"/>
      <c r="L89" s="124"/>
      <c r="M89" s="124"/>
      <c r="N89" s="124"/>
      <c r="O89" s="124"/>
      <c r="P89" s="124"/>
      <c r="Q89" s="124"/>
      <c r="R89" s="124"/>
      <c r="S89" s="124"/>
      <c r="T89" s="124"/>
    </row>
    <row r="90" spans="2:35" s="107" customFormat="1" ht="13.2" outlineLevel="1" x14ac:dyDescent="0.25">
      <c r="B90" s="166" t="s">
        <v>115</v>
      </c>
      <c r="F90" s="168"/>
      <c r="G90" s="124">
        <f t="shared" si="10"/>
        <v>1</v>
      </c>
      <c r="H90" s="124"/>
      <c r="I90" s="124"/>
      <c r="J90" s="124"/>
      <c r="K90" s="124"/>
      <c r="L90" s="124"/>
      <c r="M90" s="124"/>
      <c r="N90" s="124"/>
      <c r="O90" s="124"/>
      <c r="P90" s="124"/>
      <c r="Q90" s="124"/>
      <c r="R90" s="124"/>
      <c r="S90" s="124"/>
      <c r="T90" s="124">
        <v>1</v>
      </c>
    </row>
    <row r="91" spans="2:35" s="107" customFormat="1" ht="13.2" outlineLevel="1" x14ac:dyDescent="0.25">
      <c r="B91" s="166" t="s">
        <v>116</v>
      </c>
      <c r="F91" s="168"/>
      <c r="G91" s="124">
        <f t="shared" si="10"/>
        <v>6</v>
      </c>
      <c r="H91" s="124">
        <v>1</v>
      </c>
      <c r="I91" s="124">
        <v>1</v>
      </c>
      <c r="J91" s="124"/>
      <c r="K91" s="124"/>
      <c r="L91" s="124">
        <v>1</v>
      </c>
      <c r="M91" s="124">
        <v>1</v>
      </c>
      <c r="N91" s="124"/>
      <c r="O91" s="124">
        <v>1</v>
      </c>
      <c r="P91" s="124"/>
      <c r="Q91" s="124"/>
      <c r="R91" s="124"/>
      <c r="S91" s="124"/>
      <c r="T91" s="124">
        <v>1</v>
      </c>
    </row>
    <row r="92" spans="2:35" s="107" customFormat="1" ht="13.2" outlineLevel="1" x14ac:dyDescent="0.25">
      <c r="B92" s="166" t="s">
        <v>118</v>
      </c>
      <c r="F92" s="168"/>
      <c r="G92" s="195">
        <f t="shared" si="10"/>
        <v>3</v>
      </c>
      <c r="H92" s="195">
        <v>1</v>
      </c>
      <c r="I92" s="195"/>
      <c r="J92" s="195"/>
      <c r="K92" s="195"/>
      <c r="L92" s="195"/>
      <c r="M92" s="195">
        <v>1</v>
      </c>
      <c r="N92" s="195"/>
      <c r="O92" s="195"/>
      <c r="P92" s="195"/>
      <c r="Q92" s="195"/>
      <c r="R92" s="195"/>
      <c r="S92" s="195"/>
      <c r="T92" s="195">
        <v>1</v>
      </c>
    </row>
    <row r="93" spans="2:35" s="107" customFormat="1" ht="13.2" x14ac:dyDescent="0.25">
      <c r="B93" s="166"/>
      <c r="F93" s="168"/>
      <c r="G93" s="114"/>
      <c r="H93" s="114"/>
      <c r="I93" s="114"/>
      <c r="J93" s="114"/>
      <c r="K93" s="114"/>
      <c r="L93" s="114"/>
      <c r="M93" s="114"/>
      <c r="N93" s="114"/>
      <c r="O93" s="114"/>
      <c r="P93" s="114"/>
      <c r="Q93" s="114"/>
      <c r="R93" s="114"/>
      <c r="S93" s="114"/>
      <c r="T93" s="114"/>
    </row>
    <row r="94" spans="2:35" s="107" customFormat="1" ht="13.2" x14ac:dyDescent="0.25">
      <c r="B94" s="147" t="s">
        <v>40</v>
      </c>
      <c r="F94" s="171">
        <f>H28</f>
        <v>5</v>
      </c>
      <c r="G94" s="172">
        <f>SUM(G95:G99)</f>
        <v>15</v>
      </c>
      <c r="H94" s="172">
        <f>SUM(H95:H99)</f>
        <v>1</v>
      </c>
      <c r="I94" s="172">
        <f>SUM(I95:I99)</f>
        <v>2</v>
      </c>
      <c r="J94" s="172">
        <f t="shared" ref="J94:T94" si="11">SUM(J95:J99)</f>
        <v>1</v>
      </c>
      <c r="K94" s="172">
        <f t="shared" si="11"/>
        <v>1</v>
      </c>
      <c r="L94" s="172">
        <f>SUM(L95:L99)</f>
        <v>2</v>
      </c>
      <c r="M94" s="172">
        <f>SUM(M95:M99)</f>
        <v>0</v>
      </c>
      <c r="N94" s="172">
        <f>SUM(N95:N99)</f>
        <v>2</v>
      </c>
      <c r="O94" s="172">
        <f>SUM(O95:O99)</f>
        <v>0</v>
      </c>
      <c r="P94" s="172">
        <f t="shared" ref="P94:Q94" si="12">SUM(P95:P99)</f>
        <v>0</v>
      </c>
      <c r="Q94" s="172">
        <f t="shared" si="12"/>
        <v>1</v>
      </c>
      <c r="R94" s="172">
        <f t="shared" ref="R94" si="13">SUM(R95:R99)</f>
        <v>1</v>
      </c>
      <c r="S94" s="172">
        <f t="shared" si="11"/>
        <v>1</v>
      </c>
      <c r="T94" s="172">
        <f t="shared" si="11"/>
        <v>3</v>
      </c>
    </row>
    <row r="95" spans="2:35" s="107" customFormat="1" ht="13.2" outlineLevel="1" x14ac:dyDescent="0.25">
      <c r="B95" s="166" t="s">
        <v>120</v>
      </c>
      <c r="F95" s="114"/>
      <c r="G95" s="194">
        <f>SUM(H95:T95)</f>
        <v>2</v>
      </c>
      <c r="H95" s="194"/>
      <c r="I95" s="194">
        <v>1</v>
      </c>
      <c r="J95" s="194"/>
      <c r="K95" s="194"/>
      <c r="L95" s="194"/>
      <c r="M95" s="194"/>
      <c r="N95" s="194">
        <v>1</v>
      </c>
      <c r="O95" s="194"/>
      <c r="P95" s="194"/>
      <c r="Q95" s="194"/>
      <c r="R95" s="194"/>
      <c r="S95" s="194"/>
      <c r="T95" s="194"/>
    </row>
    <row r="96" spans="2:35" s="107" customFormat="1" ht="13.2" outlineLevel="1" x14ac:dyDescent="0.25">
      <c r="B96" s="166" t="s">
        <v>123</v>
      </c>
      <c r="F96" s="114"/>
      <c r="G96" s="124">
        <f>SUM(H96:T96)</f>
        <v>2</v>
      </c>
      <c r="H96" s="124"/>
      <c r="I96" s="124">
        <v>1</v>
      </c>
      <c r="J96" s="124"/>
      <c r="K96" s="124"/>
      <c r="L96" s="124"/>
      <c r="M96" s="124"/>
      <c r="N96" s="124"/>
      <c r="O96" s="124"/>
      <c r="P96" s="124"/>
      <c r="Q96" s="124"/>
      <c r="R96" s="124"/>
      <c r="S96" s="124"/>
      <c r="T96" s="124">
        <v>1</v>
      </c>
    </row>
    <row r="97" spans="2:20" s="107" customFormat="1" ht="13.2" outlineLevel="1" x14ac:dyDescent="0.25">
      <c r="B97" s="166" t="s">
        <v>124</v>
      </c>
      <c r="F97" s="114"/>
      <c r="G97" s="124">
        <f>SUM(H97:T97)</f>
        <v>2</v>
      </c>
      <c r="H97" s="124"/>
      <c r="I97" s="124"/>
      <c r="J97" s="124"/>
      <c r="K97" s="124">
        <v>1</v>
      </c>
      <c r="L97" s="124"/>
      <c r="M97" s="124"/>
      <c r="N97" s="124"/>
      <c r="O97" s="124"/>
      <c r="P97" s="124"/>
      <c r="Q97" s="124"/>
      <c r="R97" s="124"/>
      <c r="S97" s="124"/>
      <c r="T97" s="124">
        <v>1</v>
      </c>
    </row>
    <row r="98" spans="2:20" s="107" customFormat="1" ht="13.2" outlineLevel="1" x14ac:dyDescent="0.25">
      <c r="B98" s="166" t="s">
        <v>125</v>
      </c>
      <c r="F98" s="114"/>
      <c r="G98" s="124">
        <f>SUM(H98:T98)</f>
        <v>2</v>
      </c>
      <c r="H98" s="124"/>
      <c r="I98" s="124"/>
      <c r="J98" s="124"/>
      <c r="K98" s="124"/>
      <c r="L98" s="124">
        <v>1</v>
      </c>
      <c r="M98" s="124"/>
      <c r="N98" s="124"/>
      <c r="O98" s="124"/>
      <c r="P98" s="124"/>
      <c r="Q98" s="124"/>
      <c r="R98" s="124"/>
      <c r="S98" s="124"/>
      <c r="T98" s="124">
        <v>1</v>
      </c>
    </row>
    <row r="99" spans="2:20" s="107" customFormat="1" ht="13.2" outlineLevel="1" x14ac:dyDescent="0.25">
      <c r="B99" s="166" t="s">
        <v>127</v>
      </c>
      <c r="F99" s="114"/>
      <c r="G99" s="195">
        <f>SUM(H99:T99)</f>
        <v>7</v>
      </c>
      <c r="H99" s="195">
        <v>1</v>
      </c>
      <c r="I99" s="195"/>
      <c r="J99" s="195">
        <v>1</v>
      </c>
      <c r="K99" s="195"/>
      <c r="L99" s="195">
        <v>1</v>
      </c>
      <c r="M99" s="195"/>
      <c r="N99" s="195">
        <v>1</v>
      </c>
      <c r="O99" s="195"/>
      <c r="P99" s="195"/>
      <c r="Q99" s="195">
        <v>1</v>
      </c>
      <c r="R99" s="195">
        <v>1</v>
      </c>
      <c r="S99" s="195">
        <v>1</v>
      </c>
      <c r="T99" s="195"/>
    </row>
    <row r="100" spans="2:20" s="107" customFormat="1" ht="13.2" x14ac:dyDescent="0.25">
      <c r="B100" s="166"/>
      <c r="F100" s="114"/>
      <c r="G100" s="114"/>
      <c r="H100" s="114"/>
      <c r="I100" s="114"/>
      <c r="J100" s="114"/>
      <c r="K100" s="114"/>
      <c r="L100" s="114"/>
      <c r="M100" s="114"/>
      <c r="N100" s="114"/>
      <c r="O100" s="114"/>
      <c r="P100" s="114"/>
      <c r="Q100" s="114"/>
      <c r="R100" s="114"/>
      <c r="S100" s="114"/>
      <c r="T100" s="114"/>
    </row>
    <row r="101" spans="2:20" s="107" customFormat="1" ht="13.2" x14ac:dyDescent="0.25">
      <c r="B101" s="147" t="s">
        <v>85</v>
      </c>
      <c r="F101" s="171">
        <f>H45</f>
        <v>10</v>
      </c>
      <c r="G101" s="172">
        <f t="shared" ref="G101:T101" si="14">SUM(G102:G111)</f>
        <v>20</v>
      </c>
      <c r="H101" s="172">
        <f t="shared" si="14"/>
        <v>1</v>
      </c>
      <c r="I101" s="172">
        <f>SUM(I102:I111)</f>
        <v>1</v>
      </c>
      <c r="J101" s="172">
        <f t="shared" si="14"/>
        <v>0</v>
      </c>
      <c r="K101" s="172">
        <f t="shared" si="14"/>
        <v>2</v>
      </c>
      <c r="L101" s="172">
        <f t="shared" si="14"/>
        <v>1</v>
      </c>
      <c r="M101" s="172">
        <f t="shared" si="14"/>
        <v>3</v>
      </c>
      <c r="N101" s="172">
        <f t="shared" si="14"/>
        <v>3</v>
      </c>
      <c r="O101" s="172">
        <f>SUM(O102:O111)</f>
        <v>2</v>
      </c>
      <c r="P101" s="172">
        <f t="shared" ref="P101:Q101" si="15">SUM(P102:P111)</f>
        <v>2</v>
      </c>
      <c r="Q101" s="172">
        <f t="shared" si="15"/>
        <v>1</v>
      </c>
      <c r="R101" s="172">
        <f t="shared" ref="R101" si="16">SUM(R102:R111)</f>
        <v>1</v>
      </c>
      <c r="S101" s="172">
        <f t="shared" si="14"/>
        <v>1</v>
      </c>
      <c r="T101" s="172">
        <f t="shared" si="14"/>
        <v>2</v>
      </c>
    </row>
    <row r="102" spans="2:20" s="107" customFormat="1" ht="13.2" outlineLevel="1" x14ac:dyDescent="0.25">
      <c r="B102" s="166" t="s">
        <v>135</v>
      </c>
      <c r="F102" s="114"/>
      <c r="G102" s="194">
        <f t="shared" ref="G102:G111" si="17">SUM(H102:T102)</f>
        <v>5</v>
      </c>
      <c r="H102" s="194"/>
      <c r="I102" s="194"/>
      <c r="J102" s="194"/>
      <c r="K102" s="194">
        <v>1</v>
      </c>
      <c r="L102" s="194">
        <v>1</v>
      </c>
      <c r="M102" s="194"/>
      <c r="N102" s="194"/>
      <c r="O102" s="194">
        <v>1</v>
      </c>
      <c r="P102" s="194"/>
      <c r="Q102" s="194">
        <v>1</v>
      </c>
      <c r="R102" s="194"/>
      <c r="S102" s="194">
        <v>1</v>
      </c>
      <c r="T102" s="194"/>
    </row>
    <row r="103" spans="2:20" s="107" customFormat="1" ht="13.2" outlineLevel="1" x14ac:dyDescent="0.25">
      <c r="B103" s="166" t="s">
        <v>138</v>
      </c>
      <c r="F103" s="114"/>
      <c r="G103" s="124">
        <f t="shared" si="17"/>
        <v>2</v>
      </c>
      <c r="H103" s="124"/>
      <c r="I103" s="124"/>
      <c r="J103" s="124"/>
      <c r="K103" s="124"/>
      <c r="L103" s="124"/>
      <c r="M103" s="124"/>
      <c r="N103" s="124">
        <v>1</v>
      </c>
      <c r="O103" s="124">
        <v>1</v>
      </c>
      <c r="P103" s="124"/>
      <c r="Q103" s="124"/>
      <c r="R103" s="124"/>
      <c r="S103" s="124"/>
      <c r="T103" s="124"/>
    </row>
    <row r="104" spans="2:20" s="107" customFormat="1" ht="13.2" outlineLevel="1" x14ac:dyDescent="0.25">
      <c r="B104" s="166" t="s">
        <v>139</v>
      </c>
      <c r="F104" s="114"/>
      <c r="G104" s="124">
        <f t="shared" si="17"/>
        <v>2</v>
      </c>
      <c r="H104" s="124"/>
      <c r="I104" s="124">
        <v>1</v>
      </c>
      <c r="J104" s="124"/>
      <c r="K104" s="124"/>
      <c r="L104" s="124"/>
      <c r="M104" s="124"/>
      <c r="N104" s="124"/>
      <c r="O104" s="124"/>
      <c r="P104" s="124">
        <v>1</v>
      </c>
      <c r="Q104" s="124"/>
      <c r="R104" s="124"/>
      <c r="S104" s="124"/>
      <c r="T104" s="124"/>
    </row>
    <row r="105" spans="2:20" s="107" customFormat="1" ht="13.2" outlineLevel="1" x14ac:dyDescent="0.25">
      <c r="B105" s="166" t="s">
        <v>141</v>
      </c>
      <c r="F105" s="114"/>
      <c r="G105" s="124">
        <f t="shared" si="17"/>
        <v>1</v>
      </c>
      <c r="H105" s="124"/>
      <c r="I105" s="124"/>
      <c r="J105" s="124"/>
      <c r="K105" s="124">
        <v>1</v>
      </c>
      <c r="L105" s="124"/>
      <c r="M105" s="124"/>
      <c r="N105" s="124"/>
      <c r="O105" s="124"/>
      <c r="P105" s="124"/>
      <c r="Q105" s="124"/>
      <c r="R105" s="124"/>
      <c r="S105" s="124"/>
      <c r="T105" s="124"/>
    </row>
    <row r="106" spans="2:20" s="107" customFormat="1" ht="13.2" outlineLevel="1" x14ac:dyDescent="0.25">
      <c r="B106" s="166" t="s">
        <v>143</v>
      </c>
      <c r="F106" s="114"/>
      <c r="G106" s="124">
        <f t="shared" si="17"/>
        <v>2</v>
      </c>
      <c r="H106" s="124"/>
      <c r="I106" s="124"/>
      <c r="J106" s="124"/>
      <c r="K106" s="124"/>
      <c r="L106" s="124"/>
      <c r="M106" s="124">
        <v>1</v>
      </c>
      <c r="N106" s="124"/>
      <c r="O106" s="124"/>
      <c r="P106" s="124"/>
      <c r="Q106" s="124"/>
      <c r="R106" s="124">
        <v>1</v>
      </c>
      <c r="S106" s="124"/>
      <c r="T106" s="124"/>
    </row>
    <row r="107" spans="2:20" s="107" customFormat="1" ht="13.2" outlineLevel="1" x14ac:dyDescent="0.25">
      <c r="B107" s="166" t="s">
        <v>147</v>
      </c>
      <c r="F107" s="114"/>
      <c r="G107" s="124">
        <f t="shared" si="17"/>
        <v>1</v>
      </c>
      <c r="H107" s="124"/>
      <c r="I107" s="124"/>
      <c r="J107" s="124"/>
      <c r="K107" s="124"/>
      <c r="L107" s="124"/>
      <c r="M107" s="124"/>
      <c r="N107" s="124"/>
      <c r="O107" s="124"/>
      <c r="P107" s="124">
        <v>1</v>
      </c>
      <c r="Q107" s="124"/>
      <c r="R107" s="124"/>
      <c r="S107" s="124"/>
      <c r="T107" s="124"/>
    </row>
    <row r="108" spans="2:20" s="107" customFormat="1" ht="13.2" outlineLevel="1" x14ac:dyDescent="0.25">
      <c r="B108" s="166" t="s">
        <v>150</v>
      </c>
      <c r="F108" s="114"/>
      <c r="G108" s="124">
        <f t="shared" si="17"/>
        <v>1</v>
      </c>
      <c r="H108" s="124"/>
      <c r="I108" s="124"/>
      <c r="J108" s="124"/>
      <c r="K108" s="124"/>
      <c r="L108" s="124"/>
      <c r="M108" s="124">
        <v>1</v>
      </c>
      <c r="N108" s="124"/>
      <c r="O108" s="124"/>
      <c r="P108" s="124"/>
      <c r="Q108" s="124"/>
      <c r="R108" s="124"/>
      <c r="S108" s="124"/>
      <c r="T108" s="124"/>
    </row>
    <row r="109" spans="2:20" s="107" customFormat="1" ht="13.2" outlineLevel="1" x14ac:dyDescent="0.25">
      <c r="B109" s="166" t="s">
        <v>153</v>
      </c>
      <c r="F109" s="114"/>
      <c r="G109" s="124">
        <f t="shared" si="17"/>
        <v>3</v>
      </c>
      <c r="H109" s="124"/>
      <c r="I109" s="124"/>
      <c r="J109" s="124"/>
      <c r="K109" s="124"/>
      <c r="L109" s="124"/>
      <c r="M109" s="124">
        <v>1</v>
      </c>
      <c r="N109" s="124">
        <v>1</v>
      </c>
      <c r="O109" s="124"/>
      <c r="P109" s="124"/>
      <c r="Q109" s="124"/>
      <c r="R109" s="124"/>
      <c r="S109" s="124"/>
      <c r="T109" s="124">
        <v>1</v>
      </c>
    </row>
    <row r="110" spans="2:20" s="107" customFormat="1" ht="13.2" outlineLevel="1" x14ac:dyDescent="0.25">
      <c r="B110" s="166" t="s">
        <v>154</v>
      </c>
      <c r="F110" s="114"/>
      <c r="G110" s="124">
        <f t="shared" si="17"/>
        <v>1</v>
      </c>
      <c r="H110" s="124">
        <v>1</v>
      </c>
      <c r="I110" s="124"/>
      <c r="J110" s="124"/>
      <c r="K110" s="124"/>
      <c r="L110" s="124"/>
      <c r="M110" s="124"/>
      <c r="N110" s="124"/>
      <c r="O110" s="124"/>
      <c r="P110" s="124"/>
      <c r="Q110" s="124"/>
      <c r="R110" s="124"/>
      <c r="S110" s="124"/>
      <c r="T110" s="124"/>
    </row>
    <row r="111" spans="2:20" s="107" customFormat="1" ht="13.2" outlineLevel="1" x14ac:dyDescent="0.25">
      <c r="B111" s="166" t="s">
        <v>156</v>
      </c>
      <c r="F111" s="114"/>
      <c r="G111" s="195">
        <f t="shared" si="17"/>
        <v>2</v>
      </c>
      <c r="H111" s="195"/>
      <c r="I111" s="195"/>
      <c r="J111" s="195"/>
      <c r="K111" s="195"/>
      <c r="L111" s="195"/>
      <c r="M111" s="195"/>
      <c r="N111" s="195">
        <v>1</v>
      </c>
      <c r="O111" s="195"/>
      <c r="P111" s="195"/>
      <c r="Q111" s="195"/>
      <c r="R111" s="195"/>
      <c r="S111" s="195"/>
      <c r="T111" s="195">
        <v>1</v>
      </c>
    </row>
    <row r="112" spans="2:20" s="107" customFormat="1" ht="13.2" x14ac:dyDescent="0.25">
      <c r="B112" s="207"/>
      <c r="C112" s="119"/>
      <c r="D112" s="119"/>
      <c r="E112" s="119"/>
      <c r="F112" s="169"/>
      <c r="G112" s="169"/>
      <c r="H112" s="161"/>
      <c r="I112" s="161"/>
      <c r="J112" s="161"/>
      <c r="K112" s="161"/>
      <c r="L112" s="161"/>
      <c r="M112" s="161"/>
      <c r="N112" s="161"/>
      <c r="O112" s="161"/>
      <c r="P112" s="161"/>
      <c r="Q112" s="161"/>
      <c r="R112" s="161"/>
      <c r="S112" s="161"/>
      <c r="T112" s="161"/>
    </row>
    <row r="114" spans="2:9" x14ac:dyDescent="0.3">
      <c r="B114" s="148" t="s">
        <v>228</v>
      </c>
    </row>
    <row r="115" spans="2:9" ht="7.2" customHeight="1" x14ac:dyDescent="0.3"/>
    <row r="116" spans="2:9" ht="18.600000000000001" customHeight="1" x14ac:dyDescent="0.3">
      <c r="B116" s="264" t="s">
        <v>48</v>
      </c>
      <c r="C116" s="265"/>
      <c r="D116" s="265"/>
      <c r="E116" s="266"/>
      <c r="F116" s="246" t="s">
        <v>224</v>
      </c>
      <c r="G116" s="247"/>
      <c r="H116" s="271" t="s">
        <v>164</v>
      </c>
      <c r="I116" s="273"/>
    </row>
    <row r="117" spans="2:9" ht="16.8" customHeight="1" x14ac:dyDescent="0.3">
      <c r="B117" s="315"/>
      <c r="C117" s="316"/>
      <c r="D117" s="316"/>
      <c r="E117" s="317"/>
      <c r="F117" s="248"/>
      <c r="G117" s="249"/>
      <c r="H117" s="232" t="s">
        <v>368</v>
      </c>
      <c r="I117" s="233" t="s">
        <v>369</v>
      </c>
    </row>
    <row r="118" spans="2:9" s="140" customFormat="1" ht="61.2" customHeight="1" x14ac:dyDescent="0.3">
      <c r="B118" s="318"/>
      <c r="C118" s="319"/>
      <c r="D118" s="319"/>
      <c r="E118" s="319"/>
      <c r="F118" s="139" t="s">
        <v>49</v>
      </c>
      <c r="G118" s="139" t="s">
        <v>50</v>
      </c>
      <c r="H118" s="141" t="s">
        <v>370</v>
      </c>
      <c r="I118" s="139" t="s">
        <v>371</v>
      </c>
    </row>
    <row r="119" spans="2:9" x14ac:dyDescent="0.3">
      <c r="B119" s="166"/>
      <c r="C119" s="107"/>
      <c r="D119" s="107"/>
      <c r="E119" s="167"/>
      <c r="F119" s="114"/>
      <c r="G119" s="114"/>
      <c r="H119" s="168"/>
      <c r="I119" s="114"/>
    </row>
    <row r="120" spans="2:9" s="107" customFormat="1" ht="13.2" x14ac:dyDescent="0.25">
      <c r="B120" s="120" t="s">
        <v>51</v>
      </c>
      <c r="C120" s="121"/>
      <c r="D120" s="121"/>
      <c r="E120" s="122"/>
      <c r="F120" s="138">
        <f>SUM(F122)</f>
        <v>1</v>
      </c>
      <c r="G120" s="133">
        <f t="shared" ref="G120:I120" si="18">SUM(G122)</f>
        <v>2</v>
      </c>
      <c r="H120" s="133">
        <f t="shared" si="18"/>
        <v>1</v>
      </c>
      <c r="I120" s="133">
        <f t="shared" si="18"/>
        <v>1</v>
      </c>
    </row>
    <row r="121" spans="2:9" s="107" customFormat="1" ht="13.2" x14ac:dyDescent="0.25">
      <c r="B121" s="166" t="s">
        <v>47</v>
      </c>
      <c r="E121" s="167"/>
      <c r="F121" s="114"/>
      <c r="G121" s="114"/>
      <c r="H121" s="170"/>
      <c r="I121" s="114"/>
    </row>
    <row r="122" spans="2:9" s="107" customFormat="1" ht="13.2" x14ac:dyDescent="0.25">
      <c r="B122" s="147" t="s">
        <v>80</v>
      </c>
      <c r="F122" s="171">
        <f>J40</f>
        <v>1</v>
      </c>
      <c r="G122" s="172">
        <f t="shared" ref="G122:I122" si="19">SUM(G123:G123)</f>
        <v>2</v>
      </c>
      <c r="H122" s="172">
        <f t="shared" si="19"/>
        <v>1</v>
      </c>
      <c r="I122" s="172">
        <f t="shared" si="19"/>
        <v>1</v>
      </c>
    </row>
    <row r="123" spans="2:9" s="107" customFormat="1" ht="13.2" outlineLevel="1" x14ac:dyDescent="0.25">
      <c r="B123" s="166" t="s">
        <v>134</v>
      </c>
      <c r="F123" s="114"/>
      <c r="G123" s="191">
        <f>SUM(H123:I123)</f>
        <v>2</v>
      </c>
      <c r="H123" s="191">
        <v>1</v>
      </c>
      <c r="I123" s="191">
        <v>1</v>
      </c>
    </row>
    <row r="124" spans="2:9" s="107" customFormat="1" ht="13.2" x14ac:dyDescent="0.25">
      <c r="B124" s="207"/>
      <c r="C124" s="119"/>
      <c r="D124" s="119"/>
      <c r="E124" s="119"/>
      <c r="F124" s="169"/>
      <c r="G124" s="169"/>
      <c r="H124" s="169"/>
      <c r="I124" s="169"/>
    </row>
    <row r="125" spans="2:9" s="107" customFormat="1" ht="13.2" x14ac:dyDescent="0.25"/>
    <row r="126" spans="2:9" x14ac:dyDescent="0.3">
      <c r="E126" s="104"/>
    </row>
    <row r="127" spans="2:9" x14ac:dyDescent="0.3">
      <c r="B127" s="105"/>
      <c r="E127" s="104"/>
    </row>
    <row r="128" spans="2:9" x14ac:dyDescent="0.3">
      <c r="B128" s="148"/>
    </row>
  </sheetData>
  <mergeCells count="16">
    <mergeCell ref="B116:E118"/>
    <mergeCell ref="F116:G117"/>
    <mergeCell ref="H116:I116"/>
    <mergeCell ref="H77:I77"/>
    <mergeCell ref="L77:S77"/>
    <mergeCell ref="B2:C2"/>
    <mergeCell ref="B8:E8"/>
    <mergeCell ref="F8:G8"/>
    <mergeCell ref="H8:I8"/>
    <mergeCell ref="J8:K8"/>
    <mergeCell ref="L8:M8"/>
    <mergeCell ref="B9:E9"/>
    <mergeCell ref="B76:E78"/>
    <mergeCell ref="F76:G77"/>
    <mergeCell ref="B6:I6"/>
    <mergeCell ref="H76:T76"/>
  </mergeCells>
  <pageMargins left="0.7" right="0.7" top="0.75" bottom="0.75" header="0.3" footer="0.3"/>
  <pageSetup scale="26" orientation="landscape" r:id="rId1"/>
  <ignoredErrors>
    <ignoredError sqref="G11:H11 I11:J11 K11:L1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F7B3-D1FE-4255-84EF-EE322B371232}">
  <sheetPr>
    <pageSetUpPr fitToPage="1"/>
  </sheetPr>
  <dimension ref="B1:Z98"/>
  <sheetViews>
    <sheetView showGridLines="0" topLeftCell="A18" workbookViewId="0">
      <selection activeCell="E96" sqref="E96"/>
    </sheetView>
  </sheetViews>
  <sheetFormatPr defaultColWidth="9.109375" defaultRowHeight="14.4" outlineLevelRow="1" x14ac:dyDescent="0.3"/>
  <cols>
    <col min="1" max="1" width="2.88671875" style="106" customWidth="1"/>
    <col min="2" max="2" width="18.5546875" style="106" customWidth="1"/>
    <col min="3" max="3" width="13.5546875" style="106" customWidth="1"/>
    <col min="4" max="5" width="9.109375" style="106"/>
    <col min="6" max="12" width="13.88671875" style="106" customWidth="1"/>
    <col min="13" max="16384" width="9.109375" style="106"/>
  </cols>
  <sheetData>
    <row r="1" spans="2:24" s="107" customFormat="1" ht="13.2" x14ac:dyDescent="0.25">
      <c r="E1" s="108"/>
      <c r="F1" s="108"/>
      <c r="G1" s="108"/>
      <c r="H1" s="108"/>
      <c r="I1" s="108"/>
      <c r="J1" s="108"/>
      <c r="K1" s="108"/>
      <c r="L1" s="108"/>
      <c r="M1" s="108"/>
    </row>
    <row r="2" spans="2:24" s="107" customFormat="1" ht="18.600000000000001" customHeight="1" x14ac:dyDescent="0.25">
      <c r="B2" s="262" t="s">
        <v>381</v>
      </c>
      <c r="C2" s="263"/>
      <c r="E2" s="108"/>
      <c r="F2" s="108"/>
      <c r="G2" s="108"/>
      <c r="H2" s="108"/>
      <c r="I2" s="108"/>
      <c r="J2" s="108"/>
      <c r="K2" s="108"/>
      <c r="L2" s="108"/>
      <c r="M2" s="108"/>
    </row>
    <row r="3" spans="2:24" s="107" customFormat="1" ht="20.399999999999999" customHeight="1" x14ac:dyDescent="0.3">
      <c r="B3" s="109" t="s">
        <v>24</v>
      </c>
      <c r="F3" s="108"/>
      <c r="G3" s="108"/>
      <c r="H3" s="108"/>
      <c r="I3" s="108"/>
      <c r="J3" s="108"/>
      <c r="K3" s="108"/>
      <c r="L3" s="108"/>
      <c r="M3" s="108"/>
    </row>
    <row r="4" spans="2:24" s="107" customFormat="1" ht="7.8" customHeight="1" x14ac:dyDescent="0.3">
      <c r="B4" s="109"/>
      <c r="F4" s="108"/>
      <c r="G4" s="108"/>
      <c r="H4" s="108"/>
      <c r="I4" s="151"/>
      <c r="J4" s="108"/>
      <c r="K4" s="108"/>
      <c r="L4" s="108"/>
      <c r="M4" s="108"/>
    </row>
    <row r="5" spans="2:24" s="107" customFormat="1" ht="15" customHeight="1" x14ac:dyDescent="0.25">
      <c r="B5" s="105" t="s">
        <v>22</v>
      </c>
      <c r="F5" s="108"/>
      <c r="G5" s="108"/>
      <c r="H5" s="108"/>
      <c r="I5" s="108"/>
      <c r="J5" s="108"/>
      <c r="K5" s="108"/>
      <c r="L5" s="108"/>
      <c r="M5" s="108"/>
    </row>
    <row r="6" spans="2:24" s="107" customFormat="1" ht="30.75" customHeight="1" x14ac:dyDescent="0.25">
      <c r="B6" s="269" t="s">
        <v>26</v>
      </c>
      <c r="C6" s="269"/>
      <c r="D6" s="269"/>
      <c r="E6" s="269"/>
      <c r="F6" s="269"/>
      <c r="G6" s="269"/>
      <c r="H6" s="269"/>
      <c r="I6" s="269"/>
      <c r="J6" s="269"/>
      <c r="K6" s="269"/>
      <c r="L6" s="269"/>
      <c r="M6" s="108"/>
    </row>
    <row r="7" spans="2:24" ht="8.4" customHeight="1" x14ac:dyDescent="0.3"/>
    <row r="8" spans="2:24" s="107" customFormat="1" ht="53.4" customHeight="1" x14ac:dyDescent="0.25">
      <c r="B8" s="264" t="s">
        <v>34</v>
      </c>
      <c r="C8" s="265"/>
      <c r="D8" s="265"/>
      <c r="E8" s="266"/>
      <c r="F8" s="267" t="s">
        <v>409</v>
      </c>
      <c r="G8" s="268"/>
      <c r="H8" s="267" t="s">
        <v>411</v>
      </c>
      <c r="I8" s="268"/>
      <c r="J8" s="242" t="s">
        <v>410</v>
      </c>
      <c r="K8" s="243"/>
      <c r="L8" s="104"/>
      <c r="M8" s="108"/>
      <c r="N8" s="108"/>
      <c r="O8" s="108"/>
      <c r="P8" s="108"/>
      <c r="Q8" s="108"/>
      <c r="R8" s="108"/>
      <c r="S8" s="108"/>
      <c r="T8" s="108"/>
      <c r="U8" s="108"/>
      <c r="V8" s="108"/>
      <c r="W8" s="108"/>
      <c r="X8" s="108"/>
    </row>
    <row r="9" spans="2:24" s="107" customFormat="1" ht="14.4" customHeight="1" x14ac:dyDescent="0.25">
      <c r="B9" s="244" t="s">
        <v>402</v>
      </c>
      <c r="C9" s="245"/>
      <c r="D9" s="245"/>
      <c r="E9" s="245"/>
      <c r="F9" s="111" t="s">
        <v>37</v>
      </c>
      <c r="G9" s="128" t="s">
        <v>38</v>
      </c>
      <c r="H9" s="111" t="s">
        <v>37</v>
      </c>
      <c r="I9" s="128" t="s">
        <v>38</v>
      </c>
      <c r="J9" s="111" t="s">
        <v>37</v>
      </c>
      <c r="K9" s="131" t="s">
        <v>38</v>
      </c>
      <c r="L9" s="144"/>
      <c r="M9" s="108"/>
      <c r="N9" s="108"/>
      <c r="O9" s="108"/>
      <c r="P9" s="108"/>
      <c r="Q9" s="108"/>
      <c r="R9" s="108"/>
      <c r="S9" s="108"/>
      <c r="T9" s="108"/>
      <c r="U9" s="108"/>
      <c r="V9" s="108"/>
      <c r="W9" s="108"/>
      <c r="X9" s="108"/>
    </row>
    <row r="10" spans="2:24" s="107" customFormat="1" ht="15" customHeight="1" x14ac:dyDescent="0.25">
      <c r="B10" s="145"/>
      <c r="C10" s="146"/>
      <c r="D10" s="146"/>
      <c r="E10" s="146"/>
      <c r="F10" s="112"/>
      <c r="G10" s="125"/>
      <c r="H10" s="112"/>
      <c r="I10" s="125"/>
      <c r="J10" s="112"/>
      <c r="K10" s="113"/>
      <c r="L10" s="108"/>
      <c r="M10" s="108"/>
      <c r="N10" s="108"/>
      <c r="O10" s="108"/>
      <c r="P10" s="108"/>
      <c r="Q10" s="108"/>
      <c r="R10" s="108"/>
      <c r="S10" s="108"/>
      <c r="T10" s="108"/>
      <c r="U10" s="108"/>
      <c r="V10" s="108"/>
      <c r="W10" s="108"/>
      <c r="X10" s="108"/>
    </row>
    <row r="11" spans="2:24" s="107" customFormat="1" ht="15" customHeight="1" x14ac:dyDescent="0.25">
      <c r="B11" s="147" t="s">
        <v>39</v>
      </c>
      <c r="C11" s="148"/>
      <c r="D11" s="148"/>
      <c r="E11" s="149">
        <f>SUM(F11,H11,J11)</f>
        <v>52</v>
      </c>
      <c r="F11" s="114">
        <f>SUM(F13,F15,F18,F28,F40,F45,F70)</f>
        <v>33</v>
      </c>
      <c r="G11" s="150">
        <f>F11/$E$11</f>
        <v>0.63461538461538458</v>
      </c>
      <c r="H11" s="137">
        <f>SUM(H13,H15,H18,H28,H40,H45,H70)</f>
        <v>10</v>
      </c>
      <c r="I11" s="150">
        <f>H11/$E$11</f>
        <v>0.19230769230769232</v>
      </c>
      <c r="J11" s="114">
        <f>SUM(J13,J15,J18,J28,J40,J45,J70)</f>
        <v>9</v>
      </c>
      <c r="K11" s="115">
        <f>J11/$E$11</f>
        <v>0.17307692307692307</v>
      </c>
      <c r="L11" s="150"/>
      <c r="M11" s="151"/>
      <c r="N11" s="151"/>
      <c r="O11" s="151"/>
      <c r="P11" s="151"/>
      <c r="Q11" s="151"/>
      <c r="R11" s="151"/>
      <c r="S11" s="108"/>
      <c r="T11" s="108"/>
      <c r="U11" s="108"/>
      <c r="V11" s="108"/>
      <c r="W11" s="108"/>
      <c r="X11" s="108"/>
    </row>
    <row r="12" spans="2:24" s="107" customFormat="1" ht="15" customHeight="1" x14ac:dyDescent="0.25">
      <c r="B12" s="152"/>
      <c r="E12" s="108"/>
      <c r="F12" s="114"/>
      <c r="G12" s="108"/>
      <c r="H12" s="153"/>
      <c r="I12" s="108"/>
      <c r="J12" s="114"/>
      <c r="K12" s="154"/>
      <c r="L12" s="108"/>
      <c r="M12" s="108"/>
      <c r="N12" s="108"/>
      <c r="O12" s="108"/>
      <c r="P12" s="108"/>
      <c r="Q12" s="108"/>
      <c r="R12" s="108"/>
      <c r="S12" s="108"/>
      <c r="T12" s="108"/>
      <c r="U12" s="108"/>
      <c r="V12" s="108"/>
      <c r="W12" s="108"/>
      <c r="X12" s="108"/>
    </row>
    <row r="13" spans="2:24" s="107" customFormat="1" ht="15" customHeight="1" x14ac:dyDescent="0.25">
      <c r="B13" s="126" t="s">
        <v>52</v>
      </c>
      <c r="C13" s="155"/>
      <c r="D13" s="155"/>
      <c r="E13" s="156"/>
      <c r="F13" s="117">
        <f>F14</f>
        <v>1</v>
      </c>
      <c r="G13" s="156"/>
      <c r="H13" s="129">
        <f>H14</f>
        <v>0</v>
      </c>
      <c r="I13" s="156"/>
      <c r="J13" s="117">
        <f>J14</f>
        <v>0</v>
      </c>
      <c r="K13" s="118"/>
      <c r="L13" s="108"/>
      <c r="M13" s="108"/>
      <c r="N13" s="108"/>
      <c r="O13" s="108"/>
      <c r="P13" s="108"/>
      <c r="Q13" s="108"/>
      <c r="R13" s="108"/>
      <c r="S13" s="108"/>
      <c r="T13" s="108"/>
      <c r="U13" s="108"/>
      <c r="V13" s="108"/>
      <c r="W13" s="108"/>
      <c r="X13" s="108"/>
    </row>
    <row r="14" spans="2:24" s="107" customFormat="1" ht="15" hidden="1" customHeight="1" outlineLevel="1" x14ac:dyDescent="0.25">
      <c r="B14" s="166" t="s">
        <v>55</v>
      </c>
      <c r="E14" s="108"/>
      <c r="F14" s="190">
        <v>1</v>
      </c>
      <c r="G14" s="108"/>
      <c r="H14" s="185"/>
      <c r="I14" s="108"/>
      <c r="J14" s="190"/>
      <c r="K14" s="154"/>
      <c r="L14" s="108"/>
      <c r="M14" s="108"/>
      <c r="N14" s="108"/>
      <c r="O14" s="108"/>
      <c r="P14" s="108"/>
      <c r="Q14" s="108"/>
      <c r="R14" s="108"/>
      <c r="S14" s="108"/>
      <c r="T14" s="108"/>
      <c r="U14" s="108"/>
      <c r="V14" s="108"/>
      <c r="W14" s="108"/>
      <c r="X14" s="108"/>
    </row>
    <row r="15" spans="2:24" s="107" customFormat="1" ht="15" customHeight="1" collapsed="1" x14ac:dyDescent="0.25">
      <c r="B15" s="166" t="s">
        <v>57</v>
      </c>
      <c r="E15" s="108"/>
      <c r="F15" s="114">
        <f>SUM(F16:F17)</f>
        <v>2</v>
      </c>
      <c r="G15" s="108"/>
      <c r="H15" s="153">
        <f>SUM(H16:H17)</f>
        <v>0</v>
      </c>
      <c r="I15" s="108"/>
      <c r="J15" s="114">
        <f>SUM(J16:J17)</f>
        <v>0</v>
      </c>
      <c r="K15" s="154"/>
      <c r="L15" s="108"/>
      <c r="M15" s="108"/>
      <c r="N15" s="108"/>
      <c r="O15" s="108"/>
      <c r="P15" s="108"/>
      <c r="Q15" s="108"/>
      <c r="R15" s="108"/>
      <c r="S15" s="108"/>
      <c r="T15" s="108"/>
      <c r="U15" s="108"/>
      <c r="V15" s="108"/>
      <c r="W15" s="108"/>
      <c r="X15" s="108"/>
    </row>
    <row r="16" spans="2:24" s="107" customFormat="1" ht="15" hidden="1" customHeight="1" outlineLevel="1" x14ac:dyDescent="0.25">
      <c r="B16" s="166" t="s">
        <v>58</v>
      </c>
      <c r="E16" s="108"/>
      <c r="F16" s="186">
        <v>1</v>
      </c>
      <c r="G16" s="108"/>
      <c r="H16" s="188"/>
      <c r="I16" s="108"/>
      <c r="J16" s="186"/>
      <c r="K16" s="154"/>
      <c r="L16" s="108"/>
      <c r="M16" s="108"/>
      <c r="N16" s="108"/>
      <c r="O16" s="108"/>
      <c r="P16" s="108"/>
      <c r="Q16" s="108"/>
      <c r="R16" s="108"/>
      <c r="S16" s="108"/>
      <c r="T16" s="108"/>
      <c r="U16" s="108"/>
      <c r="V16" s="108"/>
      <c r="W16" s="108"/>
      <c r="X16" s="108"/>
    </row>
    <row r="17" spans="2:24" s="107" customFormat="1" ht="15" hidden="1" customHeight="1" outlineLevel="1" x14ac:dyDescent="0.25">
      <c r="B17" s="166" t="s">
        <v>59</v>
      </c>
      <c r="E17" s="108"/>
      <c r="F17" s="187">
        <v>1</v>
      </c>
      <c r="G17" s="108"/>
      <c r="H17" s="189"/>
      <c r="I17" s="108"/>
      <c r="J17" s="187"/>
      <c r="K17" s="154"/>
      <c r="L17" s="108"/>
      <c r="M17" s="108"/>
      <c r="N17" s="108"/>
      <c r="O17" s="108"/>
      <c r="P17" s="108"/>
      <c r="Q17" s="108"/>
      <c r="R17" s="108"/>
      <c r="S17" s="108"/>
      <c r="T17" s="108"/>
      <c r="U17" s="108"/>
      <c r="V17" s="108"/>
      <c r="W17" s="108"/>
      <c r="X17" s="108"/>
    </row>
    <row r="18" spans="2:24" s="107" customFormat="1" ht="15" customHeight="1" collapsed="1" x14ac:dyDescent="0.25">
      <c r="B18" s="126" t="s">
        <v>60</v>
      </c>
      <c r="C18" s="155"/>
      <c r="D18" s="155"/>
      <c r="E18" s="156"/>
      <c r="F18" s="117">
        <f>SUM(F19:F27)</f>
        <v>5</v>
      </c>
      <c r="G18" s="156"/>
      <c r="H18" s="129">
        <f>SUM(H19:H27)</f>
        <v>3</v>
      </c>
      <c r="I18" s="156"/>
      <c r="J18" s="117">
        <f>SUM(J19:J27)</f>
        <v>1</v>
      </c>
      <c r="K18" s="118"/>
      <c r="L18" s="108"/>
      <c r="M18" s="108"/>
      <c r="N18" s="108"/>
      <c r="O18" s="108"/>
      <c r="P18" s="108"/>
      <c r="Q18" s="108"/>
      <c r="R18" s="108"/>
      <c r="S18" s="108"/>
      <c r="T18" s="108"/>
      <c r="U18" s="108"/>
      <c r="V18" s="108"/>
      <c r="W18" s="108"/>
      <c r="X18" s="108"/>
    </row>
    <row r="19" spans="2:24" s="107" customFormat="1" ht="15" hidden="1" customHeight="1" outlineLevel="1" x14ac:dyDescent="0.25">
      <c r="B19" s="166" t="s">
        <v>61</v>
      </c>
      <c r="E19" s="108"/>
      <c r="F19" s="186">
        <v>1</v>
      </c>
      <c r="G19" s="108"/>
      <c r="H19" s="188"/>
      <c r="I19" s="108"/>
      <c r="J19" s="186"/>
      <c r="K19" s="154"/>
      <c r="L19" s="108"/>
      <c r="M19" s="108"/>
      <c r="N19" s="108"/>
      <c r="O19" s="108"/>
      <c r="P19" s="108"/>
      <c r="Q19" s="108"/>
      <c r="R19" s="108"/>
      <c r="S19" s="108"/>
      <c r="T19" s="108"/>
      <c r="U19" s="108"/>
      <c r="V19" s="108"/>
      <c r="W19" s="108"/>
      <c r="X19" s="108"/>
    </row>
    <row r="20" spans="2:24" s="107" customFormat="1" ht="15" hidden="1" customHeight="1" outlineLevel="1" x14ac:dyDescent="0.25">
      <c r="B20" s="166" t="s">
        <v>62</v>
      </c>
      <c r="E20" s="108"/>
      <c r="F20" s="127">
        <v>1</v>
      </c>
      <c r="G20" s="108"/>
      <c r="H20" s="130"/>
      <c r="I20" s="108"/>
      <c r="J20" s="127"/>
      <c r="K20" s="154"/>
      <c r="L20" s="108"/>
      <c r="M20" s="108"/>
      <c r="N20" s="108"/>
      <c r="O20" s="108"/>
      <c r="P20" s="108"/>
      <c r="Q20" s="108"/>
      <c r="R20" s="108"/>
      <c r="S20" s="108"/>
      <c r="T20" s="108"/>
      <c r="U20" s="108"/>
      <c r="V20" s="108"/>
      <c r="W20" s="108"/>
      <c r="X20" s="108"/>
    </row>
    <row r="21" spans="2:24" s="107" customFormat="1" ht="15" hidden="1" customHeight="1" outlineLevel="1" x14ac:dyDescent="0.25">
      <c r="B21" s="166" t="s">
        <v>63</v>
      </c>
      <c r="E21" s="108"/>
      <c r="F21" s="127">
        <v>1</v>
      </c>
      <c r="G21" s="108"/>
      <c r="H21" s="130"/>
      <c r="I21" s="108"/>
      <c r="J21" s="127"/>
      <c r="K21" s="154"/>
      <c r="L21" s="108"/>
      <c r="M21" s="108"/>
      <c r="N21" s="108"/>
      <c r="O21" s="108"/>
      <c r="P21" s="108"/>
      <c r="Q21" s="108"/>
      <c r="R21" s="108"/>
      <c r="S21" s="108"/>
      <c r="T21" s="108"/>
      <c r="U21" s="108"/>
      <c r="V21" s="108"/>
      <c r="W21" s="108"/>
      <c r="X21" s="108"/>
    </row>
    <row r="22" spans="2:24" s="107" customFormat="1" ht="15" hidden="1" customHeight="1" outlineLevel="1" x14ac:dyDescent="0.25">
      <c r="B22" s="166" t="s">
        <v>64</v>
      </c>
      <c r="E22" s="108"/>
      <c r="F22" s="127"/>
      <c r="G22" s="108"/>
      <c r="H22" s="130"/>
      <c r="I22" s="108"/>
      <c r="J22" s="127">
        <v>1</v>
      </c>
      <c r="K22" s="154"/>
      <c r="L22" s="108"/>
      <c r="M22" s="108"/>
      <c r="N22" s="108"/>
      <c r="O22" s="108"/>
      <c r="P22" s="108"/>
      <c r="Q22" s="108"/>
      <c r="R22" s="108"/>
      <c r="S22" s="108"/>
      <c r="T22" s="108"/>
      <c r="U22" s="108"/>
      <c r="V22" s="108"/>
      <c r="W22" s="108"/>
      <c r="X22" s="108"/>
    </row>
    <row r="23" spans="2:24" s="107" customFormat="1" ht="15" hidden="1" customHeight="1" outlineLevel="1" x14ac:dyDescent="0.25">
      <c r="B23" s="166" t="s">
        <v>65</v>
      </c>
      <c r="E23" s="108"/>
      <c r="F23" s="127"/>
      <c r="G23" s="108"/>
      <c r="H23" s="130">
        <v>1</v>
      </c>
      <c r="I23" s="108"/>
      <c r="J23" s="127"/>
      <c r="K23" s="154"/>
      <c r="L23" s="108"/>
      <c r="M23" s="108"/>
      <c r="N23" s="108"/>
      <c r="O23" s="108"/>
      <c r="P23" s="108"/>
      <c r="Q23" s="108"/>
      <c r="R23" s="108"/>
      <c r="S23" s="108"/>
      <c r="T23" s="108"/>
      <c r="U23" s="108"/>
      <c r="V23" s="108"/>
      <c r="W23" s="108"/>
      <c r="X23" s="108"/>
    </row>
    <row r="24" spans="2:24" s="107" customFormat="1" ht="15" hidden="1" customHeight="1" outlineLevel="1" x14ac:dyDescent="0.25">
      <c r="B24" s="166" t="s">
        <v>66</v>
      </c>
      <c r="E24" s="108"/>
      <c r="F24" s="127">
        <v>1</v>
      </c>
      <c r="G24" s="108"/>
      <c r="H24" s="130"/>
      <c r="I24" s="108"/>
      <c r="J24" s="127"/>
      <c r="K24" s="154"/>
      <c r="L24" s="108"/>
      <c r="M24" s="108"/>
      <c r="N24" s="108"/>
      <c r="O24" s="108"/>
      <c r="P24" s="108"/>
      <c r="Q24" s="108"/>
      <c r="R24" s="108"/>
      <c r="S24" s="108"/>
      <c r="T24" s="108"/>
      <c r="U24" s="108"/>
      <c r="V24" s="108"/>
      <c r="W24" s="108"/>
      <c r="X24" s="108"/>
    </row>
    <row r="25" spans="2:24" s="107" customFormat="1" ht="15" hidden="1" customHeight="1" outlineLevel="1" x14ac:dyDescent="0.25">
      <c r="B25" s="166" t="s">
        <v>67</v>
      </c>
      <c r="E25" s="108"/>
      <c r="F25" s="127">
        <v>1</v>
      </c>
      <c r="G25" s="108"/>
      <c r="H25" s="130"/>
      <c r="I25" s="108"/>
      <c r="J25" s="127"/>
      <c r="K25" s="154"/>
      <c r="L25" s="108"/>
      <c r="M25" s="108"/>
      <c r="N25" s="108"/>
      <c r="O25" s="108"/>
      <c r="P25" s="108"/>
      <c r="Q25" s="108"/>
      <c r="R25" s="108"/>
      <c r="S25" s="108"/>
      <c r="T25" s="108"/>
      <c r="U25" s="108"/>
      <c r="V25" s="108"/>
      <c r="W25" s="108"/>
      <c r="X25" s="108"/>
    </row>
    <row r="26" spans="2:24" s="107" customFormat="1" ht="15" hidden="1" customHeight="1" outlineLevel="1" x14ac:dyDescent="0.25">
      <c r="B26" s="166" t="s">
        <v>68</v>
      </c>
      <c r="E26" s="108"/>
      <c r="F26" s="127"/>
      <c r="G26" s="108"/>
      <c r="H26" s="130">
        <v>1</v>
      </c>
      <c r="I26" s="108"/>
      <c r="J26" s="127"/>
      <c r="K26" s="154"/>
      <c r="L26" s="108"/>
      <c r="M26" s="108"/>
      <c r="N26" s="108"/>
      <c r="O26" s="108"/>
      <c r="P26" s="108"/>
      <c r="Q26" s="108"/>
      <c r="R26" s="108"/>
      <c r="S26" s="108"/>
      <c r="T26" s="108"/>
      <c r="U26" s="108"/>
      <c r="V26" s="108"/>
      <c r="W26" s="108"/>
      <c r="X26" s="108"/>
    </row>
    <row r="27" spans="2:24" s="107" customFormat="1" ht="15" hidden="1" customHeight="1" outlineLevel="1" x14ac:dyDescent="0.25">
      <c r="B27" s="166" t="s">
        <v>69</v>
      </c>
      <c r="E27" s="108"/>
      <c r="F27" s="187"/>
      <c r="G27" s="108"/>
      <c r="H27" s="189">
        <v>1</v>
      </c>
      <c r="I27" s="108"/>
      <c r="J27" s="187"/>
      <c r="K27" s="154"/>
      <c r="L27" s="108"/>
      <c r="M27" s="108"/>
      <c r="N27" s="108"/>
      <c r="O27" s="108"/>
      <c r="P27" s="108"/>
      <c r="Q27" s="108"/>
      <c r="R27" s="108"/>
      <c r="S27" s="108"/>
      <c r="T27" s="108"/>
      <c r="U27" s="108"/>
      <c r="V27" s="108"/>
      <c r="W27" s="108"/>
      <c r="X27" s="108"/>
    </row>
    <row r="28" spans="2:24" s="107" customFormat="1" ht="15" customHeight="1" collapsed="1" x14ac:dyDescent="0.25">
      <c r="B28" s="166" t="s">
        <v>40</v>
      </c>
      <c r="E28" s="108"/>
      <c r="F28" s="114">
        <f>SUM(F29:F39)</f>
        <v>6</v>
      </c>
      <c r="G28" s="108"/>
      <c r="H28" s="153">
        <f>SUM(H29:H39)</f>
        <v>3</v>
      </c>
      <c r="I28" s="108"/>
      <c r="J28" s="114">
        <f>SUM(J29:J39)</f>
        <v>2</v>
      </c>
      <c r="K28" s="154"/>
      <c r="L28" s="108"/>
      <c r="M28" s="108"/>
      <c r="N28" s="108"/>
      <c r="O28" s="108"/>
      <c r="P28" s="108"/>
      <c r="Q28" s="108"/>
      <c r="R28" s="108"/>
      <c r="S28" s="108"/>
      <c r="T28" s="108"/>
      <c r="U28" s="108"/>
      <c r="V28" s="108"/>
      <c r="W28" s="108"/>
      <c r="X28" s="108"/>
    </row>
    <row r="29" spans="2:24" s="107" customFormat="1" ht="15" hidden="1" customHeight="1" outlineLevel="1" x14ac:dyDescent="0.25">
      <c r="B29" s="166" t="s">
        <v>70</v>
      </c>
      <c r="E29" s="108"/>
      <c r="F29" s="186"/>
      <c r="G29" s="108"/>
      <c r="H29" s="188">
        <v>1</v>
      </c>
      <c r="I29" s="108"/>
      <c r="J29" s="186"/>
      <c r="K29" s="154"/>
      <c r="L29" s="108"/>
      <c r="M29" s="108"/>
      <c r="N29" s="108"/>
      <c r="O29" s="108"/>
      <c r="P29" s="108"/>
      <c r="Q29" s="108"/>
      <c r="R29" s="108"/>
      <c r="S29" s="108"/>
      <c r="T29" s="108"/>
      <c r="U29" s="108"/>
      <c r="V29" s="108"/>
      <c r="W29" s="108"/>
      <c r="X29" s="108"/>
    </row>
    <row r="30" spans="2:24" s="107" customFormat="1" ht="15" hidden="1" customHeight="1" outlineLevel="1" x14ac:dyDescent="0.25">
      <c r="B30" s="166" t="s">
        <v>71</v>
      </c>
      <c r="E30" s="108"/>
      <c r="F30" s="127"/>
      <c r="G30" s="108"/>
      <c r="H30" s="130"/>
      <c r="I30" s="108"/>
      <c r="J30" s="127">
        <v>1</v>
      </c>
      <c r="K30" s="154"/>
      <c r="L30" s="108"/>
      <c r="M30" s="108"/>
      <c r="N30" s="108"/>
      <c r="O30" s="108"/>
      <c r="P30" s="108"/>
      <c r="Q30" s="108"/>
      <c r="R30" s="108"/>
      <c r="S30" s="108"/>
      <c r="T30" s="108"/>
      <c r="U30" s="108"/>
      <c r="V30" s="108"/>
      <c r="W30" s="108"/>
      <c r="X30" s="108"/>
    </row>
    <row r="31" spans="2:24" s="107" customFormat="1" ht="15" hidden="1" customHeight="1" outlineLevel="1" x14ac:dyDescent="0.25">
      <c r="B31" s="166" t="s">
        <v>72</v>
      </c>
      <c r="E31" s="108"/>
      <c r="F31" s="127"/>
      <c r="G31" s="108"/>
      <c r="H31" s="130">
        <v>1</v>
      </c>
      <c r="I31" s="108"/>
      <c r="J31" s="127"/>
      <c r="K31" s="154"/>
      <c r="L31" s="108"/>
      <c r="M31" s="108"/>
      <c r="N31" s="108"/>
      <c r="O31" s="108"/>
      <c r="P31" s="108"/>
      <c r="Q31" s="108"/>
      <c r="R31" s="108"/>
      <c r="S31" s="108"/>
      <c r="T31" s="108"/>
      <c r="U31" s="108"/>
      <c r="V31" s="108"/>
      <c r="W31" s="108"/>
      <c r="X31" s="108"/>
    </row>
    <row r="32" spans="2:24" s="107" customFormat="1" ht="15" hidden="1" customHeight="1" outlineLevel="1" x14ac:dyDescent="0.25">
      <c r="B32" s="166" t="s">
        <v>73</v>
      </c>
      <c r="E32" s="108"/>
      <c r="F32" s="127">
        <v>1</v>
      </c>
      <c r="G32" s="108"/>
      <c r="H32" s="130"/>
      <c r="I32" s="108"/>
      <c r="J32" s="127"/>
      <c r="K32" s="154"/>
      <c r="L32" s="108"/>
      <c r="M32" s="108"/>
      <c r="N32" s="108"/>
      <c r="O32" s="108"/>
      <c r="P32" s="108"/>
      <c r="Q32" s="108"/>
      <c r="R32" s="108"/>
      <c r="S32" s="108"/>
      <c r="T32" s="108"/>
      <c r="U32" s="108"/>
      <c r="V32" s="108"/>
      <c r="W32" s="108"/>
      <c r="X32" s="108"/>
    </row>
    <row r="33" spans="2:24" s="107" customFormat="1" ht="15" hidden="1" customHeight="1" outlineLevel="1" x14ac:dyDescent="0.25">
      <c r="B33" s="166" t="s">
        <v>74</v>
      </c>
      <c r="E33" s="108"/>
      <c r="F33" s="127">
        <v>1</v>
      </c>
      <c r="G33" s="108"/>
      <c r="H33" s="130"/>
      <c r="I33" s="108"/>
      <c r="J33" s="127"/>
      <c r="K33" s="154"/>
      <c r="L33" s="108"/>
      <c r="M33" s="108"/>
      <c r="N33" s="108"/>
      <c r="O33" s="108"/>
      <c r="P33" s="108"/>
      <c r="Q33" s="108"/>
      <c r="R33" s="108"/>
      <c r="S33" s="108"/>
      <c r="T33" s="108"/>
      <c r="U33" s="108"/>
      <c r="V33" s="108"/>
      <c r="W33" s="108"/>
      <c r="X33" s="108"/>
    </row>
    <row r="34" spans="2:24" s="107" customFormat="1" ht="15" hidden="1" customHeight="1" outlineLevel="1" x14ac:dyDescent="0.25">
      <c r="B34" s="166" t="s">
        <v>75</v>
      </c>
      <c r="E34" s="108"/>
      <c r="F34" s="127"/>
      <c r="G34" s="108"/>
      <c r="H34" s="130">
        <v>1</v>
      </c>
      <c r="I34" s="108"/>
      <c r="J34" s="127"/>
      <c r="K34" s="154"/>
      <c r="L34" s="108"/>
      <c r="M34" s="108"/>
      <c r="N34" s="108"/>
      <c r="O34" s="108"/>
      <c r="P34" s="108"/>
      <c r="Q34" s="108"/>
      <c r="R34" s="108"/>
      <c r="S34" s="108"/>
      <c r="T34" s="108"/>
      <c r="U34" s="108"/>
      <c r="V34" s="108"/>
      <c r="W34" s="108"/>
      <c r="X34" s="108"/>
    </row>
    <row r="35" spans="2:24" s="107" customFormat="1" ht="15" hidden="1" customHeight="1" outlineLevel="1" x14ac:dyDescent="0.25">
      <c r="B35" s="166" t="s">
        <v>76</v>
      </c>
      <c r="E35" s="108"/>
      <c r="F35" s="127">
        <v>1</v>
      </c>
      <c r="G35" s="108"/>
      <c r="H35" s="130"/>
      <c r="I35" s="108"/>
      <c r="J35" s="127"/>
      <c r="K35" s="154"/>
      <c r="L35" s="108"/>
      <c r="M35" s="108"/>
      <c r="N35" s="108"/>
      <c r="O35" s="108"/>
      <c r="P35" s="108"/>
      <c r="Q35" s="108"/>
      <c r="R35" s="108"/>
      <c r="S35" s="108"/>
      <c r="T35" s="108"/>
      <c r="U35" s="108"/>
      <c r="V35" s="108"/>
      <c r="W35" s="108"/>
      <c r="X35" s="108"/>
    </row>
    <row r="36" spans="2:24" s="107" customFormat="1" ht="15" hidden="1" customHeight="1" outlineLevel="1" x14ac:dyDescent="0.25">
      <c r="B36" s="166" t="s">
        <v>77</v>
      </c>
      <c r="E36" s="108"/>
      <c r="F36" s="127">
        <v>1</v>
      </c>
      <c r="G36" s="108"/>
      <c r="H36" s="130"/>
      <c r="I36" s="108"/>
      <c r="J36" s="127"/>
      <c r="K36" s="154"/>
      <c r="L36" s="108"/>
      <c r="M36" s="108"/>
      <c r="N36" s="108"/>
      <c r="O36" s="108"/>
      <c r="P36" s="108"/>
      <c r="Q36" s="108"/>
      <c r="R36" s="108"/>
      <c r="S36" s="108"/>
      <c r="T36" s="108"/>
      <c r="U36" s="108"/>
      <c r="V36" s="108"/>
      <c r="W36" s="108"/>
      <c r="X36" s="108"/>
    </row>
    <row r="37" spans="2:24" s="107" customFormat="1" ht="15" hidden="1" customHeight="1" outlineLevel="1" x14ac:dyDescent="0.25">
      <c r="B37" s="166" t="s">
        <v>78</v>
      </c>
      <c r="E37" s="108"/>
      <c r="F37" s="127">
        <v>1</v>
      </c>
      <c r="G37" s="108"/>
      <c r="H37" s="130"/>
      <c r="I37" s="108"/>
      <c r="J37" s="127"/>
      <c r="K37" s="154"/>
      <c r="L37" s="108"/>
      <c r="M37" s="108"/>
      <c r="N37" s="108"/>
      <c r="O37" s="108"/>
      <c r="P37" s="108"/>
      <c r="Q37" s="108"/>
      <c r="R37" s="108"/>
      <c r="S37" s="108"/>
      <c r="T37" s="108"/>
      <c r="U37" s="108"/>
      <c r="V37" s="108"/>
      <c r="W37" s="108"/>
      <c r="X37" s="108"/>
    </row>
    <row r="38" spans="2:24" s="107" customFormat="1" ht="15" hidden="1" customHeight="1" outlineLevel="1" x14ac:dyDescent="0.25">
      <c r="B38" s="166" t="s">
        <v>41</v>
      </c>
      <c r="E38" s="108"/>
      <c r="F38" s="127"/>
      <c r="G38" s="108"/>
      <c r="H38" s="130"/>
      <c r="I38" s="108"/>
      <c r="J38" s="127">
        <v>1</v>
      </c>
      <c r="K38" s="154"/>
      <c r="L38" s="108"/>
      <c r="M38" s="108"/>
      <c r="N38" s="108"/>
      <c r="O38" s="108"/>
      <c r="P38" s="108"/>
      <c r="Q38" s="108"/>
      <c r="R38" s="108"/>
      <c r="S38" s="108"/>
      <c r="T38" s="108"/>
      <c r="U38" s="108"/>
      <c r="V38" s="108"/>
      <c r="W38" s="108"/>
      <c r="X38" s="108"/>
    </row>
    <row r="39" spans="2:24" s="107" customFormat="1" ht="15" hidden="1" customHeight="1" outlineLevel="1" x14ac:dyDescent="0.25">
      <c r="B39" s="166" t="s">
        <v>79</v>
      </c>
      <c r="E39" s="108"/>
      <c r="F39" s="187">
        <v>1</v>
      </c>
      <c r="G39" s="108"/>
      <c r="H39" s="189"/>
      <c r="I39" s="108"/>
      <c r="J39" s="187"/>
      <c r="K39" s="154"/>
      <c r="L39" s="108"/>
      <c r="M39" s="108"/>
      <c r="N39" s="108"/>
      <c r="O39" s="108"/>
      <c r="P39" s="108"/>
      <c r="Q39" s="108"/>
      <c r="R39" s="108"/>
      <c r="S39" s="108"/>
      <c r="T39" s="108"/>
      <c r="U39" s="108"/>
      <c r="V39" s="108"/>
      <c r="W39" s="108"/>
      <c r="X39" s="108"/>
    </row>
    <row r="40" spans="2:24" s="107" customFormat="1" ht="15" customHeight="1" collapsed="1" x14ac:dyDescent="0.25">
      <c r="B40" s="126" t="s">
        <v>80</v>
      </c>
      <c r="C40" s="155"/>
      <c r="D40" s="155"/>
      <c r="E40" s="156"/>
      <c r="F40" s="117">
        <f>SUM(F41:F44)</f>
        <v>2</v>
      </c>
      <c r="G40" s="156"/>
      <c r="H40" s="129">
        <f>SUM(H41:H44)</f>
        <v>0</v>
      </c>
      <c r="I40" s="156"/>
      <c r="J40" s="117">
        <f>SUM(J41:J44)</f>
        <v>2</v>
      </c>
      <c r="K40" s="118"/>
      <c r="L40" s="108"/>
      <c r="M40" s="108"/>
      <c r="N40" s="108"/>
      <c r="O40" s="108"/>
      <c r="P40" s="108"/>
      <c r="Q40" s="108"/>
      <c r="R40" s="108"/>
      <c r="S40" s="108"/>
      <c r="T40" s="108"/>
      <c r="U40" s="108"/>
      <c r="V40" s="108"/>
      <c r="W40" s="108"/>
      <c r="X40" s="108"/>
    </row>
    <row r="41" spans="2:24" s="107" customFormat="1" ht="15" hidden="1" customHeight="1" outlineLevel="1" x14ac:dyDescent="0.25">
      <c r="B41" s="166" t="s">
        <v>81</v>
      </c>
      <c r="E41" s="108"/>
      <c r="F41" s="186"/>
      <c r="G41" s="108"/>
      <c r="H41" s="188"/>
      <c r="I41" s="108"/>
      <c r="J41" s="186">
        <v>1</v>
      </c>
      <c r="K41" s="154"/>
      <c r="L41" s="108"/>
      <c r="M41" s="108"/>
      <c r="N41" s="108"/>
      <c r="O41" s="108"/>
      <c r="P41" s="108"/>
      <c r="Q41" s="108"/>
      <c r="R41" s="108"/>
      <c r="S41" s="108"/>
      <c r="T41" s="108"/>
      <c r="U41" s="108"/>
      <c r="V41" s="108"/>
      <c r="W41" s="108"/>
      <c r="X41" s="108"/>
    </row>
    <row r="42" spans="2:24" s="107" customFormat="1" ht="15" hidden="1" customHeight="1" outlineLevel="1" x14ac:dyDescent="0.25">
      <c r="B42" s="166" t="s">
        <v>82</v>
      </c>
      <c r="E42" s="108"/>
      <c r="F42" s="127"/>
      <c r="G42" s="108"/>
      <c r="H42" s="130"/>
      <c r="I42" s="108"/>
      <c r="J42" s="127">
        <v>1</v>
      </c>
      <c r="K42" s="154"/>
      <c r="L42" s="108"/>
      <c r="M42" s="108"/>
      <c r="N42" s="108"/>
      <c r="O42" s="108"/>
      <c r="P42" s="108"/>
      <c r="Q42" s="108"/>
      <c r="R42" s="108"/>
      <c r="S42" s="108"/>
      <c r="T42" s="108"/>
      <c r="U42" s="108"/>
      <c r="V42" s="108"/>
      <c r="W42" s="108"/>
      <c r="X42" s="108"/>
    </row>
    <row r="43" spans="2:24" s="107" customFormat="1" ht="15" hidden="1" customHeight="1" outlineLevel="1" x14ac:dyDescent="0.25">
      <c r="B43" s="166" t="s">
        <v>83</v>
      </c>
      <c r="E43" s="108"/>
      <c r="F43" s="127">
        <v>1</v>
      </c>
      <c r="G43" s="108"/>
      <c r="H43" s="130"/>
      <c r="I43" s="108"/>
      <c r="J43" s="127"/>
      <c r="K43" s="154"/>
      <c r="L43" s="108"/>
      <c r="M43" s="108"/>
      <c r="N43" s="108"/>
      <c r="O43" s="108"/>
      <c r="P43" s="108"/>
      <c r="Q43" s="108"/>
      <c r="R43" s="108"/>
      <c r="S43" s="108"/>
      <c r="T43" s="108"/>
      <c r="U43" s="108"/>
      <c r="V43" s="108"/>
      <c r="W43" s="108"/>
      <c r="X43" s="108"/>
    </row>
    <row r="44" spans="2:24" s="107" customFormat="1" ht="15" hidden="1" customHeight="1" outlineLevel="1" x14ac:dyDescent="0.25">
      <c r="B44" s="166" t="s">
        <v>84</v>
      </c>
      <c r="E44" s="108"/>
      <c r="F44" s="187">
        <v>1</v>
      </c>
      <c r="G44" s="108"/>
      <c r="H44" s="189"/>
      <c r="I44" s="108"/>
      <c r="J44" s="187"/>
      <c r="K44" s="154"/>
      <c r="L44" s="108"/>
      <c r="M44" s="108"/>
      <c r="N44" s="108"/>
      <c r="O44" s="108"/>
      <c r="P44" s="108"/>
      <c r="Q44" s="108"/>
      <c r="R44" s="108"/>
      <c r="S44" s="108"/>
      <c r="T44" s="108"/>
      <c r="U44" s="108"/>
      <c r="V44" s="108"/>
      <c r="W44" s="108"/>
      <c r="X44" s="108"/>
    </row>
    <row r="45" spans="2:24" s="107" customFormat="1" ht="15" customHeight="1" collapsed="1" x14ac:dyDescent="0.25">
      <c r="B45" s="166" t="s">
        <v>85</v>
      </c>
      <c r="E45" s="108"/>
      <c r="F45" s="114">
        <f>SUM(F46:F69)</f>
        <v>16</v>
      </c>
      <c r="G45" s="108"/>
      <c r="H45" s="153">
        <f>SUM(H46:H69)</f>
        <v>4</v>
      </c>
      <c r="I45" s="108"/>
      <c r="J45" s="114">
        <f>SUM(J46:J69)</f>
        <v>4</v>
      </c>
      <c r="K45" s="154"/>
      <c r="L45" s="108"/>
      <c r="M45" s="108"/>
      <c r="N45" s="108"/>
      <c r="O45" s="108"/>
      <c r="P45" s="108"/>
      <c r="Q45" s="108"/>
      <c r="R45" s="108"/>
      <c r="S45" s="108"/>
      <c r="T45" s="108"/>
      <c r="U45" s="108"/>
      <c r="V45" s="108"/>
      <c r="W45" s="108"/>
      <c r="X45" s="108"/>
    </row>
    <row r="46" spans="2:24" s="107" customFormat="1" ht="15" hidden="1" customHeight="1" outlineLevel="1" x14ac:dyDescent="0.25">
      <c r="B46" s="166" t="s">
        <v>86</v>
      </c>
      <c r="E46" s="108"/>
      <c r="F46" s="186"/>
      <c r="G46" s="108"/>
      <c r="H46" s="188">
        <v>1</v>
      </c>
      <c r="I46" s="108"/>
      <c r="J46" s="186"/>
      <c r="K46" s="154"/>
      <c r="L46" s="108"/>
      <c r="M46" s="108"/>
      <c r="N46" s="108"/>
      <c r="O46" s="108"/>
      <c r="P46" s="108"/>
      <c r="Q46" s="108"/>
      <c r="R46" s="108"/>
      <c r="S46" s="108"/>
      <c r="T46" s="108"/>
      <c r="U46" s="108"/>
      <c r="V46" s="108"/>
      <c r="W46" s="108"/>
      <c r="X46" s="108"/>
    </row>
    <row r="47" spans="2:24" s="107" customFormat="1" ht="15" hidden="1" customHeight="1" outlineLevel="1" x14ac:dyDescent="0.25">
      <c r="B47" s="166" t="s">
        <v>87</v>
      </c>
      <c r="E47" s="108"/>
      <c r="F47" s="127">
        <v>1</v>
      </c>
      <c r="G47" s="108"/>
      <c r="H47" s="130"/>
      <c r="I47" s="108"/>
      <c r="J47" s="127"/>
      <c r="K47" s="154"/>
      <c r="L47" s="108"/>
      <c r="M47" s="108"/>
      <c r="N47" s="108"/>
      <c r="O47" s="108"/>
      <c r="P47" s="108"/>
      <c r="Q47" s="108"/>
      <c r="R47" s="108"/>
      <c r="S47" s="108"/>
      <c r="T47" s="108"/>
      <c r="U47" s="108"/>
      <c r="V47" s="108"/>
      <c r="W47" s="108"/>
      <c r="X47" s="108"/>
    </row>
    <row r="48" spans="2:24" s="107" customFormat="1" ht="15" hidden="1" customHeight="1" outlineLevel="1" x14ac:dyDescent="0.25">
      <c r="B48" s="166" t="s">
        <v>88</v>
      </c>
      <c r="E48" s="108"/>
      <c r="F48" s="127"/>
      <c r="G48" s="108"/>
      <c r="H48" s="130"/>
      <c r="I48" s="108"/>
      <c r="J48" s="127">
        <v>1</v>
      </c>
      <c r="K48" s="154"/>
      <c r="L48" s="108"/>
      <c r="M48" s="108"/>
      <c r="N48" s="108"/>
      <c r="O48" s="108"/>
      <c r="P48" s="108"/>
      <c r="Q48" s="108"/>
      <c r="R48" s="108"/>
      <c r="S48" s="108"/>
      <c r="T48" s="108"/>
      <c r="U48" s="108"/>
      <c r="V48" s="108"/>
      <c r="W48" s="108"/>
      <c r="X48" s="108"/>
    </row>
    <row r="49" spans="2:24" s="107" customFormat="1" ht="15" hidden="1" customHeight="1" outlineLevel="1" x14ac:dyDescent="0.25">
      <c r="B49" s="166" t="s">
        <v>89</v>
      </c>
      <c r="E49" s="108"/>
      <c r="F49" s="127">
        <v>1</v>
      </c>
      <c r="G49" s="108"/>
      <c r="H49" s="130"/>
      <c r="I49" s="108"/>
      <c r="J49" s="127"/>
      <c r="K49" s="154"/>
      <c r="L49" s="108"/>
      <c r="M49" s="108"/>
      <c r="N49" s="108"/>
      <c r="O49" s="108"/>
      <c r="P49" s="108"/>
      <c r="Q49" s="108"/>
      <c r="R49" s="108"/>
      <c r="S49" s="108"/>
      <c r="T49" s="108"/>
      <c r="U49" s="108"/>
      <c r="V49" s="108"/>
      <c r="W49" s="108"/>
      <c r="X49" s="108"/>
    </row>
    <row r="50" spans="2:24" s="107" customFormat="1" ht="15" hidden="1" customHeight="1" outlineLevel="1" x14ac:dyDescent="0.25">
      <c r="B50" s="166" t="s">
        <v>90</v>
      </c>
      <c r="E50" s="108"/>
      <c r="F50" s="127">
        <v>1</v>
      </c>
      <c r="G50" s="108"/>
      <c r="H50" s="130"/>
      <c r="I50" s="108"/>
      <c r="J50" s="127"/>
      <c r="K50" s="154"/>
      <c r="L50" s="108"/>
      <c r="M50" s="108"/>
      <c r="N50" s="108"/>
      <c r="O50" s="108"/>
      <c r="P50" s="108"/>
      <c r="Q50" s="108"/>
      <c r="R50" s="108"/>
      <c r="S50" s="108"/>
      <c r="T50" s="108"/>
      <c r="U50" s="108"/>
      <c r="V50" s="108"/>
      <c r="W50" s="108"/>
      <c r="X50" s="108"/>
    </row>
    <row r="51" spans="2:24" s="107" customFormat="1" ht="15" hidden="1" customHeight="1" outlineLevel="1" x14ac:dyDescent="0.25">
      <c r="B51" s="166" t="s">
        <v>54</v>
      </c>
      <c r="E51" s="108"/>
      <c r="F51" s="127">
        <v>1</v>
      </c>
      <c r="G51" s="108"/>
      <c r="H51" s="130"/>
      <c r="I51" s="108"/>
      <c r="J51" s="127"/>
      <c r="K51" s="154"/>
      <c r="L51" s="108"/>
      <c r="M51" s="108"/>
      <c r="N51" s="108"/>
      <c r="O51" s="108"/>
      <c r="P51" s="108"/>
      <c r="Q51" s="108"/>
      <c r="R51" s="108"/>
      <c r="S51" s="108"/>
      <c r="T51" s="108"/>
      <c r="U51" s="108"/>
      <c r="V51" s="108"/>
      <c r="W51" s="108"/>
      <c r="X51" s="108"/>
    </row>
    <row r="52" spans="2:24" s="107" customFormat="1" ht="15" hidden="1" customHeight="1" outlineLevel="1" x14ac:dyDescent="0.25">
      <c r="B52" s="166" t="s">
        <v>91</v>
      </c>
      <c r="E52" s="108"/>
      <c r="F52" s="127"/>
      <c r="G52" s="108"/>
      <c r="H52" s="130"/>
      <c r="I52" s="108"/>
      <c r="J52" s="127">
        <v>1</v>
      </c>
      <c r="K52" s="154"/>
      <c r="L52" s="108"/>
      <c r="M52" s="108"/>
      <c r="N52" s="108"/>
      <c r="O52" s="108"/>
      <c r="P52" s="108"/>
      <c r="Q52" s="108"/>
      <c r="R52" s="108"/>
      <c r="S52" s="108"/>
      <c r="T52" s="108"/>
      <c r="U52" s="108"/>
      <c r="V52" s="108"/>
      <c r="W52" s="108"/>
      <c r="X52" s="108"/>
    </row>
    <row r="53" spans="2:24" s="107" customFormat="1" ht="15" hidden="1" customHeight="1" outlineLevel="1" x14ac:dyDescent="0.25">
      <c r="B53" s="166" t="s">
        <v>92</v>
      </c>
      <c r="E53" s="108"/>
      <c r="F53" s="127"/>
      <c r="G53" s="108"/>
      <c r="H53" s="130">
        <v>1</v>
      </c>
      <c r="I53" s="108"/>
      <c r="J53" s="127"/>
      <c r="K53" s="154"/>
      <c r="L53" s="108"/>
      <c r="M53" s="108"/>
      <c r="N53" s="108"/>
      <c r="O53" s="108"/>
      <c r="P53" s="108"/>
      <c r="Q53" s="108"/>
      <c r="R53" s="108"/>
      <c r="S53" s="108"/>
      <c r="T53" s="108"/>
      <c r="U53" s="108"/>
      <c r="V53" s="108"/>
      <c r="W53" s="108"/>
      <c r="X53" s="108"/>
    </row>
    <row r="54" spans="2:24" s="107" customFormat="1" ht="15" hidden="1" customHeight="1" outlineLevel="1" x14ac:dyDescent="0.25">
      <c r="B54" s="166" t="s">
        <v>93</v>
      </c>
      <c r="E54" s="108"/>
      <c r="F54" s="127">
        <v>1</v>
      </c>
      <c r="G54" s="108"/>
      <c r="H54" s="130"/>
      <c r="I54" s="108"/>
      <c r="J54" s="127"/>
      <c r="K54" s="154"/>
      <c r="L54" s="108"/>
      <c r="M54" s="108"/>
      <c r="N54" s="108"/>
      <c r="O54" s="108"/>
      <c r="P54" s="108"/>
      <c r="Q54" s="108"/>
      <c r="R54" s="108"/>
      <c r="S54" s="108"/>
      <c r="T54" s="108"/>
      <c r="U54" s="108"/>
      <c r="V54" s="108"/>
      <c r="W54" s="108"/>
      <c r="X54" s="108"/>
    </row>
    <row r="55" spans="2:24" s="107" customFormat="1" ht="15" hidden="1" customHeight="1" outlineLevel="1" x14ac:dyDescent="0.25">
      <c r="B55" s="166" t="s">
        <v>42</v>
      </c>
      <c r="E55" s="108"/>
      <c r="F55" s="127"/>
      <c r="G55" s="108"/>
      <c r="H55" s="130">
        <v>1</v>
      </c>
      <c r="I55" s="108"/>
      <c r="J55" s="127"/>
      <c r="K55" s="154"/>
      <c r="L55" s="108"/>
      <c r="M55" s="108"/>
      <c r="N55" s="108"/>
      <c r="O55" s="108"/>
      <c r="P55" s="108"/>
      <c r="Q55" s="108"/>
      <c r="R55" s="108"/>
      <c r="S55" s="108"/>
      <c r="T55" s="108"/>
      <c r="U55" s="108"/>
      <c r="V55" s="108"/>
      <c r="W55" s="108"/>
      <c r="X55" s="108"/>
    </row>
    <row r="56" spans="2:24" s="107" customFormat="1" ht="15" hidden="1" customHeight="1" outlineLevel="1" x14ac:dyDescent="0.25">
      <c r="B56" s="166" t="s">
        <v>94</v>
      </c>
      <c r="E56" s="108"/>
      <c r="F56" s="127">
        <v>1</v>
      </c>
      <c r="G56" s="108"/>
      <c r="H56" s="130"/>
      <c r="I56" s="108"/>
      <c r="J56" s="127"/>
      <c r="K56" s="154"/>
      <c r="L56" s="108"/>
      <c r="M56" s="108"/>
      <c r="N56" s="108"/>
      <c r="O56" s="108"/>
      <c r="P56" s="108"/>
      <c r="Q56" s="108"/>
      <c r="R56" s="108"/>
      <c r="S56" s="108"/>
      <c r="T56" s="108"/>
      <c r="U56" s="108"/>
      <c r="V56" s="108"/>
      <c r="W56" s="108"/>
      <c r="X56" s="108"/>
    </row>
    <row r="57" spans="2:24" s="107" customFormat="1" ht="15" hidden="1" customHeight="1" outlineLevel="1" x14ac:dyDescent="0.25">
      <c r="B57" s="166" t="s">
        <v>43</v>
      </c>
      <c r="E57" s="108"/>
      <c r="F57" s="127"/>
      <c r="G57" s="108"/>
      <c r="H57" s="130">
        <v>1</v>
      </c>
      <c r="I57" s="108"/>
      <c r="J57" s="127"/>
      <c r="K57" s="154"/>
      <c r="L57" s="108"/>
      <c r="M57" s="108"/>
      <c r="N57" s="108"/>
      <c r="O57" s="108"/>
      <c r="P57" s="108"/>
      <c r="Q57" s="108"/>
      <c r="R57" s="108"/>
      <c r="S57" s="108"/>
      <c r="T57" s="108"/>
      <c r="U57" s="108"/>
      <c r="V57" s="108"/>
      <c r="W57" s="108"/>
      <c r="X57" s="108"/>
    </row>
    <row r="58" spans="2:24" s="107" customFormat="1" ht="15" hidden="1" customHeight="1" outlineLevel="1" x14ac:dyDescent="0.25">
      <c r="B58" s="166" t="s">
        <v>44</v>
      </c>
      <c r="E58" s="108"/>
      <c r="F58" s="127"/>
      <c r="G58" s="108"/>
      <c r="H58" s="130"/>
      <c r="I58" s="108"/>
      <c r="J58" s="127">
        <v>1</v>
      </c>
      <c r="K58" s="154"/>
      <c r="L58" s="108"/>
      <c r="M58" s="108"/>
      <c r="N58" s="108"/>
      <c r="O58" s="108"/>
      <c r="P58" s="108"/>
      <c r="Q58" s="108"/>
      <c r="R58" s="108"/>
      <c r="S58" s="108"/>
      <c r="T58" s="108"/>
      <c r="U58" s="108"/>
      <c r="V58" s="108"/>
      <c r="W58" s="108"/>
      <c r="X58" s="108"/>
    </row>
    <row r="59" spans="2:24" s="107" customFormat="1" ht="15" hidden="1" customHeight="1" outlineLevel="1" x14ac:dyDescent="0.25">
      <c r="B59" s="166" t="s">
        <v>95</v>
      </c>
      <c r="E59" s="108"/>
      <c r="F59" s="127">
        <v>1</v>
      </c>
      <c r="G59" s="108"/>
      <c r="H59" s="130"/>
      <c r="I59" s="108"/>
      <c r="J59" s="127"/>
      <c r="K59" s="154"/>
      <c r="L59" s="108"/>
      <c r="M59" s="108"/>
      <c r="N59" s="108"/>
      <c r="O59" s="108"/>
      <c r="P59" s="108"/>
      <c r="Q59" s="108"/>
      <c r="R59" s="108"/>
      <c r="S59" s="108"/>
      <c r="T59" s="108"/>
      <c r="U59" s="108"/>
      <c r="V59" s="108"/>
      <c r="W59" s="108"/>
      <c r="X59" s="108"/>
    </row>
    <row r="60" spans="2:24" s="107" customFormat="1" ht="15" hidden="1" customHeight="1" outlineLevel="1" x14ac:dyDescent="0.25">
      <c r="B60" s="166" t="s">
        <v>96</v>
      </c>
      <c r="E60" s="108"/>
      <c r="F60" s="127">
        <v>1</v>
      </c>
      <c r="G60" s="108"/>
      <c r="H60" s="130"/>
      <c r="I60" s="108"/>
      <c r="J60" s="127"/>
      <c r="K60" s="154"/>
      <c r="L60" s="108"/>
      <c r="M60" s="108"/>
      <c r="N60" s="108"/>
      <c r="O60" s="108"/>
      <c r="P60" s="108"/>
      <c r="Q60" s="108"/>
      <c r="R60" s="108"/>
      <c r="S60" s="108"/>
      <c r="T60" s="108"/>
      <c r="U60" s="108"/>
      <c r="V60" s="108"/>
      <c r="W60" s="108"/>
      <c r="X60" s="108"/>
    </row>
    <row r="61" spans="2:24" s="107" customFormat="1" ht="15" hidden="1" customHeight="1" outlineLevel="1" x14ac:dyDescent="0.25">
      <c r="B61" s="166" t="s">
        <v>97</v>
      </c>
      <c r="E61" s="108"/>
      <c r="F61" s="127">
        <v>1</v>
      </c>
      <c r="G61" s="108"/>
      <c r="H61" s="130"/>
      <c r="I61" s="108"/>
      <c r="J61" s="127"/>
      <c r="K61" s="154"/>
      <c r="L61" s="108"/>
      <c r="M61" s="108"/>
      <c r="N61" s="108"/>
      <c r="O61" s="108"/>
      <c r="P61" s="108"/>
      <c r="Q61" s="108"/>
      <c r="R61" s="108"/>
      <c r="S61" s="108"/>
      <c r="T61" s="108"/>
      <c r="U61" s="108"/>
      <c r="V61" s="108"/>
      <c r="W61" s="108"/>
      <c r="X61" s="108"/>
    </row>
    <row r="62" spans="2:24" s="107" customFormat="1" ht="15" hidden="1" customHeight="1" outlineLevel="1" x14ac:dyDescent="0.25">
      <c r="B62" s="166" t="s">
        <v>98</v>
      </c>
      <c r="E62" s="108"/>
      <c r="F62" s="127">
        <v>1</v>
      </c>
      <c r="G62" s="108"/>
      <c r="H62" s="130"/>
      <c r="I62" s="108"/>
      <c r="J62" s="127"/>
      <c r="K62" s="154"/>
      <c r="L62" s="108"/>
      <c r="M62" s="108"/>
      <c r="N62" s="108"/>
      <c r="O62" s="108"/>
      <c r="P62" s="108"/>
      <c r="Q62" s="108"/>
      <c r="R62" s="108"/>
      <c r="S62" s="108"/>
      <c r="T62" s="108"/>
      <c r="U62" s="108"/>
      <c r="V62" s="108"/>
      <c r="W62" s="108"/>
      <c r="X62" s="108"/>
    </row>
    <row r="63" spans="2:24" s="107" customFormat="1" ht="15" hidden="1" customHeight="1" outlineLevel="1" x14ac:dyDescent="0.25">
      <c r="B63" s="166" t="s">
        <v>46</v>
      </c>
      <c r="E63" s="108"/>
      <c r="F63" s="127">
        <v>1</v>
      </c>
      <c r="G63" s="108"/>
      <c r="H63" s="130"/>
      <c r="I63" s="108"/>
      <c r="J63" s="127"/>
      <c r="K63" s="154"/>
      <c r="L63" s="108"/>
      <c r="M63" s="108"/>
      <c r="N63" s="108"/>
      <c r="O63" s="108"/>
      <c r="P63" s="108"/>
      <c r="Q63" s="108"/>
      <c r="R63" s="108"/>
      <c r="S63" s="108"/>
      <c r="T63" s="108"/>
      <c r="U63" s="108"/>
      <c r="V63" s="108"/>
      <c r="W63" s="108"/>
      <c r="X63" s="108"/>
    </row>
    <row r="64" spans="2:24" s="107" customFormat="1" ht="15" hidden="1" customHeight="1" outlineLevel="1" x14ac:dyDescent="0.25">
      <c r="B64" s="166" t="s">
        <v>45</v>
      </c>
      <c r="E64" s="108"/>
      <c r="F64" s="127"/>
      <c r="G64" s="108"/>
      <c r="H64" s="130"/>
      <c r="I64" s="108"/>
      <c r="J64" s="127">
        <v>1</v>
      </c>
      <c r="K64" s="154"/>
      <c r="L64" s="108"/>
      <c r="M64" s="108"/>
      <c r="N64" s="108"/>
      <c r="O64" s="108"/>
      <c r="P64" s="108"/>
      <c r="Q64" s="108"/>
      <c r="R64" s="108"/>
      <c r="S64" s="108"/>
      <c r="T64" s="108"/>
      <c r="U64" s="108"/>
      <c r="V64" s="108"/>
      <c r="W64" s="108"/>
      <c r="X64" s="108"/>
    </row>
    <row r="65" spans="2:26" s="107" customFormat="1" ht="15" hidden="1" customHeight="1" outlineLevel="1" x14ac:dyDescent="0.25">
      <c r="B65" s="166" t="s">
        <v>99</v>
      </c>
      <c r="E65" s="108"/>
      <c r="F65" s="127">
        <v>1</v>
      </c>
      <c r="G65" s="108"/>
      <c r="H65" s="130"/>
      <c r="I65" s="108"/>
      <c r="J65" s="127"/>
      <c r="K65" s="154"/>
      <c r="L65" s="108"/>
      <c r="M65" s="108"/>
      <c r="N65" s="108"/>
      <c r="O65" s="108"/>
      <c r="P65" s="108"/>
      <c r="Q65" s="108"/>
      <c r="R65" s="108"/>
      <c r="S65" s="108"/>
      <c r="T65" s="108"/>
      <c r="U65" s="108"/>
      <c r="V65" s="108"/>
      <c r="W65" s="108"/>
      <c r="X65" s="108"/>
    </row>
    <row r="66" spans="2:26" s="107" customFormat="1" ht="15" hidden="1" customHeight="1" outlineLevel="1" x14ac:dyDescent="0.25">
      <c r="B66" s="166" t="s">
        <v>100</v>
      </c>
      <c r="E66" s="108"/>
      <c r="F66" s="127">
        <v>1</v>
      </c>
      <c r="G66" s="108"/>
      <c r="H66" s="130"/>
      <c r="I66" s="108"/>
      <c r="J66" s="127"/>
      <c r="K66" s="154"/>
      <c r="L66" s="108"/>
      <c r="M66" s="108"/>
      <c r="N66" s="108"/>
      <c r="O66" s="108"/>
      <c r="P66" s="108"/>
      <c r="Q66" s="108"/>
      <c r="R66" s="108"/>
      <c r="S66" s="108"/>
      <c r="T66" s="108"/>
      <c r="U66" s="108"/>
      <c r="V66" s="108"/>
      <c r="W66" s="108"/>
      <c r="X66" s="108"/>
    </row>
    <row r="67" spans="2:26" s="107" customFormat="1" ht="15" hidden="1" customHeight="1" outlineLevel="1" x14ac:dyDescent="0.25">
      <c r="B67" s="166" t="s">
        <v>101</v>
      </c>
      <c r="E67" s="108"/>
      <c r="F67" s="127">
        <v>1</v>
      </c>
      <c r="G67" s="108"/>
      <c r="H67" s="130"/>
      <c r="I67" s="108"/>
      <c r="J67" s="127"/>
      <c r="K67" s="154"/>
      <c r="L67" s="108"/>
      <c r="M67" s="108"/>
      <c r="N67" s="108"/>
      <c r="O67" s="108"/>
      <c r="P67" s="108"/>
      <c r="Q67" s="108"/>
      <c r="R67" s="108"/>
      <c r="S67" s="108"/>
      <c r="T67" s="108"/>
      <c r="U67" s="108"/>
      <c r="V67" s="108"/>
      <c r="W67" s="108"/>
      <c r="X67" s="108"/>
    </row>
    <row r="68" spans="2:26" s="107" customFormat="1" ht="15" hidden="1" customHeight="1" outlineLevel="1" x14ac:dyDescent="0.25">
      <c r="B68" s="166" t="s">
        <v>102</v>
      </c>
      <c r="E68" s="108"/>
      <c r="F68" s="127">
        <v>1</v>
      </c>
      <c r="G68" s="108"/>
      <c r="H68" s="130"/>
      <c r="I68" s="108"/>
      <c r="J68" s="127"/>
      <c r="K68" s="154"/>
      <c r="L68" s="108"/>
      <c r="M68" s="108"/>
      <c r="N68" s="108"/>
      <c r="O68" s="108"/>
      <c r="P68" s="108"/>
      <c r="Q68" s="108"/>
      <c r="R68" s="108"/>
      <c r="S68" s="108"/>
      <c r="T68" s="108"/>
      <c r="U68" s="108"/>
      <c r="V68" s="108"/>
      <c r="W68" s="108"/>
      <c r="X68" s="108"/>
    </row>
    <row r="69" spans="2:26" s="107" customFormat="1" ht="15" hidden="1" customHeight="1" outlineLevel="1" x14ac:dyDescent="0.25">
      <c r="B69" s="166" t="s">
        <v>103</v>
      </c>
      <c r="E69" s="108"/>
      <c r="F69" s="187">
        <v>1</v>
      </c>
      <c r="G69" s="108"/>
      <c r="H69" s="189"/>
      <c r="I69" s="108"/>
      <c r="J69" s="187"/>
      <c r="K69" s="154"/>
      <c r="L69" s="108"/>
      <c r="M69" s="108"/>
      <c r="N69" s="108"/>
      <c r="O69" s="108"/>
      <c r="P69" s="108"/>
      <c r="Q69" s="108"/>
      <c r="R69" s="108"/>
      <c r="S69" s="108"/>
      <c r="T69" s="108"/>
      <c r="U69" s="108"/>
      <c r="V69" s="108"/>
      <c r="W69" s="108"/>
      <c r="X69" s="108"/>
    </row>
    <row r="70" spans="2:26" s="107" customFormat="1" ht="15" customHeight="1" collapsed="1" x14ac:dyDescent="0.25">
      <c r="B70" s="126" t="s">
        <v>104</v>
      </c>
      <c r="C70" s="155"/>
      <c r="D70" s="155"/>
      <c r="E70" s="156"/>
      <c r="F70" s="117">
        <f>F71</f>
        <v>1</v>
      </c>
      <c r="G70" s="156"/>
      <c r="H70" s="129">
        <f>H71</f>
        <v>0</v>
      </c>
      <c r="I70" s="156"/>
      <c r="J70" s="117">
        <f>J71</f>
        <v>0</v>
      </c>
      <c r="K70" s="118"/>
      <c r="L70" s="108"/>
      <c r="M70" s="108"/>
      <c r="N70" s="108"/>
      <c r="O70" s="108"/>
      <c r="P70" s="108"/>
      <c r="Q70" s="108"/>
      <c r="R70" s="108"/>
      <c r="S70" s="108"/>
      <c r="T70" s="108"/>
      <c r="U70" s="108"/>
      <c r="V70" s="108"/>
      <c r="W70" s="108"/>
      <c r="X70" s="108"/>
    </row>
    <row r="71" spans="2:26" s="107" customFormat="1" ht="15" hidden="1" customHeight="1" outlineLevel="1" x14ac:dyDescent="0.25">
      <c r="B71" s="166" t="s">
        <v>105</v>
      </c>
      <c r="E71" s="108"/>
      <c r="F71" s="190">
        <v>1</v>
      </c>
      <c r="G71" s="108"/>
      <c r="H71" s="185"/>
      <c r="I71" s="108"/>
      <c r="J71" s="190"/>
      <c r="K71" s="154"/>
      <c r="L71" s="108"/>
      <c r="M71" s="108"/>
      <c r="N71" s="108"/>
      <c r="O71" s="108"/>
      <c r="P71" s="108"/>
      <c r="Q71" s="108"/>
      <c r="R71" s="108"/>
      <c r="S71" s="108"/>
      <c r="T71" s="108"/>
      <c r="U71" s="108"/>
      <c r="V71" s="108"/>
      <c r="W71" s="108"/>
      <c r="X71" s="108"/>
    </row>
    <row r="72" spans="2:26" s="107" customFormat="1" ht="15" customHeight="1" collapsed="1" x14ac:dyDescent="0.25">
      <c r="B72" s="159"/>
      <c r="C72" s="119"/>
      <c r="D72" s="119"/>
      <c r="E72" s="160"/>
      <c r="F72" s="161"/>
      <c r="G72" s="160"/>
      <c r="H72" s="162"/>
      <c r="I72" s="160"/>
      <c r="J72" s="161"/>
      <c r="K72" s="163"/>
      <c r="L72" s="108"/>
      <c r="M72" s="108"/>
      <c r="N72" s="108"/>
      <c r="O72" s="108"/>
      <c r="P72" s="108"/>
      <c r="Q72" s="108"/>
      <c r="R72" s="108"/>
      <c r="S72" s="108"/>
      <c r="T72" s="108"/>
      <c r="U72" s="108"/>
      <c r="V72" s="108"/>
      <c r="W72" s="108"/>
      <c r="X72" s="108"/>
    </row>
    <row r="73" spans="2:26" s="107" customFormat="1" ht="13.2" customHeight="1" x14ac:dyDescent="0.25">
      <c r="B73" s="164"/>
      <c r="E73" s="108"/>
      <c r="F73" s="165"/>
      <c r="G73" s="108"/>
      <c r="H73" s="108"/>
      <c r="I73" s="108"/>
      <c r="J73" s="108"/>
      <c r="K73" s="108"/>
      <c r="L73" s="165"/>
      <c r="M73" s="108"/>
      <c r="N73" s="108"/>
      <c r="O73" s="108"/>
      <c r="P73" s="108"/>
      <c r="Q73" s="108"/>
      <c r="R73" s="108"/>
      <c r="S73" s="108"/>
      <c r="T73" s="108"/>
      <c r="U73" s="108"/>
      <c r="V73" s="108"/>
      <c r="W73" s="108"/>
      <c r="X73" s="108"/>
      <c r="Y73" s="108"/>
      <c r="Z73" s="108"/>
    </row>
    <row r="74" spans="2:26" s="107" customFormat="1" ht="13.2" customHeight="1" x14ac:dyDescent="0.25">
      <c r="B74" s="164"/>
      <c r="E74" s="108"/>
      <c r="F74" s="165"/>
      <c r="G74" s="108"/>
      <c r="H74" s="108"/>
      <c r="I74" s="108"/>
      <c r="J74" s="108"/>
      <c r="K74" s="108"/>
      <c r="L74" s="165"/>
      <c r="M74" s="108"/>
      <c r="N74" s="108"/>
      <c r="O74" s="108"/>
      <c r="P74" s="108"/>
      <c r="Q74" s="108"/>
      <c r="R74" s="108"/>
      <c r="S74" s="108"/>
      <c r="T74" s="108"/>
      <c r="U74" s="108"/>
      <c r="V74" s="108"/>
      <c r="W74" s="108"/>
      <c r="X74" s="108"/>
      <c r="Y74" s="108"/>
      <c r="Z74" s="108"/>
    </row>
    <row r="75" spans="2:26" s="107" customFormat="1" ht="13.2" customHeight="1" x14ac:dyDescent="0.25">
      <c r="B75" s="148" t="s">
        <v>380</v>
      </c>
      <c r="E75" s="108"/>
      <c r="F75" s="165"/>
      <c r="G75" s="108"/>
      <c r="H75" s="108"/>
      <c r="I75" s="108"/>
      <c r="J75" s="108"/>
      <c r="K75" s="108"/>
      <c r="L75" s="165"/>
      <c r="M75" s="108"/>
      <c r="N75" s="108"/>
      <c r="O75" s="108"/>
      <c r="P75" s="108"/>
      <c r="Q75" s="108"/>
      <c r="R75" s="108"/>
      <c r="S75" s="108"/>
      <c r="T75" s="108"/>
      <c r="U75" s="108"/>
      <c r="V75" s="108"/>
      <c r="W75" s="108"/>
      <c r="X75" s="108"/>
      <c r="Y75" s="108"/>
      <c r="Z75" s="108"/>
    </row>
    <row r="77" spans="2:26" x14ac:dyDescent="0.3">
      <c r="B77" s="255" t="s">
        <v>48</v>
      </c>
      <c r="C77" s="256"/>
      <c r="D77" s="256"/>
      <c r="E77" s="257"/>
      <c r="F77" s="246" t="s">
        <v>227</v>
      </c>
      <c r="G77" s="247"/>
      <c r="H77" s="291" t="s">
        <v>160</v>
      </c>
      <c r="I77" s="293"/>
    </row>
    <row r="78" spans="2:26" x14ac:dyDescent="0.3">
      <c r="B78" s="258"/>
      <c r="C78" s="259"/>
      <c r="D78" s="259"/>
      <c r="E78" s="259"/>
      <c r="F78" s="248"/>
      <c r="G78" s="249"/>
      <c r="H78" s="294"/>
      <c r="I78" s="296"/>
    </row>
    <row r="79" spans="2:26" ht="30.6" x14ac:dyDescent="0.3">
      <c r="B79" s="260"/>
      <c r="C79" s="261"/>
      <c r="D79" s="261"/>
      <c r="E79" s="261"/>
      <c r="F79" s="139" t="s">
        <v>49</v>
      </c>
      <c r="G79" s="139" t="s">
        <v>50</v>
      </c>
      <c r="H79" s="141" t="s">
        <v>382</v>
      </c>
      <c r="I79" s="141" t="s">
        <v>287</v>
      </c>
    </row>
    <row r="80" spans="2:26" x14ac:dyDescent="0.3">
      <c r="B80" s="166"/>
      <c r="C80" s="107"/>
      <c r="D80" s="107"/>
      <c r="E80" s="167"/>
      <c r="F80" s="114"/>
      <c r="G80" s="114"/>
      <c r="H80" s="168"/>
      <c r="I80" s="114"/>
    </row>
    <row r="81" spans="2:9" x14ac:dyDescent="0.3">
      <c r="B81" s="120" t="s">
        <v>51</v>
      </c>
      <c r="C81" s="121"/>
      <c r="D81" s="121"/>
      <c r="E81" s="122"/>
      <c r="F81" s="132">
        <f>SUM(F83,F88,F93)</f>
        <v>10</v>
      </c>
      <c r="G81" s="234">
        <f>SUM(G83,G88,G93)</f>
        <v>10</v>
      </c>
      <c r="H81" s="234">
        <f>SUM(H83,H88,H93)</f>
        <v>6</v>
      </c>
      <c r="I81" s="234">
        <f>SUM(I83,I88,I93)</f>
        <v>4</v>
      </c>
    </row>
    <row r="82" spans="2:9" x14ac:dyDescent="0.3">
      <c r="B82" s="166" t="s">
        <v>47</v>
      </c>
      <c r="C82" s="107"/>
      <c r="D82" s="107"/>
      <c r="E82" s="167"/>
      <c r="F82" s="114"/>
      <c r="G82" s="114"/>
      <c r="H82" s="112"/>
      <c r="I82" s="114"/>
    </row>
    <row r="83" spans="2:9" s="107" customFormat="1" ht="13.2" x14ac:dyDescent="0.25">
      <c r="B83" s="147" t="s">
        <v>60</v>
      </c>
      <c r="F83" s="171">
        <f>H18</f>
        <v>3</v>
      </c>
      <c r="G83" s="172">
        <f>SUM(G84:G86)</f>
        <v>3</v>
      </c>
      <c r="H83" s="172">
        <f>SUM(H84:H86)</f>
        <v>2</v>
      </c>
      <c r="I83" s="172">
        <f>SUM(I84:I86)</f>
        <v>1</v>
      </c>
    </row>
    <row r="84" spans="2:9" s="107" customFormat="1" ht="13.2" outlineLevel="1" x14ac:dyDescent="0.25">
      <c r="B84" s="166" t="s">
        <v>115</v>
      </c>
      <c r="F84" s="168"/>
      <c r="G84" s="194">
        <f>SUM(H84:I84)</f>
        <v>1</v>
      </c>
      <c r="H84" s="194">
        <v>1</v>
      </c>
      <c r="I84" s="194"/>
    </row>
    <row r="85" spans="2:9" s="107" customFormat="1" ht="13.2" outlineLevel="1" x14ac:dyDescent="0.25">
      <c r="B85" s="166" t="s">
        <v>118</v>
      </c>
      <c r="F85" s="168"/>
      <c r="G85" s="124">
        <f>SUM(H85:I85)</f>
        <v>1</v>
      </c>
      <c r="H85" s="124">
        <v>1</v>
      </c>
      <c r="I85" s="124"/>
    </row>
    <row r="86" spans="2:9" s="107" customFormat="1" ht="13.2" outlineLevel="1" x14ac:dyDescent="0.25">
      <c r="B86" s="166" t="s">
        <v>383</v>
      </c>
      <c r="F86" s="168"/>
      <c r="G86" s="195">
        <f>SUM(H86:I86)</f>
        <v>1</v>
      </c>
      <c r="H86" s="195"/>
      <c r="I86" s="195">
        <v>1</v>
      </c>
    </row>
    <row r="87" spans="2:9" s="107" customFormat="1" ht="13.2" x14ac:dyDescent="0.25">
      <c r="B87" s="166"/>
      <c r="F87" s="168"/>
      <c r="G87" s="114"/>
      <c r="H87" s="114"/>
      <c r="I87" s="114"/>
    </row>
    <row r="88" spans="2:9" s="107" customFormat="1" ht="13.2" x14ac:dyDescent="0.25">
      <c r="B88" s="147" t="s">
        <v>40</v>
      </c>
      <c r="F88" s="171">
        <f>H28</f>
        <v>3</v>
      </c>
      <c r="G88" s="172">
        <f>SUM(G89:G91)</f>
        <v>3</v>
      </c>
      <c r="H88" s="172">
        <f>SUM(H89:H91)</f>
        <v>2</v>
      </c>
      <c r="I88" s="172">
        <f>SUM(I89:I91)</f>
        <v>1</v>
      </c>
    </row>
    <row r="89" spans="2:9" s="107" customFormat="1" ht="13.2" outlineLevel="1" x14ac:dyDescent="0.25">
      <c r="B89" s="166" t="s">
        <v>120</v>
      </c>
      <c r="F89" s="114"/>
      <c r="G89" s="194">
        <f>SUM(H89:I89)</f>
        <v>1</v>
      </c>
      <c r="H89" s="194"/>
      <c r="I89" s="194">
        <v>1</v>
      </c>
    </row>
    <row r="90" spans="2:9" s="107" customFormat="1" ht="13.2" outlineLevel="1" x14ac:dyDescent="0.25">
      <c r="B90" s="166" t="s">
        <v>122</v>
      </c>
      <c r="F90" s="114"/>
      <c r="G90" s="124">
        <f>SUM(H90:I90)</f>
        <v>1</v>
      </c>
      <c r="H90" s="124">
        <v>1</v>
      </c>
      <c r="I90" s="124"/>
    </row>
    <row r="91" spans="2:9" s="107" customFormat="1" ht="13.2" outlineLevel="1" x14ac:dyDescent="0.25">
      <c r="B91" s="166" t="s">
        <v>125</v>
      </c>
      <c r="F91" s="114"/>
      <c r="G91" s="195">
        <f>SUM(H91:I91)</f>
        <v>1</v>
      </c>
      <c r="H91" s="195">
        <v>1</v>
      </c>
      <c r="I91" s="195"/>
    </row>
    <row r="92" spans="2:9" s="107" customFormat="1" ht="13.2" x14ac:dyDescent="0.25">
      <c r="B92" s="166"/>
      <c r="F92" s="114"/>
      <c r="G92" s="114"/>
      <c r="H92" s="114"/>
      <c r="I92" s="114"/>
    </row>
    <row r="93" spans="2:9" s="107" customFormat="1" ht="13.2" x14ac:dyDescent="0.25">
      <c r="B93" s="147" t="s">
        <v>85</v>
      </c>
      <c r="F93" s="171">
        <f>H45</f>
        <v>4</v>
      </c>
      <c r="G93" s="172">
        <f>SUM(G94:G97)</f>
        <v>4</v>
      </c>
      <c r="H93" s="172">
        <f>SUM(H94:H97)</f>
        <v>2</v>
      </c>
      <c r="I93" s="172">
        <f>SUM(I94:I97)</f>
        <v>2</v>
      </c>
    </row>
    <row r="94" spans="2:9" s="107" customFormat="1" ht="13.2" outlineLevel="1" x14ac:dyDescent="0.25">
      <c r="B94" s="166" t="s">
        <v>135</v>
      </c>
      <c r="F94" s="114"/>
      <c r="G94" s="194">
        <f>SUM(H94:I94)</f>
        <v>1</v>
      </c>
      <c r="H94" s="194">
        <v>1</v>
      </c>
      <c r="I94" s="194"/>
    </row>
    <row r="95" spans="2:9" s="107" customFormat="1" ht="13.2" outlineLevel="1" x14ac:dyDescent="0.25">
      <c r="B95" s="166" t="s">
        <v>142</v>
      </c>
      <c r="F95" s="114"/>
      <c r="G95" s="124">
        <f>SUM(H95:I95)</f>
        <v>1</v>
      </c>
      <c r="H95" s="124"/>
      <c r="I95" s="124">
        <v>1</v>
      </c>
    </row>
    <row r="96" spans="2:9" s="107" customFormat="1" ht="13.2" outlineLevel="1" x14ac:dyDescent="0.25">
      <c r="B96" s="166" t="s">
        <v>144</v>
      </c>
      <c r="F96" s="114"/>
      <c r="G96" s="124">
        <f>SUM(H96:I96)</f>
        <v>1</v>
      </c>
      <c r="H96" s="124"/>
      <c r="I96" s="124">
        <v>1</v>
      </c>
    </row>
    <row r="97" spans="2:9" s="107" customFormat="1" ht="13.2" outlineLevel="1" x14ac:dyDescent="0.25">
      <c r="B97" s="166" t="s">
        <v>146</v>
      </c>
      <c r="F97" s="114"/>
      <c r="G97" s="195">
        <f>SUM(H97:I97)</f>
        <v>1</v>
      </c>
      <c r="H97" s="195">
        <v>1</v>
      </c>
      <c r="I97" s="195"/>
    </row>
    <row r="98" spans="2:9" x14ac:dyDescent="0.3">
      <c r="B98" s="134"/>
      <c r="C98" s="135"/>
      <c r="D98" s="135"/>
      <c r="E98" s="135"/>
      <c r="F98" s="136"/>
      <c r="G98" s="136"/>
      <c r="H98" s="142"/>
      <c r="I98" s="142"/>
    </row>
  </sheetData>
  <mergeCells count="10">
    <mergeCell ref="B2:C2"/>
    <mergeCell ref="B8:E8"/>
    <mergeCell ref="F8:G8"/>
    <mergeCell ref="H8:I8"/>
    <mergeCell ref="J8:K8"/>
    <mergeCell ref="B6:L6"/>
    <mergeCell ref="B9:E9"/>
    <mergeCell ref="B77:E79"/>
    <mergeCell ref="F77:G78"/>
    <mergeCell ref="H77:I78"/>
  </mergeCells>
  <pageMargins left="0.7" right="0.7" top="0.75" bottom="0.75" header="0.3" footer="0.3"/>
  <pageSetup scale="81" orientation="landscape" r:id="rId1"/>
  <ignoredErrors>
    <ignoredError sqref="G11:H11 I11:J1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9805-5009-4F9A-B0C6-4FED45EE58B0}">
  <sheetPr>
    <pageSetUpPr fitToPage="1"/>
  </sheetPr>
  <dimension ref="B1:AH134"/>
  <sheetViews>
    <sheetView showGridLines="0" workbookViewId="0">
      <selection activeCell="F40" sqref="F40"/>
    </sheetView>
  </sheetViews>
  <sheetFormatPr defaultColWidth="9.109375" defaultRowHeight="14.4" outlineLevelRow="1" x14ac:dyDescent="0.3"/>
  <cols>
    <col min="1" max="1" width="2.88671875" style="106" customWidth="1"/>
    <col min="2" max="2" width="18.5546875" style="106" customWidth="1"/>
    <col min="3" max="3" width="13.5546875" style="106" customWidth="1"/>
    <col min="4" max="4" width="9.109375" style="106"/>
    <col min="5" max="5" width="5.6640625" style="106" customWidth="1"/>
    <col min="6" max="6" width="12.5546875" style="106" customWidth="1"/>
    <col min="7" max="7" width="11.33203125" style="106" customWidth="1"/>
    <col min="8" max="8" width="12.5546875" style="106" customWidth="1"/>
    <col min="9" max="10" width="13.44140625" style="106" customWidth="1"/>
    <col min="11" max="11" width="10.33203125" style="106" customWidth="1"/>
    <col min="12" max="12" width="12.5546875" style="106" customWidth="1"/>
    <col min="13" max="13" width="10.5546875" style="106" customWidth="1"/>
    <col min="14" max="20" width="12.5546875" style="106" customWidth="1"/>
    <col min="21" max="16384" width="9.109375" style="106"/>
  </cols>
  <sheetData>
    <row r="1" spans="2:34" s="107" customFormat="1" ht="13.2" x14ac:dyDescent="0.25">
      <c r="E1" s="108"/>
      <c r="F1" s="108"/>
      <c r="G1" s="108"/>
      <c r="H1" s="108"/>
      <c r="I1" s="108"/>
      <c r="J1" s="108"/>
      <c r="K1" s="108"/>
      <c r="L1" s="108"/>
      <c r="M1" s="108"/>
      <c r="N1" s="108"/>
      <c r="O1" s="108"/>
      <c r="P1" s="108"/>
      <c r="Q1" s="108"/>
      <c r="R1" s="108"/>
      <c r="S1" s="108"/>
      <c r="T1" s="108"/>
      <c r="U1" s="108"/>
    </row>
    <row r="2" spans="2:34" s="107" customFormat="1" ht="18.600000000000001" customHeight="1" x14ac:dyDescent="0.25">
      <c r="B2" s="262" t="s">
        <v>393</v>
      </c>
      <c r="C2" s="263"/>
      <c r="E2" s="108"/>
      <c r="F2" s="108"/>
      <c r="G2" s="108"/>
      <c r="H2" s="108"/>
      <c r="I2" s="108"/>
      <c r="J2" s="108"/>
      <c r="K2" s="108"/>
      <c r="L2" s="108"/>
      <c r="M2" s="108"/>
      <c r="N2" s="108"/>
      <c r="O2" s="108"/>
      <c r="P2" s="108"/>
      <c r="Q2" s="108"/>
      <c r="R2" s="108"/>
      <c r="S2" s="108"/>
      <c r="T2" s="108"/>
      <c r="U2" s="108"/>
    </row>
    <row r="3" spans="2:34" s="107" customFormat="1" ht="20.399999999999999" customHeight="1" x14ac:dyDescent="0.3">
      <c r="B3" s="109" t="s">
        <v>25</v>
      </c>
      <c r="F3" s="108"/>
      <c r="G3" s="108"/>
      <c r="H3" s="108"/>
      <c r="I3" s="151"/>
      <c r="J3" s="108"/>
      <c r="K3" s="108"/>
      <c r="L3" s="108"/>
      <c r="M3" s="108"/>
      <c r="N3" s="108"/>
      <c r="O3" s="108"/>
      <c r="P3" s="108"/>
      <c r="Q3" s="108"/>
      <c r="R3" s="108"/>
      <c r="S3" s="108"/>
      <c r="T3" s="108"/>
      <c r="U3" s="108"/>
    </row>
    <row r="4" spans="2:34" s="107" customFormat="1" ht="15.6" x14ac:dyDescent="0.3">
      <c r="B4" s="109"/>
      <c r="F4" s="108"/>
      <c r="G4" s="108"/>
      <c r="H4" s="108"/>
      <c r="I4" s="108"/>
      <c r="J4" s="108"/>
      <c r="K4" s="108"/>
      <c r="L4" s="108"/>
      <c r="M4" s="108"/>
      <c r="N4" s="108"/>
      <c r="O4" s="108"/>
      <c r="P4" s="108"/>
      <c r="Q4" s="108"/>
      <c r="R4" s="108"/>
      <c r="S4" s="108"/>
      <c r="T4" s="108"/>
      <c r="U4" s="108"/>
    </row>
    <row r="5" spans="2:34" s="107" customFormat="1" ht="15" customHeight="1" x14ac:dyDescent="0.25">
      <c r="B5" s="105" t="s">
        <v>23</v>
      </c>
      <c r="F5" s="108"/>
      <c r="G5" s="108"/>
      <c r="H5" s="108"/>
      <c r="I5" s="108"/>
      <c r="J5" s="108"/>
      <c r="K5" s="108"/>
      <c r="L5" s="108"/>
      <c r="M5" s="108"/>
      <c r="N5" s="108"/>
      <c r="O5" s="108"/>
      <c r="P5" s="108"/>
      <c r="Q5" s="108"/>
      <c r="R5" s="108"/>
      <c r="S5" s="108"/>
      <c r="T5" s="108"/>
      <c r="U5" s="108"/>
    </row>
    <row r="6" spans="2:34" s="107" customFormat="1" ht="60" customHeight="1" x14ac:dyDescent="0.25">
      <c r="B6" s="269" t="s">
        <v>27</v>
      </c>
      <c r="C6" s="269"/>
      <c r="D6" s="269"/>
      <c r="E6" s="269"/>
      <c r="F6" s="269"/>
      <c r="G6" s="269"/>
      <c r="H6" s="269"/>
      <c r="I6" s="269"/>
      <c r="J6" s="269"/>
      <c r="K6" s="269"/>
      <c r="L6" s="269"/>
      <c r="M6" s="269"/>
      <c r="N6" s="177"/>
      <c r="O6" s="177"/>
      <c r="P6" s="108"/>
      <c r="Q6" s="108"/>
      <c r="R6" s="108"/>
      <c r="S6" s="108"/>
      <c r="T6" s="108"/>
      <c r="U6" s="108"/>
    </row>
    <row r="8" spans="2:34" s="107" customFormat="1" ht="53.4" customHeight="1" x14ac:dyDescent="0.25">
      <c r="B8" s="264" t="s">
        <v>34</v>
      </c>
      <c r="C8" s="265"/>
      <c r="D8" s="265"/>
      <c r="E8" s="266"/>
      <c r="F8" s="267" t="s">
        <v>384</v>
      </c>
      <c r="G8" s="268"/>
      <c r="H8" s="267" t="s">
        <v>385</v>
      </c>
      <c r="I8" s="268"/>
      <c r="J8" s="267" t="s">
        <v>229</v>
      </c>
      <c r="K8" s="268"/>
      <c r="L8" s="242" t="s">
        <v>230</v>
      </c>
      <c r="M8" s="243"/>
      <c r="N8" s="104"/>
      <c r="O8" s="104"/>
      <c r="P8" s="104"/>
      <c r="Q8" s="321"/>
      <c r="R8" s="321"/>
      <c r="S8" s="108"/>
      <c r="T8" s="108"/>
      <c r="U8" s="108"/>
      <c r="V8" s="108"/>
      <c r="W8" s="108"/>
      <c r="X8" s="108"/>
      <c r="Y8" s="108"/>
      <c r="Z8" s="108"/>
      <c r="AA8" s="108"/>
      <c r="AB8" s="108"/>
      <c r="AC8" s="108"/>
      <c r="AD8" s="108"/>
      <c r="AE8" s="108"/>
      <c r="AF8" s="108"/>
      <c r="AG8" s="108"/>
      <c r="AH8" s="108"/>
    </row>
    <row r="9" spans="2:34" s="107" customFormat="1" ht="14.4" customHeight="1" x14ac:dyDescent="0.25">
      <c r="B9" s="244" t="s">
        <v>402</v>
      </c>
      <c r="C9" s="245"/>
      <c r="D9" s="245"/>
      <c r="E9" s="245"/>
      <c r="F9" s="111" t="s">
        <v>37</v>
      </c>
      <c r="G9" s="128" t="s">
        <v>38</v>
      </c>
      <c r="H9" s="111" t="s">
        <v>37</v>
      </c>
      <c r="I9" s="128" t="s">
        <v>38</v>
      </c>
      <c r="J9" s="111" t="s">
        <v>37</v>
      </c>
      <c r="K9" s="128" t="s">
        <v>38</v>
      </c>
      <c r="L9" s="111" t="s">
        <v>37</v>
      </c>
      <c r="M9" s="131" t="s">
        <v>38</v>
      </c>
      <c r="N9" s="144"/>
      <c r="O9" s="144"/>
      <c r="P9" s="144"/>
      <c r="Q9" s="174"/>
      <c r="R9" s="174"/>
      <c r="S9" s="108"/>
      <c r="T9" s="108"/>
      <c r="U9" s="108"/>
      <c r="V9" s="108"/>
      <c r="W9" s="108"/>
      <c r="X9" s="108"/>
      <c r="Y9" s="108"/>
      <c r="Z9" s="108"/>
      <c r="AA9" s="108"/>
      <c r="AB9" s="108"/>
      <c r="AC9" s="108"/>
      <c r="AD9" s="108"/>
      <c r="AE9" s="108"/>
      <c r="AF9" s="108"/>
      <c r="AG9" s="108"/>
      <c r="AH9" s="108"/>
    </row>
    <row r="10" spans="2:34" s="107" customFormat="1" ht="15" customHeight="1" x14ac:dyDescent="0.25">
      <c r="B10" s="145"/>
      <c r="C10" s="146"/>
      <c r="D10" s="146"/>
      <c r="E10" s="146"/>
      <c r="F10" s="112"/>
      <c r="G10" s="125"/>
      <c r="H10" s="112"/>
      <c r="I10" s="125"/>
      <c r="J10" s="112"/>
      <c r="K10" s="125"/>
      <c r="L10" s="112"/>
      <c r="M10" s="113"/>
      <c r="N10" s="108"/>
      <c r="O10" s="108"/>
      <c r="P10" s="108"/>
      <c r="Q10" s="108"/>
      <c r="R10" s="108"/>
      <c r="S10" s="108"/>
      <c r="T10" s="108"/>
      <c r="U10" s="108"/>
      <c r="V10" s="108"/>
      <c r="W10" s="108"/>
      <c r="X10" s="108"/>
      <c r="Y10" s="108"/>
      <c r="Z10" s="108"/>
      <c r="AA10" s="108"/>
      <c r="AB10" s="108"/>
      <c r="AC10" s="108"/>
      <c r="AD10" s="108"/>
      <c r="AE10" s="108"/>
      <c r="AF10" s="108"/>
      <c r="AG10" s="108"/>
      <c r="AH10" s="108"/>
    </row>
    <row r="11" spans="2:34" s="107" customFormat="1" ht="15" customHeight="1" x14ac:dyDescent="0.25">
      <c r="B11" s="147" t="s">
        <v>39</v>
      </c>
      <c r="C11" s="148"/>
      <c r="D11" s="148"/>
      <c r="E11" s="149">
        <f>SUM(F11,H11,J11,L11)</f>
        <v>52</v>
      </c>
      <c r="F11" s="114">
        <f>SUM(F13,F15,F18,F28,F40,F45,F70)</f>
        <v>23</v>
      </c>
      <c r="G11" s="150">
        <f>F11/$E$11</f>
        <v>0.44230769230769229</v>
      </c>
      <c r="H11" s="137">
        <f>SUM(H13,H15,H18,H28,H40,H45,H70)</f>
        <v>20</v>
      </c>
      <c r="I11" s="150">
        <f>H11/$E$11</f>
        <v>0.38461538461538464</v>
      </c>
      <c r="J11" s="116">
        <f>SUM(J13,J15,J18,J28,J40,J45,J70)</f>
        <v>3</v>
      </c>
      <c r="K11" s="150">
        <f>J11/$E$11</f>
        <v>5.7692307692307696E-2</v>
      </c>
      <c r="L11" s="114">
        <f>SUM(L13,L15,L18,L28,L40,L45,L70)</f>
        <v>6</v>
      </c>
      <c r="M11" s="115">
        <f>L11/$E$11</f>
        <v>0.11538461538461539</v>
      </c>
      <c r="N11" s="150"/>
      <c r="O11" s="150"/>
      <c r="P11" s="150"/>
      <c r="Q11" s="176"/>
      <c r="R11" s="150"/>
      <c r="S11" s="151"/>
      <c r="T11" s="151"/>
      <c r="U11" s="151"/>
      <c r="V11" s="151"/>
      <c r="W11" s="151"/>
      <c r="X11" s="151"/>
      <c r="Y11" s="151"/>
      <c r="Z11" s="151"/>
      <c r="AA11" s="151"/>
      <c r="AB11" s="151"/>
      <c r="AC11" s="108"/>
      <c r="AD11" s="108"/>
      <c r="AE11" s="108"/>
      <c r="AF11" s="108"/>
      <c r="AG11" s="108"/>
      <c r="AH11" s="108"/>
    </row>
    <row r="12" spans="2:34" s="107" customFormat="1" ht="15" customHeight="1" x14ac:dyDescent="0.25">
      <c r="B12" s="152"/>
      <c r="E12" s="108"/>
      <c r="F12" s="114"/>
      <c r="G12" s="108"/>
      <c r="H12" s="153"/>
      <c r="I12" s="108"/>
      <c r="J12" s="114"/>
      <c r="K12" s="108"/>
      <c r="L12" s="114"/>
      <c r="M12" s="154"/>
      <c r="N12" s="108"/>
      <c r="O12" s="108"/>
      <c r="P12" s="108"/>
      <c r="Q12" s="108"/>
      <c r="R12" s="108"/>
      <c r="S12" s="108"/>
      <c r="T12" s="108"/>
      <c r="U12" s="108"/>
      <c r="V12" s="108"/>
      <c r="W12" s="108"/>
      <c r="X12" s="108"/>
      <c r="Y12" s="108"/>
      <c r="Z12" s="108"/>
      <c r="AA12" s="108"/>
      <c r="AB12" s="108"/>
      <c r="AC12" s="108"/>
      <c r="AD12" s="108"/>
      <c r="AE12" s="108"/>
      <c r="AF12" s="108"/>
      <c r="AG12" s="108"/>
      <c r="AH12" s="108"/>
    </row>
    <row r="13" spans="2:34" s="107" customFormat="1" ht="15" customHeight="1" x14ac:dyDescent="0.25">
      <c r="B13" s="126" t="s">
        <v>52</v>
      </c>
      <c r="C13" s="155"/>
      <c r="D13" s="155"/>
      <c r="E13" s="156"/>
      <c r="F13" s="117">
        <f>F14</f>
        <v>0</v>
      </c>
      <c r="G13" s="156"/>
      <c r="H13" s="129">
        <f>H14</f>
        <v>1</v>
      </c>
      <c r="I13" s="156"/>
      <c r="J13" s="117">
        <f>J14</f>
        <v>0</v>
      </c>
      <c r="K13" s="156"/>
      <c r="L13" s="117">
        <f>L14</f>
        <v>0</v>
      </c>
      <c r="M13" s="118"/>
      <c r="N13" s="108"/>
      <c r="O13" s="108"/>
      <c r="P13" s="108"/>
      <c r="Q13" s="108"/>
      <c r="R13" s="108"/>
      <c r="S13" s="108"/>
      <c r="T13" s="108"/>
      <c r="U13" s="108"/>
      <c r="V13" s="108"/>
      <c r="W13" s="108"/>
      <c r="X13" s="108"/>
      <c r="Y13" s="108"/>
      <c r="Z13" s="108"/>
      <c r="AA13" s="108"/>
      <c r="AB13" s="108"/>
      <c r="AC13" s="108"/>
      <c r="AD13" s="108"/>
      <c r="AE13" s="108"/>
      <c r="AF13" s="108"/>
      <c r="AG13" s="108"/>
      <c r="AH13" s="108"/>
    </row>
    <row r="14" spans="2:34" s="107" customFormat="1" ht="15" hidden="1" customHeight="1" outlineLevel="1" x14ac:dyDescent="0.25">
      <c r="B14" s="166" t="s">
        <v>55</v>
      </c>
      <c r="E14" s="108"/>
      <c r="F14" s="190"/>
      <c r="G14" s="108"/>
      <c r="H14" s="185">
        <v>1</v>
      </c>
      <c r="I14" s="108"/>
      <c r="J14" s="190"/>
      <c r="K14" s="108"/>
      <c r="L14" s="190"/>
      <c r="M14" s="154"/>
      <c r="N14" s="108"/>
      <c r="O14" s="108"/>
      <c r="P14" s="108"/>
      <c r="Q14" s="108"/>
      <c r="R14" s="108"/>
      <c r="S14" s="108"/>
      <c r="T14" s="108"/>
      <c r="U14" s="108"/>
      <c r="V14" s="108"/>
      <c r="W14" s="108"/>
      <c r="X14" s="108"/>
      <c r="Y14" s="108"/>
      <c r="Z14" s="108"/>
      <c r="AA14" s="108"/>
      <c r="AB14" s="108"/>
      <c r="AC14" s="108"/>
      <c r="AD14" s="108"/>
      <c r="AE14" s="108"/>
      <c r="AF14" s="108"/>
      <c r="AG14" s="108"/>
      <c r="AH14" s="108"/>
    </row>
    <row r="15" spans="2:34" s="107" customFormat="1" ht="15" customHeight="1" collapsed="1" x14ac:dyDescent="0.25">
      <c r="B15" s="166" t="s">
        <v>57</v>
      </c>
      <c r="E15" s="108"/>
      <c r="F15" s="114">
        <f>SUM(F16:F17)</f>
        <v>0</v>
      </c>
      <c r="G15" s="108"/>
      <c r="H15" s="153">
        <f>SUM(H16:H17)</f>
        <v>2</v>
      </c>
      <c r="I15" s="108"/>
      <c r="J15" s="114">
        <f>SUM(J16:J17)</f>
        <v>0</v>
      </c>
      <c r="K15" s="108"/>
      <c r="L15" s="114">
        <f>SUM(L16:L17)</f>
        <v>0</v>
      </c>
      <c r="M15" s="154"/>
      <c r="N15" s="108"/>
      <c r="O15" s="108"/>
      <c r="P15" s="108"/>
      <c r="Q15" s="108"/>
      <c r="R15" s="108"/>
      <c r="S15" s="108"/>
      <c r="T15" s="108"/>
      <c r="U15" s="108"/>
      <c r="V15" s="108"/>
      <c r="W15" s="108"/>
      <c r="X15" s="108"/>
      <c r="Y15" s="108"/>
      <c r="Z15" s="108"/>
      <c r="AA15" s="108"/>
      <c r="AB15" s="108"/>
      <c r="AC15" s="108"/>
      <c r="AD15" s="108"/>
      <c r="AE15" s="108"/>
      <c r="AF15" s="108"/>
      <c r="AG15" s="108"/>
      <c r="AH15" s="108"/>
    </row>
    <row r="16" spans="2:34" s="107" customFormat="1" ht="15" hidden="1" customHeight="1" outlineLevel="1" x14ac:dyDescent="0.25">
      <c r="B16" s="166" t="s">
        <v>58</v>
      </c>
      <c r="E16" s="108"/>
      <c r="F16" s="186"/>
      <c r="G16" s="108"/>
      <c r="H16" s="188">
        <v>1</v>
      </c>
      <c r="I16" s="108"/>
      <c r="J16" s="186"/>
      <c r="K16" s="108"/>
      <c r="L16" s="186"/>
      <c r="M16" s="154"/>
      <c r="N16" s="108"/>
      <c r="O16" s="108"/>
      <c r="P16" s="108"/>
      <c r="Q16" s="108"/>
      <c r="R16" s="108"/>
      <c r="S16" s="108"/>
      <c r="T16" s="108"/>
      <c r="U16" s="108"/>
      <c r="V16" s="108"/>
      <c r="W16" s="108"/>
      <c r="X16" s="108"/>
      <c r="Y16" s="108"/>
      <c r="Z16" s="108"/>
      <c r="AA16" s="108"/>
      <c r="AB16" s="108"/>
      <c r="AC16" s="108"/>
      <c r="AD16" s="108"/>
      <c r="AE16" s="108"/>
      <c r="AF16" s="108"/>
      <c r="AG16" s="108"/>
      <c r="AH16" s="108"/>
    </row>
    <row r="17" spans="2:34" s="107" customFormat="1" ht="15" hidden="1" customHeight="1" outlineLevel="1" x14ac:dyDescent="0.25">
      <c r="B17" s="166" t="s">
        <v>59</v>
      </c>
      <c r="E17" s="108"/>
      <c r="F17" s="187"/>
      <c r="G17" s="108"/>
      <c r="H17" s="189">
        <v>1</v>
      </c>
      <c r="I17" s="108"/>
      <c r="J17" s="187"/>
      <c r="K17" s="108"/>
      <c r="L17" s="187"/>
      <c r="M17" s="154"/>
      <c r="N17" s="108"/>
      <c r="O17" s="108"/>
      <c r="P17" s="108"/>
      <c r="Q17" s="108"/>
      <c r="R17" s="108"/>
      <c r="S17" s="108"/>
      <c r="T17" s="108"/>
      <c r="U17" s="108"/>
      <c r="V17" s="108"/>
      <c r="W17" s="108"/>
      <c r="X17" s="108"/>
      <c r="Y17" s="108"/>
      <c r="Z17" s="108"/>
      <c r="AA17" s="108"/>
      <c r="AB17" s="108"/>
      <c r="AC17" s="108"/>
      <c r="AD17" s="108"/>
      <c r="AE17" s="108"/>
      <c r="AF17" s="108"/>
      <c r="AG17" s="108"/>
      <c r="AH17" s="108"/>
    </row>
    <row r="18" spans="2:34" s="107" customFormat="1" ht="15" customHeight="1" collapsed="1" x14ac:dyDescent="0.25">
      <c r="B18" s="126" t="s">
        <v>60</v>
      </c>
      <c r="C18" s="155"/>
      <c r="D18" s="155"/>
      <c r="E18" s="156"/>
      <c r="F18" s="117">
        <f>SUM(F19:F27)</f>
        <v>5</v>
      </c>
      <c r="G18" s="156"/>
      <c r="H18" s="129">
        <f>SUM(H19:H27)</f>
        <v>2</v>
      </c>
      <c r="I18" s="156"/>
      <c r="J18" s="117">
        <f>SUM(J19:J27)</f>
        <v>1</v>
      </c>
      <c r="K18" s="156"/>
      <c r="L18" s="117">
        <f>SUM(L19:L27)</f>
        <v>1</v>
      </c>
      <c r="M18" s="118"/>
      <c r="N18" s="108"/>
      <c r="O18" s="108"/>
      <c r="P18" s="108"/>
      <c r="Q18" s="108"/>
      <c r="R18" s="108"/>
      <c r="S18" s="108"/>
      <c r="T18" s="108"/>
      <c r="U18" s="108"/>
      <c r="V18" s="108"/>
      <c r="W18" s="108"/>
      <c r="X18" s="108"/>
      <c r="Y18" s="108"/>
      <c r="Z18" s="108"/>
      <c r="AA18" s="108"/>
      <c r="AB18" s="108"/>
      <c r="AC18" s="108"/>
      <c r="AD18" s="108"/>
      <c r="AE18" s="108"/>
      <c r="AF18" s="108"/>
      <c r="AG18" s="108"/>
      <c r="AH18" s="108"/>
    </row>
    <row r="19" spans="2:34" s="107" customFormat="1" ht="15" hidden="1" customHeight="1" outlineLevel="1" x14ac:dyDescent="0.25">
      <c r="B19" s="166" t="s">
        <v>61</v>
      </c>
      <c r="E19" s="108"/>
      <c r="F19" s="186">
        <v>1</v>
      </c>
      <c r="G19" s="108"/>
      <c r="H19" s="188"/>
      <c r="I19" s="108"/>
      <c r="J19" s="186"/>
      <c r="K19" s="108"/>
      <c r="L19" s="186"/>
      <c r="M19" s="154"/>
      <c r="N19" s="108"/>
      <c r="O19" s="108"/>
      <c r="P19" s="108"/>
      <c r="Q19" s="108"/>
      <c r="R19" s="108"/>
      <c r="S19" s="108"/>
      <c r="T19" s="108"/>
      <c r="U19" s="108"/>
      <c r="V19" s="108"/>
      <c r="W19" s="108"/>
      <c r="X19" s="108"/>
      <c r="Y19" s="108"/>
      <c r="Z19" s="108"/>
      <c r="AA19" s="108"/>
      <c r="AB19" s="108"/>
      <c r="AC19" s="108"/>
      <c r="AD19" s="108"/>
      <c r="AE19" s="108"/>
      <c r="AF19" s="108"/>
      <c r="AG19" s="108"/>
      <c r="AH19" s="108"/>
    </row>
    <row r="20" spans="2:34" s="107" customFormat="1" ht="15" hidden="1" customHeight="1" outlineLevel="1" x14ac:dyDescent="0.25">
      <c r="B20" s="166" t="s">
        <v>62</v>
      </c>
      <c r="E20" s="108"/>
      <c r="F20" s="127"/>
      <c r="G20" s="108"/>
      <c r="H20" s="130"/>
      <c r="I20" s="108"/>
      <c r="J20" s="127">
        <v>1</v>
      </c>
      <c r="K20" s="108"/>
      <c r="L20" s="127"/>
      <c r="M20" s="154"/>
      <c r="N20" s="108"/>
      <c r="O20" s="108"/>
      <c r="P20" s="108"/>
      <c r="Q20" s="108"/>
      <c r="R20" s="108"/>
      <c r="S20" s="108"/>
      <c r="T20" s="108"/>
      <c r="U20" s="108"/>
      <c r="V20" s="108"/>
      <c r="W20" s="108"/>
      <c r="X20" s="108"/>
      <c r="Y20" s="108"/>
      <c r="Z20" s="108"/>
      <c r="AA20" s="108"/>
      <c r="AB20" s="108"/>
      <c r="AC20" s="108"/>
      <c r="AD20" s="108"/>
      <c r="AE20" s="108"/>
      <c r="AF20" s="108"/>
      <c r="AG20" s="108"/>
      <c r="AH20" s="108"/>
    </row>
    <row r="21" spans="2:34" s="107" customFormat="1" ht="15" hidden="1" customHeight="1" outlineLevel="1" x14ac:dyDescent="0.25">
      <c r="B21" s="166" t="s">
        <v>63</v>
      </c>
      <c r="E21" s="108"/>
      <c r="F21" s="127">
        <v>1</v>
      </c>
      <c r="G21" s="108"/>
      <c r="H21" s="130"/>
      <c r="I21" s="108"/>
      <c r="J21" s="127"/>
      <c r="K21" s="108"/>
      <c r="L21" s="127"/>
      <c r="M21" s="154"/>
      <c r="N21" s="108"/>
      <c r="O21" s="108"/>
      <c r="P21" s="108"/>
      <c r="Q21" s="108"/>
      <c r="R21" s="108"/>
      <c r="S21" s="108"/>
      <c r="T21" s="108"/>
      <c r="U21" s="108"/>
      <c r="V21" s="108"/>
      <c r="W21" s="108"/>
      <c r="X21" s="108"/>
      <c r="Y21" s="108"/>
      <c r="Z21" s="108"/>
      <c r="AA21" s="108"/>
      <c r="AB21" s="108"/>
      <c r="AC21" s="108"/>
      <c r="AD21" s="108"/>
      <c r="AE21" s="108"/>
      <c r="AF21" s="108"/>
      <c r="AG21" s="108"/>
      <c r="AH21" s="108"/>
    </row>
    <row r="22" spans="2:34" s="107" customFormat="1" ht="15" hidden="1" customHeight="1" outlineLevel="1" x14ac:dyDescent="0.25">
      <c r="B22" s="166" t="s">
        <v>64</v>
      </c>
      <c r="E22" s="108"/>
      <c r="F22" s="127"/>
      <c r="G22" s="108"/>
      <c r="H22" s="130"/>
      <c r="I22" s="108"/>
      <c r="J22" s="127"/>
      <c r="K22" s="108"/>
      <c r="L22" s="127">
        <v>1</v>
      </c>
      <c r="M22" s="154"/>
      <c r="N22" s="108"/>
      <c r="O22" s="108"/>
      <c r="P22" s="108"/>
      <c r="Q22" s="108"/>
      <c r="R22" s="108"/>
      <c r="S22" s="108"/>
      <c r="T22" s="108"/>
      <c r="U22" s="108"/>
      <c r="V22" s="108"/>
      <c r="W22" s="108"/>
      <c r="X22" s="108"/>
      <c r="Y22" s="108"/>
      <c r="Z22" s="108"/>
      <c r="AA22" s="108"/>
      <c r="AB22" s="108"/>
      <c r="AC22" s="108"/>
      <c r="AD22" s="108"/>
      <c r="AE22" s="108"/>
      <c r="AF22" s="108"/>
      <c r="AG22" s="108"/>
      <c r="AH22" s="108"/>
    </row>
    <row r="23" spans="2:34" s="107" customFormat="1" ht="15" hidden="1" customHeight="1" outlineLevel="1" x14ac:dyDescent="0.25">
      <c r="B23" s="166" t="s">
        <v>65</v>
      </c>
      <c r="E23" s="108"/>
      <c r="F23" s="127"/>
      <c r="G23" s="108"/>
      <c r="H23" s="130">
        <v>1</v>
      </c>
      <c r="I23" s="108"/>
      <c r="J23" s="127"/>
      <c r="K23" s="108"/>
      <c r="L23" s="127"/>
      <c r="M23" s="154"/>
      <c r="N23" s="108"/>
      <c r="O23" s="108"/>
      <c r="P23" s="108"/>
      <c r="Q23" s="108"/>
      <c r="R23" s="108"/>
      <c r="S23" s="108"/>
      <c r="T23" s="108"/>
      <c r="U23" s="108"/>
      <c r="V23" s="108"/>
      <c r="W23" s="108"/>
      <c r="X23" s="108"/>
      <c r="Y23" s="108"/>
      <c r="Z23" s="108"/>
      <c r="AA23" s="108"/>
      <c r="AB23" s="108"/>
      <c r="AC23" s="108"/>
      <c r="AD23" s="108"/>
      <c r="AE23" s="108"/>
      <c r="AF23" s="108"/>
      <c r="AG23" s="108"/>
      <c r="AH23" s="108"/>
    </row>
    <row r="24" spans="2:34" s="107" customFormat="1" ht="15" hidden="1" customHeight="1" outlineLevel="1" x14ac:dyDescent="0.25">
      <c r="B24" s="166" t="s">
        <v>66</v>
      </c>
      <c r="E24" s="108"/>
      <c r="F24" s="127"/>
      <c r="G24" s="108"/>
      <c r="H24" s="130">
        <v>1</v>
      </c>
      <c r="I24" s="108"/>
      <c r="J24" s="127"/>
      <c r="K24" s="108"/>
      <c r="L24" s="127"/>
      <c r="M24" s="154"/>
      <c r="N24" s="108"/>
      <c r="O24" s="108"/>
      <c r="P24" s="108"/>
      <c r="Q24" s="108"/>
      <c r="R24" s="108"/>
      <c r="S24" s="108"/>
      <c r="T24" s="108"/>
      <c r="U24" s="108"/>
      <c r="V24" s="108"/>
      <c r="W24" s="108"/>
      <c r="X24" s="108"/>
      <c r="Y24" s="108"/>
      <c r="Z24" s="108"/>
      <c r="AA24" s="108"/>
      <c r="AB24" s="108"/>
      <c r="AC24" s="108"/>
      <c r="AD24" s="108"/>
      <c r="AE24" s="108"/>
      <c r="AF24" s="108"/>
      <c r="AG24" s="108"/>
      <c r="AH24" s="108"/>
    </row>
    <row r="25" spans="2:34" s="107" customFormat="1" ht="15" hidden="1" customHeight="1" outlineLevel="1" x14ac:dyDescent="0.25">
      <c r="B25" s="166" t="s">
        <v>67</v>
      </c>
      <c r="E25" s="108"/>
      <c r="F25" s="127">
        <v>1</v>
      </c>
      <c r="G25" s="108"/>
      <c r="H25" s="130"/>
      <c r="I25" s="108"/>
      <c r="J25" s="127"/>
      <c r="K25" s="108"/>
      <c r="L25" s="127"/>
      <c r="M25" s="154"/>
      <c r="N25" s="108"/>
      <c r="O25" s="108"/>
      <c r="P25" s="108"/>
      <c r="Q25" s="108"/>
      <c r="R25" s="108"/>
      <c r="S25" s="108"/>
      <c r="T25" s="108"/>
      <c r="U25" s="108"/>
      <c r="V25" s="108"/>
      <c r="W25" s="108"/>
      <c r="X25" s="108"/>
      <c r="Y25" s="108"/>
      <c r="Z25" s="108"/>
      <c r="AA25" s="108"/>
      <c r="AB25" s="108"/>
      <c r="AC25" s="108"/>
      <c r="AD25" s="108"/>
      <c r="AE25" s="108"/>
      <c r="AF25" s="108"/>
      <c r="AG25" s="108"/>
      <c r="AH25" s="108"/>
    </row>
    <row r="26" spans="2:34" s="107" customFormat="1" ht="15" hidden="1" customHeight="1" outlineLevel="1" x14ac:dyDescent="0.25">
      <c r="B26" s="166" t="s">
        <v>68</v>
      </c>
      <c r="E26" s="108"/>
      <c r="F26" s="127">
        <v>1</v>
      </c>
      <c r="G26" s="108"/>
      <c r="H26" s="130"/>
      <c r="I26" s="108"/>
      <c r="J26" s="127"/>
      <c r="K26" s="108"/>
      <c r="L26" s="127"/>
      <c r="M26" s="154"/>
      <c r="N26" s="108"/>
      <c r="O26" s="108"/>
      <c r="P26" s="108"/>
      <c r="Q26" s="108"/>
      <c r="R26" s="108"/>
      <c r="S26" s="108"/>
      <c r="T26" s="108"/>
      <c r="U26" s="108"/>
      <c r="V26" s="108"/>
      <c r="W26" s="108"/>
      <c r="X26" s="108"/>
      <c r="Y26" s="108"/>
      <c r="Z26" s="108"/>
      <c r="AA26" s="108"/>
      <c r="AB26" s="108"/>
      <c r="AC26" s="108"/>
      <c r="AD26" s="108"/>
      <c r="AE26" s="108"/>
      <c r="AF26" s="108"/>
      <c r="AG26" s="108"/>
      <c r="AH26" s="108"/>
    </row>
    <row r="27" spans="2:34" s="107" customFormat="1" ht="15" hidden="1" customHeight="1" outlineLevel="1" x14ac:dyDescent="0.25">
      <c r="B27" s="166" t="s">
        <v>69</v>
      </c>
      <c r="E27" s="108"/>
      <c r="F27" s="187">
        <v>1</v>
      </c>
      <c r="G27" s="108"/>
      <c r="H27" s="189"/>
      <c r="I27" s="108"/>
      <c r="J27" s="187"/>
      <c r="K27" s="108"/>
      <c r="L27" s="187"/>
      <c r="M27" s="154"/>
      <c r="N27" s="108"/>
      <c r="O27" s="108"/>
      <c r="P27" s="108"/>
      <c r="Q27" s="108"/>
      <c r="R27" s="108"/>
      <c r="S27" s="108"/>
      <c r="T27" s="108"/>
      <c r="U27" s="108"/>
      <c r="V27" s="108"/>
      <c r="W27" s="108"/>
      <c r="X27" s="108"/>
      <c r="Y27" s="108"/>
      <c r="Z27" s="108"/>
      <c r="AA27" s="108"/>
      <c r="AB27" s="108"/>
      <c r="AC27" s="108"/>
      <c r="AD27" s="108"/>
      <c r="AE27" s="108"/>
      <c r="AF27" s="108"/>
      <c r="AG27" s="108"/>
      <c r="AH27" s="108"/>
    </row>
    <row r="28" spans="2:34" s="107" customFormat="1" ht="15" customHeight="1" collapsed="1" x14ac:dyDescent="0.25">
      <c r="B28" s="166" t="s">
        <v>40</v>
      </c>
      <c r="E28" s="108"/>
      <c r="F28" s="114">
        <f>SUM(F29:F39)</f>
        <v>4</v>
      </c>
      <c r="G28" s="108"/>
      <c r="H28" s="153">
        <f>SUM(H29:H39)</f>
        <v>4</v>
      </c>
      <c r="I28" s="108"/>
      <c r="J28" s="114">
        <f>SUM(J29:J39)</f>
        <v>2</v>
      </c>
      <c r="K28" s="108"/>
      <c r="L28" s="114">
        <f>SUM(L29:L39)</f>
        <v>1</v>
      </c>
      <c r="M28" s="154"/>
      <c r="N28" s="108"/>
      <c r="O28" s="108"/>
      <c r="P28" s="108"/>
      <c r="Q28" s="108"/>
      <c r="R28" s="108"/>
      <c r="S28" s="108"/>
      <c r="T28" s="108"/>
      <c r="U28" s="108"/>
      <c r="V28" s="108"/>
      <c r="W28" s="108"/>
      <c r="X28" s="108"/>
      <c r="Y28" s="108"/>
      <c r="Z28" s="108"/>
      <c r="AA28" s="108"/>
      <c r="AB28" s="108"/>
      <c r="AC28" s="108"/>
      <c r="AD28" s="108"/>
      <c r="AE28" s="108"/>
      <c r="AF28" s="108"/>
      <c r="AG28" s="108"/>
      <c r="AH28" s="108"/>
    </row>
    <row r="29" spans="2:34" s="107" customFormat="1" ht="15" hidden="1" customHeight="1" outlineLevel="1" x14ac:dyDescent="0.25">
      <c r="B29" s="166" t="s">
        <v>70</v>
      </c>
      <c r="E29" s="108"/>
      <c r="F29" s="186"/>
      <c r="G29" s="108"/>
      <c r="H29" s="188">
        <v>1</v>
      </c>
      <c r="I29" s="108"/>
      <c r="J29" s="186"/>
      <c r="K29" s="108"/>
      <c r="L29" s="186"/>
      <c r="M29" s="154"/>
      <c r="N29" s="108"/>
      <c r="O29" s="108"/>
      <c r="P29" s="108"/>
      <c r="Q29" s="108"/>
      <c r="R29" s="108"/>
      <c r="S29" s="108"/>
      <c r="T29" s="108"/>
      <c r="U29" s="108"/>
      <c r="V29" s="108"/>
      <c r="W29" s="108"/>
      <c r="X29" s="108"/>
      <c r="Y29" s="108"/>
      <c r="Z29" s="108"/>
      <c r="AA29" s="108"/>
      <c r="AB29" s="108"/>
      <c r="AC29" s="108"/>
      <c r="AD29" s="108"/>
      <c r="AE29" s="108"/>
      <c r="AF29" s="108"/>
      <c r="AG29" s="108"/>
      <c r="AH29" s="108"/>
    </row>
    <row r="30" spans="2:34" s="107" customFormat="1" ht="15" hidden="1" customHeight="1" outlineLevel="1" x14ac:dyDescent="0.25">
      <c r="B30" s="166" t="s">
        <v>71</v>
      </c>
      <c r="E30" s="108"/>
      <c r="F30" s="127"/>
      <c r="G30" s="108"/>
      <c r="H30" s="130"/>
      <c r="I30" s="108"/>
      <c r="J30" s="127"/>
      <c r="K30" s="108"/>
      <c r="L30" s="127">
        <v>1</v>
      </c>
      <c r="M30" s="154"/>
      <c r="N30" s="108"/>
      <c r="O30" s="108"/>
      <c r="P30" s="158"/>
      <c r="Q30" s="108"/>
      <c r="R30" s="108"/>
      <c r="S30" s="108"/>
      <c r="T30" s="108"/>
      <c r="U30" s="108"/>
      <c r="V30" s="108"/>
      <c r="W30" s="108"/>
      <c r="X30" s="108"/>
      <c r="Y30" s="108"/>
      <c r="Z30" s="108"/>
      <c r="AA30" s="108"/>
      <c r="AB30" s="108"/>
      <c r="AC30" s="108"/>
      <c r="AD30" s="108"/>
      <c r="AE30" s="108"/>
      <c r="AF30" s="108"/>
      <c r="AG30" s="108"/>
      <c r="AH30" s="108"/>
    </row>
    <row r="31" spans="2:34" s="107" customFormat="1" ht="15" hidden="1" customHeight="1" outlineLevel="1" x14ac:dyDescent="0.25">
      <c r="B31" s="166" t="s">
        <v>72</v>
      </c>
      <c r="E31" s="108"/>
      <c r="F31" s="127">
        <v>1</v>
      </c>
      <c r="G31" s="108"/>
      <c r="H31" s="130"/>
      <c r="I31" s="108"/>
      <c r="J31" s="127"/>
      <c r="K31" s="108"/>
      <c r="L31" s="127"/>
      <c r="M31" s="154"/>
      <c r="N31" s="108"/>
      <c r="O31" s="108"/>
      <c r="P31" s="108"/>
      <c r="Q31" s="108"/>
      <c r="R31" s="108"/>
      <c r="S31" s="108"/>
      <c r="T31" s="108"/>
      <c r="U31" s="108"/>
      <c r="V31" s="108"/>
      <c r="W31" s="108"/>
      <c r="X31" s="108"/>
      <c r="Y31" s="108"/>
      <c r="Z31" s="108"/>
      <c r="AA31" s="108"/>
      <c r="AB31" s="108"/>
      <c r="AC31" s="108"/>
      <c r="AD31" s="108"/>
      <c r="AE31" s="108"/>
      <c r="AF31" s="108"/>
      <c r="AG31" s="108"/>
      <c r="AH31" s="108"/>
    </row>
    <row r="32" spans="2:34" s="107" customFormat="1" ht="15" hidden="1" customHeight="1" outlineLevel="1" x14ac:dyDescent="0.25">
      <c r="B32" s="166" t="s">
        <v>73</v>
      </c>
      <c r="E32" s="108"/>
      <c r="F32" s="127"/>
      <c r="G32" s="108"/>
      <c r="H32" s="130"/>
      <c r="I32" s="108"/>
      <c r="J32" s="127">
        <v>1</v>
      </c>
      <c r="K32" s="108"/>
      <c r="L32" s="127"/>
      <c r="M32" s="154"/>
      <c r="N32" s="108"/>
      <c r="O32" s="108"/>
      <c r="P32" s="108"/>
      <c r="Q32" s="108"/>
      <c r="R32" s="108"/>
      <c r="S32" s="108"/>
      <c r="T32" s="108"/>
      <c r="U32" s="108"/>
      <c r="V32" s="108"/>
      <c r="W32" s="108"/>
      <c r="X32" s="108"/>
      <c r="Y32" s="108"/>
      <c r="Z32" s="108"/>
      <c r="AA32" s="108"/>
      <c r="AB32" s="108"/>
      <c r="AC32" s="108"/>
      <c r="AD32" s="108"/>
      <c r="AE32" s="108"/>
      <c r="AF32" s="108"/>
      <c r="AG32" s="108"/>
      <c r="AH32" s="108"/>
    </row>
    <row r="33" spans="2:34" s="107" customFormat="1" ht="15" hidden="1" customHeight="1" outlineLevel="1" x14ac:dyDescent="0.25">
      <c r="B33" s="166" t="s">
        <v>74</v>
      </c>
      <c r="E33" s="108"/>
      <c r="F33" s="127"/>
      <c r="G33" s="108"/>
      <c r="H33" s="130">
        <v>1</v>
      </c>
      <c r="I33" s="108"/>
      <c r="J33" s="127"/>
      <c r="K33" s="108"/>
      <c r="L33" s="127"/>
      <c r="M33" s="154"/>
      <c r="N33" s="108"/>
      <c r="O33" s="108"/>
      <c r="P33" s="108"/>
      <c r="Q33" s="108"/>
      <c r="R33" s="108"/>
      <c r="S33" s="108"/>
      <c r="T33" s="108"/>
      <c r="U33" s="108"/>
      <c r="V33" s="108"/>
      <c r="W33" s="108"/>
      <c r="X33" s="108"/>
      <c r="Y33" s="108"/>
      <c r="Z33" s="108"/>
      <c r="AA33" s="108"/>
      <c r="AB33" s="108"/>
      <c r="AC33" s="108"/>
      <c r="AD33" s="108"/>
      <c r="AE33" s="108"/>
      <c r="AF33" s="108"/>
      <c r="AG33" s="108"/>
      <c r="AH33" s="108"/>
    </row>
    <row r="34" spans="2:34" s="107" customFormat="1" ht="15" hidden="1" customHeight="1" outlineLevel="1" x14ac:dyDescent="0.25">
      <c r="B34" s="166" t="s">
        <v>75</v>
      </c>
      <c r="E34" s="108"/>
      <c r="F34" s="127"/>
      <c r="G34" s="108"/>
      <c r="H34" s="130"/>
      <c r="I34" s="108"/>
      <c r="J34" s="127">
        <v>1</v>
      </c>
      <c r="K34" s="108"/>
      <c r="L34" s="127"/>
      <c r="M34" s="154"/>
      <c r="N34" s="108"/>
      <c r="O34" s="108"/>
      <c r="P34" s="108"/>
      <c r="Q34" s="108"/>
      <c r="R34" s="108"/>
      <c r="S34" s="108"/>
      <c r="T34" s="108"/>
      <c r="U34" s="108"/>
      <c r="V34" s="108"/>
      <c r="W34" s="108"/>
      <c r="X34" s="108"/>
      <c r="Y34" s="108"/>
      <c r="Z34" s="108"/>
      <c r="AA34" s="108"/>
      <c r="AB34" s="108"/>
      <c r="AC34" s="108"/>
      <c r="AD34" s="108"/>
      <c r="AE34" s="108"/>
      <c r="AF34" s="108"/>
      <c r="AG34" s="108"/>
      <c r="AH34" s="108"/>
    </row>
    <row r="35" spans="2:34" s="107" customFormat="1" ht="15" hidden="1" customHeight="1" outlineLevel="1" x14ac:dyDescent="0.25">
      <c r="B35" s="166" t="s">
        <v>76</v>
      </c>
      <c r="E35" s="108"/>
      <c r="F35" s="127">
        <v>1</v>
      </c>
      <c r="G35" s="108"/>
      <c r="H35" s="130"/>
      <c r="I35" s="108"/>
      <c r="J35" s="127"/>
      <c r="K35" s="108"/>
      <c r="L35" s="127"/>
      <c r="M35" s="154"/>
      <c r="N35" s="108"/>
      <c r="O35" s="108"/>
      <c r="P35" s="108"/>
      <c r="Q35" s="108"/>
      <c r="R35" s="108"/>
      <c r="S35" s="108"/>
      <c r="T35" s="108"/>
      <c r="U35" s="108"/>
      <c r="V35" s="108"/>
      <c r="W35" s="108"/>
      <c r="X35" s="108"/>
      <c r="Y35" s="108"/>
      <c r="Z35" s="108"/>
      <c r="AA35" s="108"/>
      <c r="AB35" s="108"/>
      <c r="AC35" s="108"/>
      <c r="AD35" s="108"/>
      <c r="AE35" s="108"/>
      <c r="AF35" s="108"/>
      <c r="AG35" s="108"/>
      <c r="AH35" s="108"/>
    </row>
    <row r="36" spans="2:34" s="107" customFormat="1" ht="15" hidden="1" customHeight="1" outlineLevel="1" x14ac:dyDescent="0.25">
      <c r="B36" s="166" t="s">
        <v>77</v>
      </c>
      <c r="E36" s="108"/>
      <c r="F36" s="127">
        <v>1</v>
      </c>
      <c r="G36" s="108"/>
      <c r="H36" s="130"/>
      <c r="I36" s="108"/>
      <c r="J36" s="127"/>
      <c r="K36" s="108"/>
      <c r="L36" s="127"/>
      <c r="M36" s="154"/>
      <c r="N36" s="108"/>
      <c r="O36" s="108"/>
      <c r="P36" s="108"/>
      <c r="Q36" s="108"/>
      <c r="R36" s="108"/>
      <c r="S36" s="108"/>
      <c r="T36" s="108"/>
      <c r="U36" s="108"/>
      <c r="V36" s="108"/>
      <c r="W36" s="108"/>
      <c r="X36" s="108"/>
      <c r="Y36" s="108"/>
      <c r="Z36" s="108"/>
      <c r="AA36" s="108"/>
      <c r="AB36" s="108"/>
      <c r="AC36" s="108"/>
      <c r="AD36" s="108"/>
      <c r="AE36" s="108"/>
      <c r="AF36" s="108"/>
      <c r="AG36" s="108"/>
      <c r="AH36" s="108"/>
    </row>
    <row r="37" spans="2:34" s="107" customFormat="1" ht="15" hidden="1" customHeight="1" outlineLevel="1" x14ac:dyDescent="0.25">
      <c r="B37" s="166" t="s">
        <v>78</v>
      </c>
      <c r="E37" s="108"/>
      <c r="F37" s="127"/>
      <c r="G37" s="108"/>
      <c r="H37" s="130">
        <v>1</v>
      </c>
      <c r="I37" s="108"/>
      <c r="J37" s="127"/>
      <c r="K37" s="108"/>
      <c r="L37" s="127"/>
      <c r="M37" s="154"/>
      <c r="N37" s="108"/>
      <c r="O37" s="108"/>
      <c r="P37" s="108"/>
      <c r="Q37" s="108"/>
      <c r="R37" s="108"/>
      <c r="S37" s="108"/>
      <c r="T37" s="108"/>
      <c r="U37" s="108"/>
      <c r="V37" s="108"/>
      <c r="W37" s="108"/>
      <c r="X37" s="108"/>
      <c r="Y37" s="108"/>
      <c r="Z37" s="108"/>
      <c r="AA37" s="108"/>
      <c r="AB37" s="108"/>
      <c r="AC37" s="108"/>
      <c r="AD37" s="108"/>
      <c r="AE37" s="108"/>
      <c r="AF37" s="108"/>
      <c r="AG37" s="108"/>
      <c r="AH37" s="108"/>
    </row>
    <row r="38" spans="2:34" s="107" customFormat="1" ht="15" hidden="1" customHeight="1" outlineLevel="1" x14ac:dyDescent="0.25">
      <c r="B38" s="166" t="s">
        <v>41</v>
      </c>
      <c r="E38" s="108"/>
      <c r="F38" s="127"/>
      <c r="G38" s="108"/>
      <c r="H38" s="130">
        <v>1</v>
      </c>
      <c r="I38" s="108"/>
      <c r="J38" s="127"/>
      <c r="K38" s="108"/>
      <c r="L38" s="127"/>
      <c r="M38" s="154"/>
      <c r="N38" s="108"/>
      <c r="O38" s="108"/>
      <c r="P38" s="108"/>
      <c r="Q38" s="108"/>
      <c r="R38" s="108"/>
      <c r="S38" s="108"/>
      <c r="T38" s="108"/>
      <c r="U38" s="108"/>
      <c r="V38" s="108"/>
      <c r="W38" s="108"/>
      <c r="X38" s="108"/>
      <c r="Y38" s="108"/>
      <c r="Z38" s="108"/>
      <c r="AA38" s="108"/>
      <c r="AB38" s="108"/>
      <c r="AC38" s="108"/>
      <c r="AD38" s="108"/>
      <c r="AE38" s="108"/>
      <c r="AF38" s="108"/>
      <c r="AG38" s="108"/>
      <c r="AH38" s="108"/>
    </row>
    <row r="39" spans="2:34" s="107" customFormat="1" ht="15" hidden="1" customHeight="1" outlineLevel="1" x14ac:dyDescent="0.25">
      <c r="B39" s="166" t="s">
        <v>79</v>
      </c>
      <c r="E39" s="108"/>
      <c r="F39" s="187">
        <v>1</v>
      </c>
      <c r="G39" s="108"/>
      <c r="H39" s="189"/>
      <c r="I39" s="108"/>
      <c r="J39" s="187"/>
      <c r="K39" s="108"/>
      <c r="L39" s="187"/>
      <c r="M39" s="154"/>
      <c r="N39" s="108"/>
      <c r="O39" s="108"/>
      <c r="P39" s="108"/>
      <c r="Q39" s="108"/>
      <c r="R39" s="108"/>
      <c r="S39" s="108"/>
      <c r="T39" s="108"/>
      <c r="U39" s="108"/>
      <c r="V39" s="108"/>
      <c r="W39" s="108"/>
      <c r="X39" s="108"/>
      <c r="Y39" s="108"/>
      <c r="Z39" s="108"/>
      <c r="AA39" s="108"/>
      <c r="AB39" s="108"/>
      <c r="AC39" s="108"/>
      <c r="AD39" s="108"/>
      <c r="AE39" s="108"/>
      <c r="AF39" s="108"/>
      <c r="AG39" s="108"/>
      <c r="AH39" s="108"/>
    </row>
    <row r="40" spans="2:34" s="107" customFormat="1" ht="15" customHeight="1" collapsed="1" x14ac:dyDescent="0.25">
      <c r="B40" s="126" t="s">
        <v>80</v>
      </c>
      <c r="C40" s="155"/>
      <c r="D40" s="155"/>
      <c r="E40" s="156"/>
      <c r="F40" s="117">
        <f>SUM(F41:F44)</f>
        <v>1</v>
      </c>
      <c r="G40" s="156"/>
      <c r="H40" s="129">
        <f>SUM(H41:H44)</f>
        <v>2</v>
      </c>
      <c r="I40" s="156"/>
      <c r="J40" s="117">
        <f>SUM(J41:J44)</f>
        <v>0</v>
      </c>
      <c r="K40" s="156"/>
      <c r="L40" s="117">
        <f>SUM(L41:L44)</f>
        <v>1</v>
      </c>
      <c r="M40" s="118"/>
      <c r="N40" s="108"/>
      <c r="O40" s="108"/>
      <c r="P40" s="108"/>
      <c r="Q40" s="108"/>
      <c r="R40" s="108"/>
      <c r="S40" s="108"/>
      <c r="T40" s="108"/>
      <c r="U40" s="108"/>
      <c r="V40" s="108"/>
      <c r="W40" s="108"/>
      <c r="X40" s="108"/>
      <c r="Y40" s="108"/>
      <c r="Z40" s="108"/>
      <c r="AA40" s="108"/>
      <c r="AB40" s="108"/>
      <c r="AC40" s="108"/>
      <c r="AD40" s="108"/>
      <c r="AE40" s="108"/>
      <c r="AF40" s="108"/>
      <c r="AG40" s="108"/>
      <c r="AH40" s="108"/>
    </row>
    <row r="41" spans="2:34" s="107" customFormat="1" ht="15" hidden="1" customHeight="1" outlineLevel="1" x14ac:dyDescent="0.25">
      <c r="B41" s="166" t="s">
        <v>81</v>
      </c>
      <c r="E41" s="108"/>
      <c r="F41" s="186"/>
      <c r="G41" s="108"/>
      <c r="H41" s="188"/>
      <c r="I41" s="108"/>
      <c r="J41" s="186"/>
      <c r="K41" s="108"/>
      <c r="L41" s="186">
        <v>1</v>
      </c>
      <c r="M41" s="154"/>
      <c r="N41" s="108"/>
      <c r="O41" s="108"/>
      <c r="P41" s="108"/>
      <c r="Q41" s="108"/>
      <c r="R41" s="108"/>
      <c r="S41" s="108"/>
      <c r="T41" s="108"/>
      <c r="U41" s="108"/>
      <c r="V41" s="108"/>
      <c r="W41" s="108"/>
      <c r="X41" s="108"/>
      <c r="Y41" s="108"/>
      <c r="Z41" s="108"/>
      <c r="AA41" s="108"/>
      <c r="AB41" s="108"/>
      <c r="AC41" s="108"/>
      <c r="AD41" s="108"/>
      <c r="AE41" s="108"/>
      <c r="AF41" s="108"/>
      <c r="AG41" s="108"/>
      <c r="AH41" s="108"/>
    </row>
    <row r="42" spans="2:34" s="107" customFormat="1" ht="15" hidden="1" customHeight="1" outlineLevel="1" x14ac:dyDescent="0.25">
      <c r="B42" s="166" t="s">
        <v>82</v>
      </c>
      <c r="E42" s="108"/>
      <c r="F42" s="127"/>
      <c r="G42" s="108"/>
      <c r="H42" s="130">
        <v>1</v>
      </c>
      <c r="I42" s="108"/>
      <c r="J42" s="127"/>
      <c r="K42" s="108"/>
      <c r="L42" s="127"/>
      <c r="M42" s="154"/>
      <c r="N42" s="108"/>
      <c r="O42" s="108"/>
      <c r="P42" s="158"/>
      <c r="Q42" s="108"/>
      <c r="R42" s="108"/>
      <c r="S42" s="108"/>
      <c r="T42" s="108"/>
      <c r="U42" s="108"/>
      <c r="V42" s="108"/>
      <c r="W42" s="108"/>
      <c r="X42" s="108"/>
      <c r="Y42" s="108"/>
      <c r="Z42" s="108"/>
      <c r="AA42" s="108"/>
      <c r="AB42" s="108"/>
      <c r="AC42" s="108"/>
      <c r="AD42" s="108"/>
      <c r="AE42" s="108"/>
      <c r="AF42" s="108"/>
      <c r="AG42" s="108"/>
      <c r="AH42" s="108"/>
    </row>
    <row r="43" spans="2:34" s="107" customFormat="1" ht="15" hidden="1" customHeight="1" outlineLevel="1" x14ac:dyDescent="0.25">
      <c r="B43" s="166" t="s">
        <v>83</v>
      </c>
      <c r="E43" s="108"/>
      <c r="F43" s="127"/>
      <c r="G43" s="108"/>
      <c r="H43" s="130">
        <v>1</v>
      </c>
      <c r="I43" s="108"/>
      <c r="J43" s="127"/>
      <c r="K43" s="108"/>
      <c r="L43" s="127"/>
      <c r="M43" s="154"/>
      <c r="N43" s="108"/>
      <c r="O43" s="108"/>
      <c r="P43" s="108"/>
      <c r="Q43" s="108"/>
      <c r="R43" s="108"/>
      <c r="S43" s="108"/>
      <c r="T43" s="108"/>
      <c r="U43" s="108"/>
      <c r="V43" s="108"/>
      <c r="W43" s="108"/>
      <c r="X43" s="108"/>
      <c r="Y43" s="108"/>
      <c r="Z43" s="108"/>
      <c r="AA43" s="108"/>
      <c r="AB43" s="108"/>
      <c r="AC43" s="108"/>
      <c r="AD43" s="108"/>
      <c r="AE43" s="108"/>
      <c r="AF43" s="108"/>
      <c r="AG43" s="108"/>
      <c r="AH43" s="108"/>
    </row>
    <row r="44" spans="2:34" s="107" customFormat="1" ht="15" hidden="1" customHeight="1" outlineLevel="1" x14ac:dyDescent="0.25">
      <c r="B44" s="166" t="s">
        <v>84</v>
      </c>
      <c r="E44" s="108"/>
      <c r="F44" s="187">
        <v>1</v>
      </c>
      <c r="G44" s="108"/>
      <c r="H44" s="189"/>
      <c r="I44" s="108"/>
      <c r="J44" s="187"/>
      <c r="K44" s="108"/>
      <c r="L44" s="187"/>
      <c r="M44" s="154"/>
      <c r="N44" s="108"/>
      <c r="O44" s="108"/>
      <c r="P44" s="108"/>
      <c r="Q44" s="108"/>
      <c r="R44" s="108"/>
      <c r="S44" s="108"/>
      <c r="T44" s="108"/>
      <c r="U44" s="108"/>
      <c r="V44" s="108"/>
      <c r="W44" s="108"/>
      <c r="X44" s="108"/>
      <c r="Y44" s="108"/>
      <c r="Z44" s="108"/>
      <c r="AA44" s="108"/>
      <c r="AB44" s="108"/>
      <c r="AC44" s="108"/>
      <c r="AD44" s="108"/>
      <c r="AE44" s="108"/>
      <c r="AF44" s="108"/>
      <c r="AG44" s="108"/>
      <c r="AH44" s="108"/>
    </row>
    <row r="45" spans="2:34" s="107" customFormat="1" ht="15" customHeight="1" collapsed="1" x14ac:dyDescent="0.25">
      <c r="B45" s="166" t="s">
        <v>85</v>
      </c>
      <c r="E45" s="108"/>
      <c r="F45" s="114">
        <f>SUM(F46:F69)</f>
        <v>13</v>
      </c>
      <c r="G45" s="108"/>
      <c r="H45" s="153">
        <f>SUM(H46:H69)</f>
        <v>8</v>
      </c>
      <c r="I45" s="108"/>
      <c r="J45" s="114">
        <f>SUM(J46:J69)</f>
        <v>0</v>
      </c>
      <c r="K45" s="108"/>
      <c r="L45" s="114">
        <f>SUM(L46:L69)</f>
        <v>3</v>
      </c>
      <c r="M45" s="154"/>
      <c r="N45" s="108"/>
      <c r="O45" s="108"/>
      <c r="P45" s="108"/>
      <c r="Q45" s="108"/>
      <c r="R45" s="108"/>
      <c r="S45" s="108"/>
      <c r="T45" s="108"/>
      <c r="U45" s="108"/>
      <c r="V45" s="108"/>
      <c r="W45" s="108"/>
      <c r="X45" s="108"/>
      <c r="Y45" s="108"/>
      <c r="Z45" s="108"/>
      <c r="AA45" s="108"/>
      <c r="AB45" s="108"/>
      <c r="AC45" s="108"/>
      <c r="AD45" s="108"/>
      <c r="AE45" s="108"/>
      <c r="AF45" s="108"/>
      <c r="AG45" s="108"/>
      <c r="AH45" s="108"/>
    </row>
    <row r="46" spans="2:34" s="107" customFormat="1" ht="15" hidden="1" customHeight="1" outlineLevel="1" x14ac:dyDescent="0.25">
      <c r="B46" s="166" t="s">
        <v>86</v>
      </c>
      <c r="E46" s="108"/>
      <c r="F46" s="186"/>
      <c r="G46" s="108"/>
      <c r="H46" s="188">
        <v>1</v>
      </c>
      <c r="I46" s="108"/>
      <c r="J46" s="186"/>
      <c r="K46" s="108"/>
      <c r="L46" s="186"/>
      <c r="M46" s="154"/>
      <c r="N46" s="108"/>
      <c r="O46" s="108"/>
      <c r="P46" s="108"/>
      <c r="Q46" s="108"/>
      <c r="R46" s="108"/>
      <c r="S46" s="108"/>
      <c r="T46" s="108"/>
      <c r="U46" s="108"/>
      <c r="V46" s="108"/>
      <c r="W46" s="108"/>
      <c r="X46" s="108"/>
      <c r="Y46" s="108"/>
      <c r="Z46" s="108"/>
      <c r="AA46" s="108"/>
      <c r="AB46" s="108"/>
      <c r="AC46" s="108"/>
      <c r="AD46" s="108"/>
      <c r="AE46" s="108"/>
      <c r="AF46" s="108"/>
      <c r="AG46" s="108"/>
      <c r="AH46" s="108"/>
    </row>
    <row r="47" spans="2:34" s="107" customFormat="1" ht="15" hidden="1" customHeight="1" outlineLevel="1" x14ac:dyDescent="0.25">
      <c r="B47" s="166" t="s">
        <v>87</v>
      </c>
      <c r="E47" s="108"/>
      <c r="F47" s="127">
        <v>1</v>
      </c>
      <c r="G47" s="108"/>
      <c r="H47" s="130"/>
      <c r="I47" s="108"/>
      <c r="J47" s="127"/>
      <c r="K47" s="108"/>
      <c r="L47" s="127"/>
      <c r="M47" s="154"/>
      <c r="N47" s="108"/>
      <c r="O47" s="108"/>
      <c r="P47" s="108"/>
      <c r="Q47" s="108"/>
      <c r="R47" s="108"/>
      <c r="S47" s="108"/>
      <c r="T47" s="108"/>
      <c r="U47" s="108"/>
      <c r="V47" s="108"/>
      <c r="W47" s="108"/>
      <c r="X47" s="108"/>
      <c r="Y47" s="108"/>
      <c r="Z47" s="108"/>
      <c r="AA47" s="108"/>
      <c r="AB47" s="108"/>
      <c r="AC47" s="108"/>
      <c r="AD47" s="108"/>
      <c r="AE47" s="108"/>
      <c r="AF47" s="108"/>
      <c r="AG47" s="108"/>
      <c r="AH47" s="108"/>
    </row>
    <row r="48" spans="2:34" s="107" customFormat="1" ht="15" hidden="1" customHeight="1" outlineLevel="1" x14ac:dyDescent="0.25">
      <c r="B48" s="166" t="s">
        <v>88</v>
      </c>
      <c r="E48" s="108"/>
      <c r="F48" s="127"/>
      <c r="G48" s="108"/>
      <c r="H48" s="130">
        <v>1</v>
      </c>
      <c r="I48" s="108"/>
      <c r="J48" s="127"/>
      <c r="K48" s="108"/>
      <c r="L48" s="127"/>
      <c r="M48" s="154"/>
      <c r="N48" s="108"/>
      <c r="O48" s="108"/>
      <c r="P48" s="158"/>
      <c r="Q48" s="108"/>
      <c r="R48" s="108"/>
      <c r="S48" s="108"/>
      <c r="T48" s="108"/>
      <c r="U48" s="108"/>
      <c r="V48" s="108"/>
      <c r="W48" s="108"/>
      <c r="X48" s="108"/>
      <c r="Y48" s="108"/>
      <c r="Z48" s="108"/>
      <c r="AA48" s="108"/>
      <c r="AB48" s="108"/>
      <c r="AC48" s="108"/>
      <c r="AD48" s="108"/>
      <c r="AE48" s="108"/>
      <c r="AF48" s="108"/>
      <c r="AG48" s="108"/>
      <c r="AH48" s="108"/>
    </row>
    <row r="49" spans="2:34" s="107" customFormat="1" ht="15" hidden="1" customHeight="1" outlineLevel="1" x14ac:dyDescent="0.25">
      <c r="B49" s="166" t="s">
        <v>89</v>
      </c>
      <c r="E49" s="108"/>
      <c r="F49" s="127">
        <v>1</v>
      </c>
      <c r="G49" s="108"/>
      <c r="H49" s="130"/>
      <c r="I49" s="108"/>
      <c r="J49" s="127"/>
      <c r="K49" s="108"/>
      <c r="L49" s="127"/>
      <c r="M49" s="154"/>
      <c r="N49" s="108"/>
      <c r="O49" s="108"/>
      <c r="P49" s="108"/>
      <c r="Q49" s="108"/>
      <c r="R49" s="108"/>
      <c r="S49" s="108"/>
      <c r="T49" s="108"/>
      <c r="U49" s="108"/>
      <c r="V49" s="108"/>
      <c r="W49" s="108"/>
      <c r="X49" s="108"/>
      <c r="Y49" s="108"/>
      <c r="Z49" s="108"/>
      <c r="AA49" s="108"/>
      <c r="AB49" s="108"/>
      <c r="AC49" s="108"/>
      <c r="AD49" s="108"/>
      <c r="AE49" s="108"/>
      <c r="AF49" s="108"/>
      <c r="AG49" s="108"/>
      <c r="AH49" s="108"/>
    </row>
    <row r="50" spans="2:34" s="107" customFormat="1" ht="15" hidden="1" customHeight="1" outlineLevel="1" x14ac:dyDescent="0.25">
      <c r="B50" s="166" t="s">
        <v>90</v>
      </c>
      <c r="E50" s="108"/>
      <c r="F50" s="127"/>
      <c r="G50" s="108"/>
      <c r="H50" s="130">
        <v>1</v>
      </c>
      <c r="I50" s="108"/>
      <c r="J50" s="127"/>
      <c r="K50" s="108"/>
      <c r="L50" s="127"/>
      <c r="M50" s="154"/>
      <c r="N50" s="108"/>
      <c r="O50" s="108"/>
      <c r="P50" s="108"/>
      <c r="Q50" s="108"/>
      <c r="R50" s="108"/>
      <c r="S50" s="108"/>
      <c r="T50" s="108"/>
      <c r="U50" s="108"/>
      <c r="V50" s="108"/>
      <c r="W50" s="108"/>
      <c r="X50" s="108"/>
      <c r="Y50" s="108"/>
      <c r="Z50" s="108"/>
      <c r="AA50" s="108"/>
      <c r="AB50" s="108"/>
      <c r="AC50" s="108"/>
      <c r="AD50" s="108"/>
      <c r="AE50" s="108"/>
      <c r="AF50" s="108"/>
      <c r="AG50" s="108"/>
      <c r="AH50" s="108"/>
    </row>
    <row r="51" spans="2:34" s="107" customFormat="1" ht="15" hidden="1" customHeight="1" outlineLevel="1" x14ac:dyDescent="0.25">
      <c r="B51" s="166" t="s">
        <v>54</v>
      </c>
      <c r="E51" s="108"/>
      <c r="F51" s="127">
        <v>1</v>
      </c>
      <c r="G51" s="108"/>
      <c r="H51" s="130"/>
      <c r="I51" s="108"/>
      <c r="J51" s="127"/>
      <c r="K51" s="108"/>
      <c r="L51" s="127"/>
      <c r="M51" s="154"/>
      <c r="N51" s="108"/>
      <c r="O51" s="108"/>
      <c r="P51" s="108"/>
      <c r="Q51" s="108"/>
      <c r="R51" s="108"/>
      <c r="S51" s="108"/>
      <c r="T51" s="108"/>
      <c r="U51" s="108"/>
      <c r="V51" s="108"/>
      <c r="W51" s="108"/>
      <c r="X51" s="108"/>
      <c r="Y51" s="108"/>
      <c r="Z51" s="108"/>
      <c r="AA51" s="108"/>
      <c r="AB51" s="108"/>
      <c r="AC51" s="108"/>
      <c r="AD51" s="108"/>
      <c r="AE51" s="108"/>
      <c r="AF51" s="108"/>
      <c r="AG51" s="108"/>
      <c r="AH51" s="108"/>
    </row>
    <row r="52" spans="2:34" s="107" customFormat="1" ht="15" hidden="1" customHeight="1" outlineLevel="1" x14ac:dyDescent="0.25">
      <c r="B52" s="166" t="s">
        <v>91</v>
      </c>
      <c r="E52" s="108"/>
      <c r="F52" s="127"/>
      <c r="G52" s="108"/>
      <c r="H52" s="130"/>
      <c r="I52" s="108"/>
      <c r="J52" s="127"/>
      <c r="K52" s="108"/>
      <c r="L52" s="127">
        <v>1</v>
      </c>
      <c r="M52" s="154"/>
      <c r="N52" s="108"/>
      <c r="O52" s="108"/>
      <c r="P52" s="108"/>
      <c r="Q52" s="108"/>
      <c r="R52" s="108"/>
      <c r="S52" s="108"/>
      <c r="T52" s="108"/>
      <c r="U52" s="108"/>
      <c r="V52" s="108"/>
      <c r="W52" s="108"/>
      <c r="X52" s="108"/>
      <c r="Y52" s="108"/>
      <c r="Z52" s="108"/>
      <c r="AA52" s="108"/>
      <c r="AB52" s="108"/>
      <c r="AC52" s="108"/>
      <c r="AD52" s="108"/>
      <c r="AE52" s="108"/>
      <c r="AF52" s="108"/>
      <c r="AG52" s="108"/>
      <c r="AH52" s="108"/>
    </row>
    <row r="53" spans="2:34" s="107" customFormat="1" ht="15" hidden="1" customHeight="1" outlineLevel="1" x14ac:dyDescent="0.25">
      <c r="B53" s="166" t="s">
        <v>92</v>
      </c>
      <c r="E53" s="108"/>
      <c r="F53" s="127">
        <v>1</v>
      </c>
      <c r="G53" s="108"/>
      <c r="H53" s="130"/>
      <c r="I53" s="108"/>
      <c r="J53" s="127"/>
      <c r="K53" s="108"/>
      <c r="L53" s="127"/>
      <c r="M53" s="154"/>
      <c r="N53" s="108"/>
      <c r="O53" s="108"/>
      <c r="P53" s="108"/>
      <c r="Q53" s="108"/>
      <c r="R53" s="108"/>
      <c r="S53" s="108"/>
      <c r="T53" s="108"/>
      <c r="U53" s="108"/>
      <c r="V53" s="108"/>
      <c r="W53" s="108"/>
      <c r="X53" s="108"/>
      <c r="Y53" s="108"/>
      <c r="Z53" s="108"/>
      <c r="AA53" s="108"/>
      <c r="AB53" s="108"/>
      <c r="AC53" s="108"/>
      <c r="AD53" s="108"/>
      <c r="AE53" s="108"/>
      <c r="AF53" s="108"/>
      <c r="AG53" s="108"/>
      <c r="AH53" s="108"/>
    </row>
    <row r="54" spans="2:34" s="107" customFormat="1" ht="15" hidden="1" customHeight="1" outlineLevel="1" x14ac:dyDescent="0.25">
      <c r="B54" s="166" t="s">
        <v>93</v>
      </c>
      <c r="E54" s="108"/>
      <c r="F54" s="127">
        <v>1</v>
      </c>
      <c r="G54" s="108"/>
      <c r="H54" s="130"/>
      <c r="I54" s="108"/>
      <c r="J54" s="127"/>
      <c r="K54" s="108"/>
      <c r="L54" s="127"/>
      <c r="M54" s="154"/>
      <c r="N54" s="108"/>
      <c r="O54" s="108"/>
      <c r="P54" s="108"/>
      <c r="Q54" s="108"/>
      <c r="R54" s="108"/>
      <c r="S54" s="108"/>
      <c r="T54" s="108"/>
      <c r="U54" s="108"/>
      <c r="V54" s="108"/>
      <c r="W54" s="108"/>
      <c r="X54" s="108"/>
      <c r="Y54" s="108"/>
      <c r="Z54" s="108"/>
      <c r="AA54" s="108"/>
      <c r="AB54" s="108"/>
      <c r="AC54" s="108"/>
      <c r="AD54" s="108"/>
      <c r="AE54" s="108"/>
      <c r="AF54" s="108"/>
      <c r="AG54" s="108"/>
      <c r="AH54" s="108"/>
    </row>
    <row r="55" spans="2:34" s="107" customFormat="1" ht="15" hidden="1" customHeight="1" outlineLevel="1" x14ac:dyDescent="0.25">
      <c r="B55" s="166" t="s">
        <v>42</v>
      </c>
      <c r="E55" s="108"/>
      <c r="F55" s="127"/>
      <c r="G55" s="108"/>
      <c r="H55" s="130">
        <v>1</v>
      </c>
      <c r="I55" s="108"/>
      <c r="J55" s="127"/>
      <c r="K55" s="108"/>
      <c r="L55" s="127"/>
      <c r="M55" s="154"/>
      <c r="N55" s="108"/>
      <c r="O55" s="108"/>
      <c r="P55" s="108"/>
      <c r="Q55" s="108"/>
      <c r="R55" s="108"/>
      <c r="S55" s="108"/>
      <c r="T55" s="108"/>
      <c r="U55" s="108"/>
      <c r="V55" s="108"/>
      <c r="W55" s="108"/>
      <c r="X55" s="108"/>
      <c r="Y55" s="108"/>
      <c r="Z55" s="108"/>
      <c r="AA55" s="108"/>
      <c r="AB55" s="108"/>
      <c r="AC55" s="108"/>
      <c r="AD55" s="108"/>
      <c r="AE55" s="108"/>
      <c r="AF55" s="108"/>
      <c r="AG55" s="108"/>
      <c r="AH55" s="108"/>
    </row>
    <row r="56" spans="2:34" s="107" customFormat="1" ht="15" hidden="1" customHeight="1" outlineLevel="1" x14ac:dyDescent="0.25">
      <c r="B56" s="166" t="s">
        <v>94</v>
      </c>
      <c r="E56" s="108"/>
      <c r="F56" s="127"/>
      <c r="G56" s="108"/>
      <c r="H56" s="130">
        <v>1</v>
      </c>
      <c r="I56" s="108"/>
      <c r="J56" s="127"/>
      <c r="K56" s="108"/>
      <c r="L56" s="127"/>
      <c r="M56" s="154"/>
      <c r="N56" s="108"/>
      <c r="O56" s="108"/>
      <c r="P56" s="108"/>
      <c r="Q56" s="108"/>
      <c r="R56" s="108"/>
      <c r="S56" s="108"/>
      <c r="T56" s="108"/>
      <c r="U56" s="108"/>
      <c r="V56" s="108"/>
      <c r="W56" s="108"/>
      <c r="X56" s="108"/>
      <c r="Y56" s="108"/>
      <c r="Z56" s="108"/>
      <c r="AA56" s="108"/>
      <c r="AB56" s="108"/>
      <c r="AC56" s="108"/>
      <c r="AD56" s="108"/>
      <c r="AE56" s="108"/>
      <c r="AF56" s="108"/>
      <c r="AG56" s="108"/>
      <c r="AH56" s="108"/>
    </row>
    <row r="57" spans="2:34" s="107" customFormat="1" ht="15" hidden="1" customHeight="1" outlineLevel="1" x14ac:dyDescent="0.25">
      <c r="B57" s="166" t="s">
        <v>43</v>
      </c>
      <c r="E57" s="108"/>
      <c r="F57" s="127"/>
      <c r="G57" s="108"/>
      <c r="H57" s="130">
        <v>1</v>
      </c>
      <c r="I57" s="108"/>
      <c r="J57" s="127"/>
      <c r="K57" s="108"/>
      <c r="L57" s="127"/>
      <c r="M57" s="154"/>
      <c r="N57" s="108"/>
      <c r="O57" s="108"/>
      <c r="P57" s="108"/>
      <c r="Q57" s="108"/>
      <c r="R57" s="108"/>
      <c r="S57" s="108"/>
      <c r="T57" s="108"/>
      <c r="U57" s="108"/>
      <c r="V57" s="108"/>
      <c r="W57" s="108"/>
      <c r="X57" s="108"/>
      <c r="Y57" s="108"/>
      <c r="Z57" s="108"/>
      <c r="AA57" s="108"/>
      <c r="AB57" s="108"/>
      <c r="AC57" s="108"/>
      <c r="AD57" s="108"/>
      <c r="AE57" s="108"/>
      <c r="AF57" s="108"/>
      <c r="AG57" s="108"/>
      <c r="AH57" s="108"/>
    </row>
    <row r="58" spans="2:34" s="107" customFormat="1" ht="15" hidden="1" customHeight="1" outlineLevel="1" x14ac:dyDescent="0.25">
      <c r="B58" s="166" t="s">
        <v>44</v>
      </c>
      <c r="E58" s="108"/>
      <c r="F58" s="127">
        <v>1</v>
      </c>
      <c r="G58" s="108"/>
      <c r="H58" s="130"/>
      <c r="I58" s="108"/>
      <c r="J58" s="127"/>
      <c r="K58" s="108"/>
      <c r="L58" s="127"/>
      <c r="M58" s="154"/>
      <c r="N58" s="108"/>
      <c r="O58" s="108"/>
      <c r="P58" s="108"/>
      <c r="Q58" s="108"/>
      <c r="R58" s="108"/>
      <c r="S58" s="108"/>
      <c r="T58" s="108"/>
      <c r="U58" s="108"/>
      <c r="V58" s="108"/>
      <c r="W58" s="108"/>
      <c r="X58" s="108"/>
      <c r="Y58" s="108"/>
      <c r="Z58" s="108"/>
      <c r="AA58" s="108"/>
      <c r="AB58" s="108"/>
      <c r="AC58" s="108"/>
      <c r="AD58" s="108"/>
      <c r="AE58" s="108"/>
      <c r="AF58" s="108"/>
      <c r="AG58" s="108"/>
      <c r="AH58" s="108"/>
    </row>
    <row r="59" spans="2:34" s="107" customFormat="1" ht="15" hidden="1" customHeight="1" outlineLevel="1" x14ac:dyDescent="0.25">
      <c r="B59" s="166" t="s">
        <v>95</v>
      </c>
      <c r="E59" s="108"/>
      <c r="F59" s="127">
        <v>1</v>
      </c>
      <c r="G59" s="108"/>
      <c r="H59" s="130"/>
      <c r="I59" s="108"/>
      <c r="J59" s="127"/>
      <c r="K59" s="108"/>
      <c r="L59" s="127"/>
      <c r="M59" s="154"/>
      <c r="N59" s="108"/>
      <c r="O59" s="108"/>
      <c r="P59" s="108"/>
      <c r="Q59" s="108"/>
      <c r="R59" s="108"/>
      <c r="S59" s="108"/>
      <c r="T59" s="108"/>
      <c r="U59" s="108"/>
      <c r="V59" s="108"/>
      <c r="W59" s="108"/>
      <c r="X59" s="108"/>
      <c r="Y59" s="108"/>
      <c r="Z59" s="108"/>
      <c r="AA59" s="108"/>
      <c r="AB59" s="108"/>
      <c r="AC59" s="108"/>
      <c r="AD59" s="108"/>
      <c r="AE59" s="108"/>
      <c r="AF59" s="108"/>
      <c r="AG59" s="108"/>
      <c r="AH59" s="108"/>
    </row>
    <row r="60" spans="2:34" s="107" customFormat="1" ht="15" hidden="1" customHeight="1" outlineLevel="1" x14ac:dyDescent="0.25">
      <c r="B60" s="166" t="s">
        <v>96</v>
      </c>
      <c r="E60" s="108"/>
      <c r="F60" s="127">
        <v>1</v>
      </c>
      <c r="G60" s="108"/>
      <c r="H60" s="130"/>
      <c r="I60" s="108"/>
      <c r="J60" s="127"/>
      <c r="K60" s="108"/>
      <c r="L60" s="127"/>
      <c r="M60" s="154"/>
      <c r="N60" s="108"/>
      <c r="O60" s="108"/>
      <c r="P60" s="108"/>
      <c r="Q60" s="108"/>
      <c r="R60" s="108"/>
      <c r="S60" s="108"/>
      <c r="T60" s="108"/>
      <c r="U60" s="108"/>
      <c r="V60" s="108"/>
      <c r="W60" s="108"/>
      <c r="X60" s="108"/>
      <c r="Y60" s="108"/>
      <c r="Z60" s="108"/>
      <c r="AA60" s="108"/>
      <c r="AB60" s="108"/>
      <c r="AC60" s="108"/>
      <c r="AD60" s="108"/>
      <c r="AE60" s="108"/>
      <c r="AF60" s="108"/>
      <c r="AG60" s="108"/>
      <c r="AH60" s="108"/>
    </row>
    <row r="61" spans="2:34" s="107" customFormat="1" ht="15" hidden="1" customHeight="1" outlineLevel="1" x14ac:dyDescent="0.25">
      <c r="B61" s="166" t="s">
        <v>97</v>
      </c>
      <c r="E61" s="108"/>
      <c r="F61" s="127">
        <v>1</v>
      </c>
      <c r="G61" s="108"/>
      <c r="H61" s="130"/>
      <c r="I61" s="108"/>
      <c r="J61" s="127"/>
      <c r="K61" s="108"/>
      <c r="L61" s="127"/>
      <c r="M61" s="154"/>
      <c r="N61" s="108"/>
      <c r="O61" s="108"/>
      <c r="P61" s="108"/>
      <c r="Q61" s="108"/>
      <c r="R61" s="108"/>
      <c r="S61" s="108"/>
      <c r="T61" s="108"/>
      <c r="U61" s="108"/>
      <c r="V61" s="108"/>
      <c r="W61" s="108"/>
      <c r="X61" s="108"/>
      <c r="Y61" s="108"/>
      <c r="Z61" s="108"/>
      <c r="AA61" s="108"/>
      <c r="AB61" s="108"/>
      <c r="AC61" s="108"/>
      <c r="AD61" s="108"/>
      <c r="AE61" s="108"/>
      <c r="AF61" s="108"/>
      <c r="AG61" s="108"/>
      <c r="AH61" s="108"/>
    </row>
    <row r="62" spans="2:34" s="107" customFormat="1" ht="15" hidden="1" customHeight="1" outlineLevel="1" x14ac:dyDescent="0.25">
      <c r="B62" s="166" t="s">
        <v>98</v>
      </c>
      <c r="E62" s="108"/>
      <c r="F62" s="127">
        <v>1</v>
      </c>
      <c r="G62" s="108"/>
      <c r="H62" s="130"/>
      <c r="I62" s="108"/>
      <c r="J62" s="127"/>
      <c r="K62" s="108"/>
      <c r="L62" s="127"/>
      <c r="M62" s="154"/>
      <c r="N62" s="108"/>
      <c r="O62" s="108"/>
      <c r="P62" s="108"/>
      <c r="Q62" s="108"/>
      <c r="R62" s="108"/>
      <c r="S62" s="108"/>
      <c r="T62" s="108"/>
      <c r="U62" s="108"/>
      <c r="V62" s="108"/>
      <c r="W62" s="108"/>
      <c r="X62" s="108"/>
      <c r="Y62" s="108"/>
      <c r="Z62" s="108"/>
      <c r="AA62" s="108"/>
      <c r="AB62" s="108"/>
      <c r="AC62" s="108"/>
      <c r="AD62" s="108"/>
      <c r="AE62" s="108"/>
      <c r="AF62" s="108"/>
      <c r="AG62" s="108"/>
      <c r="AH62" s="108"/>
    </row>
    <row r="63" spans="2:34" s="107" customFormat="1" ht="15" hidden="1" customHeight="1" outlineLevel="1" x14ac:dyDescent="0.25">
      <c r="B63" s="166" t="s">
        <v>46</v>
      </c>
      <c r="E63" s="108"/>
      <c r="F63" s="127"/>
      <c r="G63" s="108"/>
      <c r="H63" s="130">
        <v>1</v>
      </c>
      <c r="I63" s="108"/>
      <c r="J63" s="127"/>
      <c r="K63" s="108"/>
      <c r="L63" s="127"/>
      <c r="M63" s="154"/>
      <c r="N63" s="108"/>
      <c r="O63" s="108"/>
      <c r="P63" s="108"/>
      <c r="Q63" s="108"/>
      <c r="R63" s="108"/>
      <c r="S63" s="108"/>
      <c r="T63" s="108"/>
      <c r="U63" s="108"/>
      <c r="V63" s="108"/>
      <c r="W63" s="108"/>
      <c r="X63" s="108"/>
      <c r="Y63" s="108"/>
      <c r="Z63" s="108"/>
      <c r="AA63" s="108"/>
      <c r="AB63" s="108"/>
      <c r="AC63" s="108"/>
      <c r="AD63" s="108"/>
      <c r="AE63" s="108"/>
      <c r="AF63" s="108"/>
      <c r="AG63" s="108"/>
      <c r="AH63" s="108"/>
    </row>
    <row r="64" spans="2:34" s="107" customFormat="1" ht="15" hidden="1" customHeight="1" outlineLevel="1" x14ac:dyDescent="0.25">
      <c r="B64" s="166" t="s">
        <v>45</v>
      </c>
      <c r="E64" s="108"/>
      <c r="F64" s="127"/>
      <c r="G64" s="108"/>
      <c r="H64" s="130"/>
      <c r="I64" s="108"/>
      <c r="J64" s="127"/>
      <c r="K64" s="108"/>
      <c r="L64" s="127">
        <v>1</v>
      </c>
      <c r="M64" s="154"/>
      <c r="N64" s="108"/>
      <c r="O64" s="108"/>
      <c r="P64" s="108"/>
      <c r="Q64" s="108"/>
      <c r="R64" s="108"/>
      <c r="S64" s="108"/>
      <c r="T64" s="108"/>
      <c r="U64" s="108"/>
      <c r="V64" s="108"/>
      <c r="W64" s="108"/>
      <c r="X64" s="108"/>
      <c r="Y64" s="108"/>
      <c r="Z64" s="108"/>
      <c r="AA64" s="108"/>
      <c r="AB64" s="108"/>
      <c r="AC64" s="108"/>
      <c r="AD64" s="108"/>
      <c r="AE64" s="108"/>
      <c r="AF64" s="108"/>
      <c r="AG64" s="108"/>
      <c r="AH64" s="108"/>
    </row>
    <row r="65" spans="2:34" s="107" customFormat="1" ht="15" hidden="1" customHeight="1" outlineLevel="1" x14ac:dyDescent="0.25">
      <c r="B65" s="166" t="s">
        <v>99</v>
      </c>
      <c r="E65" s="108"/>
      <c r="F65" s="127">
        <v>1</v>
      </c>
      <c r="G65" s="108"/>
      <c r="H65" s="130"/>
      <c r="I65" s="108"/>
      <c r="J65" s="127"/>
      <c r="K65" s="108"/>
      <c r="L65" s="127"/>
      <c r="M65" s="154"/>
      <c r="N65" s="108"/>
      <c r="O65" s="108"/>
      <c r="P65" s="108"/>
      <c r="Q65" s="108"/>
      <c r="R65" s="108"/>
      <c r="S65" s="108"/>
      <c r="T65" s="108"/>
      <c r="U65" s="108"/>
      <c r="V65" s="108"/>
      <c r="W65" s="108"/>
      <c r="X65" s="108"/>
      <c r="Y65" s="108"/>
      <c r="Z65" s="108"/>
      <c r="AA65" s="108"/>
      <c r="AB65" s="108"/>
      <c r="AC65" s="108"/>
      <c r="AD65" s="108"/>
      <c r="AE65" s="108"/>
      <c r="AF65" s="108"/>
      <c r="AG65" s="108"/>
      <c r="AH65" s="108"/>
    </row>
    <row r="66" spans="2:34" s="107" customFormat="1" ht="15" hidden="1" customHeight="1" outlineLevel="1" x14ac:dyDescent="0.25">
      <c r="B66" s="166" t="s">
        <v>100</v>
      </c>
      <c r="E66" s="108"/>
      <c r="F66" s="127">
        <v>1</v>
      </c>
      <c r="G66" s="108"/>
      <c r="H66" s="130"/>
      <c r="I66" s="108"/>
      <c r="J66" s="127"/>
      <c r="K66" s="108"/>
      <c r="L66" s="127"/>
      <c r="M66" s="154"/>
      <c r="N66" s="108"/>
      <c r="O66" s="108"/>
      <c r="P66" s="108"/>
      <c r="Q66" s="108"/>
      <c r="R66" s="108"/>
      <c r="S66" s="108"/>
      <c r="T66" s="108"/>
      <c r="U66" s="108"/>
      <c r="V66" s="108"/>
      <c r="W66" s="108"/>
      <c r="X66" s="108"/>
      <c r="Y66" s="108"/>
      <c r="Z66" s="108"/>
      <c r="AA66" s="108"/>
      <c r="AB66" s="108"/>
      <c r="AC66" s="108"/>
      <c r="AD66" s="108"/>
      <c r="AE66" s="108"/>
      <c r="AF66" s="108"/>
      <c r="AG66" s="108"/>
      <c r="AH66" s="108"/>
    </row>
    <row r="67" spans="2:34" s="107" customFormat="1" ht="15" hidden="1" customHeight="1" outlineLevel="1" x14ac:dyDescent="0.25">
      <c r="B67" s="166" t="s">
        <v>101</v>
      </c>
      <c r="E67" s="108"/>
      <c r="F67" s="127"/>
      <c r="G67" s="108"/>
      <c r="H67" s="130">
        <v>1</v>
      </c>
      <c r="I67" s="108"/>
      <c r="J67" s="127"/>
      <c r="K67" s="108"/>
      <c r="L67" s="127"/>
      <c r="M67" s="154"/>
      <c r="N67" s="108"/>
      <c r="O67" s="108"/>
      <c r="P67" s="108"/>
      <c r="Q67" s="108"/>
      <c r="R67" s="108"/>
      <c r="S67" s="108"/>
      <c r="T67" s="108"/>
      <c r="U67" s="108"/>
      <c r="V67" s="108"/>
      <c r="W67" s="108"/>
      <c r="X67" s="108"/>
      <c r="Y67" s="108"/>
      <c r="Z67" s="108"/>
      <c r="AA67" s="108"/>
      <c r="AB67" s="108"/>
      <c r="AC67" s="108"/>
      <c r="AD67" s="108"/>
      <c r="AE67" s="108"/>
      <c r="AF67" s="108"/>
      <c r="AG67" s="108"/>
      <c r="AH67" s="108"/>
    </row>
    <row r="68" spans="2:34" s="107" customFormat="1" ht="15" hidden="1" customHeight="1" outlineLevel="1" x14ac:dyDescent="0.25">
      <c r="B68" s="166" t="s">
        <v>102</v>
      </c>
      <c r="E68" s="108"/>
      <c r="F68" s="127">
        <v>1</v>
      </c>
      <c r="G68" s="108"/>
      <c r="H68" s="130"/>
      <c r="I68" s="108"/>
      <c r="J68" s="127"/>
      <c r="K68" s="108"/>
      <c r="L68" s="127"/>
      <c r="M68" s="154"/>
      <c r="N68" s="108"/>
      <c r="O68" s="108"/>
      <c r="P68" s="108"/>
      <c r="Q68" s="108"/>
      <c r="R68" s="108"/>
      <c r="S68" s="108"/>
      <c r="T68" s="108"/>
      <c r="U68" s="108"/>
      <c r="V68" s="108"/>
      <c r="W68" s="108"/>
      <c r="X68" s="108"/>
      <c r="Y68" s="108"/>
      <c r="Z68" s="108"/>
      <c r="AA68" s="108"/>
      <c r="AB68" s="108"/>
      <c r="AC68" s="108"/>
      <c r="AD68" s="108"/>
      <c r="AE68" s="108"/>
      <c r="AF68" s="108"/>
      <c r="AG68" s="108"/>
      <c r="AH68" s="108"/>
    </row>
    <row r="69" spans="2:34" s="107" customFormat="1" ht="15" hidden="1" customHeight="1" outlineLevel="1" x14ac:dyDescent="0.25">
      <c r="B69" s="166" t="s">
        <v>103</v>
      </c>
      <c r="E69" s="108"/>
      <c r="F69" s="187"/>
      <c r="G69" s="108"/>
      <c r="H69" s="189"/>
      <c r="I69" s="108"/>
      <c r="J69" s="187"/>
      <c r="K69" s="108"/>
      <c r="L69" s="187">
        <v>1</v>
      </c>
      <c r="M69" s="154"/>
      <c r="N69" s="108"/>
      <c r="O69" s="108"/>
      <c r="P69" s="108"/>
      <c r="Q69" s="108"/>
      <c r="R69" s="108"/>
      <c r="S69" s="108"/>
      <c r="T69" s="108"/>
      <c r="U69" s="108"/>
      <c r="V69" s="108"/>
      <c r="W69" s="108"/>
      <c r="X69" s="108"/>
      <c r="Y69" s="108"/>
      <c r="Z69" s="108"/>
      <c r="AA69" s="108"/>
      <c r="AB69" s="108"/>
      <c r="AC69" s="108"/>
      <c r="AD69" s="108"/>
      <c r="AE69" s="108"/>
      <c r="AF69" s="108"/>
      <c r="AG69" s="108"/>
      <c r="AH69" s="108"/>
    </row>
    <row r="70" spans="2:34" s="107" customFormat="1" ht="15" customHeight="1" collapsed="1" x14ac:dyDescent="0.25">
      <c r="B70" s="126" t="s">
        <v>104</v>
      </c>
      <c r="C70" s="155"/>
      <c r="D70" s="155"/>
      <c r="E70" s="156"/>
      <c r="F70" s="117">
        <f>F71</f>
        <v>0</v>
      </c>
      <c r="G70" s="156"/>
      <c r="H70" s="129">
        <f>H71</f>
        <v>1</v>
      </c>
      <c r="I70" s="156"/>
      <c r="J70" s="117">
        <f>J71</f>
        <v>0</v>
      </c>
      <c r="K70" s="156"/>
      <c r="L70" s="117">
        <f>L71</f>
        <v>0</v>
      </c>
      <c r="M70" s="118"/>
      <c r="N70" s="108"/>
      <c r="O70" s="108"/>
      <c r="P70" s="108"/>
      <c r="Q70" s="108"/>
      <c r="R70" s="108"/>
      <c r="S70" s="108"/>
      <c r="T70" s="108"/>
      <c r="U70" s="108"/>
      <c r="V70" s="108"/>
      <c r="W70" s="108"/>
      <c r="X70" s="108"/>
      <c r="Y70" s="108"/>
      <c r="Z70" s="108"/>
      <c r="AA70" s="108"/>
      <c r="AB70" s="108"/>
      <c r="AC70" s="108"/>
      <c r="AD70" s="108"/>
      <c r="AE70" s="108"/>
      <c r="AF70" s="108"/>
      <c r="AG70" s="108"/>
      <c r="AH70" s="108"/>
    </row>
    <row r="71" spans="2:34" s="107" customFormat="1" ht="15" hidden="1" customHeight="1" outlineLevel="1" x14ac:dyDescent="0.25">
      <c r="B71" s="166" t="s">
        <v>105</v>
      </c>
      <c r="E71" s="108"/>
      <c r="F71" s="127"/>
      <c r="G71" s="108"/>
      <c r="H71" s="130">
        <v>1</v>
      </c>
      <c r="I71" s="108"/>
      <c r="J71" s="127"/>
      <c r="K71" s="108"/>
      <c r="L71" s="127"/>
      <c r="M71" s="154"/>
      <c r="N71" s="108"/>
      <c r="O71" s="108"/>
      <c r="P71" s="108"/>
      <c r="Q71" s="108"/>
      <c r="R71" s="108"/>
      <c r="S71" s="108"/>
      <c r="T71" s="108"/>
      <c r="U71" s="108"/>
      <c r="V71" s="108"/>
      <c r="W71" s="108"/>
      <c r="X71" s="108"/>
      <c r="Y71" s="108"/>
      <c r="Z71" s="108"/>
      <c r="AA71" s="108"/>
      <c r="AB71" s="108"/>
      <c r="AC71" s="108"/>
      <c r="AD71" s="108"/>
      <c r="AE71" s="108"/>
      <c r="AF71" s="108"/>
      <c r="AG71" s="108"/>
      <c r="AH71" s="108"/>
    </row>
    <row r="72" spans="2:34" s="107" customFormat="1" ht="15" customHeight="1" collapsed="1" x14ac:dyDescent="0.25">
      <c r="B72" s="159"/>
      <c r="C72" s="119"/>
      <c r="D72" s="119"/>
      <c r="E72" s="160"/>
      <c r="F72" s="161"/>
      <c r="G72" s="160"/>
      <c r="H72" s="162"/>
      <c r="I72" s="160"/>
      <c r="J72" s="161"/>
      <c r="K72" s="160"/>
      <c r="L72" s="161"/>
      <c r="M72" s="163"/>
      <c r="N72" s="108"/>
      <c r="O72" s="108"/>
      <c r="P72" s="108"/>
      <c r="Q72" s="108"/>
      <c r="R72" s="108"/>
      <c r="S72" s="108"/>
      <c r="T72" s="108"/>
      <c r="U72" s="108"/>
      <c r="V72" s="108"/>
      <c r="W72" s="108"/>
      <c r="X72" s="108"/>
      <c r="Y72" s="108"/>
      <c r="Z72" s="108"/>
      <c r="AA72" s="108"/>
      <c r="AB72" s="108"/>
      <c r="AC72" s="108"/>
      <c r="AD72" s="108"/>
      <c r="AE72" s="108"/>
      <c r="AF72" s="108"/>
      <c r="AG72" s="108"/>
      <c r="AH72" s="108"/>
    </row>
    <row r="73" spans="2:34" s="107" customFormat="1" ht="13.2" customHeight="1" x14ac:dyDescent="0.25">
      <c r="B73" s="164"/>
      <c r="E73" s="108"/>
      <c r="F73" s="165"/>
      <c r="G73" s="108"/>
      <c r="H73" s="108"/>
      <c r="I73" s="108"/>
      <c r="J73" s="108"/>
      <c r="K73" s="108"/>
      <c r="L73" s="165"/>
      <c r="M73" s="108"/>
      <c r="N73" s="108"/>
      <c r="O73" s="108"/>
      <c r="P73" s="108"/>
      <c r="Q73" s="108"/>
      <c r="R73" s="108"/>
      <c r="S73" s="108"/>
      <c r="T73" s="108"/>
      <c r="U73" s="108"/>
      <c r="V73" s="108"/>
      <c r="W73" s="108"/>
      <c r="X73" s="108"/>
      <c r="Y73" s="108"/>
      <c r="Z73" s="108"/>
      <c r="AA73" s="108"/>
      <c r="AB73" s="108"/>
      <c r="AC73" s="108"/>
      <c r="AD73" s="108"/>
      <c r="AE73" s="108"/>
      <c r="AF73" s="108"/>
      <c r="AG73" s="108"/>
      <c r="AH73" s="108"/>
    </row>
    <row r="74" spans="2:34" s="107" customFormat="1" ht="13.2" customHeight="1" x14ac:dyDescent="0.25">
      <c r="B74" s="164"/>
      <c r="E74" s="108"/>
      <c r="F74" s="165"/>
      <c r="G74" s="108"/>
      <c r="H74" s="108"/>
      <c r="I74" s="108"/>
      <c r="J74" s="108"/>
      <c r="K74" s="108"/>
      <c r="L74" s="165"/>
      <c r="M74" s="108"/>
      <c r="N74" s="108"/>
      <c r="O74" s="108"/>
      <c r="P74" s="108"/>
      <c r="Q74" s="108"/>
      <c r="R74" s="108"/>
      <c r="S74" s="108"/>
      <c r="T74" s="108"/>
      <c r="U74" s="108"/>
      <c r="V74" s="108"/>
      <c r="W74" s="108"/>
      <c r="X74" s="108"/>
      <c r="Y74" s="108"/>
      <c r="Z74" s="108"/>
      <c r="AA74" s="108"/>
      <c r="AB74" s="108"/>
      <c r="AC74" s="108"/>
      <c r="AD74" s="108"/>
      <c r="AE74" s="108"/>
      <c r="AF74" s="108"/>
      <c r="AG74" s="108"/>
      <c r="AH74" s="108"/>
    </row>
    <row r="75" spans="2:34" s="107" customFormat="1" ht="12.75" customHeight="1" x14ac:dyDescent="0.25">
      <c r="B75" s="148" t="s">
        <v>386</v>
      </c>
      <c r="E75" s="108"/>
      <c r="F75" s="165"/>
      <c r="G75" s="108"/>
      <c r="H75" s="108"/>
      <c r="I75" s="108"/>
      <c r="J75" s="108"/>
      <c r="K75" s="108"/>
      <c r="L75" s="165"/>
      <c r="M75" s="108"/>
      <c r="N75" s="108"/>
      <c r="O75" s="108"/>
      <c r="P75" s="108"/>
      <c r="Q75" s="108"/>
      <c r="R75" s="108"/>
      <c r="S75" s="108"/>
      <c r="T75" s="108"/>
      <c r="U75" s="108"/>
      <c r="V75" s="108"/>
      <c r="W75" s="108"/>
      <c r="X75" s="108"/>
      <c r="Y75" s="108"/>
      <c r="Z75" s="108"/>
      <c r="AA75" s="108"/>
      <c r="AB75" s="108"/>
      <c r="AC75" s="108"/>
      <c r="AD75" s="108"/>
      <c r="AE75" s="108"/>
      <c r="AF75" s="108"/>
      <c r="AG75" s="108"/>
      <c r="AH75" s="108"/>
    </row>
    <row r="76" spans="2:34" s="107" customFormat="1" ht="13.2" customHeight="1" x14ac:dyDescent="0.25">
      <c r="B76" s="164"/>
      <c r="F76" s="108"/>
      <c r="G76" s="165"/>
      <c r="H76" s="108"/>
      <c r="I76" s="108"/>
      <c r="J76" s="108"/>
      <c r="K76" s="108"/>
      <c r="L76" s="108"/>
      <c r="M76" s="165"/>
      <c r="N76" s="108"/>
      <c r="O76" s="108"/>
      <c r="P76" s="108"/>
      <c r="Q76" s="108"/>
      <c r="R76" s="108"/>
      <c r="S76" s="108"/>
      <c r="T76" s="108"/>
      <c r="U76" s="108"/>
      <c r="V76" s="108"/>
      <c r="W76" s="108"/>
      <c r="X76" s="108"/>
      <c r="Y76" s="108"/>
      <c r="Z76" s="108"/>
      <c r="AA76" s="108"/>
      <c r="AB76" s="108"/>
    </row>
    <row r="77" spans="2:34" s="107" customFormat="1" ht="19.8" customHeight="1" x14ac:dyDescent="0.25">
      <c r="B77" s="255" t="s">
        <v>48</v>
      </c>
      <c r="C77" s="256"/>
      <c r="D77" s="256"/>
      <c r="E77" s="257"/>
      <c r="F77" s="246" t="s">
        <v>387</v>
      </c>
      <c r="G77" s="247"/>
      <c r="H77" s="252" t="s">
        <v>388</v>
      </c>
      <c r="I77" s="253"/>
      <c r="J77" s="253"/>
      <c r="K77" s="253"/>
      <c r="L77" s="254"/>
      <c r="M77" s="108"/>
      <c r="N77" s="108"/>
      <c r="O77" s="108"/>
      <c r="P77" s="108"/>
      <c r="Q77" s="108"/>
      <c r="R77" s="108"/>
      <c r="S77" s="108"/>
      <c r="T77" s="108"/>
      <c r="U77" s="108"/>
      <c r="V77" s="108"/>
      <c r="W77" s="108"/>
      <c r="X77" s="108"/>
      <c r="Y77" s="108"/>
      <c r="Z77" s="108"/>
      <c r="AA77" s="108"/>
    </row>
    <row r="78" spans="2:34" s="107" customFormat="1" ht="23.4" customHeight="1" x14ac:dyDescent="0.25">
      <c r="B78" s="258"/>
      <c r="C78" s="259"/>
      <c r="D78" s="259"/>
      <c r="E78" s="259"/>
      <c r="F78" s="248"/>
      <c r="G78" s="249"/>
      <c r="H78" s="250" t="s">
        <v>389</v>
      </c>
      <c r="I78" s="250" t="s">
        <v>394</v>
      </c>
      <c r="J78" s="250" t="s">
        <v>390</v>
      </c>
      <c r="K78" s="250" t="s">
        <v>414</v>
      </c>
      <c r="L78" s="250" t="s">
        <v>329</v>
      </c>
      <c r="M78" s="108"/>
      <c r="N78" s="108"/>
      <c r="O78" s="108"/>
      <c r="P78" s="108"/>
      <c r="Q78" s="108"/>
      <c r="R78" s="108"/>
      <c r="S78" s="108"/>
      <c r="T78" s="108"/>
      <c r="U78" s="108"/>
      <c r="V78" s="108"/>
      <c r="W78" s="108"/>
      <c r="X78" s="108"/>
      <c r="Y78" s="108"/>
      <c r="Z78" s="108"/>
      <c r="AA78" s="108"/>
    </row>
    <row r="79" spans="2:34" s="108" customFormat="1" ht="43.5" customHeight="1" x14ac:dyDescent="0.25">
      <c r="B79" s="260"/>
      <c r="C79" s="261"/>
      <c r="D79" s="261"/>
      <c r="E79" s="261"/>
      <c r="F79" s="139" t="s">
        <v>49</v>
      </c>
      <c r="G79" s="139" t="s">
        <v>50</v>
      </c>
      <c r="H79" s="251"/>
      <c r="I79" s="251"/>
      <c r="J79" s="251"/>
      <c r="K79" s="251"/>
      <c r="L79" s="251"/>
    </row>
    <row r="80" spans="2:34" s="107" customFormat="1" ht="13.2" customHeight="1" x14ac:dyDescent="0.25">
      <c r="B80" s="166"/>
      <c r="E80" s="167"/>
      <c r="F80" s="114"/>
      <c r="G80" s="114"/>
      <c r="H80" s="108"/>
      <c r="I80" s="168"/>
      <c r="J80" s="169"/>
      <c r="K80" s="169"/>
      <c r="L80" s="169"/>
      <c r="M80" s="108"/>
      <c r="N80" s="108"/>
      <c r="O80" s="108"/>
      <c r="P80" s="108"/>
      <c r="Q80" s="108"/>
      <c r="R80" s="108"/>
      <c r="S80" s="108"/>
      <c r="T80" s="108"/>
      <c r="U80" s="108"/>
      <c r="V80" s="108"/>
      <c r="W80" s="108"/>
      <c r="X80" s="108"/>
      <c r="Y80" s="108"/>
      <c r="Z80" s="108"/>
      <c r="AA80" s="108"/>
    </row>
    <row r="81" spans="2:27" s="107" customFormat="1" ht="13.2" customHeight="1" x14ac:dyDescent="0.25">
      <c r="B81" s="120" t="s">
        <v>51</v>
      </c>
      <c r="C81" s="121"/>
      <c r="D81" s="121"/>
      <c r="E81" s="122"/>
      <c r="F81" s="132">
        <f>SUM(F83,F86,F90,F94,F104,F114,F100)</f>
        <v>20</v>
      </c>
      <c r="G81" s="133">
        <f t="shared" ref="G81:L81" si="0">SUM(G83,G86,G90,G94,G104,G114,G100)</f>
        <v>22</v>
      </c>
      <c r="H81" s="123">
        <f t="shared" si="0"/>
        <v>6</v>
      </c>
      <c r="I81" s="133">
        <f t="shared" si="0"/>
        <v>7</v>
      </c>
      <c r="J81" s="133">
        <f t="shared" si="0"/>
        <v>5</v>
      </c>
      <c r="K81" s="133">
        <f t="shared" si="0"/>
        <v>3</v>
      </c>
      <c r="L81" s="133">
        <f t="shared" si="0"/>
        <v>1</v>
      </c>
      <c r="M81" s="108"/>
      <c r="N81" s="108"/>
      <c r="O81" s="108"/>
      <c r="P81" s="108"/>
      <c r="Q81" s="108"/>
      <c r="R81" s="108"/>
      <c r="S81" s="108"/>
      <c r="T81" s="108"/>
      <c r="U81" s="108"/>
      <c r="V81" s="108"/>
      <c r="W81" s="108"/>
      <c r="X81" s="108"/>
      <c r="Y81" s="108"/>
      <c r="Z81" s="108"/>
      <c r="AA81" s="108"/>
    </row>
    <row r="82" spans="2:27" s="107" customFormat="1" ht="13.2" customHeight="1" x14ac:dyDescent="0.25">
      <c r="B82" s="166" t="s">
        <v>47</v>
      </c>
      <c r="E82" s="167"/>
      <c r="F82" s="114"/>
      <c r="G82" s="114"/>
      <c r="H82" s="108"/>
      <c r="I82" s="170"/>
      <c r="J82" s="168"/>
      <c r="K82" s="168"/>
      <c r="L82" s="168"/>
      <c r="M82" s="108"/>
      <c r="N82" s="108"/>
      <c r="O82" s="108"/>
      <c r="P82" s="108"/>
      <c r="Q82" s="108"/>
      <c r="R82" s="108"/>
      <c r="S82" s="108"/>
      <c r="T82" s="108"/>
      <c r="U82" s="108"/>
      <c r="V82" s="108"/>
      <c r="W82" s="108"/>
      <c r="X82" s="108"/>
      <c r="Y82" s="108"/>
      <c r="Z82" s="108"/>
      <c r="AA82" s="108"/>
    </row>
    <row r="83" spans="2:27" s="107" customFormat="1" ht="13.2" customHeight="1" x14ac:dyDescent="0.25">
      <c r="B83" s="147" t="s">
        <v>52</v>
      </c>
      <c r="C83" s="148"/>
      <c r="D83" s="148"/>
      <c r="E83" s="167"/>
      <c r="F83" s="171">
        <f>+H13</f>
        <v>1</v>
      </c>
      <c r="G83" s="172">
        <f>G84</f>
        <v>1</v>
      </c>
      <c r="H83" s="167">
        <f>H84</f>
        <v>1</v>
      </c>
      <c r="I83" s="172">
        <f>I84</f>
        <v>0</v>
      </c>
      <c r="J83" s="172">
        <f>J84</f>
        <v>0</v>
      </c>
      <c r="K83" s="172">
        <f>K84</f>
        <v>0</v>
      </c>
      <c r="L83" s="172">
        <f t="shared" ref="L83" si="1">L84</f>
        <v>0</v>
      </c>
      <c r="M83" s="108"/>
      <c r="N83" s="108"/>
      <c r="O83" s="108"/>
      <c r="P83" s="108"/>
      <c r="Q83" s="108"/>
      <c r="R83" s="108"/>
      <c r="S83" s="108"/>
      <c r="T83" s="108"/>
      <c r="U83" s="108"/>
      <c r="V83" s="108"/>
      <c r="W83" s="108"/>
      <c r="X83" s="108"/>
      <c r="Y83" s="108"/>
      <c r="Z83" s="108"/>
      <c r="AA83" s="108"/>
    </row>
    <row r="84" spans="2:27" s="107" customFormat="1" ht="13.2" outlineLevel="1" x14ac:dyDescent="0.25">
      <c r="B84" s="166" t="s">
        <v>108</v>
      </c>
      <c r="F84" s="114"/>
      <c r="G84" s="191">
        <f>SUM(H84:L84)</f>
        <v>1</v>
      </c>
      <c r="H84" s="192">
        <v>1</v>
      </c>
      <c r="I84" s="191"/>
      <c r="J84" s="193"/>
      <c r="K84" s="191"/>
      <c r="L84" s="193"/>
      <c r="M84" s="108"/>
      <c r="N84" s="108"/>
      <c r="O84" s="108"/>
      <c r="P84" s="108"/>
      <c r="Q84" s="108"/>
      <c r="R84" s="108"/>
      <c r="S84" s="108"/>
      <c r="T84" s="108"/>
      <c r="U84" s="108"/>
      <c r="V84" s="108"/>
      <c r="W84" s="108"/>
      <c r="X84" s="108"/>
      <c r="Y84" s="108"/>
    </row>
    <row r="85" spans="2:27" s="107" customFormat="1" ht="13.2" x14ac:dyDescent="0.25">
      <c r="B85" s="166"/>
      <c r="F85" s="114"/>
      <c r="G85" s="114"/>
      <c r="H85" s="108"/>
      <c r="I85" s="114"/>
      <c r="J85" s="168"/>
      <c r="K85" s="114"/>
      <c r="L85" s="168"/>
      <c r="M85" s="108"/>
      <c r="N85" s="108"/>
      <c r="O85" s="108"/>
      <c r="P85" s="108"/>
      <c r="Q85" s="108"/>
      <c r="R85" s="108"/>
      <c r="S85" s="108"/>
      <c r="T85" s="108"/>
      <c r="U85" s="108"/>
      <c r="V85" s="108"/>
      <c r="W85" s="108"/>
      <c r="X85" s="108"/>
      <c r="Y85" s="108"/>
    </row>
    <row r="86" spans="2:27" s="107" customFormat="1" ht="13.2" x14ac:dyDescent="0.25">
      <c r="B86" s="147" t="s">
        <v>57</v>
      </c>
      <c r="E86" s="108"/>
      <c r="F86" s="171">
        <f>H15</f>
        <v>2</v>
      </c>
      <c r="G86" s="172">
        <f>SUM(G87:G88)</f>
        <v>2</v>
      </c>
      <c r="H86" s="167">
        <f t="shared" ref="H86:L86" si="2">SUM(H87:H88)</f>
        <v>0</v>
      </c>
      <c r="I86" s="172">
        <f t="shared" si="2"/>
        <v>1</v>
      </c>
      <c r="J86" s="172">
        <f t="shared" si="2"/>
        <v>1</v>
      </c>
      <c r="K86" s="172">
        <f t="shared" si="2"/>
        <v>0</v>
      </c>
      <c r="L86" s="172">
        <f t="shared" si="2"/>
        <v>0</v>
      </c>
      <c r="M86" s="108"/>
      <c r="N86" s="108"/>
      <c r="O86" s="108"/>
      <c r="P86" s="108"/>
      <c r="Q86" s="108"/>
      <c r="R86" s="108"/>
      <c r="S86" s="108"/>
      <c r="T86" s="108"/>
      <c r="U86" s="108"/>
      <c r="V86" s="108"/>
      <c r="W86" s="108"/>
      <c r="X86" s="108"/>
    </row>
    <row r="87" spans="2:27" s="107" customFormat="1" ht="13.2" outlineLevel="1" x14ac:dyDescent="0.25">
      <c r="B87" s="166" t="s">
        <v>109</v>
      </c>
      <c r="E87" s="108"/>
      <c r="F87" s="114"/>
      <c r="G87" s="194">
        <f>SUM(H87:L87)</f>
        <v>1</v>
      </c>
      <c r="H87" s="208"/>
      <c r="I87" s="194"/>
      <c r="J87" s="194">
        <v>1</v>
      </c>
      <c r="K87" s="236"/>
      <c r="L87" s="236"/>
      <c r="M87" s="108"/>
      <c r="N87" s="108"/>
      <c r="O87" s="108"/>
      <c r="P87" s="108"/>
      <c r="Q87" s="108"/>
      <c r="R87" s="108"/>
      <c r="S87" s="108"/>
      <c r="T87" s="108"/>
      <c r="U87" s="108"/>
      <c r="V87" s="108"/>
      <c r="W87" s="108"/>
      <c r="X87" s="108"/>
    </row>
    <row r="88" spans="2:27" s="107" customFormat="1" ht="13.2" outlineLevel="1" x14ac:dyDescent="0.25">
      <c r="B88" s="166" t="s">
        <v>110</v>
      </c>
      <c r="E88" s="108"/>
      <c r="F88" s="114"/>
      <c r="G88" s="195">
        <f>SUM(H88:L88)</f>
        <v>1</v>
      </c>
      <c r="H88" s="209"/>
      <c r="I88" s="195">
        <v>1</v>
      </c>
      <c r="J88" s="237"/>
      <c r="K88" s="237"/>
      <c r="L88" s="195"/>
      <c r="M88" s="108"/>
      <c r="N88" s="108"/>
      <c r="O88" s="108"/>
      <c r="P88" s="108"/>
      <c r="Q88" s="108"/>
      <c r="R88" s="108"/>
      <c r="S88" s="108"/>
      <c r="T88" s="108"/>
      <c r="U88" s="108"/>
      <c r="V88" s="108"/>
      <c r="W88" s="108"/>
      <c r="X88" s="108"/>
    </row>
    <row r="89" spans="2:27" s="107" customFormat="1" ht="13.2" x14ac:dyDescent="0.25">
      <c r="B89" s="166"/>
      <c r="E89" s="108"/>
      <c r="F89" s="114"/>
      <c r="G89" s="114"/>
      <c r="H89" s="108"/>
      <c r="I89" s="114"/>
      <c r="J89" s="168"/>
      <c r="K89" s="168"/>
      <c r="L89" s="168"/>
      <c r="M89" s="108"/>
      <c r="N89" s="108"/>
      <c r="O89" s="108"/>
      <c r="P89" s="108"/>
      <c r="Q89" s="108"/>
      <c r="R89" s="108"/>
      <c r="S89" s="108"/>
      <c r="T89" s="108"/>
      <c r="U89" s="108"/>
      <c r="V89" s="108"/>
      <c r="W89" s="108"/>
      <c r="X89" s="108"/>
    </row>
    <row r="90" spans="2:27" s="107" customFormat="1" ht="13.2" x14ac:dyDescent="0.25">
      <c r="B90" s="147" t="s">
        <v>60</v>
      </c>
      <c r="F90" s="171">
        <f>H18</f>
        <v>2</v>
      </c>
      <c r="G90" s="172">
        <f t="shared" ref="G90:L90" si="3">SUM(G91:G92)</f>
        <v>3</v>
      </c>
      <c r="H90" s="167">
        <f t="shared" si="3"/>
        <v>0</v>
      </c>
      <c r="I90" s="172">
        <f t="shared" si="3"/>
        <v>1</v>
      </c>
      <c r="J90" s="172">
        <f t="shared" si="3"/>
        <v>0</v>
      </c>
      <c r="K90" s="172">
        <f t="shared" si="3"/>
        <v>2</v>
      </c>
      <c r="L90" s="172">
        <f t="shared" si="3"/>
        <v>0</v>
      </c>
    </row>
    <row r="91" spans="2:27" s="107" customFormat="1" ht="13.2" outlineLevel="1" x14ac:dyDescent="0.25">
      <c r="B91" s="166" t="s">
        <v>115</v>
      </c>
      <c r="F91" s="168"/>
      <c r="G91" s="194">
        <f>SUM(H91:L91)</f>
        <v>1</v>
      </c>
      <c r="H91" s="208"/>
      <c r="I91" s="194"/>
      <c r="J91" s="194"/>
      <c r="K91" s="194">
        <v>1</v>
      </c>
      <c r="L91" s="194"/>
    </row>
    <row r="92" spans="2:27" s="107" customFormat="1" ht="13.2" outlineLevel="1" x14ac:dyDescent="0.25">
      <c r="B92" s="166" t="s">
        <v>116</v>
      </c>
      <c r="F92" s="168"/>
      <c r="G92" s="195">
        <f>SUM(H92:L92)</f>
        <v>2</v>
      </c>
      <c r="H92" s="209"/>
      <c r="I92" s="195">
        <v>1</v>
      </c>
      <c r="J92" s="195"/>
      <c r="K92" s="195">
        <v>1</v>
      </c>
      <c r="L92" s="195"/>
    </row>
    <row r="93" spans="2:27" s="107" customFormat="1" ht="13.2" x14ac:dyDescent="0.25">
      <c r="B93" s="166"/>
      <c r="F93" s="168"/>
      <c r="G93" s="114"/>
      <c r="I93" s="168"/>
      <c r="J93" s="168"/>
      <c r="K93" s="168"/>
      <c r="L93" s="168"/>
    </row>
    <row r="94" spans="2:27" s="107" customFormat="1" ht="13.2" x14ac:dyDescent="0.25">
      <c r="B94" s="147" t="s">
        <v>40</v>
      </c>
      <c r="F94" s="171">
        <f>H28</f>
        <v>4</v>
      </c>
      <c r="G94" s="172">
        <f t="shared" ref="G94:L94" si="4">SUM(G95:G98)</f>
        <v>4</v>
      </c>
      <c r="H94" s="167">
        <f t="shared" si="4"/>
        <v>1</v>
      </c>
      <c r="I94" s="172">
        <f t="shared" si="4"/>
        <v>1</v>
      </c>
      <c r="J94" s="172">
        <f t="shared" si="4"/>
        <v>2</v>
      </c>
      <c r="K94" s="172">
        <f t="shared" si="4"/>
        <v>0</v>
      </c>
      <c r="L94" s="172">
        <f t="shared" si="4"/>
        <v>0</v>
      </c>
    </row>
    <row r="95" spans="2:27" s="107" customFormat="1" ht="13.2" outlineLevel="1" x14ac:dyDescent="0.25">
      <c r="B95" s="166" t="s">
        <v>120</v>
      </c>
      <c r="F95" s="114"/>
      <c r="G95" s="194">
        <f>SUM(H95:L95)</f>
        <v>1</v>
      </c>
      <c r="H95" s="208"/>
      <c r="I95" s="194"/>
      <c r="J95" s="194">
        <v>1</v>
      </c>
      <c r="K95" s="194"/>
      <c r="L95" s="194"/>
    </row>
    <row r="96" spans="2:27" s="107" customFormat="1" ht="13.2" outlineLevel="1" x14ac:dyDescent="0.25">
      <c r="B96" s="166" t="s">
        <v>124</v>
      </c>
      <c r="F96" s="114"/>
      <c r="G96" s="124">
        <f>SUM(H96:L96)</f>
        <v>1</v>
      </c>
      <c r="H96" s="45"/>
      <c r="I96" s="124">
        <v>1</v>
      </c>
      <c r="J96" s="124"/>
      <c r="K96" s="124"/>
      <c r="L96" s="124"/>
    </row>
    <row r="97" spans="2:12" s="107" customFormat="1" ht="13.2" outlineLevel="1" x14ac:dyDescent="0.25">
      <c r="B97" s="166" t="s">
        <v>128</v>
      </c>
      <c r="F97" s="114"/>
      <c r="G97" s="124">
        <f>SUM(H97:L97)</f>
        <v>1</v>
      </c>
      <c r="H97" s="45">
        <v>1</v>
      </c>
      <c r="I97" s="124"/>
      <c r="J97" s="124"/>
      <c r="K97" s="124"/>
      <c r="L97" s="124"/>
    </row>
    <row r="98" spans="2:12" s="107" customFormat="1" ht="13.2" outlineLevel="1" x14ac:dyDescent="0.25">
      <c r="B98" s="166" t="s">
        <v>129</v>
      </c>
      <c r="F98" s="114"/>
      <c r="G98" s="195">
        <f>SUM(H98:L98)</f>
        <v>1</v>
      </c>
      <c r="H98" s="209"/>
      <c r="I98" s="195"/>
      <c r="J98" s="195">
        <v>1</v>
      </c>
      <c r="K98" s="195"/>
      <c r="L98" s="195"/>
    </row>
    <row r="99" spans="2:12" s="107" customFormat="1" ht="13.2" x14ac:dyDescent="0.25">
      <c r="B99" s="166"/>
      <c r="F99" s="114"/>
      <c r="G99" s="114"/>
      <c r="I99" s="168"/>
      <c r="J99" s="168"/>
      <c r="K99" s="168"/>
      <c r="L99" s="168"/>
    </row>
    <row r="100" spans="2:12" s="107" customFormat="1" ht="13.2" x14ac:dyDescent="0.25">
      <c r="B100" s="147" t="s">
        <v>80</v>
      </c>
      <c r="F100" s="171">
        <f>H40</f>
        <v>2</v>
      </c>
      <c r="G100" s="172">
        <f>SUM(G101:G102)</f>
        <v>2</v>
      </c>
      <c r="H100" s="167">
        <f>SUM(H101:H102)</f>
        <v>0</v>
      </c>
      <c r="I100" s="172">
        <f>SUM(I101:I102)</f>
        <v>1</v>
      </c>
      <c r="J100" s="172">
        <f t="shared" ref="J100:L100" si="5">SUM(J101:J102)</f>
        <v>1</v>
      </c>
      <c r="K100" s="172">
        <f>SUM(K101:K102)</f>
        <v>0</v>
      </c>
      <c r="L100" s="172">
        <f t="shared" si="5"/>
        <v>0</v>
      </c>
    </row>
    <row r="101" spans="2:12" s="107" customFormat="1" ht="13.2" outlineLevel="1" x14ac:dyDescent="0.25">
      <c r="B101" s="166" t="s">
        <v>132</v>
      </c>
      <c r="F101" s="114"/>
      <c r="G101" s="194">
        <f>SUM(H101:L101)</f>
        <v>1</v>
      </c>
      <c r="H101" s="208"/>
      <c r="I101" s="194"/>
      <c r="J101" s="194">
        <v>1</v>
      </c>
      <c r="K101" s="194"/>
      <c r="L101" s="194"/>
    </row>
    <row r="102" spans="2:12" s="107" customFormat="1" ht="13.2" outlineLevel="1" x14ac:dyDescent="0.25">
      <c r="B102" s="166" t="s">
        <v>133</v>
      </c>
      <c r="F102" s="114"/>
      <c r="G102" s="195">
        <f>SUM(H102:L102)</f>
        <v>1</v>
      </c>
      <c r="H102" s="209"/>
      <c r="I102" s="195">
        <v>1</v>
      </c>
      <c r="J102" s="195"/>
      <c r="K102" s="195"/>
      <c r="L102" s="195"/>
    </row>
    <row r="103" spans="2:12" s="107" customFormat="1" ht="13.2" x14ac:dyDescent="0.25">
      <c r="B103" s="166"/>
      <c r="F103" s="114"/>
      <c r="G103" s="114"/>
      <c r="I103" s="168"/>
      <c r="J103" s="168"/>
      <c r="K103" s="168"/>
      <c r="L103" s="168"/>
    </row>
    <row r="104" spans="2:12" s="107" customFormat="1" ht="13.2" x14ac:dyDescent="0.25">
      <c r="B104" s="147" t="s">
        <v>412</v>
      </c>
      <c r="F104" s="171">
        <f>H45</f>
        <v>8</v>
      </c>
      <c r="G104" s="172">
        <f t="shared" ref="G104:L104" si="6">SUM(G105:G112)</f>
        <v>9</v>
      </c>
      <c r="H104" s="167">
        <f t="shared" si="6"/>
        <v>3</v>
      </c>
      <c r="I104" s="172">
        <f t="shared" si="6"/>
        <v>3</v>
      </c>
      <c r="J104" s="172">
        <f t="shared" si="6"/>
        <v>1</v>
      </c>
      <c r="K104" s="172">
        <f t="shared" si="6"/>
        <v>1</v>
      </c>
      <c r="L104" s="172">
        <f t="shared" si="6"/>
        <v>1</v>
      </c>
    </row>
    <row r="105" spans="2:12" s="107" customFormat="1" ht="13.2" outlineLevel="1" x14ac:dyDescent="0.25">
      <c r="B105" s="166" t="s">
        <v>135</v>
      </c>
      <c r="F105" s="114"/>
      <c r="G105" s="194">
        <f t="shared" ref="G105:G112" si="7">SUM(H105:L105)</f>
        <v>1</v>
      </c>
      <c r="H105" s="208"/>
      <c r="I105" s="194">
        <v>1</v>
      </c>
      <c r="J105" s="194"/>
      <c r="K105" s="194"/>
      <c r="L105" s="194"/>
    </row>
    <row r="106" spans="2:12" s="107" customFormat="1" ht="13.2" outlineLevel="1" x14ac:dyDescent="0.25">
      <c r="B106" s="166" t="s">
        <v>137</v>
      </c>
      <c r="F106" s="114"/>
      <c r="G106" s="124">
        <f t="shared" si="7"/>
        <v>1</v>
      </c>
      <c r="H106" s="45">
        <v>1</v>
      </c>
      <c r="I106" s="124"/>
      <c r="J106" s="124"/>
      <c r="K106" s="124"/>
      <c r="L106" s="124"/>
    </row>
    <row r="107" spans="2:12" s="107" customFormat="1" ht="13.2" outlineLevel="1" x14ac:dyDescent="0.25">
      <c r="B107" s="166" t="s">
        <v>139</v>
      </c>
      <c r="F107" s="114"/>
      <c r="G107" s="124">
        <f t="shared" si="7"/>
        <v>1</v>
      </c>
      <c r="H107" s="45">
        <v>1</v>
      </c>
      <c r="I107" s="124"/>
      <c r="J107" s="124"/>
      <c r="K107" s="124"/>
      <c r="L107" s="124"/>
    </row>
    <row r="108" spans="2:12" s="107" customFormat="1" ht="13.2" outlineLevel="1" x14ac:dyDescent="0.25">
      <c r="B108" s="166" t="s">
        <v>144</v>
      </c>
      <c r="F108" s="114"/>
      <c r="G108" s="124">
        <f t="shared" si="7"/>
        <v>1</v>
      </c>
      <c r="H108" s="45"/>
      <c r="I108" s="124">
        <v>1</v>
      </c>
      <c r="J108" s="124"/>
      <c r="K108" s="124"/>
      <c r="L108" s="124"/>
    </row>
    <row r="109" spans="2:12" s="107" customFormat="1" ht="13.2" outlineLevel="1" x14ac:dyDescent="0.25">
      <c r="B109" s="166" t="s">
        <v>145</v>
      </c>
      <c r="F109" s="114"/>
      <c r="G109" s="124">
        <f t="shared" si="7"/>
        <v>1</v>
      </c>
      <c r="H109" s="45">
        <v>1</v>
      </c>
      <c r="I109" s="124"/>
      <c r="J109" s="124"/>
      <c r="K109" s="124"/>
      <c r="L109" s="124"/>
    </row>
    <row r="110" spans="2:12" s="107" customFormat="1" ht="13.2" outlineLevel="1" x14ac:dyDescent="0.25">
      <c r="B110" s="166" t="s">
        <v>146</v>
      </c>
      <c r="F110" s="114"/>
      <c r="G110" s="124">
        <f t="shared" si="7"/>
        <v>1</v>
      </c>
      <c r="H110" s="45"/>
      <c r="I110" s="124"/>
      <c r="J110" s="124"/>
      <c r="K110" s="124"/>
      <c r="L110" s="124">
        <v>1</v>
      </c>
    </row>
    <row r="111" spans="2:12" s="107" customFormat="1" ht="13.2" outlineLevel="1" x14ac:dyDescent="0.25">
      <c r="B111" s="166" t="s">
        <v>152</v>
      </c>
      <c r="F111" s="114"/>
      <c r="G111" s="124">
        <f t="shared" si="7"/>
        <v>2</v>
      </c>
      <c r="H111" s="45"/>
      <c r="I111" s="124"/>
      <c r="J111" s="124">
        <v>1</v>
      </c>
      <c r="K111" s="124">
        <v>1</v>
      </c>
      <c r="L111" s="124"/>
    </row>
    <row r="112" spans="2:12" s="107" customFormat="1" ht="13.2" outlineLevel="1" x14ac:dyDescent="0.25">
      <c r="B112" s="166" t="s">
        <v>156</v>
      </c>
      <c r="F112" s="114"/>
      <c r="G112" s="195">
        <f t="shared" si="7"/>
        <v>1</v>
      </c>
      <c r="H112" s="209"/>
      <c r="I112" s="195">
        <v>1</v>
      </c>
      <c r="J112" s="195"/>
      <c r="K112" s="195"/>
      <c r="L112" s="195"/>
    </row>
    <row r="113" spans="2:12" s="107" customFormat="1" ht="13.2" x14ac:dyDescent="0.25">
      <c r="B113" s="166"/>
      <c r="F113" s="114"/>
      <c r="G113" s="114"/>
      <c r="I113" s="168"/>
      <c r="J113" s="168"/>
      <c r="K113" s="168"/>
      <c r="L113" s="168"/>
    </row>
    <row r="114" spans="2:12" s="107" customFormat="1" ht="13.2" x14ac:dyDescent="0.25">
      <c r="B114" s="147" t="s">
        <v>104</v>
      </c>
      <c r="F114" s="171">
        <f>H70</f>
        <v>1</v>
      </c>
      <c r="G114" s="172">
        <f>G115</f>
        <v>1</v>
      </c>
      <c r="H114" s="167">
        <f>H115</f>
        <v>1</v>
      </c>
      <c r="I114" s="172">
        <f>I115</f>
        <v>0</v>
      </c>
      <c r="J114" s="172">
        <f>J115</f>
        <v>0</v>
      </c>
      <c r="K114" s="172">
        <f>K115</f>
        <v>0</v>
      </c>
      <c r="L114" s="172">
        <f t="shared" ref="L114" si="8">L115</f>
        <v>0</v>
      </c>
    </row>
    <row r="115" spans="2:12" s="107" customFormat="1" ht="13.2" outlineLevel="1" x14ac:dyDescent="0.25">
      <c r="B115" s="166" t="s">
        <v>159</v>
      </c>
      <c r="F115" s="168"/>
      <c r="G115" s="191">
        <f>SUM(H115:L115)</f>
        <v>1</v>
      </c>
      <c r="H115" s="192">
        <v>1</v>
      </c>
      <c r="I115" s="191"/>
      <c r="J115" s="191"/>
      <c r="K115" s="191"/>
      <c r="L115" s="191"/>
    </row>
    <row r="116" spans="2:12" s="107" customFormat="1" ht="13.2" x14ac:dyDescent="0.25">
      <c r="B116" s="207"/>
      <c r="C116" s="119"/>
      <c r="D116" s="119"/>
      <c r="E116" s="119"/>
      <c r="F116" s="169"/>
      <c r="G116" s="169"/>
      <c r="H116" s="119"/>
      <c r="I116" s="169"/>
      <c r="J116" s="169"/>
      <c r="K116" s="169"/>
      <c r="L116" s="169"/>
    </row>
    <row r="118" spans="2:12" x14ac:dyDescent="0.3">
      <c r="B118" s="148" t="s">
        <v>231</v>
      </c>
    </row>
    <row r="120" spans="2:12" ht="23.4" customHeight="1" x14ac:dyDescent="0.3">
      <c r="B120" s="255" t="s">
        <v>48</v>
      </c>
      <c r="C120" s="256"/>
      <c r="D120" s="256"/>
      <c r="E120" s="257"/>
      <c r="F120" s="246" t="s">
        <v>391</v>
      </c>
      <c r="G120" s="247"/>
      <c r="H120" s="271" t="s">
        <v>164</v>
      </c>
      <c r="I120" s="273"/>
    </row>
    <row r="121" spans="2:12" ht="23.4" customHeight="1" x14ac:dyDescent="0.3">
      <c r="B121" s="258"/>
      <c r="C121" s="259"/>
      <c r="D121" s="259"/>
      <c r="E121" s="276"/>
      <c r="F121" s="248"/>
      <c r="G121" s="249"/>
      <c r="H121" s="250" t="s">
        <v>392</v>
      </c>
      <c r="I121" s="250" t="s">
        <v>413</v>
      </c>
    </row>
    <row r="122" spans="2:12" ht="54.6" customHeight="1" x14ac:dyDescent="0.3">
      <c r="B122" s="260"/>
      <c r="C122" s="261"/>
      <c r="D122" s="261"/>
      <c r="E122" s="261"/>
      <c r="F122" s="139" t="s">
        <v>49</v>
      </c>
      <c r="G122" s="139" t="s">
        <v>50</v>
      </c>
      <c r="H122" s="251"/>
      <c r="I122" s="251"/>
    </row>
    <row r="123" spans="2:12" x14ac:dyDescent="0.3">
      <c r="B123" s="166"/>
      <c r="C123" s="107"/>
      <c r="D123" s="107"/>
      <c r="E123" s="167"/>
      <c r="F123" s="114"/>
      <c r="G123" s="114"/>
      <c r="H123" s="168"/>
      <c r="I123" s="154"/>
    </row>
    <row r="124" spans="2:12" x14ac:dyDescent="0.3">
      <c r="B124" s="120" t="s">
        <v>51</v>
      </c>
      <c r="C124" s="121"/>
      <c r="D124" s="121"/>
      <c r="E124" s="122"/>
      <c r="F124" s="138">
        <f>SUM(F126,F129)</f>
        <v>3</v>
      </c>
      <c r="G124" s="133">
        <f>SUM(G126,G129)</f>
        <v>4</v>
      </c>
      <c r="H124" s="133">
        <f t="shared" ref="H124:I124" si="9">SUM(H126,H129)</f>
        <v>3</v>
      </c>
      <c r="I124" s="143">
        <f t="shared" si="9"/>
        <v>1</v>
      </c>
    </row>
    <row r="125" spans="2:12" x14ac:dyDescent="0.3">
      <c r="B125" s="166" t="s">
        <v>47</v>
      </c>
      <c r="C125" s="107"/>
      <c r="D125" s="107"/>
      <c r="E125" s="167"/>
      <c r="F125" s="114"/>
      <c r="G125" s="114"/>
      <c r="H125" s="170"/>
      <c r="I125" s="154"/>
    </row>
    <row r="126" spans="2:12" s="107" customFormat="1" ht="13.2" x14ac:dyDescent="0.25">
      <c r="B126" s="147" t="s">
        <v>60</v>
      </c>
      <c r="F126" s="171">
        <f>J18</f>
        <v>1</v>
      </c>
      <c r="G126" s="172">
        <f>SUM(G127:G127)</f>
        <v>1</v>
      </c>
      <c r="H126" s="172">
        <f>SUM(H127:H127)</f>
        <v>1</v>
      </c>
      <c r="I126" s="211">
        <f>SUM(I127:I127)</f>
        <v>0</v>
      </c>
    </row>
    <row r="127" spans="2:12" s="107" customFormat="1" ht="13.2" outlineLevel="1" x14ac:dyDescent="0.25">
      <c r="B127" s="166" t="s">
        <v>112</v>
      </c>
      <c r="F127" s="168"/>
      <c r="G127" s="124">
        <f>SUM(H127:I127)</f>
        <v>1</v>
      </c>
      <c r="H127" s="124">
        <v>1</v>
      </c>
      <c r="I127" s="103"/>
    </row>
    <row r="128" spans="2:12" s="107" customFormat="1" ht="13.2" x14ac:dyDescent="0.25">
      <c r="B128" s="166"/>
      <c r="F128" s="168"/>
      <c r="G128" s="114"/>
      <c r="H128" s="168"/>
      <c r="I128" s="238"/>
    </row>
    <row r="129" spans="2:9" s="107" customFormat="1" ht="13.2" x14ac:dyDescent="0.25">
      <c r="B129" s="147" t="s">
        <v>40</v>
      </c>
      <c r="F129" s="171">
        <f>J28</f>
        <v>2</v>
      </c>
      <c r="G129" s="172">
        <f>SUM(G130:G131)</f>
        <v>3</v>
      </c>
      <c r="H129" s="172">
        <f>SUM(H130:H131)</f>
        <v>2</v>
      </c>
      <c r="I129" s="211">
        <f>SUM(I130:I131)</f>
        <v>1</v>
      </c>
    </row>
    <row r="130" spans="2:9" s="107" customFormat="1" ht="13.2" outlineLevel="1" x14ac:dyDescent="0.25">
      <c r="B130" s="166" t="s">
        <v>123</v>
      </c>
      <c r="F130" s="114"/>
      <c r="G130" s="194">
        <f>SUM(H130:I130)</f>
        <v>1</v>
      </c>
      <c r="H130" s="194">
        <v>1</v>
      </c>
      <c r="I130" s="219"/>
    </row>
    <row r="131" spans="2:9" s="107" customFormat="1" ht="13.2" outlineLevel="1" x14ac:dyDescent="0.25">
      <c r="B131" s="166" t="s">
        <v>125</v>
      </c>
      <c r="F131" s="114"/>
      <c r="G131" s="195">
        <f>SUM(H131:I131)</f>
        <v>2</v>
      </c>
      <c r="H131" s="195">
        <v>1</v>
      </c>
      <c r="I131" s="220">
        <v>1</v>
      </c>
    </row>
    <row r="132" spans="2:9" s="107" customFormat="1" ht="13.2" x14ac:dyDescent="0.25">
      <c r="B132" s="207"/>
      <c r="C132" s="119"/>
      <c r="D132" s="119"/>
      <c r="E132" s="119"/>
      <c r="F132" s="169"/>
      <c r="G132" s="169"/>
      <c r="H132" s="169"/>
      <c r="I132" s="213"/>
    </row>
    <row r="134" spans="2:9" x14ac:dyDescent="0.3">
      <c r="E134" s="104"/>
    </row>
  </sheetData>
  <mergeCells count="22">
    <mergeCell ref="H120:I120"/>
    <mergeCell ref="H121:H122"/>
    <mergeCell ref="I121:I122"/>
    <mergeCell ref="H77:L77"/>
    <mergeCell ref="B2:C2"/>
    <mergeCell ref="B8:E8"/>
    <mergeCell ref="F8:G8"/>
    <mergeCell ref="H8:I8"/>
    <mergeCell ref="J8:K8"/>
    <mergeCell ref="L8:M8"/>
    <mergeCell ref="B6:M6"/>
    <mergeCell ref="B120:E122"/>
    <mergeCell ref="F120:G121"/>
    <mergeCell ref="Q8:R8"/>
    <mergeCell ref="B9:E9"/>
    <mergeCell ref="B77:E79"/>
    <mergeCell ref="F77:G78"/>
    <mergeCell ref="H78:H79"/>
    <mergeCell ref="I78:I79"/>
    <mergeCell ref="J78:J79"/>
    <mergeCell ref="K78:K79"/>
    <mergeCell ref="L78:L79"/>
  </mergeCells>
  <pageMargins left="0.7" right="0.7" top="0.75" bottom="0.75" header="0.3" footer="0.3"/>
  <pageSetup scale="47" orientation="landscape" r:id="rId1"/>
  <ignoredErrors>
    <ignoredError sqref="G11:H11 I11:J11 K11:L1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1B Public Interest</vt:lpstr>
      <vt:lpstr>2B Prof Judgment</vt:lpstr>
      <vt:lpstr>3B Precondition Independence</vt:lpstr>
      <vt:lpstr>4B Disclosures of Independence</vt:lpstr>
      <vt:lpstr>5B Findings</vt:lpstr>
      <vt:lpstr>6B Engagement A&amp;C</vt:lpstr>
      <vt:lpstr>7B Practitioner's Expert</vt:lpstr>
      <vt:lpstr>8B AUP Rep - Restriction of Use</vt:lpstr>
      <vt:lpstr>9B AUP Rep - Content</vt:lpstr>
      <vt:lpstr>10B Translations</vt:lpstr>
      <vt:lpstr>11B Effective Date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Keiko Kodama</dc:creator>
  <cp:lastModifiedBy>Phil Minnaar</cp:lastModifiedBy>
  <cp:lastPrinted>2019-06-04T13:43:14Z</cp:lastPrinted>
  <dcterms:created xsi:type="dcterms:W3CDTF">2019-05-09T15:45:21Z</dcterms:created>
  <dcterms:modified xsi:type="dcterms:W3CDTF">2019-06-05T20:37:21Z</dcterms:modified>
</cp:coreProperties>
</file>