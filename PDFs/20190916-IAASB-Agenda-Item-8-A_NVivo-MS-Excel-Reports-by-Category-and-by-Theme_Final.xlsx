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S:\IAASB\Meetings\2019\September 2019\Agenda Papers\ISA 220\"/>
    </mc:Choice>
  </mc:AlternateContent>
  <xr:revisionPtr revIDLastSave="0" documentId="13_ncr:1_{0B50ADCD-DF99-4B58-B228-8BF3843D7400}" xr6:coauthVersionLast="41" xr6:coauthVersionMax="41" xr10:uidLastSave="{00000000-0000-0000-0000-000000000000}"/>
  <bookViews>
    <workbookView xWindow="-120" yWindow="-120" windowWidth="24240" windowHeight="13140" tabRatio="959" activeTab="2" xr2:uid="{00000000-000D-0000-FFFF-FFFF00000000}"/>
  </bookViews>
  <sheets>
    <sheet name="Agenda Item 8-A.1_Q1 - Category" sheetId="3" r:id="rId1"/>
    <sheet name="Agenda Item 8-A.2_Q1 - Theme" sheetId="4" r:id="rId2"/>
    <sheet name="Agenda Item 8-A.3_Q4-Category" sheetId="5" r:id="rId3"/>
    <sheet name="Agenda Item 8-A.4_Q4-Theme" sheetId="6" r:id="rId4"/>
    <sheet name="Agenda Item 8-A.5_Q7-Category" sheetId="7" r:id="rId5"/>
    <sheet name="Agenda Item 8-A.6_Q7-Theme" sheetId="8" r:id="rId6"/>
    <sheet name="Agenda Item 8-A.7_Q5-Category" sheetId="11" r:id="rId7"/>
    <sheet name="Agenda Item 8-A.8_Q2-Category" sheetId="13" r:id="rId8"/>
    <sheet name="Name" sheetId="10" state="hidden" r:id="rId9"/>
  </sheets>
  <definedNames>
    <definedName name="_xlnm._FilterDatabase" localSheetId="8" hidden="1">Name!$A$1:$AK$92</definedName>
    <definedName name="_xlnm.Print_Titles" localSheetId="1">'Agenda Item 8-A.2_Q1 - Theme'!$A:$A,'Agenda Item 8-A.2_Q1 - Theme'!$9:$9</definedName>
    <definedName name="_xlnm.Print_Titles" localSheetId="2">'Agenda Item 8-A.3_Q4-Category'!$A:$A,'Agenda Item 8-A.3_Q4-Category'!$12:$12</definedName>
    <definedName name="_xlnm.Print_Titles" localSheetId="3">'Agenda Item 8-A.4_Q4-Theme'!$A:$A,'Agenda Item 8-A.4_Q4-Theme'!$10:$10</definedName>
    <definedName name="_xlnm.Print_Titles" localSheetId="4">'Agenda Item 8-A.5_Q7-Category'!$A:$A,'Agenda Item 8-A.5_Q7-Category'!$11:$11</definedName>
    <definedName name="_xlnm.Print_Titles" localSheetId="5">'Agenda Item 8-A.6_Q7-Theme'!$A:$A,'Agenda Item 8-A.6_Q7-Theme'!$9:$9</definedName>
    <definedName name="_xlnm.Print_Titles" localSheetId="6">'Agenda Item 8-A.7_Q5-Category'!$A:$A,'Agenda Item 8-A.7_Q5-Category'!$11:$11</definedName>
    <definedName name="_xlnm.Print_Titles" localSheetId="7">'Agenda Item 8-A.8_Q2-Category'!$A:$A,'Agenda Item 8-A.8_Q2-Category'!$11:$11</definedName>
  </definedNames>
  <calcPr calcId="191029"/>
  <pivotCaches>
    <pivotCache cacheId="94" r:id="rId10"/>
    <pivotCache cacheId="95" r:id="rId11"/>
    <pivotCache cacheId="100" r:id="rId12"/>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2" i="5" l="1"/>
  <c r="F21" i="5"/>
  <c r="F20" i="5"/>
  <c r="F19" i="5"/>
  <c r="F18" i="5"/>
  <c r="F17" i="5"/>
  <c r="F16" i="5"/>
  <c r="F15" i="5"/>
  <c r="F14" i="5"/>
  <c r="F13" i="5"/>
  <c r="C9" i="5"/>
  <c r="E21" i="13" l="1"/>
  <c r="E9" i="13" s="1"/>
  <c r="E20" i="13"/>
  <c r="E19" i="13"/>
  <c r="E18" i="13"/>
  <c r="E17" i="13"/>
  <c r="E16" i="13"/>
  <c r="E15" i="13"/>
  <c r="E14" i="13"/>
  <c r="E13" i="13"/>
  <c r="E12" i="13"/>
  <c r="D13" i="11"/>
  <c r="D14" i="11"/>
  <c r="D15" i="11"/>
  <c r="D16" i="11"/>
  <c r="D17" i="11"/>
  <c r="D18" i="11"/>
  <c r="D19" i="11"/>
  <c r="D20" i="11"/>
  <c r="D12" i="11"/>
  <c r="D21" i="11" s="1"/>
  <c r="C9" i="13"/>
  <c r="E9" i="5"/>
  <c r="B9" i="5"/>
  <c r="D9" i="5"/>
  <c r="D9" i="11" l="1"/>
  <c r="E22" i="3"/>
  <c r="D9" i="13"/>
  <c r="B9" i="13"/>
  <c r="B9" i="11"/>
  <c r="C9" i="11"/>
  <c r="E21" i="7" l="1"/>
  <c r="E9" i="7" s="1"/>
  <c r="E20" i="7"/>
  <c r="E19" i="7"/>
  <c r="E18" i="7"/>
  <c r="E17" i="7"/>
  <c r="E16" i="7"/>
  <c r="E15" i="7"/>
  <c r="E14" i="7"/>
  <c r="E13" i="7"/>
  <c r="E12" i="7"/>
  <c r="F9" i="5"/>
  <c r="E14" i="3"/>
  <c r="E15" i="3"/>
  <c r="E16" i="3"/>
  <c r="E17" i="3"/>
  <c r="E18" i="3"/>
  <c r="E19" i="3"/>
  <c r="E20" i="3"/>
  <c r="E21" i="3"/>
  <c r="E13" i="3"/>
  <c r="D9" i="3"/>
  <c r="C9" i="3"/>
  <c r="E9" i="3" l="1"/>
  <c r="B9" i="3"/>
  <c r="D9" i="7"/>
  <c r="B9" i="7"/>
  <c r="C9" i="7"/>
</calcChain>
</file>

<file path=xl/sharedStrings.xml><?xml version="1.0" encoding="utf-8"?>
<sst xmlns="http://schemas.openxmlformats.org/spreadsheetml/2006/main" count="686" uniqueCount="379">
  <si>
    <t>Sum of 1. Q1 - Agree</t>
  </si>
  <si>
    <t>Sum of 2. Q1 - Agree But With Further Comments</t>
  </si>
  <si>
    <t>Row Labels</t>
  </si>
  <si>
    <t>Grand Total</t>
  </si>
  <si>
    <t>Sum of A.  Stand-back Requirement</t>
  </si>
  <si>
    <t>Sum of B. Team Members' Responsibilities</t>
  </si>
  <si>
    <t>Legend:</t>
  </si>
  <si>
    <t>Agree</t>
  </si>
  <si>
    <t>Agree but with further comments</t>
  </si>
  <si>
    <t>Disagree</t>
  </si>
  <si>
    <t>1. Monitoring Group</t>
  </si>
  <si>
    <t xml:space="preserve">2. Investors and Analysts </t>
  </si>
  <si>
    <t>3. Regulators and Audit Oversight Authorities</t>
  </si>
  <si>
    <t>4. National Auditing Standard Setters</t>
  </si>
  <si>
    <t>5. Accounting Firms</t>
  </si>
  <si>
    <t>6. Public Sector Organizations</t>
  </si>
  <si>
    <t>7. Member Bodies and Other Professional Organizations</t>
  </si>
  <si>
    <t>8. Academics</t>
  </si>
  <si>
    <t>9. Individuals and Others</t>
  </si>
  <si>
    <t>NVivo MS Word Report Reference:</t>
  </si>
  <si>
    <t xml:space="preserve">Percentage </t>
  </si>
  <si>
    <t xml:space="preserve">Sum of Total </t>
  </si>
  <si>
    <r>
      <rPr>
        <b/>
        <sz val="10"/>
        <color theme="1"/>
        <rFont val="Arial"/>
        <family val="2"/>
      </rPr>
      <t>ISA 220 (Revised) Q1:</t>
    </r>
    <r>
      <rPr>
        <sz val="10"/>
        <color theme="1"/>
        <rFont val="Arial"/>
        <family val="2"/>
      </rPr>
      <t xml:space="preserve"> Do you support the focus on the sufficient and appropriate involvement of the engagement partner (see particularly paragraphs 11–13 and 37 of ED-220), as part of taking overall responsibility for managing quality on the engagement? Does the proposed ISA appropriately reflect the role of other senior members of the engagement team, including other partners? </t>
    </r>
  </si>
  <si>
    <t>N/A</t>
  </si>
  <si>
    <t>Sum of C. NTE of EP's Involvement</t>
  </si>
  <si>
    <t>Sum of D. Paragraphs 11-13 (Specific References and Suggestions)</t>
  </si>
  <si>
    <t>Sum of E. Shared Responsibility</t>
  </si>
  <si>
    <t>Sum of F. Need for Guidance</t>
  </si>
  <si>
    <t>Percantage</t>
  </si>
  <si>
    <t>Sum of 1. Q7 - Agree</t>
  </si>
  <si>
    <t>Sum of 2. Q7 - Agree But With Further Comments</t>
  </si>
  <si>
    <t>Sum of 3. Q7 - Disagree</t>
  </si>
  <si>
    <r>
      <rPr>
        <b/>
        <sz val="10"/>
        <color theme="1"/>
        <rFont val="Arial"/>
        <family val="2"/>
      </rPr>
      <t xml:space="preserve">ISA 220 (Revised) Q7: </t>
    </r>
    <r>
      <rPr>
        <sz val="10"/>
        <color theme="1"/>
        <rFont val="Arial"/>
        <family val="2"/>
      </rPr>
      <t xml:space="preserve">Is ED-220 appropriately scalable to engagements of different sizes and complexity, including through the focus on the nature and circumstances of the engagement in the requirements? </t>
    </r>
  </si>
  <si>
    <t>Percentage</t>
  </si>
  <si>
    <t>Sum of A. Identify Conditional Requirements</t>
  </si>
  <si>
    <t>Sum of B. Need for Guidance</t>
  </si>
  <si>
    <t>Name</t>
  </si>
  <si>
    <t xml:space="preserve">Name Abrv. </t>
  </si>
  <si>
    <t>Region</t>
  </si>
  <si>
    <t>Respondent Name</t>
  </si>
  <si>
    <t>Function</t>
  </si>
  <si>
    <t>1. Q1 - Agree</t>
  </si>
  <si>
    <t>2. Q1 - Agree But With Further Comments</t>
  </si>
  <si>
    <t>3. Q1 Disagree</t>
  </si>
  <si>
    <t>A.  Stand-back Requirement</t>
  </si>
  <si>
    <t>B. Team Members' Responsibilities</t>
  </si>
  <si>
    <t>C. NTE of EP's Involvement</t>
  </si>
  <si>
    <t>D. Paragraphs 11-13 (Specific References and Suggestions)</t>
  </si>
  <si>
    <t>E. Shared Responsibility</t>
  </si>
  <si>
    <t>F. Need for Guidance</t>
  </si>
  <si>
    <t>1. Q4A - Agree with Definition</t>
  </si>
  <si>
    <t>2. Q4A - Agree with Definition But With Further Comments</t>
  </si>
  <si>
    <t>A. Inclusion of Component Auditors</t>
  </si>
  <si>
    <t>B. Definition of Audit Procedures</t>
  </si>
  <si>
    <t>C. Applicability to Other Parties</t>
  </si>
  <si>
    <t>D. Practical Implications</t>
  </si>
  <si>
    <t>E. Need for Clarity or Guidance</t>
  </si>
  <si>
    <t>1. Q7 - Agree</t>
  </si>
  <si>
    <t>2. Q7 - Agree But With Further Comments</t>
  </si>
  <si>
    <t>3. Q7 - Disagree</t>
  </si>
  <si>
    <t>A. Identify Conditional Requirements</t>
  </si>
  <si>
    <t>B. Need for Guidance</t>
  </si>
  <si>
    <t>C. Upwards Scalability</t>
  </si>
  <si>
    <t>Cases\\AAA-ASC</t>
  </si>
  <si>
    <t>AAA-ASC</t>
  </si>
  <si>
    <t>NA</t>
  </si>
  <si>
    <t>Auditing Standards Committee of the American Accounting Association</t>
  </si>
  <si>
    <t>Cases\\ACAG</t>
  </si>
  <si>
    <t>ACAG</t>
  </si>
  <si>
    <t>AE</t>
  </si>
  <si>
    <t>Australasian Council of Auditors General</t>
  </si>
  <si>
    <t>Cases\\ACCA-CAANZ</t>
  </si>
  <si>
    <t>ACCA-CAANZ</t>
  </si>
  <si>
    <t>Global</t>
  </si>
  <si>
    <t>Chartered Accountants Australia and New Zealand and the Association of Chartered Certified Accountants</t>
  </si>
  <si>
    <t>Cases\\AE</t>
  </si>
  <si>
    <t>EU</t>
  </si>
  <si>
    <t>Accountancy Europe</t>
  </si>
  <si>
    <t>Cases\\AFV</t>
  </si>
  <si>
    <t>AFV</t>
  </si>
  <si>
    <t>SA</t>
  </si>
  <si>
    <t>Alvaro Fonesca Vivas</t>
  </si>
  <si>
    <t>Cases\\AGSA</t>
  </si>
  <si>
    <t>AGSA</t>
  </si>
  <si>
    <t>MEA</t>
  </si>
  <si>
    <t>Auditor General of South Africa</t>
  </si>
  <si>
    <t>Cases\\AICPA</t>
  </si>
  <si>
    <t>AICPA</t>
  </si>
  <si>
    <t>American Institute of Certified Public Accountants</t>
  </si>
  <si>
    <t>Cases\\AUASB</t>
  </si>
  <si>
    <t>AUASB</t>
  </si>
  <si>
    <t>Australian Auditing and Assurance Standards Board</t>
  </si>
  <si>
    <t>Cases\\BCBS</t>
  </si>
  <si>
    <t>BCBS</t>
  </si>
  <si>
    <t>Basel Committee on Banking Supervision</t>
  </si>
  <si>
    <t>Cases\\BDO</t>
  </si>
  <si>
    <t>BDO</t>
  </si>
  <si>
    <t>BDO International Limited</t>
  </si>
  <si>
    <t>Cases\\BTI</t>
  </si>
  <si>
    <t>BTI</t>
  </si>
  <si>
    <t>Baker Tilly International</t>
  </si>
  <si>
    <t>Cases\\BTVK</t>
  </si>
  <si>
    <t>BTVK</t>
  </si>
  <si>
    <t>Baker Tilly Virchow Krause, LLP</t>
  </si>
  <si>
    <t>Cases\\CAASB</t>
  </si>
  <si>
    <t>CAASB</t>
  </si>
  <si>
    <t xml:space="preserve">Canadian Auditing and Assurance Standards Board </t>
  </si>
  <si>
    <t>Cases\\CAA-TAS</t>
  </si>
  <si>
    <t>CAA-TAS</t>
  </si>
  <si>
    <t>Training and Advisory Services &amp; Chartered Accountants Academy</t>
  </si>
  <si>
    <t>Cases\\CAI</t>
  </si>
  <si>
    <t>CAI</t>
  </si>
  <si>
    <t>Chartered Accountants Ireland</t>
  </si>
  <si>
    <t>Cases\\CalCPA</t>
  </si>
  <si>
    <t>CalCPA</t>
  </si>
  <si>
    <t>California Society of CPAs</t>
  </si>
  <si>
    <t>Cases\\CAQ</t>
  </si>
  <si>
    <t>CAQ</t>
  </si>
  <si>
    <t>Center for Audit Quality</t>
  </si>
  <si>
    <t>Cases\\CASI</t>
  </si>
  <si>
    <t>CASI</t>
  </si>
  <si>
    <t>CAS INTERNATIONAL</t>
  </si>
  <si>
    <t>Cases\\CCC-ICPARD</t>
  </si>
  <si>
    <t>CCC-ICPARD</t>
  </si>
  <si>
    <t>Comite Control de Calidad del ICPARD</t>
  </si>
  <si>
    <t>Cases\\CFC</t>
  </si>
  <si>
    <t>CFC</t>
  </si>
  <si>
    <t>Conselho Federal de Contabilidade - Federal Accounting Council</t>
  </si>
  <si>
    <t>Cases\\CG</t>
  </si>
  <si>
    <t>CG</t>
  </si>
  <si>
    <t>Crowe Global</t>
  </si>
  <si>
    <t>Cases\\CICC-AIC</t>
  </si>
  <si>
    <t>CICC-AIC</t>
  </si>
  <si>
    <t>Comision Interamericana de Control de Calidad de la AIC</t>
  </si>
  <si>
    <t>Cases\\CICPA_Final</t>
  </si>
  <si>
    <t>CICPA_Final</t>
  </si>
  <si>
    <t>Chinese Institute of Certified Public Accountants</t>
  </si>
  <si>
    <t>Cases\\CNCC-CSOEC</t>
  </si>
  <si>
    <t>CNCC-CSOEC</t>
  </si>
  <si>
    <t>Compagnie Nationale des Commissaires aux Comptes and the Conseil Superieur de I’Ordre des Experts-Comptables</t>
  </si>
  <si>
    <t>Cases\\CNDCEC</t>
  </si>
  <si>
    <t>CNDCEC</t>
  </si>
  <si>
    <t xml:space="preserve">Consiglio Nazionale dei Dottori Commercialisti e degli Esperti Contabili </t>
  </si>
  <si>
    <t>Cases\\CPAA</t>
  </si>
  <si>
    <t>CPAA</t>
  </si>
  <si>
    <t>CPA Australia</t>
  </si>
  <si>
    <t>Cases\\CPAB</t>
  </si>
  <si>
    <t>CPAB</t>
  </si>
  <si>
    <t>Canadian Public Accountability Board</t>
  </si>
  <si>
    <t>Cases\\DTL</t>
  </si>
  <si>
    <t>DTL</t>
  </si>
  <si>
    <t>Duncan &amp; Toplis Limited</t>
  </si>
  <si>
    <t>Cases\\DTTL</t>
  </si>
  <si>
    <t>DTTL</t>
  </si>
  <si>
    <t>Deloitte Touche Tohmatsu Limited</t>
  </si>
  <si>
    <t>Cases\\ES</t>
  </si>
  <si>
    <t>ES</t>
  </si>
  <si>
    <t>EXPERTsuisse</t>
  </si>
  <si>
    <t>Cases\\ETY</t>
  </si>
  <si>
    <t>ETY</t>
  </si>
  <si>
    <t>ETY Global</t>
  </si>
  <si>
    <t>Cases\\EYG</t>
  </si>
  <si>
    <t>EYG</t>
  </si>
  <si>
    <t>Ernst &amp; Young Global Limited</t>
  </si>
  <si>
    <t>Cases\\FAAPA</t>
  </si>
  <si>
    <t>FAAPA</t>
  </si>
  <si>
    <t>Finnish Association of Authorised Public Accountants</t>
  </si>
  <si>
    <t>Cases\\FAR</t>
  </si>
  <si>
    <t>FAR</t>
  </si>
  <si>
    <t>Institute for the Accountancy Profession in Sweden</t>
  </si>
  <si>
    <t>Cases\\FRC</t>
  </si>
  <si>
    <t>FRC</t>
  </si>
  <si>
    <t>UK Financial Reporting Council</t>
  </si>
  <si>
    <t>Cases\\FSR</t>
  </si>
  <si>
    <t>FSR</t>
  </si>
  <si>
    <t>Danske Revisorer (Danish Auditors)</t>
  </si>
  <si>
    <t>Cases\\GAO</t>
  </si>
  <si>
    <t>GAO</t>
  </si>
  <si>
    <t>United States Government Accountability Office</t>
  </si>
  <si>
    <t>Cases\\GTIL</t>
  </si>
  <si>
    <t>GTIL</t>
  </si>
  <si>
    <t>Grant Thornton International Limited</t>
  </si>
  <si>
    <t>Cases\\HKICPA</t>
  </si>
  <si>
    <t>HKICPA</t>
  </si>
  <si>
    <t xml:space="preserve">Hong Kong Institute of Certified Public Accountants </t>
  </si>
  <si>
    <t>Cases\\HM</t>
  </si>
  <si>
    <t>HM</t>
  </si>
  <si>
    <t>Haysmacintyre LLP</t>
  </si>
  <si>
    <t>Cases\\IAASA</t>
  </si>
  <si>
    <t>IAASA</t>
  </si>
  <si>
    <t>Irish Auditing &amp; Accounting Supervisory Authority</t>
  </si>
  <si>
    <t>Cases\\IAB-IEC</t>
  </si>
  <si>
    <t>IAB-IEC</t>
  </si>
  <si>
    <t>Institut des Experts-comptables et des Conseils Fiscaux – Instituut Van de Accountants en de Belastingconsulenten</t>
  </si>
  <si>
    <t>Cases\\IAIS</t>
  </si>
  <si>
    <t>IAIS</t>
  </si>
  <si>
    <t>International Association of Insurance Supervisors</t>
  </si>
  <si>
    <t>Cases\\IBRACON</t>
  </si>
  <si>
    <t>IBRACON</t>
  </si>
  <si>
    <t>Instituto dos Auditores Independentes do Brasil</t>
  </si>
  <si>
    <t>Cases\\IBR-IRE</t>
  </si>
  <si>
    <t>IBR-IRE</t>
  </si>
  <si>
    <t xml:space="preserve">Belgian Institute of Registered Auditors </t>
  </si>
  <si>
    <t>Cases\\ICAEW</t>
  </si>
  <si>
    <t>ICAEW</t>
  </si>
  <si>
    <t>Institute of Chartered Accountants in England and Wales</t>
  </si>
  <si>
    <t>Cases\\ICAP</t>
  </si>
  <si>
    <t>ICAP</t>
  </si>
  <si>
    <t xml:space="preserve">Institute of Chartered Accountants of Pakistan </t>
  </si>
  <si>
    <t>Cases\\ICAS</t>
  </si>
  <si>
    <t>ICAS</t>
  </si>
  <si>
    <t>Institute of Chartered Accountants of Scotland</t>
  </si>
  <si>
    <t>Cases\\ICGN</t>
  </si>
  <si>
    <t>ICGN</t>
  </si>
  <si>
    <t>International Corporate Governance Network</t>
  </si>
  <si>
    <t>Cases\\ICJCE</t>
  </si>
  <si>
    <t>ICJCE</t>
  </si>
  <si>
    <t>Instituto de Censores Jurados de Cuentas de España</t>
  </si>
  <si>
    <t>Cases\\ICPAS</t>
  </si>
  <si>
    <t>ICPAS</t>
  </si>
  <si>
    <t>Illinois CPA Society</t>
  </si>
  <si>
    <t>Cases\\ICPAU</t>
  </si>
  <si>
    <t>ICPAU</t>
  </si>
  <si>
    <t>Institute of Certified Public Accountants of Uganda</t>
  </si>
  <si>
    <t>Cases\\IDW</t>
  </si>
  <si>
    <t>IDW</t>
  </si>
  <si>
    <t>Institut der Wirtschaftsprüfer in Deutschland</t>
  </si>
  <si>
    <t>Cases\\IFIAR</t>
  </si>
  <si>
    <t>IFIAR</t>
  </si>
  <si>
    <t>International Forum of Independent Audit Regulators</t>
  </si>
  <si>
    <t>Cases\\IMCP</t>
  </si>
  <si>
    <t>IMCP</t>
  </si>
  <si>
    <t>Instituto Mexicano de Contadores Públicos, A.C.</t>
  </si>
  <si>
    <t>Cases\\IOSCO</t>
  </si>
  <si>
    <t>IOSCO</t>
  </si>
  <si>
    <t>International Organization of Securities Commissions</t>
  </si>
  <si>
    <t>Cases\\IRBA</t>
  </si>
  <si>
    <t>IRBA</t>
  </si>
  <si>
    <t>Independent Regulatory Board for Auditors</t>
  </si>
  <si>
    <t>Cases\\ISCA</t>
  </si>
  <si>
    <t>ISCA</t>
  </si>
  <si>
    <t>Institute of Singapore Chartered Accountants</t>
  </si>
  <si>
    <t>Cases\\JICPA</t>
  </si>
  <si>
    <t>JICPA</t>
  </si>
  <si>
    <t>Japanese Institute of Certified Public Accountants</t>
  </si>
  <si>
    <t>Cases\\KI</t>
  </si>
  <si>
    <t>KI</t>
  </si>
  <si>
    <t>Kreston International</t>
  </si>
  <si>
    <t>Cases\\KPMG</t>
  </si>
  <si>
    <t>KPMG</t>
  </si>
  <si>
    <t>KPMG IFRG Limited</t>
  </si>
  <si>
    <t>Cases\\KSW</t>
  </si>
  <si>
    <t>KSW</t>
  </si>
  <si>
    <t>Kammer der Steuerberater und Wirtschaftsprüfer</t>
  </si>
  <si>
    <t>Cases\\MAASB</t>
  </si>
  <si>
    <t>MAASB</t>
  </si>
  <si>
    <t>Auditing and Assurance Standards Board of Malaysian Institute of Accountants</t>
  </si>
  <si>
    <t>Cases\\MGIW</t>
  </si>
  <si>
    <t>MGIW</t>
  </si>
  <si>
    <t>MGI Worldwide</t>
  </si>
  <si>
    <t>Cases\\MICPA</t>
  </si>
  <si>
    <t>MICPA</t>
  </si>
  <si>
    <t>The Malaysian Institute of Certified Public Accountants</t>
  </si>
  <si>
    <t>Cases\\MNP</t>
  </si>
  <si>
    <t>MNP</t>
  </si>
  <si>
    <t>MNP LLP</t>
  </si>
  <si>
    <t>Cases\\MSI</t>
  </si>
  <si>
    <t>MSI</t>
  </si>
  <si>
    <t>Moore Stephens International</t>
  </si>
  <si>
    <t>Cases\\MZRS</t>
  </si>
  <si>
    <t>MZRS</t>
  </si>
  <si>
    <t>MAZARS</t>
  </si>
  <si>
    <t>Cases\\MZRSUS</t>
  </si>
  <si>
    <t>MZRSUS</t>
  </si>
  <si>
    <t>MAZARS USA LLP</t>
  </si>
  <si>
    <t>Cases\\NAOM</t>
  </si>
  <si>
    <t>NAOM</t>
  </si>
  <si>
    <t>National Audit Office of Malta</t>
  </si>
  <si>
    <t>Cases\\NASBA</t>
  </si>
  <si>
    <t>NASBA</t>
  </si>
  <si>
    <t>National Association of State Boards of Accountancy</t>
  </si>
  <si>
    <t>Cases\\NBA</t>
  </si>
  <si>
    <t>NBA</t>
  </si>
  <si>
    <t>Royal Nederlandse Beroepsorganisatie van Accountants</t>
  </si>
  <si>
    <t>Cases\\NI</t>
  </si>
  <si>
    <t>NI</t>
  </si>
  <si>
    <t>NEXIA INTERNATIONAL</t>
  </si>
  <si>
    <t>Cases\\NRF</t>
  </si>
  <si>
    <t>NRF</t>
  </si>
  <si>
    <t>Nordic Federation of Public Accountants</t>
  </si>
  <si>
    <t>Cases\\NSW</t>
  </si>
  <si>
    <t>NSW</t>
  </si>
  <si>
    <t>Nexia Smith &amp; Williamson</t>
  </si>
  <si>
    <t>Cases\\NYSSCPA</t>
  </si>
  <si>
    <t>NYSSCPA</t>
  </si>
  <si>
    <t>Unassigned</t>
  </si>
  <si>
    <t>Cases\\NZAASB</t>
  </si>
  <si>
    <t>NZAASB</t>
  </si>
  <si>
    <t>New Zealand Auditing and Assurance Standards Board</t>
  </si>
  <si>
    <t>Cases\\OAGA</t>
  </si>
  <si>
    <t>OAGA</t>
  </si>
  <si>
    <t>Office of the Auditor General of Alberta  </t>
  </si>
  <si>
    <t>Cases\\OAGC</t>
  </si>
  <si>
    <t>OAGC</t>
  </si>
  <si>
    <t>Office of the Auditor General of Canada</t>
  </si>
  <si>
    <t>Cases\\OAGNZ</t>
  </si>
  <si>
    <t>OAGNZ</t>
  </si>
  <si>
    <t>Office of the Auditor-General (New Zealand)</t>
  </si>
  <si>
    <t>Cases\\PAS</t>
  </si>
  <si>
    <t>PAS</t>
  </si>
  <si>
    <t>Provincial Auditor Saskatchewan</t>
  </si>
  <si>
    <t>Cases\\PKFI</t>
  </si>
  <si>
    <t>PKFI</t>
  </si>
  <si>
    <t>PKF International Limited</t>
  </si>
  <si>
    <t>Cases\\PKFSA</t>
  </si>
  <si>
    <t>PKFSA</t>
  </si>
  <si>
    <t>PKF South Africa</t>
  </si>
  <si>
    <t>Cases\\PwC</t>
  </si>
  <si>
    <t>PwC</t>
  </si>
  <si>
    <t>PriceWaterhouseCoopers</t>
  </si>
  <si>
    <t>Cases\\RSMI</t>
  </si>
  <si>
    <t>RSMI</t>
  </si>
  <si>
    <t>RSM International</t>
  </si>
  <si>
    <t>Cases\\SAICA</t>
  </si>
  <si>
    <t>SAICA</t>
  </si>
  <si>
    <t>South African Institute of Chartered Accountants</t>
  </si>
  <si>
    <t>Cases\\SMPC</t>
  </si>
  <si>
    <t>SMPC</t>
  </si>
  <si>
    <t>IFAC Small and Medium Practices Committee</t>
  </si>
  <si>
    <t>Cases\\SNAO</t>
  </si>
  <si>
    <t>SNAO</t>
  </si>
  <si>
    <t>Swedish National Audit Office</t>
  </si>
  <si>
    <t>Cases\\UNSW</t>
  </si>
  <si>
    <t>UNSW</t>
  </si>
  <si>
    <t>UNSW Audit Research Network</t>
  </si>
  <si>
    <t>Cases\\VM</t>
  </si>
  <si>
    <t>VM</t>
  </si>
  <si>
    <t>Vera Massarygina</t>
  </si>
  <si>
    <t>Cases\\WPK</t>
  </si>
  <si>
    <t>WPK</t>
  </si>
  <si>
    <t>Wirtschaftsprüferkammer</t>
  </si>
  <si>
    <t>Sum of 3. Q1 Disagree</t>
  </si>
  <si>
    <t>Sum of 1. Q4A - Agree with Definition</t>
  </si>
  <si>
    <t>Sum of 2. Q4A - Agree with Definition But With Further Comments</t>
  </si>
  <si>
    <t>Sum of A. Inclusion of Component Auditors</t>
  </si>
  <si>
    <t>Sum of B. Definition of Audit Procedures</t>
  </si>
  <si>
    <t>Sum of C. Applicability to Other Parties</t>
  </si>
  <si>
    <t>Sum of D. Practical Implications</t>
  </si>
  <si>
    <t>Sum of E. Need for Clarity or Guidance</t>
  </si>
  <si>
    <r>
      <rPr>
        <b/>
        <sz val="10"/>
        <color theme="1"/>
        <rFont val="Arial"/>
        <family val="2"/>
      </rPr>
      <t>ISA 220 (Revised) Q4A:</t>
    </r>
    <r>
      <rPr>
        <sz val="10"/>
        <color theme="1"/>
        <rFont val="Arial"/>
        <family val="2"/>
      </rPr>
      <t xml:space="preserve"> Does ED-220 deal adequately with the modern auditing environment, including the use of different audit delivery models and technology?</t>
    </r>
  </si>
  <si>
    <t>1. Q5 - Agree</t>
  </si>
  <si>
    <t>2. Q5 - Agree But With Further Comments</t>
  </si>
  <si>
    <t>Sum of 1. Q5 - Agree</t>
  </si>
  <si>
    <t>Sum of 2. Q5 - Agree But With Further Comments</t>
  </si>
  <si>
    <r>
      <rPr>
        <b/>
        <sz val="10"/>
        <color theme="1"/>
        <rFont val="Arial"/>
        <family val="2"/>
      </rPr>
      <t>ISA 220 (Revised) Q5:</t>
    </r>
    <r>
      <rPr>
        <sz val="10"/>
        <color theme="1"/>
        <rFont val="Arial"/>
        <family val="2"/>
      </rPr>
      <t xml:space="preserve"> Do you support the revised requirements and guidance on direction, supervision and review? (See paragraphs 27–31 and A68–A80 of ED-220)</t>
    </r>
  </si>
  <si>
    <t>1. Q2 - Agree</t>
  </si>
  <si>
    <t>2. Q2 - Agree But With Further Comments</t>
  </si>
  <si>
    <t>3. Q2 - Disagree</t>
  </si>
  <si>
    <t>Sum of 1. Q2 - Agree</t>
  </si>
  <si>
    <t>Sum of 2. Q2 - Agree But With Further Comments</t>
  </si>
  <si>
    <t>Sum of 3. Q2 - Disagree</t>
  </si>
  <si>
    <r>
      <rPr>
        <b/>
        <sz val="10"/>
        <color theme="1"/>
        <rFont val="Arial"/>
        <family val="2"/>
      </rPr>
      <t xml:space="preserve">ISA 220 (Revised) Q2: </t>
    </r>
    <r>
      <rPr>
        <sz val="10"/>
        <color theme="1"/>
        <rFont val="Arial"/>
        <family val="2"/>
      </rPr>
      <t>Does ED-220 have appropriate linkages with the ISQMs? Do you support the requirements to follow the firm’s policies and procedures and the material referring to when the engagement partner may depend on the firm’s policies or procedures?</t>
    </r>
  </si>
  <si>
    <t>Sum of Total</t>
  </si>
  <si>
    <r>
      <rPr>
        <b/>
        <sz val="10"/>
        <color theme="1"/>
        <rFont val="Arial"/>
        <family val="2"/>
      </rPr>
      <t xml:space="preserve">ISA 220 (Revised) Q4: </t>
    </r>
    <r>
      <rPr>
        <sz val="10"/>
        <color theme="1"/>
        <rFont val="Arial"/>
        <family val="2"/>
      </rPr>
      <t>Does ED-220 deal adequately with the modern auditing environment, including the use of different audit delivery models and technology?</t>
    </r>
  </si>
  <si>
    <t>Sum of C. Upward Scalability</t>
  </si>
  <si>
    <t>Unclear or no specific response or refer to another respondent's views</t>
  </si>
  <si>
    <t>3. Q4A - Needs Clarity</t>
  </si>
  <si>
    <t>4. Q4A - Disagree</t>
  </si>
  <si>
    <t>Sum of 3. Q4A - Needs Clarity</t>
  </si>
  <si>
    <t>Sum of 4. Q4A - Disagree</t>
  </si>
  <si>
    <t>NOTE: Agenda Item 8-B.1 contains extracts from responses for Categories 1, 2 and 3 in the table below.</t>
  </si>
  <si>
    <t>Sum of 1. Q4 - Agree with Definition</t>
  </si>
  <si>
    <t>Sum of 2. Q4 - Agree with Definition But With Further Comments</t>
  </si>
  <si>
    <t>Sum of 4. Q4 - Disagree</t>
  </si>
  <si>
    <t>Sum of 3. Q4 - Needs Clarity</t>
  </si>
  <si>
    <t>NOTE: Agenda Item 8-B.2 contains extracts from responses for Categories 1, 2, 3 and 4 in the table below.</t>
  </si>
  <si>
    <t>NOTE: Agenda Item 8-B.3 contains extracts from responses for Categories 1, 2 and 3 in the table below.</t>
  </si>
  <si>
    <t>NOTE: Agenda Item 8-B.4 contains extracts from responses for Categories 1 and 2 in the table below.</t>
  </si>
  <si>
    <t xml:space="preserve">NOTE: Agenda Item 8-B.5 contains extracts from responses for Categories 1, 2 and 3 in the table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</si>
</sst>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8"/>
      <color rgb="FF000000"/>
      <name val="Microsoft Sans Serif"/>
      <family val="2"/>
    </font>
    <font>
      <sz val="8"/>
      <name val="Microsoft Sans Serif"/>
      <family val="2"/>
    </font>
    <font>
      <sz val="10"/>
      <color theme="1"/>
      <name val="Arial"/>
    </font>
  </fonts>
  <fills count="10">
    <fill>
      <patternFill patternType="none"/>
    </fill>
    <fill>
      <patternFill patternType="gray125"/>
    </fill>
    <fill>
      <patternFill patternType="solid">
        <fgColor theme="4" tint="0.79998168889431442"/>
        <bgColor theme="4" tint="0.79998168889431442"/>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rgb="FFF0F0F0"/>
        <bgColor indexed="64"/>
      </patternFill>
    </fill>
    <fill>
      <patternFill patternType="solid">
        <fgColor indexed="67"/>
        <bgColor indexed="9"/>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2" fillId="0" borderId="0" xfId="0" applyFont="1"/>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3" fillId="6" borderId="0" xfId="0" applyFont="1" applyFill="1" applyAlignment="1">
      <alignment wrapText="1"/>
    </xf>
    <xf numFmtId="0" fontId="3" fillId="0" borderId="0" xfId="0" applyFont="1"/>
    <xf numFmtId="9" fontId="2" fillId="0" borderId="0" xfId="1" applyFont="1"/>
    <xf numFmtId="0" fontId="2" fillId="0" borderId="3" xfId="0" applyFont="1" applyBorder="1"/>
    <xf numFmtId="0" fontId="3" fillId="0" borderId="3" xfId="0" applyFont="1" applyBorder="1"/>
    <xf numFmtId="0" fontId="2" fillId="0" borderId="1" xfId="0" applyNumberFormat="1" applyFont="1" applyBorder="1"/>
    <xf numFmtId="0" fontId="2" fillId="2" borderId="2" xfId="0" applyNumberFormat="1" applyFont="1" applyFill="1" applyBorder="1"/>
    <xf numFmtId="0" fontId="3" fillId="0" borderId="0" xfId="0" applyFont="1" applyAlignment="1">
      <alignment wrapText="1"/>
    </xf>
    <xf numFmtId="0" fontId="2" fillId="0" borderId="3" xfId="0" applyFont="1" applyBorder="1" applyAlignment="1">
      <alignment horizontal="left" vertical="center"/>
    </xf>
    <xf numFmtId="0" fontId="0" fillId="0" borderId="4" xfId="0" applyBorder="1"/>
    <xf numFmtId="0" fontId="0" fillId="9" borderId="4" xfId="0" applyFill="1" applyBorder="1"/>
    <xf numFmtId="0" fontId="6" fillId="0" borderId="4" xfId="0" applyFont="1" applyBorder="1" applyAlignment="1">
      <alignment horizontal="right" vertical="top"/>
    </xf>
    <xf numFmtId="0" fontId="4" fillId="0" borderId="4" xfId="0" applyFont="1" applyBorder="1" applyAlignment="1">
      <alignment wrapText="1"/>
    </xf>
    <xf numFmtId="0" fontId="5" fillId="8" borderId="4" xfId="0" applyFont="1" applyFill="1" applyBorder="1" applyAlignment="1">
      <alignment horizontal="center" vertical="center" wrapText="1"/>
    </xf>
    <xf numFmtId="0" fontId="0" fillId="0" borderId="4" xfId="0" applyFill="1" applyBorder="1"/>
    <xf numFmtId="0" fontId="6" fillId="0" borderId="4" xfId="0" applyFont="1" applyFill="1" applyBorder="1" applyAlignment="1">
      <alignment horizontal="right" vertical="top"/>
    </xf>
    <xf numFmtId="0" fontId="3" fillId="0" borderId="0" xfId="0" applyFont="1" applyAlignment="1">
      <alignment horizontal="left"/>
    </xf>
    <xf numFmtId="0" fontId="3" fillId="0" borderId="0" xfId="0" applyNumberFormat="1" applyFont="1"/>
    <xf numFmtId="0" fontId="3" fillId="0" borderId="0" xfId="0" pivotButton="1" applyFont="1" applyAlignment="1">
      <alignment wrapText="1"/>
    </xf>
    <xf numFmtId="0" fontId="2" fillId="7" borderId="1" xfId="0" applyFont="1" applyFill="1" applyBorder="1"/>
    <xf numFmtId="0" fontId="2" fillId="7" borderId="1" xfId="0" applyFont="1" applyFill="1" applyBorder="1" applyAlignment="1">
      <alignment wrapText="1"/>
    </xf>
    <xf numFmtId="0" fontId="3" fillId="0" borderId="0" xfId="0" applyFont="1" applyAlignment="1">
      <alignment vertical="top" wrapText="1"/>
    </xf>
    <xf numFmtId="0" fontId="3" fillId="0" borderId="3" xfId="0" applyFont="1" applyBorder="1" applyAlignment="1">
      <alignment horizontal="center"/>
    </xf>
    <xf numFmtId="0" fontId="2" fillId="7" borderId="1" xfId="0" pivotButton="1" applyFont="1" applyFill="1" applyBorder="1" applyAlignment="1">
      <alignment wrapText="1"/>
    </xf>
    <xf numFmtId="0" fontId="0" fillId="0" borderId="0" xfId="0" pivotButton="1" applyAlignment="1">
      <alignment wrapText="1"/>
    </xf>
    <xf numFmtId="0" fontId="7" fillId="0" borderId="0" xfId="0" applyFont="1" applyAlignment="1">
      <alignment horizontal="left"/>
    </xf>
    <xf numFmtId="0" fontId="7" fillId="0" borderId="0" xfId="0" applyNumberFormat="1" applyFont="1"/>
    <xf numFmtId="0" fontId="7" fillId="0" borderId="0" xfId="0" pivotButton="1" applyFont="1" applyAlignment="1">
      <alignment wrapText="1"/>
    </xf>
    <xf numFmtId="0" fontId="7" fillId="3" borderId="0" xfId="0" applyFont="1" applyFill="1" applyAlignment="1">
      <alignment wrapText="1"/>
    </xf>
    <xf numFmtId="0" fontId="7" fillId="4" borderId="0" xfId="0" applyFont="1" applyFill="1" applyAlignment="1">
      <alignment wrapText="1"/>
    </xf>
    <xf numFmtId="0" fontId="7" fillId="5" borderId="0" xfId="0" applyFont="1" applyFill="1" applyAlignment="1">
      <alignment wrapText="1"/>
    </xf>
    <xf numFmtId="0" fontId="7" fillId="6" borderId="0" xfId="0" applyFont="1" applyFill="1" applyAlignment="1">
      <alignment wrapText="1"/>
    </xf>
    <xf numFmtId="0" fontId="2" fillId="0" borderId="0" xfId="0" applyFont="1" applyAlignment="1">
      <alignment vertical="top" wrapText="1"/>
    </xf>
  </cellXfs>
  <cellStyles count="2">
    <cellStyle name="Normal" xfId="0" builtinId="0"/>
    <cellStyle name="Percent" xfId="1" builtinId="5"/>
  </cellStyles>
  <dxfs count="133">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FF00"/>
        </patternFill>
      </fill>
    </dxf>
    <dxf>
      <fill>
        <patternFill patternType="solid">
          <bgColor rgb="FF00B050"/>
        </patternFill>
      </fill>
    </dxf>
    <dxf>
      <alignment wrapText="1"/>
    </dxf>
    <dxf>
      <alignment wrapText="1"/>
    </dxf>
    <dxf>
      <fill>
        <patternFill patternType="solid">
          <bgColor rgb="FFFFFF00"/>
        </patternFill>
      </fill>
    </dxf>
    <dxf>
      <fill>
        <patternFill patternType="solid">
          <bgColor rgb="FF00B050"/>
        </patternFill>
      </fill>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FF00"/>
        </patternFill>
      </fill>
    </dxf>
    <dxf>
      <fill>
        <patternFill patternType="solid">
          <bgColor rgb="FF00B050"/>
        </patternFill>
      </fill>
    </dxf>
    <dxf>
      <alignment wrapText="1"/>
    </dxf>
    <dxf>
      <alignment wrapText="1"/>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00B050"/>
        </patternFill>
      </fill>
    </dxf>
    <dxf>
      <fill>
        <patternFill patternType="solid">
          <bgColor rgb="FFFFFF00"/>
        </patternFill>
      </fill>
    </dxf>
    <dxf>
      <fill>
        <patternFill patternType="solid">
          <bgColor rgb="FFFF0000"/>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tint="-0.499984740745262"/>
        </patternFill>
      </fill>
    </dxf>
    <dxf>
      <fill>
        <patternFill patternType="solid">
          <bgColor rgb="FFFF0000"/>
        </patternFill>
      </fill>
    </dxf>
    <dxf>
      <alignment wrapText="1"/>
    </dxf>
    <dxf>
      <alignment wrapText="1"/>
    </dxf>
    <dxf>
      <fill>
        <patternFill patternType="solid">
          <bgColor rgb="FFFFFF00"/>
        </patternFill>
      </fill>
    </dxf>
    <dxf>
      <alignment wrapText="1"/>
    </dxf>
    <dxf>
      <fill>
        <patternFill patternType="solid">
          <bgColor rgb="FF00B050"/>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FF0000"/>
        </patternFill>
      </fill>
    </dxf>
    <dxf>
      <fill>
        <patternFill patternType="solid">
          <bgColor rgb="FFFFFF00"/>
        </patternFill>
      </fill>
    </dxf>
    <dxf>
      <alignment wrapText="1"/>
    </dxf>
    <dxf>
      <alignment wrapText="1"/>
    </dxf>
    <dxf>
      <fill>
        <patternFill patternType="solid">
          <bgColor rgb="FFFFFF00"/>
        </patternFill>
      </fill>
    </dxf>
    <dxf>
      <fill>
        <patternFill patternType="solid">
          <bgColor rgb="FF00B050"/>
        </patternFill>
      </fill>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FF00"/>
        </patternFill>
      </fill>
    </dxf>
    <dxf>
      <fill>
        <patternFill patternType="solid">
          <bgColor rgb="FFFF0000"/>
        </patternFill>
      </fill>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FF0000"/>
        </patternFill>
      </fill>
    </dxf>
    <dxf>
      <fill>
        <patternFill patternType="solid">
          <bgColor rgb="FFFFFF00"/>
        </patternFill>
      </fill>
    </dxf>
    <dxf>
      <fill>
        <patternFill>
          <bgColor rgb="FF00B050"/>
        </patternFill>
      </fill>
    </dxf>
    <dxf>
      <fill>
        <patternFill patternType="solid">
          <bgColor rgb="FFFFFF00"/>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06.481989814813" createdVersion="6" refreshedVersion="6" minRefreshableVersion="3" recordCount="91" xr:uid="{EA41E9A6-9639-44CB-91E9-176A68601F52}">
  <cacheSource type="worksheet">
    <worksheetSource ref="A1:AE92" sheet="Name"/>
  </cacheSource>
  <cacheFields count="31">
    <cacheField name="Name" numFmtId="0">
      <sharedItems/>
    </cacheField>
    <cacheField name="Name Abrv. " numFmtId="0">
      <sharedItems count="91">
        <s v="AAA-ASC"/>
        <s v="ACAG"/>
        <s v="ACCA-CAANZ"/>
        <s v="AE"/>
        <s v="AFV"/>
        <s v="AGSA"/>
        <s v="AICPA"/>
        <s v="AUASB"/>
        <s v="BCBS"/>
        <s v="BDO"/>
        <s v="BTI"/>
        <s v="BTVK"/>
        <s v="CAASB"/>
        <s v="CAA-TAS"/>
        <s v="CAI"/>
        <s v="CalCPA"/>
        <s v="CAQ"/>
        <s v="CASI"/>
        <s v="CCC-ICPARD"/>
        <s v="CFC"/>
        <s v="CG"/>
        <s v="CICC-AIC"/>
        <s v="CICPA_Final"/>
        <s v="CNCC-CSOEC"/>
        <s v="CNDCEC"/>
        <s v="CPAA"/>
        <s v="CPAB"/>
        <s v="DTL"/>
        <s v="DTTL"/>
        <s v="ES"/>
        <s v="ETY"/>
        <s v="EYG"/>
        <s v="FAAPA"/>
        <s v="FAR"/>
        <s v="FRC"/>
        <s v="FSR"/>
        <s v="GAO"/>
        <s v="GTIL"/>
        <s v="HKICPA"/>
        <s v="HM"/>
        <s v="IAASA"/>
        <s v="IAB-IEC"/>
        <s v="IAIS"/>
        <s v="IBRACON"/>
        <s v="IBR-IRE"/>
        <s v="ICAEW"/>
        <s v="ICAP"/>
        <s v="ICAS"/>
        <s v="ICGN"/>
        <s v="ICJCE"/>
        <s v="ICPAS"/>
        <s v="ICPAU"/>
        <s v="IDW"/>
        <s v="IFIAR"/>
        <s v="IMCP"/>
        <s v="IOSCO"/>
        <s v="IRBA"/>
        <s v="ISCA"/>
        <s v="JICPA"/>
        <s v="KI"/>
        <s v="KPMG"/>
        <s v="KSW"/>
        <s v="MAASB"/>
        <s v="MGIW"/>
        <s v="MICPA"/>
        <s v="MNP"/>
        <s v="MSI"/>
        <s v="MZRS"/>
        <s v="MZRSUS"/>
        <s v="NAOM"/>
        <s v="NASBA"/>
        <s v="NBA"/>
        <s v="NI"/>
        <s v="NRF"/>
        <s v="NSW"/>
        <s v="NYSSCPA"/>
        <s v="NZAASB"/>
        <s v="OAGA"/>
        <s v="OAGC"/>
        <s v="OAGNZ"/>
        <s v="PAS"/>
        <s v="PKFI"/>
        <s v="PKFSA"/>
        <s v="PwC"/>
        <s v="RSMI"/>
        <s v="SAICA"/>
        <s v="SMPC"/>
        <s v="SNAO"/>
        <s v="UNSW"/>
        <s v="VM"/>
        <s v="WPK"/>
      </sharedItems>
    </cacheField>
    <cacheField name="Region" numFmtId="0">
      <sharedItems/>
    </cacheField>
    <cacheField name="Respondent Name" numFmtId="0">
      <sharedItems/>
    </cacheField>
    <cacheField name="Function" numFmtId="0">
      <sharedItems count="9">
        <s v="8. Academics"/>
        <s v="6. Public Sector Organizations"/>
        <s v="7. Member Bodies and Other Professional Organizations"/>
        <s v="9. Individuals and Others"/>
        <s v="4. National Auditing Standard Setters"/>
        <s v="1. Monitoring Group"/>
        <s v="5. Accounting Firms"/>
        <s v="3. Regulators and Audit Oversight Authorities"/>
        <s v="2. Investors and Analysts "/>
      </sharedItems>
    </cacheField>
    <cacheField name="1. Q1 - Agree" numFmtId="0">
      <sharedItems containsSemiMixedTypes="0" containsString="0" containsNumber="1" containsInteger="1" minValue="0" maxValue="1"/>
    </cacheField>
    <cacheField name="2. Q1 - Agree But With Further Comments" numFmtId="0">
      <sharedItems containsSemiMixedTypes="0" containsString="0" containsNumber="1" containsInteger="1" minValue="0" maxValue="1"/>
    </cacheField>
    <cacheField name="3. Q1 Disagree" numFmtId="0">
      <sharedItems containsSemiMixedTypes="0" containsString="0" containsNumber="1" containsInteger="1" minValue="0" maxValue="0"/>
    </cacheField>
    <cacheField name="A.  Stand-back Requirement" numFmtId="0">
      <sharedItems containsSemiMixedTypes="0" containsString="0" containsNumber="1" containsInteger="1" minValue="0" maxValue="1"/>
    </cacheField>
    <cacheField name="B. Team Members' Responsibilities" numFmtId="0">
      <sharedItems containsSemiMixedTypes="0" containsString="0" containsNumber="1" containsInteger="1" minValue="0" maxValue="1"/>
    </cacheField>
    <cacheField name="C. NTE of EP's Involvement" numFmtId="0">
      <sharedItems containsSemiMixedTypes="0" containsString="0" containsNumber="1" containsInteger="1" minValue="0" maxValue="1"/>
    </cacheField>
    <cacheField name="D. Paragraphs 11-13 (Specific References and Suggestions)" numFmtId="0">
      <sharedItems containsSemiMixedTypes="0" containsString="0" containsNumber="1" containsInteger="1" minValue="0" maxValue="1"/>
    </cacheField>
    <cacheField name="E. Shared Responsibility" numFmtId="0">
      <sharedItems containsSemiMixedTypes="0" containsString="0" containsNumber="1" containsInteger="1" minValue="0" maxValue="1"/>
    </cacheField>
    <cacheField name="F. Need for Guidance" numFmtId="0">
      <sharedItems containsSemiMixedTypes="0" containsString="0" containsNumber="1" containsInteger="1" minValue="0" maxValue="1"/>
    </cacheField>
    <cacheField name="1. Q4A - Agree with Definition" numFmtId="0">
      <sharedItems containsSemiMixedTypes="0" containsString="0" containsNumber="1" containsInteger="1" minValue="0" maxValue="1"/>
    </cacheField>
    <cacheField name="2. Q4A - Agree with Definition But With Further Comments" numFmtId="0">
      <sharedItems containsSemiMixedTypes="0" containsString="0" containsNumber="1" containsInteger="1" minValue="0" maxValue="1"/>
    </cacheField>
    <cacheField name="3. Q4A - Disagree" numFmtId="0">
      <sharedItems containsSemiMixedTypes="0" containsString="0" containsNumber="1" containsInteger="1" minValue="0" maxValue="1"/>
    </cacheField>
    <cacheField name="A. Inclusion of Component Auditors" numFmtId="0">
      <sharedItems containsSemiMixedTypes="0" containsString="0" containsNumber="1" containsInteger="1" minValue="0" maxValue="1"/>
    </cacheField>
    <cacheField name="B. Definition of Audit Procedures" numFmtId="0">
      <sharedItems containsSemiMixedTypes="0" containsString="0" containsNumber="1" containsInteger="1" minValue="0" maxValue="1"/>
    </cacheField>
    <cacheField name="C. Applicability to Other Parties" numFmtId="0">
      <sharedItems containsSemiMixedTypes="0" containsString="0" containsNumber="1" containsInteger="1" minValue="0" maxValue="1"/>
    </cacheField>
    <cacheField name="D. Practical Implications" numFmtId="0">
      <sharedItems containsSemiMixedTypes="0" containsString="0" containsNumber="1" containsInteger="1" minValue="0" maxValue="1"/>
    </cacheField>
    <cacheField name="E. Need for Clarity or Guidance" numFmtId="0">
      <sharedItems containsSemiMixedTypes="0" containsString="0" containsNumber="1" containsInteger="1" minValue="0" maxValue="1"/>
    </cacheField>
    <cacheField name="A. Practical Implications of Including Component Auditors" numFmtId="0">
      <sharedItems containsSemiMixedTypes="0" containsString="0" containsNumber="1" containsInteger="1" minValue="0" maxValue="1"/>
    </cacheField>
    <cacheField name="1. Q7 - Agree" numFmtId="0">
      <sharedItems containsSemiMixedTypes="0" containsString="0" containsNumber="1" containsInteger="1" minValue="0" maxValue="1"/>
    </cacheField>
    <cacheField name="2. Q7 - Agree But With Further Comments" numFmtId="0">
      <sharedItems containsSemiMixedTypes="0" containsString="0" containsNumber="1" containsInteger="1" minValue="0" maxValue="1"/>
    </cacheField>
    <cacheField name="3. Q7 - Disagree" numFmtId="0">
      <sharedItems containsSemiMixedTypes="0" containsString="0" containsNumber="1" containsInteger="1" minValue="0" maxValue="1"/>
    </cacheField>
    <cacheField name="A. Identify Conditional Requirements" numFmtId="0">
      <sharedItems containsSemiMixedTypes="0" containsString="0" containsNumber="1" containsInteger="1" minValue="0" maxValue="1"/>
    </cacheField>
    <cacheField name="B. Need for Guidance" numFmtId="0">
      <sharedItems containsSemiMixedTypes="0" containsString="0" containsNumber="1" containsInteger="1" minValue="0" maxValue="1"/>
    </cacheField>
    <cacheField name="C. Upwards Scalability" numFmtId="0">
      <sharedItems containsSemiMixedTypes="0" containsString="0" containsNumber="1" containsInteger="1" minValue="0" maxValue="1"/>
    </cacheField>
    <cacheField name="1. Q5 - Agree" numFmtId="0">
      <sharedItems containsSemiMixedTypes="0" containsString="0" containsNumber="1" containsInteger="1" minValue="0" maxValue="1" count="2">
        <n v="0"/>
        <n v="1"/>
      </sharedItems>
    </cacheField>
    <cacheField name="2. Q5 - Agree But With Fur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06.487746180559" createdVersion="6" refreshedVersion="6" minRefreshableVersion="3" recordCount="91" xr:uid="{3C4A6673-8447-4D4E-B70F-6ECE09611FFA}">
  <cacheSource type="worksheet">
    <worksheetSource ref="A1:AH92" sheet="Name"/>
  </cacheSource>
  <cacheFields count="34">
    <cacheField name="Name" numFmtId="0">
      <sharedItems/>
    </cacheField>
    <cacheField name="Name Abrv. " numFmtId="0">
      <sharedItems count="91">
        <s v="AAA-ASC"/>
        <s v="ACAG"/>
        <s v="ACCA-CAANZ"/>
        <s v="AE"/>
        <s v="AFV"/>
        <s v="AGSA"/>
        <s v="AICPA"/>
        <s v="AUASB"/>
        <s v="BCBS"/>
        <s v="BDO"/>
        <s v="BTI"/>
        <s v="BTVK"/>
        <s v="CAASB"/>
        <s v="CAA-TAS"/>
        <s v="CAI"/>
        <s v="CalCPA"/>
        <s v="CAQ"/>
        <s v="CASI"/>
        <s v="CCC-ICPARD"/>
        <s v="CFC"/>
        <s v="CG"/>
        <s v="CICC-AIC"/>
        <s v="CICPA_Final"/>
        <s v="CNCC-CSOEC"/>
        <s v="CNDCEC"/>
        <s v="CPAA"/>
        <s v="CPAB"/>
        <s v="DTL"/>
        <s v="DTTL"/>
        <s v="ES"/>
        <s v="ETY"/>
        <s v="EYG"/>
        <s v="FAAPA"/>
        <s v="FAR"/>
        <s v="FRC"/>
        <s v="FSR"/>
        <s v="GAO"/>
        <s v="GTIL"/>
        <s v="HKICPA"/>
        <s v="HM"/>
        <s v="IAASA"/>
        <s v="IAB-IEC"/>
        <s v="IAIS"/>
        <s v="IBRACON"/>
        <s v="IBR-IRE"/>
        <s v="ICAEW"/>
        <s v="ICAP"/>
        <s v="ICAS"/>
        <s v="ICGN"/>
        <s v="ICJCE"/>
        <s v="ICPAS"/>
        <s v="ICPAU"/>
        <s v="IDW"/>
        <s v="IFIAR"/>
        <s v="IMCP"/>
        <s v="IOSCO"/>
        <s v="IRBA"/>
        <s v="ISCA"/>
        <s v="JICPA"/>
        <s v="KI"/>
        <s v="KPMG"/>
        <s v="KSW"/>
        <s v="MAASB"/>
        <s v="MGIW"/>
        <s v="MICPA"/>
        <s v="MNP"/>
        <s v="MSI"/>
        <s v="MZRS"/>
        <s v="MZRSUS"/>
        <s v="NAOM"/>
        <s v="NASBA"/>
        <s v="NBA"/>
        <s v="NI"/>
        <s v="NRF"/>
        <s v="NSW"/>
        <s v="NYSSCPA"/>
        <s v="NZAASB"/>
        <s v="OAGA"/>
        <s v="OAGC"/>
        <s v="OAGNZ"/>
        <s v="PAS"/>
        <s v="PKFI"/>
        <s v="PKFSA"/>
        <s v="PwC"/>
        <s v="RSMI"/>
        <s v="SAICA"/>
        <s v="SMPC"/>
        <s v="SNAO"/>
        <s v="UNSW"/>
        <s v="VM"/>
        <s v="WPK"/>
      </sharedItems>
    </cacheField>
    <cacheField name="Region" numFmtId="0">
      <sharedItems/>
    </cacheField>
    <cacheField name="Respondent Name" numFmtId="0">
      <sharedItems/>
    </cacheField>
    <cacheField name="Function" numFmtId="0">
      <sharedItems count="9">
        <s v="8. Academics"/>
        <s v="6. Public Sector Organizations"/>
        <s v="7. Member Bodies and Other Professional Organizations"/>
        <s v="9. Individuals and Others"/>
        <s v="4. National Auditing Standard Setters"/>
        <s v="1. Monitoring Group"/>
        <s v="5. Accounting Firms"/>
        <s v="3. Regulators and Audit Oversight Authorities"/>
        <s v="2. Investors and Analysts "/>
      </sharedItems>
    </cacheField>
    <cacheField name="1. Q1 - Agree" numFmtId="0">
      <sharedItems containsSemiMixedTypes="0" containsString="0" containsNumber="1" containsInteger="1" minValue="0" maxValue="1"/>
    </cacheField>
    <cacheField name="2. Q1 - Agree But With Further Comments" numFmtId="0">
      <sharedItems containsSemiMixedTypes="0" containsString="0" containsNumber="1" containsInteger="1" minValue="0" maxValue="1"/>
    </cacheField>
    <cacheField name="3. Q1 Disagree" numFmtId="0">
      <sharedItems containsSemiMixedTypes="0" containsString="0" containsNumber="1" containsInteger="1" minValue="0" maxValue="0"/>
    </cacheField>
    <cacheField name="A.  Stand-back Requirement" numFmtId="0">
      <sharedItems containsSemiMixedTypes="0" containsString="0" containsNumber="1" containsInteger="1" minValue="0" maxValue="1"/>
    </cacheField>
    <cacheField name="B. Team Members' Responsibilities" numFmtId="0">
      <sharedItems containsSemiMixedTypes="0" containsString="0" containsNumber="1" containsInteger="1" minValue="0" maxValue="1"/>
    </cacheField>
    <cacheField name="C. NTE of EP's Involvement" numFmtId="0">
      <sharedItems containsSemiMixedTypes="0" containsString="0" containsNumber="1" containsInteger="1" minValue="0" maxValue="1"/>
    </cacheField>
    <cacheField name="D. Paragraphs 11-13 (Specific References and Suggestions)" numFmtId="0">
      <sharedItems containsSemiMixedTypes="0" containsString="0" containsNumber="1" containsInteger="1" minValue="0" maxValue="1"/>
    </cacheField>
    <cacheField name="E. Shared Responsibility" numFmtId="0">
      <sharedItems containsSemiMixedTypes="0" containsString="0" containsNumber="1" containsInteger="1" minValue="0" maxValue="1"/>
    </cacheField>
    <cacheField name="F. Need for Guidance" numFmtId="0">
      <sharedItems containsSemiMixedTypes="0" containsString="0" containsNumber="1" containsInteger="1" minValue="0" maxValue="1"/>
    </cacheField>
    <cacheField name="1. Q4A - Agree with Definition" numFmtId="0">
      <sharedItems containsSemiMixedTypes="0" containsString="0" containsNumber="1" containsInteger="1" minValue="0" maxValue="1"/>
    </cacheField>
    <cacheField name="2. Q4A - Agree with Definition But With Further Comments" numFmtId="0">
      <sharedItems containsSemiMixedTypes="0" containsString="0" containsNumber="1" containsInteger="1" minValue="0" maxValue="1"/>
    </cacheField>
    <cacheField name="3. Q4A - Disagree" numFmtId="0">
      <sharedItems containsSemiMixedTypes="0" containsString="0" containsNumber="1" containsInteger="1" minValue="0" maxValue="1"/>
    </cacheField>
    <cacheField name="A. Inclusion of Component Auditors" numFmtId="0">
      <sharedItems containsSemiMixedTypes="0" containsString="0" containsNumber="1" containsInteger="1" minValue="0" maxValue="1"/>
    </cacheField>
    <cacheField name="B. Definition of Audit Procedures" numFmtId="0">
      <sharedItems containsSemiMixedTypes="0" containsString="0" containsNumber="1" containsInteger="1" minValue="0" maxValue="1"/>
    </cacheField>
    <cacheField name="C. Applicability to Other Parties" numFmtId="0">
      <sharedItems containsSemiMixedTypes="0" containsString="0" containsNumber="1" containsInteger="1" minValue="0" maxValue="1"/>
    </cacheField>
    <cacheField name="D. Practical Implications" numFmtId="0">
      <sharedItems containsSemiMixedTypes="0" containsString="0" containsNumber="1" containsInteger="1" minValue="0" maxValue="1"/>
    </cacheField>
    <cacheField name="E. Need for Clarity or Guidance" numFmtId="0">
      <sharedItems containsSemiMixedTypes="0" containsString="0" containsNumber="1" containsInteger="1" minValue="0" maxValue="1"/>
    </cacheField>
    <cacheField name="A. Practical Implications of Including Component Auditors" numFmtId="0">
      <sharedItems containsSemiMixedTypes="0" containsString="0" containsNumber="1" containsInteger="1" minValue="0" maxValue="1"/>
    </cacheField>
    <cacheField name="1. Q7 - Agree" numFmtId="0">
      <sharedItems containsSemiMixedTypes="0" containsString="0" containsNumber="1" containsInteger="1" minValue="0" maxValue="1"/>
    </cacheField>
    <cacheField name="2. Q7 - Agree But With Further Comments" numFmtId="0">
      <sharedItems containsSemiMixedTypes="0" containsString="0" containsNumber="1" containsInteger="1" minValue="0" maxValue="1"/>
    </cacheField>
    <cacheField name="3. Q7 - Disagree" numFmtId="0">
      <sharedItems containsSemiMixedTypes="0" containsString="0" containsNumber="1" containsInteger="1" minValue="0" maxValue="1"/>
    </cacheField>
    <cacheField name="A. Identify Conditional Requirements" numFmtId="0">
      <sharedItems containsSemiMixedTypes="0" containsString="0" containsNumber="1" containsInteger="1" minValue="0" maxValue="1"/>
    </cacheField>
    <cacheField name="B. Need for Guidance" numFmtId="0">
      <sharedItems containsSemiMixedTypes="0" containsString="0" containsNumber="1" containsInteger="1" minValue="0" maxValue="1"/>
    </cacheField>
    <cacheField name="C. Upwards Scalability" numFmtId="0">
      <sharedItems containsSemiMixedTypes="0" containsString="0" containsNumber="1" containsInteger="1" minValue="0" maxValue="1"/>
    </cacheField>
    <cacheField name="1. Q5 - Agree" numFmtId="0">
      <sharedItems containsSemiMixedTypes="0" containsString="0" containsNumber="1" containsInteger="1" minValue="0" maxValue="1"/>
    </cacheField>
    <cacheField name="2. Q5 - Agree But With Further Comments" numFmtId="0">
      <sharedItems containsSemiMixedTypes="0" containsString="0" containsNumber="1" containsInteger="1" minValue="0" maxValue="1"/>
    </cacheField>
    <cacheField name="1. Q2 - Agree" numFmtId="0">
      <sharedItems containsSemiMixedTypes="0" containsString="0" containsNumber="1" containsInteger="1" minValue="0" maxValue="1"/>
    </cacheField>
    <cacheField name="2. Q2 - Agree But With Further Comments" numFmtId="0">
      <sharedItems containsSemiMixedTypes="0" containsString="0" containsNumber="1" containsInteger="1" minValue="0" maxValue="1"/>
    </cacheField>
    <cacheField name="3. Q2 - Disagre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3.634734490741" createdVersion="6" refreshedVersion="6" minRefreshableVersion="3" recordCount="91" xr:uid="{8B429E75-256F-4826-A4D6-13C096BED744}">
  <cacheSource type="worksheet">
    <worksheetSource ref="A1:AC92" sheet="Name"/>
  </cacheSource>
  <cacheFields count="29">
    <cacheField name="Name" numFmtId="0">
      <sharedItems/>
    </cacheField>
    <cacheField name="Name Abrv. " numFmtId="0">
      <sharedItems count="91">
        <s v="AAA-ASC"/>
        <s v="ACAG"/>
        <s v="ACCA-CAANZ"/>
        <s v="AE"/>
        <s v="AFV"/>
        <s v="AGSA"/>
        <s v="AICPA"/>
        <s v="AUASB"/>
        <s v="BCBS"/>
        <s v="BDO"/>
        <s v="BTI"/>
        <s v="BTVK"/>
        <s v="CAASB"/>
        <s v="CAA-TAS"/>
        <s v="CAI"/>
        <s v="CalCPA"/>
        <s v="CAQ"/>
        <s v="CASI"/>
        <s v="CCC-ICPARD"/>
        <s v="CFC"/>
        <s v="CG"/>
        <s v="CICC-AIC"/>
        <s v="CICPA_Final"/>
        <s v="CNCC-CSOEC"/>
        <s v="CNDCEC"/>
        <s v="CPAA"/>
        <s v="CPAB"/>
        <s v="DTL"/>
        <s v="DTTL"/>
        <s v="ES"/>
        <s v="ETY"/>
        <s v="EYG"/>
        <s v="FAAPA"/>
        <s v="FAR"/>
        <s v="FRC"/>
        <s v="FSR"/>
        <s v="GAO"/>
        <s v="GTIL"/>
        <s v="HKICPA"/>
        <s v="HM"/>
        <s v="IAASA"/>
        <s v="IAB-IEC"/>
        <s v="IAIS"/>
        <s v="IBRACON"/>
        <s v="IBR-IRE"/>
        <s v="ICAEW"/>
        <s v="ICAP"/>
        <s v="ICAS"/>
        <s v="ICGN"/>
        <s v="ICJCE"/>
        <s v="ICPAS"/>
        <s v="ICPAU"/>
        <s v="IDW"/>
        <s v="IFIAR"/>
        <s v="IMCP"/>
        <s v="IOSCO"/>
        <s v="IRBA"/>
        <s v="ISCA"/>
        <s v="JICPA"/>
        <s v="KI"/>
        <s v="KPMG"/>
        <s v="KSW"/>
        <s v="MAASB"/>
        <s v="MGIW"/>
        <s v="MICPA"/>
        <s v="MNP"/>
        <s v="MSI"/>
        <s v="MZRS"/>
        <s v="MZRSUS"/>
        <s v="NAOM"/>
        <s v="NASBA"/>
        <s v="NBA"/>
        <s v="NI"/>
        <s v="NRF"/>
        <s v="NSW"/>
        <s v="NYSSCPA"/>
        <s v="NZAASB"/>
        <s v="OAGA"/>
        <s v="OAGC"/>
        <s v="OAGNZ"/>
        <s v="PAS"/>
        <s v="PKFI"/>
        <s v="PKFSA"/>
        <s v="PwC"/>
        <s v="RSMI"/>
        <s v="SAICA"/>
        <s v="SMPC"/>
        <s v="SNAO"/>
        <s v="UNSW"/>
        <s v="VM"/>
        <s v="WPK"/>
      </sharedItems>
    </cacheField>
    <cacheField name="Region" numFmtId="0">
      <sharedItems/>
    </cacheField>
    <cacheField name="Respondent Name" numFmtId="0">
      <sharedItems/>
    </cacheField>
    <cacheField name="Function" numFmtId="0">
      <sharedItems count="9">
        <s v="8. Academics"/>
        <s v="6. Public Sector Organizations"/>
        <s v="7. Member Bodies and Other Professional Organizations"/>
        <s v="9. Individuals and Others"/>
        <s v="4. National Auditing Standard Setters"/>
        <s v="1. Monitoring Group"/>
        <s v="5. Accounting Firms"/>
        <s v="3. Regulators and Audit Oversight Authorities"/>
        <s v="2. Investors and Analysts "/>
      </sharedItems>
    </cacheField>
    <cacheField name="1. Q1 - Agree" numFmtId="0">
      <sharedItems containsSemiMixedTypes="0" containsString="0" containsNumber="1" containsInteger="1" minValue="0" maxValue="1"/>
    </cacheField>
    <cacheField name="2. Q1 - Agree But With Further Comments" numFmtId="0">
      <sharedItems containsSemiMixedTypes="0" containsString="0" containsNumber="1" containsInteger="1" minValue="0" maxValue="1"/>
    </cacheField>
    <cacheField name="3. Q1 Disagree" numFmtId="0">
      <sharedItems containsSemiMixedTypes="0" containsString="0" containsNumber="1" containsInteger="1" minValue="0" maxValue="0"/>
    </cacheField>
    <cacheField name="A.  Stand-back Requirement" numFmtId="0">
      <sharedItems containsSemiMixedTypes="0" containsString="0" containsNumber="1" containsInteger="1" minValue="0" maxValue="1"/>
    </cacheField>
    <cacheField name="B. Team Members' Responsibilities" numFmtId="0">
      <sharedItems containsSemiMixedTypes="0" containsString="0" containsNumber="1" containsInteger="1" minValue="0" maxValue="1"/>
    </cacheField>
    <cacheField name="C. NTE of EP's Involvement" numFmtId="0">
      <sharedItems containsSemiMixedTypes="0" containsString="0" containsNumber="1" containsInteger="1" minValue="0" maxValue="1"/>
    </cacheField>
    <cacheField name="D. Paragraphs 11-13 (Specific References and Suggestions)" numFmtId="0">
      <sharedItems containsSemiMixedTypes="0" containsString="0" containsNumber="1" containsInteger="1" minValue="0" maxValue="1"/>
    </cacheField>
    <cacheField name="E. Shared Responsibility" numFmtId="0">
      <sharedItems containsSemiMixedTypes="0" containsString="0" containsNumber="1" containsInteger="1" minValue="0" maxValue="1"/>
    </cacheField>
    <cacheField name="F. Need for Guidance" numFmtId="0">
      <sharedItems containsSemiMixedTypes="0" containsString="0" containsNumber="1" containsInteger="1" minValue="0" maxValue="1"/>
    </cacheField>
    <cacheField name="1. Q4A - Agree with Definition" numFmtId="0">
      <sharedItems containsSemiMixedTypes="0" containsString="0" containsNumber="1" containsInteger="1" minValue="0" maxValue="1"/>
    </cacheField>
    <cacheField name="2. Q4A - Agree with Definition But With Further Comments" numFmtId="0">
      <sharedItems containsSemiMixedTypes="0" containsString="0" containsNumber="1" containsInteger="1" minValue="0" maxValue="1"/>
    </cacheField>
    <cacheField name="3. Q4A - Needs Clarity" numFmtId="0">
      <sharedItems containsSemiMixedTypes="0" containsString="0" containsNumber="1" containsInteger="1" minValue="0" maxValue="1"/>
    </cacheField>
    <cacheField name="4. Q4A - Disagree" numFmtId="0">
      <sharedItems containsSemiMixedTypes="0" containsString="0" containsNumber="1" containsInteger="1" minValue="0" maxValue="1"/>
    </cacheField>
    <cacheField name="A. Inclusion of Component Auditors" numFmtId="0">
      <sharedItems containsSemiMixedTypes="0" containsString="0" containsNumber="1" containsInteger="1" minValue="0" maxValue="1"/>
    </cacheField>
    <cacheField name="B. Definition of Audit Procedures" numFmtId="0">
      <sharedItems containsSemiMixedTypes="0" containsString="0" containsNumber="1" containsInteger="1" minValue="0" maxValue="1"/>
    </cacheField>
    <cacheField name="C. Applicability to Other Parties" numFmtId="0">
      <sharedItems containsSemiMixedTypes="0" containsString="0" containsNumber="1" containsInteger="1" minValue="0" maxValue="1"/>
    </cacheField>
    <cacheField name="D. Practical Implications" numFmtId="0">
      <sharedItems containsSemiMixedTypes="0" containsString="0" containsNumber="1" containsInteger="1" minValue="0" maxValue="1"/>
    </cacheField>
    <cacheField name="E. Need for Clarity or Guidance" numFmtId="0">
      <sharedItems containsSemiMixedTypes="0" containsString="0" containsNumber="1" containsInteger="1" minValue="0" maxValue="1"/>
    </cacheField>
    <cacheField name="1. Q7 - Agree" numFmtId="0">
      <sharedItems containsSemiMixedTypes="0" containsString="0" containsNumber="1" containsInteger="1" minValue="0" maxValue="1"/>
    </cacheField>
    <cacheField name="2. Q7 - Agree But With Further Comments" numFmtId="0">
      <sharedItems containsSemiMixedTypes="0" containsString="0" containsNumber="1" containsInteger="1" minValue="0" maxValue="1"/>
    </cacheField>
    <cacheField name="3. Q7 - Disagree" numFmtId="0">
      <sharedItems containsSemiMixedTypes="0" containsString="0" containsNumber="1" containsInteger="1" minValue="0" maxValue="1"/>
    </cacheField>
    <cacheField name="A. Identify Conditional Requirements" numFmtId="0">
      <sharedItems containsSemiMixedTypes="0" containsString="0" containsNumber="1" containsInteger="1" minValue="0" maxValue="1"/>
    </cacheField>
    <cacheField name="B. Need for Guidance" numFmtId="0">
      <sharedItems containsSemiMixedTypes="0" containsString="0" containsNumber="1" containsInteger="1" minValue="0" maxValue="1"/>
    </cacheField>
    <cacheField name="C. Upwards Scalability"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AAA-ASC"/>
    <x v="0"/>
    <s v="NA"/>
    <s v="Auditing Standards Committee of the American Accounting Association"/>
    <x v="0"/>
    <n v="0"/>
    <n v="1"/>
    <n v="0"/>
    <n v="0"/>
    <n v="0"/>
    <n v="0"/>
    <n v="0"/>
    <n v="0"/>
    <n v="0"/>
    <n v="0"/>
    <n v="1"/>
    <n v="0"/>
    <n v="1"/>
    <n v="0"/>
    <n v="0"/>
    <n v="0"/>
    <n v="0"/>
    <n v="0"/>
    <n v="0"/>
    <n v="0"/>
    <n v="0"/>
    <n v="0"/>
    <n v="0"/>
    <n v="0"/>
    <x v="0"/>
    <n v="1"/>
  </r>
  <r>
    <s v="Cases\\ACAG"/>
    <x v="1"/>
    <s v="AE"/>
    <s v="Australasian Council of Auditors General"/>
    <x v="1"/>
    <n v="0"/>
    <n v="1"/>
    <n v="0"/>
    <n v="0"/>
    <n v="0"/>
    <n v="0"/>
    <n v="0"/>
    <n v="0"/>
    <n v="0"/>
    <n v="0"/>
    <n v="0"/>
    <n v="0"/>
    <n v="0"/>
    <n v="0"/>
    <n v="0"/>
    <n v="0"/>
    <n v="0"/>
    <n v="0"/>
    <n v="1"/>
    <n v="0"/>
    <n v="0"/>
    <n v="0"/>
    <n v="0"/>
    <n v="0"/>
    <x v="0"/>
    <n v="1"/>
  </r>
  <r>
    <s v="Cases\\ACCA-CAANZ"/>
    <x v="2"/>
    <s v="Global"/>
    <s v="Chartered Accountants Australia and New Zealand and the Association of Chartered Certified Accountants"/>
    <x v="2"/>
    <n v="0"/>
    <n v="1"/>
    <n v="0"/>
    <n v="0"/>
    <n v="0"/>
    <n v="0"/>
    <n v="0"/>
    <n v="0"/>
    <n v="0"/>
    <n v="0"/>
    <n v="1"/>
    <n v="1"/>
    <n v="1"/>
    <n v="0"/>
    <n v="1"/>
    <n v="0"/>
    <n v="0"/>
    <n v="1"/>
    <n v="0"/>
    <n v="1"/>
    <n v="0"/>
    <n v="0"/>
    <n v="1"/>
    <n v="0"/>
    <x v="1"/>
    <n v="0"/>
  </r>
  <r>
    <s v="Cases\\AE"/>
    <x v="3"/>
    <s v="EU"/>
    <s v="Accountancy Europe"/>
    <x v="2"/>
    <n v="0"/>
    <n v="1"/>
    <n v="0"/>
    <n v="0"/>
    <n v="1"/>
    <n v="0"/>
    <n v="0"/>
    <n v="0"/>
    <n v="0"/>
    <n v="0"/>
    <n v="0"/>
    <n v="1"/>
    <n v="0"/>
    <n v="0"/>
    <n v="1"/>
    <n v="0"/>
    <n v="0"/>
    <n v="1"/>
    <n v="0"/>
    <n v="1"/>
    <n v="0"/>
    <n v="1"/>
    <n v="0"/>
    <n v="0"/>
    <x v="1"/>
    <n v="0"/>
  </r>
  <r>
    <s v="Cases\\AFV"/>
    <x v="4"/>
    <s v="SA"/>
    <s v="Alvaro Fonesca Vivas"/>
    <x v="3"/>
    <n v="0"/>
    <n v="0"/>
    <n v="0"/>
    <n v="0"/>
    <n v="0"/>
    <n v="0"/>
    <n v="0"/>
    <n v="0"/>
    <n v="0"/>
    <n v="0"/>
    <n v="0"/>
    <n v="0"/>
    <n v="0"/>
    <n v="0"/>
    <n v="0"/>
    <n v="0"/>
    <n v="0"/>
    <n v="0"/>
    <n v="0"/>
    <n v="0"/>
    <n v="0"/>
    <n v="0"/>
    <n v="0"/>
    <n v="0"/>
    <x v="0"/>
    <n v="0"/>
  </r>
  <r>
    <s v="Cases\\AGSA"/>
    <x v="5"/>
    <s v="MEA"/>
    <s v="Auditor General of South Africa"/>
    <x v="1"/>
    <n v="1"/>
    <n v="0"/>
    <n v="0"/>
    <n v="0"/>
    <n v="0"/>
    <n v="0"/>
    <n v="0"/>
    <n v="0"/>
    <n v="0"/>
    <n v="0"/>
    <n v="0"/>
    <n v="0"/>
    <n v="0"/>
    <n v="0"/>
    <n v="0"/>
    <n v="0"/>
    <n v="0"/>
    <n v="0"/>
    <n v="1"/>
    <n v="0"/>
    <n v="0"/>
    <n v="0"/>
    <n v="0"/>
    <n v="0"/>
    <x v="1"/>
    <n v="0"/>
  </r>
  <r>
    <s v="Cases\\AICPA"/>
    <x v="6"/>
    <s v="NA"/>
    <s v="American Institute of Certified Public Accountants"/>
    <x v="4"/>
    <n v="1"/>
    <n v="0"/>
    <n v="0"/>
    <n v="0"/>
    <n v="0"/>
    <n v="0"/>
    <n v="0"/>
    <n v="0"/>
    <n v="0"/>
    <n v="0"/>
    <n v="0"/>
    <n v="0"/>
    <n v="0"/>
    <n v="0"/>
    <n v="0"/>
    <n v="0"/>
    <n v="0"/>
    <n v="0"/>
    <n v="0"/>
    <n v="1"/>
    <n v="0"/>
    <n v="0"/>
    <n v="1"/>
    <n v="0"/>
    <x v="1"/>
    <n v="0"/>
  </r>
  <r>
    <s v="Cases\\AUASB"/>
    <x v="7"/>
    <s v="AE"/>
    <s v="Australian Auditing and Assurance Standards Board"/>
    <x v="4"/>
    <n v="0"/>
    <n v="1"/>
    <n v="0"/>
    <n v="0"/>
    <n v="1"/>
    <n v="0"/>
    <n v="0"/>
    <n v="0"/>
    <n v="0"/>
    <n v="0"/>
    <n v="0"/>
    <n v="1"/>
    <n v="0"/>
    <n v="0"/>
    <n v="1"/>
    <n v="1"/>
    <n v="0"/>
    <n v="0"/>
    <n v="0"/>
    <n v="1"/>
    <n v="0"/>
    <n v="0"/>
    <n v="0"/>
    <n v="1"/>
    <x v="0"/>
    <n v="1"/>
  </r>
  <r>
    <s v="Cases\\BCBS"/>
    <x v="8"/>
    <s v="Global"/>
    <s v="Basel Committee on Banking Supervision"/>
    <x v="5"/>
    <n v="0"/>
    <n v="0"/>
    <n v="0"/>
    <n v="0"/>
    <n v="0"/>
    <n v="0"/>
    <n v="0"/>
    <n v="0"/>
    <n v="0"/>
    <n v="0"/>
    <n v="1"/>
    <n v="0"/>
    <n v="0"/>
    <n v="0"/>
    <n v="1"/>
    <n v="1"/>
    <n v="0"/>
    <n v="0"/>
    <n v="0"/>
    <n v="1"/>
    <n v="0"/>
    <n v="0"/>
    <n v="0"/>
    <n v="1"/>
    <x v="0"/>
    <n v="0"/>
  </r>
  <r>
    <s v="Cases\\BDO"/>
    <x v="9"/>
    <s v="Global"/>
    <s v="BDO International Limited"/>
    <x v="6"/>
    <n v="0"/>
    <n v="1"/>
    <n v="0"/>
    <n v="0"/>
    <n v="0"/>
    <n v="0"/>
    <n v="0"/>
    <n v="0"/>
    <n v="0"/>
    <n v="0"/>
    <n v="0"/>
    <n v="0"/>
    <n v="0"/>
    <n v="0"/>
    <n v="0"/>
    <n v="0"/>
    <n v="0"/>
    <n v="0"/>
    <n v="0"/>
    <n v="1"/>
    <n v="0"/>
    <n v="0"/>
    <n v="1"/>
    <n v="0"/>
    <x v="0"/>
    <n v="1"/>
  </r>
  <r>
    <s v="Cases\\BTI"/>
    <x v="10"/>
    <s v="Global"/>
    <s v="Baker Tilly International"/>
    <x v="6"/>
    <n v="0"/>
    <n v="1"/>
    <n v="0"/>
    <n v="0"/>
    <n v="0"/>
    <n v="0"/>
    <n v="0"/>
    <n v="0"/>
    <n v="0"/>
    <n v="0"/>
    <n v="0"/>
    <n v="0"/>
    <n v="0"/>
    <n v="0"/>
    <n v="0"/>
    <n v="0"/>
    <n v="0"/>
    <n v="0"/>
    <n v="0"/>
    <n v="1"/>
    <n v="0"/>
    <n v="0"/>
    <n v="0"/>
    <n v="0"/>
    <x v="1"/>
    <n v="0"/>
  </r>
  <r>
    <s v="Cases\\BTVK"/>
    <x v="11"/>
    <s v="NA"/>
    <s v="Baker Tilly Virchow Krause, LLP"/>
    <x v="6"/>
    <n v="0"/>
    <n v="0"/>
    <n v="0"/>
    <n v="0"/>
    <n v="0"/>
    <n v="0"/>
    <n v="0"/>
    <n v="0"/>
    <n v="0"/>
    <n v="0"/>
    <n v="0"/>
    <n v="0"/>
    <n v="0"/>
    <n v="0"/>
    <n v="0"/>
    <n v="0"/>
    <n v="0"/>
    <n v="0"/>
    <n v="0"/>
    <n v="1"/>
    <n v="0"/>
    <n v="0"/>
    <n v="1"/>
    <n v="0"/>
    <x v="0"/>
    <n v="0"/>
  </r>
  <r>
    <s v="Cases\\CAASB"/>
    <x v="12"/>
    <s v="NA"/>
    <s v="Canadian Auditing and Assurance Standards Board "/>
    <x v="4"/>
    <n v="0"/>
    <n v="1"/>
    <n v="0"/>
    <n v="0"/>
    <n v="0"/>
    <n v="1"/>
    <n v="0"/>
    <n v="0"/>
    <n v="0"/>
    <n v="0"/>
    <n v="0"/>
    <n v="0"/>
    <n v="0"/>
    <n v="0"/>
    <n v="0"/>
    <n v="0"/>
    <n v="0"/>
    <n v="1"/>
    <n v="1"/>
    <n v="0"/>
    <n v="0"/>
    <n v="0"/>
    <n v="0"/>
    <n v="0"/>
    <x v="1"/>
    <n v="0"/>
  </r>
  <r>
    <s v="Cases\\CAA-TAS"/>
    <x v="13"/>
    <s v="MEA"/>
    <s v="Training and Advisory Services &amp; Chartered Accountants Academy"/>
    <x v="3"/>
    <n v="0"/>
    <n v="1"/>
    <n v="0"/>
    <n v="0"/>
    <n v="0"/>
    <n v="0"/>
    <n v="0"/>
    <n v="0"/>
    <n v="0"/>
    <n v="0"/>
    <n v="0"/>
    <n v="0"/>
    <n v="0"/>
    <n v="0"/>
    <n v="0"/>
    <n v="0"/>
    <n v="0"/>
    <n v="0"/>
    <n v="1"/>
    <n v="0"/>
    <n v="0"/>
    <n v="0"/>
    <n v="0"/>
    <n v="0"/>
    <x v="1"/>
    <n v="0"/>
  </r>
  <r>
    <s v="Cases\\CAI"/>
    <x v="14"/>
    <s v="EU"/>
    <s v="Chartered Accountants Ireland"/>
    <x v="2"/>
    <n v="1"/>
    <n v="0"/>
    <n v="0"/>
    <n v="0"/>
    <n v="0"/>
    <n v="0"/>
    <n v="0"/>
    <n v="0"/>
    <n v="0"/>
    <n v="0"/>
    <n v="0"/>
    <n v="0"/>
    <n v="0"/>
    <n v="0"/>
    <n v="0"/>
    <n v="0"/>
    <n v="0"/>
    <n v="0"/>
    <n v="0"/>
    <n v="1"/>
    <n v="0"/>
    <n v="0"/>
    <n v="1"/>
    <n v="0"/>
    <x v="1"/>
    <n v="0"/>
  </r>
  <r>
    <s v="Cases\\CalCPA"/>
    <x v="15"/>
    <s v="NA"/>
    <s v="California Society of CPAs"/>
    <x v="2"/>
    <n v="0"/>
    <n v="1"/>
    <n v="0"/>
    <n v="0"/>
    <n v="0"/>
    <n v="0"/>
    <n v="0"/>
    <n v="0"/>
    <n v="0"/>
    <n v="0"/>
    <n v="1"/>
    <n v="0"/>
    <n v="0"/>
    <n v="0"/>
    <n v="0"/>
    <n v="1"/>
    <n v="0"/>
    <n v="0"/>
    <n v="0"/>
    <n v="1"/>
    <n v="0"/>
    <n v="0"/>
    <n v="1"/>
    <n v="1"/>
    <x v="1"/>
    <n v="0"/>
  </r>
  <r>
    <s v="Cases\\CAQ"/>
    <x v="16"/>
    <s v="NA"/>
    <s v="Center for Audit Quality"/>
    <x v="2"/>
    <n v="0"/>
    <n v="1"/>
    <n v="0"/>
    <n v="0"/>
    <n v="1"/>
    <n v="1"/>
    <n v="1"/>
    <n v="0"/>
    <n v="0"/>
    <n v="0"/>
    <n v="1"/>
    <n v="0"/>
    <n v="0"/>
    <n v="0"/>
    <n v="0"/>
    <n v="1"/>
    <n v="0"/>
    <n v="0"/>
    <n v="0"/>
    <n v="1"/>
    <n v="0"/>
    <n v="0"/>
    <n v="0"/>
    <n v="1"/>
    <x v="0"/>
    <n v="0"/>
  </r>
  <r>
    <s v="Cases\\CASI"/>
    <x v="17"/>
    <s v="AE"/>
    <s v="CAS INTERNATIONAL"/>
    <x v="6"/>
    <n v="1"/>
    <n v="0"/>
    <n v="0"/>
    <n v="0"/>
    <n v="0"/>
    <n v="0"/>
    <n v="0"/>
    <n v="0"/>
    <n v="0"/>
    <n v="0"/>
    <n v="0"/>
    <n v="0"/>
    <n v="0"/>
    <n v="0"/>
    <n v="0"/>
    <n v="0"/>
    <n v="0"/>
    <n v="0"/>
    <n v="0"/>
    <n v="1"/>
    <n v="0"/>
    <n v="0"/>
    <n v="1"/>
    <n v="0"/>
    <x v="1"/>
    <n v="0"/>
  </r>
  <r>
    <s v="Cases\\CCC-ICPARD"/>
    <x v="18"/>
    <s v="SA"/>
    <s v="Comite Control de Calidad del ICPARD"/>
    <x v="2"/>
    <n v="1"/>
    <n v="0"/>
    <n v="0"/>
    <n v="0"/>
    <n v="0"/>
    <n v="0"/>
    <n v="0"/>
    <n v="0"/>
    <n v="0"/>
    <n v="0"/>
    <n v="0"/>
    <n v="0"/>
    <n v="0"/>
    <n v="0"/>
    <n v="0"/>
    <n v="0"/>
    <n v="0"/>
    <n v="0"/>
    <n v="0"/>
    <n v="1"/>
    <n v="0"/>
    <n v="0"/>
    <n v="1"/>
    <n v="0"/>
    <x v="1"/>
    <n v="0"/>
  </r>
  <r>
    <s v="Cases\\CFC"/>
    <x v="19"/>
    <s v="SA"/>
    <s v="Conselho Federal de Contabilidade - Federal Accounting Council"/>
    <x v="4"/>
    <n v="1"/>
    <n v="0"/>
    <n v="0"/>
    <n v="0"/>
    <n v="0"/>
    <n v="0"/>
    <n v="0"/>
    <n v="0"/>
    <n v="0"/>
    <n v="0"/>
    <n v="0"/>
    <n v="0"/>
    <n v="0"/>
    <n v="0"/>
    <n v="0"/>
    <n v="0"/>
    <n v="0"/>
    <n v="0"/>
    <n v="0"/>
    <n v="1"/>
    <n v="0"/>
    <n v="0"/>
    <n v="1"/>
    <n v="0"/>
    <x v="0"/>
    <n v="1"/>
  </r>
  <r>
    <s v="Cases\\CG"/>
    <x v="20"/>
    <s v="Global"/>
    <s v="Crowe Global"/>
    <x v="6"/>
    <n v="0"/>
    <n v="1"/>
    <n v="0"/>
    <n v="0"/>
    <n v="1"/>
    <n v="1"/>
    <n v="0"/>
    <n v="1"/>
    <n v="0"/>
    <n v="0"/>
    <n v="0"/>
    <n v="0"/>
    <n v="0"/>
    <n v="0"/>
    <n v="0"/>
    <n v="0"/>
    <n v="0"/>
    <n v="0"/>
    <n v="0"/>
    <n v="1"/>
    <n v="0"/>
    <n v="0"/>
    <n v="1"/>
    <n v="0"/>
    <x v="0"/>
    <n v="1"/>
  </r>
  <r>
    <s v="Cases\\CICC-AIC"/>
    <x v="21"/>
    <s v="SA"/>
    <s v="Comision Interamericana de Control de Calidad de la AIC"/>
    <x v="2"/>
    <n v="1"/>
    <n v="0"/>
    <n v="0"/>
    <n v="0"/>
    <n v="0"/>
    <n v="0"/>
    <n v="0"/>
    <n v="0"/>
    <n v="0"/>
    <n v="0"/>
    <n v="0"/>
    <n v="0"/>
    <n v="0"/>
    <n v="0"/>
    <n v="0"/>
    <n v="0"/>
    <n v="0"/>
    <n v="0"/>
    <n v="0"/>
    <n v="1"/>
    <n v="0"/>
    <n v="0"/>
    <n v="1"/>
    <n v="0"/>
    <x v="1"/>
    <n v="0"/>
  </r>
  <r>
    <s v="Cases\\CICPA_Final"/>
    <x v="22"/>
    <s v="AE"/>
    <s v="Chinese Institute of Certified Public Accountants"/>
    <x v="4"/>
    <n v="0"/>
    <n v="0"/>
    <n v="0"/>
    <n v="0"/>
    <n v="0"/>
    <n v="0"/>
    <n v="0"/>
    <n v="0"/>
    <n v="0"/>
    <n v="0"/>
    <n v="0"/>
    <n v="0"/>
    <n v="0"/>
    <n v="0"/>
    <n v="0"/>
    <n v="0"/>
    <n v="0"/>
    <n v="0"/>
    <n v="0"/>
    <n v="1"/>
    <n v="0"/>
    <n v="1"/>
    <n v="1"/>
    <n v="0"/>
    <x v="0"/>
    <n v="0"/>
  </r>
  <r>
    <s v="Cases\\CNCC-CSOEC"/>
    <x v="23"/>
    <s v="EU"/>
    <s v="Compagnie Nationale des Commissaires aux Comptes and the Conseil Superieur de I’Ordre des Experts-Comptables"/>
    <x v="4"/>
    <n v="0"/>
    <n v="1"/>
    <n v="0"/>
    <n v="0"/>
    <n v="1"/>
    <n v="0"/>
    <n v="1"/>
    <n v="0"/>
    <n v="0"/>
    <n v="0"/>
    <n v="1"/>
    <n v="0"/>
    <n v="0"/>
    <n v="0"/>
    <n v="0"/>
    <n v="0"/>
    <n v="1"/>
    <n v="0"/>
    <n v="0"/>
    <n v="1"/>
    <n v="0"/>
    <n v="1"/>
    <n v="0"/>
    <n v="0"/>
    <x v="0"/>
    <n v="1"/>
  </r>
  <r>
    <s v="Cases\\CNDCEC"/>
    <x v="24"/>
    <s v="EU"/>
    <s v="Consiglio Nazionale dei Dottori Commercialisti e degli Esperti Contabili "/>
    <x v="2"/>
    <n v="0"/>
    <n v="0"/>
    <n v="0"/>
    <n v="0"/>
    <n v="0"/>
    <n v="0"/>
    <n v="0"/>
    <n v="0"/>
    <n v="0"/>
    <n v="0"/>
    <n v="0"/>
    <n v="0"/>
    <n v="0"/>
    <n v="0"/>
    <n v="0"/>
    <n v="0"/>
    <n v="0"/>
    <n v="0"/>
    <n v="0"/>
    <n v="1"/>
    <n v="0"/>
    <n v="0"/>
    <n v="1"/>
    <n v="0"/>
    <x v="1"/>
    <n v="0"/>
  </r>
  <r>
    <s v="Cases\\CPAA"/>
    <x v="25"/>
    <s v="AE"/>
    <s v="CPA Australia"/>
    <x v="2"/>
    <n v="1"/>
    <n v="0"/>
    <n v="0"/>
    <n v="0"/>
    <n v="0"/>
    <n v="0"/>
    <n v="0"/>
    <n v="0"/>
    <n v="0"/>
    <n v="0"/>
    <n v="0"/>
    <n v="0"/>
    <n v="0"/>
    <n v="0"/>
    <n v="0"/>
    <n v="0"/>
    <n v="0"/>
    <n v="0"/>
    <n v="0"/>
    <n v="1"/>
    <n v="0"/>
    <n v="0"/>
    <n v="0"/>
    <n v="0"/>
    <x v="0"/>
    <n v="1"/>
  </r>
  <r>
    <s v="Cases\\CPAB"/>
    <x v="26"/>
    <s v="NA"/>
    <s v="Canadian Public Accountability Board"/>
    <x v="7"/>
    <n v="0"/>
    <n v="0"/>
    <n v="0"/>
    <n v="0"/>
    <n v="0"/>
    <n v="0"/>
    <n v="0"/>
    <n v="0"/>
    <n v="0"/>
    <n v="0"/>
    <n v="1"/>
    <n v="0"/>
    <n v="0"/>
    <n v="0"/>
    <n v="1"/>
    <n v="0"/>
    <n v="0"/>
    <n v="0"/>
    <n v="0"/>
    <n v="0"/>
    <n v="0"/>
    <n v="0"/>
    <n v="0"/>
    <n v="0"/>
    <x v="0"/>
    <n v="0"/>
  </r>
  <r>
    <s v="Cases\\DTL"/>
    <x v="27"/>
    <s v="EU"/>
    <s v="Duncan &amp; Toplis Limited"/>
    <x v="6"/>
    <n v="1"/>
    <n v="0"/>
    <n v="0"/>
    <n v="0"/>
    <n v="0"/>
    <n v="0"/>
    <n v="0"/>
    <n v="0"/>
    <n v="0"/>
    <n v="0"/>
    <n v="0"/>
    <n v="0"/>
    <n v="0"/>
    <n v="0"/>
    <n v="0"/>
    <n v="0"/>
    <n v="0"/>
    <n v="0"/>
    <n v="0"/>
    <n v="1"/>
    <n v="0"/>
    <n v="0"/>
    <n v="1"/>
    <n v="0"/>
    <x v="1"/>
    <n v="0"/>
  </r>
  <r>
    <s v="Cases\\DTTL"/>
    <x v="28"/>
    <s v="Global"/>
    <s v="Deloitte Touche Tohmatsu Limited"/>
    <x v="6"/>
    <n v="0"/>
    <n v="1"/>
    <n v="0"/>
    <n v="0"/>
    <n v="1"/>
    <n v="1"/>
    <n v="1"/>
    <n v="0"/>
    <n v="0"/>
    <n v="0"/>
    <n v="1"/>
    <n v="0"/>
    <n v="1"/>
    <n v="0"/>
    <n v="0"/>
    <n v="0"/>
    <n v="1"/>
    <n v="0"/>
    <n v="0"/>
    <n v="1"/>
    <n v="0"/>
    <n v="0"/>
    <n v="1"/>
    <n v="0"/>
    <x v="0"/>
    <n v="1"/>
  </r>
  <r>
    <s v="Cases\\ES"/>
    <x v="29"/>
    <s v="EU"/>
    <s v="EXPERTsuisse"/>
    <x v="2"/>
    <n v="0"/>
    <n v="0"/>
    <n v="0"/>
    <n v="0"/>
    <n v="0"/>
    <n v="0"/>
    <n v="0"/>
    <n v="0"/>
    <n v="0"/>
    <n v="0"/>
    <n v="0"/>
    <n v="0"/>
    <n v="0"/>
    <n v="0"/>
    <n v="0"/>
    <n v="0"/>
    <n v="0"/>
    <n v="0"/>
    <n v="0"/>
    <n v="1"/>
    <n v="0"/>
    <n v="0"/>
    <n v="1"/>
    <n v="0"/>
    <x v="0"/>
    <n v="0"/>
  </r>
  <r>
    <s v="Cases\\ETY"/>
    <x v="30"/>
    <s v="MEA"/>
    <s v="ETY Global"/>
    <x v="6"/>
    <n v="0"/>
    <n v="1"/>
    <n v="0"/>
    <n v="0"/>
    <n v="1"/>
    <n v="0"/>
    <n v="0"/>
    <n v="0"/>
    <n v="0"/>
    <n v="0"/>
    <n v="0"/>
    <n v="0"/>
    <n v="0"/>
    <n v="0"/>
    <n v="0"/>
    <n v="0"/>
    <n v="0"/>
    <n v="0"/>
    <n v="1"/>
    <n v="0"/>
    <n v="0"/>
    <n v="0"/>
    <n v="0"/>
    <n v="0"/>
    <x v="1"/>
    <n v="0"/>
  </r>
  <r>
    <s v="Cases\\EYG"/>
    <x v="31"/>
    <s v="Global"/>
    <s v="Ernst &amp; Young Global Limited"/>
    <x v="6"/>
    <n v="1"/>
    <n v="0"/>
    <n v="0"/>
    <n v="0"/>
    <n v="0"/>
    <n v="0"/>
    <n v="0"/>
    <n v="0"/>
    <n v="0"/>
    <n v="0"/>
    <n v="1"/>
    <n v="0"/>
    <n v="1"/>
    <n v="0"/>
    <n v="0"/>
    <n v="0"/>
    <n v="1"/>
    <n v="0"/>
    <n v="0"/>
    <n v="1"/>
    <n v="0"/>
    <n v="0"/>
    <n v="1"/>
    <n v="0"/>
    <x v="1"/>
    <n v="0"/>
  </r>
  <r>
    <s v="Cases\\FAAPA"/>
    <x v="32"/>
    <s v="EU"/>
    <s v="Finnish Association of Authorised Public Accountants"/>
    <x v="2"/>
    <n v="0"/>
    <n v="0"/>
    <n v="0"/>
    <n v="0"/>
    <n v="0"/>
    <n v="0"/>
    <n v="0"/>
    <n v="0"/>
    <n v="0"/>
    <n v="0"/>
    <n v="0"/>
    <n v="0"/>
    <n v="0"/>
    <n v="0"/>
    <n v="0"/>
    <n v="0"/>
    <n v="0"/>
    <n v="0"/>
    <n v="0"/>
    <n v="1"/>
    <n v="0"/>
    <n v="0"/>
    <n v="1"/>
    <n v="0"/>
    <x v="0"/>
    <n v="0"/>
  </r>
  <r>
    <s v="Cases\\FAR"/>
    <x v="33"/>
    <s v="EU"/>
    <s v="Institute for the Accountancy Profession in Sweden"/>
    <x v="2"/>
    <n v="0"/>
    <n v="0"/>
    <n v="0"/>
    <n v="0"/>
    <n v="0"/>
    <n v="0"/>
    <n v="0"/>
    <n v="0"/>
    <n v="0"/>
    <n v="0"/>
    <n v="0"/>
    <n v="0"/>
    <n v="0"/>
    <n v="0"/>
    <n v="0"/>
    <n v="0"/>
    <n v="0"/>
    <n v="0"/>
    <n v="0"/>
    <n v="0"/>
    <n v="0"/>
    <n v="0"/>
    <n v="0"/>
    <n v="0"/>
    <x v="0"/>
    <n v="0"/>
  </r>
  <r>
    <s v="Cases\\FRC"/>
    <x v="34"/>
    <s v="EU"/>
    <s v="UK Financial Reporting Council"/>
    <x v="7"/>
    <n v="1"/>
    <n v="0"/>
    <n v="0"/>
    <n v="0"/>
    <n v="0"/>
    <n v="0"/>
    <n v="0"/>
    <n v="0"/>
    <n v="0"/>
    <n v="1"/>
    <n v="0"/>
    <n v="0"/>
    <n v="0"/>
    <n v="0"/>
    <n v="0"/>
    <n v="0"/>
    <n v="0"/>
    <n v="0"/>
    <n v="0"/>
    <n v="1"/>
    <n v="0"/>
    <n v="0"/>
    <n v="1"/>
    <n v="0"/>
    <x v="0"/>
    <n v="1"/>
  </r>
  <r>
    <s v="Cases\\FSR"/>
    <x v="35"/>
    <s v="EU"/>
    <s v="Danske Revisorer (Danish Auditors)"/>
    <x v="2"/>
    <n v="0"/>
    <n v="1"/>
    <n v="0"/>
    <n v="1"/>
    <n v="0"/>
    <n v="1"/>
    <n v="0"/>
    <n v="1"/>
    <n v="0"/>
    <n v="0"/>
    <n v="1"/>
    <n v="1"/>
    <n v="1"/>
    <n v="0"/>
    <n v="0"/>
    <n v="1"/>
    <n v="0"/>
    <n v="0"/>
    <n v="0"/>
    <n v="1"/>
    <n v="0"/>
    <n v="0"/>
    <n v="0"/>
    <n v="1"/>
    <x v="0"/>
    <n v="1"/>
  </r>
  <r>
    <s v="Cases\\GAO"/>
    <x v="36"/>
    <s v="NA"/>
    <s v="United States Government Accountability Office"/>
    <x v="1"/>
    <n v="0"/>
    <n v="1"/>
    <n v="0"/>
    <n v="0"/>
    <n v="0"/>
    <n v="0"/>
    <n v="0"/>
    <n v="0"/>
    <n v="0"/>
    <n v="0"/>
    <n v="0"/>
    <n v="0"/>
    <n v="0"/>
    <n v="0"/>
    <n v="0"/>
    <n v="0"/>
    <n v="0"/>
    <n v="0"/>
    <n v="1"/>
    <n v="0"/>
    <n v="0"/>
    <n v="0"/>
    <n v="0"/>
    <n v="0"/>
    <x v="0"/>
    <n v="1"/>
  </r>
  <r>
    <s v="Cases\\GTIL"/>
    <x v="37"/>
    <s v="Global"/>
    <s v="Grant Thornton International Limited"/>
    <x v="6"/>
    <n v="0"/>
    <n v="1"/>
    <n v="0"/>
    <n v="0"/>
    <n v="1"/>
    <n v="0"/>
    <n v="1"/>
    <n v="0"/>
    <n v="0"/>
    <n v="0"/>
    <n v="1"/>
    <n v="0"/>
    <n v="1"/>
    <n v="1"/>
    <n v="0"/>
    <n v="0"/>
    <n v="0"/>
    <n v="0"/>
    <n v="0"/>
    <n v="1"/>
    <n v="0"/>
    <n v="0"/>
    <n v="1"/>
    <n v="0"/>
    <x v="0"/>
    <n v="1"/>
  </r>
  <r>
    <s v="Cases\\HKICPA"/>
    <x v="38"/>
    <s v="AE"/>
    <s v="Hong Kong Institute of Certified Public Accountants "/>
    <x v="4"/>
    <n v="0"/>
    <n v="1"/>
    <n v="0"/>
    <n v="0"/>
    <n v="0"/>
    <n v="0"/>
    <n v="0"/>
    <n v="0"/>
    <n v="0"/>
    <n v="0"/>
    <n v="1"/>
    <n v="0"/>
    <n v="0"/>
    <n v="0"/>
    <n v="0"/>
    <n v="0"/>
    <n v="1"/>
    <n v="0"/>
    <n v="0"/>
    <n v="1"/>
    <n v="0"/>
    <n v="0"/>
    <n v="1"/>
    <n v="0"/>
    <x v="1"/>
    <n v="0"/>
  </r>
  <r>
    <s v="Cases\\HM"/>
    <x v="39"/>
    <s v="EU"/>
    <s v="Haysmacintyre LLP"/>
    <x v="6"/>
    <n v="1"/>
    <n v="0"/>
    <n v="0"/>
    <n v="0"/>
    <n v="0"/>
    <n v="0"/>
    <n v="0"/>
    <n v="0"/>
    <n v="0"/>
    <n v="0"/>
    <n v="0"/>
    <n v="0"/>
    <n v="0"/>
    <n v="0"/>
    <n v="0"/>
    <n v="0"/>
    <n v="0"/>
    <n v="0"/>
    <n v="1"/>
    <n v="0"/>
    <n v="0"/>
    <n v="0"/>
    <n v="0"/>
    <n v="0"/>
    <x v="1"/>
    <n v="0"/>
  </r>
  <r>
    <s v="Cases\\IAASA"/>
    <x v="40"/>
    <s v="EU"/>
    <s v="Irish Auditing &amp; Accounting Supervisory Authority"/>
    <x v="7"/>
    <n v="0"/>
    <n v="1"/>
    <n v="0"/>
    <n v="1"/>
    <n v="0"/>
    <n v="0"/>
    <n v="0"/>
    <n v="0"/>
    <n v="0"/>
    <n v="0"/>
    <n v="0"/>
    <n v="0"/>
    <n v="0"/>
    <n v="0"/>
    <n v="0"/>
    <n v="0"/>
    <n v="0"/>
    <n v="0"/>
    <n v="0"/>
    <n v="0"/>
    <n v="0"/>
    <n v="0"/>
    <n v="0"/>
    <n v="0"/>
    <x v="0"/>
    <n v="0"/>
  </r>
  <r>
    <s v="Cases\\IAB-IEC"/>
    <x v="41"/>
    <s v="EU"/>
    <s v="Institut des Experts-comptables et des Conseils Fiscaux – Instituut Van de Accountants en de Belastingconsulenten"/>
    <x v="2"/>
    <n v="1"/>
    <n v="0"/>
    <n v="0"/>
    <n v="0"/>
    <n v="0"/>
    <n v="0"/>
    <n v="0"/>
    <n v="0"/>
    <n v="0"/>
    <n v="0"/>
    <n v="0"/>
    <n v="0"/>
    <n v="0"/>
    <n v="0"/>
    <n v="0"/>
    <n v="0"/>
    <n v="0"/>
    <n v="0"/>
    <n v="0"/>
    <n v="0"/>
    <n v="1"/>
    <n v="1"/>
    <n v="0"/>
    <n v="0"/>
    <x v="1"/>
    <n v="0"/>
  </r>
  <r>
    <s v="Cases\\IAIS"/>
    <x v="42"/>
    <s v="Global"/>
    <s v="International Association of Insurance Supervisors"/>
    <x v="5"/>
    <n v="0"/>
    <n v="0"/>
    <n v="0"/>
    <n v="0"/>
    <n v="0"/>
    <n v="0"/>
    <n v="0"/>
    <n v="0"/>
    <n v="0"/>
    <n v="0"/>
    <n v="1"/>
    <n v="0"/>
    <n v="0"/>
    <n v="0"/>
    <n v="0"/>
    <n v="1"/>
    <n v="1"/>
    <n v="0"/>
    <n v="0"/>
    <n v="1"/>
    <n v="0"/>
    <n v="0"/>
    <n v="0"/>
    <n v="1"/>
    <x v="0"/>
    <n v="0"/>
  </r>
  <r>
    <s v="Cases\\IBRACON"/>
    <x v="43"/>
    <s v="SA"/>
    <s v="Instituto dos Auditores Independentes do Brasil"/>
    <x v="2"/>
    <n v="0"/>
    <n v="1"/>
    <n v="0"/>
    <n v="0"/>
    <n v="0"/>
    <n v="0"/>
    <n v="0"/>
    <n v="0"/>
    <n v="1"/>
    <n v="0"/>
    <n v="1"/>
    <n v="0"/>
    <n v="0"/>
    <n v="0"/>
    <n v="0"/>
    <n v="1"/>
    <n v="0"/>
    <n v="0"/>
    <n v="0"/>
    <n v="1"/>
    <n v="0"/>
    <n v="0"/>
    <n v="1"/>
    <n v="1"/>
    <x v="1"/>
    <n v="0"/>
  </r>
  <r>
    <s v="Cases\\IBR-IRE"/>
    <x v="44"/>
    <s v="EU"/>
    <s v="Belgian Institute of Registered Auditors "/>
    <x v="2"/>
    <n v="1"/>
    <n v="0"/>
    <n v="0"/>
    <n v="0"/>
    <n v="0"/>
    <n v="0"/>
    <n v="0"/>
    <n v="0"/>
    <n v="0"/>
    <n v="0"/>
    <n v="0"/>
    <n v="0"/>
    <n v="0"/>
    <n v="0"/>
    <n v="0"/>
    <n v="0"/>
    <n v="0"/>
    <n v="0"/>
    <n v="0"/>
    <n v="1"/>
    <n v="0"/>
    <n v="0"/>
    <n v="0"/>
    <n v="0"/>
    <x v="1"/>
    <n v="0"/>
  </r>
  <r>
    <s v="Cases\\ICAEW"/>
    <x v="45"/>
    <s v="EU"/>
    <s v="Institute of Chartered Accountants in England and Wales"/>
    <x v="2"/>
    <n v="0"/>
    <n v="1"/>
    <n v="0"/>
    <n v="0"/>
    <n v="0"/>
    <n v="0"/>
    <n v="1"/>
    <n v="0"/>
    <n v="0"/>
    <n v="0"/>
    <n v="1"/>
    <n v="0"/>
    <n v="0"/>
    <n v="0"/>
    <n v="0"/>
    <n v="1"/>
    <n v="0"/>
    <n v="0"/>
    <n v="0"/>
    <n v="1"/>
    <n v="0"/>
    <n v="0"/>
    <n v="1"/>
    <n v="1"/>
    <x v="0"/>
    <n v="1"/>
  </r>
  <r>
    <s v="Cases\\ICAP"/>
    <x v="46"/>
    <s v="MEA"/>
    <s v="Institute of Chartered Accountants of Pakistan "/>
    <x v="2"/>
    <n v="1"/>
    <n v="0"/>
    <n v="0"/>
    <n v="0"/>
    <n v="0"/>
    <n v="0"/>
    <n v="0"/>
    <n v="0"/>
    <n v="0"/>
    <n v="0"/>
    <n v="0"/>
    <n v="0"/>
    <n v="0"/>
    <n v="0"/>
    <n v="0"/>
    <n v="0"/>
    <n v="0"/>
    <n v="0"/>
    <n v="1"/>
    <n v="0"/>
    <n v="0"/>
    <n v="0"/>
    <n v="0"/>
    <n v="0"/>
    <x v="0"/>
    <n v="1"/>
  </r>
  <r>
    <s v="Cases\\ICAS"/>
    <x v="47"/>
    <s v="EU"/>
    <s v="Institute of Chartered Accountants of Scotland"/>
    <x v="2"/>
    <n v="0"/>
    <n v="1"/>
    <n v="0"/>
    <n v="0"/>
    <n v="0"/>
    <n v="0"/>
    <n v="0"/>
    <n v="0"/>
    <n v="0"/>
    <n v="0"/>
    <n v="1"/>
    <n v="0"/>
    <n v="1"/>
    <n v="0"/>
    <n v="0"/>
    <n v="0"/>
    <n v="0"/>
    <n v="0"/>
    <n v="0"/>
    <n v="1"/>
    <n v="0"/>
    <n v="0"/>
    <n v="1"/>
    <n v="0"/>
    <x v="1"/>
    <n v="0"/>
  </r>
  <r>
    <s v="Cases\\ICGN"/>
    <x v="48"/>
    <s v="Global"/>
    <s v="International Corporate Governance Network"/>
    <x v="8"/>
    <n v="0"/>
    <n v="0"/>
    <n v="0"/>
    <n v="0"/>
    <n v="0"/>
    <n v="0"/>
    <n v="0"/>
    <n v="0"/>
    <n v="0"/>
    <n v="0"/>
    <n v="0"/>
    <n v="0"/>
    <n v="0"/>
    <n v="0"/>
    <n v="0"/>
    <n v="0"/>
    <n v="0"/>
    <n v="0"/>
    <n v="0"/>
    <n v="0"/>
    <n v="0"/>
    <n v="0"/>
    <n v="0"/>
    <n v="0"/>
    <x v="0"/>
    <n v="0"/>
  </r>
  <r>
    <s v="Cases\\ICJCE"/>
    <x v="49"/>
    <s v="EU"/>
    <s v="Instituto de Censores Jurados de Cuentas de España"/>
    <x v="2"/>
    <n v="0"/>
    <n v="1"/>
    <n v="0"/>
    <n v="0"/>
    <n v="0"/>
    <n v="0"/>
    <n v="0"/>
    <n v="0"/>
    <n v="0"/>
    <n v="0"/>
    <n v="1"/>
    <n v="0"/>
    <n v="0"/>
    <n v="0"/>
    <n v="0"/>
    <n v="0"/>
    <n v="0"/>
    <n v="0"/>
    <n v="0"/>
    <n v="0"/>
    <n v="1"/>
    <n v="0"/>
    <n v="0"/>
    <n v="0"/>
    <x v="1"/>
    <n v="0"/>
  </r>
  <r>
    <s v="Cases\\ICPAS"/>
    <x v="50"/>
    <s v="NA"/>
    <s v="Illinois CPA Society"/>
    <x v="2"/>
    <n v="1"/>
    <n v="0"/>
    <n v="0"/>
    <n v="0"/>
    <n v="0"/>
    <n v="0"/>
    <n v="0"/>
    <n v="0"/>
    <n v="0"/>
    <n v="0"/>
    <n v="0"/>
    <n v="0"/>
    <n v="0"/>
    <n v="0"/>
    <n v="0"/>
    <n v="0"/>
    <n v="0"/>
    <n v="0"/>
    <n v="0"/>
    <n v="0"/>
    <n v="1"/>
    <n v="0"/>
    <n v="0"/>
    <n v="0"/>
    <x v="1"/>
    <n v="0"/>
  </r>
  <r>
    <s v="Cases\\ICPAU"/>
    <x v="51"/>
    <s v="MEA"/>
    <s v="Institute of Certified Public Accountants of Uganda"/>
    <x v="2"/>
    <n v="0"/>
    <n v="1"/>
    <n v="0"/>
    <n v="0"/>
    <n v="0"/>
    <n v="0"/>
    <n v="0"/>
    <n v="0"/>
    <n v="0"/>
    <n v="0"/>
    <n v="1"/>
    <n v="0"/>
    <n v="0"/>
    <n v="0"/>
    <n v="1"/>
    <n v="0"/>
    <n v="0"/>
    <n v="0"/>
    <n v="1"/>
    <n v="0"/>
    <n v="0"/>
    <n v="0"/>
    <n v="0"/>
    <n v="0"/>
    <x v="1"/>
    <n v="0"/>
  </r>
  <r>
    <s v="Cases\\IDW"/>
    <x v="52"/>
    <s v="EU"/>
    <s v="Institut der Wirtschaftsprüfer in Deutschland"/>
    <x v="4"/>
    <n v="0"/>
    <n v="1"/>
    <n v="0"/>
    <n v="0"/>
    <n v="1"/>
    <n v="1"/>
    <n v="0"/>
    <n v="0"/>
    <n v="0"/>
    <n v="0"/>
    <n v="0"/>
    <n v="1"/>
    <n v="0"/>
    <n v="0"/>
    <n v="0"/>
    <n v="0"/>
    <n v="0"/>
    <n v="1"/>
    <n v="0"/>
    <n v="1"/>
    <n v="0"/>
    <n v="1"/>
    <n v="0"/>
    <n v="0"/>
    <x v="1"/>
    <n v="0"/>
  </r>
  <r>
    <s v="Cases\\IFIAR"/>
    <x v="53"/>
    <s v="Global"/>
    <s v="International Forum of Independent Audit Regulators"/>
    <x v="5"/>
    <n v="0"/>
    <n v="1"/>
    <n v="0"/>
    <n v="1"/>
    <n v="0"/>
    <n v="1"/>
    <n v="1"/>
    <n v="0"/>
    <n v="0"/>
    <n v="1"/>
    <n v="0"/>
    <n v="0"/>
    <n v="0"/>
    <n v="0"/>
    <n v="0"/>
    <n v="0"/>
    <n v="0"/>
    <n v="0"/>
    <n v="0"/>
    <n v="0"/>
    <n v="0"/>
    <n v="0"/>
    <n v="0"/>
    <n v="0"/>
    <x v="0"/>
    <n v="0"/>
  </r>
  <r>
    <s v="Cases\\IMCP"/>
    <x v="54"/>
    <s v="NA"/>
    <s v="Instituto Mexicano de Contadores Públicos, A.C."/>
    <x v="2"/>
    <n v="1"/>
    <n v="0"/>
    <n v="0"/>
    <n v="0"/>
    <n v="0"/>
    <n v="0"/>
    <n v="0"/>
    <n v="0"/>
    <n v="0"/>
    <n v="0"/>
    <n v="0"/>
    <n v="0"/>
    <n v="0"/>
    <n v="0"/>
    <n v="0"/>
    <n v="0"/>
    <n v="0"/>
    <n v="0"/>
    <n v="0"/>
    <n v="1"/>
    <n v="0"/>
    <n v="0"/>
    <n v="1"/>
    <n v="0"/>
    <x v="1"/>
    <n v="0"/>
  </r>
  <r>
    <s v="Cases\\IOSCO"/>
    <x v="55"/>
    <s v="Global"/>
    <s v="International Organization of Securities Commissions"/>
    <x v="5"/>
    <n v="1"/>
    <n v="0"/>
    <n v="0"/>
    <n v="0"/>
    <n v="0"/>
    <n v="1"/>
    <n v="0"/>
    <n v="0"/>
    <n v="0"/>
    <n v="0"/>
    <n v="0"/>
    <n v="0"/>
    <n v="0"/>
    <n v="0"/>
    <n v="0"/>
    <n v="0"/>
    <n v="0"/>
    <n v="0"/>
    <n v="0"/>
    <n v="0"/>
    <n v="0"/>
    <n v="0"/>
    <n v="0"/>
    <n v="0"/>
    <x v="0"/>
    <n v="0"/>
  </r>
  <r>
    <s v="Cases\\IRBA"/>
    <x v="56"/>
    <s v="MEA"/>
    <s v="Independent Regulatory Board for Auditors"/>
    <x v="7"/>
    <n v="0"/>
    <n v="1"/>
    <n v="0"/>
    <n v="1"/>
    <n v="1"/>
    <n v="0"/>
    <n v="0"/>
    <n v="0"/>
    <n v="0"/>
    <n v="0"/>
    <n v="0"/>
    <n v="0"/>
    <n v="0"/>
    <n v="0"/>
    <n v="0"/>
    <n v="0"/>
    <n v="0"/>
    <n v="0"/>
    <n v="0"/>
    <n v="1"/>
    <n v="0"/>
    <n v="0"/>
    <n v="1"/>
    <n v="0"/>
    <x v="0"/>
    <n v="1"/>
  </r>
  <r>
    <s v="Cases\\ISCA"/>
    <x v="57"/>
    <s v="AE"/>
    <s v="Institute of Singapore Chartered Accountants"/>
    <x v="2"/>
    <n v="0"/>
    <n v="0"/>
    <n v="0"/>
    <n v="0"/>
    <n v="0"/>
    <n v="0"/>
    <n v="0"/>
    <n v="0"/>
    <n v="0"/>
    <n v="0"/>
    <n v="0"/>
    <n v="0"/>
    <n v="0"/>
    <n v="0"/>
    <n v="0"/>
    <n v="0"/>
    <n v="0"/>
    <n v="0"/>
    <n v="0"/>
    <n v="0"/>
    <n v="0"/>
    <n v="0"/>
    <n v="0"/>
    <n v="0"/>
    <x v="0"/>
    <n v="1"/>
  </r>
  <r>
    <s v="Cases\\JICPA"/>
    <x v="58"/>
    <s v="AE"/>
    <s v="Japanese Institute of Certified Public Accountants"/>
    <x v="4"/>
    <n v="0"/>
    <n v="1"/>
    <n v="0"/>
    <n v="1"/>
    <n v="0"/>
    <n v="0"/>
    <n v="1"/>
    <n v="0"/>
    <n v="0"/>
    <n v="0"/>
    <n v="1"/>
    <n v="0"/>
    <n v="0"/>
    <n v="1"/>
    <n v="0"/>
    <n v="0"/>
    <n v="0"/>
    <n v="0"/>
    <n v="0"/>
    <n v="1"/>
    <n v="0"/>
    <n v="1"/>
    <n v="0"/>
    <n v="0"/>
    <x v="1"/>
    <n v="0"/>
  </r>
  <r>
    <s v="Cases\\KI"/>
    <x v="59"/>
    <s v="Global"/>
    <s v="Kreston International"/>
    <x v="6"/>
    <n v="0"/>
    <n v="1"/>
    <n v="0"/>
    <n v="0"/>
    <n v="0"/>
    <n v="0"/>
    <n v="0"/>
    <n v="0"/>
    <n v="0"/>
    <n v="0"/>
    <n v="0"/>
    <n v="0"/>
    <n v="0"/>
    <n v="0"/>
    <n v="0"/>
    <n v="0"/>
    <n v="0"/>
    <n v="0"/>
    <n v="1"/>
    <n v="0"/>
    <n v="0"/>
    <n v="0"/>
    <n v="0"/>
    <n v="0"/>
    <x v="0"/>
    <n v="1"/>
  </r>
  <r>
    <s v="Cases\\KPMG"/>
    <x v="60"/>
    <s v="Global"/>
    <s v="KPMG IFRG Limited"/>
    <x v="6"/>
    <n v="0"/>
    <n v="1"/>
    <n v="0"/>
    <n v="1"/>
    <n v="1"/>
    <n v="0"/>
    <n v="0"/>
    <n v="0"/>
    <n v="0"/>
    <n v="0"/>
    <n v="1"/>
    <n v="0"/>
    <n v="0"/>
    <n v="0"/>
    <n v="0"/>
    <n v="1"/>
    <n v="0"/>
    <n v="0"/>
    <n v="0"/>
    <n v="1"/>
    <n v="0"/>
    <n v="0"/>
    <n v="0"/>
    <n v="1"/>
    <x v="1"/>
    <n v="0"/>
  </r>
  <r>
    <s v="Cases\\KSW"/>
    <x v="61"/>
    <s v="EU"/>
    <s v="Kammer der Steuerberater und Wirtschaftsprüfer"/>
    <x v="4"/>
    <n v="0"/>
    <n v="0"/>
    <n v="0"/>
    <n v="0"/>
    <n v="0"/>
    <n v="0"/>
    <n v="0"/>
    <n v="0"/>
    <n v="0"/>
    <n v="0"/>
    <n v="0"/>
    <n v="0"/>
    <n v="0"/>
    <n v="0"/>
    <n v="0"/>
    <n v="0"/>
    <n v="0"/>
    <n v="1"/>
    <n v="0"/>
    <n v="0"/>
    <n v="0"/>
    <n v="0"/>
    <n v="0"/>
    <n v="0"/>
    <x v="1"/>
    <n v="0"/>
  </r>
  <r>
    <s v="Cases\\MAASB"/>
    <x v="62"/>
    <s v="AE"/>
    <s v="Auditing and Assurance Standards Board of Malaysian Institute of Accountants"/>
    <x v="4"/>
    <n v="0"/>
    <n v="1"/>
    <n v="0"/>
    <n v="0"/>
    <n v="1"/>
    <n v="0"/>
    <n v="0"/>
    <n v="0"/>
    <n v="0"/>
    <n v="0"/>
    <n v="0"/>
    <n v="0"/>
    <n v="0"/>
    <n v="0"/>
    <n v="0"/>
    <n v="0"/>
    <n v="0"/>
    <n v="0"/>
    <n v="0"/>
    <n v="1"/>
    <n v="0"/>
    <n v="0"/>
    <n v="1"/>
    <n v="0"/>
    <x v="1"/>
    <n v="0"/>
  </r>
  <r>
    <s v="Cases\\MGIW"/>
    <x v="63"/>
    <s v="Global"/>
    <s v="MGI Worldwide"/>
    <x v="6"/>
    <n v="0"/>
    <n v="1"/>
    <n v="0"/>
    <n v="0"/>
    <n v="0"/>
    <n v="1"/>
    <n v="0"/>
    <n v="0"/>
    <n v="0"/>
    <n v="0"/>
    <n v="0"/>
    <n v="0"/>
    <n v="0"/>
    <n v="0"/>
    <n v="0"/>
    <n v="0"/>
    <n v="0"/>
    <n v="0"/>
    <n v="0"/>
    <n v="1"/>
    <n v="0"/>
    <n v="0"/>
    <n v="1"/>
    <n v="0"/>
    <x v="1"/>
    <n v="0"/>
  </r>
  <r>
    <s v="Cases\\MICPA"/>
    <x v="64"/>
    <s v="AE"/>
    <s v="The Malaysian Institute of Certified Public Accountants"/>
    <x v="2"/>
    <n v="1"/>
    <n v="0"/>
    <n v="0"/>
    <n v="0"/>
    <n v="0"/>
    <n v="0"/>
    <n v="0"/>
    <n v="0"/>
    <n v="0"/>
    <n v="0"/>
    <n v="0"/>
    <n v="0"/>
    <n v="0"/>
    <n v="0"/>
    <n v="0"/>
    <n v="0"/>
    <n v="0"/>
    <n v="0"/>
    <n v="0"/>
    <n v="1"/>
    <n v="0"/>
    <n v="0"/>
    <n v="1"/>
    <n v="0"/>
    <x v="0"/>
    <n v="1"/>
  </r>
  <r>
    <s v="Cases\\MNP"/>
    <x v="65"/>
    <s v="NA"/>
    <s v="MNP LLP"/>
    <x v="6"/>
    <n v="0"/>
    <n v="1"/>
    <n v="0"/>
    <n v="1"/>
    <n v="1"/>
    <n v="0"/>
    <n v="0"/>
    <n v="0"/>
    <n v="0"/>
    <n v="0"/>
    <n v="0"/>
    <n v="0"/>
    <n v="0"/>
    <n v="0"/>
    <n v="0"/>
    <n v="0"/>
    <n v="0"/>
    <n v="0"/>
    <n v="1"/>
    <n v="0"/>
    <n v="0"/>
    <n v="0"/>
    <n v="0"/>
    <n v="0"/>
    <x v="1"/>
    <n v="0"/>
  </r>
  <r>
    <s v="Cases\\MSI"/>
    <x v="66"/>
    <s v="Global"/>
    <s v="Moore Stephens International"/>
    <x v="6"/>
    <n v="0"/>
    <n v="1"/>
    <n v="0"/>
    <n v="0"/>
    <n v="1"/>
    <n v="0"/>
    <n v="0"/>
    <n v="0"/>
    <n v="0"/>
    <n v="0"/>
    <n v="0"/>
    <n v="0"/>
    <n v="0"/>
    <n v="0"/>
    <n v="0"/>
    <n v="0"/>
    <n v="0"/>
    <n v="0"/>
    <n v="0"/>
    <n v="1"/>
    <n v="0"/>
    <n v="0"/>
    <n v="1"/>
    <n v="0"/>
    <x v="1"/>
    <n v="0"/>
  </r>
  <r>
    <s v="Cases\\MZRS"/>
    <x v="67"/>
    <s v="Global"/>
    <s v="MAZARS"/>
    <x v="6"/>
    <n v="0"/>
    <n v="1"/>
    <n v="0"/>
    <n v="0"/>
    <n v="0"/>
    <n v="0"/>
    <n v="0"/>
    <n v="0"/>
    <n v="0"/>
    <n v="0"/>
    <n v="1"/>
    <n v="0"/>
    <n v="0"/>
    <n v="0"/>
    <n v="0"/>
    <n v="1"/>
    <n v="1"/>
    <n v="0"/>
    <n v="0"/>
    <n v="1"/>
    <n v="0"/>
    <n v="0"/>
    <n v="1"/>
    <n v="0"/>
    <x v="1"/>
    <n v="0"/>
  </r>
  <r>
    <s v="Cases\\MZRSUS"/>
    <x v="68"/>
    <s v="NA"/>
    <s v="MAZARS USA LLP"/>
    <x v="6"/>
    <n v="0"/>
    <n v="1"/>
    <n v="0"/>
    <n v="1"/>
    <n v="1"/>
    <n v="0"/>
    <n v="0"/>
    <n v="0"/>
    <n v="0"/>
    <n v="0"/>
    <n v="1"/>
    <n v="0"/>
    <n v="0"/>
    <n v="0"/>
    <n v="0"/>
    <n v="1"/>
    <n v="0"/>
    <n v="0"/>
    <n v="0"/>
    <n v="1"/>
    <n v="0"/>
    <n v="0"/>
    <n v="1"/>
    <n v="1"/>
    <x v="0"/>
    <n v="1"/>
  </r>
  <r>
    <s v="Cases\\NAOM"/>
    <x v="69"/>
    <s v="EU"/>
    <s v="National Audit Office of Malta"/>
    <x v="1"/>
    <n v="0"/>
    <n v="1"/>
    <n v="0"/>
    <n v="0"/>
    <n v="1"/>
    <n v="0"/>
    <n v="0"/>
    <n v="0"/>
    <n v="0"/>
    <n v="0"/>
    <n v="0"/>
    <n v="0"/>
    <n v="0"/>
    <n v="0"/>
    <n v="0"/>
    <n v="0"/>
    <n v="0"/>
    <n v="0"/>
    <n v="1"/>
    <n v="0"/>
    <n v="0"/>
    <n v="0"/>
    <n v="0"/>
    <n v="0"/>
    <x v="1"/>
    <n v="0"/>
  </r>
  <r>
    <s v="Cases\\NASBA"/>
    <x v="70"/>
    <s v="NA"/>
    <s v="National Association of State Boards of Accountancy"/>
    <x v="7"/>
    <n v="1"/>
    <n v="0"/>
    <n v="0"/>
    <n v="0"/>
    <n v="0"/>
    <n v="0"/>
    <n v="0"/>
    <n v="0"/>
    <n v="0"/>
    <n v="0"/>
    <n v="0"/>
    <n v="0"/>
    <n v="0"/>
    <n v="0"/>
    <n v="0"/>
    <n v="0"/>
    <n v="0"/>
    <n v="0"/>
    <n v="1"/>
    <n v="0"/>
    <n v="0"/>
    <n v="0"/>
    <n v="0"/>
    <n v="0"/>
    <x v="1"/>
    <n v="0"/>
  </r>
  <r>
    <s v="Cases\\NBA"/>
    <x v="71"/>
    <s v="EU"/>
    <s v="Royal Nederlandse Beroepsorganisatie van Accountants"/>
    <x v="4"/>
    <n v="0"/>
    <n v="1"/>
    <n v="0"/>
    <n v="0"/>
    <n v="0"/>
    <n v="0"/>
    <n v="0"/>
    <n v="0"/>
    <n v="0"/>
    <n v="0"/>
    <n v="1"/>
    <n v="0"/>
    <n v="0"/>
    <n v="0"/>
    <n v="0"/>
    <n v="1"/>
    <n v="0"/>
    <n v="0"/>
    <n v="0"/>
    <n v="1"/>
    <n v="0"/>
    <n v="0"/>
    <n v="0"/>
    <n v="1"/>
    <x v="1"/>
    <n v="0"/>
  </r>
  <r>
    <s v="Cases\\NI"/>
    <x v="72"/>
    <s v="Global"/>
    <s v="NEXIA INTERNATIONAL"/>
    <x v="6"/>
    <n v="1"/>
    <n v="0"/>
    <n v="0"/>
    <n v="0"/>
    <n v="0"/>
    <n v="0"/>
    <n v="0"/>
    <n v="0"/>
    <n v="0"/>
    <n v="0"/>
    <n v="0"/>
    <n v="0"/>
    <n v="0"/>
    <n v="0"/>
    <n v="0"/>
    <n v="0"/>
    <n v="0"/>
    <n v="0"/>
    <n v="1"/>
    <n v="0"/>
    <n v="0"/>
    <n v="0"/>
    <n v="0"/>
    <n v="0"/>
    <x v="1"/>
    <n v="0"/>
  </r>
  <r>
    <s v="Cases\\NRF"/>
    <x v="73"/>
    <s v="EU"/>
    <s v="Nordic Federation of Public Accountants"/>
    <x v="2"/>
    <n v="0"/>
    <n v="1"/>
    <n v="0"/>
    <n v="0"/>
    <n v="0"/>
    <n v="0"/>
    <n v="0"/>
    <n v="1"/>
    <n v="0"/>
    <n v="0"/>
    <n v="1"/>
    <n v="0"/>
    <n v="0"/>
    <n v="0"/>
    <n v="0"/>
    <n v="1"/>
    <n v="0"/>
    <n v="1"/>
    <n v="0"/>
    <n v="1"/>
    <n v="0"/>
    <n v="1"/>
    <n v="0"/>
    <n v="1"/>
    <x v="1"/>
    <n v="0"/>
  </r>
  <r>
    <s v="Cases\\NSW"/>
    <x v="74"/>
    <s v="EU"/>
    <s v="Nexia Smith &amp; Williamson"/>
    <x v="6"/>
    <n v="0"/>
    <n v="1"/>
    <n v="0"/>
    <n v="0"/>
    <n v="1"/>
    <n v="0"/>
    <n v="0"/>
    <n v="0"/>
    <n v="0"/>
    <n v="0"/>
    <n v="0"/>
    <n v="0"/>
    <n v="0"/>
    <n v="0"/>
    <n v="0"/>
    <n v="0"/>
    <n v="0"/>
    <n v="0"/>
    <n v="1"/>
    <n v="0"/>
    <n v="0"/>
    <n v="0"/>
    <n v="0"/>
    <n v="0"/>
    <x v="1"/>
    <n v="0"/>
  </r>
  <r>
    <s v="Cases\\NYSSCPA"/>
    <x v="75"/>
    <s v="NA"/>
    <s v="Unassigned"/>
    <x v="2"/>
    <n v="1"/>
    <n v="0"/>
    <n v="0"/>
    <n v="0"/>
    <n v="0"/>
    <n v="0"/>
    <n v="0"/>
    <n v="0"/>
    <n v="0"/>
    <n v="0"/>
    <n v="1"/>
    <n v="0"/>
    <n v="1"/>
    <n v="0"/>
    <n v="0"/>
    <n v="0"/>
    <n v="0"/>
    <n v="0"/>
    <n v="1"/>
    <n v="0"/>
    <n v="0"/>
    <n v="0"/>
    <n v="0"/>
    <n v="0"/>
    <x v="0"/>
    <n v="0"/>
  </r>
  <r>
    <s v="Cases\\NZAASB"/>
    <x v="76"/>
    <s v="AE"/>
    <s v="New Zealand Auditing and Assurance Standards Board"/>
    <x v="4"/>
    <n v="0"/>
    <n v="1"/>
    <n v="0"/>
    <n v="1"/>
    <n v="0"/>
    <n v="0"/>
    <n v="0"/>
    <n v="0"/>
    <n v="0"/>
    <n v="0"/>
    <n v="0"/>
    <n v="0"/>
    <n v="0"/>
    <n v="0"/>
    <n v="0"/>
    <n v="0"/>
    <n v="0"/>
    <n v="0"/>
    <n v="0"/>
    <n v="1"/>
    <n v="0"/>
    <n v="0"/>
    <n v="1"/>
    <n v="0"/>
    <x v="1"/>
    <n v="0"/>
  </r>
  <r>
    <s v="Cases\\OAGA"/>
    <x v="77"/>
    <s v="NA"/>
    <s v="Office of the Auditor General of Alberta  "/>
    <x v="1"/>
    <n v="1"/>
    <n v="0"/>
    <n v="0"/>
    <n v="0"/>
    <n v="0"/>
    <n v="0"/>
    <n v="0"/>
    <n v="0"/>
    <n v="0"/>
    <n v="0"/>
    <n v="1"/>
    <n v="0"/>
    <n v="1"/>
    <n v="0"/>
    <n v="0"/>
    <n v="1"/>
    <n v="0"/>
    <n v="0"/>
    <n v="0"/>
    <n v="1"/>
    <n v="0"/>
    <n v="0"/>
    <n v="0"/>
    <n v="1"/>
    <x v="0"/>
    <n v="1"/>
  </r>
  <r>
    <s v="Cases\\OAGC"/>
    <x v="78"/>
    <s v="NA"/>
    <s v="Office of the Auditor General of Canada"/>
    <x v="1"/>
    <n v="0"/>
    <n v="1"/>
    <n v="0"/>
    <n v="0"/>
    <n v="0"/>
    <n v="0"/>
    <n v="0"/>
    <n v="0"/>
    <n v="0"/>
    <n v="0"/>
    <n v="0"/>
    <n v="0"/>
    <n v="0"/>
    <n v="0"/>
    <n v="0"/>
    <n v="0"/>
    <n v="0"/>
    <n v="0"/>
    <n v="1"/>
    <n v="0"/>
    <n v="0"/>
    <n v="0"/>
    <n v="0"/>
    <n v="0"/>
    <x v="1"/>
    <n v="0"/>
  </r>
  <r>
    <s v="Cases\\OAGNZ"/>
    <x v="79"/>
    <s v="AE"/>
    <s v="Office of the Auditor-General (New Zealand)"/>
    <x v="1"/>
    <n v="1"/>
    <n v="0"/>
    <n v="0"/>
    <n v="0"/>
    <n v="0"/>
    <n v="0"/>
    <n v="0"/>
    <n v="0"/>
    <n v="0"/>
    <n v="0"/>
    <n v="0"/>
    <n v="0"/>
    <n v="0"/>
    <n v="0"/>
    <n v="0"/>
    <n v="0"/>
    <n v="0"/>
    <n v="0"/>
    <n v="0"/>
    <n v="0"/>
    <n v="0"/>
    <n v="0"/>
    <n v="0"/>
    <n v="0"/>
    <x v="0"/>
    <n v="1"/>
  </r>
  <r>
    <s v="Cases\\PAS"/>
    <x v="80"/>
    <s v="NA"/>
    <s v="Provincial Auditor Saskatchewan"/>
    <x v="1"/>
    <n v="1"/>
    <n v="0"/>
    <n v="0"/>
    <n v="0"/>
    <n v="0"/>
    <n v="0"/>
    <n v="0"/>
    <n v="0"/>
    <n v="0"/>
    <n v="0"/>
    <n v="0"/>
    <n v="0"/>
    <n v="0"/>
    <n v="0"/>
    <n v="0"/>
    <n v="0"/>
    <n v="0"/>
    <n v="0"/>
    <n v="1"/>
    <n v="0"/>
    <n v="0"/>
    <n v="0"/>
    <n v="0"/>
    <n v="0"/>
    <x v="1"/>
    <n v="0"/>
  </r>
  <r>
    <s v="Cases\\PKFI"/>
    <x v="81"/>
    <s v="Global"/>
    <s v="PKF International Limited"/>
    <x v="6"/>
    <n v="0"/>
    <n v="1"/>
    <n v="0"/>
    <n v="0"/>
    <n v="1"/>
    <n v="0"/>
    <n v="0"/>
    <n v="0"/>
    <n v="0"/>
    <n v="0"/>
    <n v="1"/>
    <n v="0"/>
    <n v="0"/>
    <n v="0"/>
    <n v="0"/>
    <n v="1"/>
    <n v="0"/>
    <n v="0"/>
    <n v="1"/>
    <n v="0"/>
    <n v="0"/>
    <n v="0"/>
    <n v="0"/>
    <n v="0"/>
    <x v="1"/>
    <n v="0"/>
  </r>
  <r>
    <s v="Cases\\PKFSA"/>
    <x v="82"/>
    <s v="MEA"/>
    <s v="PKF South Africa"/>
    <x v="6"/>
    <n v="0"/>
    <n v="1"/>
    <n v="0"/>
    <n v="0"/>
    <n v="0"/>
    <n v="0"/>
    <n v="0"/>
    <n v="0"/>
    <n v="0"/>
    <n v="0"/>
    <n v="0"/>
    <n v="0"/>
    <n v="0"/>
    <n v="0"/>
    <n v="0"/>
    <n v="0"/>
    <n v="0"/>
    <n v="0"/>
    <n v="1"/>
    <n v="0"/>
    <n v="0"/>
    <n v="0"/>
    <n v="0"/>
    <n v="0"/>
    <x v="1"/>
    <n v="0"/>
  </r>
  <r>
    <s v="Cases\\PwC"/>
    <x v="83"/>
    <s v="Global"/>
    <s v="PriceWaterhouseCoopers"/>
    <x v="6"/>
    <n v="0"/>
    <n v="1"/>
    <n v="0"/>
    <n v="1"/>
    <n v="1"/>
    <n v="1"/>
    <n v="1"/>
    <n v="1"/>
    <n v="1"/>
    <n v="0"/>
    <n v="1"/>
    <n v="0"/>
    <n v="1"/>
    <n v="0"/>
    <n v="0"/>
    <n v="1"/>
    <n v="0"/>
    <n v="0"/>
    <n v="0"/>
    <n v="1"/>
    <n v="0"/>
    <n v="0"/>
    <n v="0"/>
    <n v="1"/>
    <x v="0"/>
    <n v="1"/>
  </r>
  <r>
    <s v="Cases\\RSMI"/>
    <x v="84"/>
    <s v="Global"/>
    <s v="RSM International"/>
    <x v="6"/>
    <n v="1"/>
    <n v="0"/>
    <n v="0"/>
    <n v="0"/>
    <n v="0"/>
    <n v="0"/>
    <n v="0"/>
    <n v="0"/>
    <n v="0"/>
    <n v="0"/>
    <n v="0"/>
    <n v="0"/>
    <n v="0"/>
    <n v="0"/>
    <n v="0"/>
    <n v="0"/>
    <n v="0"/>
    <n v="0"/>
    <n v="0"/>
    <n v="1"/>
    <n v="0"/>
    <n v="0"/>
    <n v="1"/>
    <n v="0"/>
    <x v="1"/>
    <n v="0"/>
  </r>
  <r>
    <s v="Cases\\SAICA"/>
    <x v="85"/>
    <s v="MEA"/>
    <s v="South African Institute of Chartered Accountants"/>
    <x v="2"/>
    <n v="0"/>
    <n v="1"/>
    <n v="0"/>
    <n v="1"/>
    <n v="0"/>
    <n v="0"/>
    <n v="1"/>
    <n v="0"/>
    <n v="1"/>
    <n v="0"/>
    <n v="1"/>
    <n v="0"/>
    <n v="0"/>
    <n v="1"/>
    <n v="1"/>
    <n v="0"/>
    <n v="0"/>
    <n v="0"/>
    <n v="0"/>
    <n v="1"/>
    <n v="0"/>
    <n v="1"/>
    <n v="0"/>
    <n v="0"/>
    <x v="0"/>
    <n v="1"/>
  </r>
  <r>
    <s v="Cases\\SMPC"/>
    <x v="86"/>
    <s v="Global"/>
    <s v="IFAC Small and Medium Practices Committee"/>
    <x v="2"/>
    <n v="0"/>
    <n v="1"/>
    <n v="0"/>
    <n v="1"/>
    <n v="0"/>
    <n v="0"/>
    <n v="0"/>
    <n v="0"/>
    <n v="0"/>
    <n v="0"/>
    <n v="0"/>
    <n v="1"/>
    <n v="0"/>
    <n v="0"/>
    <n v="0"/>
    <n v="0"/>
    <n v="0"/>
    <n v="1"/>
    <n v="0"/>
    <n v="1"/>
    <n v="0"/>
    <n v="1"/>
    <n v="0"/>
    <n v="0"/>
    <x v="0"/>
    <n v="1"/>
  </r>
  <r>
    <s v="Cases\\SNAO"/>
    <x v="87"/>
    <s v="EU"/>
    <s v="Swedish National Audit Office"/>
    <x v="1"/>
    <n v="0"/>
    <n v="1"/>
    <n v="0"/>
    <n v="0"/>
    <n v="1"/>
    <n v="0"/>
    <n v="0"/>
    <n v="0"/>
    <n v="0"/>
    <n v="0"/>
    <n v="0"/>
    <n v="0"/>
    <n v="0"/>
    <n v="0"/>
    <n v="0"/>
    <n v="0"/>
    <n v="0"/>
    <n v="0"/>
    <n v="0"/>
    <n v="0"/>
    <n v="0"/>
    <n v="0"/>
    <n v="0"/>
    <n v="0"/>
    <x v="0"/>
    <n v="1"/>
  </r>
  <r>
    <s v="Cases\\UNSW"/>
    <x v="88"/>
    <s v="AE"/>
    <s v="UNSW Audit Research Network"/>
    <x v="0"/>
    <n v="0"/>
    <n v="0"/>
    <n v="0"/>
    <n v="0"/>
    <n v="0"/>
    <n v="0"/>
    <n v="0"/>
    <n v="0"/>
    <n v="0"/>
    <n v="0"/>
    <n v="0"/>
    <n v="0"/>
    <n v="0"/>
    <n v="0"/>
    <n v="0"/>
    <n v="0"/>
    <n v="0"/>
    <n v="0"/>
    <n v="0"/>
    <n v="0"/>
    <n v="0"/>
    <n v="0"/>
    <n v="0"/>
    <n v="0"/>
    <x v="0"/>
    <n v="1"/>
  </r>
  <r>
    <s v="Cases\\VM"/>
    <x v="89"/>
    <s v="EU"/>
    <s v="Vera Massarygina"/>
    <x v="3"/>
    <n v="0"/>
    <n v="0"/>
    <n v="0"/>
    <n v="0"/>
    <n v="0"/>
    <n v="0"/>
    <n v="0"/>
    <n v="0"/>
    <n v="0"/>
    <n v="0"/>
    <n v="0"/>
    <n v="0"/>
    <n v="0"/>
    <n v="0"/>
    <n v="0"/>
    <n v="0"/>
    <n v="0"/>
    <n v="0"/>
    <n v="1"/>
    <n v="0"/>
    <n v="0"/>
    <n v="0"/>
    <n v="0"/>
    <n v="0"/>
    <x v="1"/>
    <n v="0"/>
  </r>
  <r>
    <s v="Cases\\WPK"/>
    <x v="90"/>
    <s v="EU"/>
    <s v="Wirtschaftsprüferkammer"/>
    <x v="2"/>
    <n v="0"/>
    <n v="1"/>
    <n v="0"/>
    <n v="0"/>
    <n v="0"/>
    <n v="0"/>
    <n v="0"/>
    <n v="0"/>
    <n v="0"/>
    <n v="0"/>
    <n v="0"/>
    <n v="0"/>
    <n v="0"/>
    <n v="0"/>
    <n v="0"/>
    <n v="0"/>
    <n v="0"/>
    <n v="0"/>
    <n v="0"/>
    <n v="1"/>
    <n v="0"/>
    <n v="1"/>
    <n v="1"/>
    <n v="0"/>
    <x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AAA-ASC"/>
    <x v="0"/>
    <s v="NA"/>
    <s v="Auditing Standards Committee of the American Accounting Association"/>
    <x v="0"/>
    <n v="0"/>
    <n v="1"/>
    <n v="0"/>
    <n v="0"/>
    <n v="0"/>
    <n v="0"/>
    <n v="0"/>
    <n v="0"/>
    <n v="0"/>
    <n v="0"/>
    <n v="1"/>
    <n v="0"/>
    <n v="1"/>
    <n v="0"/>
    <n v="0"/>
    <n v="0"/>
    <n v="0"/>
    <n v="0"/>
    <n v="0"/>
    <n v="0"/>
    <n v="0"/>
    <n v="0"/>
    <n v="0"/>
    <n v="0"/>
    <n v="0"/>
    <n v="1"/>
    <n v="0"/>
    <n v="0"/>
    <n v="0"/>
  </r>
  <r>
    <s v="Cases\\ACAG"/>
    <x v="1"/>
    <s v="AE"/>
    <s v="Australasian Council of Auditors General"/>
    <x v="1"/>
    <n v="0"/>
    <n v="1"/>
    <n v="0"/>
    <n v="0"/>
    <n v="0"/>
    <n v="0"/>
    <n v="0"/>
    <n v="0"/>
    <n v="0"/>
    <n v="0"/>
    <n v="0"/>
    <n v="0"/>
    <n v="0"/>
    <n v="0"/>
    <n v="0"/>
    <n v="0"/>
    <n v="0"/>
    <n v="0"/>
    <n v="1"/>
    <n v="0"/>
    <n v="0"/>
    <n v="0"/>
    <n v="0"/>
    <n v="0"/>
    <n v="0"/>
    <n v="1"/>
    <n v="0"/>
    <n v="1"/>
    <n v="0"/>
  </r>
  <r>
    <s v="Cases\\ACCA-CAANZ"/>
    <x v="2"/>
    <s v="Global"/>
    <s v="Chartered Accountants Australia and New Zealand and the Association of Chartered Certified Accountants"/>
    <x v="2"/>
    <n v="0"/>
    <n v="1"/>
    <n v="0"/>
    <n v="0"/>
    <n v="0"/>
    <n v="0"/>
    <n v="0"/>
    <n v="0"/>
    <n v="0"/>
    <n v="0"/>
    <n v="1"/>
    <n v="1"/>
    <n v="1"/>
    <n v="0"/>
    <n v="1"/>
    <n v="0"/>
    <n v="0"/>
    <n v="1"/>
    <n v="0"/>
    <n v="1"/>
    <n v="0"/>
    <n v="0"/>
    <n v="1"/>
    <n v="0"/>
    <n v="1"/>
    <n v="0"/>
    <n v="0"/>
    <n v="1"/>
    <n v="0"/>
  </r>
  <r>
    <s v="Cases\\AE"/>
    <x v="3"/>
    <s v="EU"/>
    <s v="Accountancy Europe"/>
    <x v="2"/>
    <n v="0"/>
    <n v="1"/>
    <n v="0"/>
    <n v="0"/>
    <n v="1"/>
    <n v="0"/>
    <n v="0"/>
    <n v="0"/>
    <n v="0"/>
    <n v="0"/>
    <n v="0"/>
    <n v="1"/>
    <n v="0"/>
    <n v="0"/>
    <n v="1"/>
    <n v="0"/>
    <n v="0"/>
    <n v="1"/>
    <n v="0"/>
    <n v="1"/>
    <n v="0"/>
    <n v="1"/>
    <n v="0"/>
    <n v="0"/>
    <n v="1"/>
    <n v="0"/>
    <n v="0"/>
    <n v="1"/>
    <n v="0"/>
  </r>
  <r>
    <s v="Cases\\AFV"/>
    <x v="4"/>
    <s v="SA"/>
    <s v="Alvaro Fonesca Vivas"/>
    <x v="3"/>
    <n v="0"/>
    <n v="0"/>
    <n v="0"/>
    <n v="0"/>
    <n v="0"/>
    <n v="0"/>
    <n v="0"/>
    <n v="0"/>
    <n v="0"/>
    <n v="0"/>
    <n v="0"/>
    <n v="0"/>
    <n v="0"/>
    <n v="0"/>
    <n v="0"/>
    <n v="0"/>
    <n v="0"/>
    <n v="0"/>
    <n v="0"/>
    <n v="0"/>
    <n v="0"/>
    <n v="0"/>
    <n v="0"/>
    <n v="0"/>
    <n v="0"/>
    <n v="0"/>
    <n v="0"/>
    <n v="0"/>
    <n v="0"/>
  </r>
  <r>
    <s v="Cases\\AGSA"/>
    <x v="5"/>
    <s v="MEA"/>
    <s v="Auditor General of South Africa"/>
    <x v="1"/>
    <n v="1"/>
    <n v="0"/>
    <n v="0"/>
    <n v="0"/>
    <n v="0"/>
    <n v="0"/>
    <n v="0"/>
    <n v="0"/>
    <n v="0"/>
    <n v="0"/>
    <n v="0"/>
    <n v="0"/>
    <n v="0"/>
    <n v="0"/>
    <n v="0"/>
    <n v="0"/>
    <n v="0"/>
    <n v="0"/>
    <n v="1"/>
    <n v="0"/>
    <n v="0"/>
    <n v="0"/>
    <n v="0"/>
    <n v="0"/>
    <n v="1"/>
    <n v="0"/>
    <n v="1"/>
    <n v="1"/>
    <n v="0"/>
  </r>
  <r>
    <s v="Cases\\AICPA"/>
    <x v="6"/>
    <s v="NA"/>
    <s v="American Institute of Certified Public Accountants"/>
    <x v="4"/>
    <n v="1"/>
    <n v="0"/>
    <n v="0"/>
    <n v="0"/>
    <n v="0"/>
    <n v="0"/>
    <n v="0"/>
    <n v="0"/>
    <n v="0"/>
    <n v="0"/>
    <n v="0"/>
    <n v="0"/>
    <n v="0"/>
    <n v="0"/>
    <n v="0"/>
    <n v="0"/>
    <n v="0"/>
    <n v="0"/>
    <n v="0"/>
    <n v="1"/>
    <n v="0"/>
    <n v="0"/>
    <n v="1"/>
    <n v="0"/>
    <n v="1"/>
    <n v="0"/>
    <n v="0"/>
    <n v="1"/>
    <n v="0"/>
  </r>
  <r>
    <s v="Cases\\AUASB"/>
    <x v="7"/>
    <s v="AE"/>
    <s v="Australian Auditing and Assurance Standards Board"/>
    <x v="4"/>
    <n v="0"/>
    <n v="1"/>
    <n v="0"/>
    <n v="0"/>
    <n v="1"/>
    <n v="0"/>
    <n v="0"/>
    <n v="0"/>
    <n v="0"/>
    <n v="0"/>
    <n v="0"/>
    <n v="1"/>
    <n v="0"/>
    <n v="0"/>
    <n v="1"/>
    <n v="1"/>
    <n v="0"/>
    <n v="0"/>
    <n v="0"/>
    <n v="1"/>
    <n v="0"/>
    <n v="0"/>
    <n v="0"/>
    <n v="1"/>
    <n v="0"/>
    <n v="1"/>
    <n v="0"/>
    <n v="1"/>
    <n v="0"/>
  </r>
  <r>
    <s v="Cases\\BCBS"/>
    <x v="8"/>
    <s v="Global"/>
    <s v="Basel Committee on Banking Supervision"/>
    <x v="5"/>
    <n v="0"/>
    <n v="0"/>
    <n v="0"/>
    <n v="0"/>
    <n v="0"/>
    <n v="0"/>
    <n v="0"/>
    <n v="0"/>
    <n v="0"/>
    <n v="0"/>
    <n v="1"/>
    <n v="0"/>
    <n v="0"/>
    <n v="0"/>
    <n v="1"/>
    <n v="1"/>
    <n v="0"/>
    <n v="0"/>
    <n v="0"/>
    <n v="1"/>
    <n v="0"/>
    <n v="0"/>
    <n v="0"/>
    <n v="1"/>
    <n v="0"/>
    <n v="0"/>
    <n v="0"/>
    <n v="1"/>
    <n v="0"/>
  </r>
  <r>
    <s v="Cases\\BDO"/>
    <x v="9"/>
    <s v="Global"/>
    <s v="BDO International Limited"/>
    <x v="6"/>
    <n v="0"/>
    <n v="1"/>
    <n v="0"/>
    <n v="0"/>
    <n v="0"/>
    <n v="0"/>
    <n v="0"/>
    <n v="0"/>
    <n v="0"/>
    <n v="0"/>
    <n v="0"/>
    <n v="0"/>
    <n v="0"/>
    <n v="0"/>
    <n v="0"/>
    <n v="0"/>
    <n v="0"/>
    <n v="0"/>
    <n v="0"/>
    <n v="1"/>
    <n v="0"/>
    <n v="0"/>
    <n v="1"/>
    <n v="0"/>
    <n v="0"/>
    <n v="1"/>
    <n v="0"/>
    <n v="1"/>
    <n v="0"/>
  </r>
  <r>
    <s v="Cases\\BTI"/>
    <x v="10"/>
    <s v="Global"/>
    <s v="Baker Tilly International"/>
    <x v="6"/>
    <n v="0"/>
    <n v="1"/>
    <n v="0"/>
    <n v="0"/>
    <n v="0"/>
    <n v="0"/>
    <n v="0"/>
    <n v="0"/>
    <n v="0"/>
    <n v="0"/>
    <n v="0"/>
    <n v="0"/>
    <n v="0"/>
    <n v="0"/>
    <n v="0"/>
    <n v="0"/>
    <n v="0"/>
    <n v="0"/>
    <n v="0"/>
    <n v="1"/>
    <n v="0"/>
    <n v="0"/>
    <n v="0"/>
    <n v="0"/>
    <n v="1"/>
    <n v="0"/>
    <n v="0"/>
    <n v="1"/>
    <n v="0"/>
  </r>
  <r>
    <s v="Cases\\BTVK"/>
    <x v="11"/>
    <s v="NA"/>
    <s v="Baker Tilly Virchow Krause, LLP"/>
    <x v="6"/>
    <n v="0"/>
    <n v="0"/>
    <n v="0"/>
    <n v="0"/>
    <n v="0"/>
    <n v="0"/>
    <n v="0"/>
    <n v="0"/>
    <n v="0"/>
    <n v="0"/>
    <n v="0"/>
    <n v="0"/>
    <n v="0"/>
    <n v="0"/>
    <n v="0"/>
    <n v="0"/>
    <n v="0"/>
    <n v="0"/>
    <n v="0"/>
    <n v="1"/>
    <n v="0"/>
    <n v="0"/>
    <n v="1"/>
    <n v="0"/>
    <n v="0"/>
    <n v="0"/>
    <n v="0"/>
    <n v="1"/>
    <n v="0"/>
  </r>
  <r>
    <s v="Cases\\CAASB"/>
    <x v="12"/>
    <s v="NA"/>
    <s v="Canadian Auditing and Assurance Standards Board "/>
    <x v="4"/>
    <n v="0"/>
    <n v="1"/>
    <n v="0"/>
    <n v="0"/>
    <n v="0"/>
    <n v="1"/>
    <n v="0"/>
    <n v="0"/>
    <n v="0"/>
    <n v="0"/>
    <n v="0"/>
    <n v="0"/>
    <n v="0"/>
    <n v="0"/>
    <n v="0"/>
    <n v="0"/>
    <n v="0"/>
    <n v="1"/>
    <n v="1"/>
    <n v="0"/>
    <n v="0"/>
    <n v="0"/>
    <n v="0"/>
    <n v="0"/>
    <n v="1"/>
    <n v="0"/>
    <n v="0"/>
    <n v="1"/>
    <n v="1"/>
  </r>
  <r>
    <s v="Cases\\CAA-TAS"/>
    <x v="13"/>
    <s v="MEA"/>
    <s v="Training and Advisory Services &amp; Chartered Accountants Academy"/>
    <x v="3"/>
    <n v="0"/>
    <n v="1"/>
    <n v="0"/>
    <n v="0"/>
    <n v="0"/>
    <n v="0"/>
    <n v="0"/>
    <n v="0"/>
    <n v="0"/>
    <n v="0"/>
    <n v="0"/>
    <n v="0"/>
    <n v="0"/>
    <n v="0"/>
    <n v="0"/>
    <n v="0"/>
    <n v="0"/>
    <n v="0"/>
    <n v="1"/>
    <n v="0"/>
    <n v="0"/>
    <n v="0"/>
    <n v="0"/>
    <n v="0"/>
    <n v="1"/>
    <n v="0"/>
    <n v="0"/>
    <n v="1"/>
    <n v="0"/>
  </r>
  <r>
    <s v="Cases\\CAI"/>
    <x v="14"/>
    <s v="EU"/>
    <s v="Chartered Accountants Ireland"/>
    <x v="2"/>
    <n v="1"/>
    <n v="0"/>
    <n v="0"/>
    <n v="0"/>
    <n v="0"/>
    <n v="0"/>
    <n v="0"/>
    <n v="0"/>
    <n v="0"/>
    <n v="0"/>
    <n v="0"/>
    <n v="0"/>
    <n v="0"/>
    <n v="0"/>
    <n v="0"/>
    <n v="0"/>
    <n v="0"/>
    <n v="0"/>
    <n v="0"/>
    <n v="1"/>
    <n v="0"/>
    <n v="0"/>
    <n v="1"/>
    <n v="0"/>
    <n v="1"/>
    <n v="0"/>
    <n v="1"/>
    <n v="0"/>
    <n v="0"/>
  </r>
  <r>
    <s v="Cases\\CalCPA"/>
    <x v="15"/>
    <s v="NA"/>
    <s v="California Society of CPAs"/>
    <x v="2"/>
    <n v="0"/>
    <n v="1"/>
    <n v="0"/>
    <n v="0"/>
    <n v="0"/>
    <n v="0"/>
    <n v="0"/>
    <n v="0"/>
    <n v="0"/>
    <n v="0"/>
    <n v="1"/>
    <n v="0"/>
    <n v="0"/>
    <n v="0"/>
    <n v="0"/>
    <n v="1"/>
    <n v="0"/>
    <n v="0"/>
    <n v="0"/>
    <n v="1"/>
    <n v="0"/>
    <n v="0"/>
    <n v="1"/>
    <n v="1"/>
    <n v="1"/>
    <n v="0"/>
    <n v="0"/>
    <n v="1"/>
    <n v="0"/>
  </r>
  <r>
    <s v="Cases\\CAQ"/>
    <x v="16"/>
    <s v="NA"/>
    <s v="Center for Audit Quality"/>
    <x v="2"/>
    <n v="0"/>
    <n v="1"/>
    <n v="0"/>
    <n v="0"/>
    <n v="1"/>
    <n v="1"/>
    <n v="1"/>
    <n v="0"/>
    <n v="0"/>
    <n v="0"/>
    <n v="1"/>
    <n v="0"/>
    <n v="0"/>
    <n v="0"/>
    <n v="0"/>
    <n v="1"/>
    <n v="0"/>
    <n v="0"/>
    <n v="0"/>
    <n v="1"/>
    <n v="0"/>
    <n v="0"/>
    <n v="0"/>
    <n v="1"/>
    <n v="0"/>
    <n v="0"/>
    <n v="0"/>
    <n v="1"/>
    <n v="0"/>
  </r>
  <r>
    <s v="Cases\\CASI"/>
    <x v="17"/>
    <s v="AE"/>
    <s v="CAS INTERNATIONAL"/>
    <x v="6"/>
    <n v="1"/>
    <n v="0"/>
    <n v="0"/>
    <n v="0"/>
    <n v="0"/>
    <n v="0"/>
    <n v="0"/>
    <n v="0"/>
    <n v="0"/>
    <n v="0"/>
    <n v="0"/>
    <n v="0"/>
    <n v="0"/>
    <n v="0"/>
    <n v="0"/>
    <n v="0"/>
    <n v="0"/>
    <n v="0"/>
    <n v="0"/>
    <n v="1"/>
    <n v="0"/>
    <n v="0"/>
    <n v="1"/>
    <n v="0"/>
    <n v="1"/>
    <n v="0"/>
    <n v="1"/>
    <n v="0"/>
    <n v="0"/>
  </r>
  <r>
    <s v="Cases\\CCC-ICPARD"/>
    <x v="18"/>
    <s v="SA"/>
    <s v="Comite Control de Calidad del ICPARD"/>
    <x v="2"/>
    <n v="1"/>
    <n v="0"/>
    <n v="0"/>
    <n v="0"/>
    <n v="0"/>
    <n v="0"/>
    <n v="0"/>
    <n v="0"/>
    <n v="0"/>
    <n v="0"/>
    <n v="0"/>
    <n v="0"/>
    <n v="0"/>
    <n v="0"/>
    <n v="0"/>
    <n v="0"/>
    <n v="0"/>
    <n v="0"/>
    <n v="0"/>
    <n v="1"/>
    <n v="0"/>
    <n v="0"/>
    <n v="1"/>
    <n v="0"/>
    <n v="1"/>
    <n v="0"/>
    <n v="0"/>
    <n v="1"/>
    <n v="0"/>
  </r>
  <r>
    <s v="Cases\\CFC"/>
    <x v="19"/>
    <s v="SA"/>
    <s v="Conselho Federal de Contabilidade - Federal Accounting Council"/>
    <x v="4"/>
    <n v="1"/>
    <n v="0"/>
    <n v="0"/>
    <n v="0"/>
    <n v="0"/>
    <n v="0"/>
    <n v="0"/>
    <n v="0"/>
    <n v="0"/>
    <n v="0"/>
    <n v="0"/>
    <n v="0"/>
    <n v="0"/>
    <n v="0"/>
    <n v="0"/>
    <n v="0"/>
    <n v="0"/>
    <n v="0"/>
    <n v="0"/>
    <n v="1"/>
    <n v="0"/>
    <n v="0"/>
    <n v="1"/>
    <n v="0"/>
    <n v="0"/>
    <n v="1"/>
    <n v="1"/>
    <n v="0"/>
    <n v="0"/>
  </r>
  <r>
    <s v="Cases\\CG"/>
    <x v="20"/>
    <s v="Global"/>
    <s v="Crowe Global"/>
    <x v="6"/>
    <n v="0"/>
    <n v="1"/>
    <n v="0"/>
    <n v="0"/>
    <n v="1"/>
    <n v="1"/>
    <n v="0"/>
    <n v="1"/>
    <n v="0"/>
    <n v="0"/>
    <n v="0"/>
    <n v="0"/>
    <n v="0"/>
    <n v="0"/>
    <n v="0"/>
    <n v="0"/>
    <n v="0"/>
    <n v="0"/>
    <n v="0"/>
    <n v="1"/>
    <n v="0"/>
    <n v="0"/>
    <n v="1"/>
    <n v="0"/>
    <n v="0"/>
    <n v="1"/>
    <n v="0"/>
    <n v="1"/>
    <n v="0"/>
  </r>
  <r>
    <s v="Cases\\CICC-AIC"/>
    <x v="21"/>
    <s v="SA"/>
    <s v="Comision Interamericana de Control de Calidad de la AIC"/>
    <x v="2"/>
    <n v="1"/>
    <n v="0"/>
    <n v="0"/>
    <n v="0"/>
    <n v="0"/>
    <n v="0"/>
    <n v="0"/>
    <n v="0"/>
    <n v="0"/>
    <n v="0"/>
    <n v="0"/>
    <n v="0"/>
    <n v="0"/>
    <n v="0"/>
    <n v="0"/>
    <n v="0"/>
    <n v="0"/>
    <n v="0"/>
    <n v="0"/>
    <n v="1"/>
    <n v="0"/>
    <n v="0"/>
    <n v="1"/>
    <n v="0"/>
    <n v="1"/>
    <n v="0"/>
    <n v="0"/>
    <n v="1"/>
    <n v="0"/>
  </r>
  <r>
    <s v="Cases\\CICPA_Final"/>
    <x v="22"/>
    <s v="AE"/>
    <s v="Chinese Institute of Certified Public Accountants"/>
    <x v="4"/>
    <n v="0"/>
    <n v="0"/>
    <n v="0"/>
    <n v="0"/>
    <n v="0"/>
    <n v="0"/>
    <n v="0"/>
    <n v="0"/>
    <n v="0"/>
    <n v="0"/>
    <n v="0"/>
    <n v="0"/>
    <n v="0"/>
    <n v="0"/>
    <n v="0"/>
    <n v="0"/>
    <n v="0"/>
    <n v="0"/>
    <n v="0"/>
    <n v="1"/>
    <n v="0"/>
    <n v="1"/>
    <n v="1"/>
    <n v="0"/>
    <n v="0"/>
    <n v="0"/>
    <n v="0"/>
    <n v="0"/>
    <n v="0"/>
  </r>
  <r>
    <s v="Cases\\CNCC-CSOEC"/>
    <x v="23"/>
    <s v="EU"/>
    <s v="Compagnie Nationale des Commissaires aux Comptes and the Conseil Superieur de I’Ordre des Experts-Comptables"/>
    <x v="4"/>
    <n v="0"/>
    <n v="1"/>
    <n v="0"/>
    <n v="0"/>
    <n v="1"/>
    <n v="0"/>
    <n v="1"/>
    <n v="0"/>
    <n v="0"/>
    <n v="0"/>
    <n v="1"/>
    <n v="0"/>
    <n v="0"/>
    <n v="0"/>
    <n v="0"/>
    <n v="0"/>
    <n v="1"/>
    <n v="0"/>
    <n v="0"/>
    <n v="1"/>
    <n v="0"/>
    <n v="1"/>
    <n v="0"/>
    <n v="0"/>
    <n v="0"/>
    <n v="1"/>
    <n v="0"/>
    <n v="1"/>
    <n v="0"/>
  </r>
  <r>
    <s v="Cases\\CNDCEC"/>
    <x v="24"/>
    <s v="EU"/>
    <s v="Consiglio Nazionale dei Dottori Commercialisti e degli Esperti Contabili "/>
    <x v="2"/>
    <n v="0"/>
    <n v="0"/>
    <n v="0"/>
    <n v="0"/>
    <n v="0"/>
    <n v="0"/>
    <n v="0"/>
    <n v="0"/>
    <n v="0"/>
    <n v="0"/>
    <n v="0"/>
    <n v="0"/>
    <n v="0"/>
    <n v="0"/>
    <n v="0"/>
    <n v="0"/>
    <n v="0"/>
    <n v="0"/>
    <n v="0"/>
    <n v="1"/>
    <n v="0"/>
    <n v="0"/>
    <n v="1"/>
    <n v="0"/>
    <n v="1"/>
    <n v="0"/>
    <n v="0"/>
    <n v="1"/>
    <n v="0"/>
  </r>
  <r>
    <s v="Cases\\CPAA"/>
    <x v="25"/>
    <s v="AE"/>
    <s v="CPA Australia"/>
    <x v="2"/>
    <n v="1"/>
    <n v="0"/>
    <n v="0"/>
    <n v="0"/>
    <n v="0"/>
    <n v="0"/>
    <n v="0"/>
    <n v="0"/>
    <n v="0"/>
    <n v="0"/>
    <n v="0"/>
    <n v="0"/>
    <n v="0"/>
    <n v="0"/>
    <n v="0"/>
    <n v="0"/>
    <n v="0"/>
    <n v="0"/>
    <n v="0"/>
    <n v="1"/>
    <n v="0"/>
    <n v="0"/>
    <n v="0"/>
    <n v="0"/>
    <n v="0"/>
    <n v="1"/>
    <n v="0"/>
    <n v="1"/>
    <n v="0"/>
  </r>
  <r>
    <s v="Cases\\CPAB"/>
    <x v="26"/>
    <s v="NA"/>
    <s v="Canadian Public Accountability Board"/>
    <x v="7"/>
    <n v="0"/>
    <n v="0"/>
    <n v="0"/>
    <n v="0"/>
    <n v="0"/>
    <n v="0"/>
    <n v="0"/>
    <n v="0"/>
    <n v="0"/>
    <n v="0"/>
    <n v="1"/>
    <n v="0"/>
    <n v="0"/>
    <n v="0"/>
    <n v="1"/>
    <n v="0"/>
    <n v="0"/>
    <n v="0"/>
    <n v="0"/>
    <n v="0"/>
    <n v="0"/>
    <n v="0"/>
    <n v="0"/>
    <n v="0"/>
    <n v="0"/>
    <n v="0"/>
    <n v="0"/>
    <n v="0"/>
    <n v="0"/>
  </r>
  <r>
    <s v="Cases\\DTL"/>
    <x v="27"/>
    <s v="EU"/>
    <s v="Duncan &amp; Toplis Limited"/>
    <x v="6"/>
    <n v="1"/>
    <n v="0"/>
    <n v="0"/>
    <n v="0"/>
    <n v="0"/>
    <n v="0"/>
    <n v="0"/>
    <n v="0"/>
    <n v="0"/>
    <n v="0"/>
    <n v="0"/>
    <n v="0"/>
    <n v="0"/>
    <n v="0"/>
    <n v="0"/>
    <n v="0"/>
    <n v="0"/>
    <n v="0"/>
    <n v="0"/>
    <n v="1"/>
    <n v="0"/>
    <n v="0"/>
    <n v="1"/>
    <n v="0"/>
    <n v="1"/>
    <n v="0"/>
    <n v="1"/>
    <n v="0"/>
    <n v="0"/>
  </r>
  <r>
    <s v="Cases\\DTTL"/>
    <x v="28"/>
    <s v="Global"/>
    <s v="Deloitte Touche Tohmatsu Limited"/>
    <x v="6"/>
    <n v="0"/>
    <n v="1"/>
    <n v="0"/>
    <n v="0"/>
    <n v="1"/>
    <n v="1"/>
    <n v="1"/>
    <n v="0"/>
    <n v="0"/>
    <n v="0"/>
    <n v="1"/>
    <n v="0"/>
    <n v="1"/>
    <n v="0"/>
    <n v="0"/>
    <n v="0"/>
    <n v="1"/>
    <n v="0"/>
    <n v="0"/>
    <n v="1"/>
    <n v="0"/>
    <n v="0"/>
    <n v="1"/>
    <n v="0"/>
    <n v="0"/>
    <n v="1"/>
    <n v="0"/>
    <n v="1"/>
    <n v="0"/>
  </r>
  <r>
    <s v="Cases\\ES"/>
    <x v="29"/>
    <s v="EU"/>
    <s v="EXPERTsuisse"/>
    <x v="2"/>
    <n v="0"/>
    <n v="0"/>
    <n v="0"/>
    <n v="0"/>
    <n v="0"/>
    <n v="0"/>
    <n v="0"/>
    <n v="0"/>
    <n v="0"/>
    <n v="0"/>
    <n v="0"/>
    <n v="0"/>
    <n v="0"/>
    <n v="0"/>
    <n v="0"/>
    <n v="0"/>
    <n v="0"/>
    <n v="0"/>
    <n v="0"/>
    <n v="1"/>
    <n v="0"/>
    <n v="0"/>
    <n v="1"/>
    <n v="0"/>
    <n v="0"/>
    <n v="0"/>
    <n v="0"/>
    <n v="0"/>
    <n v="0"/>
  </r>
  <r>
    <s v="Cases\\ETY"/>
    <x v="30"/>
    <s v="MEA"/>
    <s v="ETY Global"/>
    <x v="6"/>
    <n v="0"/>
    <n v="1"/>
    <n v="0"/>
    <n v="0"/>
    <n v="1"/>
    <n v="0"/>
    <n v="0"/>
    <n v="0"/>
    <n v="0"/>
    <n v="0"/>
    <n v="0"/>
    <n v="0"/>
    <n v="0"/>
    <n v="0"/>
    <n v="0"/>
    <n v="0"/>
    <n v="0"/>
    <n v="0"/>
    <n v="1"/>
    <n v="0"/>
    <n v="0"/>
    <n v="0"/>
    <n v="0"/>
    <n v="0"/>
    <n v="1"/>
    <n v="0"/>
    <n v="1"/>
    <n v="0"/>
    <n v="0"/>
  </r>
  <r>
    <s v="Cases\\EYG"/>
    <x v="31"/>
    <s v="Global"/>
    <s v="Ernst &amp; Young Global Limited"/>
    <x v="6"/>
    <n v="1"/>
    <n v="0"/>
    <n v="0"/>
    <n v="0"/>
    <n v="0"/>
    <n v="0"/>
    <n v="0"/>
    <n v="0"/>
    <n v="0"/>
    <n v="0"/>
    <n v="1"/>
    <n v="0"/>
    <n v="1"/>
    <n v="0"/>
    <n v="0"/>
    <n v="0"/>
    <n v="1"/>
    <n v="0"/>
    <n v="0"/>
    <n v="1"/>
    <n v="0"/>
    <n v="0"/>
    <n v="1"/>
    <n v="0"/>
    <n v="1"/>
    <n v="0"/>
    <n v="1"/>
    <n v="1"/>
    <n v="0"/>
  </r>
  <r>
    <s v="Cases\\FAAPA"/>
    <x v="32"/>
    <s v="EU"/>
    <s v="Finnish Association of Authorised Public Accountants"/>
    <x v="2"/>
    <n v="0"/>
    <n v="0"/>
    <n v="0"/>
    <n v="0"/>
    <n v="0"/>
    <n v="0"/>
    <n v="0"/>
    <n v="0"/>
    <n v="0"/>
    <n v="0"/>
    <n v="0"/>
    <n v="0"/>
    <n v="0"/>
    <n v="0"/>
    <n v="0"/>
    <n v="0"/>
    <n v="0"/>
    <n v="0"/>
    <n v="0"/>
    <n v="1"/>
    <n v="0"/>
    <n v="0"/>
    <n v="1"/>
    <n v="0"/>
    <n v="0"/>
    <n v="0"/>
    <n v="0"/>
    <n v="0"/>
    <n v="0"/>
  </r>
  <r>
    <s v="Cases\\FAR"/>
    <x v="33"/>
    <s v="EU"/>
    <s v="Institute for the Accountancy Profession in Sweden"/>
    <x v="2"/>
    <n v="0"/>
    <n v="0"/>
    <n v="0"/>
    <n v="0"/>
    <n v="0"/>
    <n v="0"/>
    <n v="0"/>
    <n v="0"/>
    <n v="0"/>
    <n v="0"/>
    <n v="0"/>
    <n v="0"/>
    <n v="0"/>
    <n v="0"/>
    <n v="0"/>
    <n v="0"/>
    <n v="0"/>
    <n v="0"/>
    <n v="0"/>
    <n v="0"/>
    <n v="0"/>
    <n v="0"/>
    <n v="0"/>
    <n v="0"/>
    <n v="0"/>
    <n v="0"/>
    <n v="0"/>
    <n v="0"/>
    <n v="0"/>
  </r>
  <r>
    <s v="Cases\\FRC"/>
    <x v="34"/>
    <s v="EU"/>
    <s v="UK Financial Reporting Council"/>
    <x v="7"/>
    <n v="1"/>
    <n v="0"/>
    <n v="0"/>
    <n v="0"/>
    <n v="0"/>
    <n v="0"/>
    <n v="0"/>
    <n v="0"/>
    <n v="0"/>
    <n v="1"/>
    <n v="0"/>
    <n v="0"/>
    <n v="0"/>
    <n v="0"/>
    <n v="0"/>
    <n v="0"/>
    <n v="0"/>
    <n v="0"/>
    <n v="0"/>
    <n v="1"/>
    <n v="0"/>
    <n v="0"/>
    <n v="1"/>
    <n v="0"/>
    <n v="0"/>
    <n v="1"/>
    <n v="0"/>
    <n v="1"/>
    <n v="0"/>
  </r>
  <r>
    <s v="Cases\\FSR"/>
    <x v="35"/>
    <s v="EU"/>
    <s v="Danske Revisorer (Danish Auditors)"/>
    <x v="2"/>
    <n v="0"/>
    <n v="1"/>
    <n v="0"/>
    <n v="1"/>
    <n v="0"/>
    <n v="1"/>
    <n v="0"/>
    <n v="1"/>
    <n v="0"/>
    <n v="0"/>
    <n v="1"/>
    <n v="1"/>
    <n v="1"/>
    <n v="0"/>
    <n v="0"/>
    <n v="1"/>
    <n v="0"/>
    <n v="0"/>
    <n v="0"/>
    <n v="1"/>
    <n v="0"/>
    <n v="0"/>
    <n v="0"/>
    <n v="1"/>
    <n v="0"/>
    <n v="1"/>
    <n v="0"/>
    <n v="1"/>
    <n v="0"/>
  </r>
  <r>
    <s v="Cases\\GAO"/>
    <x v="36"/>
    <s v="NA"/>
    <s v="United States Government Accountability Office"/>
    <x v="1"/>
    <n v="0"/>
    <n v="1"/>
    <n v="0"/>
    <n v="0"/>
    <n v="0"/>
    <n v="0"/>
    <n v="0"/>
    <n v="0"/>
    <n v="0"/>
    <n v="0"/>
    <n v="0"/>
    <n v="0"/>
    <n v="0"/>
    <n v="0"/>
    <n v="0"/>
    <n v="0"/>
    <n v="0"/>
    <n v="0"/>
    <n v="1"/>
    <n v="0"/>
    <n v="0"/>
    <n v="0"/>
    <n v="0"/>
    <n v="0"/>
    <n v="0"/>
    <n v="1"/>
    <n v="0"/>
    <n v="1"/>
    <n v="0"/>
  </r>
  <r>
    <s v="Cases\\GTIL"/>
    <x v="37"/>
    <s v="Global"/>
    <s v="Grant Thornton International Limited"/>
    <x v="6"/>
    <n v="0"/>
    <n v="1"/>
    <n v="0"/>
    <n v="0"/>
    <n v="1"/>
    <n v="0"/>
    <n v="1"/>
    <n v="0"/>
    <n v="0"/>
    <n v="0"/>
    <n v="1"/>
    <n v="0"/>
    <n v="1"/>
    <n v="1"/>
    <n v="0"/>
    <n v="0"/>
    <n v="0"/>
    <n v="0"/>
    <n v="0"/>
    <n v="1"/>
    <n v="0"/>
    <n v="0"/>
    <n v="1"/>
    <n v="0"/>
    <n v="0"/>
    <n v="1"/>
    <n v="0"/>
    <n v="1"/>
    <n v="0"/>
  </r>
  <r>
    <s v="Cases\\HKICPA"/>
    <x v="38"/>
    <s v="AE"/>
    <s v="Hong Kong Institute of Certified Public Accountants "/>
    <x v="4"/>
    <n v="0"/>
    <n v="1"/>
    <n v="0"/>
    <n v="0"/>
    <n v="0"/>
    <n v="0"/>
    <n v="0"/>
    <n v="0"/>
    <n v="0"/>
    <n v="0"/>
    <n v="1"/>
    <n v="0"/>
    <n v="0"/>
    <n v="0"/>
    <n v="0"/>
    <n v="0"/>
    <n v="1"/>
    <n v="0"/>
    <n v="0"/>
    <n v="1"/>
    <n v="0"/>
    <n v="0"/>
    <n v="1"/>
    <n v="0"/>
    <n v="1"/>
    <n v="0"/>
    <n v="1"/>
    <n v="1"/>
    <n v="0"/>
  </r>
  <r>
    <s v="Cases\\HM"/>
    <x v="39"/>
    <s v="EU"/>
    <s v="Haysmacintyre LLP"/>
    <x v="6"/>
    <n v="1"/>
    <n v="0"/>
    <n v="0"/>
    <n v="0"/>
    <n v="0"/>
    <n v="0"/>
    <n v="0"/>
    <n v="0"/>
    <n v="0"/>
    <n v="0"/>
    <n v="0"/>
    <n v="0"/>
    <n v="0"/>
    <n v="0"/>
    <n v="0"/>
    <n v="0"/>
    <n v="0"/>
    <n v="0"/>
    <n v="1"/>
    <n v="0"/>
    <n v="0"/>
    <n v="0"/>
    <n v="0"/>
    <n v="0"/>
    <n v="1"/>
    <n v="0"/>
    <n v="1"/>
    <n v="0"/>
    <n v="0"/>
  </r>
  <r>
    <s v="Cases\\IAASA"/>
    <x v="40"/>
    <s v="EU"/>
    <s v="Irish Auditing &amp; Accounting Supervisory Authority"/>
    <x v="7"/>
    <n v="0"/>
    <n v="1"/>
    <n v="0"/>
    <n v="1"/>
    <n v="0"/>
    <n v="0"/>
    <n v="0"/>
    <n v="0"/>
    <n v="0"/>
    <n v="0"/>
    <n v="0"/>
    <n v="0"/>
    <n v="0"/>
    <n v="0"/>
    <n v="0"/>
    <n v="0"/>
    <n v="0"/>
    <n v="0"/>
    <n v="0"/>
    <n v="0"/>
    <n v="0"/>
    <n v="0"/>
    <n v="0"/>
    <n v="0"/>
    <n v="0"/>
    <n v="0"/>
    <n v="0"/>
    <n v="1"/>
    <n v="0"/>
  </r>
  <r>
    <s v="Cases\\IAB-IEC"/>
    <x v="41"/>
    <s v="EU"/>
    <s v="Institut des Experts-comptables et des Conseils Fiscaux – Instituut Van de Accountants en de Belastingconsulenten"/>
    <x v="2"/>
    <n v="1"/>
    <n v="0"/>
    <n v="0"/>
    <n v="0"/>
    <n v="0"/>
    <n v="0"/>
    <n v="0"/>
    <n v="0"/>
    <n v="0"/>
    <n v="0"/>
    <n v="0"/>
    <n v="0"/>
    <n v="0"/>
    <n v="0"/>
    <n v="0"/>
    <n v="0"/>
    <n v="0"/>
    <n v="0"/>
    <n v="0"/>
    <n v="0"/>
    <n v="1"/>
    <n v="1"/>
    <n v="0"/>
    <n v="0"/>
    <n v="1"/>
    <n v="0"/>
    <n v="1"/>
    <n v="0"/>
    <n v="0"/>
  </r>
  <r>
    <s v="Cases\\IAIS"/>
    <x v="42"/>
    <s v="Global"/>
    <s v="International Association of Insurance Supervisors"/>
    <x v="5"/>
    <n v="0"/>
    <n v="0"/>
    <n v="0"/>
    <n v="0"/>
    <n v="0"/>
    <n v="0"/>
    <n v="0"/>
    <n v="0"/>
    <n v="0"/>
    <n v="0"/>
    <n v="1"/>
    <n v="0"/>
    <n v="0"/>
    <n v="0"/>
    <n v="0"/>
    <n v="1"/>
    <n v="1"/>
    <n v="0"/>
    <n v="0"/>
    <n v="1"/>
    <n v="0"/>
    <n v="0"/>
    <n v="0"/>
    <n v="1"/>
    <n v="0"/>
    <n v="0"/>
    <n v="0"/>
    <n v="1"/>
    <n v="0"/>
  </r>
  <r>
    <s v="Cases\\IBRACON"/>
    <x v="43"/>
    <s v="SA"/>
    <s v="Instituto dos Auditores Independentes do Brasil"/>
    <x v="2"/>
    <n v="0"/>
    <n v="1"/>
    <n v="0"/>
    <n v="0"/>
    <n v="0"/>
    <n v="0"/>
    <n v="0"/>
    <n v="0"/>
    <n v="1"/>
    <n v="0"/>
    <n v="1"/>
    <n v="0"/>
    <n v="0"/>
    <n v="0"/>
    <n v="0"/>
    <n v="1"/>
    <n v="0"/>
    <n v="0"/>
    <n v="0"/>
    <n v="1"/>
    <n v="0"/>
    <n v="0"/>
    <n v="1"/>
    <n v="1"/>
    <n v="1"/>
    <n v="0"/>
    <n v="0"/>
    <n v="1"/>
    <n v="0"/>
  </r>
  <r>
    <s v="Cases\\IBR-IRE"/>
    <x v="44"/>
    <s v="EU"/>
    <s v="Belgian Institute of Registered Auditors "/>
    <x v="2"/>
    <n v="1"/>
    <n v="0"/>
    <n v="0"/>
    <n v="0"/>
    <n v="0"/>
    <n v="0"/>
    <n v="0"/>
    <n v="0"/>
    <n v="0"/>
    <n v="0"/>
    <n v="0"/>
    <n v="0"/>
    <n v="0"/>
    <n v="0"/>
    <n v="0"/>
    <n v="0"/>
    <n v="0"/>
    <n v="0"/>
    <n v="0"/>
    <n v="1"/>
    <n v="0"/>
    <n v="0"/>
    <n v="0"/>
    <n v="0"/>
    <n v="1"/>
    <n v="0"/>
    <n v="1"/>
    <n v="0"/>
    <n v="0"/>
  </r>
  <r>
    <s v="Cases\\ICAEW"/>
    <x v="45"/>
    <s v="EU"/>
    <s v="Institute of Chartered Accountants in England and Wales"/>
    <x v="2"/>
    <n v="0"/>
    <n v="1"/>
    <n v="0"/>
    <n v="0"/>
    <n v="0"/>
    <n v="0"/>
    <n v="1"/>
    <n v="0"/>
    <n v="0"/>
    <n v="0"/>
    <n v="1"/>
    <n v="0"/>
    <n v="0"/>
    <n v="0"/>
    <n v="0"/>
    <n v="1"/>
    <n v="0"/>
    <n v="0"/>
    <n v="0"/>
    <n v="1"/>
    <n v="0"/>
    <n v="0"/>
    <n v="1"/>
    <n v="1"/>
    <n v="0"/>
    <n v="1"/>
    <n v="0"/>
    <n v="1"/>
    <n v="0"/>
  </r>
  <r>
    <s v="Cases\\ICAP"/>
    <x v="46"/>
    <s v="MEA"/>
    <s v="Institute of Chartered Accountants of Pakistan "/>
    <x v="2"/>
    <n v="1"/>
    <n v="0"/>
    <n v="0"/>
    <n v="0"/>
    <n v="0"/>
    <n v="0"/>
    <n v="0"/>
    <n v="0"/>
    <n v="0"/>
    <n v="0"/>
    <n v="0"/>
    <n v="0"/>
    <n v="0"/>
    <n v="0"/>
    <n v="0"/>
    <n v="0"/>
    <n v="0"/>
    <n v="0"/>
    <n v="1"/>
    <n v="0"/>
    <n v="0"/>
    <n v="0"/>
    <n v="0"/>
    <n v="0"/>
    <n v="0"/>
    <n v="1"/>
    <n v="0"/>
    <n v="1"/>
    <n v="0"/>
  </r>
  <r>
    <s v="Cases\\ICAS"/>
    <x v="47"/>
    <s v="EU"/>
    <s v="Institute of Chartered Accountants of Scotland"/>
    <x v="2"/>
    <n v="0"/>
    <n v="1"/>
    <n v="0"/>
    <n v="0"/>
    <n v="0"/>
    <n v="0"/>
    <n v="0"/>
    <n v="0"/>
    <n v="0"/>
    <n v="0"/>
    <n v="1"/>
    <n v="0"/>
    <n v="1"/>
    <n v="0"/>
    <n v="0"/>
    <n v="0"/>
    <n v="0"/>
    <n v="0"/>
    <n v="0"/>
    <n v="1"/>
    <n v="0"/>
    <n v="0"/>
    <n v="1"/>
    <n v="0"/>
    <n v="1"/>
    <n v="0"/>
    <n v="0"/>
    <n v="1"/>
    <n v="0"/>
  </r>
  <r>
    <s v="Cases\\ICGN"/>
    <x v="48"/>
    <s v="Global"/>
    <s v="International Corporate Governance Network"/>
    <x v="8"/>
    <n v="0"/>
    <n v="0"/>
    <n v="0"/>
    <n v="0"/>
    <n v="0"/>
    <n v="0"/>
    <n v="0"/>
    <n v="0"/>
    <n v="0"/>
    <n v="0"/>
    <n v="0"/>
    <n v="0"/>
    <n v="0"/>
    <n v="0"/>
    <n v="0"/>
    <n v="0"/>
    <n v="0"/>
    <n v="0"/>
    <n v="0"/>
    <n v="0"/>
    <n v="0"/>
    <n v="0"/>
    <n v="0"/>
    <n v="0"/>
    <n v="0"/>
    <n v="0"/>
    <n v="0"/>
    <n v="0"/>
    <n v="0"/>
  </r>
  <r>
    <s v="Cases\\ICJCE"/>
    <x v="49"/>
    <s v="EU"/>
    <s v="Instituto de Censores Jurados de Cuentas de España"/>
    <x v="2"/>
    <n v="0"/>
    <n v="1"/>
    <n v="0"/>
    <n v="0"/>
    <n v="0"/>
    <n v="0"/>
    <n v="0"/>
    <n v="0"/>
    <n v="0"/>
    <n v="0"/>
    <n v="1"/>
    <n v="0"/>
    <n v="0"/>
    <n v="0"/>
    <n v="0"/>
    <n v="0"/>
    <n v="0"/>
    <n v="0"/>
    <n v="0"/>
    <n v="0"/>
    <n v="1"/>
    <n v="0"/>
    <n v="0"/>
    <n v="0"/>
    <n v="1"/>
    <n v="0"/>
    <n v="0"/>
    <n v="1"/>
    <n v="0"/>
  </r>
  <r>
    <s v="Cases\\ICPAS"/>
    <x v="50"/>
    <s v="NA"/>
    <s v="Illinois CPA Society"/>
    <x v="2"/>
    <n v="1"/>
    <n v="0"/>
    <n v="0"/>
    <n v="0"/>
    <n v="0"/>
    <n v="0"/>
    <n v="0"/>
    <n v="0"/>
    <n v="0"/>
    <n v="0"/>
    <n v="0"/>
    <n v="0"/>
    <n v="0"/>
    <n v="0"/>
    <n v="0"/>
    <n v="0"/>
    <n v="0"/>
    <n v="0"/>
    <n v="0"/>
    <n v="0"/>
    <n v="1"/>
    <n v="0"/>
    <n v="0"/>
    <n v="0"/>
    <n v="1"/>
    <n v="0"/>
    <n v="1"/>
    <n v="0"/>
    <n v="0"/>
  </r>
  <r>
    <s v="Cases\\ICPAU"/>
    <x v="51"/>
    <s v="MEA"/>
    <s v="Institute of Certified Public Accountants of Uganda"/>
    <x v="2"/>
    <n v="0"/>
    <n v="1"/>
    <n v="0"/>
    <n v="0"/>
    <n v="0"/>
    <n v="0"/>
    <n v="0"/>
    <n v="0"/>
    <n v="0"/>
    <n v="0"/>
    <n v="1"/>
    <n v="0"/>
    <n v="0"/>
    <n v="0"/>
    <n v="1"/>
    <n v="0"/>
    <n v="0"/>
    <n v="0"/>
    <n v="1"/>
    <n v="0"/>
    <n v="0"/>
    <n v="0"/>
    <n v="0"/>
    <n v="0"/>
    <n v="1"/>
    <n v="0"/>
    <n v="1"/>
    <n v="0"/>
    <n v="0"/>
  </r>
  <r>
    <s v="Cases\\IDW"/>
    <x v="52"/>
    <s v="EU"/>
    <s v="Institut der Wirtschaftsprüfer in Deutschland"/>
    <x v="4"/>
    <n v="0"/>
    <n v="1"/>
    <n v="0"/>
    <n v="0"/>
    <n v="1"/>
    <n v="1"/>
    <n v="0"/>
    <n v="0"/>
    <n v="0"/>
    <n v="0"/>
    <n v="0"/>
    <n v="1"/>
    <n v="0"/>
    <n v="0"/>
    <n v="0"/>
    <n v="0"/>
    <n v="0"/>
    <n v="1"/>
    <n v="0"/>
    <n v="1"/>
    <n v="0"/>
    <n v="1"/>
    <n v="0"/>
    <n v="0"/>
    <n v="1"/>
    <n v="0"/>
    <n v="0"/>
    <n v="1"/>
    <n v="1"/>
  </r>
  <r>
    <s v="Cases\\IFIAR"/>
    <x v="53"/>
    <s v="Global"/>
    <s v="International Forum of Independent Audit Regulators"/>
    <x v="5"/>
    <n v="0"/>
    <n v="1"/>
    <n v="0"/>
    <n v="1"/>
    <n v="0"/>
    <n v="1"/>
    <n v="1"/>
    <n v="0"/>
    <n v="0"/>
    <n v="1"/>
    <n v="0"/>
    <n v="0"/>
    <n v="0"/>
    <n v="0"/>
    <n v="0"/>
    <n v="0"/>
    <n v="0"/>
    <n v="0"/>
    <n v="0"/>
    <n v="0"/>
    <n v="0"/>
    <n v="0"/>
    <n v="0"/>
    <n v="0"/>
    <n v="0"/>
    <n v="0"/>
    <n v="0"/>
    <n v="1"/>
    <n v="0"/>
  </r>
  <r>
    <s v="Cases\\IMCP"/>
    <x v="54"/>
    <s v="NA"/>
    <s v="Instituto Mexicano de Contadores Públicos, A.C."/>
    <x v="2"/>
    <n v="1"/>
    <n v="0"/>
    <n v="0"/>
    <n v="0"/>
    <n v="0"/>
    <n v="0"/>
    <n v="0"/>
    <n v="0"/>
    <n v="0"/>
    <n v="0"/>
    <n v="0"/>
    <n v="0"/>
    <n v="0"/>
    <n v="0"/>
    <n v="0"/>
    <n v="0"/>
    <n v="0"/>
    <n v="0"/>
    <n v="0"/>
    <n v="1"/>
    <n v="0"/>
    <n v="0"/>
    <n v="1"/>
    <n v="0"/>
    <n v="1"/>
    <n v="0"/>
    <n v="1"/>
    <n v="0"/>
    <n v="0"/>
  </r>
  <r>
    <s v="Cases\\IOSCO"/>
    <x v="55"/>
    <s v="Global"/>
    <s v="International Organization of Securities Commissions"/>
    <x v="5"/>
    <n v="1"/>
    <n v="0"/>
    <n v="0"/>
    <n v="0"/>
    <n v="0"/>
    <n v="1"/>
    <n v="0"/>
    <n v="0"/>
    <n v="0"/>
    <n v="0"/>
    <n v="0"/>
    <n v="0"/>
    <n v="0"/>
    <n v="0"/>
    <n v="0"/>
    <n v="0"/>
    <n v="0"/>
    <n v="0"/>
    <n v="0"/>
    <n v="0"/>
    <n v="0"/>
    <n v="0"/>
    <n v="0"/>
    <n v="0"/>
    <n v="0"/>
    <n v="0"/>
    <n v="0"/>
    <n v="1"/>
    <n v="0"/>
  </r>
  <r>
    <s v="Cases\\IRBA"/>
    <x v="56"/>
    <s v="MEA"/>
    <s v="Independent Regulatory Board for Auditors"/>
    <x v="7"/>
    <n v="0"/>
    <n v="1"/>
    <n v="0"/>
    <n v="1"/>
    <n v="1"/>
    <n v="0"/>
    <n v="0"/>
    <n v="0"/>
    <n v="0"/>
    <n v="0"/>
    <n v="0"/>
    <n v="0"/>
    <n v="0"/>
    <n v="0"/>
    <n v="0"/>
    <n v="0"/>
    <n v="0"/>
    <n v="0"/>
    <n v="0"/>
    <n v="1"/>
    <n v="0"/>
    <n v="0"/>
    <n v="1"/>
    <n v="0"/>
    <n v="0"/>
    <n v="1"/>
    <n v="0"/>
    <n v="1"/>
    <n v="0"/>
  </r>
  <r>
    <s v="Cases\\ISCA"/>
    <x v="57"/>
    <s v="AE"/>
    <s v="Institute of Singapore Chartered Accountants"/>
    <x v="2"/>
    <n v="0"/>
    <n v="0"/>
    <n v="0"/>
    <n v="0"/>
    <n v="0"/>
    <n v="0"/>
    <n v="0"/>
    <n v="0"/>
    <n v="0"/>
    <n v="0"/>
    <n v="0"/>
    <n v="0"/>
    <n v="0"/>
    <n v="0"/>
    <n v="0"/>
    <n v="0"/>
    <n v="0"/>
    <n v="0"/>
    <n v="0"/>
    <n v="0"/>
    <n v="0"/>
    <n v="0"/>
    <n v="0"/>
    <n v="0"/>
    <n v="0"/>
    <n v="1"/>
    <n v="0"/>
    <n v="0"/>
    <n v="0"/>
  </r>
  <r>
    <s v="Cases\\JICPA"/>
    <x v="58"/>
    <s v="AE"/>
    <s v="Japanese Institute of Certified Public Accountants"/>
    <x v="4"/>
    <n v="0"/>
    <n v="1"/>
    <n v="0"/>
    <n v="1"/>
    <n v="0"/>
    <n v="0"/>
    <n v="1"/>
    <n v="0"/>
    <n v="0"/>
    <n v="0"/>
    <n v="1"/>
    <n v="0"/>
    <n v="0"/>
    <n v="1"/>
    <n v="0"/>
    <n v="0"/>
    <n v="0"/>
    <n v="0"/>
    <n v="0"/>
    <n v="1"/>
    <n v="0"/>
    <n v="1"/>
    <n v="0"/>
    <n v="0"/>
    <n v="1"/>
    <n v="0"/>
    <n v="1"/>
    <n v="0"/>
    <n v="0"/>
  </r>
  <r>
    <s v="Cases\\KI"/>
    <x v="59"/>
    <s v="Global"/>
    <s v="Kreston International"/>
    <x v="6"/>
    <n v="0"/>
    <n v="1"/>
    <n v="0"/>
    <n v="0"/>
    <n v="0"/>
    <n v="0"/>
    <n v="0"/>
    <n v="0"/>
    <n v="0"/>
    <n v="0"/>
    <n v="0"/>
    <n v="0"/>
    <n v="0"/>
    <n v="0"/>
    <n v="0"/>
    <n v="0"/>
    <n v="0"/>
    <n v="0"/>
    <n v="1"/>
    <n v="0"/>
    <n v="0"/>
    <n v="0"/>
    <n v="0"/>
    <n v="0"/>
    <n v="0"/>
    <n v="1"/>
    <n v="1"/>
    <n v="0"/>
    <n v="0"/>
  </r>
  <r>
    <s v="Cases\\KPMG"/>
    <x v="60"/>
    <s v="Global"/>
    <s v="KPMG IFRG Limited"/>
    <x v="6"/>
    <n v="0"/>
    <n v="1"/>
    <n v="0"/>
    <n v="1"/>
    <n v="1"/>
    <n v="0"/>
    <n v="0"/>
    <n v="0"/>
    <n v="0"/>
    <n v="0"/>
    <n v="1"/>
    <n v="0"/>
    <n v="0"/>
    <n v="0"/>
    <n v="0"/>
    <n v="1"/>
    <n v="0"/>
    <n v="0"/>
    <n v="0"/>
    <n v="1"/>
    <n v="0"/>
    <n v="0"/>
    <n v="0"/>
    <n v="1"/>
    <n v="1"/>
    <n v="0"/>
    <n v="0"/>
    <n v="1"/>
    <n v="0"/>
  </r>
  <r>
    <s v="Cases\\KSW"/>
    <x v="61"/>
    <s v="EU"/>
    <s v="Kammer der Steuerberater und Wirtschaftsprüfer"/>
    <x v="4"/>
    <n v="0"/>
    <n v="0"/>
    <n v="0"/>
    <n v="0"/>
    <n v="0"/>
    <n v="0"/>
    <n v="0"/>
    <n v="0"/>
    <n v="0"/>
    <n v="0"/>
    <n v="0"/>
    <n v="0"/>
    <n v="0"/>
    <n v="0"/>
    <n v="0"/>
    <n v="0"/>
    <n v="0"/>
    <n v="1"/>
    <n v="0"/>
    <n v="0"/>
    <n v="0"/>
    <n v="0"/>
    <n v="0"/>
    <n v="0"/>
    <n v="1"/>
    <n v="0"/>
    <n v="0"/>
    <n v="1"/>
    <n v="0"/>
  </r>
  <r>
    <s v="Cases\\MAASB"/>
    <x v="62"/>
    <s v="AE"/>
    <s v="Auditing and Assurance Standards Board of Malaysian Institute of Accountants"/>
    <x v="4"/>
    <n v="0"/>
    <n v="1"/>
    <n v="0"/>
    <n v="0"/>
    <n v="1"/>
    <n v="0"/>
    <n v="0"/>
    <n v="0"/>
    <n v="0"/>
    <n v="0"/>
    <n v="0"/>
    <n v="0"/>
    <n v="0"/>
    <n v="0"/>
    <n v="0"/>
    <n v="0"/>
    <n v="0"/>
    <n v="0"/>
    <n v="0"/>
    <n v="1"/>
    <n v="0"/>
    <n v="0"/>
    <n v="1"/>
    <n v="0"/>
    <n v="1"/>
    <n v="0"/>
    <n v="0"/>
    <n v="1"/>
    <n v="0"/>
  </r>
  <r>
    <s v="Cases\\MGIW"/>
    <x v="63"/>
    <s v="Global"/>
    <s v="MGI Worldwide"/>
    <x v="6"/>
    <n v="0"/>
    <n v="1"/>
    <n v="0"/>
    <n v="0"/>
    <n v="0"/>
    <n v="1"/>
    <n v="0"/>
    <n v="0"/>
    <n v="0"/>
    <n v="0"/>
    <n v="0"/>
    <n v="0"/>
    <n v="0"/>
    <n v="0"/>
    <n v="0"/>
    <n v="0"/>
    <n v="0"/>
    <n v="0"/>
    <n v="0"/>
    <n v="1"/>
    <n v="0"/>
    <n v="0"/>
    <n v="1"/>
    <n v="0"/>
    <n v="1"/>
    <n v="0"/>
    <n v="1"/>
    <n v="0"/>
    <n v="0"/>
  </r>
  <r>
    <s v="Cases\\MICPA"/>
    <x v="64"/>
    <s v="AE"/>
    <s v="The Malaysian Institute of Certified Public Accountants"/>
    <x v="2"/>
    <n v="1"/>
    <n v="0"/>
    <n v="0"/>
    <n v="0"/>
    <n v="0"/>
    <n v="0"/>
    <n v="0"/>
    <n v="0"/>
    <n v="0"/>
    <n v="0"/>
    <n v="0"/>
    <n v="0"/>
    <n v="0"/>
    <n v="0"/>
    <n v="0"/>
    <n v="0"/>
    <n v="0"/>
    <n v="0"/>
    <n v="0"/>
    <n v="1"/>
    <n v="0"/>
    <n v="0"/>
    <n v="1"/>
    <n v="0"/>
    <n v="0"/>
    <n v="1"/>
    <n v="1"/>
    <n v="0"/>
    <n v="0"/>
  </r>
  <r>
    <s v="Cases\\MNP"/>
    <x v="65"/>
    <s v="NA"/>
    <s v="MNP LLP"/>
    <x v="6"/>
    <n v="0"/>
    <n v="1"/>
    <n v="0"/>
    <n v="1"/>
    <n v="1"/>
    <n v="0"/>
    <n v="0"/>
    <n v="0"/>
    <n v="0"/>
    <n v="0"/>
    <n v="0"/>
    <n v="0"/>
    <n v="0"/>
    <n v="0"/>
    <n v="0"/>
    <n v="0"/>
    <n v="0"/>
    <n v="0"/>
    <n v="1"/>
    <n v="0"/>
    <n v="0"/>
    <n v="0"/>
    <n v="0"/>
    <n v="0"/>
    <n v="1"/>
    <n v="0"/>
    <n v="0"/>
    <n v="1"/>
    <n v="0"/>
  </r>
  <r>
    <s v="Cases\\MSI"/>
    <x v="66"/>
    <s v="Global"/>
    <s v="Moore Stephens International"/>
    <x v="6"/>
    <n v="0"/>
    <n v="1"/>
    <n v="0"/>
    <n v="0"/>
    <n v="1"/>
    <n v="0"/>
    <n v="0"/>
    <n v="0"/>
    <n v="0"/>
    <n v="0"/>
    <n v="0"/>
    <n v="0"/>
    <n v="0"/>
    <n v="0"/>
    <n v="0"/>
    <n v="0"/>
    <n v="0"/>
    <n v="0"/>
    <n v="0"/>
    <n v="1"/>
    <n v="0"/>
    <n v="0"/>
    <n v="1"/>
    <n v="0"/>
    <n v="1"/>
    <n v="0"/>
    <n v="0"/>
    <n v="1"/>
    <n v="0"/>
  </r>
  <r>
    <s v="Cases\\MZRS"/>
    <x v="67"/>
    <s v="Global"/>
    <s v="MAZARS"/>
    <x v="6"/>
    <n v="0"/>
    <n v="1"/>
    <n v="0"/>
    <n v="0"/>
    <n v="0"/>
    <n v="0"/>
    <n v="0"/>
    <n v="0"/>
    <n v="0"/>
    <n v="0"/>
    <n v="1"/>
    <n v="0"/>
    <n v="0"/>
    <n v="0"/>
    <n v="0"/>
    <n v="1"/>
    <n v="1"/>
    <n v="0"/>
    <n v="0"/>
    <n v="1"/>
    <n v="0"/>
    <n v="0"/>
    <n v="1"/>
    <n v="0"/>
    <n v="1"/>
    <n v="0"/>
    <n v="0"/>
    <n v="1"/>
    <n v="0"/>
  </r>
  <r>
    <s v="Cases\\MZRSUS"/>
    <x v="68"/>
    <s v="NA"/>
    <s v="MAZARS USA LLP"/>
    <x v="6"/>
    <n v="0"/>
    <n v="1"/>
    <n v="0"/>
    <n v="1"/>
    <n v="1"/>
    <n v="0"/>
    <n v="0"/>
    <n v="0"/>
    <n v="0"/>
    <n v="0"/>
    <n v="1"/>
    <n v="0"/>
    <n v="0"/>
    <n v="0"/>
    <n v="0"/>
    <n v="1"/>
    <n v="0"/>
    <n v="0"/>
    <n v="0"/>
    <n v="1"/>
    <n v="0"/>
    <n v="0"/>
    <n v="1"/>
    <n v="1"/>
    <n v="0"/>
    <n v="1"/>
    <n v="0"/>
    <n v="1"/>
    <n v="0"/>
  </r>
  <r>
    <s v="Cases\\NAOM"/>
    <x v="69"/>
    <s v="EU"/>
    <s v="National Audit Office of Malta"/>
    <x v="1"/>
    <n v="0"/>
    <n v="1"/>
    <n v="0"/>
    <n v="0"/>
    <n v="1"/>
    <n v="0"/>
    <n v="0"/>
    <n v="0"/>
    <n v="0"/>
    <n v="0"/>
    <n v="0"/>
    <n v="0"/>
    <n v="0"/>
    <n v="0"/>
    <n v="0"/>
    <n v="0"/>
    <n v="0"/>
    <n v="0"/>
    <n v="1"/>
    <n v="0"/>
    <n v="0"/>
    <n v="0"/>
    <n v="0"/>
    <n v="0"/>
    <n v="1"/>
    <n v="0"/>
    <n v="1"/>
    <n v="0"/>
    <n v="0"/>
  </r>
  <r>
    <s v="Cases\\NASBA"/>
    <x v="70"/>
    <s v="NA"/>
    <s v="National Association of State Boards of Accountancy"/>
    <x v="7"/>
    <n v="1"/>
    <n v="0"/>
    <n v="0"/>
    <n v="0"/>
    <n v="0"/>
    <n v="0"/>
    <n v="0"/>
    <n v="0"/>
    <n v="0"/>
    <n v="0"/>
    <n v="0"/>
    <n v="0"/>
    <n v="0"/>
    <n v="0"/>
    <n v="0"/>
    <n v="0"/>
    <n v="0"/>
    <n v="0"/>
    <n v="1"/>
    <n v="0"/>
    <n v="0"/>
    <n v="0"/>
    <n v="0"/>
    <n v="0"/>
    <n v="1"/>
    <n v="0"/>
    <n v="1"/>
    <n v="0"/>
    <n v="0"/>
  </r>
  <r>
    <s v="Cases\\NBA"/>
    <x v="71"/>
    <s v="EU"/>
    <s v="Royal Nederlandse Beroepsorganisatie van Accountants"/>
    <x v="4"/>
    <n v="0"/>
    <n v="1"/>
    <n v="0"/>
    <n v="0"/>
    <n v="0"/>
    <n v="0"/>
    <n v="0"/>
    <n v="0"/>
    <n v="0"/>
    <n v="0"/>
    <n v="1"/>
    <n v="0"/>
    <n v="0"/>
    <n v="0"/>
    <n v="0"/>
    <n v="1"/>
    <n v="0"/>
    <n v="0"/>
    <n v="0"/>
    <n v="1"/>
    <n v="0"/>
    <n v="0"/>
    <n v="0"/>
    <n v="1"/>
    <n v="1"/>
    <n v="0"/>
    <n v="1"/>
    <n v="0"/>
    <n v="0"/>
  </r>
  <r>
    <s v="Cases\\NI"/>
    <x v="72"/>
    <s v="Global"/>
    <s v="NEXIA INTERNATIONAL"/>
    <x v="6"/>
    <n v="1"/>
    <n v="0"/>
    <n v="0"/>
    <n v="0"/>
    <n v="0"/>
    <n v="0"/>
    <n v="0"/>
    <n v="0"/>
    <n v="0"/>
    <n v="0"/>
    <n v="0"/>
    <n v="0"/>
    <n v="0"/>
    <n v="0"/>
    <n v="0"/>
    <n v="0"/>
    <n v="0"/>
    <n v="0"/>
    <n v="1"/>
    <n v="0"/>
    <n v="0"/>
    <n v="0"/>
    <n v="0"/>
    <n v="0"/>
    <n v="1"/>
    <n v="0"/>
    <n v="1"/>
    <n v="0"/>
    <n v="0"/>
  </r>
  <r>
    <s v="Cases\\NRF"/>
    <x v="73"/>
    <s v="EU"/>
    <s v="Nordic Federation of Public Accountants"/>
    <x v="2"/>
    <n v="0"/>
    <n v="1"/>
    <n v="0"/>
    <n v="0"/>
    <n v="0"/>
    <n v="0"/>
    <n v="0"/>
    <n v="1"/>
    <n v="0"/>
    <n v="0"/>
    <n v="1"/>
    <n v="0"/>
    <n v="0"/>
    <n v="0"/>
    <n v="0"/>
    <n v="1"/>
    <n v="0"/>
    <n v="1"/>
    <n v="0"/>
    <n v="1"/>
    <n v="0"/>
    <n v="1"/>
    <n v="0"/>
    <n v="1"/>
    <n v="1"/>
    <n v="0"/>
    <n v="0"/>
    <n v="1"/>
    <n v="0"/>
  </r>
  <r>
    <s v="Cases\\NSW"/>
    <x v="74"/>
    <s v="EU"/>
    <s v="Nexia Smith &amp; Williamson"/>
    <x v="6"/>
    <n v="0"/>
    <n v="1"/>
    <n v="0"/>
    <n v="0"/>
    <n v="1"/>
    <n v="0"/>
    <n v="0"/>
    <n v="0"/>
    <n v="0"/>
    <n v="0"/>
    <n v="0"/>
    <n v="0"/>
    <n v="0"/>
    <n v="0"/>
    <n v="0"/>
    <n v="0"/>
    <n v="0"/>
    <n v="0"/>
    <n v="1"/>
    <n v="0"/>
    <n v="0"/>
    <n v="0"/>
    <n v="0"/>
    <n v="0"/>
    <n v="1"/>
    <n v="0"/>
    <n v="1"/>
    <n v="0"/>
    <n v="0"/>
  </r>
  <r>
    <s v="Cases\\NYSSCPA"/>
    <x v="75"/>
    <s v="NA"/>
    <s v="Unassigned"/>
    <x v="2"/>
    <n v="1"/>
    <n v="0"/>
    <n v="0"/>
    <n v="0"/>
    <n v="0"/>
    <n v="0"/>
    <n v="0"/>
    <n v="0"/>
    <n v="0"/>
    <n v="0"/>
    <n v="1"/>
    <n v="0"/>
    <n v="1"/>
    <n v="0"/>
    <n v="0"/>
    <n v="0"/>
    <n v="0"/>
    <n v="0"/>
    <n v="1"/>
    <n v="0"/>
    <n v="0"/>
    <n v="0"/>
    <n v="0"/>
    <n v="0"/>
    <n v="0"/>
    <n v="0"/>
    <n v="0"/>
    <n v="0"/>
    <n v="0"/>
  </r>
  <r>
    <s v="Cases\\NZAASB"/>
    <x v="76"/>
    <s v="AE"/>
    <s v="New Zealand Auditing and Assurance Standards Board"/>
    <x v="4"/>
    <n v="0"/>
    <n v="1"/>
    <n v="0"/>
    <n v="1"/>
    <n v="0"/>
    <n v="0"/>
    <n v="0"/>
    <n v="0"/>
    <n v="0"/>
    <n v="0"/>
    <n v="0"/>
    <n v="0"/>
    <n v="0"/>
    <n v="0"/>
    <n v="0"/>
    <n v="0"/>
    <n v="0"/>
    <n v="0"/>
    <n v="0"/>
    <n v="1"/>
    <n v="0"/>
    <n v="0"/>
    <n v="1"/>
    <n v="0"/>
    <n v="1"/>
    <n v="0"/>
    <n v="1"/>
    <n v="0"/>
    <n v="0"/>
  </r>
  <r>
    <s v="Cases\\OAGA"/>
    <x v="77"/>
    <s v="NA"/>
    <s v="Office of the Auditor General of Alberta  "/>
    <x v="1"/>
    <n v="1"/>
    <n v="0"/>
    <n v="0"/>
    <n v="0"/>
    <n v="0"/>
    <n v="0"/>
    <n v="0"/>
    <n v="0"/>
    <n v="0"/>
    <n v="0"/>
    <n v="1"/>
    <n v="0"/>
    <n v="1"/>
    <n v="0"/>
    <n v="0"/>
    <n v="1"/>
    <n v="0"/>
    <n v="0"/>
    <n v="0"/>
    <n v="1"/>
    <n v="0"/>
    <n v="0"/>
    <n v="0"/>
    <n v="1"/>
    <n v="0"/>
    <n v="1"/>
    <n v="0"/>
    <n v="1"/>
    <n v="0"/>
  </r>
  <r>
    <s v="Cases\\OAGC"/>
    <x v="78"/>
    <s v="NA"/>
    <s v="Office of the Auditor General of Canada"/>
    <x v="1"/>
    <n v="0"/>
    <n v="1"/>
    <n v="0"/>
    <n v="0"/>
    <n v="0"/>
    <n v="0"/>
    <n v="0"/>
    <n v="0"/>
    <n v="0"/>
    <n v="0"/>
    <n v="0"/>
    <n v="0"/>
    <n v="0"/>
    <n v="0"/>
    <n v="0"/>
    <n v="0"/>
    <n v="0"/>
    <n v="0"/>
    <n v="1"/>
    <n v="0"/>
    <n v="0"/>
    <n v="0"/>
    <n v="0"/>
    <n v="0"/>
    <n v="1"/>
    <n v="0"/>
    <n v="0"/>
    <n v="1"/>
    <n v="0"/>
  </r>
  <r>
    <s v="Cases\\OAGNZ"/>
    <x v="79"/>
    <s v="AE"/>
    <s v="Office of the Auditor-General (New Zealand)"/>
    <x v="1"/>
    <n v="1"/>
    <n v="0"/>
    <n v="0"/>
    <n v="0"/>
    <n v="0"/>
    <n v="0"/>
    <n v="0"/>
    <n v="0"/>
    <n v="0"/>
    <n v="0"/>
    <n v="0"/>
    <n v="0"/>
    <n v="0"/>
    <n v="0"/>
    <n v="0"/>
    <n v="0"/>
    <n v="0"/>
    <n v="0"/>
    <n v="0"/>
    <n v="0"/>
    <n v="0"/>
    <n v="0"/>
    <n v="0"/>
    <n v="0"/>
    <n v="0"/>
    <n v="1"/>
    <n v="0"/>
    <n v="1"/>
    <n v="0"/>
  </r>
  <r>
    <s v="Cases\\PAS"/>
    <x v="80"/>
    <s v="NA"/>
    <s v="Provincial Auditor Saskatchewan"/>
    <x v="1"/>
    <n v="1"/>
    <n v="0"/>
    <n v="0"/>
    <n v="0"/>
    <n v="0"/>
    <n v="0"/>
    <n v="0"/>
    <n v="0"/>
    <n v="0"/>
    <n v="0"/>
    <n v="0"/>
    <n v="0"/>
    <n v="0"/>
    <n v="0"/>
    <n v="0"/>
    <n v="0"/>
    <n v="0"/>
    <n v="0"/>
    <n v="1"/>
    <n v="0"/>
    <n v="0"/>
    <n v="0"/>
    <n v="0"/>
    <n v="0"/>
    <n v="1"/>
    <n v="0"/>
    <n v="1"/>
    <n v="0"/>
    <n v="0"/>
  </r>
  <r>
    <s v="Cases\\PKFI"/>
    <x v="81"/>
    <s v="Global"/>
    <s v="PKF International Limited"/>
    <x v="6"/>
    <n v="0"/>
    <n v="1"/>
    <n v="0"/>
    <n v="0"/>
    <n v="1"/>
    <n v="0"/>
    <n v="0"/>
    <n v="0"/>
    <n v="0"/>
    <n v="0"/>
    <n v="1"/>
    <n v="0"/>
    <n v="0"/>
    <n v="0"/>
    <n v="0"/>
    <n v="1"/>
    <n v="0"/>
    <n v="0"/>
    <n v="1"/>
    <n v="0"/>
    <n v="0"/>
    <n v="0"/>
    <n v="0"/>
    <n v="0"/>
    <n v="1"/>
    <n v="0"/>
    <n v="0"/>
    <n v="1"/>
    <n v="0"/>
  </r>
  <r>
    <s v="Cases\\PKFSA"/>
    <x v="82"/>
    <s v="MEA"/>
    <s v="PKF South Africa"/>
    <x v="6"/>
    <n v="0"/>
    <n v="1"/>
    <n v="0"/>
    <n v="0"/>
    <n v="0"/>
    <n v="0"/>
    <n v="0"/>
    <n v="0"/>
    <n v="0"/>
    <n v="0"/>
    <n v="0"/>
    <n v="0"/>
    <n v="0"/>
    <n v="0"/>
    <n v="0"/>
    <n v="0"/>
    <n v="0"/>
    <n v="0"/>
    <n v="1"/>
    <n v="0"/>
    <n v="0"/>
    <n v="0"/>
    <n v="0"/>
    <n v="0"/>
    <n v="1"/>
    <n v="0"/>
    <n v="0"/>
    <n v="1"/>
    <n v="0"/>
  </r>
  <r>
    <s v="Cases\\PwC"/>
    <x v="83"/>
    <s v="Global"/>
    <s v="PriceWaterhouseCoopers"/>
    <x v="6"/>
    <n v="0"/>
    <n v="1"/>
    <n v="0"/>
    <n v="1"/>
    <n v="1"/>
    <n v="1"/>
    <n v="1"/>
    <n v="1"/>
    <n v="1"/>
    <n v="0"/>
    <n v="1"/>
    <n v="0"/>
    <n v="1"/>
    <n v="0"/>
    <n v="0"/>
    <n v="1"/>
    <n v="0"/>
    <n v="0"/>
    <n v="0"/>
    <n v="1"/>
    <n v="0"/>
    <n v="0"/>
    <n v="0"/>
    <n v="1"/>
    <n v="0"/>
    <n v="1"/>
    <n v="0"/>
    <n v="1"/>
    <n v="0"/>
  </r>
  <r>
    <s v="Cases\\RSMI"/>
    <x v="84"/>
    <s v="Global"/>
    <s v="RSM International"/>
    <x v="6"/>
    <n v="1"/>
    <n v="0"/>
    <n v="0"/>
    <n v="0"/>
    <n v="0"/>
    <n v="0"/>
    <n v="0"/>
    <n v="0"/>
    <n v="0"/>
    <n v="0"/>
    <n v="0"/>
    <n v="0"/>
    <n v="0"/>
    <n v="0"/>
    <n v="0"/>
    <n v="0"/>
    <n v="0"/>
    <n v="0"/>
    <n v="0"/>
    <n v="1"/>
    <n v="0"/>
    <n v="0"/>
    <n v="1"/>
    <n v="0"/>
    <n v="1"/>
    <n v="0"/>
    <n v="0"/>
    <n v="1"/>
    <n v="0"/>
  </r>
  <r>
    <s v="Cases\\SAICA"/>
    <x v="85"/>
    <s v="MEA"/>
    <s v="South African Institute of Chartered Accountants"/>
    <x v="2"/>
    <n v="0"/>
    <n v="1"/>
    <n v="0"/>
    <n v="1"/>
    <n v="0"/>
    <n v="0"/>
    <n v="1"/>
    <n v="0"/>
    <n v="1"/>
    <n v="0"/>
    <n v="1"/>
    <n v="0"/>
    <n v="0"/>
    <n v="1"/>
    <n v="1"/>
    <n v="0"/>
    <n v="0"/>
    <n v="0"/>
    <n v="0"/>
    <n v="1"/>
    <n v="0"/>
    <n v="1"/>
    <n v="0"/>
    <n v="0"/>
    <n v="0"/>
    <n v="1"/>
    <n v="0"/>
    <n v="1"/>
    <n v="0"/>
  </r>
  <r>
    <s v="Cases\\SMPC"/>
    <x v="86"/>
    <s v="Global"/>
    <s v="IFAC Small and Medium Practices Committee"/>
    <x v="2"/>
    <n v="0"/>
    <n v="1"/>
    <n v="0"/>
    <n v="1"/>
    <n v="0"/>
    <n v="0"/>
    <n v="0"/>
    <n v="0"/>
    <n v="0"/>
    <n v="0"/>
    <n v="0"/>
    <n v="1"/>
    <n v="0"/>
    <n v="0"/>
    <n v="0"/>
    <n v="0"/>
    <n v="0"/>
    <n v="1"/>
    <n v="0"/>
    <n v="1"/>
    <n v="0"/>
    <n v="1"/>
    <n v="0"/>
    <n v="0"/>
    <n v="0"/>
    <n v="1"/>
    <n v="0"/>
    <n v="1"/>
    <n v="0"/>
  </r>
  <r>
    <s v="Cases\\SNAO"/>
    <x v="87"/>
    <s v="EU"/>
    <s v="Swedish National Audit Office"/>
    <x v="1"/>
    <n v="0"/>
    <n v="1"/>
    <n v="0"/>
    <n v="0"/>
    <n v="1"/>
    <n v="0"/>
    <n v="0"/>
    <n v="0"/>
    <n v="0"/>
    <n v="0"/>
    <n v="0"/>
    <n v="0"/>
    <n v="0"/>
    <n v="0"/>
    <n v="0"/>
    <n v="0"/>
    <n v="0"/>
    <n v="0"/>
    <n v="0"/>
    <n v="0"/>
    <n v="0"/>
    <n v="0"/>
    <n v="0"/>
    <n v="0"/>
    <n v="0"/>
    <n v="1"/>
    <n v="0"/>
    <n v="1"/>
    <n v="0"/>
  </r>
  <r>
    <s v="Cases\\UNSW"/>
    <x v="88"/>
    <s v="AE"/>
    <s v="UNSW Audit Research Network"/>
    <x v="0"/>
    <n v="0"/>
    <n v="0"/>
    <n v="0"/>
    <n v="0"/>
    <n v="0"/>
    <n v="0"/>
    <n v="0"/>
    <n v="0"/>
    <n v="0"/>
    <n v="0"/>
    <n v="0"/>
    <n v="0"/>
    <n v="0"/>
    <n v="0"/>
    <n v="0"/>
    <n v="0"/>
    <n v="0"/>
    <n v="0"/>
    <n v="0"/>
    <n v="0"/>
    <n v="0"/>
    <n v="0"/>
    <n v="0"/>
    <n v="0"/>
    <n v="0"/>
    <n v="1"/>
    <n v="0"/>
    <n v="1"/>
    <n v="0"/>
  </r>
  <r>
    <s v="Cases\\VM"/>
    <x v="89"/>
    <s v="EU"/>
    <s v="Vera Massarygina"/>
    <x v="3"/>
    <n v="0"/>
    <n v="0"/>
    <n v="0"/>
    <n v="0"/>
    <n v="0"/>
    <n v="0"/>
    <n v="0"/>
    <n v="0"/>
    <n v="0"/>
    <n v="0"/>
    <n v="0"/>
    <n v="0"/>
    <n v="0"/>
    <n v="0"/>
    <n v="0"/>
    <n v="0"/>
    <n v="0"/>
    <n v="0"/>
    <n v="1"/>
    <n v="0"/>
    <n v="0"/>
    <n v="0"/>
    <n v="0"/>
    <n v="0"/>
    <n v="1"/>
    <n v="0"/>
    <n v="0"/>
    <n v="0"/>
    <n v="1"/>
  </r>
  <r>
    <s v="Cases\\WPK"/>
    <x v="90"/>
    <s v="EU"/>
    <s v="Wirtschaftsprüferkammer"/>
    <x v="2"/>
    <n v="0"/>
    <n v="1"/>
    <n v="0"/>
    <n v="0"/>
    <n v="0"/>
    <n v="0"/>
    <n v="0"/>
    <n v="0"/>
    <n v="0"/>
    <n v="0"/>
    <n v="0"/>
    <n v="0"/>
    <n v="0"/>
    <n v="0"/>
    <n v="0"/>
    <n v="0"/>
    <n v="0"/>
    <n v="0"/>
    <n v="0"/>
    <n v="1"/>
    <n v="0"/>
    <n v="1"/>
    <n v="1"/>
    <n v="0"/>
    <n v="1"/>
    <n v="0"/>
    <n v="0"/>
    <n v="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Cases\\AAA-ASC"/>
    <x v="0"/>
    <s v="NA"/>
    <s v="Auditing Standards Committee of the American Accounting Association"/>
    <x v="0"/>
    <n v="0"/>
    <n v="1"/>
    <n v="0"/>
    <n v="0"/>
    <n v="0"/>
    <n v="0"/>
    <n v="0"/>
    <n v="0"/>
    <n v="0"/>
    <n v="0"/>
    <n v="1"/>
    <n v="0"/>
    <n v="0"/>
    <n v="1"/>
    <n v="0"/>
    <n v="0"/>
    <n v="0"/>
    <n v="0"/>
    <n v="0"/>
    <n v="0"/>
    <n v="0"/>
    <n v="0"/>
    <n v="0"/>
    <n v="0"/>
  </r>
  <r>
    <s v="Cases\\ACAG"/>
    <x v="1"/>
    <s v="AE"/>
    <s v="Australasian Council of Auditors General"/>
    <x v="1"/>
    <n v="0"/>
    <n v="1"/>
    <n v="0"/>
    <n v="0"/>
    <n v="0"/>
    <n v="0"/>
    <n v="0"/>
    <n v="0"/>
    <n v="0"/>
    <n v="0"/>
    <n v="0"/>
    <n v="0"/>
    <n v="0"/>
    <n v="0"/>
    <n v="0"/>
    <n v="0"/>
    <n v="0"/>
    <n v="0"/>
    <n v="1"/>
    <n v="0"/>
    <n v="0"/>
    <n v="0"/>
    <n v="0"/>
    <n v="0"/>
  </r>
  <r>
    <s v="Cases\\ACCA-CAANZ"/>
    <x v="2"/>
    <s v="Global"/>
    <s v="Chartered Accountants Australia and New Zealand and the Association of Chartered Certified Accountants"/>
    <x v="2"/>
    <n v="0"/>
    <n v="1"/>
    <n v="0"/>
    <n v="0"/>
    <n v="0"/>
    <n v="0"/>
    <n v="0"/>
    <n v="0"/>
    <n v="0"/>
    <n v="0"/>
    <n v="0"/>
    <n v="0"/>
    <n v="1"/>
    <n v="0"/>
    <n v="0"/>
    <n v="0"/>
    <n v="0"/>
    <n v="0"/>
    <n v="0"/>
    <n v="1"/>
    <n v="0"/>
    <n v="0"/>
    <n v="1"/>
    <n v="0"/>
  </r>
  <r>
    <s v="Cases\\AE"/>
    <x v="3"/>
    <s v="EU"/>
    <s v="Accountancy Europe"/>
    <x v="2"/>
    <n v="0"/>
    <n v="1"/>
    <n v="0"/>
    <n v="0"/>
    <n v="1"/>
    <n v="0"/>
    <n v="0"/>
    <n v="0"/>
    <n v="0"/>
    <n v="0"/>
    <n v="0"/>
    <n v="0"/>
    <n v="1"/>
    <n v="0"/>
    <n v="0"/>
    <n v="0"/>
    <n v="0"/>
    <n v="0"/>
    <n v="0"/>
    <n v="1"/>
    <n v="0"/>
    <n v="1"/>
    <n v="0"/>
    <n v="0"/>
  </r>
  <r>
    <s v="Cases\\AFV"/>
    <x v="4"/>
    <s v="SA"/>
    <s v="Alvaro Fonesca Vivas"/>
    <x v="3"/>
    <n v="0"/>
    <n v="0"/>
    <n v="0"/>
    <n v="0"/>
    <n v="0"/>
    <n v="0"/>
    <n v="0"/>
    <n v="0"/>
    <n v="0"/>
    <n v="0"/>
    <n v="0"/>
    <n v="0"/>
    <n v="0"/>
    <n v="0"/>
    <n v="0"/>
    <n v="0"/>
    <n v="0"/>
    <n v="0"/>
    <n v="0"/>
    <n v="0"/>
    <n v="0"/>
    <n v="0"/>
    <n v="0"/>
    <n v="0"/>
  </r>
  <r>
    <s v="Cases\\AGSA"/>
    <x v="5"/>
    <s v="MEA"/>
    <s v="Auditor General of South Africa"/>
    <x v="1"/>
    <n v="1"/>
    <n v="0"/>
    <n v="0"/>
    <n v="0"/>
    <n v="0"/>
    <n v="0"/>
    <n v="0"/>
    <n v="0"/>
    <n v="0"/>
    <n v="0"/>
    <n v="0"/>
    <n v="0"/>
    <n v="0"/>
    <n v="0"/>
    <n v="0"/>
    <n v="0"/>
    <n v="0"/>
    <n v="0"/>
    <n v="1"/>
    <n v="0"/>
    <n v="0"/>
    <n v="0"/>
    <n v="0"/>
    <n v="0"/>
  </r>
  <r>
    <s v="Cases\\AICPA"/>
    <x v="6"/>
    <s v="NA"/>
    <s v="American Institute of Certified Public Accountants"/>
    <x v="4"/>
    <n v="1"/>
    <n v="0"/>
    <n v="0"/>
    <n v="0"/>
    <n v="0"/>
    <n v="0"/>
    <n v="0"/>
    <n v="0"/>
    <n v="0"/>
    <n v="0"/>
    <n v="0"/>
    <n v="0"/>
    <n v="0"/>
    <n v="0"/>
    <n v="0"/>
    <n v="0"/>
    <n v="0"/>
    <n v="0"/>
    <n v="0"/>
    <n v="1"/>
    <n v="0"/>
    <n v="0"/>
    <n v="1"/>
    <n v="0"/>
  </r>
  <r>
    <s v="Cases\\AUASB"/>
    <x v="7"/>
    <s v="AE"/>
    <s v="Australian Auditing and Assurance Standards Board"/>
    <x v="4"/>
    <n v="0"/>
    <n v="1"/>
    <n v="0"/>
    <n v="0"/>
    <n v="1"/>
    <n v="0"/>
    <n v="0"/>
    <n v="0"/>
    <n v="0"/>
    <n v="0"/>
    <n v="0"/>
    <n v="0"/>
    <n v="1"/>
    <n v="0"/>
    <n v="0"/>
    <n v="0"/>
    <n v="0"/>
    <n v="0"/>
    <n v="0"/>
    <n v="1"/>
    <n v="0"/>
    <n v="0"/>
    <n v="0"/>
    <n v="1"/>
  </r>
  <r>
    <s v="Cases\\BCBS"/>
    <x v="8"/>
    <s v="Global"/>
    <s v="Basel Committee on Banking Supervision"/>
    <x v="5"/>
    <n v="0"/>
    <n v="0"/>
    <n v="0"/>
    <n v="0"/>
    <n v="0"/>
    <n v="0"/>
    <n v="0"/>
    <n v="0"/>
    <n v="0"/>
    <n v="0"/>
    <n v="1"/>
    <n v="0"/>
    <n v="0"/>
    <n v="0"/>
    <n v="0"/>
    <n v="1"/>
    <n v="1"/>
    <n v="0"/>
    <n v="0"/>
    <n v="1"/>
    <n v="0"/>
    <n v="0"/>
    <n v="0"/>
    <n v="1"/>
  </r>
  <r>
    <s v="Cases\\BDO"/>
    <x v="9"/>
    <s v="Global"/>
    <s v="BDO International Limited"/>
    <x v="6"/>
    <n v="0"/>
    <n v="1"/>
    <n v="0"/>
    <n v="0"/>
    <n v="0"/>
    <n v="0"/>
    <n v="0"/>
    <n v="0"/>
    <n v="0"/>
    <n v="0"/>
    <n v="0"/>
    <n v="0"/>
    <n v="0"/>
    <n v="0"/>
    <n v="0"/>
    <n v="0"/>
    <n v="0"/>
    <n v="0"/>
    <n v="0"/>
    <n v="1"/>
    <n v="0"/>
    <n v="0"/>
    <n v="1"/>
    <n v="0"/>
  </r>
  <r>
    <s v="Cases\\BTI"/>
    <x v="10"/>
    <s v="Global"/>
    <s v="Baker Tilly International"/>
    <x v="6"/>
    <n v="0"/>
    <n v="1"/>
    <n v="0"/>
    <n v="0"/>
    <n v="0"/>
    <n v="0"/>
    <n v="0"/>
    <n v="0"/>
    <n v="0"/>
    <n v="0"/>
    <n v="0"/>
    <n v="0"/>
    <n v="0"/>
    <n v="0"/>
    <n v="0"/>
    <n v="0"/>
    <n v="0"/>
    <n v="0"/>
    <n v="0"/>
    <n v="1"/>
    <n v="0"/>
    <n v="0"/>
    <n v="0"/>
    <n v="0"/>
  </r>
  <r>
    <s v="Cases\\BTVK"/>
    <x v="11"/>
    <s v="NA"/>
    <s v="Baker Tilly Virchow Krause, LLP"/>
    <x v="6"/>
    <n v="0"/>
    <n v="0"/>
    <n v="0"/>
    <n v="0"/>
    <n v="0"/>
    <n v="0"/>
    <n v="0"/>
    <n v="0"/>
    <n v="0"/>
    <n v="0"/>
    <n v="0"/>
    <n v="0"/>
    <n v="0"/>
    <n v="0"/>
    <n v="0"/>
    <n v="0"/>
    <n v="0"/>
    <n v="0"/>
    <n v="0"/>
    <n v="1"/>
    <n v="0"/>
    <n v="0"/>
    <n v="1"/>
    <n v="0"/>
  </r>
  <r>
    <s v="Cases\\CAASB"/>
    <x v="12"/>
    <s v="NA"/>
    <s v="Canadian Auditing and Assurance Standards Board "/>
    <x v="4"/>
    <n v="0"/>
    <n v="1"/>
    <n v="0"/>
    <n v="0"/>
    <n v="0"/>
    <n v="1"/>
    <n v="0"/>
    <n v="0"/>
    <n v="0"/>
    <n v="0"/>
    <n v="0"/>
    <n v="0"/>
    <n v="1"/>
    <n v="0"/>
    <n v="0"/>
    <n v="0"/>
    <n v="0"/>
    <n v="0"/>
    <n v="1"/>
    <n v="0"/>
    <n v="0"/>
    <n v="0"/>
    <n v="0"/>
    <n v="0"/>
  </r>
  <r>
    <s v="Cases\\CAA-TAS"/>
    <x v="13"/>
    <s v="MEA"/>
    <s v="Training and Advisory Services &amp; Chartered Accountants Academy"/>
    <x v="3"/>
    <n v="0"/>
    <n v="1"/>
    <n v="0"/>
    <n v="0"/>
    <n v="0"/>
    <n v="0"/>
    <n v="0"/>
    <n v="0"/>
    <n v="0"/>
    <n v="0"/>
    <n v="0"/>
    <n v="0"/>
    <n v="0"/>
    <n v="0"/>
    <n v="0"/>
    <n v="0"/>
    <n v="0"/>
    <n v="0"/>
    <n v="1"/>
    <n v="0"/>
    <n v="0"/>
    <n v="0"/>
    <n v="0"/>
    <n v="0"/>
  </r>
  <r>
    <s v="Cases\\CAI"/>
    <x v="14"/>
    <s v="EU"/>
    <s v="Chartered Accountants Ireland"/>
    <x v="2"/>
    <n v="1"/>
    <n v="0"/>
    <n v="0"/>
    <n v="0"/>
    <n v="0"/>
    <n v="0"/>
    <n v="0"/>
    <n v="0"/>
    <n v="0"/>
    <n v="0"/>
    <n v="0"/>
    <n v="0"/>
    <n v="0"/>
    <n v="0"/>
    <n v="0"/>
    <n v="0"/>
    <n v="0"/>
    <n v="0"/>
    <n v="0"/>
    <n v="1"/>
    <n v="0"/>
    <n v="0"/>
    <n v="1"/>
    <n v="0"/>
  </r>
  <r>
    <s v="Cases\\CalCPA"/>
    <x v="15"/>
    <s v="NA"/>
    <s v="California Society of CPAs"/>
    <x v="2"/>
    <n v="0"/>
    <n v="1"/>
    <n v="0"/>
    <n v="0"/>
    <n v="0"/>
    <n v="0"/>
    <n v="0"/>
    <n v="0"/>
    <n v="0"/>
    <n v="0"/>
    <n v="0"/>
    <n v="0"/>
    <n v="0"/>
    <n v="0"/>
    <n v="0"/>
    <n v="0"/>
    <n v="0"/>
    <n v="0"/>
    <n v="0"/>
    <n v="1"/>
    <n v="0"/>
    <n v="0"/>
    <n v="1"/>
    <n v="1"/>
  </r>
  <r>
    <s v="Cases\\CAQ"/>
    <x v="16"/>
    <s v="NA"/>
    <s v="Center for Audit Quality"/>
    <x v="2"/>
    <n v="0"/>
    <n v="1"/>
    <n v="0"/>
    <n v="0"/>
    <n v="1"/>
    <n v="1"/>
    <n v="1"/>
    <n v="0"/>
    <n v="0"/>
    <n v="0"/>
    <n v="0"/>
    <n v="1"/>
    <n v="0"/>
    <n v="0"/>
    <n v="0"/>
    <n v="0"/>
    <n v="0"/>
    <n v="0"/>
    <n v="0"/>
    <n v="1"/>
    <n v="0"/>
    <n v="0"/>
    <n v="0"/>
    <n v="1"/>
  </r>
  <r>
    <s v="Cases\\CASI"/>
    <x v="17"/>
    <s v="AE"/>
    <s v="CAS INTERNATIONAL"/>
    <x v="6"/>
    <n v="1"/>
    <n v="0"/>
    <n v="0"/>
    <n v="0"/>
    <n v="0"/>
    <n v="0"/>
    <n v="0"/>
    <n v="0"/>
    <n v="0"/>
    <n v="0"/>
    <n v="0"/>
    <n v="0"/>
    <n v="0"/>
    <n v="0"/>
    <n v="0"/>
    <n v="0"/>
    <n v="0"/>
    <n v="0"/>
    <n v="0"/>
    <n v="1"/>
    <n v="0"/>
    <n v="0"/>
    <n v="1"/>
    <n v="0"/>
  </r>
  <r>
    <s v="Cases\\CCC-ICPARD"/>
    <x v="18"/>
    <s v="SA"/>
    <s v="Comite Control de Calidad del ICPARD"/>
    <x v="2"/>
    <n v="1"/>
    <n v="0"/>
    <n v="0"/>
    <n v="0"/>
    <n v="0"/>
    <n v="0"/>
    <n v="0"/>
    <n v="0"/>
    <n v="0"/>
    <n v="0"/>
    <n v="0"/>
    <n v="0"/>
    <n v="0"/>
    <n v="0"/>
    <n v="0"/>
    <n v="0"/>
    <n v="0"/>
    <n v="0"/>
    <n v="0"/>
    <n v="1"/>
    <n v="0"/>
    <n v="0"/>
    <n v="1"/>
    <n v="0"/>
  </r>
  <r>
    <s v="Cases\\CFC"/>
    <x v="19"/>
    <s v="SA"/>
    <s v="Conselho Federal de Contabilidade - Federal Accounting Council"/>
    <x v="4"/>
    <n v="1"/>
    <n v="0"/>
    <n v="0"/>
    <n v="0"/>
    <n v="0"/>
    <n v="0"/>
    <n v="0"/>
    <n v="0"/>
    <n v="0"/>
    <n v="0"/>
    <n v="0"/>
    <n v="0"/>
    <n v="0"/>
    <n v="0"/>
    <n v="0"/>
    <n v="0"/>
    <n v="0"/>
    <n v="0"/>
    <n v="0"/>
    <n v="1"/>
    <n v="0"/>
    <n v="0"/>
    <n v="1"/>
    <n v="0"/>
  </r>
  <r>
    <s v="Cases\\CG"/>
    <x v="20"/>
    <s v="Global"/>
    <s v="Crowe Global"/>
    <x v="6"/>
    <n v="0"/>
    <n v="1"/>
    <n v="0"/>
    <n v="0"/>
    <n v="1"/>
    <n v="1"/>
    <n v="0"/>
    <n v="1"/>
    <n v="0"/>
    <n v="0"/>
    <n v="0"/>
    <n v="0"/>
    <n v="0"/>
    <n v="0"/>
    <n v="0"/>
    <n v="0"/>
    <n v="0"/>
    <n v="0"/>
    <n v="0"/>
    <n v="1"/>
    <n v="0"/>
    <n v="0"/>
    <n v="1"/>
    <n v="0"/>
  </r>
  <r>
    <s v="Cases\\CICC-AIC"/>
    <x v="21"/>
    <s v="SA"/>
    <s v="Comision Interamericana de Control de Calidad de la AIC"/>
    <x v="2"/>
    <n v="1"/>
    <n v="0"/>
    <n v="0"/>
    <n v="0"/>
    <n v="0"/>
    <n v="0"/>
    <n v="0"/>
    <n v="0"/>
    <n v="0"/>
    <n v="0"/>
    <n v="0"/>
    <n v="0"/>
    <n v="0"/>
    <n v="0"/>
    <n v="0"/>
    <n v="0"/>
    <n v="0"/>
    <n v="0"/>
    <n v="0"/>
    <n v="1"/>
    <n v="0"/>
    <n v="0"/>
    <n v="1"/>
    <n v="0"/>
  </r>
  <r>
    <s v="Cases\\CICPA_Final"/>
    <x v="22"/>
    <s v="AE"/>
    <s v="Chinese Institute of Certified Public Accountants"/>
    <x v="4"/>
    <n v="0"/>
    <n v="0"/>
    <n v="0"/>
    <n v="0"/>
    <n v="0"/>
    <n v="0"/>
    <n v="0"/>
    <n v="0"/>
    <n v="0"/>
    <n v="0"/>
    <n v="0"/>
    <n v="0"/>
    <n v="0"/>
    <n v="0"/>
    <n v="0"/>
    <n v="0"/>
    <n v="0"/>
    <n v="0"/>
    <n v="0"/>
    <n v="1"/>
    <n v="0"/>
    <n v="1"/>
    <n v="1"/>
    <n v="0"/>
  </r>
  <r>
    <s v="Cases\\CNCC-CSOEC"/>
    <x v="23"/>
    <s v="EU"/>
    <s v="Compagnie Nationale des Commissaires aux Comptes and the Conseil Superieur de I’Ordre des Experts-Comptables"/>
    <x v="4"/>
    <n v="0"/>
    <n v="1"/>
    <n v="0"/>
    <n v="0"/>
    <n v="1"/>
    <n v="0"/>
    <n v="1"/>
    <n v="0"/>
    <n v="0"/>
    <n v="0"/>
    <n v="0"/>
    <n v="0"/>
    <n v="1"/>
    <n v="0"/>
    <n v="0"/>
    <n v="0"/>
    <n v="0"/>
    <n v="0"/>
    <n v="0"/>
    <n v="1"/>
    <n v="0"/>
    <n v="1"/>
    <n v="0"/>
    <n v="0"/>
  </r>
  <r>
    <s v="Cases\\CNDCEC"/>
    <x v="24"/>
    <s v="EU"/>
    <s v="Consiglio Nazionale dei Dottori Commercialisti e degli Esperti Contabili "/>
    <x v="2"/>
    <n v="0"/>
    <n v="0"/>
    <n v="0"/>
    <n v="0"/>
    <n v="0"/>
    <n v="0"/>
    <n v="0"/>
    <n v="0"/>
    <n v="0"/>
    <n v="0"/>
    <n v="0"/>
    <n v="0"/>
    <n v="0"/>
    <n v="0"/>
    <n v="0"/>
    <n v="0"/>
    <n v="0"/>
    <n v="0"/>
    <n v="0"/>
    <n v="1"/>
    <n v="0"/>
    <n v="0"/>
    <n v="1"/>
    <n v="0"/>
  </r>
  <r>
    <s v="Cases\\CPAA"/>
    <x v="25"/>
    <s v="AE"/>
    <s v="CPA Australia"/>
    <x v="2"/>
    <n v="1"/>
    <n v="0"/>
    <n v="0"/>
    <n v="0"/>
    <n v="0"/>
    <n v="0"/>
    <n v="0"/>
    <n v="0"/>
    <n v="0"/>
    <n v="0"/>
    <n v="0"/>
    <n v="0"/>
    <n v="0"/>
    <n v="0"/>
    <n v="0"/>
    <n v="0"/>
    <n v="0"/>
    <n v="0"/>
    <n v="0"/>
    <n v="1"/>
    <n v="0"/>
    <n v="0"/>
    <n v="0"/>
    <n v="0"/>
  </r>
  <r>
    <s v="Cases\\CPAB"/>
    <x v="26"/>
    <s v="NA"/>
    <s v="Canadian Public Accountability Board"/>
    <x v="7"/>
    <n v="0"/>
    <n v="0"/>
    <n v="0"/>
    <n v="0"/>
    <n v="0"/>
    <n v="0"/>
    <n v="0"/>
    <n v="0"/>
    <n v="0"/>
    <n v="0"/>
    <n v="0"/>
    <n v="1"/>
    <n v="0"/>
    <n v="0"/>
    <n v="0"/>
    <n v="0"/>
    <n v="0"/>
    <n v="0"/>
    <n v="0"/>
    <n v="0"/>
    <n v="0"/>
    <n v="0"/>
    <n v="0"/>
    <n v="0"/>
  </r>
  <r>
    <s v="Cases\\DTL"/>
    <x v="27"/>
    <s v="EU"/>
    <s v="Duncan &amp; Toplis Limited"/>
    <x v="6"/>
    <n v="1"/>
    <n v="0"/>
    <n v="0"/>
    <n v="0"/>
    <n v="0"/>
    <n v="0"/>
    <n v="0"/>
    <n v="0"/>
    <n v="0"/>
    <n v="0"/>
    <n v="0"/>
    <n v="0"/>
    <n v="0"/>
    <n v="0"/>
    <n v="0"/>
    <n v="0"/>
    <n v="0"/>
    <n v="0"/>
    <n v="0"/>
    <n v="1"/>
    <n v="0"/>
    <n v="0"/>
    <n v="1"/>
    <n v="0"/>
  </r>
  <r>
    <s v="Cases\\DTTL"/>
    <x v="28"/>
    <s v="Global"/>
    <s v="Deloitte Touche Tohmatsu Limited"/>
    <x v="6"/>
    <n v="0"/>
    <n v="1"/>
    <n v="0"/>
    <n v="0"/>
    <n v="1"/>
    <n v="1"/>
    <n v="1"/>
    <n v="0"/>
    <n v="0"/>
    <n v="0"/>
    <n v="1"/>
    <n v="0"/>
    <n v="0"/>
    <n v="1"/>
    <n v="0"/>
    <n v="0"/>
    <n v="0"/>
    <n v="1"/>
    <n v="0"/>
    <n v="1"/>
    <n v="0"/>
    <n v="0"/>
    <n v="1"/>
    <n v="0"/>
  </r>
  <r>
    <s v="Cases\\ES"/>
    <x v="29"/>
    <s v="EU"/>
    <s v="EXPERTsuisse"/>
    <x v="2"/>
    <n v="0"/>
    <n v="0"/>
    <n v="0"/>
    <n v="0"/>
    <n v="0"/>
    <n v="0"/>
    <n v="0"/>
    <n v="0"/>
    <n v="0"/>
    <n v="0"/>
    <n v="0"/>
    <n v="0"/>
    <n v="0"/>
    <n v="0"/>
    <n v="0"/>
    <n v="0"/>
    <n v="0"/>
    <n v="0"/>
    <n v="0"/>
    <n v="1"/>
    <n v="0"/>
    <n v="0"/>
    <n v="1"/>
    <n v="0"/>
  </r>
  <r>
    <s v="Cases\\ETY"/>
    <x v="30"/>
    <s v="MEA"/>
    <s v="ETY Global"/>
    <x v="6"/>
    <n v="0"/>
    <n v="1"/>
    <n v="0"/>
    <n v="0"/>
    <n v="1"/>
    <n v="0"/>
    <n v="0"/>
    <n v="0"/>
    <n v="0"/>
    <n v="0"/>
    <n v="0"/>
    <n v="0"/>
    <n v="0"/>
    <n v="0"/>
    <n v="0"/>
    <n v="0"/>
    <n v="0"/>
    <n v="0"/>
    <n v="1"/>
    <n v="0"/>
    <n v="0"/>
    <n v="0"/>
    <n v="0"/>
    <n v="0"/>
  </r>
  <r>
    <s v="Cases\\EYG"/>
    <x v="31"/>
    <s v="Global"/>
    <s v="Ernst &amp; Young Global Limited"/>
    <x v="6"/>
    <n v="1"/>
    <n v="0"/>
    <n v="0"/>
    <n v="0"/>
    <n v="0"/>
    <n v="0"/>
    <n v="0"/>
    <n v="0"/>
    <n v="0"/>
    <n v="0"/>
    <n v="1"/>
    <n v="0"/>
    <n v="0"/>
    <n v="1"/>
    <n v="0"/>
    <n v="0"/>
    <n v="0"/>
    <n v="1"/>
    <n v="0"/>
    <n v="1"/>
    <n v="0"/>
    <n v="0"/>
    <n v="1"/>
    <n v="0"/>
  </r>
  <r>
    <s v="Cases\\FAAPA"/>
    <x v="32"/>
    <s v="EU"/>
    <s v="Finnish Association of Authorised Public Accountants"/>
    <x v="2"/>
    <n v="0"/>
    <n v="0"/>
    <n v="0"/>
    <n v="0"/>
    <n v="0"/>
    <n v="0"/>
    <n v="0"/>
    <n v="0"/>
    <n v="0"/>
    <n v="0"/>
    <n v="0"/>
    <n v="0"/>
    <n v="0"/>
    <n v="0"/>
    <n v="0"/>
    <n v="0"/>
    <n v="0"/>
    <n v="0"/>
    <n v="0"/>
    <n v="1"/>
    <n v="0"/>
    <n v="0"/>
    <n v="1"/>
    <n v="0"/>
  </r>
  <r>
    <s v="Cases\\FAR"/>
    <x v="33"/>
    <s v="EU"/>
    <s v="Institute for the Accountancy Profession in Sweden"/>
    <x v="2"/>
    <n v="0"/>
    <n v="0"/>
    <n v="0"/>
    <n v="0"/>
    <n v="0"/>
    <n v="0"/>
    <n v="0"/>
    <n v="0"/>
    <n v="0"/>
    <n v="0"/>
    <n v="0"/>
    <n v="0"/>
    <n v="0"/>
    <n v="0"/>
    <n v="0"/>
    <n v="0"/>
    <n v="0"/>
    <n v="0"/>
    <n v="0"/>
    <n v="0"/>
    <n v="0"/>
    <n v="0"/>
    <n v="0"/>
    <n v="0"/>
  </r>
  <r>
    <s v="Cases\\FRC"/>
    <x v="34"/>
    <s v="EU"/>
    <s v="UK Financial Reporting Council"/>
    <x v="7"/>
    <n v="1"/>
    <n v="0"/>
    <n v="0"/>
    <n v="0"/>
    <n v="0"/>
    <n v="0"/>
    <n v="0"/>
    <n v="0"/>
    <n v="0"/>
    <n v="1"/>
    <n v="0"/>
    <n v="0"/>
    <n v="0"/>
    <n v="0"/>
    <n v="0"/>
    <n v="0"/>
    <n v="0"/>
    <n v="0"/>
    <n v="0"/>
    <n v="1"/>
    <n v="0"/>
    <n v="0"/>
    <n v="1"/>
    <n v="0"/>
  </r>
  <r>
    <s v="Cases\\FSR"/>
    <x v="35"/>
    <s v="EU"/>
    <s v="Danske Revisorer (Danish Auditors)"/>
    <x v="2"/>
    <n v="0"/>
    <n v="1"/>
    <n v="0"/>
    <n v="1"/>
    <n v="0"/>
    <n v="1"/>
    <n v="0"/>
    <n v="1"/>
    <n v="0"/>
    <n v="0"/>
    <n v="0"/>
    <n v="1"/>
    <n v="0"/>
    <n v="0"/>
    <n v="0"/>
    <n v="0"/>
    <n v="0"/>
    <n v="0"/>
    <n v="0"/>
    <n v="1"/>
    <n v="0"/>
    <n v="0"/>
    <n v="0"/>
    <n v="1"/>
  </r>
  <r>
    <s v="Cases\\GAO"/>
    <x v="36"/>
    <s v="NA"/>
    <s v="United States Government Accountability Office"/>
    <x v="1"/>
    <n v="0"/>
    <n v="1"/>
    <n v="0"/>
    <n v="0"/>
    <n v="0"/>
    <n v="0"/>
    <n v="0"/>
    <n v="0"/>
    <n v="0"/>
    <n v="0"/>
    <n v="0"/>
    <n v="0"/>
    <n v="0"/>
    <n v="0"/>
    <n v="0"/>
    <n v="0"/>
    <n v="0"/>
    <n v="0"/>
    <n v="1"/>
    <n v="0"/>
    <n v="0"/>
    <n v="0"/>
    <n v="0"/>
    <n v="0"/>
  </r>
  <r>
    <s v="Cases\\GTIL"/>
    <x v="37"/>
    <s v="Global"/>
    <s v="Grant Thornton International Limited"/>
    <x v="6"/>
    <n v="0"/>
    <n v="1"/>
    <n v="0"/>
    <n v="0"/>
    <n v="1"/>
    <n v="0"/>
    <n v="1"/>
    <n v="0"/>
    <n v="0"/>
    <n v="0"/>
    <n v="1"/>
    <n v="0"/>
    <n v="0"/>
    <n v="1"/>
    <n v="1"/>
    <n v="0"/>
    <n v="0"/>
    <n v="0"/>
    <n v="0"/>
    <n v="1"/>
    <n v="0"/>
    <n v="0"/>
    <n v="1"/>
    <n v="0"/>
  </r>
  <r>
    <s v="Cases\\HKICPA"/>
    <x v="38"/>
    <s v="AE"/>
    <s v="Hong Kong Institute of Certified Public Accountants "/>
    <x v="4"/>
    <n v="0"/>
    <n v="1"/>
    <n v="0"/>
    <n v="0"/>
    <n v="0"/>
    <n v="0"/>
    <n v="0"/>
    <n v="0"/>
    <n v="0"/>
    <n v="0"/>
    <n v="1"/>
    <n v="0"/>
    <n v="0"/>
    <n v="0"/>
    <n v="0"/>
    <n v="0"/>
    <n v="0"/>
    <n v="1"/>
    <n v="0"/>
    <n v="1"/>
    <n v="0"/>
    <n v="0"/>
    <n v="1"/>
    <n v="0"/>
  </r>
  <r>
    <s v="Cases\\HM"/>
    <x v="39"/>
    <s v="EU"/>
    <s v="Haysmacintyre LLP"/>
    <x v="6"/>
    <n v="1"/>
    <n v="0"/>
    <n v="0"/>
    <n v="0"/>
    <n v="0"/>
    <n v="0"/>
    <n v="0"/>
    <n v="0"/>
    <n v="0"/>
    <n v="0"/>
    <n v="0"/>
    <n v="0"/>
    <n v="0"/>
    <n v="0"/>
    <n v="0"/>
    <n v="0"/>
    <n v="0"/>
    <n v="0"/>
    <n v="1"/>
    <n v="0"/>
    <n v="0"/>
    <n v="0"/>
    <n v="0"/>
    <n v="0"/>
  </r>
  <r>
    <s v="Cases\\IAASA"/>
    <x v="40"/>
    <s v="EU"/>
    <s v="Irish Auditing &amp; Accounting Supervisory Authority"/>
    <x v="7"/>
    <n v="0"/>
    <n v="1"/>
    <n v="0"/>
    <n v="1"/>
    <n v="0"/>
    <n v="0"/>
    <n v="0"/>
    <n v="0"/>
    <n v="0"/>
    <n v="0"/>
    <n v="0"/>
    <n v="0"/>
    <n v="0"/>
    <n v="0"/>
    <n v="0"/>
    <n v="0"/>
    <n v="0"/>
    <n v="0"/>
    <n v="0"/>
    <n v="0"/>
    <n v="0"/>
    <n v="0"/>
    <n v="0"/>
    <n v="0"/>
  </r>
  <r>
    <s v="Cases\\IAB-IEC"/>
    <x v="41"/>
    <s v="EU"/>
    <s v="Institut des Experts-comptables et des Conseils Fiscaux – Instituut Van de Accountants en de Belastingconsulenten"/>
    <x v="2"/>
    <n v="1"/>
    <n v="0"/>
    <n v="0"/>
    <n v="0"/>
    <n v="0"/>
    <n v="0"/>
    <n v="0"/>
    <n v="0"/>
    <n v="0"/>
    <n v="0"/>
    <n v="0"/>
    <n v="0"/>
    <n v="0"/>
    <n v="0"/>
    <n v="0"/>
    <n v="0"/>
    <n v="0"/>
    <n v="0"/>
    <n v="0"/>
    <n v="0"/>
    <n v="1"/>
    <n v="1"/>
    <n v="0"/>
    <n v="0"/>
  </r>
  <r>
    <s v="Cases\\IAIS"/>
    <x v="42"/>
    <s v="Global"/>
    <s v="International Association of Insurance Supervisors"/>
    <x v="5"/>
    <n v="0"/>
    <n v="0"/>
    <n v="0"/>
    <n v="0"/>
    <n v="0"/>
    <n v="0"/>
    <n v="0"/>
    <n v="0"/>
    <n v="0"/>
    <n v="0"/>
    <n v="0"/>
    <n v="1"/>
    <n v="0"/>
    <n v="0"/>
    <n v="0"/>
    <n v="0"/>
    <n v="0"/>
    <n v="0"/>
    <n v="0"/>
    <n v="1"/>
    <n v="0"/>
    <n v="0"/>
    <n v="0"/>
    <n v="1"/>
  </r>
  <r>
    <s v="Cases\\IBRACON"/>
    <x v="43"/>
    <s v="SA"/>
    <s v="Instituto dos Auditores Independentes do Brasil"/>
    <x v="2"/>
    <n v="0"/>
    <n v="1"/>
    <n v="0"/>
    <n v="0"/>
    <n v="0"/>
    <n v="0"/>
    <n v="0"/>
    <n v="0"/>
    <n v="1"/>
    <n v="0"/>
    <n v="0"/>
    <n v="1"/>
    <n v="0"/>
    <n v="0"/>
    <n v="0"/>
    <n v="0"/>
    <n v="0"/>
    <n v="0"/>
    <n v="0"/>
    <n v="1"/>
    <n v="0"/>
    <n v="0"/>
    <n v="1"/>
    <n v="1"/>
  </r>
  <r>
    <s v="Cases\\IBR-IRE"/>
    <x v="44"/>
    <s v="EU"/>
    <s v="Belgian Institute of Registered Auditors "/>
    <x v="2"/>
    <n v="1"/>
    <n v="0"/>
    <n v="0"/>
    <n v="0"/>
    <n v="0"/>
    <n v="0"/>
    <n v="0"/>
    <n v="0"/>
    <n v="0"/>
    <n v="0"/>
    <n v="0"/>
    <n v="0"/>
    <n v="0"/>
    <n v="0"/>
    <n v="0"/>
    <n v="0"/>
    <n v="0"/>
    <n v="0"/>
    <n v="0"/>
    <n v="1"/>
    <n v="0"/>
    <n v="0"/>
    <n v="0"/>
    <n v="0"/>
  </r>
  <r>
    <s v="Cases\\ICAEW"/>
    <x v="45"/>
    <s v="EU"/>
    <s v="Institute of Chartered Accountants in England and Wales"/>
    <x v="2"/>
    <n v="0"/>
    <n v="1"/>
    <n v="0"/>
    <n v="0"/>
    <n v="0"/>
    <n v="0"/>
    <n v="1"/>
    <n v="0"/>
    <n v="0"/>
    <n v="0"/>
    <n v="1"/>
    <n v="0"/>
    <n v="0"/>
    <n v="0"/>
    <n v="0"/>
    <n v="0"/>
    <n v="1"/>
    <n v="0"/>
    <n v="0"/>
    <n v="1"/>
    <n v="0"/>
    <n v="0"/>
    <n v="1"/>
    <n v="1"/>
  </r>
  <r>
    <s v="Cases\\ICAP"/>
    <x v="46"/>
    <s v="MEA"/>
    <s v="Institute of Chartered Accountants of Pakistan "/>
    <x v="2"/>
    <n v="1"/>
    <n v="0"/>
    <n v="0"/>
    <n v="0"/>
    <n v="0"/>
    <n v="0"/>
    <n v="0"/>
    <n v="0"/>
    <n v="0"/>
    <n v="0"/>
    <n v="0"/>
    <n v="0"/>
    <n v="0"/>
    <n v="0"/>
    <n v="0"/>
    <n v="0"/>
    <n v="0"/>
    <n v="0"/>
    <n v="1"/>
    <n v="0"/>
    <n v="0"/>
    <n v="0"/>
    <n v="0"/>
    <n v="0"/>
  </r>
  <r>
    <s v="Cases\\ICAS"/>
    <x v="47"/>
    <s v="EU"/>
    <s v="Institute of Chartered Accountants of Scotland"/>
    <x v="2"/>
    <n v="0"/>
    <n v="1"/>
    <n v="0"/>
    <n v="0"/>
    <n v="0"/>
    <n v="0"/>
    <n v="0"/>
    <n v="0"/>
    <n v="0"/>
    <n v="0"/>
    <n v="0"/>
    <n v="1"/>
    <n v="1"/>
    <n v="0"/>
    <n v="0"/>
    <n v="0"/>
    <n v="0"/>
    <n v="0"/>
    <n v="0"/>
    <n v="1"/>
    <n v="0"/>
    <n v="0"/>
    <n v="1"/>
    <n v="0"/>
  </r>
  <r>
    <s v="Cases\\ICGN"/>
    <x v="48"/>
    <s v="Global"/>
    <s v="International Corporate Governance Network"/>
    <x v="8"/>
    <n v="0"/>
    <n v="0"/>
    <n v="0"/>
    <n v="0"/>
    <n v="0"/>
    <n v="0"/>
    <n v="0"/>
    <n v="0"/>
    <n v="0"/>
    <n v="0"/>
    <n v="0"/>
    <n v="0"/>
    <n v="0"/>
    <n v="0"/>
    <n v="0"/>
    <n v="0"/>
    <n v="0"/>
    <n v="0"/>
    <n v="0"/>
    <n v="0"/>
    <n v="0"/>
    <n v="0"/>
    <n v="0"/>
    <n v="0"/>
  </r>
  <r>
    <s v="Cases\\ICJCE"/>
    <x v="49"/>
    <s v="EU"/>
    <s v="Instituto de Censores Jurados de Cuentas de España"/>
    <x v="2"/>
    <n v="0"/>
    <n v="1"/>
    <n v="0"/>
    <n v="0"/>
    <n v="0"/>
    <n v="0"/>
    <n v="0"/>
    <n v="0"/>
    <n v="0"/>
    <n v="0"/>
    <n v="1"/>
    <n v="0"/>
    <n v="0"/>
    <n v="0"/>
    <n v="0"/>
    <n v="0"/>
    <n v="0"/>
    <n v="0"/>
    <n v="0"/>
    <n v="0"/>
    <n v="1"/>
    <n v="0"/>
    <n v="0"/>
    <n v="0"/>
  </r>
  <r>
    <s v="Cases\\ICPAS"/>
    <x v="50"/>
    <s v="NA"/>
    <s v="Illinois CPA Society"/>
    <x v="2"/>
    <n v="1"/>
    <n v="0"/>
    <n v="0"/>
    <n v="0"/>
    <n v="0"/>
    <n v="0"/>
    <n v="0"/>
    <n v="0"/>
    <n v="0"/>
    <n v="0"/>
    <n v="0"/>
    <n v="0"/>
    <n v="0"/>
    <n v="0"/>
    <n v="0"/>
    <n v="0"/>
    <n v="0"/>
    <n v="0"/>
    <n v="0"/>
    <n v="0"/>
    <n v="1"/>
    <n v="0"/>
    <n v="0"/>
    <n v="0"/>
  </r>
  <r>
    <s v="Cases\\ICPAU"/>
    <x v="51"/>
    <s v="MEA"/>
    <s v="Institute of Certified Public Accountants of Uganda"/>
    <x v="2"/>
    <n v="0"/>
    <n v="1"/>
    <n v="0"/>
    <n v="0"/>
    <n v="0"/>
    <n v="0"/>
    <n v="0"/>
    <n v="0"/>
    <n v="0"/>
    <n v="0"/>
    <n v="1"/>
    <n v="0"/>
    <n v="0"/>
    <n v="0"/>
    <n v="0"/>
    <n v="1"/>
    <n v="0"/>
    <n v="0"/>
    <n v="1"/>
    <n v="0"/>
    <n v="0"/>
    <n v="0"/>
    <n v="0"/>
    <n v="0"/>
  </r>
  <r>
    <s v="Cases\\IDW"/>
    <x v="52"/>
    <s v="EU"/>
    <s v="Institut der Wirtschaftsprüfer in Deutschland"/>
    <x v="4"/>
    <n v="0"/>
    <n v="1"/>
    <n v="0"/>
    <n v="0"/>
    <n v="1"/>
    <n v="1"/>
    <n v="0"/>
    <n v="0"/>
    <n v="0"/>
    <n v="0"/>
    <n v="0"/>
    <n v="0"/>
    <n v="1"/>
    <n v="0"/>
    <n v="0"/>
    <n v="0"/>
    <n v="0"/>
    <n v="0"/>
    <n v="0"/>
    <n v="1"/>
    <n v="0"/>
    <n v="1"/>
    <n v="0"/>
    <n v="0"/>
  </r>
  <r>
    <s v="Cases\\IFIAR"/>
    <x v="53"/>
    <s v="Global"/>
    <s v="International Forum of Independent Audit Regulators"/>
    <x v="5"/>
    <n v="0"/>
    <n v="1"/>
    <n v="0"/>
    <n v="1"/>
    <n v="0"/>
    <n v="1"/>
    <n v="1"/>
    <n v="0"/>
    <n v="0"/>
    <n v="1"/>
    <n v="0"/>
    <n v="0"/>
    <n v="0"/>
    <n v="0"/>
    <n v="0"/>
    <n v="0"/>
    <n v="0"/>
    <n v="0"/>
    <n v="0"/>
    <n v="0"/>
    <n v="0"/>
    <n v="0"/>
    <n v="0"/>
    <n v="0"/>
  </r>
  <r>
    <s v="Cases\\IMCP"/>
    <x v="54"/>
    <s v="NA"/>
    <s v="Instituto Mexicano de Contadores Públicos, A.C."/>
    <x v="2"/>
    <n v="1"/>
    <n v="0"/>
    <n v="0"/>
    <n v="0"/>
    <n v="0"/>
    <n v="0"/>
    <n v="0"/>
    <n v="0"/>
    <n v="0"/>
    <n v="0"/>
    <n v="0"/>
    <n v="0"/>
    <n v="0"/>
    <n v="0"/>
    <n v="0"/>
    <n v="0"/>
    <n v="0"/>
    <n v="0"/>
    <n v="0"/>
    <n v="1"/>
    <n v="0"/>
    <n v="0"/>
    <n v="1"/>
    <n v="0"/>
  </r>
  <r>
    <s v="Cases\\IOSCO"/>
    <x v="55"/>
    <s v="Global"/>
    <s v="International Organization of Securities Commissions"/>
    <x v="5"/>
    <n v="1"/>
    <n v="0"/>
    <n v="0"/>
    <n v="0"/>
    <n v="0"/>
    <n v="1"/>
    <n v="0"/>
    <n v="0"/>
    <n v="0"/>
    <n v="0"/>
    <n v="0"/>
    <n v="0"/>
    <n v="0"/>
    <n v="0"/>
    <n v="0"/>
    <n v="0"/>
    <n v="0"/>
    <n v="0"/>
    <n v="0"/>
    <n v="0"/>
    <n v="0"/>
    <n v="0"/>
    <n v="0"/>
    <n v="0"/>
  </r>
  <r>
    <s v="Cases\\IRBA"/>
    <x v="56"/>
    <s v="MEA"/>
    <s v="Independent Regulatory Board for Auditors"/>
    <x v="7"/>
    <n v="0"/>
    <n v="1"/>
    <n v="0"/>
    <n v="1"/>
    <n v="1"/>
    <n v="0"/>
    <n v="0"/>
    <n v="0"/>
    <n v="0"/>
    <n v="0"/>
    <n v="0"/>
    <n v="1"/>
    <n v="0"/>
    <n v="0"/>
    <n v="0"/>
    <n v="0"/>
    <n v="0"/>
    <n v="0"/>
    <n v="0"/>
    <n v="1"/>
    <n v="0"/>
    <n v="0"/>
    <n v="1"/>
    <n v="0"/>
  </r>
  <r>
    <s v="Cases\\ISCA"/>
    <x v="57"/>
    <s v="AE"/>
    <s v="Institute of Singapore Chartered Accountants"/>
    <x v="2"/>
    <n v="0"/>
    <n v="0"/>
    <n v="0"/>
    <n v="0"/>
    <n v="0"/>
    <n v="0"/>
    <n v="0"/>
    <n v="0"/>
    <n v="0"/>
    <n v="0"/>
    <n v="0"/>
    <n v="0"/>
    <n v="0"/>
    <n v="0"/>
    <n v="0"/>
    <n v="0"/>
    <n v="0"/>
    <n v="0"/>
    <n v="0"/>
    <n v="0"/>
    <n v="0"/>
    <n v="0"/>
    <n v="0"/>
    <n v="0"/>
  </r>
  <r>
    <s v="Cases\\JICPA"/>
    <x v="58"/>
    <s v="AE"/>
    <s v="Japanese Institute of Certified Public Accountants"/>
    <x v="4"/>
    <n v="0"/>
    <n v="1"/>
    <n v="0"/>
    <n v="1"/>
    <n v="0"/>
    <n v="0"/>
    <n v="1"/>
    <n v="0"/>
    <n v="0"/>
    <n v="0"/>
    <n v="1"/>
    <n v="0"/>
    <n v="0"/>
    <n v="0"/>
    <n v="1"/>
    <n v="0"/>
    <n v="0"/>
    <n v="0"/>
    <n v="0"/>
    <n v="1"/>
    <n v="0"/>
    <n v="1"/>
    <n v="0"/>
    <n v="0"/>
  </r>
  <r>
    <s v="Cases\\KI"/>
    <x v="59"/>
    <s v="Global"/>
    <s v="Kreston International"/>
    <x v="6"/>
    <n v="0"/>
    <n v="1"/>
    <n v="0"/>
    <n v="0"/>
    <n v="0"/>
    <n v="0"/>
    <n v="0"/>
    <n v="0"/>
    <n v="0"/>
    <n v="0"/>
    <n v="0"/>
    <n v="0"/>
    <n v="0"/>
    <n v="0"/>
    <n v="0"/>
    <n v="0"/>
    <n v="0"/>
    <n v="0"/>
    <n v="1"/>
    <n v="0"/>
    <n v="0"/>
    <n v="0"/>
    <n v="0"/>
    <n v="0"/>
  </r>
  <r>
    <s v="Cases\\KPMG"/>
    <x v="60"/>
    <s v="Global"/>
    <s v="KPMG IFRG Limited"/>
    <x v="6"/>
    <n v="0"/>
    <n v="1"/>
    <n v="0"/>
    <n v="1"/>
    <n v="1"/>
    <n v="0"/>
    <n v="0"/>
    <n v="0"/>
    <n v="0"/>
    <n v="0"/>
    <n v="1"/>
    <n v="0"/>
    <n v="0"/>
    <n v="0"/>
    <n v="0"/>
    <n v="0"/>
    <n v="1"/>
    <n v="0"/>
    <n v="0"/>
    <n v="1"/>
    <n v="0"/>
    <n v="0"/>
    <n v="0"/>
    <n v="1"/>
  </r>
  <r>
    <s v="Cases\\KSW"/>
    <x v="61"/>
    <s v="EU"/>
    <s v="Kammer der Steuerberater und Wirtschaftsprüfer"/>
    <x v="4"/>
    <n v="0"/>
    <n v="0"/>
    <n v="0"/>
    <n v="0"/>
    <n v="0"/>
    <n v="0"/>
    <n v="0"/>
    <n v="0"/>
    <n v="0"/>
    <n v="0"/>
    <n v="0"/>
    <n v="0"/>
    <n v="1"/>
    <n v="0"/>
    <n v="0"/>
    <n v="0"/>
    <n v="0"/>
    <n v="0"/>
    <n v="0"/>
    <n v="0"/>
    <n v="0"/>
    <n v="0"/>
    <n v="0"/>
    <n v="0"/>
  </r>
  <r>
    <s v="Cases\\MAASB"/>
    <x v="62"/>
    <s v="AE"/>
    <s v="Auditing and Assurance Standards Board of Malaysian Institute of Accountants"/>
    <x v="4"/>
    <n v="0"/>
    <n v="1"/>
    <n v="0"/>
    <n v="0"/>
    <n v="1"/>
    <n v="0"/>
    <n v="0"/>
    <n v="0"/>
    <n v="0"/>
    <n v="0"/>
    <n v="0"/>
    <n v="0"/>
    <n v="0"/>
    <n v="0"/>
    <n v="0"/>
    <n v="0"/>
    <n v="0"/>
    <n v="0"/>
    <n v="0"/>
    <n v="1"/>
    <n v="0"/>
    <n v="0"/>
    <n v="1"/>
    <n v="0"/>
  </r>
  <r>
    <s v="Cases\\MGIW"/>
    <x v="63"/>
    <s v="Global"/>
    <s v="MGI Worldwide"/>
    <x v="6"/>
    <n v="0"/>
    <n v="1"/>
    <n v="0"/>
    <n v="0"/>
    <n v="0"/>
    <n v="1"/>
    <n v="0"/>
    <n v="0"/>
    <n v="0"/>
    <n v="0"/>
    <n v="0"/>
    <n v="0"/>
    <n v="0"/>
    <n v="0"/>
    <n v="0"/>
    <n v="0"/>
    <n v="0"/>
    <n v="0"/>
    <n v="0"/>
    <n v="1"/>
    <n v="0"/>
    <n v="0"/>
    <n v="1"/>
    <n v="0"/>
  </r>
  <r>
    <s v="Cases\\MICPA"/>
    <x v="64"/>
    <s v="AE"/>
    <s v="The Malaysian Institute of Certified Public Accountants"/>
    <x v="2"/>
    <n v="1"/>
    <n v="0"/>
    <n v="0"/>
    <n v="0"/>
    <n v="0"/>
    <n v="0"/>
    <n v="0"/>
    <n v="0"/>
    <n v="0"/>
    <n v="0"/>
    <n v="0"/>
    <n v="0"/>
    <n v="0"/>
    <n v="0"/>
    <n v="0"/>
    <n v="0"/>
    <n v="0"/>
    <n v="0"/>
    <n v="0"/>
    <n v="1"/>
    <n v="0"/>
    <n v="0"/>
    <n v="1"/>
    <n v="0"/>
  </r>
  <r>
    <s v="Cases\\MNP"/>
    <x v="65"/>
    <s v="NA"/>
    <s v="MNP LLP"/>
    <x v="6"/>
    <n v="0"/>
    <n v="1"/>
    <n v="0"/>
    <n v="1"/>
    <n v="1"/>
    <n v="0"/>
    <n v="0"/>
    <n v="0"/>
    <n v="0"/>
    <n v="0"/>
    <n v="0"/>
    <n v="0"/>
    <n v="0"/>
    <n v="0"/>
    <n v="0"/>
    <n v="0"/>
    <n v="0"/>
    <n v="0"/>
    <n v="1"/>
    <n v="0"/>
    <n v="0"/>
    <n v="0"/>
    <n v="0"/>
    <n v="0"/>
  </r>
  <r>
    <s v="Cases\\MSI"/>
    <x v="66"/>
    <s v="Global"/>
    <s v="Moore Stephens International"/>
    <x v="6"/>
    <n v="0"/>
    <n v="1"/>
    <n v="0"/>
    <n v="0"/>
    <n v="1"/>
    <n v="0"/>
    <n v="0"/>
    <n v="0"/>
    <n v="0"/>
    <n v="0"/>
    <n v="0"/>
    <n v="0"/>
    <n v="0"/>
    <n v="0"/>
    <n v="0"/>
    <n v="0"/>
    <n v="0"/>
    <n v="0"/>
    <n v="0"/>
    <n v="1"/>
    <n v="0"/>
    <n v="0"/>
    <n v="1"/>
    <n v="0"/>
  </r>
  <r>
    <s v="Cases\\MZRS"/>
    <x v="67"/>
    <s v="Global"/>
    <s v="MAZARS"/>
    <x v="6"/>
    <n v="0"/>
    <n v="1"/>
    <n v="0"/>
    <n v="0"/>
    <n v="0"/>
    <n v="0"/>
    <n v="0"/>
    <n v="0"/>
    <n v="0"/>
    <n v="0"/>
    <n v="1"/>
    <n v="0"/>
    <n v="0"/>
    <n v="0"/>
    <n v="0"/>
    <n v="0"/>
    <n v="1"/>
    <n v="1"/>
    <n v="0"/>
    <n v="1"/>
    <n v="0"/>
    <n v="0"/>
    <n v="1"/>
    <n v="0"/>
  </r>
  <r>
    <s v="Cases\\MZRSUS"/>
    <x v="68"/>
    <s v="NA"/>
    <s v="MAZARS USA LLP"/>
    <x v="6"/>
    <n v="0"/>
    <n v="1"/>
    <n v="0"/>
    <n v="1"/>
    <n v="1"/>
    <n v="0"/>
    <n v="0"/>
    <n v="0"/>
    <n v="0"/>
    <n v="0"/>
    <n v="1"/>
    <n v="0"/>
    <n v="0"/>
    <n v="0"/>
    <n v="0"/>
    <n v="0"/>
    <n v="1"/>
    <n v="0"/>
    <n v="0"/>
    <n v="1"/>
    <n v="0"/>
    <n v="0"/>
    <n v="1"/>
    <n v="1"/>
  </r>
  <r>
    <s v="Cases\\NAOM"/>
    <x v="69"/>
    <s v="EU"/>
    <s v="National Audit Office of Malta"/>
    <x v="1"/>
    <n v="0"/>
    <n v="1"/>
    <n v="0"/>
    <n v="0"/>
    <n v="1"/>
    <n v="0"/>
    <n v="0"/>
    <n v="0"/>
    <n v="0"/>
    <n v="0"/>
    <n v="0"/>
    <n v="0"/>
    <n v="0"/>
    <n v="0"/>
    <n v="0"/>
    <n v="0"/>
    <n v="0"/>
    <n v="0"/>
    <n v="1"/>
    <n v="0"/>
    <n v="0"/>
    <n v="0"/>
    <n v="0"/>
    <n v="0"/>
  </r>
  <r>
    <s v="Cases\\NASBA"/>
    <x v="70"/>
    <s v="NA"/>
    <s v="National Association of State Boards of Accountancy"/>
    <x v="7"/>
    <n v="1"/>
    <n v="0"/>
    <n v="0"/>
    <n v="0"/>
    <n v="0"/>
    <n v="0"/>
    <n v="0"/>
    <n v="0"/>
    <n v="0"/>
    <n v="0"/>
    <n v="0"/>
    <n v="0"/>
    <n v="0"/>
    <n v="0"/>
    <n v="0"/>
    <n v="0"/>
    <n v="0"/>
    <n v="0"/>
    <n v="1"/>
    <n v="0"/>
    <n v="0"/>
    <n v="0"/>
    <n v="0"/>
    <n v="0"/>
  </r>
  <r>
    <s v="Cases\\NBA"/>
    <x v="71"/>
    <s v="EU"/>
    <s v="Royal Nederlandse Beroepsorganisatie van Accountants"/>
    <x v="4"/>
    <n v="0"/>
    <n v="1"/>
    <n v="0"/>
    <n v="0"/>
    <n v="0"/>
    <n v="0"/>
    <n v="0"/>
    <n v="0"/>
    <n v="0"/>
    <n v="0"/>
    <n v="1"/>
    <n v="0"/>
    <n v="0"/>
    <n v="0"/>
    <n v="0"/>
    <n v="0"/>
    <n v="1"/>
    <n v="0"/>
    <n v="0"/>
    <n v="1"/>
    <n v="0"/>
    <n v="0"/>
    <n v="0"/>
    <n v="1"/>
  </r>
  <r>
    <s v="Cases\\NI"/>
    <x v="72"/>
    <s v="Global"/>
    <s v="NEXIA INTERNATIONAL"/>
    <x v="6"/>
    <n v="1"/>
    <n v="0"/>
    <n v="0"/>
    <n v="0"/>
    <n v="0"/>
    <n v="0"/>
    <n v="0"/>
    <n v="0"/>
    <n v="0"/>
    <n v="0"/>
    <n v="0"/>
    <n v="0"/>
    <n v="0"/>
    <n v="0"/>
    <n v="0"/>
    <n v="0"/>
    <n v="0"/>
    <n v="0"/>
    <n v="1"/>
    <n v="0"/>
    <n v="0"/>
    <n v="0"/>
    <n v="0"/>
    <n v="0"/>
  </r>
  <r>
    <s v="Cases\\NRF"/>
    <x v="73"/>
    <s v="EU"/>
    <s v="Nordic Federation of Public Accountants"/>
    <x v="2"/>
    <n v="0"/>
    <n v="1"/>
    <n v="0"/>
    <n v="0"/>
    <n v="0"/>
    <n v="0"/>
    <n v="0"/>
    <n v="1"/>
    <n v="0"/>
    <n v="0"/>
    <n v="0"/>
    <n v="1"/>
    <n v="1"/>
    <n v="0"/>
    <n v="0"/>
    <n v="0"/>
    <n v="0"/>
    <n v="0"/>
    <n v="0"/>
    <n v="1"/>
    <n v="0"/>
    <n v="1"/>
    <n v="0"/>
    <n v="1"/>
  </r>
  <r>
    <s v="Cases\\NSW"/>
    <x v="74"/>
    <s v="EU"/>
    <s v="Nexia Smith &amp; Williamson"/>
    <x v="6"/>
    <n v="0"/>
    <n v="1"/>
    <n v="0"/>
    <n v="0"/>
    <n v="1"/>
    <n v="0"/>
    <n v="0"/>
    <n v="0"/>
    <n v="0"/>
    <n v="0"/>
    <n v="0"/>
    <n v="0"/>
    <n v="0"/>
    <n v="0"/>
    <n v="0"/>
    <n v="0"/>
    <n v="0"/>
    <n v="0"/>
    <n v="1"/>
    <n v="0"/>
    <n v="0"/>
    <n v="0"/>
    <n v="0"/>
    <n v="0"/>
  </r>
  <r>
    <s v="Cases\\NYSSCPA"/>
    <x v="75"/>
    <s v="NA"/>
    <s v="Unassigned"/>
    <x v="2"/>
    <n v="1"/>
    <n v="0"/>
    <n v="0"/>
    <n v="0"/>
    <n v="0"/>
    <n v="0"/>
    <n v="0"/>
    <n v="0"/>
    <n v="0"/>
    <n v="0"/>
    <n v="0"/>
    <n v="0"/>
    <n v="0"/>
    <n v="0"/>
    <n v="0"/>
    <n v="0"/>
    <n v="0"/>
    <n v="0"/>
    <n v="1"/>
    <n v="0"/>
    <n v="0"/>
    <n v="0"/>
    <n v="0"/>
    <n v="0"/>
  </r>
  <r>
    <s v="Cases\\NZAASB"/>
    <x v="76"/>
    <s v="AE"/>
    <s v="New Zealand Auditing and Assurance Standards Board"/>
    <x v="4"/>
    <n v="0"/>
    <n v="1"/>
    <n v="0"/>
    <n v="1"/>
    <n v="0"/>
    <n v="0"/>
    <n v="0"/>
    <n v="0"/>
    <n v="0"/>
    <n v="0"/>
    <n v="0"/>
    <n v="0"/>
    <n v="0"/>
    <n v="0"/>
    <n v="0"/>
    <n v="0"/>
    <n v="0"/>
    <n v="0"/>
    <n v="0"/>
    <n v="1"/>
    <n v="0"/>
    <n v="0"/>
    <n v="1"/>
    <n v="0"/>
  </r>
  <r>
    <s v="Cases\\OAGA"/>
    <x v="77"/>
    <s v="NA"/>
    <s v="Office of the Auditor General of Alberta  "/>
    <x v="1"/>
    <n v="1"/>
    <n v="0"/>
    <n v="0"/>
    <n v="0"/>
    <n v="0"/>
    <n v="0"/>
    <n v="0"/>
    <n v="0"/>
    <n v="0"/>
    <n v="1"/>
    <n v="0"/>
    <n v="0"/>
    <n v="0"/>
    <n v="0"/>
    <n v="0"/>
    <n v="0"/>
    <n v="0"/>
    <n v="0"/>
    <n v="0"/>
    <n v="1"/>
    <n v="0"/>
    <n v="0"/>
    <n v="0"/>
    <n v="1"/>
  </r>
  <r>
    <s v="Cases\\OAGC"/>
    <x v="78"/>
    <s v="NA"/>
    <s v="Office of the Auditor General of Canada"/>
    <x v="1"/>
    <n v="0"/>
    <n v="1"/>
    <n v="0"/>
    <n v="0"/>
    <n v="0"/>
    <n v="0"/>
    <n v="0"/>
    <n v="0"/>
    <n v="0"/>
    <n v="0"/>
    <n v="0"/>
    <n v="0"/>
    <n v="0"/>
    <n v="0"/>
    <n v="0"/>
    <n v="0"/>
    <n v="0"/>
    <n v="0"/>
    <n v="1"/>
    <n v="0"/>
    <n v="0"/>
    <n v="0"/>
    <n v="0"/>
    <n v="0"/>
  </r>
  <r>
    <s v="Cases\\OAGNZ"/>
    <x v="79"/>
    <s v="AE"/>
    <s v="Office of the Auditor-General (New Zealand)"/>
    <x v="1"/>
    <n v="1"/>
    <n v="0"/>
    <n v="0"/>
    <n v="0"/>
    <n v="0"/>
    <n v="0"/>
    <n v="0"/>
    <n v="0"/>
    <n v="0"/>
    <n v="0"/>
    <n v="0"/>
    <n v="0"/>
    <n v="0"/>
    <n v="0"/>
    <n v="0"/>
    <n v="0"/>
    <n v="0"/>
    <n v="0"/>
    <n v="0"/>
    <n v="0"/>
    <n v="0"/>
    <n v="0"/>
    <n v="0"/>
    <n v="0"/>
  </r>
  <r>
    <s v="Cases\\PAS"/>
    <x v="80"/>
    <s v="NA"/>
    <s v="Provincial Auditor Saskatchewan"/>
    <x v="1"/>
    <n v="1"/>
    <n v="0"/>
    <n v="0"/>
    <n v="0"/>
    <n v="0"/>
    <n v="0"/>
    <n v="0"/>
    <n v="0"/>
    <n v="0"/>
    <n v="0"/>
    <n v="0"/>
    <n v="0"/>
    <n v="0"/>
    <n v="0"/>
    <n v="0"/>
    <n v="0"/>
    <n v="0"/>
    <n v="0"/>
    <n v="1"/>
    <n v="0"/>
    <n v="0"/>
    <n v="0"/>
    <n v="0"/>
    <n v="0"/>
  </r>
  <r>
    <s v="Cases\\PKFI"/>
    <x v="81"/>
    <s v="Global"/>
    <s v="PKF International Limited"/>
    <x v="6"/>
    <n v="0"/>
    <n v="1"/>
    <n v="0"/>
    <n v="0"/>
    <n v="1"/>
    <n v="0"/>
    <n v="0"/>
    <n v="0"/>
    <n v="0"/>
    <n v="0"/>
    <n v="1"/>
    <n v="0"/>
    <n v="0"/>
    <n v="0"/>
    <n v="0"/>
    <n v="0"/>
    <n v="1"/>
    <n v="0"/>
    <n v="1"/>
    <n v="0"/>
    <n v="0"/>
    <n v="0"/>
    <n v="0"/>
    <n v="0"/>
  </r>
  <r>
    <s v="Cases\\PKFSA"/>
    <x v="82"/>
    <s v="MEA"/>
    <s v="PKF South Africa"/>
    <x v="6"/>
    <n v="0"/>
    <n v="1"/>
    <n v="0"/>
    <n v="0"/>
    <n v="0"/>
    <n v="0"/>
    <n v="0"/>
    <n v="0"/>
    <n v="0"/>
    <n v="0"/>
    <n v="0"/>
    <n v="0"/>
    <n v="0"/>
    <n v="0"/>
    <n v="0"/>
    <n v="0"/>
    <n v="0"/>
    <n v="0"/>
    <n v="1"/>
    <n v="0"/>
    <n v="0"/>
    <n v="0"/>
    <n v="0"/>
    <n v="0"/>
  </r>
  <r>
    <s v="Cases\\PwC"/>
    <x v="83"/>
    <s v="Global"/>
    <s v="PriceWaterhouseCoopers"/>
    <x v="6"/>
    <n v="0"/>
    <n v="1"/>
    <n v="0"/>
    <n v="1"/>
    <n v="1"/>
    <n v="1"/>
    <n v="1"/>
    <n v="1"/>
    <n v="1"/>
    <n v="0"/>
    <n v="0"/>
    <n v="0"/>
    <n v="1"/>
    <n v="0"/>
    <n v="0"/>
    <n v="0"/>
    <n v="0"/>
    <n v="0"/>
    <n v="0"/>
    <n v="1"/>
    <n v="0"/>
    <n v="0"/>
    <n v="0"/>
    <n v="1"/>
  </r>
  <r>
    <s v="Cases\\RSMI"/>
    <x v="84"/>
    <s v="Global"/>
    <s v="RSM International"/>
    <x v="6"/>
    <n v="1"/>
    <n v="0"/>
    <n v="0"/>
    <n v="0"/>
    <n v="0"/>
    <n v="0"/>
    <n v="0"/>
    <n v="0"/>
    <n v="0"/>
    <n v="0"/>
    <n v="0"/>
    <n v="0"/>
    <n v="0"/>
    <n v="0"/>
    <n v="0"/>
    <n v="0"/>
    <n v="0"/>
    <n v="0"/>
    <n v="0"/>
    <n v="1"/>
    <n v="0"/>
    <n v="0"/>
    <n v="1"/>
    <n v="0"/>
  </r>
  <r>
    <s v="Cases\\SAICA"/>
    <x v="85"/>
    <s v="MEA"/>
    <s v="South African Institute of Chartered Accountants"/>
    <x v="2"/>
    <n v="0"/>
    <n v="1"/>
    <n v="0"/>
    <n v="1"/>
    <n v="0"/>
    <n v="0"/>
    <n v="1"/>
    <n v="0"/>
    <n v="1"/>
    <n v="0"/>
    <n v="1"/>
    <n v="0"/>
    <n v="0"/>
    <n v="0"/>
    <n v="1"/>
    <n v="0"/>
    <n v="0"/>
    <n v="0"/>
    <n v="0"/>
    <n v="1"/>
    <n v="0"/>
    <n v="1"/>
    <n v="0"/>
    <n v="0"/>
  </r>
  <r>
    <s v="Cases\\SMPC"/>
    <x v="86"/>
    <s v="Global"/>
    <s v="IFAC Small and Medium Practices Committee"/>
    <x v="2"/>
    <n v="0"/>
    <n v="1"/>
    <n v="0"/>
    <n v="1"/>
    <n v="0"/>
    <n v="0"/>
    <n v="0"/>
    <n v="0"/>
    <n v="0"/>
    <n v="0"/>
    <n v="0"/>
    <n v="0"/>
    <n v="1"/>
    <n v="0"/>
    <n v="0"/>
    <n v="0"/>
    <n v="0"/>
    <n v="0"/>
    <n v="0"/>
    <n v="1"/>
    <n v="0"/>
    <n v="1"/>
    <n v="0"/>
    <n v="0"/>
  </r>
  <r>
    <s v="Cases\\SNAO"/>
    <x v="87"/>
    <s v="EU"/>
    <s v="Swedish National Audit Office"/>
    <x v="1"/>
    <n v="0"/>
    <n v="1"/>
    <n v="0"/>
    <n v="0"/>
    <n v="1"/>
    <n v="0"/>
    <n v="0"/>
    <n v="0"/>
    <n v="0"/>
    <n v="0"/>
    <n v="0"/>
    <n v="0"/>
    <n v="0"/>
    <n v="0"/>
    <n v="0"/>
    <n v="0"/>
    <n v="0"/>
    <n v="0"/>
    <n v="0"/>
    <n v="0"/>
    <n v="0"/>
    <n v="0"/>
    <n v="0"/>
    <n v="0"/>
  </r>
  <r>
    <s v="Cases\\UNSW"/>
    <x v="88"/>
    <s v="AE"/>
    <s v="UNSW Audit Research Network"/>
    <x v="0"/>
    <n v="0"/>
    <n v="0"/>
    <n v="0"/>
    <n v="0"/>
    <n v="0"/>
    <n v="0"/>
    <n v="0"/>
    <n v="0"/>
    <n v="0"/>
    <n v="0"/>
    <n v="0"/>
    <n v="0"/>
    <n v="0"/>
    <n v="0"/>
    <n v="0"/>
    <n v="0"/>
    <n v="0"/>
    <n v="0"/>
    <n v="0"/>
    <n v="0"/>
    <n v="0"/>
    <n v="0"/>
    <n v="0"/>
    <n v="0"/>
  </r>
  <r>
    <s v="Cases\\VM"/>
    <x v="89"/>
    <s v="EU"/>
    <s v="Vera Massarygina"/>
    <x v="3"/>
    <n v="0"/>
    <n v="0"/>
    <n v="0"/>
    <n v="0"/>
    <n v="0"/>
    <n v="0"/>
    <n v="0"/>
    <n v="0"/>
    <n v="0"/>
    <n v="0"/>
    <n v="0"/>
    <n v="0"/>
    <n v="0"/>
    <n v="0"/>
    <n v="0"/>
    <n v="0"/>
    <n v="0"/>
    <n v="0"/>
    <n v="1"/>
    <n v="0"/>
    <n v="0"/>
    <n v="0"/>
    <n v="0"/>
    <n v="0"/>
  </r>
  <r>
    <s v="Cases\\WPK"/>
    <x v="90"/>
    <s v="EU"/>
    <s v="Wirtschaftsprüferkammer"/>
    <x v="2"/>
    <n v="0"/>
    <n v="1"/>
    <n v="0"/>
    <n v="0"/>
    <n v="0"/>
    <n v="0"/>
    <n v="0"/>
    <n v="0"/>
    <n v="0"/>
    <n v="0"/>
    <n v="0"/>
    <n v="0"/>
    <n v="0"/>
    <n v="0"/>
    <n v="0"/>
    <n v="0"/>
    <n v="0"/>
    <n v="0"/>
    <n v="0"/>
    <n v="1"/>
    <n v="0"/>
    <n v="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16E04-75E6-4ADA-A2EF-991D999985C1}" name="PivotTable3"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2:D22"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10">
    <i>
      <x/>
    </i>
    <i>
      <x v="1"/>
    </i>
    <i>
      <x v="2"/>
    </i>
    <i>
      <x v="3"/>
    </i>
    <i>
      <x v="4"/>
    </i>
    <i>
      <x v="5"/>
    </i>
    <i>
      <x v="6"/>
    </i>
    <i>
      <x v="7"/>
    </i>
    <i>
      <x v="8"/>
    </i>
    <i t="grand">
      <x/>
    </i>
  </rowItems>
  <colFields count="1">
    <field x="-2"/>
  </colFields>
  <colItems count="3">
    <i>
      <x/>
    </i>
    <i i="1">
      <x v="1"/>
    </i>
    <i i="2">
      <x v="2"/>
    </i>
  </colItems>
  <dataFields count="3">
    <dataField name="Sum of 1. Q1 - Agree" fld="5" baseField="0" baseItem="0"/>
    <dataField name="Sum of 2. Q1 - Agree But With Further Comments" fld="6" baseField="0" baseItem="0"/>
    <dataField name="Sum of 3. Q1 Disagree" fld="7" baseField="0" baseItem="0"/>
  </dataFields>
  <formats count="18">
    <format dxfId="132">
      <pivotArea type="all" dataOnly="0" outline="0" fieldPosition="0"/>
    </format>
    <format dxfId="131">
      <pivotArea outline="0" collapsedLevelsAreSubtotals="1" fieldPosition="0"/>
    </format>
    <format dxfId="130">
      <pivotArea field="4" type="button" dataOnly="0" labelOnly="1" outline="0" axis="axisRow" fieldPosition="0"/>
    </format>
    <format dxfId="129">
      <pivotArea dataOnly="0" labelOnly="1" fieldPosition="0">
        <references count="1">
          <reference field="4" count="0"/>
        </references>
      </pivotArea>
    </format>
    <format dxfId="128">
      <pivotArea dataOnly="0" labelOnly="1" grandRow="1" outline="0" fieldPosition="0"/>
    </format>
    <format dxfId="127">
      <pivotArea dataOnly="0" labelOnly="1" outline="0" fieldPosition="0">
        <references count="1">
          <reference field="4294967294" count="3">
            <x v="0"/>
            <x v="1"/>
            <x v="2"/>
          </reference>
        </references>
      </pivotArea>
    </format>
    <format dxfId="126">
      <pivotArea type="all" dataOnly="0" outline="0" fieldPosition="0"/>
    </format>
    <format dxfId="125">
      <pivotArea outline="0" collapsedLevelsAreSubtotals="1" fieldPosition="0"/>
    </format>
    <format dxfId="124">
      <pivotArea field="4" type="button" dataOnly="0" labelOnly="1" outline="0" axis="axisRow" fieldPosition="0"/>
    </format>
    <format dxfId="123">
      <pivotArea dataOnly="0" labelOnly="1" fieldPosition="0">
        <references count="1">
          <reference field="4" count="0"/>
        </references>
      </pivotArea>
    </format>
    <format dxfId="122">
      <pivotArea dataOnly="0" labelOnly="1" grandRow="1" outline="0" fieldPosition="0"/>
    </format>
    <format dxfId="121">
      <pivotArea dataOnly="0" labelOnly="1" outline="0" fieldPosition="0">
        <references count="1">
          <reference field="4294967294" count="3">
            <x v="0"/>
            <x v="1"/>
            <x v="2"/>
          </reference>
        </references>
      </pivotArea>
    </format>
    <format dxfId="120">
      <pivotArea dataOnly="0" labelOnly="1" outline="0" fieldPosition="0">
        <references count="1">
          <reference field="4294967294" count="1">
            <x v="0"/>
          </reference>
        </references>
      </pivotArea>
    </format>
    <format dxfId="119">
      <pivotArea dataOnly="0" labelOnly="1" outline="0" fieldPosition="0">
        <references count="1">
          <reference field="4294967294" count="1">
            <x v="0"/>
          </reference>
        </references>
      </pivotArea>
    </format>
    <format dxfId="118">
      <pivotArea dataOnly="0" labelOnly="1" outline="0" fieldPosition="0">
        <references count="1">
          <reference field="4294967294" count="1">
            <x v="1"/>
          </reference>
        </references>
      </pivotArea>
    </format>
    <format dxfId="117">
      <pivotArea dataOnly="0" labelOnly="1" outline="0" fieldPosition="0">
        <references count="1">
          <reference field="4294967294" count="1">
            <x v="2"/>
          </reference>
        </references>
      </pivotArea>
    </format>
    <format dxfId="116">
      <pivotArea field="4" type="button" dataOnly="0" labelOnly="1" outline="0" axis="axisRow" fieldPosition="0"/>
    </format>
    <format dxfId="11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B7F76-EB57-4296-A19D-75F4343C47E3}" name="PivotTable4"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9:J19"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Sum of 1. Q1 - Agree" fld="5" baseField="0" baseItem="0"/>
    <dataField name="Sum of 2. Q1 - Agree But With Further Comments" fld="6" baseField="0" baseItem="0"/>
    <dataField name="Sum of A.  Stand-back Requirement" fld="8" baseField="0" baseItem="0"/>
    <dataField name="Sum of B. Team Members' Responsibilities" fld="9" baseField="0" baseItem="0"/>
    <dataField name="Sum of C. NTE of EP's Involvement" fld="10" baseField="0" baseItem="0"/>
    <dataField name="Sum of D. Paragraphs 11-13 (Specific References and Suggestions)" fld="11" baseField="0" baseItem="0"/>
    <dataField name="Sum of E. Shared Responsibility" fld="12" baseField="0" baseItem="0"/>
    <dataField name="Sum of F. Need for Guidance" fld="13" baseField="0" baseItem="0"/>
    <dataField name="Sum of 3. Q1 Disagree" fld="7" baseField="0" baseItem="0"/>
  </dataFields>
  <formats count="17">
    <format dxfId="114">
      <pivotArea type="all" dataOnly="0" outline="0" fieldPosition="0"/>
    </format>
    <format dxfId="113">
      <pivotArea outline="0" collapsedLevelsAreSubtotals="1" fieldPosition="0"/>
    </format>
    <format dxfId="112">
      <pivotArea field="4" type="button" dataOnly="0" labelOnly="1" outline="0" axis="axisRow" fieldPosition="0"/>
    </format>
    <format dxfId="111">
      <pivotArea dataOnly="0" labelOnly="1" fieldPosition="0">
        <references count="1">
          <reference field="4" count="0"/>
        </references>
      </pivotArea>
    </format>
    <format dxfId="110">
      <pivotArea dataOnly="0" labelOnly="1" grandRow="1" outline="0" fieldPosition="0"/>
    </format>
    <format dxfId="109">
      <pivotArea dataOnly="0" labelOnly="1" outline="0" fieldPosition="0">
        <references count="1">
          <reference field="4294967294" count="3">
            <x v="0"/>
            <x v="1"/>
            <x v="8"/>
          </reference>
        </references>
      </pivotArea>
    </format>
    <format dxfId="108">
      <pivotArea type="all" dataOnly="0" outline="0" fieldPosition="0"/>
    </format>
    <format dxfId="107">
      <pivotArea outline="0" collapsedLevelsAreSubtotals="1" fieldPosition="0"/>
    </format>
    <format dxfId="106">
      <pivotArea field="4" type="button" dataOnly="0" labelOnly="1" outline="0" axis="axisRow" fieldPosition="0"/>
    </format>
    <format dxfId="105">
      <pivotArea dataOnly="0" labelOnly="1" fieldPosition="0">
        <references count="1">
          <reference field="4" count="0"/>
        </references>
      </pivotArea>
    </format>
    <format dxfId="104">
      <pivotArea dataOnly="0" labelOnly="1" grandRow="1" outline="0" fieldPosition="0"/>
    </format>
    <format dxfId="103">
      <pivotArea dataOnly="0" labelOnly="1" outline="0" fieldPosition="0">
        <references count="1">
          <reference field="4294967294" count="3">
            <x v="0"/>
            <x v="1"/>
            <x v="8"/>
          </reference>
        </references>
      </pivotArea>
    </format>
    <format dxfId="102">
      <pivotArea field="4" type="button" dataOnly="0" labelOnly="1" outline="0" axis="axisRow" fieldPosition="0"/>
    </format>
    <format dxfId="101">
      <pivotArea dataOnly="0" labelOnly="1" outline="0" fieldPosition="0">
        <references count="1">
          <reference field="4294967294" count="9">
            <x v="0"/>
            <x v="1"/>
            <x v="2"/>
            <x v="3"/>
            <x v="4"/>
            <x v="5"/>
            <x v="6"/>
            <x v="7"/>
            <x v="8"/>
          </reference>
        </references>
      </pivotArea>
    </format>
    <format dxfId="100">
      <pivotArea dataOnly="0" labelOnly="1" outline="0" fieldPosition="0">
        <references count="1">
          <reference field="4294967294" count="1">
            <x v="8"/>
          </reference>
        </references>
      </pivotArea>
    </format>
    <format dxfId="99">
      <pivotArea dataOnly="0" labelOnly="1" outline="0" fieldPosition="0">
        <references count="1">
          <reference field="4294967294" count="7">
            <x v="1"/>
            <x v="2"/>
            <x v="3"/>
            <x v="4"/>
            <x v="5"/>
            <x v="6"/>
            <x v="7"/>
          </reference>
        </references>
      </pivotArea>
    </format>
    <format dxfId="9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CA80C-5E14-4905-ACC5-F730D54BB5D2}" name="PivotTable5"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2:E22"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10">
    <i>
      <x/>
    </i>
    <i>
      <x v="1"/>
    </i>
    <i>
      <x v="2"/>
    </i>
    <i>
      <x v="3"/>
    </i>
    <i>
      <x v="4"/>
    </i>
    <i>
      <x v="5"/>
    </i>
    <i>
      <x v="6"/>
    </i>
    <i>
      <x v="7"/>
    </i>
    <i>
      <x v="8"/>
    </i>
    <i t="grand">
      <x/>
    </i>
  </rowItems>
  <colFields count="1">
    <field x="-2"/>
  </colFields>
  <colItems count="4">
    <i>
      <x/>
    </i>
    <i i="1">
      <x v="1"/>
    </i>
    <i i="2">
      <x v="2"/>
    </i>
    <i i="3">
      <x v="3"/>
    </i>
  </colItems>
  <dataFields count="4">
    <dataField name="Sum of 1. Q4A - Agree with Definition" fld="14" baseField="0" baseItem="0"/>
    <dataField name="Sum of 2. Q4A - Agree with Definition But With Further Comments" fld="15" baseField="0" baseItem="0"/>
    <dataField name="Sum of 3. Q4A - Needs Clarity" fld="16" baseField="0" baseItem="0"/>
    <dataField name="Sum of 4. Q4A - Disagree" fld="17" baseField="0" baseItem="0"/>
  </dataFields>
  <formats count="18">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type="all" dataOnly="0" outline="0" fieldPosition="0"/>
    </format>
    <format dxfId="91">
      <pivotArea outline="0" collapsedLevelsAreSubtotals="1"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grandRow="1" outline="0" fieldPosition="0"/>
    </format>
    <format dxfId="87">
      <pivotArea dataOnly="0" labelOnly="1" outline="0" fieldPosition="0">
        <references count="1">
          <reference field="4294967294" count="1">
            <x v="0"/>
          </reference>
        </references>
      </pivotArea>
    </format>
    <format dxfId="86">
      <pivotArea dataOnly="0" labelOnly="1" outline="0" fieldPosition="0">
        <references count="1">
          <reference field="4294967294" count="1">
            <x v="1"/>
          </reference>
        </references>
      </pivotArea>
    </format>
    <format dxfId="85">
      <pivotArea field="4" type="button" dataOnly="0" labelOnly="1" outline="0" axis="axisRow" fieldPosition="0"/>
    </format>
    <format dxfId="84">
      <pivotArea dataOnly="0" labelOnly="1" outline="0" fieldPosition="0">
        <references count="1">
          <reference field="4294967294" count="2">
            <x v="0"/>
            <x v="1"/>
          </reference>
        </references>
      </pivotArea>
    </format>
    <format dxfId="83">
      <pivotArea dataOnly="0" labelOnly="1" outline="0" fieldPosition="0">
        <references count="1">
          <reference field="4294967294" count="1">
            <x v="2"/>
          </reference>
        </references>
      </pivotArea>
    </format>
    <format dxfId="82">
      <pivotArea dataOnly="0" labelOnly="1" outline="0" fieldPosition="0">
        <references count="1">
          <reference field="4294967294" count="1">
            <x v="3"/>
          </reference>
        </references>
      </pivotArea>
    </format>
    <format dxfId="81">
      <pivotArea dataOnly="0" labelOnly="1" outline="0" fieldPosition="0">
        <references count="1">
          <reference field="4294967294" count="1">
            <x v="3"/>
          </reference>
        </references>
      </pivotArea>
    </format>
    <format dxfId="8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2BB84-E085-446A-A010-731816CE5879}" name="PivotTable6"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0:J20"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2">
    <field x="4"/>
    <field x="1"/>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Sum of 1. Q4 - Agree with Definition" fld="14" baseField="0" baseItem="0"/>
    <dataField name="Sum of 2. Q4 - Agree with Definition But With Further Comments" fld="15" baseField="0" baseItem="0"/>
    <dataField name="Sum of A. Inclusion of Component Auditors" fld="18" baseField="0" baseItem="0"/>
    <dataField name="Sum of B. Definition of Audit Procedures" fld="19" baseField="0" baseItem="0"/>
    <dataField name="Sum of C. Applicability to Other Parties" fld="20" baseField="0" baseItem="0"/>
    <dataField name="Sum of D. Practical Implications" fld="21" baseField="0" baseItem="0"/>
    <dataField name="Sum of E. Need for Clarity or Guidance" fld="22" baseField="0" baseItem="0"/>
    <dataField name="Sum of 3. Q4 - Needs Clarity" fld="16" baseField="0" baseItem="0"/>
    <dataField name="Sum of 4. Q4 - Disagree" fld="17" baseField="0" baseItem="0"/>
  </dataFields>
  <formats count="17">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0"/>
        </references>
      </pivotArea>
    </format>
    <format dxfId="75">
      <pivotArea dataOnly="0" labelOnly="1" grandRow="1" outline="0" fieldPosition="0"/>
    </format>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grandRow="1" outline="0" fieldPosition="0"/>
    </format>
    <format dxfId="69">
      <pivotArea dataOnly="0" labelOnly="1" outline="0" fieldPosition="0">
        <references count="1">
          <reference field="4294967294" count="1">
            <x v="0"/>
          </reference>
        </references>
      </pivotArea>
    </format>
    <format dxfId="68">
      <pivotArea dataOnly="0" labelOnly="1" outline="0" fieldPosition="0">
        <references count="1">
          <reference field="4294967294" count="7">
            <x v="0"/>
            <x v="1"/>
            <x v="2"/>
            <x v="3"/>
            <x v="4"/>
            <x v="5"/>
            <x v="6"/>
          </reference>
        </references>
      </pivotArea>
    </format>
    <format dxfId="67">
      <pivotArea dataOnly="0" labelOnly="1" outline="0" fieldPosition="0">
        <references count="1">
          <reference field="4294967294" count="6">
            <x v="1"/>
            <x v="2"/>
            <x v="3"/>
            <x v="4"/>
            <x v="5"/>
            <x v="6"/>
          </reference>
        </references>
      </pivotArea>
    </format>
    <format dxfId="66">
      <pivotArea field="4" type="button" dataOnly="0" labelOnly="1" outline="0" axis="axisRow" fieldPosition="0"/>
    </format>
    <format dxfId="65">
      <pivotArea dataOnly="0" labelOnly="1" outline="0" fieldPosition="0">
        <references count="1">
          <reference field="4294967294" count="9">
            <x v="0"/>
            <x v="1"/>
            <x v="2"/>
            <x v="3"/>
            <x v="4"/>
            <x v="5"/>
            <x v="6"/>
            <x v="7"/>
            <x v="8"/>
          </reference>
        </references>
      </pivotArea>
    </format>
    <format dxfId="64">
      <pivotArea dataOnly="0" labelOnly="1" outline="0" fieldPosition="0">
        <references count="1">
          <reference field="4294967294" count="1">
            <x v="8"/>
          </reference>
        </references>
      </pivotArea>
    </format>
    <format dxfId="63">
      <pivotArea dataOnly="0" labelOnly="1"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98D29-66B9-4E39-9525-B156767EFD7A}" name="PivotTable7"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1:D21"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2">
    <field x="4"/>
    <field x="1"/>
  </rowFields>
  <rowItems count="10">
    <i>
      <x/>
    </i>
    <i>
      <x v="1"/>
    </i>
    <i>
      <x v="2"/>
    </i>
    <i>
      <x v="3"/>
    </i>
    <i>
      <x v="4"/>
    </i>
    <i>
      <x v="5"/>
    </i>
    <i>
      <x v="6"/>
    </i>
    <i>
      <x v="7"/>
    </i>
    <i>
      <x v="8"/>
    </i>
    <i t="grand">
      <x/>
    </i>
  </rowItems>
  <colFields count="1">
    <field x="-2"/>
  </colFields>
  <colItems count="3">
    <i>
      <x/>
    </i>
    <i i="1">
      <x v="1"/>
    </i>
    <i i="2">
      <x v="2"/>
    </i>
  </colItems>
  <dataFields count="3">
    <dataField name="Sum of 1. Q7 - Agree" fld="23" baseField="0" baseItem="0"/>
    <dataField name="Sum of 2. Q7 - Agree But With Further Comments" fld="24" baseField="0" baseItem="0"/>
    <dataField name="Sum of 3. Q7 - Disagree" fld="25" baseField="0" baseItem="0"/>
  </dataFields>
  <formats count="15">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type="all" dataOnly="0" outline="0" fieldPosition="0"/>
    </format>
    <format dxfId="56">
      <pivotArea outline="0" collapsedLevelsAreSubtotals="1" fieldPosition="0"/>
    </format>
    <format dxfId="55">
      <pivotArea field="4" type="button" dataOnly="0" labelOnly="1" outline="0" axis="axisRow" fieldPosition="0"/>
    </format>
    <format dxfId="54">
      <pivotArea dataOnly="0" labelOnly="1" fieldPosition="0">
        <references count="1">
          <reference field="4" count="0"/>
        </references>
      </pivotArea>
    </format>
    <format dxfId="53">
      <pivotArea dataOnly="0" labelOnly="1" grandRow="1" outline="0" fieldPosition="0"/>
    </format>
    <format dxfId="52">
      <pivotArea dataOnly="0" labelOnly="1" outline="0" fieldPosition="0">
        <references count="1">
          <reference field="4294967294" count="1">
            <x v="2"/>
          </reference>
        </references>
      </pivotArea>
    </format>
    <format dxfId="51">
      <pivotArea dataOnly="0" labelOnly="1" outline="0" fieldPosition="0">
        <references count="1">
          <reference field="4294967294" count="1">
            <x v="1"/>
          </reference>
        </references>
      </pivotArea>
    </format>
    <format dxfId="50">
      <pivotArea dataOnly="0" labelOnly="1" outline="0" fieldPosition="0">
        <references count="1">
          <reference field="4294967294" count="1">
            <x v="0"/>
          </reference>
        </references>
      </pivotArea>
    </format>
    <format dxfId="49">
      <pivotArea field="4" type="button" dataOnly="0" labelOnly="1" outline="0" axis="axisRow" fieldPosition="0"/>
    </format>
    <format dxfId="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76596D-9181-4FD7-8596-C6B9736731E7}" name="PivotTable8"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9:G19" firstHeaderRow="0" firstDataRow="1" firstDataCol="1"/>
  <pivotFields count="29">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2">
    <field x="4"/>
    <field x="1"/>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Sum of 1. Q7 - Agree" fld="23" baseField="0" baseItem="0"/>
    <dataField name="Sum of 2. Q7 - Agree But With Further Comments" fld="24" baseField="0" baseItem="0"/>
    <dataField name="Sum of A. Identify Conditional Requirements" fld="26" baseField="0" baseItem="0"/>
    <dataField name="Sum of B. Need for Guidance" fld="27" baseField="0" baseItem="0"/>
    <dataField name="Sum of C. Upward Scalability" fld="28" baseField="0" baseItem="0"/>
    <dataField name="Sum of 3. Q7 - Disagree" fld="25" baseField="0" baseItem="0"/>
  </dataFields>
  <formats count="15">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field="4" type="button" dataOnly="0" labelOnly="1" outline="0" axis="axisRow" fieldPosition="0"/>
    </format>
    <format dxfId="36">
      <pivotArea dataOnly="0" labelOnly="1" outline="0" fieldPosition="0">
        <references count="1">
          <reference field="4294967294" count="6">
            <x v="0"/>
            <x v="1"/>
            <x v="2"/>
            <x v="3"/>
            <x v="4"/>
            <x v="5"/>
          </reference>
        </references>
      </pivotArea>
    </format>
    <format dxfId="35">
      <pivotArea dataOnly="0" labelOnly="1" outline="0" fieldPosition="0">
        <references count="1">
          <reference field="4294967294" count="1">
            <x v="0"/>
          </reference>
        </references>
      </pivotArea>
    </format>
    <format dxfId="34">
      <pivotArea dataOnly="0" labelOnly="1" outline="0" fieldPosition="0">
        <references count="1">
          <reference field="4294967294" count="4">
            <x v="1"/>
            <x v="2"/>
            <x v="3"/>
            <x v="4"/>
          </reference>
        </references>
      </pivotArea>
    </format>
    <format dxfId="33">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22FD7-4CE3-4144-A4BC-A75310C99079}" name="PivotTable1" cacheId="9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Function">
  <location ref="A11:C21" firstHeaderRow="0" firstDataRow="1" firstDataCol="1"/>
  <pivotFields count="31">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dataField="1" showAll="0"/>
  </pivotFields>
  <rowFields count="2">
    <field x="4"/>
    <field x="1"/>
  </rowFields>
  <rowItems count="10">
    <i>
      <x/>
    </i>
    <i>
      <x v="1"/>
    </i>
    <i>
      <x v="2"/>
    </i>
    <i>
      <x v="3"/>
    </i>
    <i>
      <x v="4"/>
    </i>
    <i>
      <x v="5"/>
    </i>
    <i>
      <x v="6"/>
    </i>
    <i>
      <x v="7"/>
    </i>
    <i>
      <x v="8"/>
    </i>
    <i t="grand">
      <x/>
    </i>
  </rowItems>
  <colFields count="1">
    <field x="-2"/>
  </colFields>
  <colItems count="2">
    <i>
      <x/>
    </i>
    <i i="1">
      <x v="1"/>
    </i>
  </colItems>
  <dataFields count="2">
    <dataField name="Sum of 1. Q5 - Agree" fld="29" baseField="0" baseItem="0"/>
    <dataField name="Sum of 2. Q5 - Agree But With Further Comments" fld="30" baseField="0" baseItem="0"/>
  </dataFields>
  <formats count="16">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 dxfId="20">
      <pivotArea field="4" type="button" dataOnly="0" labelOnly="1" outline="0" axis="axisRow" fieldPosition="0"/>
    </format>
    <format dxfId="19">
      <pivotArea dataOnly="0" labelOnly="1" outline="0" fieldPosition="0">
        <references count="1">
          <reference field="4294967294" count="2">
            <x v="0"/>
            <x v="1"/>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2B1637-70D3-4574-AB1A-F075EBEBC536}" name="PivotTable2" cacheId="9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D21" firstHeaderRow="0" firstDataRow="1" firstDataCol="1"/>
  <pivotFields count="34">
    <pivotField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10">
        <item sd="0" x="5"/>
        <item sd="0" x="8"/>
        <item sd="0" x="7"/>
        <item sd="0" x="4"/>
        <item sd="0" x="6"/>
        <item sd="0" x="1"/>
        <item sd="0" x="2"/>
        <item sd="0"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2">
    <field x="4"/>
    <field x="1"/>
  </rowFields>
  <rowItems count="10">
    <i>
      <x/>
    </i>
    <i>
      <x v="1"/>
    </i>
    <i>
      <x v="2"/>
    </i>
    <i>
      <x v="3"/>
    </i>
    <i>
      <x v="4"/>
    </i>
    <i>
      <x v="5"/>
    </i>
    <i>
      <x v="6"/>
    </i>
    <i>
      <x v="7"/>
    </i>
    <i>
      <x v="8"/>
    </i>
    <i t="grand">
      <x/>
    </i>
  </rowItems>
  <colFields count="1">
    <field x="-2"/>
  </colFields>
  <colItems count="3">
    <i>
      <x/>
    </i>
    <i i="1">
      <x v="1"/>
    </i>
    <i i="2">
      <x v="2"/>
    </i>
  </colItems>
  <dataFields count="3">
    <dataField name="Sum of 1. Q2 - Agree" fld="31" baseField="0" baseItem="0"/>
    <dataField name="Sum of 2. Q2 - Agree But With Further Comments" fld="32" baseField="0" baseItem="0"/>
    <dataField name="Sum of 3. Q2 - Disagree" fld="33" baseField="0" baseItem="0"/>
  </dataFields>
  <formats count="17">
    <format dxfId="16">
      <pivotArea field="4" type="button" dataOnly="0" labelOnly="1" outline="0" axis="axisRow" fieldPosition="0"/>
    </format>
    <format dxfId="15">
      <pivotArea dataOnly="0" labelOnly="1" outline="0" fieldPosition="0">
        <references count="1">
          <reference field="4294967294" count="3">
            <x v="0"/>
            <x v="1"/>
            <x v="2"/>
          </reference>
        </references>
      </pivotArea>
    </format>
    <format dxfId="14">
      <pivotArea dataOnly="0" labelOnly="1" outline="0" fieldPosition="0">
        <references count="1">
          <reference field="4294967294" count="1">
            <x v="0"/>
          </reference>
        </references>
      </pivotArea>
    </format>
    <format dxfId="13">
      <pivotArea dataOnly="0" labelOnly="1" outline="0" fieldPosition="0">
        <references count="1">
          <reference field="4294967294" count="1">
            <x v="1"/>
          </reference>
        </references>
      </pivotArea>
    </format>
    <format dxfId="12">
      <pivotArea dataOnly="0" labelOnly="1" outline="0" fieldPosition="0">
        <references count="1">
          <reference field="4294967294" count="1">
            <x v="2"/>
          </reference>
        </references>
      </pivotArea>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D3BA-44F1-4053-9F98-525E51D84BC1}">
  <dimension ref="A1:E22"/>
  <sheetViews>
    <sheetView view="pageBreakPreview" zoomScale="80" zoomScaleNormal="80" zoomScaleSheetLayoutView="80" workbookViewId="0">
      <selection activeCell="N11" sqref="N11"/>
    </sheetView>
  </sheetViews>
  <sheetFormatPr defaultColWidth="9.140625" defaultRowHeight="12.75" x14ac:dyDescent="0.2"/>
  <cols>
    <col min="1" max="1" width="54.85546875" style="6" bestFit="1" customWidth="1"/>
    <col min="2" max="2" width="13.28515625" style="6" bestFit="1" customWidth="1"/>
    <col min="3" max="3" width="18.140625" style="6" bestFit="1" customWidth="1"/>
    <col min="4" max="4" width="12" style="6" bestFit="1" customWidth="1"/>
    <col min="5" max="5" width="20.7109375" style="6" customWidth="1"/>
    <col min="6" max="16384" width="9.140625" style="6"/>
  </cols>
  <sheetData>
    <row r="1" spans="1:5" ht="96" customHeight="1" x14ac:dyDescent="0.2">
      <c r="A1" s="26" t="s">
        <v>22</v>
      </c>
      <c r="B1" s="26"/>
      <c r="C1" s="37" t="s">
        <v>370</v>
      </c>
    </row>
    <row r="3" spans="1:5" x14ac:dyDescent="0.2">
      <c r="A3" s="1" t="s">
        <v>6</v>
      </c>
    </row>
    <row r="4" spans="1:5" x14ac:dyDescent="0.2">
      <c r="A4" s="2" t="s">
        <v>7</v>
      </c>
    </row>
    <row r="5" spans="1:5" x14ac:dyDescent="0.2">
      <c r="A5" s="3" t="s">
        <v>8</v>
      </c>
    </row>
    <row r="6" spans="1:5" x14ac:dyDescent="0.2">
      <c r="A6" s="4" t="s">
        <v>9</v>
      </c>
    </row>
    <row r="7" spans="1:5" ht="25.5" x14ac:dyDescent="0.2">
      <c r="A7" s="5" t="s">
        <v>365</v>
      </c>
    </row>
    <row r="9" spans="1:5" x14ac:dyDescent="0.2">
      <c r="A9" s="1" t="s">
        <v>20</v>
      </c>
      <c r="B9" s="7">
        <f>GETPIVOTDATA("Sum of 1. Q1 - Agree",$A$12)/E22</f>
        <v>0.34210526315789475</v>
      </c>
      <c r="C9" s="7">
        <f>GETPIVOTDATA("Sum of 2. Q1 - Agree But With Further Comments",$A$12)/E22</f>
        <v>0.65789473684210531</v>
      </c>
      <c r="D9" s="7">
        <f>GETPIVOTDATA("Sum of 3. Q1 Disagree",$A$12)/E22</f>
        <v>0</v>
      </c>
      <c r="E9" s="7">
        <f>E22/E22</f>
        <v>1</v>
      </c>
    </row>
    <row r="11" spans="1:5" ht="26.25" customHeight="1" x14ac:dyDescent="0.2">
      <c r="A11" s="8" t="s">
        <v>19</v>
      </c>
      <c r="B11" s="9"/>
      <c r="C11" s="9"/>
      <c r="D11" s="9"/>
      <c r="E11" s="27" t="s">
        <v>23</v>
      </c>
    </row>
    <row r="12" spans="1:5" s="12" customFormat="1" ht="38.25" x14ac:dyDescent="0.2">
      <c r="A12" s="32" t="s">
        <v>40</v>
      </c>
      <c r="B12" s="33" t="s">
        <v>0</v>
      </c>
      <c r="C12" s="34" t="s">
        <v>1</v>
      </c>
      <c r="D12" s="35" t="s">
        <v>341</v>
      </c>
      <c r="E12" s="28" t="s">
        <v>21</v>
      </c>
    </row>
    <row r="13" spans="1:5" x14ac:dyDescent="0.2">
      <c r="A13" s="30" t="s">
        <v>10</v>
      </c>
      <c r="B13" s="31">
        <v>1</v>
      </c>
      <c r="C13" s="31">
        <v>1</v>
      </c>
      <c r="D13" s="31">
        <v>0</v>
      </c>
      <c r="E13" s="10">
        <f>SUM(B13:D13)</f>
        <v>2</v>
      </c>
    </row>
    <row r="14" spans="1:5" x14ac:dyDescent="0.2">
      <c r="A14" s="30" t="s">
        <v>11</v>
      </c>
      <c r="B14" s="31">
        <v>0</v>
      </c>
      <c r="C14" s="31">
        <v>0</v>
      </c>
      <c r="D14" s="31">
        <v>0</v>
      </c>
      <c r="E14" s="10">
        <f t="shared" ref="E14:E21" si="0">SUM(B14:D14)</f>
        <v>0</v>
      </c>
    </row>
    <row r="15" spans="1:5" x14ac:dyDescent="0.2">
      <c r="A15" s="30" t="s">
        <v>12</v>
      </c>
      <c r="B15" s="31">
        <v>2</v>
      </c>
      <c r="C15" s="31">
        <v>2</v>
      </c>
      <c r="D15" s="31">
        <v>0</v>
      </c>
      <c r="E15" s="10">
        <f t="shared" si="0"/>
        <v>4</v>
      </c>
    </row>
    <row r="16" spans="1:5" x14ac:dyDescent="0.2">
      <c r="A16" s="30" t="s">
        <v>13</v>
      </c>
      <c r="B16" s="31">
        <v>2</v>
      </c>
      <c r="C16" s="31">
        <v>9</v>
      </c>
      <c r="D16" s="31">
        <v>0</v>
      </c>
      <c r="E16" s="10">
        <f t="shared" si="0"/>
        <v>11</v>
      </c>
    </row>
    <row r="17" spans="1:5" x14ac:dyDescent="0.2">
      <c r="A17" s="30" t="s">
        <v>14</v>
      </c>
      <c r="B17" s="31">
        <v>6</v>
      </c>
      <c r="C17" s="31">
        <v>17</v>
      </c>
      <c r="D17" s="31">
        <v>0</v>
      </c>
      <c r="E17" s="10">
        <f t="shared" si="0"/>
        <v>23</v>
      </c>
    </row>
    <row r="18" spans="1:5" x14ac:dyDescent="0.2">
      <c r="A18" s="30" t="s">
        <v>15</v>
      </c>
      <c r="B18" s="31">
        <v>4</v>
      </c>
      <c r="C18" s="31">
        <v>5</v>
      </c>
      <c r="D18" s="31">
        <v>0</v>
      </c>
      <c r="E18" s="10">
        <f t="shared" si="0"/>
        <v>9</v>
      </c>
    </row>
    <row r="19" spans="1:5" x14ac:dyDescent="0.2">
      <c r="A19" s="30" t="s">
        <v>16</v>
      </c>
      <c r="B19" s="31">
        <v>11</v>
      </c>
      <c r="C19" s="31">
        <v>14</v>
      </c>
      <c r="D19" s="31">
        <v>0</v>
      </c>
      <c r="E19" s="10">
        <f t="shared" si="0"/>
        <v>25</v>
      </c>
    </row>
    <row r="20" spans="1:5" x14ac:dyDescent="0.2">
      <c r="A20" s="30" t="s">
        <v>17</v>
      </c>
      <c r="B20" s="31">
        <v>0</v>
      </c>
      <c r="C20" s="31">
        <v>1</v>
      </c>
      <c r="D20" s="31">
        <v>0</v>
      </c>
      <c r="E20" s="10">
        <f t="shared" si="0"/>
        <v>1</v>
      </c>
    </row>
    <row r="21" spans="1:5" x14ac:dyDescent="0.2">
      <c r="A21" s="30" t="s">
        <v>18</v>
      </c>
      <c r="B21" s="31">
        <v>0</v>
      </c>
      <c r="C21" s="31">
        <v>1</v>
      </c>
      <c r="D21" s="31">
        <v>0</v>
      </c>
      <c r="E21" s="10">
        <f t="shared" si="0"/>
        <v>1</v>
      </c>
    </row>
    <row r="22" spans="1:5" x14ac:dyDescent="0.2">
      <c r="A22" s="30" t="s">
        <v>3</v>
      </c>
      <c r="B22" s="31">
        <v>26</v>
      </c>
      <c r="C22" s="31">
        <v>50</v>
      </c>
      <c r="D22" s="31">
        <v>0</v>
      </c>
      <c r="E22" s="11">
        <f>SUM(B22:D22)</f>
        <v>76</v>
      </c>
    </row>
  </sheetData>
  <pageMargins left="0.7" right="0.7" top="0.75" bottom="0.75" header="0.3" footer="0.3"/>
  <pageSetup scale="80" orientation="landscape" verticalDpi="0" r:id="rId2"/>
  <headerFooter>
    <oddHeader>&amp;C&amp;"Arial,Regular"&amp;8Proposed ISA 220: NVivo MS Excel Report - Summary by Category 
Q1 (Role and Responsibilities)
IAASB Main Agenda (September 2019)&amp;R&amp;"Arial,Bold"&amp;18Agenda Item 8–A.1</oddHead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CF5C-C6A4-4B41-BA8A-6380C6989B16}">
  <dimension ref="A1:J23"/>
  <sheetViews>
    <sheetView view="pageBreakPreview" zoomScale="80" zoomScaleNormal="80" zoomScaleSheetLayoutView="80" workbookViewId="0">
      <selection activeCell="C1" sqref="C1"/>
    </sheetView>
  </sheetViews>
  <sheetFormatPr defaultColWidth="9.140625" defaultRowHeight="12.75" x14ac:dyDescent="0.2"/>
  <cols>
    <col min="1" max="1" width="55" style="6" bestFit="1" customWidth="1"/>
    <col min="2" max="2" width="13.85546875" style="6" bestFit="1" customWidth="1"/>
    <col min="3" max="3" width="20" style="6" bestFit="1" customWidth="1"/>
    <col min="4" max="4" width="17.85546875" style="6" bestFit="1" customWidth="1"/>
    <col min="5" max="5" width="15.7109375" style="6" bestFit="1" customWidth="1"/>
    <col min="6" max="6" width="16.5703125" style="6" bestFit="1" customWidth="1"/>
    <col min="7" max="7" width="26.5703125" style="6" bestFit="1" customWidth="1"/>
    <col min="8" max="8" width="13.7109375" style="6" bestFit="1" customWidth="1"/>
    <col min="9" max="9" width="15.140625" style="6" bestFit="1" customWidth="1"/>
    <col min="10" max="10" width="12.5703125" style="6" bestFit="1" customWidth="1"/>
    <col min="11" max="16384" width="9.140625" style="6"/>
  </cols>
  <sheetData>
    <row r="1" spans="1:10" ht="88.15" customHeight="1" x14ac:dyDescent="0.2">
      <c r="A1" s="26" t="s">
        <v>22</v>
      </c>
      <c r="B1" s="26"/>
      <c r="C1" s="37" t="s">
        <v>370</v>
      </c>
    </row>
    <row r="2" spans="1:10" x14ac:dyDescent="0.2">
      <c r="A2" s="26"/>
      <c r="B2" s="26"/>
      <c r="C2" s="26"/>
    </row>
    <row r="3" spans="1:10" x14ac:dyDescent="0.2">
      <c r="A3" s="1" t="s">
        <v>6</v>
      </c>
    </row>
    <row r="4" spans="1:10" x14ac:dyDescent="0.2">
      <c r="A4" s="2" t="s">
        <v>7</v>
      </c>
    </row>
    <row r="5" spans="1:10" x14ac:dyDescent="0.2">
      <c r="A5" s="3" t="s">
        <v>8</v>
      </c>
    </row>
    <row r="6" spans="1:10" x14ac:dyDescent="0.2">
      <c r="A6" s="4" t="s">
        <v>9</v>
      </c>
    </row>
    <row r="7" spans="1:10" x14ac:dyDescent="0.2">
      <c r="A7" s="5" t="s">
        <v>365</v>
      </c>
    </row>
    <row r="9" spans="1:10" s="12" customFormat="1" ht="46.15" customHeight="1" x14ac:dyDescent="0.2">
      <c r="A9" s="32" t="s">
        <v>40</v>
      </c>
      <c r="B9" s="33" t="s">
        <v>0</v>
      </c>
      <c r="C9" s="34" t="s">
        <v>1</v>
      </c>
      <c r="D9" s="34" t="s">
        <v>4</v>
      </c>
      <c r="E9" s="34" t="s">
        <v>5</v>
      </c>
      <c r="F9" s="34" t="s">
        <v>24</v>
      </c>
      <c r="G9" s="34" t="s">
        <v>25</v>
      </c>
      <c r="H9" s="34" t="s">
        <v>26</v>
      </c>
      <c r="I9" s="34" t="s">
        <v>27</v>
      </c>
      <c r="J9" s="35" t="s">
        <v>341</v>
      </c>
    </row>
    <row r="10" spans="1:10" x14ac:dyDescent="0.2">
      <c r="A10" s="30" t="s">
        <v>10</v>
      </c>
      <c r="B10" s="31">
        <v>1</v>
      </c>
      <c r="C10" s="31">
        <v>1</v>
      </c>
      <c r="D10" s="31">
        <v>1</v>
      </c>
      <c r="E10" s="31">
        <v>0</v>
      </c>
      <c r="F10" s="31">
        <v>2</v>
      </c>
      <c r="G10" s="31">
        <v>1</v>
      </c>
      <c r="H10" s="31">
        <v>0</v>
      </c>
      <c r="I10" s="31">
        <v>0</v>
      </c>
      <c r="J10" s="31">
        <v>0</v>
      </c>
    </row>
    <row r="11" spans="1:10" x14ac:dyDescent="0.2">
      <c r="A11" s="30" t="s">
        <v>11</v>
      </c>
      <c r="B11" s="31">
        <v>0</v>
      </c>
      <c r="C11" s="31">
        <v>0</v>
      </c>
      <c r="D11" s="31">
        <v>0</v>
      </c>
      <c r="E11" s="31">
        <v>0</v>
      </c>
      <c r="F11" s="31">
        <v>0</v>
      </c>
      <c r="G11" s="31">
        <v>0</v>
      </c>
      <c r="H11" s="31">
        <v>0</v>
      </c>
      <c r="I11" s="31">
        <v>0</v>
      </c>
      <c r="J11" s="31">
        <v>0</v>
      </c>
    </row>
    <row r="12" spans="1:10" x14ac:dyDescent="0.2">
      <c r="A12" s="30" t="s">
        <v>12</v>
      </c>
      <c r="B12" s="31">
        <v>2</v>
      </c>
      <c r="C12" s="31">
        <v>2</v>
      </c>
      <c r="D12" s="31">
        <v>2</v>
      </c>
      <c r="E12" s="31">
        <v>1</v>
      </c>
      <c r="F12" s="31">
        <v>0</v>
      </c>
      <c r="G12" s="31">
        <v>0</v>
      </c>
      <c r="H12" s="31">
        <v>0</v>
      </c>
      <c r="I12" s="31">
        <v>0</v>
      </c>
      <c r="J12" s="31">
        <v>0</v>
      </c>
    </row>
    <row r="13" spans="1:10" x14ac:dyDescent="0.2">
      <c r="A13" s="30" t="s">
        <v>13</v>
      </c>
      <c r="B13" s="31">
        <v>2</v>
      </c>
      <c r="C13" s="31">
        <v>9</v>
      </c>
      <c r="D13" s="31">
        <v>2</v>
      </c>
      <c r="E13" s="31">
        <v>4</v>
      </c>
      <c r="F13" s="31">
        <v>2</v>
      </c>
      <c r="G13" s="31">
        <v>2</v>
      </c>
      <c r="H13" s="31">
        <v>0</v>
      </c>
      <c r="I13" s="31">
        <v>0</v>
      </c>
      <c r="J13" s="31">
        <v>0</v>
      </c>
    </row>
    <row r="14" spans="1:10" x14ac:dyDescent="0.2">
      <c r="A14" s="30" t="s">
        <v>14</v>
      </c>
      <c r="B14" s="31">
        <v>6</v>
      </c>
      <c r="C14" s="31">
        <v>17</v>
      </c>
      <c r="D14" s="31">
        <v>4</v>
      </c>
      <c r="E14" s="31">
        <v>11</v>
      </c>
      <c r="F14" s="31">
        <v>4</v>
      </c>
      <c r="G14" s="31">
        <v>3</v>
      </c>
      <c r="H14" s="31">
        <v>2</v>
      </c>
      <c r="I14" s="31">
        <v>1</v>
      </c>
      <c r="J14" s="31">
        <v>0</v>
      </c>
    </row>
    <row r="15" spans="1:10" x14ac:dyDescent="0.2">
      <c r="A15" s="30" t="s">
        <v>15</v>
      </c>
      <c r="B15" s="31">
        <v>4</v>
      </c>
      <c r="C15" s="31">
        <v>5</v>
      </c>
      <c r="D15" s="31">
        <v>0</v>
      </c>
      <c r="E15" s="31">
        <v>2</v>
      </c>
      <c r="F15" s="31">
        <v>0</v>
      </c>
      <c r="G15" s="31">
        <v>0</v>
      </c>
      <c r="H15" s="31">
        <v>0</v>
      </c>
      <c r="I15" s="31">
        <v>0</v>
      </c>
      <c r="J15" s="31">
        <v>0</v>
      </c>
    </row>
    <row r="16" spans="1:10" x14ac:dyDescent="0.2">
      <c r="A16" s="30" t="s">
        <v>16</v>
      </c>
      <c r="B16" s="31">
        <v>11</v>
      </c>
      <c r="C16" s="31">
        <v>14</v>
      </c>
      <c r="D16" s="31">
        <v>3</v>
      </c>
      <c r="E16" s="31">
        <v>2</v>
      </c>
      <c r="F16" s="31">
        <v>2</v>
      </c>
      <c r="G16" s="31">
        <v>3</v>
      </c>
      <c r="H16" s="31">
        <v>2</v>
      </c>
      <c r="I16" s="31">
        <v>2</v>
      </c>
      <c r="J16" s="31">
        <v>0</v>
      </c>
    </row>
    <row r="17" spans="1:10" x14ac:dyDescent="0.2">
      <c r="A17" s="30" t="s">
        <v>17</v>
      </c>
      <c r="B17" s="31">
        <v>0</v>
      </c>
      <c r="C17" s="31">
        <v>1</v>
      </c>
      <c r="D17" s="31">
        <v>0</v>
      </c>
      <c r="E17" s="31">
        <v>0</v>
      </c>
      <c r="F17" s="31">
        <v>0</v>
      </c>
      <c r="G17" s="31">
        <v>0</v>
      </c>
      <c r="H17" s="31">
        <v>0</v>
      </c>
      <c r="I17" s="31">
        <v>0</v>
      </c>
      <c r="J17" s="31">
        <v>0</v>
      </c>
    </row>
    <row r="18" spans="1:10" x14ac:dyDescent="0.2">
      <c r="A18" s="30" t="s">
        <v>18</v>
      </c>
      <c r="B18" s="31">
        <v>0</v>
      </c>
      <c r="C18" s="31">
        <v>1</v>
      </c>
      <c r="D18" s="31">
        <v>0</v>
      </c>
      <c r="E18" s="31">
        <v>0</v>
      </c>
      <c r="F18" s="31">
        <v>0</v>
      </c>
      <c r="G18" s="31">
        <v>0</v>
      </c>
      <c r="H18" s="31">
        <v>0</v>
      </c>
      <c r="I18" s="31">
        <v>0</v>
      </c>
      <c r="J18" s="31">
        <v>0</v>
      </c>
    </row>
    <row r="19" spans="1:10" x14ac:dyDescent="0.2">
      <c r="A19" s="30" t="s">
        <v>3</v>
      </c>
      <c r="B19" s="31">
        <v>26</v>
      </c>
      <c r="C19" s="31">
        <v>50</v>
      </c>
      <c r="D19" s="31">
        <v>12</v>
      </c>
      <c r="E19" s="31">
        <v>20</v>
      </c>
      <c r="F19" s="31">
        <v>10</v>
      </c>
      <c r="G19" s="31">
        <v>9</v>
      </c>
      <c r="H19" s="31">
        <v>4</v>
      </c>
      <c r="I19" s="31">
        <v>3</v>
      </c>
      <c r="J19" s="31">
        <v>0</v>
      </c>
    </row>
    <row r="20" spans="1:10" ht="15" x14ac:dyDescent="0.25">
      <c r="A20"/>
      <c r="B20"/>
      <c r="C20"/>
      <c r="D20"/>
      <c r="E20"/>
      <c r="F20"/>
      <c r="G20"/>
      <c r="H20"/>
      <c r="I20"/>
      <c r="J20"/>
    </row>
    <row r="21" spans="1:10" ht="15" x14ac:dyDescent="0.25">
      <c r="A21"/>
      <c r="B21"/>
      <c r="C21"/>
      <c r="D21"/>
      <c r="E21"/>
      <c r="F21"/>
      <c r="G21"/>
      <c r="H21"/>
      <c r="I21"/>
      <c r="J21"/>
    </row>
    <row r="22" spans="1:10" ht="15" x14ac:dyDescent="0.25">
      <c r="A22"/>
      <c r="B22"/>
      <c r="C22"/>
      <c r="D22"/>
      <c r="E22"/>
      <c r="F22"/>
      <c r="G22"/>
      <c r="H22"/>
      <c r="I22"/>
      <c r="J22"/>
    </row>
    <row r="23" spans="1:10" ht="15" x14ac:dyDescent="0.25">
      <c r="A23"/>
      <c r="B23"/>
      <c r="C23"/>
      <c r="D23"/>
      <c r="E23"/>
      <c r="F23"/>
      <c r="G23"/>
      <c r="H23"/>
      <c r="I23"/>
      <c r="J23"/>
    </row>
  </sheetData>
  <pageMargins left="0.7" right="0.7" top="0.75" bottom="0.75" header="0.3" footer="0.3"/>
  <pageSetup scale="45" orientation="landscape" verticalDpi="0" r:id="rId2"/>
  <headerFooter>
    <oddHeader>&amp;C&amp;"Arial,Regular"&amp;8Proposed ISA 220: NVivo MS Excel Report - Summary by Theme 
Q1 (Role and Responsibilities)
IAASB Main Agenda (September 2019)&amp;R&amp;"Arial,Bold"&amp;18Agenda Item 8–A.2</oddHeader>
    <oddFooter>&amp;R&amp;"Arial,Regular"&amp;10&amp;P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770C-503D-4F6C-A1BB-7607158696FA}">
  <dimension ref="A1:K22"/>
  <sheetViews>
    <sheetView tabSelected="1" view="pageBreakPreview" zoomScale="80" zoomScaleNormal="80" zoomScaleSheetLayoutView="80" zoomScalePageLayoutView="80" workbookViewId="0">
      <selection activeCell="G17" sqref="G17"/>
    </sheetView>
  </sheetViews>
  <sheetFormatPr defaultColWidth="9.140625" defaultRowHeight="12.75" x14ac:dyDescent="0.2"/>
  <cols>
    <col min="1" max="1" width="54.85546875" style="6" bestFit="1" customWidth="1"/>
    <col min="2" max="2" width="15.42578125" style="6" bestFit="1" customWidth="1"/>
    <col min="3" max="3" width="21.5703125" style="6" bestFit="1" customWidth="1"/>
    <col min="4" max="5" width="14.5703125" style="6" bestFit="1" customWidth="1"/>
    <col min="6" max="6" width="20.28515625" style="6" customWidth="1"/>
    <col min="7" max="7" width="9.7109375" style="6" bestFit="1" customWidth="1"/>
    <col min="8" max="8" width="9.140625" style="6"/>
    <col min="9" max="10" width="9" style="6" bestFit="1" customWidth="1"/>
    <col min="11" max="16384" width="9.140625" style="6"/>
  </cols>
  <sheetData>
    <row r="1" spans="1:11" ht="63.75" x14ac:dyDescent="0.2">
      <c r="A1" s="26" t="s">
        <v>349</v>
      </c>
      <c r="B1" s="26"/>
      <c r="C1" s="37" t="s">
        <v>375</v>
      </c>
    </row>
    <row r="3" spans="1:11" x14ac:dyDescent="0.2">
      <c r="A3" s="1" t="s">
        <v>6</v>
      </c>
    </row>
    <row r="4" spans="1:11" x14ac:dyDescent="0.2">
      <c r="A4" s="2" t="s">
        <v>7</v>
      </c>
    </row>
    <row r="5" spans="1:11" x14ac:dyDescent="0.2">
      <c r="A5" s="3" t="s">
        <v>8</v>
      </c>
    </row>
    <row r="6" spans="1:11" x14ac:dyDescent="0.2">
      <c r="A6" s="4" t="s">
        <v>9</v>
      </c>
    </row>
    <row r="7" spans="1:11" ht="25.5" x14ac:dyDescent="0.2">
      <c r="A7" s="5" t="s">
        <v>365</v>
      </c>
    </row>
    <row r="9" spans="1:11" x14ac:dyDescent="0.2">
      <c r="A9" s="1" t="s">
        <v>28</v>
      </c>
      <c r="B9" s="7">
        <f>GETPIVOTDATA("Sum of 1. Q4A - Agree with Definition",$A$12)/F22</f>
        <v>7.8947368421052627E-2</v>
      </c>
      <c r="C9" s="7">
        <f>GETPIVOTDATA("Sum of 2. Q4A - Agree with Definition But With Further Comments",$A$12)/F22</f>
        <v>0.42105263157894735</v>
      </c>
      <c r="D9" s="7">
        <f>GETPIVOTDATA("Sum of 3. Q4A - Needs Clarity",$A$12)/F22</f>
        <v>0.21052631578947367</v>
      </c>
      <c r="E9" s="7">
        <f>GETPIVOTDATA("Sum of 4. Q4A - Disagree",$A$12)/F22</f>
        <v>0.28947368421052633</v>
      </c>
      <c r="F9" s="7">
        <f>F22/F22</f>
        <v>1</v>
      </c>
    </row>
    <row r="11" spans="1:11" ht="27" customHeight="1" x14ac:dyDescent="0.2">
      <c r="A11" s="13" t="s">
        <v>19</v>
      </c>
      <c r="B11" s="9"/>
      <c r="C11" s="9"/>
      <c r="D11" s="9"/>
      <c r="E11" s="9"/>
      <c r="F11" s="9" t="s">
        <v>23</v>
      </c>
    </row>
    <row r="12" spans="1:11" s="12" customFormat="1" ht="51.75" x14ac:dyDescent="0.25">
      <c r="A12" s="32" t="s">
        <v>40</v>
      </c>
      <c r="B12" s="33" t="s">
        <v>342</v>
      </c>
      <c r="C12" s="34" t="s">
        <v>343</v>
      </c>
      <c r="D12" s="34" t="s">
        <v>368</v>
      </c>
      <c r="E12" s="35" t="s">
        <v>369</v>
      </c>
      <c r="F12" s="28" t="s">
        <v>21</v>
      </c>
      <c r="G12" s="29"/>
      <c r="H12" s="29"/>
      <c r="I12" s="29"/>
      <c r="J12" s="29"/>
      <c r="K12" s="29"/>
    </row>
    <row r="13" spans="1:11" ht="15" x14ac:dyDescent="0.25">
      <c r="A13" s="30" t="s">
        <v>10</v>
      </c>
      <c r="B13" s="31">
        <v>1</v>
      </c>
      <c r="C13" s="31">
        <v>1</v>
      </c>
      <c r="D13" s="31">
        <v>1</v>
      </c>
      <c r="E13" s="31">
        <v>0</v>
      </c>
      <c r="F13" s="10">
        <f>SUM(B13:E13)</f>
        <v>3</v>
      </c>
      <c r="G13"/>
      <c r="H13"/>
      <c r="I13"/>
      <c r="J13"/>
      <c r="K13"/>
    </row>
    <row r="14" spans="1:11" ht="15" x14ac:dyDescent="0.25">
      <c r="A14" s="30" t="s">
        <v>11</v>
      </c>
      <c r="B14" s="31">
        <v>0</v>
      </c>
      <c r="C14" s="31">
        <v>0</v>
      </c>
      <c r="D14" s="31">
        <v>0</v>
      </c>
      <c r="E14" s="31">
        <v>0</v>
      </c>
      <c r="F14" s="10">
        <f t="shared" ref="F14:F21" si="0">SUM(B14:E14)</f>
        <v>0</v>
      </c>
      <c r="G14"/>
      <c r="H14"/>
      <c r="I14"/>
      <c r="J14"/>
      <c r="K14"/>
    </row>
    <row r="15" spans="1:11" ht="15" x14ac:dyDescent="0.25">
      <c r="A15" s="30" t="s">
        <v>12</v>
      </c>
      <c r="B15" s="31">
        <v>1</v>
      </c>
      <c r="C15" s="31">
        <v>0</v>
      </c>
      <c r="D15" s="31">
        <v>2</v>
      </c>
      <c r="E15" s="31">
        <v>0</v>
      </c>
      <c r="F15" s="10">
        <f t="shared" si="0"/>
        <v>3</v>
      </c>
      <c r="G15"/>
      <c r="H15"/>
      <c r="I15"/>
      <c r="J15"/>
      <c r="K15"/>
    </row>
    <row r="16" spans="1:11" ht="15" x14ac:dyDescent="0.25">
      <c r="A16" s="30" t="s">
        <v>13</v>
      </c>
      <c r="B16" s="31">
        <v>0</v>
      </c>
      <c r="C16" s="31">
        <v>3</v>
      </c>
      <c r="D16" s="31">
        <v>0</v>
      </c>
      <c r="E16" s="31">
        <v>5</v>
      </c>
      <c r="F16" s="10">
        <f t="shared" si="0"/>
        <v>8</v>
      </c>
      <c r="G16"/>
      <c r="H16"/>
      <c r="I16"/>
      <c r="J16"/>
      <c r="K16"/>
    </row>
    <row r="17" spans="1:11" ht="15" x14ac:dyDescent="0.25">
      <c r="A17" s="30" t="s">
        <v>14</v>
      </c>
      <c r="B17" s="31">
        <v>0</v>
      </c>
      <c r="C17" s="31">
        <v>7</v>
      </c>
      <c r="D17" s="31">
        <v>0</v>
      </c>
      <c r="E17" s="31">
        <v>1</v>
      </c>
      <c r="F17" s="10">
        <f t="shared" si="0"/>
        <v>8</v>
      </c>
      <c r="G17"/>
      <c r="H17"/>
      <c r="I17"/>
      <c r="J17"/>
      <c r="K17"/>
    </row>
    <row r="18" spans="1:11" ht="15" x14ac:dyDescent="0.25">
      <c r="A18" s="30" t="s">
        <v>15</v>
      </c>
      <c r="B18" s="31">
        <v>1</v>
      </c>
      <c r="C18" s="31">
        <v>0</v>
      </c>
      <c r="D18" s="31">
        <v>0</v>
      </c>
      <c r="E18" s="31">
        <v>0</v>
      </c>
      <c r="F18" s="10">
        <f t="shared" si="0"/>
        <v>1</v>
      </c>
      <c r="G18"/>
      <c r="H18"/>
      <c r="I18"/>
      <c r="J18"/>
      <c r="K18"/>
    </row>
    <row r="19" spans="1:11" ht="15" x14ac:dyDescent="0.25">
      <c r="A19" s="30" t="s">
        <v>16</v>
      </c>
      <c r="B19" s="31">
        <v>0</v>
      </c>
      <c r="C19" s="31">
        <v>4</v>
      </c>
      <c r="D19" s="31">
        <v>5</v>
      </c>
      <c r="E19" s="31">
        <v>5</v>
      </c>
      <c r="F19" s="10">
        <f t="shared" si="0"/>
        <v>14</v>
      </c>
      <c r="G19"/>
      <c r="H19"/>
      <c r="I19"/>
      <c r="J19"/>
      <c r="K19"/>
    </row>
    <row r="20" spans="1:11" ht="15" x14ac:dyDescent="0.25">
      <c r="A20" s="30" t="s">
        <v>17</v>
      </c>
      <c r="B20" s="31">
        <v>0</v>
      </c>
      <c r="C20" s="31">
        <v>1</v>
      </c>
      <c r="D20" s="31">
        <v>0</v>
      </c>
      <c r="E20" s="31">
        <v>0</v>
      </c>
      <c r="F20" s="10">
        <f t="shared" si="0"/>
        <v>1</v>
      </c>
      <c r="G20"/>
      <c r="H20"/>
      <c r="I20"/>
      <c r="J20"/>
      <c r="K20"/>
    </row>
    <row r="21" spans="1:11" ht="15" x14ac:dyDescent="0.25">
      <c r="A21" s="30" t="s">
        <v>18</v>
      </c>
      <c r="B21" s="31">
        <v>0</v>
      </c>
      <c r="C21" s="31">
        <v>0</v>
      </c>
      <c r="D21" s="31">
        <v>0</v>
      </c>
      <c r="E21" s="31">
        <v>0</v>
      </c>
      <c r="F21" s="10">
        <f t="shared" si="0"/>
        <v>0</v>
      </c>
      <c r="G21"/>
      <c r="H21"/>
      <c r="I21"/>
      <c r="J21"/>
      <c r="K21"/>
    </row>
    <row r="22" spans="1:11" ht="15" x14ac:dyDescent="0.25">
      <c r="A22" s="30" t="s">
        <v>3</v>
      </c>
      <c r="B22" s="31">
        <v>3</v>
      </c>
      <c r="C22" s="31">
        <v>16</v>
      </c>
      <c r="D22" s="31">
        <v>8</v>
      </c>
      <c r="E22" s="31">
        <v>11</v>
      </c>
      <c r="F22" s="11">
        <f>SUM(B22:E22)</f>
        <v>38</v>
      </c>
      <c r="G22"/>
      <c r="H22"/>
      <c r="I22"/>
      <c r="J22"/>
      <c r="K22"/>
    </row>
  </sheetData>
  <pageMargins left="0.7" right="0.7" top="0.75" bottom="0.75" header="0.3" footer="0.3"/>
  <pageSetup scale="51" orientation="landscape" verticalDpi="0" r:id="rId2"/>
  <headerFooter>
    <oddHeader>&amp;C&amp;"Arial,Regular"&amp;8Proposed ISA 220: NVivo MS Excel Report - Summary by Category 
Q4 (ET Definition)
IAASB Main Agenda (September 2019)&amp;R&amp;"Arial,Bold"&amp;18Agenda Item 8–A.3</oddHeader>
    <oddFooter>&amp;R&amp;"Arial,Regular"&amp;10&amp;P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33A4E-9C2F-4048-8B6C-BA4AC38F6713}">
  <dimension ref="A1:J20"/>
  <sheetViews>
    <sheetView view="pageBreakPreview" zoomScale="80" zoomScaleNormal="80" zoomScaleSheetLayoutView="80" zoomScalePageLayoutView="70" workbookViewId="0">
      <selection activeCell="C2" sqref="C2"/>
    </sheetView>
  </sheetViews>
  <sheetFormatPr defaultColWidth="9.140625" defaultRowHeight="12.75" x14ac:dyDescent="0.2"/>
  <cols>
    <col min="1" max="1" width="54.85546875" style="6" bestFit="1" customWidth="1"/>
    <col min="2" max="2" width="14.28515625" style="6" bestFit="1" customWidth="1"/>
    <col min="3" max="3" width="26.28515625" style="6" bestFit="1" customWidth="1"/>
    <col min="4" max="4" width="19" style="6" bestFit="1" customWidth="1"/>
    <col min="5" max="5" width="17.7109375" style="6" bestFit="1" customWidth="1"/>
    <col min="6" max="6" width="20.42578125" style="6" bestFit="1" customWidth="1"/>
    <col min="7" max="7" width="12.42578125" style="6" bestFit="1" customWidth="1"/>
    <col min="8" max="8" width="15.28515625" style="6" bestFit="1" customWidth="1"/>
    <col min="9" max="10" width="14" style="6" bestFit="1" customWidth="1"/>
    <col min="11" max="16384" width="9.140625" style="6"/>
  </cols>
  <sheetData>
    <row r="1" spans="1:10" ht="53.45" customHeight="1" x14ac:dyDescent="0.2">
      <c r="A1" s="26" t="s">
        <v>363</v>
      </c>
      <c r="B1" s="26"/>
      <c r="C1" s="37" t="s">
        <v>375</v>
      </c>
    </row>
    <row r="2" spans="1:10" x14ac:dyDescent="0.2">
      <c r="A2" s="26"/>
      <c r="B2" s="26"/>
      <c r="C2" s="26"/>
    </row>
    <row r="3" spans="1:10" x14ac:dyDescent="0.2">
      <c r="A3" s="1" t="s">
        <v>6</v>
      </c>
    </row>
    <row r="4" spans="1:10" x14ac:dyDescent="0.2">
      <c r="A4" s="2" t="s">
        <v>7</v>
      </c>
    </row>
    <row r="5" spans="1:10" x14ac:dyDescent="0.2">
      <c r="A5" s="3" t="s">
        <v>8</v>
      </c>
    </row>
    <row r="6" spans="1:10" x14ac:dyDescent="0.2">
      <c r="A6" s="4" t="s">
        <v>9</v>
      </c>
    </row>
    <row r="7" spans="1:10" ht="25.5" x14ac:dyDescent="0.2">
      <c r="A7" s="5" t="s">
        <v>365</v>
      </c>
    </row>
    <row r="10" spans="1:10" s="12" customFormat="1" ht="38.25" x14ac:dyDescent="0.2">
      <c r="A10" s="32" t="s">
        <v>40</v>
      </c>
      <c r="B10" s="33" t="s">
        <v>371</v>
      </c>
      <c r="C10" s="34" t="s">
        <v>372</v>
      </c>
      <c r="D10" s="34" t="s">
        <v>344</v>
      </c>
      <c r="E10" s="34" t="s">
        <v>345</v>
      </c>
      <c r="F10" s="34" t="s">
        <v>346</v>
      </c>
      <c r="G10" s="34" t="s">
        <v>347</v>
      </c>
      <c r="H10" s="34" t="s">
        <v>348</v>
      </c>
      <c r="I10" s="36" t="s">
        <v>374</v>
      </c>
      <c r="J10" s="35" t="s">
        <v>373</v>
      </c>
    </row>
    <row r="11" spans="1:10" x14ac:dyDescent="0.2">
      <c r="A11" s="30" t="s">
        <v>10</v>
      </c>
      <c r="B11" s="31">
        <v>1</v>
      </c>
      <c r="C11" s="31">
        <v>1</v>
      </c>
      <c r="D11" s="31">
        <v>0</v>
      </c>
      <c r="E11" s="31">
        <v>0</v>
      </c>
      <c r="F11" s="31">
        <v>1</v>
      </c>
      <c r="G11" s="31">
        <v>1</v>
      </c>
      <c r="H11" s="31">
        <v>0</v>
      </c>
      <c r="I11" s="31">
        <v>1</v>
      </c>
      <c r="J11" s="31">
        <v>0</v>
      </c>
    </row>
    <row r="12" spans="1:10" x14ac:dyDescent="0.2">
      <c r="A12" s="30" t="s">
        <v>11</v>
      </c>
      <c r="B12" s="31">
        <v>0</v>
      </c>
      <c r="C12" s="31">
        <v>0</v>
      </c>
      <c r="D12" s="31">
        <v>0</v>
      </c>
      <c r="E12" s="31">
        <v>0</v>
      </c>
      <c r="F12" s="31">
        <v>0</v>
      </c>
      <c r="G12" s="31">
        <v>0</v>
      </c>
      <c r="H12" s="31">
        <v>0</v>
      </c>
      <c r="I12" s="31">
        <v>0</v>
      </c>
      <c r="J12" s="31">
        <v>0</v>
      </c>
    </row>
    <row r="13" spans="1:10" x14ac:dyDescent="0.2">
      <c r="A13" s="30" t="s">
        <v>12</v>
      </c>
      <c r="B13" s="31">
        <v>1</v>
      </c>
      <c r="C13" s="31">
        <v>0</v>
      </c>
      <c r="D13" s="31">
        <v>0</v>
      </c>
      <c r="E13" s="31">
        <v>0</v>
      </c>
      <c r="F13" s="31">
        <v>0</v>
      </c>
      <c r="G13" s="31">
        <v>0</v>
      </c>
      <c r="H13" s="31">
        <v>0</v>
      </c>
      <c r="I13" s="31">
        <v>2</v>
      </c>
      <c r="J13" s="31">
        <v>0</v>
      </c>
    </row>
    <row r="14" spans="1:10" x14ac:dyDescent="0.2">
      <c r="A14" s="30" t="s">
        <v>13</v>
      </c>
      <c r="B14" s="31">
        <v>0</v>
      </c>
      <c r="C14" s="31">
        <v>3</v>
      </c>
      <c r="D14" s="31">
        <v>0</v>
      </c>
      <c r="E14" s="31">
        <v>1</v>
      </c>
      <c r="F14" s="31">
        <v>0</v>
      </c>
      <c r="G14" s="31">
        <v>1</v>
      </c>
      <c r="H14" s="31">
        <v>1</v>
      </c>
      <c r="I14" s="31">
        <v>0</v>
      </c>
      <c r="J14" s="31">
        <v>5</v>
      </c>
    </row>
    <row r="15" spans="1:10" x14ac:dyDescent="0.2">
      <c r="A15" s="30" t="s">
        <v>14</v>
      </c>
      <c r="B15" s="31">
        <v>0</v>
      </c>
      <c r="C15" s="31">
        <v>7</v>
      </c>
      <c r="D15" s="31">
        <v>3</v>
      </c>
      <c r="E15" s="31">
        <v>1</v>
      </c>
      <c r="F15" s="31">
        <v>0</v>
      </c>
      <c r="G15" s="31">
        <v>4</v>
      </c>
      <c r="H15" s="31">
        <v>3</v>
      </c>
      <c r="I15" s="31">
        <v>0</v>
      </c>
      <c r="J15" s="31">
        <v>1</v>
      </c>
    </row>
    <row r="16" spans="1:10" x14ac:dyDescent="0.2">
      <c r="A16" s="30" t="s">
        <v>15</v>
      </c>
      <c r="B16" s="31">
        <v>1</v>
      </c>
      <c r="C16" s="31">
        <v>0</v>
      </c>
      <c r="D16" s="31">
        <v>0</v>
      </c>
      <c r="E16" s="31">
        <v>0</v>
      </c>
      <c r="F16" s="31">
        <v>0</v>
      </c>
      <c r="G16" s="31">
        <v>0</v>
      </c>
      <c r="H16" s="31">
        <v>0</v>
      </c>
      <c r="I16" s="31">
        <v>0</v>
      </c>
      <c r="J16" s="31">
        <v>0</v>
      </c>
    </row>
    <row r="17" spans="1:10" x14ac:dyDescent="0.2">
      <c r="A17" s="30" t="s">
        <v>16</v>
      </c>
      <c r="B17" s="31">
        <v>0</v>
      </c>
      <c r="C17" s="31">
        <v>4</v>
      </c>
      <c r="D17" s="31">
        <v>0</v>
      </c>
      <c r="E17" s="31">
        <v>1</v>
      </c>
      <c r="F17" s="31">
        <v>1</v>
      </c>
      <c r="G17" s="31">
        <v>1</v>
      </c>
      <c r="H17" s="31">
        <v>0</v>
      </c>
      <c r="I17" s="31">
        <v>5</v>
      </c>
      <c r="J17" s="31">
        <v>5</v>
      </c>
    </row>
    <row r="18" spans="1:10" x14ac:dyDescent="0.2">
      <c r="A18" s="30" t="s">
        <v>17</v>
      </c>
      <c r="B18" s="31">
        <v>0</v>
      </c>
      <c r="C18" s="31">
        <v>1</v>
      </c>
      <c r="D18" s="31">
        <v>1</v>
      </c>
      <c r="E18" s="31">
        <v>0</v>
      </c>
      <c r="F18" s="31">
        <v>0</v>
      </c>
      <c r="G18" s="31">
        <v>0</v>
      </c>
      <c r="H18" s="31">
        <v>0</v>
      </c>
      <c r="I18" s="31">
        <v>0</v>
      </c>
      <c r="J18" s="31">
        <v>0</v>
      </c>
    </row>
    <row r="19" spans="1:10" x14ac:dyDescent="0.2">
      <c r="A19" s="30" t="s">
        <v>18</v>
      </c>
      <c r="B19" s="31">
        <v>0</v>
      </c>
      <c r="C19" s="31">
        <v>0</v>
      </c>
      <c r="D19" s="31">
        <v>0</v>
      </c>
      <c r="E19" s="31">
        <v>0</v>
      </c>
      <c r="F19" s="31">
        <v>0</v>
      </c>
      <c r="G19" s="31">
        <v>0</v>
      </c>
      <c r="H19" s="31">
        <v>0</v>
      </c>
      <c r="I19" s="31">
        <v>0</v>
      </c>
      <c r="J19" s="31">
        <v>0</v>
      </c>
    </row>
    <row r="20" spans="1:10" x14ac:dyDescent="0.2">
      <c r="A20" s="30" t="s">
        <v>3</v>
      </c>
      <c r="B20" s="31">
        <v>3</v>
      </c>
      <c r="C20" s="31">
        <v>16</v>
      </c>
      <c r="D20" s="31">
        <v>4</v>
      </c>
      <c r="E20" s="31">
        <v>3</v>
      </c>
      <c r="F20" s="31">
        <v>2</v>
      </c>
      <c r="G20" s="31">
        <v>7</v>
      </c>
      <c r="H20" s="31">
        <v>4</v>
      </c>
      <c r="I20" s="31">
        <v>8</v>
      </c>
      <c r="J20" s="31">
        <v>11</v>
      </c>
    </row>
  </sheetData>
  <pageMargins left="0.7" right="0.7" top="0.75" bottom="0.75" header="0.3" footer="0.3"/>
  <pageSetup scale="34" orientation="landscape" verticalDpi="0" r:id="rId2"/>
  <headerFooter>
    <oddHeader>&amp;C&amp;"Arial,Regular"&amp;8Proposed ISA 220: NVivo MS Excel Report - Summary by Theme
Q4 (ET Definition)
IAASB Main Agenda (September 2019)&amp;R&amp;"Arial,Bold"&amp;18Agenda Item 8–A.4</oddHeader>
    <oddFooter>&amp;R&amp;"Arial,Regular"&amp;10&amp;P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115D-101F-45E8-89E1-BCF6258BB87A}">
  <dimension ref="A1:F21"/>
  <sheetViews>
    <sheetView view="pageBreakPreview" zoomScale="80" zoomScaleNormal="80" zoomScaleSheetLayoutView="80" workbookViewId="0">
      <selection activeCell="C1" sqref="C1"/>
    </sheetView>
  </sheetViews>
  <sheetFormatPr defaultColWidth="9.140625" defaultRowHeight="12.75" x14ac:dyDescent="0.2"/>
  <cols>
    <col min="1" max="1" width="66.42578125" style="6" bestFit="1" customWidth="1"/>
    <col min="2" max="2" width="17.28515625" style="6" bestFit="1" customWidth="1"/>
    <col min="3" max="3" width="29.85546875" style="6" bestFit="1" customWidth="1"/>
    <col min="4" max="4" width="16.85546875" style="6" bestFit="1" customWidth="1"/>
    <col min="5" max="5" width="14.28515625" style="6" bestFit="1" customWidth="1"/>
    <col min="6" max="6" width="9" style="6" bestFit="1" customWidth="1"/>
    <col min="7" max="16384" width="9.140625" style="6"/>
  </cols>
  <sheetData>
    <row r="1" spans="1:6" ht="64.900000000000006" customHeight="1" x14ac:dyDescent="0.2">
      <c r="A1" s="26" t="s">
        <v>32</v>
      </c>
      <c r="B1" s="26"/>
      <c r="C1" s="37" t="s">
        <v>376</v>
      </c>
    </row>
    <row r="2" spans="1:6" x14ac:dyDescent="0.2">
      <c r="A2" s="26"/>
      <c r="B2" s="26"/>
      <c r="C2" s="26"/>
    </row>
    <row r="3" spans="1:6" x14ac:dyDescent="0.2">
      <c r="A3" s="1" t="s">
        <v>6</v>
      </c>
    </row>
    <row r="4" spans="1:6" x14ac:dyDescent="0.2">
      <c r="A4" s="2" t="s">
        <v>7</v>
      </c>
    </row>
    <row r="5" spans="1:6" x14ac:dyDescent="0.2">
      <c r="A5" s="3" t="s">
        <v>8</v>
      </c>
    </row>
    <row r="6" spans="1:6" x14ac:dyDescent="0.2">
      <c r="A6" s="4" t="s">
        <v>9</v>
      </c>
    </row>
    <row r="7" spans="1:6" x14ac:dyDescent="0.2">
      <c r="A7" s="5" t="s">
        <v>365</v>
      </c>
    </row>
    <row r="9" spans="1:6" x14ac:dyDescent="0.2">
      <c r="A9" s="1" t="s">
        <v>33</v>
      </c>
      <c r="B9" s="7">
        <f>GETPIVOTDATA("Sum of 1. Q7 - Agree",$A$11)/E21</f>
        <v>0.26923076923076922</v>
      </c>
      <c r="C9" s="7">
        <f>GETPIVOTDATA("Sum of 2. Q7 - Agree But With Further Comments",$A$11)/E21</f>
        <v>0.69230769230769229</v>
      </c>
      <c r="D9" s="7">
        <f>GETPIVOTDATA("Sum of 3. Q7 - Disagree",$A$11)/E21</f>
        <v>3.8461538461538464E-2</v>
      </c>
      <c r="E9" s="7">
        <f>E21/E21</f>
        <v>1</v>
      </c>
    </row>
    <row r="11" spans="1:6" s="12" customFormat="1" ht="28.15" customHeight="1" x14ac:dyDescent="0.25">
      <c r="A11" s="32" t="s">
        <v>40</v>
      </c>
      <c r="B11" s="33" t="s">
        <v>29</v>
      </c>
      <c r="C11" s="34" t="s">
        <v>30</v>
      </c>
      <c r="D11" s="35" t="s">
        <v>31</v>
      </c>
      <c r="E11" s="28" t="s">
        <v>21</v>
      </c>
      <c r="F11" s="29"/>
    </row>
    <row r="12" spans="1:6" ht="15" x14ac:dyDescent="0.25">
      <c r="A12" s="30" t="s">
        <v>10</v>
      </c>
      <c r="B12" s="31">
        <v>0</v>
      </c>
      <c r="C12" s="31">
        <v>2</v>
      </c>
      <c r="D12" s="31">
        <v>0</v>
      </c>
      <c r="E12" s="10">
        <f>SUM(B12:D12)</f>
        <v>2</v>
      </c>
      <c r="F12"/>
    </row>
    <row r="13" spans="1:6" ht="15" x14ac:dyDescent="0.25">
      <c r="A13" s="30" t="s">
        <v>11</v>
      </c>
      <c r="B13" s="31">
        <v>0</v>
      </c>
      <c r="C13" s="31">
        <v>0</v>
      </c>
      <c r="D13" s="31">
        <v>0</v>
      </c>
      <c r="E13" s="10">
        <f t="shared" ref="E13:E21" si="0">SUM(B13:D13)</f>
        <v>0</v>
      </c>
      <c r="F13"/>
    </row>
    <row r="14" spans="1:6" ht="15" x14ac:dyDescent="0.25">
      <c r="A14" s="30" t="s">
        <v>12</v>
      </c>
      <c r="B14" s="31">
        <v>1</v>
      </c>
      <c r="C14" s="31">
        <v>2</v>
      </c>
      <c r="D14" s="31">
        <v>0</v>
      </c>
      <c r="E14" s="10">
        <f t="shared" si="0"/>
        <v>3</v>
      </c>
      <c r="F14"/>
    </row>
    <row r="15" spans="1:6" ht="15" x14ac:dyDescent="0.25">
      <c r="A15" s="30" t="s">
        <v>13</v>
      </c>
      <c r="B15" s="31">
        <v>1</v>
      </c>
      <c r="C15" s="31">
        <v>11</v>
      </c>
      <c r="D15" s="31">
        <v>0</v>
      </c>
      <c r="E15" s="10">
        <f t="shared" si="0"/>
        <v>12</v>
      </c>
      <c r="F15"/>
    </row>
    <row r="16" spans="1:6" ht="15" x14ac:dyDescent="0.25">
      <c r="A16" s="30" t="s">
        <v>14</v>
      </c>
      <c r="B16" s="31">
        <v>8</v>
      </c>
      <c r="C16" s="31">
        <v>16</v>
      </c>
      <c r="D16" s="31">
        <v>0</v>
      </c>
      <c r="E16" s="10">
        <f t="shared" si="0"/>
        <v>24</v>
      </c>
      <c r="F16"/>
    </row>
    <row r="17" spans="1:6" ht="15" x14ac:dyDescent="0.25">
      <c r="A17" s="30" t="s">
        <v>15</v>
      </c>
      <c r="B17" s="31">
        <v>6</v>
      </c>
      <c r="C17" s="31">
        <v>1</v>
      </c>
      <c r="D17" s="31">
        <v>0</v>
      </c>
      <c r="E17" s="10">
        <f t="shared" si="0"/>
        <v>7</v>
      </c>
      <c r="F17"/>
    </row>
    <row r="18" spans="1:6" ht="15" x14ac:dyDescent="0.25">
      <c r="A18" s="30" t="s">
        <v>16</v>
      </c>
      <c r="B18" s="31">
        <v>3</v>
      </c>
      <c r="C18" s="31">
        <v>22</v>
      </c>
      <c r="D18" s="31">
        <v>3</v>
      </c>
      <c r="E18" s="10">
        <f t="shared" si="0"/>
        <v>28</v>
      </c>
      <c r="F18"/>
    </row>
    <row r="19" spans="1:6" ht="15" x14ac:dyDescent="0.25">
      <c r="A19" s="30" t="s">
        <v>17</v>
      </c>
      <c r="B19" s="31">
        <v>0</v>
      </c>
      <c r="C19" s="31">
        <v>0</v>
      </c>
      <c r="D19" s="31">
        <v>0</v>
      </c>
      <c r="E19" s="10">
        <f t="shared" si="0"/>
        <v>0</v>
      </c>
      <c r="F19"/>
    </row>
    <row r="20" spans="1:6" ht="15" x14ac:dyDescent="0.25">
      <c r="A20" s="30" t="s">
        <v>18</v>
      </c>
      <c r="B20" s="31">
        <v>2</v>
      </c>
      <c r="C20" s="31">
        <v>0</v>
      </c>
      <c r="D20" s="31">
        <v>0</v>
      </c>
      <c r="E20" s="10">
        <f t="shared" si="0"/>
        <v>2</v>
      </c>
      <c r="F20"/>
    </row>
    <row r="21" spans="1:6" ht="15" x14ac:dyDescent="0.25">
      <c r="A21" s="30" t="s">
        <v>3</v>
      </c>
      <c r="B21" s="31">
        <v>21</v>
      </c>
      <c r="C21" s="31">
        <v>54</v>
      </c>
      <c r="D21" s="31">
        <v>3</v>
      </c>
      <c r="E21" s="11">
        <f t="shared" si="0"/>
        <v>78</v>
      </c>
      <c r="F21"/>
    </row>
  </sheetData>
  <pageMargins left="0.7" right="0.7" top="0.75" bottom="0.75" header="0.3" footer="0.3"/>
  <pageSetup scale="80" orientation="landscape" verticalDpi="0" r:id="rId2"/>
  <headerFooter>
    <oddHeader>&amp;C&amp;"Arial,Regular"&amp;8Proposed ISA 220: NVivo MS Excel Report - Summary by Category
Q7 (Scalability)
IAASB Main Agenda (September 2019)&amp;R&amp;"Arial,Bold"&amp;18Agenda Item 8–A.5</oddHeader>
    <oddFooter>&amp;R&amp;"Arial,Regular"&amp;10&amp;P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42B2-0AF8-4591-BE3C-9473F2EFD3FF}">
  <dimension ref="A1:G19"/>
  <sheetViews>
    <sheetView view="pageBreakPreview" zoomScale="80" zoomScaleNormal="80" zoomScaleSheetLayoutView="80" workbookViewId="0">
      <selection activeCell="C1" sqref="C1"/>
    </sheetView>
  </sheetViews>
  <sheetFormatPr defaultColWidth="9.140625" defaultRowHeight="12.75" x14ac:dyDescent="0.2"/>
  <cols>
    <col min="1" max="1" width="55" style="6" bestFit="1" customWidth="1"/>
    <col min="2" max="2" width="13.28515625" style="6" bestFit="1" customWidth="1"/>
    <col min="3" max="3" width="20" style="6" bestFit="1" customWidth="1"/>
    <col min="4" max="4" width="17.42578125" style="6" bestFit="1" customWidth="1"/>
    <col min="5" max="5" width="9.85546875" style="6" bestFit="1" customWidth="1"/>
    <col min="6" max="6" width="10.5703125" style="6" bestFit="1" customWidth="1"/>
    <col min="7" max="7" width="12.5703125" style="6" bestFit="1" customWidth="1"/>
    <col min="8" max="16384" width="9.140625" style="6"/>
  </cols>
  <sheetData>
    <row r="1" spans="1:7" ht="64.900000000000006" customHeight="1" x14ac:dyDescent="0.2">
      <c r="A1" s="26" t="s">
        <v>32</v>
      </c>
      <c r="B1" s="26"/>
      <c r="C1" s="37" t="s">
        <v>376</v>
      </c>
    </row>
    <row r="3" spans="1:7" x14ac:dyDescent="0.2">
      <c r="A3" s="1" t="s">
        <v>6</v>
      </c>
    </row>
    <row r="4" spans="1:7" x14ac:dyDescent="0.2">
      <c r="A4" s="2" t="s">
        <v>7</v>
      </c>
    </row>
    <row r="5" spans="1:7" x14ac:dyDescent="0.2">
      <c r="A5" s="3" t="s">
        <v>8</v>
      </c>
    </row>
    <row r="6" spans="1:7" x14ac:dyDescent="0.2">
      <c r="A6" s="4" t="s">
        <v>9</v>
      </c>
    </row>
    <row r="7" spans="1:7" x14ac:dyDescent="0.2">
      <c r="A7" s="5" t="s">
        <v>365</v>
      </c>
    </row>
    <row r="9" spans="1:7" s="12" customFormat="1" ht="38.25" x14ac:dyDescent="0.2">
      <c r="A9" s="32" t="s">
        <v>40</v>
      </c>
      <c r="B9" s="33" t="s">
        <v>29</v>
      </c>
      <c r="C9" s="34" t="s">
        <v>30</v>
      </c>
      <c r="D9" s="34" t="s">
        <v>34</v>
      </c>
      <c r="E9" s="34" t="s">
        <v>35</v>
      </c>
      <c r="F9" s="34" t="s">
        <v>364</v>
      </c>
      <c r="G9" s="35" t="s">
        <v>31</v>
      </c>
    </row>
    <row r="10" spans="1:7" x14ac:dyDescent="0.2">
      <c r="A10" s="30" t="s">
        <v>10</v>
      </c>
      <c r="B10" s="31">
        <v>0</v>
      </c>
      <c r="C10" s="31">
        <v>2</v>
      </c>
      <c r="D10" s="31">
        <v>0</v>
      </c>
      <c r="E10" s="31">
        <v>0</v>
      </c>
      <c r="F10" s="31">
        <v>2</v>
      </c>
      <c r="G10" s="31">
        <v>0</v>
      </c>
    </row>
    <row r="11" spans="1:7" x14ac:dyDescent="0.2">
      <c r="A11" s="30" t="s">
        <v>11</v>
      </c>
      <c r="B11" s="31">
        <v>0</v>
      </c>
      <c r="C11" s="31">
        <v>0</v>
      </c>
      <c r="D11" s="31">
        <v>0</v>
      </c>
      <c r="E11" s="31">
        <v>0</v>
      </c>
      <c r="F11" s="31">
        <v>0</v>
      </c>
      <c r="G11" s="31">
        <v>0</v>
      </c>
    </row>
    <row r="12" spans="1:7" x14ac:dyDescent="0.2">
      <c r="A12" s="30" t="s">
        <v>12</v>
      </c>
      <c r="B12" s="31">
        <v>1</v>
      </c>
      <c r="C12" s="31">
        <v>2</v>
      </c>
      <c r="D12" s="31">
        <v>0</v>
      </c>
      <c r="E12" s="31">
        <v>2</v>
      </c>
      <c r="F12" s="31">
        <v>0</v>
      </c>
      <c r="G12" s="31">
        <v>0</v>
      </c>
    </row>
    <row r="13" spans="1:7" x14ac:dyDescent="0.2">
      <c r="A13" s="30" t="s">
        <v>13</v>
      </c>
      <c r="B13" s="31">
        <v>1</v>
      </c>
      <c r="C13" s="31">
        <v>11</v>
      </c>
      <c r="D13" s="31">
        <v>4</v>
      </c>
      <c r="E13" s="31">
        <v>6</v>
      </c>
      <c r="F13" s="31">
        <v>2</v>
      </c>
      <c r="G13" s="31">
        <v>0</v>
      </c>
    </row>
    <row r="14" spans="1:7" x14ac:dyDescent="0.2">
      <c r="A14" s="30" t="s">
        <v>14</v>
      </c>
      <c r="B14" s="31">
        <v>8</v>
      </c>
      <c r="C14" s="31">
        <v>16</v>
      </c>
      <c r="D14" s="31">
        <v>0</v>
      </c>
      <c r="E14" s="31">
        <v>13</v>
      </c>
      <c r="F14" s="31">
        <v>3</v>
      </c>
      <c r="G14" s="31">
        <v>0</v>
      </c>
    </row>
    <row r="15" spans="1:7" x14ac:dyDescent="0.2">
      <c r="A15" s="30" t="s">
        <v>15</v>
      </c>
      <c r="B15" s="31">
        <v>6</v>
      </c>
      <c r="C15" s="31">
        <v>1</v>
      </c>
      <c r="D15" s="31">
        <v>0</v>
      </c>
      <c r="E15" s="31">
        <v>0</v>
      </c>
      <c r="F15" s="31">
        <v>1</v>
      </c>
      <c r="G15" s="31">
        <v>0</v>
      </c>
    </row>
    <row r="16" spans="1:7" x14ac:dyDescent="0.2">
      <c r="A16" s="30" t="s">
        <v>16</v>
      </c>
      <c r="B16" s="31">
        <v>3</v>
      </c>
      <c r="C16" s="31">
        <v>22</v>
      </c>
      <c r="D16" s="31">
        <v>6</v>
      </c>
      <c r="E16" s="31">
        <v>14</v>
      </c>
      <c r="F16" s="31">
        <v>6</v>
      </c>
      <c r="G16" s="31">
        <v>3</v>
      </c>
    </row>
    <row r="17" spans="1:7" x14ac:dyDescent="0.2">
      <c r="A17" s="30" t="s">
        <v>17</v>
      </c>
      <c r="B17" s="31">
        <v>0</v>
      </c>
      <c r="C17" s="31">
        <v>0</v>
      </c>
      <c r="D17" s="31">
        <v>0</v>
      </c>
      <c r="E17" s="31">
        <v>0</v>
      </c>
      <c r="F17" s="31">
        <v>0</v>
      </c>
      <c r="G17" s="31">
        <v>0</v>
      </c>
    </row>
    <row r="18" spans="1:7" x14ac:dyDescent="0.2">
      <c r="A18" s="30" t="s">
        <v>18</v>
      </c>
      <c r="B18" s="31">
        <v>2</v>
      </c>
      <c r="C18" s="31">
        <v>0</v>
      </c>
      <c r="D18" s="31">
        <v>0</v>
      </c>
      <c r="E18" s="31">
        <v>0</v>
      </c>
      <c r="F18" s="31">
        <v>0</v>
      </c>
      <c r="G18" s="31">
        <v>0</v>
      </c>
    </row>
    <row r="19" spans="1:7" x14ac:dyDescent="0.2">
      <c r="A19" s="30" t="s">
        <v>3</v>
      </c>
      <c r="B19" s="31">
        <v>21</v>
      </c>
      <c r="C19" s="31">
        <v>54</v>
      </c>
      <c r="D19" s="31">
        <v>10</v>
      </c>
      <c r="E19" s="31">
        <v>35</v>
      </c>
      <c r="F19" s="31">
        <v>14</v>
      </c>
      <c r="G19" s="31">
        <v>3</v>
      </c>
    </row>
  </sheetData>
  <pageMargins left="0.7" right="0.7" top="0.75" bottom="0.75" header="0.3" footer="0.3"/>
  <pageSetup scale="80" orientation="landscape" verticalDpi="0" r:id="rId2"/>
  <headerFooter>
    <oddHeader>&amp;C&amp;"Arial,Regular"&amp;8Proposed ISA 220: NVivo MS Excel Report - Summary by Theme 
Q7 (Scalability)
IAASB Main Agenda (September 2019) &amp;R&amp;"Arial,Bold"&amp;18Agenda Item 8–A.6</oddHeader>
    <oddFooter>&amp;R&amp;"Arial,Regular"&amp;10&amp;P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E9BC-CC54-433F-B867-8857FB3CE38B}">
  <dimension ref="A1:D21"/>
  <sheetViews>
    <sheetView view="pageBreakPreview" zoomScale="80" zoomScaleNormal="80" zoomScaleSheetLayoutView="80" workbookViewId="0">
      <selection activeCell="J23" sqref="J23"/>
    </sheetView>
  </sheetViews>
  <sheetFormatPr defaultColWidth="9.140625" defaultRowHeight="12.75" x14ac:dyDescent="0.2"/>
  <cols>
    <col min="1" max="1" width="53.7109375" style="6" bestFit="1" customWidth="1"/>
    <col min="2" max="3" width="21.85546875" style="6" customWidth="1"/>
    <col min="4" max="4" width="12" style="6" customWidth="1"/>
    <col min="5" max="16384" width="9.140625" style="6"/>
  </cols>
  <sheetData>
    <row r="1" spans="1:4" ht="63.75" x14ac:dyDescent="0.2">
      <c r="A1" s="26" t="s">
        <v>354</v>
      </c>
      <c r="B1" s="26"/>
      <c r="C1" s="37" t="s">
        <v>377</v>
      </c>
    </row>
    <row r="2" spans="1:4" x14ac:dyDescent="0.2">
      <c r="A2" s="26"/>
      <c r="B2" s="26"/>
      <c r="C2" s="26"/>
    </row>
    <row r="3" spans="1:4" x14ac:dyDescent="0.2">
      <c r="A3" s="1" t="s">
        <v>6</v>
      </c>
    </row>
    <row r="4" spans="1:4" x14ac:dyDescent="0.2">
      <c r="A4" s="2" t="s">
        <v>7</v>
      </c>
    </row>
    <row r="5" spans="1:4" x14ac:dyDescent="0.2">
      <c r="A5" s="3" t="s">
        <v>8</v>
      </c>
    </row>
    <row r="6" spans="1:4" x14ac:dyDescent="0.2">
      <c r="A6" s="4" t="s">
        <v>9</v>
      </c>
    </row>
    <row r="7" spans="1:4" ht="25.5" x14ac:dyDescent="0.2">
      <c r="A7" s="5" t="s">
        <v>365</v>
      </c>
    </row>
    <row r="9" spans="1:4" x14ac:dyDescent="0.2">
      <c r="A9" s="1" t="s">
        <v>33</v>
      </c>
      <c r="B9" s="7">
        <f>GETPIVOTDATA("Sum of 1. Q5 - Agree",$A$11)/D21</f>
        <v>0.64473684210526316</v>
      </c>
      <c r="C9" s="7">
        <f>GETPIVOTDATA("Sum of 2. Q5 - Agree But With Further Comments",$A$11)/D21</f>
        <v>0.35526315789473684</v>
      </c>
      <c r="D9" s="7">
        <f>D21/D21</f>
        <v>1</v>
      </c>
    </row>
    <row r="11" spans="1:4" s="12" customFormat="1" ht="38.25" x14ac:dyDescent="0.2">
      <c r="A11" s="23" t="s">
        <v>40</v>
      </c>
      <c r="B11" s="2" t="s">
        <v>352</v>
      </c>
      <c r="C11" s="3" t="s">
        <v>353</v>
      </c>
      <c r="D11" s="25" t="s">
        <v>362</v>
      </c>
    </row>
    <row r="12" spans="1:4" x14ac:dyDescent="0.2">
      <c r="A12" s="21" t="s">
        <v>10</v>
      </c>
      <c r="B12" s="22">
        <v>0</v>
      </c>
      <c r="C12" s="22">
        <v>0</v>
      </c>
      <c r="D12" s="10">
        <f>SUM(B12:C12)</f>
        <v>0</v>
      </c>
    </row>
    <row r="13" spans="1:4" x14ac:dyDescent="0.2">
      <c r="A13" s="21" t="s">
        <v>11</v>
      </c>
      <c r="B13" s="22">
        <v>0</v>
      </c>
      <c r="C13" s="22">
        <v>0</v>
      </c>
      <c r="D13" s="10">
        <f t="shared" ref="D13:D20" si="0">SUM(B13:C13)</f>
        <v>0</v>
      </c>
    </row>
    <row r="14" spans="1:4" x14ac:dyDescent="0.2">
      <c r="A14" s="21" t="s">
        <v>12</v>
      </c>
      <c r="B14" s="22">
        <v>1</v>
      </c>
      <c r="C14" s="22">
        <v>2</v>
      </c>
      <c r="D14" s="10">
        <f t="shared" si="0"/>
        <v>3</v>
      </c>
    </row>
    <row r="15" spans="1:4" x14ac:dyDescent="0.2">
      <c r="A15" s="21" t="s">
        <v>13</v>
      </c>
      <c r="B15" s="22">
        <v>9</v>
      </c>
      <c r="C15" s="22">
        <v>3</v>
      </c>
      <c r="D15" s="10">
        <f t="shared" si="0"/>
        <v>12</v>
      </c>
    </row>
    <row r="16" spans="1:4" x14ac:dyDescent="0.2">
      <c r="A16" s="21" t="s">
        <v>14</v>
      </c>
      <c r="B16" s="22">
        <v>16</v>
      </c>
      <c r="C16" s="22">
        <v>7</v>
      </c>
      <c r="D16" s="10">
        <f t="shared" si="0"/>
        <v>23</v>
      </c>
    </row>
    <row r="17" spans="1:4" x14ac:dyDescent="0.2">
      <c r="A17" s="21" t="s">
        <v>15</v>
      </c>
      <c r="B17" s="22">
        <v>4</v>
      </c>
      <c r="C17" s="22">
        <v>5</v>
      </c>
      <c r="D17" s="10">
        <f t="shared" si="0"/>
        <v>9</v>
      </c>
    </row>
    <row r="18" spans="1:4" x14ac:dyDescent="0.2">
      <c r="A18" s="21" t="s">
        <v>16</v>
      </c>
      <c r="B18" s="22">
        <v>17</v>
      </c>
      <c r="C18" s="22">
        <v>8</v>
      </c>
      <c r="D18" s="10">
        <f t="shared" si="0"/>
        <v>25</v>
      </c>
    </row>
    <row r="19" spans="1:4" x14ac:dyDescent="0.2">
      <c r="A19" s="21" t="s">
        <v>17</v>
      </c>
      <c r="B19" s="22">
        <v>0</v>
      </c>
      <c r="C19" s="22">
        <v>2</v>
      </c>
      <c r="D19" s="10">
        <f t="shared" si="0"/>
        <v>2</v>
      </c>
    </row>
    <row r="20" spans="1:4" x14ac:dyDescent="0.2">
      <c r="A20" s="21" t="s">
        <v>18</v>
      </c>
      <c r="B20" s="22">
        <v>2</v>
      </c>
      <c r="C20" s="22">
        <v>0</v>
      </c>
      <c r="D20" s="10">
        <f t="shared" si="0"/>
        <v>2</v>
      </c>
    </row>
    <row r="21" spans="1:4" x14ac:dyDescent="0.2">
      <c r="A21" s="21" t="s">
        <v>3</v>
      </c>
      <c r="B21" s="22">
        <v>49</v>
      </c>
      <c r="C21" s="22">
        <v>27</v>
      </c>
      <c r="D21" s="11">
        <f>SUM(D12:D20)</f>
        <v>76</v>
      </c>
    </row>
  </sheetData>
  <pageMargins left="0.7" right="0.7" top="0.75" bottom="0.75" header="0.3" footer="0.3"/>
  <pageSetup scale="80" orientation="landscape" verticalDpi="0" r:id="rId2"/>
  <headerFooter>
    <oddHeader>&amp;C&amp;"Arial,Regular"&amp;8Proposed ISA 220: NVivo MS Excel Report - Summary by Category
Q5 (Direction, Supervision and Review)
IAASB Main Agenda (September 2019)&amp;R&amp;"Arial,Bold"&amp;18Agenda Item 8–A.7</oddHeader>
    <oddFooter>&amp;R&amp;P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316CC-B05D-411D-B280-0F10DEFB920E}">
  <dimension ref="A1:E21"/>
  <sheetViews>
    <sheetView view="pageBreakPreview" zoomScale="80" zoomScaleNormal="80" zoomScaleSheetLayoutView="80" workbookViewId="0">
      <selection activeCell="J13" sqref="J13"/>
    </sheetView>
  </sheetViews>
  <sheetFormatPr defaultColWidth="9.140625" defaultRowHeight="12.75" x14ac:dyDescent="0.2"/>
  <cols>
    <col min="1" max="1" width="53.7109375" style="6" bestFit="1" customWidth="1"/>
    <col min="2" max="4" width="21.140625" style="6" customWidth="1"/>
    <col min="5" max="5" width="14.28515625" style="6" bestFit="1" customWidth="1"/>
    <col min="6" max="16384" width="9.140625" style="6"/>
  </cols>
  <sheetData>
    <row r="1" spans="1:5" ht="97.5" customHeight="1" x14ac:dyDescent="0.2">
      <c r="A1" s="26" t="s">
        <v>361</v>
      </c>
      <c r="B1" s="26"/>
      <c r="C1" s="37" t="s">
        <v>378</v>
      </c>
    </row>
    <row r="2" spans="1:5" x14ac:dyDescent="0.2">
      <c r="A2" s="26"/>
      <c r="B2" s="26"/>
      <c r="C2" s="26"/>
    </row>
    <row r="3" spans="1:5" x14ac:dyDescent="0.2">
      <c r="A3" s="1" t="s">
        <v>6</v>
      </c>
    </row>
    <row r="4" spans="1:5" x14ac:dyDescent="0.2">
      <c r="A4" s="2" t="s">
        <v>7</v>
      </c>
    </row>
    <row r="5" spans="1:5" x14ac:dyDescent="0.2">
      <c r="A5" s="3" t="s">
        <v>8</v>
      </c>
    </row>
    <row r="6" spans="1:5" x14ac:dyDescent="0.2">
      <c r="A6" s="4" t="s">
        <v>9</v>
      </c>
    </row>
    <row r="7" spans="1:5" ht="25.5" x14ac:dyDescent="0.2">
      <c r="A7" s="5" t="s">
        <v>365</v>
      </c>
    </row>
    <row r="9" spans="1:5" x14ac:dyDescent="0.2">
      <c r="A9" s="1" t="s">
        <v>20</v>
      </c>
      <c r="B9" s="7">
        <f>GETPIVOTDATA("Sum of 1. Q2 - Agree",$A$11)/E21</f>
        <v>0.29069767441860467</v>
      </c>
      <c r="C9" s="7">
        <f>GETPIVOTDATA("Sum of 2. Q2 - Agree But With Further Comments",$A$11)/E21</f>
        <v>0.67441860465116277</v>
      </c>
      <c r="D9" s="7">
        <f>GETPIVOTDATA("Sum of 3. Q2 - Disagree",$A$11)/E21</f>
        <v>3.4883720930232558E-2</v>
      </c>
      <c r="E9" s="7">
        <f>E21/E21</f>
        <v>1</v>
      </c>
    </row>
    <row r="11" spans="1:5" s="12" customFormat="1" ht="38.25" x14ac:dyDescent="0.2">
      <c r="A11" s="23" t="s">
        <v>2</v>
      </c>
      <c r="B11" s="2" t="s">
        <v>358</v>
      </c>
      <c r="C11" s="3" t="s">
        <v>359</v>
      </c>
      <c r="D11" s="4" t="s">
        <v>360</v>
      </c>
      <c r="E11" s="24" t="s">
        <v>21</v>
      </c>
    </row>
    <row r="12" spans="1:5" x14ac:dyDescent="0.2">
      <c r="A12" s="21" t="s">
        <v>10</v>
      </c>
      <c r="B12" s="22">
        <v>0</v>
      </c>
      <c r="C12" s="22">
        <v>4</v>
      </c>
      <c r="D12" s="22">
        <v>0</v>
      </c>
      <c r="E12" s="10">
        <f>SUM(B12:D12)</f>
        <v>4</v>
      </c>
    </row>
    <row r="13" spans="1:5" x14ac:dyDescent="0.2">
      <c r="A13" s="21" t="s">
        <v>11</v>
      </c>
      <c r="B13" s="22">
        <v>0</v>
      </c>
      <c r="C13" s="22">
        <v>0</v>
      </c>
      <c r="D13" s="22">
        <v>0</v>
      </c>
      <c r="E13" s="10">
        <f t="shared" ref="E13:E21" si="0">SUM(B13:D13)</f>
        <v>0</v>
      </c>
    </row>
    <row r="14" spans="1:5" x14ac:dyDescent="0.2">
      <c r="A14" s="21" t="s">
        <v>12</v>
      </c>
      <c r="B14" s="22">
        <v>1</v>
      </c>
      <c r="C14" s="22">
        <v>3</v>
      </c>
      <c r="D14" s="22">
        <v>0</v>
      </c>
      <c r="E14" s="10">
        <f t="shared" si="0"/>
        <v>4</v>
      </c>
    </row>
    <row r="15" spans="1:5" x14ac:dyDescent="0.2">
      <c r="A15" s="21" t="s">
        <v>13</v>
      </c>
      <c r="B15" s="22">
        <v>5</v>
      </c>
      <c r="C15" s="22">
        <v>8</v>
      </c>
      <c r="D15" s="22">
        <v>2</v>
      </c>
      <c r="E15" s="10">
        <f t="shared" si="0"/>
        <v>15</v>
      </c>
    </row>
    <row r="16" spans="1:5" x14ac:dyDescent="0.2">
      <c r="A16" s="21" t="s">
        <v>14</v>
      </c>
      <c r="B16" s="22">
        <v>9</v>
      </c>
      <c r="C16" s="22">
        <v>16</v>
      </c>
      <c r="D16" s="22">
        <v>0</v>
      </c>
      <c r="E16" s="10">
        <f t="shared" si="0"/>
        <v>25</v>
      </c>
    </row>
    <row r="17" spans="1:5" x14ac:dyDescent="0.2">
      <c r="A17" s="21" t="s">
        <v>15</v>
      </c>
      <c r="B17" s="22">
        <v>3</v>
      </c>
      <c r="C17" s="22">
        <v>7</v>
      </c>
      <c r="D17" s="22">
        <v>0</v>
      </c>
      <c r="E17" s="10">
        <f t="shared" si="0"/>
        <v>10</v>
      </c>
    </row>
    <row r="18" spans="1:5" x14ac:dyDescent="0.2">
      <c r="A18" s="21" t="s">
        <v>16</v>
      </c>
      <c r="B18" s="22">
        <v>7</v>
      </c>
      <c r="C18" s="22">
        <v>18</v>
      </c>
      <c r="D18" s="22">
        <v>0</v>
      </c>
      <c r="E18" s="10">
        <f t="shared" si="0"/>
        <v>25</v>
      </c>
    </row>
    <row r="19" spans="1:5" x14ac:dyDescent="0.2">
      <c r="A19" s="21" t="s">
        <v>17</v>
      </c>
      <c r="B19" s="22">
        <v>0</v>
      </c>
      <c r="C19" s="22">
        <v>1</v>
      </c>
      <c r="D19" s="22">
        <v>0</v>
      </c>
      <c r="E19" s="10">
        <f t="shared" si="0"/>
        <v>1</v>
      </c>
    </row>
    <row r="20" spans="1:5" x14ac:dyDescent="0.2">
      <c r="A20" s="21" t="s">
        <v>18</v>
      </c>
      <c r="B20" s="22">
        <v>0</v>
      </c>
      <c r="C20" s="22">
        <v>1</v>
      </c>
      <c r="D20" s="22">
        <v>1</v>
      </c>
      <c r="E20" s="10">
        <f t="shared" si="0"/>
        <v>2</v>
      </c>
    </row>
    <row r="21" spans="1:5" x14ac:dyDescent="0.2">
      <c r="A21" s="21" t="s">
        <v>3</v>
      </c>
      <c r="B21" s="22">
        <v>25</v>
      </c>
      <c r="C21" s="22">
        <v>58</v>
      </c>
      <c r="D21" s="22">
        <v>3</v>
      </c>
      <c r="E21" s="11">
        <f t="shared" si="0"/>
        <v>86</v>
      </c>
    </row>
  </sheetData>
  <pageMargins left="0.7" right="0.7" top="0.75" bottom="0.75" header="0.3" footer="0.3"/>
  <pageSetup scale="80" orientation="landscape" verticalDpi="0" r:id="rId2"/>
  <headerFooter>
    <oddHeader>&amp;C&amp;"Arial,Regular"&amp;8Proposed ISA 220: NVivo MS Excel Report - Summary by Category 
Q2 (Depending on the Firm's Policies 
or Procedures)
IAASB Main Agenda (September 2019)&amp;R&amp;"Arial,Bold"&amp;18Agenda Item 8–A.8</oddHeader>
    <oddFooter>&amp;R&amp;P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1F13-C360-4278-81BF-F6E2153B27CB}">
  <sheetPr>
    <outlinePr summaryBelow="0"/>
  </sheetPr>
  <dimension ref="A1:AH92"/>
  <sheetViews>
    <sheetView zoomScaleNormal="100" workbookViewId="0">
      <pane xSplit="3" ySplit="1" topLeftCell="P52" activePane="bottomRight" state="frozen"/>
      <selection pane="topRight" activeCell="D1" sqref="D1"/>
      <selection pane="bottomLeft" activeCell="A2" sqref="A2"/>
      <selection pane="bottomRight" activeCell="AD76" sqref="AD76"/>
    </sheetView>
  </sheetViews>
  <sheetFormatPr defaultColWidth="9.140625" defaultRowHeight="15" x14ac:dyDescent="0.25"/>
  <cols>
    <col min="1" max="1" width="19.7109375" style="14" bestFit="1" customWidth="1"/>
    <col min="2" max="2" width="10.85546875" style="14" customWidth="1"/>
    <col min="3" max="3" width="17.28515625" style="14" customWidth="1"/>
    <col min="4" max="4" width="45.7109375" style="14" customWidth="1"/>
    <col min="5" max="5" width="47.7109375" style="14" customWidth="1"/>
    <col min="6" max="16384" width="9.140625" style="14"/>
  </cols>
  <sheetData>
    <row r="1" spans="1:34" s="17" customFormat="1" ht="84" x14ac:dyDescent="0.25">
      <c r="A1" s="17" t="s">
        <v>36</v>
      </c>
      <c r="B1" s="17" t="s">
        <v>37</v>
      </c>
      <c r="C1" s="17" t="s">
        <v>38</v>
      </c>
      <c r="D1" s="17" t="s">
        <v>39</v>
      </c>
      <c r="E1" s="17" t="s">
        <v>40</v>
      </c>
      <c r="F1" s="18" t="s">
        <v>41</v>
      </c>
      <c r="G1" s="18" t="s">
        <v>42</v>
      </c>
      <c r="H1" s="18" t="s">
        <v>43</v>
      </c>
      <c r="I1" s="18" t="s">
        <v>44</v>
      </c>
      <c r="J1" s="18" t="s">
        <v>45</v>
      </c>
      <c r="K1" s="18" t="s">
        <v>46</v>
      </c>
      <c r="L1" s="18" t="s">
        <v>47</v>
      </c>
      <c r="M1" s="18" t="s">
        <v>48</v>
      </c>
      <c r="N1" s="18" t="s">
        <v>49</v>
      </c>
      <c r="O1" s="18" t="s">
        <v>50</v>
      </c>
      <c r="P1" s="18" t="s">
        <v>51</v>
      </c>
      <c r="Q1" s="18" t="s">
        <v>366</v>
      </c>
      <c r="R1" s="18" t="s">
        <v>367</v>
      </c>
      <c r="S1" s="18" t="s">
        <v>52</v>
      </c>
      <c r="T1" s="18" t="s">
        <v>53</v>
      </c>
      <c r="U1" s="18" t="s">
        <v>54</v>
      </c>
      <c r="V1" s="18" t="s">
        <v>55</v>
      </c>
      <c r="W1" s="18" t="s">
        <v>56</v>
      </c>
      <c r="X1" s="18" t="s">
        <v>57</v>
      </c>
      <c r="Y1" s="18" t="s">
        <v>58</v>
      </c>
      <c r="Z1" s="18" t="s">
        <v>59</v>
      </c>
      <c r="AA1" s="18" t="s">
        <v>60</v>
      </c>
      <c r="AB1" s="18" t="s">
        <v>61</v>
      </c>
      <c r="AC1" s="18" t="s">
        <v>62</v>
      </c>
      <c r="AD1" s="18" t="s">
        <v>350</v>
      </c>
      <c r="AE1" s="18" t="s">
        <v>351</v>
      </c>
      <c r="AF1" s="18" t="s">
        <v>355</v>
      </c>
      <c r="AG1" s="18" t="s">
        <v>356</v>
      </c>
      <c r="AH1" s="18" t="s">
        <v>357</v>
      </c>
    </row>
    <row r="2" spans="1:34" x14ac:dyDescent="0.25">
      <c r="A2" s="14" t="s">
        <v>63</v>
      </c>
      <c r="B2" s="15" t="s">
        <v>64</v>
      </c>
      <c r="C2" s="14" t="s">
        <v>65</v>
      </c>
      <c r="D2" s="14" t="s">
        <v>66</v>
      </c>
      <c r="E2" s="14" t="s">
        <v>17</v>
      </c>
      <c r="F2" s="16">
        <v>0</v>
      </c>
      <c r="G2" s="16">
        <v>1</v>
      </c>
      <c r="H2" s="16">
        <v>0</v>
      </c>
      <c r="I2" s="16">
        <v>0</v>
      </c>
      <c r="J2" s="16">
        <v>0</v>
      </c>
      <c r="K2" s="16">
        <v>0</v>
      </c>
      <c r="L2" s="16">
        <v>0</v>
      </c>
      <c r="M2" s="16">
        <v>0</v>
      </c>
      <c r="N2" s="16">
        <v>0</v>
      </c>
      <c r="O2" s="16">
        <v>0</v>
      </c>
      <c r="P2" s="16">
        <v>1</v>
      </c>
      <c r="Q2" s="16">
        <v>0</v>
      </c>
      <c r="R2" s="16">
        <v>0</v>
      </c>
      <c r="S2" s="16">
        <v>1</v>
      </c>
      <c r="T2" s="16">
        <v>0</v>
      </c>
      <c r="U2" s="16">
        <v>0</v>
      </c>
      <c r="V2" s="16">
        <v>0</v>
      </c>
      <c r="W2" s="16">
        <v>0</v>
      </c>
      <c r="X2" s="16">
        <v>0</v>
      </c>
      <c r="Y2" s="16">
        <v>0</v>
      </c>
      <c r="Z2" s="16">
        <v>0</v>
      </c>
      <c r="AA2" s="16">
        <v>0</v>
      </c>
      <c r="AB2" s="16">
        <v>0</v>
      </c>
      <c r="AC2" s="16">
        <v>0</v>
      </c>
      <c r="AD2" s="16">
        <v>0</v>
      </c>
      <c r="AE2" s="16">
        <v>1</v>
      </c>
      <c r="AF2" s="16">
        <v>0</v>
      </c>
      <c r="AG2" s="16">
        <v>0</v>
      </c>
      <c r="AH2" s="16">
        <v>0</v>
      </c>
    </row>
    <row r="3" spans="1:34" x14ac:dyDescent="0.25">
      <c r="A3" s="14" t="s">
        <v>67</v>
      </c>
      <c r="B3" s="15" t="s">
        <v>68</v>
      </c>
      <c r="C3" s="14" t="s">
        <v>69</v>
      </c>
      <c r="D3" s="14" t="s">
        <v>70</v>
      </c>
      <c r="E3" s="14" t="s">
        <v>15</v>
      </c>
      <c r="F3" s="16">
        <v>0</v>
      </c>
      <c r="G3" s="16">
        <v>1</v>
      </c>
      <c r="H3" s="16">
        <v>0</v>
      </c>
      <c r="I3" s="16">
        <v>0</v>
      </c>
      <c r="J3" s="16">
        <v>0</v>
      </c>
      <c r="K3" s="16">
        <v>0</v>
      </c>
      <c r="L3" s="16">
        <v>0</v>
      </c>
      <c r="M3" s="16">
        <v>0</v>
      </c>
      <c r="N3" s="16">
        <v>0</v>
      </c>
      <c r="O3" s="16">
        <v>0</v>
      </c>
      <c r="P3" s="16">
        <v>0</v>
      </c>
      <c r="Q3" s="16">
        <v>0</v>
      </c>
      <c r="R3" s="16">
        <v>0</v>
      </c>
      <c r="S3" s="16">
        <v>0</v>
      </c>
      <c r="T3" s="16">
        <v>0</v>
      </c>
      <c r="U3" s="16">
        <v>0</v>
      </c>
      <c r="V3" s="16">
        <v>0</v>
      </c>
      <c r="W3" s="16">
        <v>0</v>
      </c>
      <c r="X3" s="16">
        <v>1</v>
      </c>
      <c r="Y3" s="16">
        <v>0</v>
      </c>
      <c r="Z3" s="16">
        <v>0</v>
      </c>
      <c r="AA3" s="16">
        <v>0</v>
      </c>
      <c r="AB3" s="16">
        <v>0</v>
      </c>
      <c r="AC3" s="16">
        <v>0</v>
      </c>
      <c r="AD3" s="16">
        <v>0</v>
      </c>
      <c r="AE3" s="16">
        <v>1</v>
      </c>
      <c r="AF3" s="16">
        <v>0</v>
      </c>
      <c r="AG3" s="16">
        <v>1</v>
      </c>
      <c r="AH3" s="16">
        <v>0</v>
      </c>
    </row>
    <row r="4" spans="1:34" x14ac:dyDescent="0.25">
      <c r="A4" s="14" t="s">
        <v>71</v>
      </c>
      <c r="B4" s="15" t="s">
        <v>72</v>
      </c>
      <c r="C4" s="14" t="s">
        <v>73</v>
      </c>
      <c r="D4" s="14" t="s">
        <v>74</v>
      </c>
      <c r="E4" s="14" t="s">
        <v>16</v>
      </c>
      <c r="F4" s="16">
        <v>0</v>
      </c>
      <c r="G4" s="16">
        <v>1</v>
      </c>
      <c r="H4" s="16">
        <v>0</v>
      </c>
      <c r="I4" s="16">
        <v>0</v>
      </c>
      <c r="J4" s="16">
        <v>0</v>
      </c>
      <c r="K4" s="16">
        <v>0</v>
      </c>
      <c r="L4" s="16">
        <v>0</v>
      </c>
      <c r="M4" s="16">
        <v>0</v>
      </c>
      <c r="N4" s="16">
        <v>0</v>
      </c>
      <c r="O4" s="16">
        <v>0</v>
      </c>
      <c r="P4" s="16">
        <v>0</v>
      </c>
      <c r="Q4" s="16">
        <v>0</v>
      </c>
      <c r="R4" s="16">
        <v>1</v>
      </c>
      <c r="S4" s="16">
        <v>0</v>
      </c>
      <c r="T4" s="16">
        <v>0</v>
      </c>
      <c r="U4" s="16">
        <v>0</v>
      </c>
      <c r="V4" s="16">
        <v>0</v>
      </c>
      <c r="W4" s="16">
        <v>0</v>
      </c>
      <c r="X4" s="16">
        <v>0</v>
      </c>
      <c r="Y4" s="16">
        <v>1</v>
      </c>
      <c r="Z4" s="16">
        <v>0</v>
      </c>
      <c r="AA4" s="16">
        <v>0</v>
      </c>
      <c r="AB4" s="16">
        <v>1</v>
      </c>
      <c r="AC4" s="16">
        <v>0</v>
      </c>
      <c r="AD4" s="16">
        <v>1</v>
      </c>
      <c r="AE4" s="16">
        <v>0</v>
      </c>
      <c r="AF4" s="16">
        <v>0</v>
      </c>
      <c r="AG4" s="16">
        <v>1</v>
      </c>
      <c r="AH4" s="16">
        <v>0</v>
      </c>
    </row>
    <row r="5" spans="1:34" x14ac:dyDescent="0.25">
      <c r="A5" s="14" t="s">
        <v>75</v>
      </c>
      <c r="B5" s="15" t="s">
        <v>69</v>
      </c>
      <c r="C5" s="14" t="s">
        <v>76</v>
      </c>
      <c r="D5" s="14" t="s">
        <v>77</v>
      </c>
      <c r="E5" s="14" t="s">
        <v>16</v>
      </c>
      <c r="F5" s="16">
        <v>0</v>
      </c>
      <c r="G5" s="16">
        <v>1</v>
      </c>
      <c r="H5" s="16">
        <v>0</v>
      </c>
      <c r="I5" s="16">
        <v>0</v>
      </c>
      <c r="J5" s="16">
        <v>1</v>
      </c>
      <c r="K5" s="16">
        <v>0</v>
      </c>
      <c r="L5" s="16">
        <v>0</v>
      </c>
      <c r="M5" s="16">
        <v>0</v>
      </c>
      <c r="N5" s="16">
        <v>0</v>
      </c>
      <c r="O5" s="16">
        <v>0</v>
      </c>
      <c r="P5" s="16">
        <v>0</v>
      </c>
      <c r="Q5" s="16">
        <v>0</v>
      </c>
      <c r="R5" s="16">
        <v>1</v>
      </c>
      <c r="S5" s="16">
        <v>0</v>
      </c>
      <c r="T5" s="16">
        <v>0</v>
      </c>
      <c r="U5" s="16">
        <v>0</v>
      </c>
      <c r="V5" s="16">
        <v>0</v>
      </c>
      <c r="W5" s="16">
        <v>0</v>
      </c>
      <c r="X5" s="16">
        <v>0</v>
      </c>
      <c r="Y5" s="16">
        <v>1</v>
      </c>
      <c r="Z5" s="16">
        <v>0</v>
      </c>
      <c r="AA5" s="16">
        <v>1</v>
      </c>
      <c r="AB5" s="16">
        <v>0</v>
      </c>
      <c r="AC5" s="16">
        <v>0</v>
      </c>
      <c r="AD5" s="16">
        <v>1</v>
      </c>
      <c r="AE5" s="16">
        <v>0</v>
      </c>
      <c r="AF5" s="16">
        <v>0</v>
      </c>
      <c r="AG5" s="16">
        <v>1</v>
      </c>
      <c r="AH5" s="16">
        <v>0</v>
      </c>
    </row>
    <row r="6" spans="1:34" x14ac:dyDescent="0.25">
      <c r="A6" s="14" t="s">
        <v>78</v>
      </c>
      <c r="B6" s="15" t="s">
        <v>79</v>
      </c>
      <c r="C6" s="14" t="s">
        <v>80</v>
      </c>
      <c r="D6" s="14" t="s">
        <v>81</v>
      </c>
      <c r="E6" s="14" t="s">
        <v>18</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c r="AC6" s="16">
        <v>0</v>
      </c>
      <c r="AD6" s="16">
        <v>0</v>
      </c>
      <c r="AE6" s="16">
        <v>0</v>
      </c>
      <c r="AF6" s="16">
        <v>0</v>
      </c>
      <c r="AG6" s="16">
        <v>0</v>
      </c>
      <c r="AH6" s="16">
        <v>0</v>
      </c>
    </row>
    <row r="7" spans="1:34" x14ac:dyDescent="0.25">
      <c r="A7" s="14" t="s">
        <v>82</v>
      </c>
      <c r="B7" s="15" t="s">
        <v>83</v>
      </c>
      <c r="C7" s="14" t="s">
        <v>84</v>
      </c>
      <c r="D7" s="14" t="s">
        <v>85</v>
      </c>
      <c r="E7" s="14" t="s">
        <v>15</v>
      </c>
      <c r="F7" s="16">
        <v>1</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1</v>
      </c>
      <c r="Y7" s="16">
        <v>0</v>
      </c>
      <c r="Z7" s="16">
        <v>0</v>
      </c>
      <c r="AA7" s="16">
        <v>0</v>
      </c>
      <c r="AB7" s="16">
        <v>0</v>
      </c>
      <c r="AC7" s="16">
        <v>0</v>
      </c>
      <c r="AD7" s="16">
        <v>1</v>
      </c>
      <c r="AE7" s="16">
        <v>0</v>
      </c>
      <c r="AF7" s="16">
        <v>1</v>
      </c>
      <c r="AG7" s="16">
        <v>1</v>
      </c>
      <c r="AH7" s="16">
        <v>0</v>
      </c>
    </row>
    <row r="8" spans="1:34" x14ac:dyDescent="0.25">
      <c r="A8" s="14" t="s">
        <v>86</v>
      </c>
      <c r="B8" s="15" t="s">
        <v>87</v>
      </c>
      <c r="C8" s="14" t="s">
        <v>65</v>
      </c>
      <c r="D8" s="14" t="s">
        <v>88</v>
      </c>
      <c r="E8" s="14" t="s">
        <v>13</v>
      </c>
      <c r="F8" s="16">
        <v>1</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1</v>
      </c>
      <c r="Z8" s="16">
        <v>0</v>
      </c>
      <c r="AA8" s="16">
        <v>0</v>
      </c>
      <c r="AB8" s="16">
        <v>1</v>
      </c>
      <c r="AC8" s="16">
        <v>0</v>
      </c>
      <c r="AD8" s="16">
        <v>1</v>
      </c>
      <c r="AE8" s="16">
        <v>0</v>
      </c>
      <c r="AF8" s="16">
        <v>0</v>
      </c>
      <c r="AG8" s="16">
        <v>1</v>
      </c>
      <c r="AH8" s="16">
        <v>0</v>
      </c>
    </row>
    <row r="9" spans="1:34" x14ac:dyDescent="0.25">
      <c r="A9" s="14" t="s">
        <v>89</v>
      </c>
      <c r="B9" s="15" t="s">
        <v>90</v>
      </c>
      <c r="C9" s="14" t="s">
        <v>69</v>
      </c>
      <c r="D9" s="14" t="s">
        <v>91</v>
      </c>
      <c r="E9" s="14" t="s">
        <v>13</v>
      </c>
      <c r="F9" s="16">
        <v>0</v>
      </c>
      <c r="G9" s="16">
        <v>1</v>
      </c>
      <c r="H9" s="16">
        <v>0</v>
      </c>
      <c r="I9" s="16">
        <v>0</v>
      </c>
      <c r="J9" s="16">
        <v>1</v>
      </c>
      <c r="K9" s="16">
        <v>0</v>
      </c>
      <c r="L9" s="16">
        <v>0</v>
      </c>
      <c r="M9" s="16">
        <v>0</v>
      </c>
      <c r="N9" s="16">
        <v>0</v>
      </c>
      <c r="O9" s="16">
        <v>0</v>
      </c>
      <c r="P9" s="16">
        <v>0</v>
      </c>
      <c r="Q9" s="16">
        <v>0</v>
      </c>
      <c r="R9" s="16">
        <v>1</v>
      </c>
      <c r="S9" s="16">
        <v>0</v>
      </c>
      <c r="T9" s="16">
        <v>0</v>
      </c>
      <c r="U9" s="16">
        <v>0</v>
      </c>
      <c r="V9" s="16">
        <v>0</v>
      </c>
      <c r="W9" s="16">
        <v>0</v>
      </c>
      <c r="X9" s="16">
        <v>0</v>
      </c>
      <c r="Y9" s="16">
        <v>1</v>
      </c>
      <c r="Z9" s="16">
        <v>0</v>
      </c>
      <c r="AA9" s="16">
        <v>0</v>
      </c>
      <c r="AB9" s="16">
        <v>0</v>
      </c>
      <c r="AC9" s="16">
        <v>1</v>
      </c>
      <c r="AD9" s="16">
        <v>0</v>
      </c>
      <c r="AE9" s="16">
        <v>1</v>
      </c>
      <c r="AF9" s="16">
        <v>0</v>
      </c>
      <c r="AG9" s="16">
        <v>1</v>
      </c>
      <c r="AH9" s="16">
        <v>0</v>
      </c>
    </row>
    <row r="10" spans="1:34" x14ac:dyDescent="0.25">
      <c r="A10" s="14" t="s">
        <v>92</v>
      </c>
      <c r="B10" s="15" t="s">
        <v>93</v>
      </c>
      <c r="C10" s="14" t="s">
        <v>73</v>
      </c>
      <c r="D10" s="14" t="s">
        <v>94</v>
      </c>
      <c r="E10" s="14" t="s">
        <v>10</v>
      </c>
      <c r="F10" s="16">
        <v>0</v>
      </c>
      <c r="G10" s="16">
        <v>0</v>
      </c>
      <c r="H10" s="16">
        <v>0</v>
      </c>
      <c r="I10" s="16">
        <v>0</v>
      </c>
      <c r="J10" s="16">
        <v>0</v>
      </c>
      <c r="K10" s="16">
        <v>0</v>
      </c>
      <c r="L10" s="16">
        <v>0</v>
      </c>
      <c r="M10" s="16">
        <v>0</v>
      </c>
      <c r="N10" s="16">
        <v>0</v>
      </c>
      <c r="O10" s="16">
        <v>0</v>
      </c>
      <c r="P10" s="16">
        <v>1</v>
      </c>
      <c r="Q10" s="16">
        <v>0</v>
      </c>
      <c r="R10" s="16">
        <v>0</v>
      </c>
      <c r="S10" s="16">
        <v>0</v>
      </c>
      <c r="T10" s="16">
        <v>0</v>
      </c>
      <c r="U10" s="16">
        <v>1</v>
      </c>
      <c r="V10" s="16">
        <v>1</v>
      </c>
      <c r="W10" s="16">
        <v>0</v>
      </c>
      <c r="X10" s="16">
        <v>0</v>
      </c>
      <c r="Y10" s="16">
        <v>1</v>
      </c>
      <c r="Z10" s="16">
        <v>0</v>
      </c>
      <c r="AA10" s="16">
        <v>0</v>
      </c>
      <c r="AB10" s="16">
        <v>0</v>
      </c>
      <c r="AC10" s="16">
        <v>1</v>
      </c>
      <c r="AD10" s="16">
        <v>0</v>
      </c>
      <c r="AE10" s="16">
        <v>0</v>
      </c>
      <c r="AF10" s="16">
        <v>0</v>
      </c>
      <c r="AG10" s="16">
        <v>1</v>
      </c>
      <c r="AH10" s="16">
        <v>0</v>
      </c>
    </row>
    <row r="11" spans="1:34" x14ac:dyDescent="0.25">
      <c r="A11" s="14" t="s">
        <v>95</v>
      </c>
      <c r="B11" s="15" t="s">
        <v>96</v>
      </c>
      <c r="C11" s="14" t="s">
        <v>73</v>
      </c>
      <c r="D11" s="14" t="s">
        <v>97</v>
      </c>
      <c r="E11" s="14" t="s">
        <v>14</v>
      </c>
      <c r="F11" s="16">
        <v>0</v>
      </c>
      <c r="G11" s="16">
        <v>1</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1</v>
      </c>
      <c r="Z11" s="16">
        <v>0</v>
      </c>
      <c r="AA11" s="16">
        <v>0</v>
      </c>
      <c r="AB11" s="16">
        <v>1</v>
      </c>
      <c r="AC11" s="16">
        <v>0</v>
      </c>
      <c r="AD11" s="16">
        <v>0</v>
      </c>
      <c r="AE11" s="16">
        <v>1</v>
      </c>
      <c r="AF11" s="16">
        <v>0</v>
      </c>
      <c r="AG11" s="16">
        <v>1</v>
      </c>
      <c r="AH11" s="16">
        <v>0</v>
      </c>
    </row>
    <row r="12" spans="1:34" x14ac:dyDescent="0.25">
      <c r="A12" s="14" t="s">
        <v>98</v>
      </c>
      <c r="B12" s="15" t="s">
        <v>99</v>
      </c>
      <c r="C12" s="14" t="s">
        <v>73</v>
      </c>
      <c r="D12" s="14" t="s">
        <v>100</v>
      </c>
      <c r="E12" s="14" t="s">
        <v>14</v>
      </c>
      <c r="F12" s="16">
        <v>0</v>
      </c>
      <c r="G12" s="16">
        <v>1</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1</v>
      </c>
      <c r="Z12" s="16">
        <v>0</v>
      </c>
      <c r="AA12" s="16">
        <v>0</v>
      </c>
      <c r="AB12" s="16">
        <v>0</v>
      </c>
      <c r="AC12" s="16">
        <v>0</v>
      </c>
      <c r="AD12" s="16">
        <v>1</v>
      </c>
      <c r="AE12" s="16">
        <v>0</v>
      </c>
      <c r="AF12" s="16">
        <v>0</v>
      </c>
      <c r="AG12" s="16">
        <v>1</v>
      </c>
      <c r="AH12" s="16">
        <v>0</v>
      </c>
    </row>
    <row r="13" spans="1:34" x14ac:dyDescent="0.25">
      <c r="A13" s="14" t="s">
        <v>101</v>
      </c>
      <c r="B13" s="15" t="s">
        <v>102</v>
      </c>
      <c r="C13" s="14" t="s">
        <v>65</v>
      </c>
      <c r="D13" s="14" t="s">
        <v>103</v>
      </c>
      <c r="E13" s="14" t="s">
        <v>14</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1</v>
      </c>
      <c r="Z13" s="16">
        <v>0</v>
      </c>
      <c r="AA13" s="16">
        <v>0</v>
      </c>
      <c r="AB13" s="16">
        <v>1</v>
      </c>
      <c r="AC13" s="16">
        <v>0</v>
      </c>
      <c r="AD13" s="16">
        <v>0</v>
      </c>
      <c r="AE13" s="16">
        <v>0</v>
      </c>
      <c r="AF13" s="16">
        <v>0</v>
      </c>
      <c r="AG13" s="16">
        <v>1</v>
      </c>
      <c r="AH13" s="16">
        <v>0</v>
      </c>
    </row>
    <row r="14" spans="1:34" x14ac:dyDescent="0.25">
      <c r="A14" s="14" t="s">
        <v>104</v>
      </c>
      <c r="B14" s="15" t="s">
        <v>105</v>
      </c>
      <c r="C14" s="14" t="s">
        <v>65</v>
      </c>
      <c r="D14" s="14" t="s">
        <v>106</v>
      </c>
      <c r="E14" s="14" t="s">
        <v>13</v>
      </c>
      <c r="F14" s="16">
        <v>0</v>
      </c>
      <c r="G14" s="16">
        <v>1</v>
      </c>
      <c r="H14" s="16">
        <v>0</v>
      </c>
      <c r="I14" s="16">
        <v>0</v>
      </c>
      <c r="J14" s="16">
        <v>0</v>
      </c>
      <c r="K14" s="16">
        <v>1</v>
      </c>
      <c r="L14" s="16">
        <v>0</v>
      </c>
      <c r="M14" s="16">
        <v>0</v>
      </c>
      <c r="N14" s="16">
        <v>0</v>
      </c>
      <c r="O14" s="16">
        <v>0</v>
      </c>
      <c r="P14" s="16">
        <v>0</v>
      </c>
      <c r="Q14" s="16">
        <v>0</v>
      </c>
      <c r="R14" s="16">
        <v>1</v>
      </c>
      <c r="S14" s="16">
        <v>0</v>
      </c>
      <c r="T14" s="16">
        <v>0</v>
      </c>
      <c r="U14" s="16">
        <v>0</v>
      </c>
      <c r="V14" s="16">
        <v>0</v>
      </c>
      <c r="W14" s="16">
        <v>0</v>
      </c>
      <c r="X14" s="16">
        <v>1</v>
      </c>
      <c r="Y14" s="16">
        <v>0</v>
      </c>
      <c r="Z14" s="16">
        <v>0</v>
      </c>
      <c r="AA14" s="16">
        <v>0</v>
      </c>
      <c r="AB14" s="16">
        <v>0</v>
      </c>
      <c r="AC14" s="16">
        <v>0</v>
      </c>
      <c r="AD14" s="16">
        <v>1</v>
      </c>
      <c r="AE14" s="16">
        <v>0</v>
      </c>
      <c r="AF14" s="16">
        <v>0</v>
      </c>
      <c r="AG14" s="16">
        <v>1</v>
      </c>
      <c r="AH14" s="16">
        <v>1</v>
      </c>
    </row>
    <row r="15" spans="1:34" x14ac:dyDescent="0.25">
      <c r="A15" s="14" t="s">
        <v>107</v>
      </c>
      <c r="B15" s="15" t="s">
        <v>108</v>
      </c>
      <c r="C15" s="14" t="s">
        <v>84</v>
      </c>
      <c r="D15" s="14" t="s">
        <v>109</v>
      </c>
      <c r="E15" s="14" t="s">
        <v>18</v>
      </c>
      <c r="F15" s="16">
        <v>0</v>
      </c>
      <c r="G15" s="16">
        <v>1</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1</v>
      </c>
      <c r="Y15" s="16">
        <v>0</v>
      </c>
      <c r="Z15" s="16">
        <v>0</v>
      </c>
      <c r="AA15" s="16">
        <v>0</v>
      </c>
      <c r="AB15" s="16">
        <v>0</v>
      </c>
      <c r="AC15" s="16">
        <v>0</v>
      </c>
      <c r="AD15" s="16">
        <v>1</v>
      </c>
      <c r="AE15" s="16">
        <v>0</v>
      </c>
      <c r="AF15" s="16">
        <v>0</v>
      </c>
      <c r="AG15" s="16">
        <v>1</v>
      </c>
      <c r="AH15" s="16">
        <v>0</v>
      </c>
    </row>
    <row r="16" spans="1:34" x14ac:dyDescent="0.25">
      <c r="A16" s="14" t="s">
        <v>110</v>
      </c>
      <c r="B16" s="15" t="s">
        <v>111</v>
      </c>
      <c r="C16" s="14" t="s">
        <v>76</v>
      </c>
      <c r="D16" s="14" t="s">
        <v>112</v>
      </c>
      <c r="E16" s="14" t="s">
        <v>16</v>
      </c>
      <c r="F16" s="16">
        <v>1</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1</v>
      </c>
      <c r="Z16" s="16">
        <v>0</v>
      </c>
      <c r="AA16" s="16">
        <v>0</v>
      </c>
      <c r="AB16" s="16">
        <v>1</v>
      </c>
      <c r="AC16" s="16">
        <v>0</v>
      </c>
      <c r="AD16" s="16">
        <v>1</v>
      </c>
      <c r="AE16" s="16">
        <v>0</v>
      </c>
      <c r="AF16" s="16">
        <v>1</v>
      </c>
      <c r="AG16" s="16">
        <v>0</v>
      </c>
      <c r="AH16" s="16">
        <v>0</v>
      </c>
    </row>
    <row r="17" spans="1:34" x14ac:dyDescent="0.25">
      <c r="A17" s="14" t="s">
        <v>113</v>
      </c>
      <c r="B17" s="15" t="s">
        <v>114</v>
      </c>
      <c r="C17" s="14" t="s">
        <v>65</v>
      </c>
      <c r="D17" s="14" t="s">
        <v>115</v>
      </c>
      <c r="E17" s="14" t="s">
        <v>16</v>
      </c>
      <c r="F17" s="16">
        <v>0</v>
      </c>
      <c r="G17" s="16">
        <v>1</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1</v>
      </c>
      <c r="Z17" s="16">
        <v>0</v>
      </c>
      <c r="AA17" s="16">
        <v>0</v>
      </c>
      <c r="AB17" s="16">
        <v>1</v>
      </c>
      <c r="AC17" s="16">
        <v>1</v>
      </c>
      <c r="AD17" s="16">
        <v>1</v>
      </c>
      <c r="AE17" s="16">
        <v>0</v>
      </c>
      <c r="AF17" s="16">
        <v>0</v>
      </c>
      <c r="AG17" s="16">
        <v>1</v>
      </c>
      <c r="AH17" s="16">
        <v>0</v>
      </c>
    </row>
    <row r="18" spans="1:34" x14ac:dyDescent="0.25">
      <c r="A18" s="14" t="s">
        <v>116</v>
      </c>
      <c r="B18" s="15" t="s">
        <v>117</v>
      </c>
      <c r="C18" s="14" t="s">
        <v>65</v>
      </c>
      <c r="D18" s="14" t="s">
        <v>118</v>
      </c>
      <c r="E18" s="14" t="s">
        <v>16</v>
      </c>
      <c r="F18" s="16">
        <v>0</v>
      </c>
      <c r="G18" s="16">
        <v>1</v>
      </c>
      <c r="H18" s="16">
        <v>0</v>
      </c>
      <c r="I18" s="16">
        <v>0</v>
      </c>
      <c r="J18" s="16">
        <v>1</v>
      </c>
      <c r="K18" s="16">
        <v>1</v>
      </c>
      <c r="L18" s="16">
        <v>1</v>
      </c>
      <c r="M18" s="16">
        <v>0</v>
      </c>
      <c r="N18" s="16">
        <v>0</v>
      </c>
      <c r="O18" s="16">
        <v>0</v>
      </c>
      <c r="P18" s="16">
        <v>0</v>
      </c>
      <c r="Q18" s="16">
        <v>1</v>
      </c>
      <c r="R18" s="16">
        <v>0</v>
      </c>
      <c r="S18" s="16">
        <v>0</v>
      </c>
      <c r="T18" s="16">
        <v>0</v>
      </c>
      <c r="U18" s="16">
        <v>0</v>
      </c>
      <c r="V18" s="16">
        <v>0</v>
      </c>
      <c r="W18" s="16">
        <v>0</v>
      </c>
      <c r="X18" s="16">
        <v>0</v>
      </c>
      <c r="Y18" s="16">
        <v>1</v>
      </c>
      <c r="Z18" s="16">
        <v>0</v>
      </c>
      <c r="AA18" s="16">
        <v>0</v>
      </c>
      <c r="AB18" s="16">
        <v>0</v>
      </c>
      <c r="AC18" s="16">
        <v>1</v>
      </c>
      <c r="AD18" s="16">
        <v>0</v>
      </c>
      <c r="AE18" s="16">
        <v>0</v>
      </c>
      <c r="AF18" s="16">
        <v>0</v>
      </c>
      <c r="AG18" s="16">
        <v>1</v>
      </c>
      <c r="AH18" s="16">
        <v>0</v>
      </c>
    </row>
    <row r="19" spans="1:34" x14ac:dyDescent="0.25">
      <c r="A19" s="14" t="s">
        <v>119</v>
      </c>
      <c r="B19" s="15" t="s">
        <v>120</v>
      </c>
      <c r="C19" s="14" t="s">
        <v>69</v>
      </c>
      <c r="D19" s="14" t="s">
        <v>121</v>
      </c>
      <c r="E19" s="14" t="s">
        <v>14</v>
      </c>
      <c r="F19" s="16">
        <v>1</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1</v>
      </c>
      <c r="Z19" s="16">
        <v>0</v>
      </c>
      <c r="AA19" s="16">
        <v>0</v>
      </c>
      <c r="AB19" s="16">
        <v>1</v>
      </c>
      <c r="AC19" s="16">
        <v>0</v>
      </c>
      <c r="AD19" s="16">
        <v>1</v>
      </c>
      <c r="AE19" s="16">
        <v>0</v>
      </c>
      <c r="AF19" s="16">
        <v>1</v>
      </c>
      <c r="AG19" s="16">
        <v>0</v>
      </c>
      <c r="AH19" s="16">
        <v>0</v>
      </c>
    </row>
    <row r="20" spans="1:34" x14ac:dyDescent="0.25">
      <c r="A20" s="14" t="s">
        <v>122</v>
      </c>
      <c r="B20" s="15" t="s">
        <v>123</v>
      </c>
      <c r="C20" s="14" t="s">
        <v>80</v>
      </c>
      <c r="D20" s="14" t="s">
        <v>124</v>
      </c>
      <c r="E20" s="14" t="s">
        <v>16</v>
      </c>
      <c r="F20" s="16">
        <v>1</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1</v>
      </c>
      <c r="Z20" s="16">
        <v>0</v>
      </c>
      <c r="AA20" s="16">
        <v>0</v>
      </c>
      <c r="AB20" s="16">
        <v>1</v>
      </c>
      <c r="AC20" s="16">
        <v>0</v>
      </c>
      <c r="AD20" s="16">
        <v>1</v>
      </c>
      <c r="AE20" s="16">
        <v>0</v>
      </c>
      <c r="AF20" s="16">
        <v>0</v>
      </c>
      <c r="AG20" s="16">
        <v>1</v>
      </c>
      <c r="AH20" s="16">
        <v>0</v>
      </c>
    </row>
    <row r="21" spans="1:34" x14ac:dyDescent="0.25">
      <c r="A21" s="14" t="s">
        <v>125</v>
      </c>
      <c r="B21" s="15" t="s">
        <v>126</v>
      </c>
      <c r="C21" s="14" t="s">
        <v>80</v>
      </c>
      <c r="D21" s="14" t="s">
        <v>127</v>
      </c>
      <c r="E21" s="14" t="s">
        <v>13</v>
      </c>
      <c r="F21" s="16">
        <v>1</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1</v>
      </c>
      <c r="Z21" s="16">
        <v>0</v>
      </c>
      <c r="AA21" s="16">
        <v>0</v>
      </c>
      <c r="AB21" s="16">
        <v>1</v>
      </c>
      <c r="AC21" s="16">
        <v>0</v>
      </c>
      <c r="AD21" s="16">
        <v>0</v>
      </c>
      <c r="AE21" s="16">
        <v>1</v>
      </c>
      <c r="AF21" s="16">
        <v>1</v>
      </c>
      <c r="AG21" s="16">
        <v>0</v>
      </c>
      <c r="AH21" s="16">
        <v>0</v>
      </c>
    </row>
    <row r="22" spans="1:34" x14ac:dyDescent="0.25">
      <c r="A22" s="14" t="s">
        <v>128</v>
      </c>
      <c r="B22" s="15" t="s">
        <v>129</v>
      </c>
      <c r="C22" s="14" t="s">
        <v>73</v>
      </c>
      <c r="D22" s="14" t="s">
        <v>130</v>
      </c>
      <c r="E22" s="14" t="s">
        <v>14</v>
      </c>
      <c r="F22" s="16">
        <v>0</v>
      </c>
      <c r="G22" s="16">
        <v>1</v>
      </c>
      <c r="H22" s="16">
        <v>0</v>
      </c>
      <c r="I22" s="16">
        <v>0</v>
      </c>
      <c r="J22" s="16">
        <v>1</v>
      </c>
      <c r="K22" s="16">
        <v>1</v>
      </c>
      <c r="L22" s="16">
        <v>0</v>
      </c>
      <c r="M22" s="16">
        <v>1</v>
      </c>
      <c r="N22" s="16">
        <v>0</v>
      </c>
      <c r="O22" s="16">
        <v>0</v>
      </c>
      <c r="P22" s="16">
        <v>0</v>
      </c>
      <c r="Q22" s="16">
        <v>0</v>
      </c>
      <c r="R22" s="16">
        <v>0</v>
      </c>
      <c r="S22" s="16">
        <v>0</v>
      </c>
      <c r="T22" s="16">
        <v>0</v>
      </c>
      <c r="U22" s="16">
        <v>0</v>
      </c>
      <c r="V22" s="16">
        <v>0</v>
      </c>
      <c r="W22" s="16">
        <v>0</v>
      </c>
      <c r="X22" s="16">
        <v>0</v>
      </c>
      <c r="Y22" s="16">
        <v>1</v>
      </c>
      <c r="Z22" s="16">
        <v>0</v>
      </c>
      <c r="AA22" s="16">
        <v>0</v>
      </c>
      <c r="AB22" s="16">
        <v>1</v>
      </c>
      <c r="AC22" s="16">
        <v>0</v>
      </c>
      <c r="AD22" s="16">
        <v>0</v>
      </c>
      <c r="AE22" s="16">
        <v>1</v>
      </c>
      <c r="AF22" s="16">
        <v>0</v>
      </c>
      <c r="AG22" s="16">
        <v>1</v>
      </c>
      <c r="AH22" s="16">
        <v>0</v>
      </c>
    </row>
    <row r="23" spans="1:34" x14ac:dyDescent="0.25">
      <c r="A23" s="14" t="s">
        <v>131</v>
      </c>
      <c r="B23" s="15" t="s">
        <v>132</v>
      </c>
      <c r="C23" s="14" t="s">
        <v>80</v>
      </c>
      <c r="D23" s="14" t="s">
        <v>133</v>
      </c>
      <c r="E23" s="14" t="s">
        <v>16</v>
      </c>
      <c r="F23" s="16">
        <v>1</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1</v>
      </c>
      <c r="Z23" s="16">
        <v>0</v>
      </c>
      <c r="AA23" s="16">
        <v>0</v>
      </c>
      <c r="AB23" s="16">
        <v>1</v>
      </c>
      <c r="AC23" s="16">
        <v>0</v>
      </c>
      <c r="AD23" s="16">
        <v>1</v>
      </c>
      <c r="AE23" s="16">
        <v>0</v>
      </c>
      <c r="AF23" s="16">
        <v>0</v>
      </c>
      <c r="AG23" s="16">
        <v>1</v>
      </c>
      <c r="AH23" s="16">
        <v>0</v>
      </c>
    </row>
    <row r="24" spans="1:34" x14ac:dyDescent="0.25">
      <c r="A24" s="14" t="s">
        <v>134</v>
      </c>
      <c r="B24" s="15" t="s">
        <v>135</v>
      </c>
      <c r="C24" s="14" t="s">
        <v>69</v>
      </c>
      <c r="D24" s="14" t="s">
        <v>136</v>
      </c>
      <c r="E24" s="14" t="s">
        <v>13</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1</v>
      </c>
      <c r="Z24" s="16">
        <v>0</v>
      </c>
      <c r="AA24" s="16">
        <v>1</v>
      </c>
      <c r="AB24" s="16">
        <v>1</v>
      </c>
      <c r="AC24" s="16">
        <v>0</v>
      </c>
      <c r="AD24" s="16">
        <v>0</v>
      </c>
      <c r="AE24" s="16">
        <v>0</v>
      </c>
      <c r="AF24" s="16">
        <v>0</v>
      </c>
      <c r="AG24" s="16">
        <v>0</v>
      </c>
      <c r="AH24" s="16">
        <v>0</v>
      </c>
    </row>
    <row r="25" spans="1:34" x14ac:dyDescent="0.25">
      <c r="A25" s="14" t="s">
        <v>137</v>
      </c>
      <c r="B25" s="15" t="s">
        <v>138</v>
      </c>
      <c r="C25" s="14" t="s">
        <v>76</v>
      </c>
      <c r="D25" s="14" t="s">
        <v>139</v>
      </c>
      <c r="E25" s="14" t="s">
        <v>13</v>
      </c>
      <c r="F25" s="16">
        <v>0</v>
      </c>
      <c r="G25" s="16">
        <v>1</v>
      </c>
      <c r="H25" s="16">
        <v>0</v>
      </c>
      <c r="I25" s="16">
        <v>0</v>
      </c>
      <c r="J25" s="16">
        <v>1</v>
      </c>
      <c r="K25" s="16">
        <v>0</v>
      </c>
      <c r="L25" s="16">
        <v>1</v>
      </c>
      <c r="M25" s="16">
        <v>0</v>
      </c>
      <c r="N25" s="16">
        <v>0</v>
      </c>
      <c r="O25" s="16">
        <v>0</v>
      </c>
      <c r="P25" s="16">
        <v>0</v>
      </c>
      <c r="Q25" s="16">
        <v>0</v>
      </c>
      <c r="R25" s="16">
        <v>1</v>
      </c>
      <c r="S25" s="16">
        <v>0</v>
      </c>
      <c r="T25" s="16">
        <v>0</v>
      </c>
      <c r="U25" s="16">
        <v>0</v>
      </c>
      <c r="V25" s="16">
        <v>0</v>
      </c>
      <c r="W25" s="16">
        <v>0</v>
      </c>
      <c r="X25" s="16">
        <v>0</v>
      </c>
      <c r="Y25" s="16">
        <v>1</v>
      </c>
      <c r="Z25" s="16">
        <v>0</v>
      </c>
      <c r="AA25" s="16">
        <v>1</v>
      </c>
      <c r="AB25" s="16">
        <v>0</v>
      </c>
      <c r="AC25" s="16">
        <v>0</v>
      </c>
      <c r="AD25" s="16">
        <v>0</v>
      </c>
      <c r="AE25" s="16">
        <v>1</v>
      </c>
      <c r="AF25" s="16">
        <v>0</v>
      </c>
      <c r="AG25" s="16">
        <v>1</v>
      </c>
      <c r="AH25" s="16">
        <v>0</v>
      </c>
    </row>
    <row r="26" spans="1:34" x14ac:dyDescent="0.25">
      <c r="A26" s="14" t="s">
        <v>140</v>
      </c>
      <c r="B26" s="15" t="s">
        <v>141</v>
      </c>
      <c r="C26" s="14" t="s">
        <v>76</v>
      </c>
      <c r="D26" s="14" t="s">
        <v>142</v>
      </c>
      <c r="E26" s="14" t="s">
        <v>16</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1</v>
      </c>
      <c r="Z26" s="16">
        <v>0</v>
      </c>
      <c r="AA26" s="16">
        <v>0</v>
      </c>
      <c r="AB26" s="16">
        <v>1</v>
      </c>
      <c r="AC26" s="16">
        <v>0</v>
      </c>
      <c r="AD26" s="16">
        <v>1</v>
      </c>
      <c r="AE26" s="16">
        <v>0</v>
      </c>
      <c r="AF26" s="16">
        <v>0</v>
      </c>
      <c r="AG26" s="16">
        <v>1</v>
      </c>
      <c r="AH26" s="16">
        <v>0</v>
      </c>
    </row>
    <row r="27" spans="1:34" x14ac:dyDescent="0.25">
      <c r="A27" s="14" t="s">
        <v>143</v>
      </c>
      <c r="B27" s="15" t="s">
        <v>144</v>
      </c>
      <c r="C27" s="14" t="s">
        <v>69</v>
      </c>
      <c r="D27" s="14" t="s">
        <v>145</v>
      </c>
      <c r="E27" s="14" t="s">
        <v>16</v>
      </c>
      <c r="F27" s="16">
        <v>1</v>
      </c>
      <c r="G27" s="16">
        <v>0</v>
      </c>
      <c r="H27" s="16">
        <v>0</v>
      </c>
      <c r="I27" s="16">
        <v>0</v>
      </c>
      <c r="J27" s="16">
        <v>0</v>
      </c>
      <c r="K27" s="16">
        <v>0</v>
      </c>
      <c r="L27" s="16">
        <v>0</v>
      </c>
      <c r="M27" s="16">
        <v>0</v>
      </c>
      <c r="N27" s="16">
        <v>0</v>
      </c>
      <c r="O27" s="16">
        <v>0</v>
      </c>
      <c r="P27" s="16">
        <v>0</v>
      </c>
      <c r="Q27" s="16">
        <v>0</v>
      </c>
      <c r="R27" s="16">
        <v>0</v>
      </c>
      <c r="S27" s="16">
        <v>0</v>
      </c>
      <c r="T27" s="16">
        <v>0</v>
      </c>
      <c r="U27" s="16">
        <v>0</v>
      </c>
      <c r="V27" s="16">
        <v>0</v>
      </c>
      <c r="W27" s="16">
        <v>0</v>
      </c>
      <c r="X27" s="16">
        <v>0</v>
      </c>
      <c r="Y27" s="16">
        <v>1</v>
      </c>
      <c r="Z27" s="16">
        <v>0</v>
      </c>
      <c r="AA27" s="16">
        <v>0</v>
      </c>
      <c r="AB27" s="16">
        <v>0</v>
      </c>
      <c r="AC27" s="16">
        <v>0</v>
      </c>
      <c r="AD27" s="16">
        <v>0</v>
      </c>
      <c r="AE27" s="16">
        <v>1</v>
      </c>
      <c r="AF27" s="16">
        <v>0</v>
      </c>
      <c r="AG27" s="16">
        <v>1</v>
      </c>
      <c r="AH27" s="16">
        <v>0</v>
      </c>
    </row>
    <row r="28" spans="1:34" x14ac:dyDescent="0.25">
      <c r="A28" s="14" t="s">
        <v>146</v>
      </c>
      <c r="B28" s="15" t="s">
        <v>147</v>
      </c>
      <c r="C28" s="14" t="s">
        <v>65</v>
      </c>
      <c r="D28" s="14" t="s">
        <v>148</v>
      </c>
      <c r="E28" s="14" t="s">
        <v>12</v>
      </c>
      <c r="F28" s="16">
        <v>0</v>
      </c>
      <c r="G28" s="16">
        <v>0</v>
      </c>
      <c r="H28" s="16">
        <v>0</v>
      </c>
      <c r="I28" s="16">
        <v>0</v>
      </c>
      <c r="J28" s="16">
        <v>0</v>
      </c>
      <c r="K28" s="16">
        <v>0</v>
      </c>
      <c r="L28" s="16">
        <v>0</v>
      </c>
      <c r="M28" s="16">
        <v>0</v>
      </c>
      <c r="N28" s="16">
        <v>0</v>
      </c>
      <c r="O28" s="16">
        <v>0</v>
      </c>
      <c r="P28" s="16">
        <v>0</v>
      </c>
      <c r="Q28" s="16">
        <v>1</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row>
    <row r="29" spans="1:34" x14ac:dyDescent="0.25">
      <c r="A29" s="14" t="s">
        <v>149</v>
      </c>
      <c r="B29" s="15" t="s">
        <v>150</v>
      </c>
      <c r="C29" s="14" t="s">
        <v>76</v>
      </c>
      <c r="D29" s="14" t="s">
        <v>151</v>
      </c>
      <c r="E29" s="14" t="s">
        <v>14</v>
      </c>
      <c r="F29" s="16">
        <v>1</v>
      </c>
      <c r="G29" s="16">
        <v>0</v>
      </c>
      <c r="H29" s="16">
        <v>0</v>
      </c>
      <c r="I29" s="16">
        <v>0</v>
      </c>
      <c r="J29" s="16">
        <v>0</v>
      </c>
      <c r="K29" s="16">
        <v>0</v>
      </c>
      <c r="L29" s="16">
        <v>0</v>
      </c>
      <c r="M29" s="16">
        <v>0</v>
      </c>
      <c r="N29" s="16">
        <v>0</v>
      </c>
      <c r="O29" s="16">
        <v>0</v>
      </c>
      <c r="P29" s="16">
        <v>0</v>
      </c>
      <c r="Q29" s="16">
        <v>0</v>
      </c>
      <c r="R29" s="16">
        <v>0</v>
      </c>
      <c r="S29" s="16">
        <v>0</v>
      </c>
      <c r="T29" s="16">
        <v>0</v>
      </c>
      <c r="U29" s="16">
        <v>0</v>
      </c>
      <c r="V29" s="16">
        <v>0</v>
      </c>
      <c r="W29" s="16">
        <v>0</v>
      </c>
      <c r="X29" s="16">
        <v>0</v>
      </c>
      <c r="Y29" s="16">
        <v>1</v>
      </c>
      <c r="Z29" s="16">
        <v>0</v>
      </c>
      <c r="AA29" s="16">
        <v>0</v>
      </c>
      <c r="AB29" s="16">
        <v>1</v>
      </c>
      <c r="AC29" s="16">
        <v>0</v>
      </c>
      <c r="AD29" s="16">
        <v>1</v>
      </c>
      <c r="AE29" s="16">
        <v>0</v>
      </c>
      <c r="AF29" s="16">
        <v>1</v>
      </c>
      <c r="AG29" s="16">
        <v>0</v>
      </c>
      <c r="AH29" s="16">
        <v>0</v>
      </c>
    </row>
    <row r="30" spans="1:34" x14ac:dyDescent="0.25">
      <c r="A30" s="14" t="s">
        <v>152</v>
      </c>
      <c r="B30" s="15" t="s">
        <v>153</v>
      </c>
      <c r="C30" s="14" t="s">
        <v>73</v>
      </c>
      <c r="D30" s="14" t="s">
        <v>154</v>
      </c>
      <c r="E30" s="14" t="s">
        <v>14</v>
      </c>
      <c r="F30" s="16">
        <v>0</v>
      </c>
      <c r="G30" s="16">
        <v>1</v>
      </c>
      <c r="H30" s="16">
        <v>0</v>
      </c>
      <c r="I30" s="16">
        <v>0</v>
      </c>
      <c r="J30" s="16">
        <v>1</v>
      </c>
      <c r="K30" s="16">
        <v>1</v>
      </c>
      <c r="L30" s="16">
        <v>1</v>
      </c>
      <c r="M30" s="16">
        <v>0</v>
      </c>
      <c r="N30" s="16">
        <v>0</v>
      </c>
      <c r="O30" s="16">
        <v>0</v>
      </c>
      <c r="P30" s="16">
        <v>1</v>
      </c>
      <c r="Q30" s="16">
        <v>0</v>
      </c>
      <c r="R30" s="16">
        <v>0</v>
      </c>
      <c r="S30" s="16">
        <v>1</v>
      </c>
      <c r="T30" s="16">
        <v>0</v>
      </c>
      <c r="U30" s="16">
        <v>0</v>
      </c>
      <c r="V30" s="16">
        <v>0</v>
      </c>
      <c r="W30" s="16">
        <v>1</v>
      </c>
      <c r="X30" s="16">
        <v>0</v>
      </c>
      <c r="Y30" s="16">
        <v>1</v>
      </c>
      <c r="Z30" s="16">
        <v>0</v>
      </c>
      <c r="AA30" s="16">
        <v>0</v>
      </c>
      <c r="AB30" s="16">
        <v>1</v>
      </c>
      <c r="AC30" s="16">
        <v>0</v>
      </c>
      <c r="AD30" s="16">
        <v>0</v>
      </c>
      <c r="AE30" s="16">
        <v>1</v>
      </c>
      <c r="AF30" s="16">
        <v>0</v>
      </c>
      <c r="AG30" s="16">
        <v>1</v>
      </c>
      <c r="AH30" s="16">
        <v>0</v>
      </c>
    </row>
    <row r="31" spans="1:34" x14ac:dyDescent="0.25">
      <c r="A31" s="14" t="s">
        <v>155</v>
      </c>
      <c r="B31" s="15" t="s">
        <v>156</v>
      </c>
      <c r="C31" s="14" t="s">
        <v>76</v>
      </c>
      <c r="D31" s="14" t="s">
        <v>157</v>
      </c>
      <c r="E31" s="14" t="s">
        <v>16</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1</v>
      </c>
      <c r="Z31" s="16">
        <v>0</v>
      </c>
      <c r="AA31" s="16">
        <v>0</v>
      </c>
      <c r="AB31" s="16">
        <v>1</v>
      </c>
      <c r="AC31" s="16">
        <v>0</v>
      </c>
      <c r="AD31" s="16">
        <v>0</v>
      </c>
      <c r="AE31" s="16">
        <v>0</v>
      </c>
      <c r="AF31" s="16">
        <v>0</v>
      </c>
      <c r="AG31" s="16">
        <v>0</v>
      </c>
      <c r="AH31" s="16">
        <v>0</v>
      </c>
    </row>
    <row r="32" spans="1:34" x14ac:dyDescent="0.25">
      <c r="A32" s="14" t="s">
        <v>158</v>
      </c>
      <c r="B32" s="15" t="s">
        <v>159</v>
      </c>
      <c r="C32" s="14" t="s">
        <v>84</v>
      </c>
      <c r="D32" s="14" t="s">
        <v>160</v>
      </c>
      <c r="E32" s="14" t="s">
        <v>14</v>
      </c>
      <c r="F32" s="16">
        <v>0</v>
      </c>
      <c r="G32" s="16">
        <v>1</v>
      </c>
      <c r="H32" s="16">
        <v>0</v>
      </c>
      <c r="I32" s="16">
        <v>0</v>
      </c>
      <c r="J32" s="16">
        <v>1</v>
      </c>
      <c r="K32" s="16">
        <v>0</v>
      </c>
      <c r="L32" s="16">
        <v>0</v>
      </c>
      <c r="M32" s="16">
        <v>0</v>
      </c>
      <c r="N32" s="16">
        <v>0</v>
      </c>
      <c r="O32" s="16">
        <v>0</v>
      </c>
      <c r="P32" s="16">
        <v>0</v>
      </c>
      <c r="Q32" s="16">
        <v>0</v>
      </c>
      <c r="R32" s="16">
        <v>0</v>
      </c>
      <c r="S32" s="16">
        <v>0</v>
      </c>
      <c r="T32" s="16">
        <v>0</v>
      </c>
      <c r="U32" s="16">
        <v>0</v>
      </c>
      <c r="V32" s="16">
        <v>0</v>
      </c>
      <c r="W32" s="16">
        <v>0</v>
      </c>
      <c r="X32" s="16">
        <v>1</v>
      </c>
      <c r="Y32" s="16">
        <v>0</v>
      </c>
      <c r="Z32" s="16">
        <v>0</v>
      </c>
      <c r="AA32" s="16">
        <v>0</v>
      </c>
      <c r="AB32" s="16">
        <v>0</v>
      </c>
      <c r="AC32" s="16">
        <v>0</v>
      </c>
      <c r="AD32" s="16">
        <v>1</v>
      </c>
      <c r="AE32" s="16">
        <v>0</v>
      </c>
      <c r="AF32" s="16">
        <v>1</v>
      </c>
      <c r="AG32" s="16">
        <v>0</v>
      </c>
      <c r="AH32" s="16">
        <v>0</v>
      </c>
    </row>
    <row r="33" spans="1:34" x14ac:dyDescent="0.25">
      <c r="A33" s="14" t="s">
        <v>161</v>
      </c>
      <c r="B33" s="15" t="s">
        <v>162</v>
      </c>
      <c r="C33" s="14" t="s">
        <v>73</v>
      </c>
      <c r="D33" s="14" t="s">
        <v>163</v>
      </c>
      <c r="E33" s="14" t="s">
        <v>14</v>
      </c>
      <c r="F33" s="16">
        <v>1</v>
      </c>
      <c r="G33" s="16">
        <v>0</v>
      </c>
      <c r="H33" s="16">
        <v>0</v>
      </c>
      <c r="I33" s="16">
        <v>0</v>
      </c>
      <c r="J33" s="16">
        <v>0</v>
      </c>
      <c r="K33" s="16">
        <v>0</v>
      </c>
      <c r="L33" s="16">
        <v>0</v>
      </c>
      <c r="M33" s="16">
        <v>0</v>
      </c>
      <c r="N33" s="16">
        <v>0</v>
      </c>
      <c r="O33" s="16">
        <v>0</v>
      </c>
      <c r="P33" s="16">
        <v>1</v>
      </c>
      <c r="Q33" s="16">
        <v>0</v>
      </c>
      <c r="R33" s="16">
        <v>0</v>
      </c>
      <c r="S33" s="16">
        <v>1</v>
      </c>
      <c r="T33" s="16">
        <v>0</v>
      </c>
      <c r="U33" s="16">
        <v>0</v>
      </c>
      <c r="V33" s="16">
        <v>0</v>
      </c>
      <c r="W33" s="16">
        <v>1</v>
      </c>
      <c r="X33" s="16">
        <v>0</v>
      </c>
      <c r="Y33" s="16">
        <v>1</v>
      </c>
      <c r="Z33" s="16">
        <v>0</v>
      </c>
      <c r="AA33" s="16">
        <v>0</v>
      </c>
      <c r="AB33" s="16">
        <v>1</v>
      </c>
      <c r="AC33" s="16">
        <v>0</v>
      </c>
      <c r="AD33" s="16">
        <v>1</v>
      </c>
      <c r="AE33" s="16">
        <v>0</v>
      </c>
      <c r="AF33" s="16">
        <v>1</v>
      </c>
      <c r="AG33" s="16">
        <v>1</v>
      </c>
      <c r="AH33" s="16">
        <v>0</v>
      </c>
    </row>
    <row r="34" spans="1:34" x14ac:dyDescent="0.25">
      <c r="A34" s="14" t="s">
        <v>164</v>
      </c>
      <c r="B34" s="15" t="s">
        <v>165</v>
      </c>
      <c r="C34" s="14" t="s">
        <v>76</v>
      </c>
      <c r="D34" s="14" t="s">
        <v>166</v>
      </c>
      <c r="E34" s="14" t="s">
        <v>16</v>
      </c>
      <c r="F34" s="16">
        <v>0</v>
      </c>
      <c r="G34" s="16">
        <v>0</v>
      </c>
      <c r="H34" s="16">
        <v>0</v>
      </c>
      <c r="I34" s="16">
        <v>0</v>
      </c>
      <c r="J34" s="16">
        <v>0</v>
      </c>
      <c r="K34" s="16">
        <v>0</v>
      </c>
      <c r="L34" s="16">
        <v>0</v>
      </c>
      <c r="M34" s="16">
        <v>0</v>
      </c>
      <c r="N34" s="16">
        <v>0</v>
      </c>
      <c r="O34" s="16">
        <v>0</v>
      </c>
      <c r="P34" s="16">
        <v>0</v>
      </c>
      <c r="Q34" s="16">
        <v>0</v>
      </c>
      <c r="R34" s="16">
        <v>0</v>
      </c>
      <c r="S34" s="16">
        <v>0</v>
      </c>
      <c r="T34" s="16">
        <v>0</v>
      </c>
      <c r="U34" s="16">
        <v>0</v>
      </c>
      <c r="V34" s="16">
        <v>0</v>
      </c>
      <c r="W34" s="16">
        <v>0</v>
      </c>
      <c r="X34" s="16">
        <v>0</v>
      </c>
      <c r="Y34" s="16">
        <v>1</v>
      </c>
      <c r="Z34" s="16">
        <v>0</v>
      </c>
      <c r="AA34" s="16">
        <v>0</v>
      </c>
      <c r="AB34" s="16">
        <v>1</v>
      </c>
      <c r="AC34" s="16">
        <v>0</v>
      </c>
      <c r="AD34" s="16">
        <v>0</v>
      </c>
      <c r="AE34" s="16">
        <v>0</v>
      </c>
      <c r="AF34" s="16">
        <v>0</v>
      </c>
      <c r="AG34" s="16">
        <v>0</v>
      </c>
      <c r="AH34" s="16">
        <v>0</v>
      </c>
    </row>
    <row r="35" spans="1:34" x14ac:dyDescent="0.25">
      <c r="A35" s="14" t="s">
        <v>167</v>
      </c>
      <c r="B35" s="15" t="s">
        <v>168</v>
      </c>
      <c r="C35" s="14" t="s">
        <v>76</v>
      </c>
      <c r="D35" s="14" t="s">
        <v>169</v>
      </c>
      <c r="E35" s="14" t="s">
        <v>16</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row>
    <row r="36" spans="1:34" x14ac:dyDescent="0.25">
      <c r="A36" s="14" t="s">
        <v>170</v>
      </c>
      <c r="B36" s="15" t="s">
        <v>171</v>
      </c>
      <c r="C36" s="14" t="s">
        <v>76</v>
      </c>
      <c r="D36" s="14" t="s">
        <v>172</v>
      </c>
      <c r="E36" s="14" t="s">
        <v>12</v>
      </c>
      <c r="F36" s="16">
        <v>1</v>
      </c>
      <c r="G36" s="16">
        <v>0</v>
      </c>
      <c r="H36" s="16">
        <v>0</v>
      </c>
      <c r="I36" s="16">
        <v>0</v>
      </c>
      <c r="J36" s="16">
        <v>0</v>
      </c>
      <c r="K36" s="16">
        <v>0</v>
      </c>
      <c r="L36" s="16">
        <v>0</v>
      </c>
      <c r="M36" s="16">
        <v>0</v>
      </c>
      <c r="N36" s="16">
        <v>0</v>
      </c>
      <c r="O36" s="16">
        <v>1</v>
      </c>
      <c r="P36" s="16">
        <v>0</v>
      </c>
      <c r="Q36" s="16">
        <v>0</v>
      </c>
      <c r="R36" s="16">
        <v>0</v>
      </c>
      <c r="S36" s="16">
        <v>0</v>
      </c>
      <c r="T36" s="16">
        <v>0</v>
      </c>
      <c r="U36" s="16">
        <v>0</v>
      </c>
      <c r="V36" s="16">
        <v>0</v>
      </c>
      <c r="W36" s="16">
        <v>0</v>
      </c>
      <c r="X36" s="16">
        <v>0</v>
      </c>
      <c r="Y36" s="16">
        <v>1</v>
      </c>
      <c r="Z36" s="16">
        <v>0</v>
      </c>
      <c r="AA36" s="16">
        <v>0</v>
      </c>
      <c r="AB36" s="16">
        <v>1</v>
      </c>
      <c r="AC36" s="16">
        <v>0</v>
      </c>
      <c r="AD36" s="16">
        <v>0</v>
      </c>
      <c r="AE36" s="16">
        <v>1</v>
      </c>
      <c r="AF36" s="16">
        <v>0</v>
      </c>
      <c r="AG36" s="16">
        <v>1</v>
      </c>
      <c r="AH36" s="16">
        <v>0</v>
      </c>
    </row>
    <row r="37" spans="1:34" x14ac:dyDescent="0.25">
      <c r="A37" s="14" t="s">
        <v>173</v>
      </c>
      <c r="B37" s="15" t="s">
        <v>174</v>
      </c>
      <c r="C37" s="14" t="s">
        <v>76</v>
      </c>
      <c r="D37" s="14" t="s">
        <v>175</v>
      </c>
      <c r="E37" s="14" t="s">
        <v>16</v>
      </c>
      <c r="F37" s="16">
        <v>0</v>
      </c>
      <c r="G37" s="16">
        <v>1</v>
      </c>
      <c r="H37" s="16">
        <v>0</v>
      </c>
      <c r="I37" s="16">
        <v>1</v>
      </c>
      <c r="J37" s="16">
        <v>0</v>
      </c>
      <c r="K37" s="16">
        <v>1</v>
      </c>
      <c r="L37" s="16">
        <v>0</v>
      </c>
      <c r="M37" s="16">
        <v>1</v>
      </c>
      <c r="N37" s="16">
        <v>0</v>
      </c>
      <c r="O37" s="16">
        <v>0</v>
      </c>
      <c r="P37" s="16">
        <v>0</v>
      </c>
      <c r="Q37" s="16">
        <v>1</v>
      </c>
      <c r="R37" s="16">
        <v>0</v>
      </c>
      <c r="S37" s="16">
        <v>0</v>
      </c>
      <c r="T37" s="16">
        <v>0</v>
      </c>
      <c r="U37" s="16">
        <v>0</v>
      </c>
      <c r="V37" s="16">
        <v>0</v>
      </c>
      <c r="W37" s="16">
        <v>0</v>
      </c>
      <c r="X37" s="16">
        <v>0</v>
      </c>
      <c r="Y37" s="16">
        <v>1</v>
      </c>
      <c r="Z37" s="16">
        <v>0</v>
      </c>
      <c r="AA37" s="16">
        <v>0</v>
      </c>
      <c r="AB37" s="16">
        <v>0</v>
      </c>
      <c r="AC37" s="16">
        <v>1</v>
      </c>
      <c r="AD37" s="16">
        <v>0</v>
      </c>
      <c r="AE37" s="16">
        <v>1</v>
      </c>
      <c r="AF37" s="16">
        <v>0</v>
      </c>
      <c r="AG37" s="16">
        <v>1</v>
      </c>
      <c r="AH37" s="16">
        <v>0</v>
      </c>
    </row>
    <row r="38" spans="1:34" x14ac:dyDescent="0.25">
      <c r="A38" s="14" t="s">
        <v>176</v>
      </c>
      <c r="B38" s="15" t="s">
        <v>177</v>
      </c>
      <c r="C38" s="14" t="s">
        <v>65</v>
      </c>
      <c r="D38" s="14" t="s">
        <v>178</v>
      </c>
      <c r="E38" s="14" t="s">
        <v>15</v>
      </c>
      <c r="F38" s="16">
        <v>0</v>
      </c>
      <c r="G38" s="16">
        <v>1</v>
      </c>
      <c r="H38" s="16">
        <v>0</v>
      </c>
      <c r="I38" s="16">
        <v>0</v>
      </c>
      <c r="J38" s="16">
        <v>0</v>
      </c>
      <c r="K38" s="16">
        <v>0</v>
      </c>
      <c r="L38" s="16">
        <v>0</v>
      </c>
      <c r="M38" s="16">
        <v>0</v>
      </c>
      <c r="N38" s="16">
        <v>0</v>
      </c>
      <c r="O38" s="16">
        <v>0</v>
      </c>
      <c r="P38" s="16">
        <v>0</v>
      </c>
      <c r="Q38" s="16">
        <v>0</v>
      </c>
      <c r="R38" s="16">
        <v>0</v>
      </c>
      <c r="S38" s="16">
        <v>0</v>
      </c>
      <c r="T38" s="16">
        <v>0</v>
      </c>
      <c r="U38" s="16">
        <v>0</v>
      </c>
      <c r="V38" s="16">
        <v>0</v>
      </c>
      <c r="W38" s="16">
        <v>0</v>
      </c>
      <c r="X38" s="16">
        <v>1</v>
      </c>
      <c r="Y38" s="16">
        <v>0</v>
      </c>
      <c r="Z38" s="16">
        <v>0</v>
      </c>
      <c r="AA38" s="16">
        <v>0</v>
      </c>
      <c r="AB38" s="16">
        <v>0</v>
      </c>
      <c r="AC38" s="16">
        <v>0</v>
      </c>
      <c r="AD38" s="16">
        <v>0</v>
      </c>
      <c r="AE38" s="16">
        <v>1</v>
      </c>
      <c r="AF38" s="16">
        <v>0</v>
      </c>
      <c r="AG38" s="16">
        <v>1</v>
      </c>
      <c r="AH38" s="16">
        <v>0</v>
      </c>
    </row>
    <row r="39" spans="1:34" x14ac:dyDescent="0.25">
      <c r="A39" s="14" t="s">
        <v>179</v>
      </c>
      <c r="B39" s="15" t="s">
        <v>180</v>
      </c>
      <c r="C39" s="14" t="s">
        <v>73</v>
      </c>
      <c r="D39" s="14" t="s">
        <v>181</v>
      </c>
      <c r="E39" s="14" t="s">
        <v>14</v>
      </c>
      <c r="F39" s="16">
        <v>0</v>
      </c>
      <c r="G39" s="16">
        <v>1</v>
      </c>
      <c r="H39" s="16">
        <v>0</v>
      </c>
      <c r="I39" s="16">
        <v>0</v>
      </c>
      <c r="J39" s="16">
        <v>1</v>
      </c>
      <c r="K39" s="16">
        <v>0</v>
      </c>
      <c r="L39" s="16">
        <v>1</v>
      </c>
      <c r="M39" s="16">
        <v>0</v>
      </c>
      <c r="N39" s="16">
        <v>0</v>
      </c>
      <c r="O39" s="16">
        <v>0</v>
      </c>
      <c r="P39" s="16">
        <v>1</v>
      </c>
      <c r="Q39" s="16">
        <v>0</v>
      </c>
      <c r="R39" s="16">
        <v>0</v>
      </c>
      <c r="S39" s="16">
        <v>1</v>
      </c>
      <c r="T39" s="16">
        <v>1</v>
      </c>
      <c r="U39" s="16">
        <v>0</v>
      </c>
      <c r="V39" s="16">
        <v>0</v>
      </c>
      <c r="W39" s="16">
        <v>0</v>
      </c>
      <c r="X39" s="16">
        <v>0</v>
      </c>
      <c r="Y39" s="16">
        <v>1</v>
      </c>
      <c r="Z39" s="16">
        <v>0</v>
      </c>
      <c r="AA39" s="16">
        <v>0</v>
      </c>
      <c r="AB39" s="16">
        <v>1</v>
      </c>
      <c r="AC39" s="16">
        <v>0</v>
      </c>
      <c r="AD39" s="16">
        <v>0</v>
      </c>
      <c r="AE39" s="16">
        <v>1</v>
      </c>
      <c r="AF39" s="16">
        <v>0</v>
      </c>
      <c r="AG39" s="16">
        <v>1</v>
      </c>
      <c r="AH39" s="16">
        <v>0</v>
      </c>
    </row>
    <row r="40" spans="1:34" x14ac:dyDescent="0.25">
      <c r="A40" s="14" t="s">
        <v>182</v>
      </c>
      <c r="B40" s="15" t="s">
        <v>183</v>
      </c>
      <c r="C40" s="14" t="s">
        <v>69</v>
      </c>
      <c r="D40" s="14" t="s">
        <v>184</v>
      </c>
      <c r="E40" s="14" t="s">
        <v>13</v>
      </c>
      <c r="F40" s="16">
        <v>0</v>
      </c>
      <c r="G40" s="16">
        <v>1</v>
      </c>
      <c r="H40" s="16">
        <v>0</v>
      </c>
      <c r="I40" s="16">
        <v>0</v>
      </c>
      <c r="J40" s="16">
        <v>0</v>
      </c>
      <c r="K40" s="16">
        <v>0</v>
      </c>
      <c r="L40" s="16">
        <v>0</v>
      </c>
      <c r="M40" s="16">
        <v>0</v>
      </c>
      <c r="N40" s="16">
        <v>0</v>
      </c>
      <c r="O40" s="16">
        <v>0</v>
      </c>
      <c r="P40" s="16">
        <v>1</v>
      </c>
      <c r="Q40" s="16">
        <v>0</v>
      </c>
      <c r="R40" s="16">
        <v>0</v>
      </c>
      <c r="S40" s="16">
        <v>0</v>
      </c>
      <c r="T40" s="16">
        <v>0</v>
      </c>
      <c r="U40" s="16">
        <v>0</v>
      </c>
      <c r="V40" s="16">
        <v>0</v>
      </c>
      <c r="W40" s="16">
        <v>1</v>
      </c>
      <c r="X40" s="16">
        <v>0</v>
      </c>
      <c r="Y40" s="16">
        <v>1</v>
      </c>
      <c r="Z40" s="16">
        <v>0</v>
      </c>
      <c r="AA40" s="16">
        <v>0</v>
      </c>
      <c r="AB40" s="16">
        <v>1</v>
      </c>
      <c r="AC40" s="16">
        <v>0</v>
      </c>
      <c r="AD40" s="16">
        <v>1</v>
      </c>
      <c r="AE40" s="16">
        <v>0</v>
      </c>
      <c r="AF40" s="16">
        <v>1</v>
      </c>
      <c r="AG40" s="16">
        <v>1</v>
      </c>
      <c r="AH40" s="16">
        <v>0</v>
      </c>
    </row>
    <row r="41" spans="1:34" x14ac:dyDescent="0.25">
      <c r="A41" s="14" t="s">
        <v>185</v>
      </c>
      <c r="B41" s="15" t="s">
        <v>186</v>
      </c>
      <c r="C41" s="14" t="s">
        <v>76</v>
      </c>
      <c r="D41" s="14" t="s">
        <v>187</v>
      </c>
      <c r="E41" s="14" t="s">
        <v>14</v>
      </c>
      <c r="F41" s="16">
        <v>1</v>
      </c>
      <c r="G41" s="16">
        <v>0</v>
      </c>
      <c r="H41" s="16">
        <v>0</v>
      </c>
      <c r="I41" s="16">
        <v>0</v>
      </c>
      <c r="J41" s="16">
        <v>0</v>
      </c>
      <c r="K41" s="16">
        <v>0</v>
      </c>
      <c r="L41" s="16">
        <v>0</v>
      </c>
      <c r="M41" s="16">
        <v>0</v>
      </c>
      <c r="N41" s="16">
        <v>0</v>
      </c>
      <c r="O41" s="16">
        <v>0</v>
      </c>
      <c r="P41" s="16">
        <v>0</v>
      </c>
      <c r="Q41" s="16">
        <v>0</v>
      </c>
      <c r="R41" s="16">
        <v>0</v>
      </c>
      <c r="S41" s="16">
        <v>0</v>
      </c>
      <c r="T41" s="16">
        <v>0</v>
      </c>
      <c r="U41" s="16">
        <v>0</v>
      </c>
      <c r="V41" s="16">
        <v>0</v>
      </c>
      <c r="W41" s="16">
        <v>0</v>
      </c>
      <c r="X41" s="16">
        <v>1</v>
      </c>
      <c r="Y41" s="16">
        <v>0</v>
      </c>
      <c r="Z41" s="16">
        <v>0</v>
      </c>
      <c r="AA41" s="16">
        <v>0</v>
      </c>
      <c r="AB41" s="16">
        <v>0</v>
      </c>
      <c r="AC41" s="16">
        <v>0</v>
      </c>
      <c r="AD41" s="16">
        <v>1</v>
      </c>
      <c r="AE41" s="16">
        <v>0</v>
      </c>
      <c r="AF41" s="16">
        <v>1</v>
      </c>
      <c r="AG41" s="16">
        <v>0</v>
      </c>
      <c r="AH41" s="16">
        <v>0</v>
      </c>
    </row>
    <row r="42" spans="1:34" x14ac:dyDescent="0.25">
      <c r="A42" s="14" t="s">
        <v>188</v>
      </c>
      <c r="B42" s="15" t="s">
        <v>189</v>
      </c>
      <c r="C42" s="14" t="s">
        <v>76</v>
      </c>
      <c r="D42" s="14" t="s">
        <v>190</v>
      </c>
      <c r="E42" s="14" t="s">
        <v>12</v>
      </c>
      <c r="F42" s="16">
        <v>0</v>
      </c>
      <c r="G42" s="16">
        <v>1</v>
      </c>
      <c r="H42" s="16">
        <v>0</v>
      </c>
      <c r="I42" s="16">
        <v>1</v>
      </c>
      <c r="J42" s="16">
        <v>0</v>
      </c>
      <c r="K42" s="16">
        <v>0</v>
      </c>
      <c r="L42" s="16">
        <v>0</v>
      </c>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1</v>
      </c>
      <c r="AH42" s="16">
        <v>0</v>
      </c>
    </row>
    <row r="43" spans="1:34" x14ac:dyDescent="0.25">
      <c r="A43" s="14" t="s">
        <v>191</v>
      </c>
      <c r="B43" s="15" t="s">
        <v>192</v>
      </c>
      <c r="C43" s="14" t="s">
        <v>76</v>
      </c>
      <c r="D43" s="14" t="s">
        <v>193</v>
      </c>
      <c r="E43" s="14" t="s">
        <v>16</v>
      </c>
      <c r="F43" s="16">
        <v>1</v>
      </c>
      <c r="G43" s="16">
        <v>0</v>
      </c>
      <c r="H43" s="16">
        <v>0</v>
      </c>
      <c r="I43" s="16">
        <v>0</v>
      </c>
      <c r="J43" s="16">
        <v>0</v>
      </c>
      <c r="K43" s="16">
        <v>0</v>
      </c>
      <c r="L43" s="16">
        <v>0</v>
      </c>
      <c r="M43" s="16">
        <v>0</v>
      </c>
      <c r="N43" s="16">
        <v>0</v>
      </c>
      <c r="O43" s="16">
        <v>0</v>
      </c>
      <c r="P43" s="16">
        <v>0</v>
      </c>
      <c r="Q43" s="16">
        <v>0</v>
      </c>
      <c r="R43" s="16">
        <v>0</v>
      </c>
      <c r="S43" s="16">
        <v>0</v>
      </c>
      <c r="T43" s="16">
        <v>0</v>
      </c>
      <c r="U43" s="16">
        <v>0</v>
      </c>
      <c r="V43" s="16">
        <v>0</v>
      </c>
      <c r="W43" s="16">
        <v>0</v>
      </c>
      <c r="X43" s="16">
        <v>0</v>
      </c>
      <c r="Y43" s="16">
        <v>0</v>
      </c>
      <c r="Z43" s="16">
        <v>1</v>
      </c>
      <c r="AA43" s="16">
        <v>1</v>
      </c>
      <c r="AB43" s="16">
        <v>0</v>
      </c>
      <c r="AC43" s="16">
        <v>0</v>
      </c>
      <c r="AD43" s="16">
        <v>1</v>
      </c>
      <c r="AE43" s="16">
        <v>0</v>
      </c>
      <c r="AF43" s="16">
        <v>1</v>
      </c>
      <c r="AG43" s="16">
        <v>0</v>
      </c>
      <c r="AH43" s="16">
        <v>0</v>
      </c>
    </row>
    <row r="44" spans="1:34" x14ac:dyDescent="0.25">
      <c r="A44" s="14" t="s">
        <v>194</v>
      </c>
      <c r="B44" s="15" t="s">
        <v>195</v>
      </c>
      <c r="C44" s="14" t="s">
        <v>73</v>
      </c>
      <c r="D44" s="14" t="s">
        <v>196</v>
      </c>
      <c r="E44" s="14" t="s">
        <v>10</v>
      </c>
      <c r="F44" s="16">
        <v>0</v>
      </c>
      <c r="G44" s="16">
        <v>0</v>
      </c>
      <c r="H44" s="16">
        <v>0</v>
      </c>
      <c r="I44" s="16">
        <v>0</v>
      </c>
      <c r="J44" s="16">
        <v>0</v>
      </c>
      <c r="K44" s="16">
        <v>0</v>
      </c>
      <c r="L44" s="16">
        <v>0</v>
      </c>
      <c r="M44" s="16">
        <v>0</v>
      </c>
      <c r="N44" s="16">
        <v>0</v>
      </c>
      <c r="O44" s="16">
        <v>0</v>
      </c>
      <c r="P44" s="16">
        <v>0</v>
      </c>
      <c r="Q44" s="16">
        <v>1</v>
      </c>
      <c r="R44" s="16">
        <v>0</v>
      </c>
      <c r="S44" s="16">
        <v>0</v>
      </c>
      <c r="T44" s="16">
        <v>0</v>
      </c>
      <c r="U44" s="16">
        <v>0</v>
      </c>
      <c r="V44" s="16">
        <v>0</v>
      </c>
      <c r="W44" s="16">
        <v>0</v>
      </c>
      <c r="X44" s="16">
        <v>0</v>
      </c>
      <c r="Y44" s="16">
        <v>1</v>
      </c>
      <c r="Z44" s="16">
        <v>0</v>
      </c>
      <c r="AA44" s="16">
        <v>0</v>
      </c>
      <c r="AB44" s="16">
        <v>0</v>
      </c>
      <c r="AC44" s="16">
        <v>1</v>
      </c>
      <c r="AD44" s="16">
        <v>0</v>
      </c>
      <c r="AE44" s="16">
        <v>0</v>
      </c>
      <c r="AF44" s="16">
        <v>0</v>
      </c>
      <c r="AG44" s="16">
        <v>1</v>
      </c>
      <c r="AH44" s="16">
        <v>0</v>
      </c>
    </row>
    <row r="45" spans="1:34" x14ac:dyDescent="0.25">
      <c r="A45" s="14" t="s">
        <v>197</v>
      </c>
      <c r="B45" s="15" t="s">
        <v>198</v>
      </c>
      <c r="C45" s="14" t="s">
        <v>80</v>
      </c>
      <c r="D45" s="14" t="s">
        <v>199</v>
      </c>
      <c r="E45" s="14" t="s">
        <v>16</v>
      </c>
      <c r="F45" s="16">
        <v>0</v>
      </c>
      <c r="G45" s="16">
        <v>1</v>
      </c>
      <c r="H45" s="16">
        <v>0</v>
      </c>
      <c r="I45" s="16">
        <v>0</v>
      </c>
      <c r="J45" s="16">
        <v>0</v>
      </c>
      <c r="K45" s="16">
        <v>0</v>
      </c>
      <c r="L45" s="16">
        <v>0</v>
      </c>
      <c r="M45" s="16">
        <v>0</v>
      </c>
      <c r="N45" s="16">
        <v>1</v>
      </c>
      <c r="O45" s="16">
        <v>0</v>
      </c>
      <c r="P45" s="16">
        <v>0</v>
      </c>
      <c r="Q45" s="16">
        <v>1</v>
      </c>
      <c r="R45" s="16">
        <v>0</v>
      </c>
      <c r="S45" s="16">
        <v>0</v>
      </c>
      <c r="T45" s="16">
        <v>0</v>
      </c>
      <c r="U45" s="16">
        <v>0</v>
      </c>
      <c r="V45" s="16">
        <v>0</v>
      </c>
      <c r="W45" s="16">
        <v>0</v>
      </c>
      <c r="X45" s="16">
        <v>0</v>
      </c>
      <c r="Y45" s="16">
        <v>1</v>
      </c>
      <c r="Z45" s="16">
        <v>0</v>
      </c>
      <c r="AA45" s="16">
        <v>0</v>
      </c>
      <c r="AB45" s="16">
        <v>1</v>
      </c>
      <c r="AC45" s="16">
        <v>1</v>
      </c>
      <c r="AD45" s="16">
        <v>1</v>
      </c>
      <c r="AE45" s="16">
        <v>0</v>
      </c>
      <c r="AF45" s="16">
        <v>0</v>
      </c>
      <c r="AG45" s="16">
        <v>1</v>
      </c>
      <c r="AH45" s="16">
        <v>0</v>
      </c>
    </row>
    <row r="46" spans="1:34" x14ac:dyDescent="0.25">
      <c r="A46" s="14" t="s">
        <v>200</v>
      </c>
      <c r="B46" s="15" t="s">
        <v>201</v>
      </c>
      <c r="C46" s="14" t="s">
        <v>76</v>
      </c>
      <c r="D46" s="14" t="s">
        <v>202</v>
      </c>
      <c r="E46" s="14" t="s">
        <v>16</v>
      </c>
      <c r="F46" s="16">
        <v>1</v>
      </c>
      <c r="G46" s="16">
        <v>0</v>
      </c>
      <c r="H46" s="16">
        <v>0</v>
      </c>
      <c r="I46" s="16">
        <v>0</v>
      </c>
      <c r="J46" s="16">
        <v>0</v>
      </c>
      <c r="K46" s="16">
        <v>0</v>
      </c>
      <c r="L46" s="16">
        <v>0</v>
      </c>
      <c r="M46" s="16">
        <v>0</v>
      </c>
      <c r="N46" s="16">
        <v>0</v>
      </c>
      <c r="O46" s="16">
        <v>0</v>
      </c>
      <c r="P46" s="16">
        <v>0</v>
      </c>
      <c r="Q46" s="16">
        <v>0</v>
      </c>
      <c r="R46" s="16">
        <v>0</v>
      </c>
      <c r="S46" s="16">
        <v>0</v>
      </c>
      <c r="T46" s="16">
        <v>0</v>
      </c>
      <c r="U46" s="16">
        <v>0</v>
      </c>
      <c r="V46" s="16">
        <v>0</v>
      </c>
      <c r="W46" s="16">
        <v>0</v>
      </c>
      <c r="X46" s="16">
        <v>0</v>
      </c>
      <c r="Y46" s="16">
        <v>1</v>
      </c>
      <c r="Z46" s="16">
        <v>0</v>
      </c>
      <c r="AA46" s="16">
        <v>0</v>
      </c>
      <c r="AB46" s="16">
        <v>0</v>
      </c>
      <c r="AC46" s="16">
        <v>0</v>
      </c>
      <c r="AD46" s="16">
        <v>1</v>
      </c>
      <c r="AE46" s="16">
        <v>0</v>
      </c>
      <c r="AF46" s="16">
        <v>1</v>
      </c>
      <c r="AG46" s="16">
        <v>0</v>
      </c>
      <c r="AH46" s="16">
        <v>0</v>
      </c>
    </row>
    <row r="47" spans="1:34" x14ac:dyDescent="0.25">
      <c r="A47" s="14" t="s">
        <v>203</v>
      </c>
      <c r="B47" s="15" t="s">
        <v>204</v>
      </c>
      <c r="C47" s="14" t="s">
        <v>76</v>
      </c>
      <c r="D47" s="14" t="s">
        <v>205</v>
      </c>
      <c r="E47" s="14" t="s">
        <v>16</v>
      </c>
      <c r="F47" s="16">
        <v>0</v>
      </c>
      <c r="G47" s="16">
        <v>1</v>
      </c>
      <c r="H47" s="16">
        <v>0</v>
      </c>
      <c r="I47" s="16">
        <v>0</v>
      </c>
      <c r="J47" s="16">
        <v>0</v>
      </c>
      <c r="K47" s="16">
        <v>0</v>
      </c>
      <c r="L47" s="16">
        <v>1</v>
      </c>
      <c r="M47" s="16">
        <v>0</v>
      </c>
      <c r="N47" s="16">
        <v>0</v>
      </c>
      <c r="O47" s="16">
        <v>0</v>
      </c>
      <c r="P47" s="16">
        <v>1</v>
      </c>
      <c r="Q47" s="16">
        <v>0</v>
      </c>
      <c r="R47" s="16">
        <v>0</v>
      </c>
      <c r="S47" s="16">
        <v>0</v>
      </c>
      <c r="T47" s="16">
        <v>0</v>
      </c>
      <c r="U47" s="16">
        <v>0</v>
      </c>
      <c r="V47" s="16">
        <v>1</v>
      </c>
      <c r="W47" s="16">
        <v>0</v>
      </c>
      <c r="X47" s="16">
        <v>0</v>
      </c>
      <c r="Y47" s="16">
        <v>1</v>
      </c>
      <c r="Z47" s="16">
        <v>0</v>
      </c>
      <c r="AA47" s="16">
        <v>0</v>
      </c>
      <c r="AB47" s="16">
        <v>1</v>
      </c>
      <c r="AC47" s="16">
        <v>1</v>
      </c>
      <c r="AD47" s="16">
        <v>0</v>
      </c>
      <c r="AE47" s="16">
        <v>1</v>
      </c>
      <c r="AF47" s="16">
        <v>0</v>
      </c>
      <c r="AG47" s="16">
        <v>1</v>
      </c>
      <c r="AH47" s="16">
        <v>0</v>
      </c>
    </row>
    <row r="48" spans="1:34" x14ac:dyDescent="0.25">
      <c r="A48" s="14" t="s">
        <v>206</v>
      </c>
      <c r="B48" s="15" t="s">
        <v>207</v>
      </c>
      <c r="C48" s="14" t="s">
        <v>84</v>
      </c>
      <c r="D48" s="14" t="s">
        <v>208</v>
      </c>
      <c r="E48" s="14" t="s">
        <v>16</v>
      </c>
      <c r="F48" s="16">
        <v>1</v>
      </c>
      <c r="G48" s="16">
        <v>0</v>
      </c>
      <c r="H48" s="16">
        <v>0</v>
      </c>
      <c r="I48" s="16">
        <v>0</v>
      </c>
      <c r="J48" s="16">
        <v>0</v>
      </c>
      <c r="K48" s="16">
        <v>0</v>
      </c>
      <c r="L48" s="16">
        <v>0</v>
      </c>
      <c r="M48" s="16">
        <v>0</v>
      </c>
      <c r="N48" s="16">
        <v>0</v>
      </c>
      <c r="O48" s="16">
        <v>0</v>
      </c>
      <c r="P48" s="16">
        <v>0</v>
      </c>
      <c r="Q48" s="16">
        <v>0</v>
      </c>
      <c r="R48" s="16">
        <v>0</v>
      </c>
      <c r="S48" s="16">
        <v>0</v>
      </c>
      <c r="T48" s="16">
        <v>0</v>
      </c>
      <c r="U48" s="16">
        <v>0</v>
      </c>
      <c r="V48" s="16">
        <v>0</v>
      </c>
      <c r="W48" s="16">
        <v>0</v>
      </c>
      <c r="X48" s="16">
        <v>1</v>
      </c>
      <c r="Y48" s="16">
        <v>0</v>
      </c>
      <c r="Z48" s="16">
        <v>0</v>
      </c>
      <c r="AA48" s="16">
        <v>0</v>
      </c>
      <c r="AB48" s="16">
        <v>0</v>
      </c>
      <c r="AC48" s="16">
        <v>0</v>
      </c>
      <c r="AD48" s="16">
        <v>0</v>
      </c>
      <c r="AE48" s="16">
        <v>1</v>
      </c>
      <c r="AF48" s="16">
        <v>0</v>
      </c>
      <c r="AG48" s="16">
        <v>1</v>
      </c>
      <c r="AH48" s="16">
        <v>0</v>
      </c>
    </row>
    <row r="49" spans="1:34" x14ac:dyDescent="0.25">
      <c r="A49" s="14" t="s">
        <v>209</v>
      </c>
      <c r="B49" s="15" t="s">
        <v>210</v>
      </c>
      <c r="C49" s="14" t="s">
        <v>76</v>
      </c>
      <c r="D49" s="14" t="s">
        <v>211</v>
      </c>
      <c r="E49" s="14" t="s">
        <v>16</v>
      </c>
      <c r="F49" s="16">
        <v>0</v>
      </c>
      <c r="G49" s="16">
        <v>1</v>
      </c>
      <c r="H49" s="16">
        <v>0</v>
      </c>
      <c r="I49" s="16">
        <v>0</v>
      </c>
      <c r="J49" s="16">
        <v>0</v>
      </c>
      <c r="K49" s="16">
        <v>0</v>
      </c>
      <c r="L49" s="16">
        <v>0</v>
      </c>
      <c r="M49" s="16">
        <v>0</v>
      </c>
      <c r="N49" s="16">
        <v>0</v>
      </c>
      <c r="O49" s="16">
        <v>0</v>
      </c>
      <c r="P49" s="16">
        <v>0</v>
      </c>
      <c r="Q49" s="16">
        <v>1</v>
      </c>
      <c r="R49" s="16">
        <v>1</v>
      </c>
      <c r="S49" s="16">
        <v>0</v>
      </c>
      <c r="T49" s="16">
        <v>0</v>
      </c>
      <c r="U49" s="16">
        <v>0</v>
      </c>
      <c r="V49" s="16">
        <v>0</v>
      </c>
      <c r="W49" s="16">
        <v>0</v>
      </c>
      <c r="X49" s="16">
        <v>0</v>
      </c>
      <c r="Y49" s="16">
        <v>1</v>
      </c>
      <c r="Z49" s="16">
        <v>0</v>
      </c>
      <c r="AA49" s="16">
        <v>0</v>
      </c>
      <c r="AB49" s="16">
        <v>1</v>
      </c>
      <c r="AC49" s="16">
        <v>0</v>
      </c>
      <c r="AD49" s="16">
        <v>1</v>
      </c>
      <c r="AE49" s="16">
        <v>0</v>
      </c>
      <c r="AF49" s="16">
        <v>0</v>
      </c>
      <c r="AG49" s="16">
        <v>1</v>
      </c>
      <c r="AH49" s="16">
        <v>0</v>
      </c>
    </row>
    <row r="50" spans="1:34" x14ac:dyDescent="0.25">
      <c r="A50" s="14" t="s">
        <v>212</v>
      </c>
      <c r="B50" s="15" t="s">
        <v>213</v>
      </c>
      <c r="C50" s="14" t="s">
        <v>73</v>
      </c>
      <c r="D50" s="14" t="s">
        <v>214</v>
      </c>
      <c r="E50" s="14" t="s">
        <v>11</v>
      </c>
      <c r="F50" s="16">
        <v>0</v>
      </c>
      <c r="G50" s="16">
        <v>0</v>
      </c>
      <c r="H50" s="16">
        <v>0</v>
      </c>
      <c r="I50" s="16">
        <v>0</v>
      </c>
      <c r="J50" s="16">
        <v>0</v>
      </c>
      <c r="K50" s="16">
        <v>0</v>
      </c>
      <c r="L50" s="16">
        <v>0</v>
      </c>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row>
    <row r="51" spans="1:34" x14ac:dyDescent="0.25">
      <c r="A51" s="14" t="s">
        <v>215</v>
      </c>
      <c r="B51" s="15" t="s">
        <v>216</v>
      </c>
      <c r="C51" s="14" t="s">
        <v>76</v>
      </c>
      <c r="D51" s="14" t="s">
        <v>217</v>
      </c>
      <c r="E51" s="14" t="s">
        <v>16</v>
      </c>
      <c r="F51" s="16">
        <v>0</v>
      </c>
      <c r="G51" s="16">
        <v>1</v>
      </c>
      <c r="H51" s="16">
        <v>0</v>
      </c>
      <c r="I51" s="16">
        <v>0</v>
      </c>
      <c r="J51" s="16">
        <v>0</v>
      </c>
      <c r="K51" s="16">
        <v>0</v>
      </c>
      <c r="L51" s="16">
        <v>0</v>
      </c>
      <c r="M51" s="16">
        <v>0</v>
      </c>
      <c r="N51" s="16">
        <v>0</v>
      </c>
      <c r="O51" s="16">
        <v>0</v>
      </c>
      <c r="P51" s="16">
        <v>1</v>
      </c>
      <c r="Q51" s="16">
        <v>0</v>
      </c>
      <c r="R51" s="16">
        <v>0</v>
      </c>
      <c r="S51" s="16">
        <v>0</v>
      </c>
      <c r="T51" s="16">
        <v>0</v>
      </c>
      <c r="U51" s="16">
        <v>0</v>
      </c>
      <c r="V51" s="16">
        <v>0</v>
      </c>
      <c r="W51" s="16">
        <v>0</v>
      </c>
      <c r="X51" s="16">
        <v>0</v>
      </c>
      <c r="Y51" s="16">
        <v>0</v>
      </c>
      <c r="Z51" s="16">
        <v>1</v>
      </c>
      <c r="AA51" s="16">
        <v>0</v>
      </c>
      <c r="AB51" s="16">
        <v>0</v>
      </c>
      <c r="AC51" s="16">
        <v>0</v>
      </c>
      <c r="AD51" s="16">
        <v>1</v>
      </c>
      <c r="AE51" s="16">
        <v>0</v>
      </c>
      <c r="AF51" s="16">
        <v>0</v>
      </c>
      <c r="AG51" s="16">
        <v>1</v>
      </c>
      <c r="AH51" s="16">
        <v>0</v>
      </c>
    </row>
    <row r="52" spans="1:34" x14ac:dyDescent="0.25">
      <c r="A52" s="14" t="s">
        <v>218</v>
      </c>
      <c r="B52" s="15" t="s">
        <v>219</v>
      </c>
      <c r="C52" s="14" t="s">
        <v>65</v>
      </c>
      <c r="D52" s="14" t="s">
        <v>220</v>
      </c>
      <c r="E52" s="14" t="s">
        <v>16</v>
      </c>
      <c r="F52" s="16">
        <v>1</v>
      </c>
      <c r="G52" s="16">
        <v>0</v>
      </c>
      <c r="H52" s="16">
        <v>0</v>
      </c>
      <c r="I52" s="16">
        <v>0</v>
      </c>
      <c r="J52" s="16">
        <v>0</v>
      </c>
      <c r="K52" s="16">
        <v>0</v>
      </c>
      <c r="L52" s="16">
        <v>0</v>
      </c>
      <c r="M52" s="16">
        <v>0</v>
      </c>
      <c r="N52" s="16">
        <v>0</v>
      </c>
      <c r="O52" s="16">
        <v>0</v>
      </c>
      <c r="P52" s="16">
        <v>0</v>
      </c>
      <c r="Q52" s="16">
        <v>0</v>
      </c>
      <c r="R52" s="16">
        <v>0</v>
      </c>
      <c r="S52" s="16">
        <v>0</v>
      </c>
      <c r="T52" s="16">
        <v>0</v>
      </c>
      <c r="U52" s="16">
        <v>0</v>
      </c>
      <c r="V52" s="16">
        <v>0</v>
      </c>
      <c r="W52" s="16">
        <v>0</v>
      </c>
      <c r="X52" s="16">
        <v>0</v>
      </c>
      <c r="Y52" s="16">
        <v>0</v>
      </c>
      <c r="Z52" s="16">
        <v>1</v>
      </c>
      <c r="AA52" s="16">
        <v>0</v>
      </c>
      <c r="AB52" s="16">
        <v>0</v>
      </c>
      <c r="AC52" s="16">
        <v>0</v>
      </c>
      <c r="AD52" s="16">
        <v>1</v>
      </c>
      <c r="AE52" s="16">
        <v>0</v>
      </c>
      <c r="AF52" s="16">
        <v>1</v>
      </c>
      <c r="AG52" s="16">
        <v>0</v>
      </c>
      <c r="AH52" s="16">
        <v>0</v>
      </c>
    </row>
    <row r="53" spans="1:34" x14ac:dyDescent="0.25">
      <c r="A53" s="14" t="s">
        <v>221</v>
      </c>
      <c r="B53" s="15" t="s">
        <v>222</v>
      </c>
      <c r="C53" s="14" t="s">
        <v>84</v>
      </c>
      <c r="D53" s="14" t="s">
        <v>223</v>
      </c>
      <c r="E53" s="14" t="s">
        <v>16</v>
      </c>
      <c r="F53" s="16">
        <v>0</v>
      </c>
      <c r="G53" s="16">
        <v>1</v>
      </c>
      <c r="H53" s="16">
        <v>0</v>
      </c>
      <c r="I53" s="16">
        <v>0</v>
      </c>
      <c r="J53" s="16">
        <v>0</v>
      </c>
      <c r="K53" s="16">
        <v>0</v>
      </c>
      <c r="L53" s="16">
        <v>0</v>
      </c>
      <c r="M53" s="16">
        <v>0</v>
      </c>
      <c r="N53" s="16">
        <v>0</v>
      </c>
      <c r="O53" s="16">
        <v>0</v>
      </c>
      <c r="P53" s="16">
        <v>1</v>
      </c>
      <c r="Q53" s="16">
        <v>0</v>
      </c>
      <c r="R53" s="16">
        <v>0</v>
      </c>
      <c r="S53" s="16">
        <v>0</v>
      </c>
      <c r="T53" s="16">
        <v>0</v>
      </c>
      <c r="U53" s="16">
        <v>1</v>
      </c>
      <c r="V53" s="16">
        <v>0</v>
      </c>
      <c r="W53" s="16">
        <v>0</v>
      </c>
      <c r="X53" s="16">
        <v>1</v>
      </c>
      <c r="Y53" s="16">
        <v>0</v>
      </c>
      <c r="Z53" s="16">
        <v>0</v>
      </c>
      <c r="AA53" s="16">
        <v>0</v>
      </c>
      <c r="AB53" s="16">
        <v>0</v>
      </c>
      <c r="AC53" s="16">
        <v>0</v>
      </c>
      <c r="AD53" s="16">
        <v>1</v>
      </c>
      <c r="AE53" s="16">
        <v>0</v>
      </c>
      <c r="AF53" s="16">
        <v>1</v>
      </c>
      <c r="AG53" s="16">
        <v>0</v>
      </c>
      <c r="AH53" s="16">
        <v>0</v>
      </c>
    </row>
    <row r="54" spans="1:34" x14ac:dyDescent="0.25">
      <c r="A54" s="14" t="s">
        <v>224</v>
      </c>
      <c r="B54" s="15" t="s">
        <v>225</v>
      </c>
      <c r="C54" s="14" t="s">
        <v>76</v>
      </c>
      <c r="D54" s="14" t="s">
        <v>226</v>
      </c>
      <c r="E54" s="14" t="s">
        <v>13</v>
      </c>
      <c r="F54" s="16">
        <v>0</v>
      </c>
      <c r="G54" s="16">
        <v>1</v>
      </c>
      <c r="H54" s="16">
        <v>0</v>
      </c>
      <c r="I54" s="16">
        <v>0</v>
      </c>
      <c r="J54" s="16">
        <v>1</v>
      </c>
      <c r="K54" s="16">
        <v>1</v>
      </c>
      <c r="L54" s="16">
        <v>0</v>
      </c>
      <c r="M54" s="16">
        <v>0</v>
      </c>
      <c r="N54" s="16">
        <v>0</v>
      </c>
      <c r="O54" s="16">
        <v>0</v>
      </c>
      <c r="P54" s="16">
        <v>0</v>
      </c>
      <c r="Q54" s="16">
        <v>0</v>
      </c>
      <c r="R54" s="16">
        <v>1</v>
      </c>
      <c r="S54" s="16">
        <v>0</v>
      </c>
      <c r="T54" s="16">
        <v>0</v>
      </c>
      <c r="U54" s="16">
        <v>0</v>
      </c>
      <c r="V54" s="16">
        <v>0</v>
      </c>
      <c r="W54" s="16">
        <v>0</v>
      </c>
      <c r="X54" s="16">
        <v>0</v>
      </c>
      <c r="Y54" s="16">
        <v>1</v>
      </c>
      <c r="Z54" s="16">
        <v>0</v>
      </c>
      <c r="AA54" s="16">
        <v>1</v>
      </c>
      <c r="AB54" s="16">
        <v>0</v>
      </c>
      <c r="AC54" s="16">
        <v>0</v>
      </c>
      <c r="AD54" s="16">
        <v>1</v>
      </c>
      <c r="AE54" s="16">
        <v>0</v>
      </c>
      <c r="AF54" s="16">
        <v>0</v>
      </c>
      <c r="AG54" s="16">
        <v>1</v>
      </c>
      <c r="AH54" s="16">
        <v>1</v>
      </c>
    </row>
    <row r="55" spans="1:34" x14ac:dyDescent="0.25">
      <c r="A55" s="14" t="s">
        <v>227</v>
      </c>
      <c r="B55" s="15" t="s">
        <v>228</v>
      </c>
      <c r="C55" s="14" t="s">
        <v>73</v>
      </c>
      <c r="D55" s="14" t="s">
        <v>229</v>
      </c>
      <c r="E55" s="14" t="s">
        <v>10</v>
      </c>
      <c r="F55" s="16">
        <v>0</v>
      </c>
      <c r="G55" s="16">
        <v>1</v>
      </c>
      <c r="H55" s="16">
        <v>0</v>
      </c>
      <c r="I55" s="16">
        <v>1</v>
      </c>
      <c r="J55" s="16">
        <v>0</v>
      </c>
      <c r="K55" s="16">
        <v>1</v>
      </c>
      <c r="L55" s="16">
        <v>1</v>
      </c>
      <c r="M55" s="16">
        <v>0</v>
      </c>
      <c r="N55" s="16">
        <v>0</v>
      </c>
      <c r="O55" s="16">
        <v>1</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1</v>
      </c>
      <c r="AH55" s="16">
        <v>0</v>
      </c>
    </row>
    <row r="56" spans="1:34" x14ac:dyDescent="0.25">
      <c r="A56" s="14" t="s">
        <v>230</v>
      </c>
      <c r="B56" s="15" t="s">
        <v>231</v>
      </c>
      <c r="C56" s="14" t="s">
        <v>65</v>
      </c>
      <c r="D56" s="14" t="s">
        <v>232</v>
      </c>
      <c r="E56" s="14" t="s">
        <v>16</v>
      </c>
      <c r="F56" s="16">
        <v>1</v>
      </c>
      <c r="G56" s="16">
        <v>0</v>
      </c>
      <c r="H56" s="16">
        <v>0</v>
      </c>
      <c r="I56" s="16">
        <v>0</v>
      </c>
      <c r="J56" s="16">
        <v>0</v>
      </c>
      <c r="K56" s="16">
        <v>0</v>
      </c>
      <c r="L56" s="16">
        <v>0</v>
      </c>
      <c r="M56" s="16">
        <v>0</v>
      </c>
      <c r="N56" s="16">
        <v>0</v>
      </c>
      <c r="O56" s="16">
        <v>0</v>
      </c>
      <c r="P56" s="16">
        <v>0</v>
      </c>
      <c r="Q56" s="16">
        <v>0</v>
      </c>
      <c r="R56" s="16">
        <v>0</v>
      </c>
      <c r="S56" s="16">
        <v>0</v>
      </c>
      <c r="T56" s="16">
        <v>0</v>
      </c>
      <c r="U56" s="16">
        <v>0</v>
      </c>
      <c r="V56" s="16">
        <v>0</v>
      </c>
      <c r="W56" s="16">
        <v>0</v>
      </c>
      <c r="X56" s="16">
        <v>0</v>
      </c>
      <c r="Y56" s="16">
        <v>1</v>
      </c>
      <c r="Z56" s="16">
        <v>0</v>
      </c>
      <c r="AA56" s="16">
        <v>0</v>
      </c>
      <c r="AB56" s="16">
        <v>1</v>
      </c>
      <c r="AC56" s="16">
        <v>0</v>
      </c>
      <c r="AD56" s="16">
        <v>1</v>
      </c>
      <c r="AE56" s="16">
        <v>0</v>
      </c>
      <c r="AF56" s="16">
        <v>1</v>
      </c>
      <c r="AG56" s="16">
        <v>0</v>
      </c>
      <c r="AH56" s="16">
        <v>0</v>
      </c>
    </row>
    <row r="57" spans="1:34" s="19" customFormat="1" x14ac:dyDescent="0.25">
      <c r="A57" s="19" t="s">
        <v>233</v>
      </c>
      <c r="B57" s="19" t="s">
        <v>234</v>
      </c>
      <c r="C57" s="19" t="s">
        <v>73</v>
      </c>
      <c r="D57" s="19" t="s">
        <v>235</v>
      </c>
      <c r="E57" s="19" t="s">
        <v>10</v>
      </c>
      <c r="F57" s="20">
        <v>1</v>
      </c>
      <c r="G57" s="20">
        <v>0</v>
      </c>
      <c r="H57" s="20">
        <v>0</v>
      </c>
      <c r="I57" s="20">
        <v>0</v>
      </c>
      <c r="J57" s="20">
        <v>0</v>
      </c>
      <c r="K57" s="20">
        <v>1</v>
      </c>
      <c r="L57" s="20">
        <v>0</v>
      </c>
      <c r="M57" s="20">
        <v>0</v>
      </c>
      <c r="N57" s="20">
        <v>0</v>
      </c>
      <c r="O57" s="16">
        <v>0</v>
      </c>
      <c r="P57" s="16">
        <v>0</v>
      </c>
      <c r="Q57" s="16">
        <v>0</v>
      </c>
      <c r="R57" s="16">
        <v>0</v>
      </c>
      <c r="S57" s="16">
        <v>0</v>
      </c>
      <c r="T57" s="16">
        <v>0</v>
      </c>
      <c r="U57" s="16">
        <v>0</v>
      </c>
      <c r="V57" s="16">
        <v>0</v>
      </c>
      <c r="W57" s="16">
        <v>0</v>
      </c>
      <c r="X57" s="20">
        <v>0</v>
      </c>
      <c r="Y57" s="20">
        <v>0</v>
      </c>
      <c r="Z57" s="20">
        <v>0</v>
      </c>
      <c r="AA57" s="20">
        <v>0</v>
      </c>
      <c r="AB57" s="20">
        <v>0</v>
      </c>
      <c r="AC57" s="20">
        <v>0</v>
      </c>
      <c r="AD57" s="16">
        <v>0</v>
      </c>
      <c r="AE57" s="16">
        <v>0</v>
      </c>
      <c r="AF57" s="16">
        <v>0</v>
      </c>
      <c r="AG57" s="16">
        <v>1</v>
      </c>
      <c r="AH57" s="16">
        <v>0</v>
      </c>
    </row>
    <row r="58" spans="1:34" x14ac:dyDescent="0.25">
      <c r="A58" s="14" t="s">
        <v>236</v>
      </c>
      <c r="B58" s="15" t="s">
        <v>237</v>
      </c>
      <c r="C58" s="14" t="s">
        <v>84</v>
      </c>
      <c r="D58" s="14" t="s">
        <v>238</v>
      </c>
      <c r="E58" s="14" t="s">
        <v>12</v>
      </c>
      <c r="F58" s="16">
        <v>0</v>
      </c>
      <c r="G58" s="16">
        <v>1</v>
      </c>
      <c r="H58" s="16">
        <v>0</v>
      </c>
      <c r="I58" s="16">
        <v>1</v>
      </c>
      <c r="J58" s="16">
        <v>1</v>
      </c>
      <c r="K58" s="16">
        <v>0</v>
      </c>
      <c r="L58" s="16">
        <v>0</v>
      </c>
      <c r="M58" s="16">
        <v>0</v>
      </c>
      <c r="N58" s="16">
        <v>0</v>
      </c>
      <c r="O58" s="16">
        <v>0</v>
      </c>
      <c r="P58" s="16">
        <v>0</v>
      </c>
      <c r="Q58" s="16">
        <v>1</v>
      </c>
      <c r="R58" s="16">
        <v>0</v>
      </c>
      <c r="S58" s="16">
        <v>0</v>
      </c>
      <c r="T58" s="16">
        <v>0</v>
      </c>
      <c r="U58" s="16">
        <v>0</v>
      </c>
      <c r="V58" s="16">
        <v>0</v>
      </c>
      <c r="W58" s="16">
        <v>0</v>
      </c>
      <c r="X58" s="16">
        <v>0</v>
      </c>
      <c r="Y58" s="16">
        <v>1</v>
      </c>
      <c r="Z58" s="16">
        <v>0</v>
      </c>
      <c r="AA58" s="16">
        <v>0</v>
      </c>
      <c r="AB58" s="16">
        <v>1</v>
      </c>
      <c r="AC58" s="16">
        <v>0</v>
      </c>
      <c r="AD58" s="16">
        <v>0</v>
      </c>
      <c r="AE58" s="16">
        <v>1</v>
      </c>
      <c r="AF58" s="16">
        <v>0</v>
      </c>
      <c r="AG58" s="16">
        <v>1</v>
      </c>
      <c r="AH58" s="16">
        <v>0</v>
      </c>
    </row>
    <row r="59" spans="1:34" x14ac:dyDescent="0.25">
      <c r="A59" s="14" t="s">
        <v>239</v>
      </c>
      <c r="B59" s="15" t="s">
        <v>240</v>
      </c>
      <c r="C59" s="14" t="s">
        <v>69</v>
      </c>
      <c r="D59" s="14" t="s">
        <v>241</v>
      </c>
      <c r="E59" s="14" t="s">
        <v>16</v>
      </c>
      <c r="F59" s="16">
        <v>0</v>
      </c>
      <c r="G59" s="16">
        <v>0</v>
      </c>
      <c r="H59" s="16">
        <v>0</v>
      </c>
      <c r="I59" s="16">
        <v>0</v>
      </c>
      <c r="J59" s="16">
        <v>0</v>
      </c>
      <c r="K59" s="16">
        <v>0</v>
      </c>
      <c r="L59" s="16">
        <v>0</v>
      </c>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1</v>
      </c>
      <c r="AF59" s="16">
        <v>0</v>
      </c>
      <c r="AG59" s="16">
        <v>0</v>
      </c>
      <c r="AH59" s="16">
        <v>0</v>
      </c>
    </row>
    <row r="60" spans="1:34" x14ac:dyDescent="0.25">
      <c r="A60" s="14" t="s">
        <v>242</v>
      </c>
      <c r="B60" s="15" t="s">
        <v>243</v>
      </c>
      <c r="C60" s="14" t="s">
        <v>69</v>
      </c>
      <c r="D60" s="14" t="s">
        <v>244</v>
      </c>
      <c r="E60" s="14" t="s">
        <v>13</v>
      </c>
      <c r="F60" s="16">
        <v>0</v>
      </c>
      <c r="G60" s="16">
        <v>1</v>
      </c>
      <c r="H60" s="16">
        <v>0</v>
      </c>
      <c r="I60" s="16">
        <v>1</v>
      </c>
      <c r="J60" s="16">
        <v>0</v>
      </c>
      <c r="K60" s="16">
        <v>0</v>
      </c>
      <c r="L60" s="16">
        <v>1</v>
      </c>
      <c r="M60" s="16">
        <v>0</v>
      </c>
      <c r="N60" s="16">
        <v>0</v>
      </c>
      <c r="O60" s="16">
        <v>0</v>
      </c>
      <c r="P60" s="16">
        <v>1</v>
      </c>
      <c r="Q60" s="16">
        <v>0</v>
      </c>
      <c r="R60" s="16">
        <v>0</v>
      </c>
      <c r="S60" s="16">
        <v>0</v>
      </c>
      <c r="T60" s="16">
        <v>1</v>
      </c>
      <c r="U60" s="16">
        <v>0</v>
      </c>
      <c r="V60" s="16">
        <v>0</v>
      </c>
      <c r="W60" s="16">
        <v>0</v>
      </c>
      <c r="X60" s="16">
        <v>0</v>
      </c>
      <c r="Y60" s="16">
        <v>1</v>
      </c>
      <c r="Z60" s="16">
        <v>0</v>
      </c>
      <c r="AA60" s="16">
        <v>1</v>
      </c>
      <c r="AB60" s="16">
        <v>0</v>
      </c>
      <c r="AC60" s="16">
        <v>0</v>
      </c>
      <c r="AD60" s="16">
        <v>1</v>
      </c>
      <c r="AE60" s="16">
        <v>0</v>
      </c>
      <c r="AF60" s="16">
        <v>1</v>
      </c>
      <c r="AG60" s="16">
        <v>0</v>
      </c>
      <c r="AH60" s="16">
        <v>0</v>
      </c>
    </row>
    <row r="61" spans="1:34" x14ac:dyDescent="0.25">
      <c r="A61" s="14" t="s">
        <v>245</v>
      </c>
      <c r="B61" s="15" t="s">
        <v>246</v>
      </c>
      <c r="C61" s="14" t="s">
        <v>73</v>
      </c>
      <c r="D61" s="14" t="s">
        <v>247</v>
      </c>
      <c r="E61" s="14" t="s">
        <v>14</v>
      </c>
      <c r="F61" s="16">
        <v>0</v>
      </c>
      <c r="G61" s="16">
        <v>1</v>
      </c>
      <c r="H61" s="16">
        <v>0</v>
      </c>
      <c r="I61" s="16">
        <v>0</v>
      </c>
      <c r="J61" s="16">
        <v>0</v>
      </c>
      <c r="K61" s="16">
        <v>0</v>
      </c>
      <c r="L61" s="16">
        <v>0</v>
      </c>
      <c r="M61" s="16">
        <v>0</v>
      </c>
      <c r="N61" s="16">
        <v>0</v>
      </c>
      <c r="O61" s="16">
        <v>0</v>
      </c>
      <c r="P61" s="16">
        <v>0</v>
      </c>
      <c r="Q61" s="16">
        <v>0</v>
      </c>
      <c r="R61" s="16">
        <v>0</v>
      </c>
      <c r="S61" s="16">
        <v>0</v>
      </c>
      <c r="T61" s="16">
        <v>0</v>
      </c>
      <c r="U61" s="16">
        <v>0</v>
      </c>
      <c r="V61" s="16">
        <v>0</v>
      </c>
      <c r="W61" s="16">
        <v>0</v>
      </c>
      <c r="X61" s="16">
        <v>1</v>
      </c>
      <c r="Y61" s="16">
        <v>0</v>
      </c>
      <c r="Z61" s="16">
        <v>0</v>
      </c>
      <c r="AA61" s="16">
        <v>0</v>
      </c>
      <c r="AB61" s="16">
        <v>0</v>
      </c>
      <c r="AC61" s="16">
        <v>0</v>
      </c>
      <c r="AD61" s="16">
        <v>0</v>
      </c>
      <c r="AE61" s="16">
        <v>1</v>
      </c>
      <c r="AF61" s="16">
        <v>1</v>
      </c>
      <c r="AG61" s="16">
        <v>0</v>
      </c>
      <c r="AH61" s="16">
        <v>0</v>
      </c>
    </row>
    <row r="62" spans="1:34" x14ac:dyDescent="0.25">
      <c r="A62" s="14" t="s">
        <v>248</v>
      </c>
      <c r="B62" s="15" t="s">
        <v>249</v>
      </c>
      <c r="C62" s="14" t="s">
        <v>73</v>
      </c>
      <c r="D62" s="14" t="s">
        <v>250</v>
      </c>
      <c r="E62" s="14" t="s">
        <v>14</v>
      </c>
      <c r="F62" s="16">
        <v>0</v>
      </c>
      <c r="G62" s="16">
        <v>1</v>
      </c>
      <c r="H62" s="16">
        <v>0</v>
      </c>
      <c r="I62" s="16">
        <v>1</v>
      </c>
      <c r="J62" s="16">
        <v>1</v>
      </c>
      <c r="K62" s="16">
        <v>0</v>
      </c>
      <c r="L62" s="16">
        <v>0</v>
      </c>
      <c r="M62" s="16">
        <v>0</v>
      </c>
      <c r="N62" s="16">
        <v>0</v>
      </c>
      <c r="O62" s="16">
        <v>0</v>
      </c>
      <c r="P62" s="16">
        <v>1</v>
      </c>
      <c r="Q62" s="16">
        <v>0</v>
      </c>
      <c r="R62" s="16">
        <v>0</v>
      </c>
      <c r="S62" s="16">
        <v>0</v>
      </c>
      <c r="T62" s="16">
        <v>0</v>
      </c>
      <c r="U62" s="16">
        <v>0</v>
      </c>
      <c r="V62" s="16">
        <v>1</v>
      </c>
      <c r="W62" s="16">
        <v>0</v>
      </c>
      <c r="X62" s="16">
        <v>0</v>
      </c>
      <c r="Y62" s="16">
        <v>1</v>
      </c>
      <c r="Z62" s="16">
        <v>0</v>
      </c>
      <c r="AA62" s="16">
        <v>0</v>
      </c>
      <c r="AB62" s="16">
        <v>0</v>
      </c>
      <c r="AC62" s="16">
        <v>1</v>
      </c>
      <c r="AD62" s="16">
        <v>1</v>
      </c>
      <c r="AE62" s="16">
        <v>0</v>
      </c>
      <c r="AF62" s="16">
        <v>0</v>
      </c>
      <c r="AG62" s="16">
        <v>1</v>
      </c>
      <c r="AH62" s="16">
        <v>0</v>
      </c>
    </row>
    <row r="63" spans="1:34" x14ac:dyDescent="0.25">
      <c r="A63" s="14" t="s">
        <v>251</v>
      </c>
      <c r="B63" s="15" t="s">
        <v>252</v>
      </c>
      <c r="C63" s="14" t="s">
        <v>76</v>
      </c>
      <c r="D63" s="14" t="s">
        <v>253</v>
      </c>
      <c r="E63" s="14" t="s">
        <v>13</v>
      </c>
      <c r="F63" s="16">
        <v>0</v>
      </c>
      <c r="G63" s="16">
        <v>0</v>
      </c>
      <c r="H63" s="16">
        <v>0</v>
      </c>
      <c r="I63" s="16">
        <v>0</v>
      </c>
      <c r="J63" s="16">
        <v>0</v>
      </c>
      <c r="K63" s="16">
        <v>0</v>
      </c>
      <c r="L63" s="16">
        <v>0</v>
      </c>
      <c r="M63" s="16">
        <v>0</v>
      </c>
      <c r="N63" s="16">
        <v>0</v>
      </c>
      <c r="O63" s="16">
        <v>0</v>
      </c>
      <c r="P63" s="16">
        <v>0</v>
      </c>
      <c r="Q63" s="16">
        <v>0</v>
      </c>
      <c r="R63" s="16">
        <v>1</v>
      </c>
      <c r="S63" s="16">
        <v>0</v>
      </c>
      <c r="T63" s="16">
        <v>0</v>
      </c>
      <c r="U63" s="16">
        <v>0</v>
      </c>
      <c r="V63" s="16">
        <v>0</v>
      </c>
      <c r="W63" s="16">
        <v>0</v>
      </c>
      <c r="X63" s="16">
        <v>0</v>
      </c>
      <c r="Y63" s="16">
        <v>0</v>
      </c>
      <c r="Z63" s="16">
        <v>0</v>
      </c>
      <c r="AA63" s="16">
        <v>0</v>
      </c>
      <c r="AB63" s="16">
        <v>0</v>
      </c>
      <c r="AC63" s="16">
        <v>0</v>
      </c>
      <c r="AD63" s="16">
        <v>1</v>
      </c>
      <c r="AE63" s="16">
        <v>0</v>
      </c>
      <c r="AF63" s="16">
        <v>0</v>
      </c>
      <c r="AG63" s="16">
        <v>1</v>
      </c>
      <c r="AH63" s="16">
        <v>0</v>
      </c>
    </row>
    <row r="64" spans="1:34" x14ac:dyDescent="0.25">
      <c r="A64" s="14" t="s">
        <v>254</v>
      </c>
      <c r="B64" s="15" t="s">
        <v>255</v>
      </c>
      <c r="C64" s="14" t="s">
        <v>69</v>
      </c>
      <c r="D64" s="14" t="s">
        <v>256</v>
      </c>
      <c r="E64" s="14" t="s">
        <v>13</v>
      </c>
      <c r="F64" s="16">
        <v>0</v>
      </c>
      <c r="G64" s="16">
        <v>1</v>
      </c>
      <c r="H64" s="16">
        <v>0</v>
      </c>
      <c r="I64" s="16">
        <v>0</v>
      </c>
      <c r="J64" s="16">
        <v>1</v>
      </c>
      <c r="K64" s="16">
        <v>0</v>
      </c>
      <c r="L64" s="16">
        <v>0</v>
      </c>
      <c r="M64" s="16">
        <v>0</v>
      </c>
      <c r="N64" s="16">
        <v>0</v>
      </c>
      <c r="O64" s="16">
        <v>0</v>
      </c>
      <c r="P64" s="16">
        <v>0</v>
      </c>
      <c r="Q64" s="16">
        <v>0</v>
      </c>
      <c r="R64" s="16">
        <v>0</v>
      </c>
      <c r="S64" s="16">
        <v>0</v>
      </c>
      <c r="T64" s="16">
        <v>0</v>
      </c>
      <c r="U64" s="16">
        <v>0</v>
      </c>
      <c r="V64" s="16">
        <v>0</v>
      </c>
      <c r="W64" s="16">
        <v>0</v>
      </c>
      <c r="X64" s="16">
        <v>0</v>
      </c>
      <c r="Y64" s="16">
        <v>1</v>
      </c>
      <c r="Z64" s="16">
        <v>0</v>
      </c>
      <c r="AA64" s="16">
        <v>0</v>
      </c>
      <c r="AB64" s="16">
        <v>1</v>
      </c>
      <c r="AC64" s="16">
        <v>0</v>
      </c>
      <c r="AD64" s="16">
        <v>1</v>
      </c>
      <c r="AE64" s="16">
        <v>0</v>
      </c>
      <c r="AF64" s="16">
        <v>0</v>
      </c>
      <c r="AG64" s="16">
        <v>1</v>
      </c>
      <c r="AH64" s="16">
        <v>0</v>
      </c>
    </row>
    <row r="65" spans="1:34" x14ac:dyDescent="0.25">
      <c r="A65" s="14" t="s">
        <v>257</v>
      </c>
      <c r="B65" s="15" t="s">
        <v>258</v>
      </c>
      <c r="C65" s="14" t="s">
        <v>73</v>
      </c>
      <c r="D65" s="14" t="s">
        <v>259</v>
      </c>
      <c r="E65" s="14" t="s">
        <v>14</v>
      </c>
      <c r="F65" s="16">
        <v>0</v>
      </c>
      <c r="G65" s="16">
        <v>1</v>
      </c>
      <c r="H65" s="16">
        <v>0</v>
      </c>
      <c r="I65" s="16">
        <v>0</v>
      </c>
      <c r="J65" s="16">
        <v>0</v>
      </c>
      <c r="K65" s="16">
        <v>1</v>
      </c>
      <c r="L65" s="16">
        <v>0</v>
      </c>
      <c r="M65" s="16">
        <v>0</v>
      </c>
      <c r="N65" s="16">
        <v>0</v>
      </c>
      <c r="O65" s="16">
        <v>0</v>
      </c>
      <c r="P65" s="16">
        <v>0</v>
      </c>
      <c r="Q65" s="16">
        <v>0</v>
      </c>
      <c r="R65" s="16">
        <v>0</v>
      </c>
      <c r="S65" s="16">
        <v>0</v>
      </c>
      <c r="T65" s="16">
        <v>0</v>
      </c>
      <c r="U65" s="16">
        <v>0</v>
      </c>
      <c r="V65" s="16">
        <v>0</v>
      </c>
      <c r="W65" s="16">
        <v>0</v>
      </c>
      <c r="X65" s="16">
        <v>0</v>
      </c>
      <c r="Y65" s="16">
        <v>1</v>
      </c>
      <c r="Z65" s="16">
        <v>0</v>
      </c>
      <c r="AA65" s="16">
        <v>0</v>
      </c>
      <c r="AB65" s="16">
        <v>1</v>
      </c>
      <c r="AC65" s="16">
        <v>0</v>
      </c>
      <c r="AD65" s="16">
        <v>1</v>
      </c>
      <c r="AE65" s="16">
        <v>0</v>
      </c>
      <c r="AF65" s="16">
        <v>1</v>
      </c>
      <c r="AG65" s="16">
        <v>0</v>
      </c>
      <c r="AH65" s="16">
        <v>0</v>
      </c>
    </row>
    <row r="66" spans="1:34" x14ac:dyDescent="0.25">
      <c r="A66" s="14" t="s">
        <v>260</v>
      </c>
      <c r="B66" s="15" t="s">
        <v>261</v>
      </c>
      <c r="C66" s="14" t="s">
        <v>69</v>
      </c>
      <c r="D66" s="14" t="s">
        <v>262</v>
      </c>
      <c r="E66" s="14" t="s">
        <v>16</v>
      </c>
      <c r="F66" s="16">
        <v>1</v>
      </c>
      <c r="G66" s="16">
        <v>0</v>
      </c>
      <c r="H66" s="16">
        <v>0</v>
      </c>
      <c r="I66" s="16">
        <v>0</v>
      </c>
      <c r="J66" s="16">
        <v>0</v>
      </c>
      <c r="K66" s="16">
        <v>0</v>
      </c>
      <c r="L66" s="16">
        <v>0</v>
      </c>
      <c r="M66" s="16">
        <v>0</v>
      </c>
      <c r="N66" s="16">
        <v>0</v>
      </c>
      <c r="O66" s="16">
        <v>0</v>
      </c>
      <c r="P66" s="16">
        <v>0</v>
      </c>
      <c r="Q66" s="16">
        <v>0</v>
      </c>
      <c r="R66" s="16">
        <v>0</v>
      </c>
      <c r="S66" s="16">
        <v>0</v>
      </c>
      <c r="T66" s="16">
        <v>0</v>
      </c>
      <c r="U66" s="16">
        <v>0</v>
      </c>
      <c r="V66" s="16">
        <v>0</v>
      </c>
      <c r="W66" s="16">
        <v>0</v>
      </c>
      <c r="X66" s="16">
        <v>0</v>
      </c>
      <c r="Y66" s="16">
        <v>1</v>
      </c>
      <c r="Z66" s="16">
        <v>0</v>
      </c>
      <c r="AA66" s="16">
        <v>0</v>
      </c>
      <c r="AB66" s="16">
        <v>1</v>
      </c>
      <c r="AC66" s="16">
        <v>0</v>
      </c>
      <c r="AD66" s="16">
        <v>0</v>
      </c>
      <c r="AE66" s="16">
        <v>1</v>
      </c>
      <c r="AF66" s="16">
        <v>1</v>
      </c>
      <c r="AG66" s="16">
        <v>0</v>
      </c>
      <c r="AH66" s="16">
        <v>0</v>
      </c>
    </row>
    <row r="67" spans="1:34" x14ac:dyDescent="0.25">
      <c r="A67" s="14" t="s">
        <v>263</v>
      </c>
      <c r="B67" s="15" t="s">
        <v>264</v>
      </c>
      <c r="C67" s="14" t="s">
        <v>65</v>
      </c>
      <c r="D67" s="14" t="s">
        <v>265</v>
      </c>
      <c r="E67" s="14" t="s">
        <v>14</v>
      </c>
      <c r="F67" s="16">
        <v>0</v>
      </c>
      <c r="G67" s="16">
        <v>1</v>
      </c>
      <c r="H67" s="16">
        <v>0</v>
      </c>
      <c r="I67" s="16">
        <v>1</v>
      </c>
      <c r="J67" s="16">
        <v>1</v>
      </c>
      <c r="K67" s="16">
        <v>0</v>
      </c>
      <c r="L67" s="16">
        <v>0</v>
      </c>
      <c r="M67" s="16">
        <v>0</v>
      </c>
      <c r="N67" s="16">
        <v>0</v>
      </c>
      <c r="O67" s="16">
        <v>0</v>
      </c>
      <c r="P67" s="16">
        <v>0</v>
      </c>
      <c r="Q67" s="16">
        <v>0</v>
      </c>
      <c r="R67" s="16">
        <v>0</v>
      </c>
      <c r="S67" s="16">
        <v>0</v>
      </c>
      <c r="T67" s="16">
        <v>0</v>
      </c>
      <c r="U67" s="16">
        <v>0</v>
      </c>
      <c r="V67" s="16">
        <v>0</v>
      </c>
      <c r="W67" s="16">
        <v>0</v>
      </c>
      <c r="X67" s="16">
        <v>1</v>
      </c>
      <c r="Y67" s="16">
        <v>0</v>
      </c>
      <c r="Z67" s="16">
        <v>0</v>
      </c>
      <c r="AA67" s="16">
        <v>0</v>
      </c>
      <c r="AB67" s="16">
        <v>0</v>
      </c>
      <c r="AC67" s="16">
        <v>0</v>
      </c>
      <c r="AD67" s="16">
        <v>1</v>
      </c>
      <c r="AE67" s="16">
        <v>0</v>
      </c>
      <c r="AF67" s="16">
        <v>0</v>
      </c>
      <c r="AG67" s="16">
        <v>1</v>
      </c>
      <c r="AH67" s="16">
        <v>0</v>
      </c>
    </row>
    <row r="68" spans="1:34" x14ac:dyDescent="0.25">
      <c r="A68" s="14" t="s">
        <v>266</v>
      </c>
      <c r="B68" s="15" t="s">
        <v>267</v>
      </c>
      <c r="C68" s="14" t="s">
        <v>73</v>
      </c>
      <c r="D68" s="14" t="s">
        <v>268</v>
      </c>
      <c r="E68" s="14" t="s">
        <v>14</v>
      </c>
      <c r="F68" s="16">
        <v>0</v>
      </c>
      <c r="G68" s="16">
        <v>1</v>
      </c>
      <c r="H68" s="16">
        <v>0</v>
      </c>
      <c r="I68" s="16">
        <v>0</v>
      </c>
      <c r="J68" s="16">
        <v>1</v>
      </c>
      <c r="K68" s="16">
        <v>0</v>
      </c>
      <c r="L68" s="16">
        <v>0</v>
      </c>
      <c r="M68" s="16">
        <v>0</v>
      </c>
      <c r="N68" s="16">
        <v>0</v>
      </c>
      <c r="O68" s="16">
        <v>0</v>
      </c>
      <c r="P68" s="16">
        <v>0</v>
      </c>
      <c r="Q68" s="16">
        <v>0</v>
      </c>
      <c r="R68" s="16">
        <v>0</v>
      </c>
      <c r="S68" s="16">
        <v>0</v>
      </c>
      <c r="T68" s="16">
        <v>0</v>
      </c>
      <c r="U68" s="16">
        <v>0</v>
      </c>
      <c r="V68" s="16">
        <v>0</v>
      </c>
      <c r="W68" s="16">
        <v>0</v>
      </c>
      <c r="X68" s="16">
        <v>0</v>
      </c>
      <c r="Y68" s="16">
        <v>1</v>
      </c>
      <c r="Z68" s="16">
        <v>0</v>
      </c>
      <c r="AA68" s="16">
        <v>0</v>
      </c>
      <c r="AB68" s="16">
        <v>1</v>
      </c>
      <c r="AC68" s="16">
        <v>0</v>
      </c>
      <c r="AD68" s="16">
        <v>1</v>
      </c>
      <c r="AE68" s="16">
        <v>0</v>
      </c>
      <c r="AF68" s="16">
        <v>0</v>
      </c>
      <c r="AG68" s="16">
        <v>1</v>
      </c>
      <c r="AH68" s="16">
        <v>0</v>
      </c>
    </row>
    <row r="69" spans="1:34" x14ac:dyDescent="0.25">
      <c r="A69" s="14" t="s">
        <v>269</v>
      </c>
      <c r="B69" s="15" t="s">
        <v>270</v>
      </c>
      <c r="C69" s="14" t="s">
        <v>73</v>
      </c>
      <c r="D69" s="14" t="s">
        <v>271</v>
      </c>
      <c r="E69" s="14" t="s">
        <v>14</v>
      </c>
      <c r="F69" s="16">
        <v>0</v>
      </c>
      <c r="G69" s="16">
        <v>1</v>
      </c>
      <c r="H69" s="16">
        <v>0</v>
      </c>
      <c r="I69" s="16">
        <v>0</v>
      </c>
      <c r="J69" s="16">
        <v>0</v>
      </c>
      <c r="K69" s="16">
        <v>0</v>
      </c>
      <c r="L69" s="16">
        <v>0</v>
      </c>
      <c r="M69" s="16">
        <v>0</v>
      </c>
      <c r="N69" s="16">
        <v>0</v>
      </c>
      <c r="O69" s="16">
        <v>0</v>
      </c>
      <c r="P69" s="16">
        <v>1</v>
      </c>
      <c r="Q69" s="16">
        <v>0</v>
      </c>
      <c r="R69" s="16">
        <v>0</v>
      </c>
      <c r="S69" s="16">
        <v>0</v>
      </c>
      <c r="T69" s="16">
        <v>0</v>
      </c>
      <c r="U69" s="16">
        <v>0</v>
      </c>
      <c r="V69" s="16">
        <v>1</v>
      </c>
      <c r="W69" s="16">
        <v>1</v>
      </c>
      <c r="X69" s="16">
        <v>0</v>
      </c>
      <c r="Y69" s="16">
        <v>1</v>
      </c>
      <c r="Z69" s="16">
        <v>0</v>
      </c>
      <c r="AA69" s="16">
        <v>0</v>
      </c>
      <c r="AB69" s="16">
        <v>1</v>
      </c>
      <c r="AC69" s="16">
        <v>0</v>
      </c>
      <c r="AD69" s="16">
        <v>1</v>
      </c>
      <c r="AE69" s="16">
        <v>0</v>
      </c>
      <c r="AF69" s="16">
        <v>0</v>
      </c>
      <c r="AG69" s="16">
        <v>1</v>
      </c>
      <c r="AH69" s="16">
        <v>0</v>
      </c>
    </row>
    <row r="70" spans="1:34" x14ac:dyDescent="0.25">
      <c r="A70" s="14" t="s">
        <v>272</v>
      </c>
      <c r="B70" s="15" t="s">
        <v>273</v>
      </c>
      <c r="C70" s="14" t="s">
        <v>65</v>
      </c>
      <c r="D70" s="14" t="s">
        <v>274</v>
      </c>
      <c r="E70" s="14" t="s">
        <v>14</v>
      </c>
      <c r="F70" s="16">
        <v>0</v>
      </c>
      <c r="G70" s="16">
        <v>1</v>
      </c>
      <c r="H70" s="16">
        <v>0</v>
      </c>
      <c r="I70" s="16">
        <v>1</v>
      </c>
      <c r="J70" s="16">
        <v>1</v>
      </c>
      <c r="K70" s="16">
        <v>0</v>
      </c>
      <c r="L70" s="16">
        <v>0</v>
      </c>
      <c r="M70" s="16">
        <v>0</v>
      </c>
      <c r="N70" s="16">
        <v>0</v>
      </c>
      <c r="O70" s="16">
        <v>0</v>
      </c>
      <c r="P70" s="16">
        <v>1</v>
      </c>
      <c r="Q70" s="16">
        <v>0</v>
      </c>
      <c r="R70" s="16">
        <v>0</v>
      </c>
      <c r="S70" s="16">
        <v>0</v>
      </c>
      <c r="T70" s="16">
        <v>0</v>
      </c>
      <c r="U70" s="16">
        <v>0</v>
      </c>
      <c r="V70" s="16">
        <v>1</v>
      </c>
      <c r="W70" s="16">
        <v>0</v>
      </c>
      <c r="X70" s="16">
        <v>0</v>
      </c>
      <c r="Y70" s="16">
        <v>1</v>
      </c>
      <c r="Z70" s="16">
        <v>0</v>
      </c>
      <c r="AA70" s="16">
        <v>0</v>
      </c>
      <c r="AB70" s="16">
        <v>1</v>
      </c>
      <c r="AC70" s="16">
        <v>1</v>
      </c>
      <c r="AD70" s="16">
        <v>0</v>
      </c>
      <c r="AE70" s="16">
        <v>1</v>
      </c>
      <c r="AF70" s="16">
        <v>0</v>
      </c>
      <c r="AG70" s="16">
        <v>1</v>
      </c>
      <c r="AH70" s="16">
        <v>0</v>
      </c>
    </row>
    <row r="71" spans="1:34" x14ac:dyDescent="0.25">
      <c r="A71" s="14" t="s">
        <v>275</v>
      </c>
      <c r="B71" s="15" t="s">
        <v>276</v>
      </c>
      <c r="C71" s="14" t="s">
        <v>76</v>
      </c>
      <c r="D71" s="14" t="s">
        <v>277</v>
      </c>
      <c r="E71" s="14" t="s">
        <v>15</v>
      </c>
      <c r="F71" s="16">
        <v>0</v>
      </c>
      <c r="G71" s="16">
        <v>1</v>
      </c>
      <c r="H71" s="16">
        <v>0</v>
      </c>
      <c r="I71" s="16">
        <v>0</v>
      </c>
      <c r="J71" s="16">
        <v>1</v>
      </c>
      <c r="K71" s="16">
        <v>0</v>
      </c>
      <c r="L71" s="16">
        <v>0</v>
      </c>
      <c r="M71" s="16">
        <v>0</v>
      </c>
      <c r="N71" s="16">
        <v>0</v>
      </c>
      <c r="O71" s="16">
        <v>0</v>
      </c>
      <c r="P71" s="16">
        <v>0</v>
      </c>
      <c r="Q71" s="16">
        <v>0</v>
      </c>
      <c r="R71" s="16">
        <v>0</v>
      </c>
      <c r="S71" s="16">
        <v>0</v>
      </c>
      <c r="T71" s="16">
        <v>0</v>
      </c>
      <c r="U71" s="16">
        <v>0</v>
      </c>
      <c r="V71" s="16">
        <v>0</v>
      </c>
      <c r="W71" s="16">
        <v>0</v>
      </c>
      <c r="X71" s="16">
        <v>1</v>
      </c>
      <c r="Y71" s="16">
        <v>0</v>
      </c>
      <c r="Z71" s="16">
        <v>0</v>
      </c>
      <c r="AA71" s="16">
        <v>0</v>
      </c>
      <c r="AB71" s="16">
        <v>0</v>
      </c>
      <c r="AC71" s="16">
        <v>0</v>
      </c>
      <c r="AD71" s="16">
        <v>1</v>
      </c>
      <c r="AE71" s="16">
        <v>0</v>
      </c>
      <c r="AF71" s="16">
        <v>1</v>
      </c>
      <c r="AG71" s="16">
        <v>0</v>
      </c>
      <c r="AH71" s="16">
        <v>0</v>
      </c>
    </row>
    <row r="72" spans="1:34" x14ac:dyDescent="0.25">
      <c r="A72" s="14" t="s">
        <v>278</v>
      </c>
      <c r="B72" s="15" t="s">
        <v>279</v>
      </c>
      <c r="C72" s="14" t="s">
        <v>65</v>
      </c>
      <c r="D72" s="14" t="s">
        <v>280</v>
      </c>
      <c r="E72" s="14" t="s">
        <v>12</v>
      </c>
      <c r="F72" s="16">
        <v>1</v>
      </c>
      <c r="G72" s="16">
        <v>0</v>
      </c>
      <c r="H72" s="16">
        <v>0</v>
      </c>
      <c r="I72" s="16">
        <v>0</v>
      </c>
      <c r="J72" s="16">
        <v>0</v>
      </c>
      <c r="K72" s="16">
        <v>0</v>
      </c>
      <c r="L72" s="16">
        <v>0</v>
      </c>
      <c r="M72" s="16">
        <v>0</v>
      </c>
      <c r="N72" s="16">
        <v>0</v>
      </c>
      <c r="O72" s="16">
        <v>0</v>
      </c>
      <c r="P72" s="16">
        <v>0</v>
      </c>
      <c r="Q72" s="16">
        <v>0</v>
      </c>
      <c r="R72" s="16">
        <v>0</v>
      </c>
      <c r="S72" s="16">
        <v>0</v>
      </c>
      <c r="T72" s="16">
        <v>0</v>
      </c>
      <c r="U72" s="16">
        <v>0</v>
      </c>
      <c r="V72" s="16">
        <v>0</v>
      </c>
      <c r="W72" s="16">
        <v>0</v>
      </c>
      <c r="X72" s="16">
        <v>1</v>
      </c>
      <c r="Y72" s="16">
        <v>0</v>
      </c>
      <c r="Z72" s="16">
        <v>0</v>
      </c>
      <c r="AA72" s="16">
        <v>0</v>
      </c>
      <c r="AB72" s="16">
        <v>0</v>
      </c>
      <c r="AC72" s="16">
        <v>0</v>
      </c>
      <c r="AD72" s="16">
        <v>1</v>
      </c>
      <c r="AE72" s="16">
        <v>0</v>
      </c>
      <c r="AF72" s="16">
        <v>1</v>
      </c>
      <c r="AG72" s="16">
        <v>0</v>
      </c>
      <c r="AH72" s="16">
        <v>0</v>
      </c>
    </row>
    <row r="73" spans="1:34" x14ac:dyDescent="0.25">
      <c r="A73" s="14" t="s">
        <v>281</v>
      </c>
      <c r="B73" s="15" t="s">
        <v>282</v>
      </c>
      <c r="C73" s="14" t="s">
        <v>76</v>
      </c>
      <c r="D73" s="14" t="s">
        <v>283</v>
      </c>
      <c r="E73" s="14" t="s">
        <v>13</v>
      </c>
      <c r="F73" s="16">
        <v>0</v>
      </c>
      <c r="G73" s="16">
        <v>1</v>
      </c>
      <c r="H73" s="16">
        <v>0</v>
      </c>
      <c r="I73" s="16">
        <v>0</v>
      </c>
      <c r="J73" s="16">
        <v>0</v>
      </c>
      <c r="K73" s="16">
        <v>0</v>
      </c>
      <c r="L73" s="16">
        <v>0</v>
      </c>
      <c r="M73" s="16">
        <v>0</v>
      </c>
      <c r="N73" s="16">
        <v>0</v>
      </c>
      <c r="O73" s="16">
        <v>0</v>
      </c>
      <c r="P73" s="16">
        <v>1</v>
      </c>
      <c r="Q73" s="16">
        <v>0</v>
      </c>
      <c r="R73" s="16">
        <v>0</v>
      </c>
      <c r="S73" s="16">
        <v>0</v>
      </c>
      <c r="T73" s="16">
        <v>0</v>
      </c>
      <c r="U73" s="16">
        <v>0</v>
      </c>
      <c r="V73" s="16">
        <v>1</v>
      </c>
      <c r="W73" s="16">
        <v>0</v>
      </c>
      <c r="X73" s="16">
        <v>0</v>
      </c>
      <c r="Y73" s="16">
        <v>1</v>
      </c>
      <c r="Z73" s="16">
        <v>0</v>
      </c>
      <c r="AA73" s="16">
        <v>0</v>
      </c>
      <c r="AB73" s="16">
        <v>0</v>
      </c>
      <c r="AC73" s="16">
        <v>1</v>
      </c>
      <c r="AD73" s="16">
        <v>1</v>
      </c>
      <c r="AE73" s="16">
        <v>0</v>
      </c>
      <c r="AF73" s="16">
        <v>1</v>
      </c>
      <c r="AG73" s="16">
        <v>0</v>
      </c>
      <c r="AH73" s="16">
        <v>0</v>
      </c>
    </row>
    <row r="74" spans="1:34" x14ac:dyDescent="0.25">
      <c r="A74" s="14" t="s">
        <v>284</v>
      </c>
      <c r="B74" s="15" t="s">
        <v>285</v>
      </c>
      <c r="C74" s="14" t="s">
        <v>73</v>
      </c>
      <c r="D74" s="14" t="s">
        <v>286</v>
      </c>
      <c r="E74" s="14" t="s">
        <v>14</v>
      </c>
      <c r="F74" s="16">
        <v>1</v>
      </c>
      <c r="G74" s="16">
        <v>0</v>
      </c>
      <c r="H74" s="16">
        <v>0</v>
      </c>
      <c r="I74" s="16">
        <v>0</v>
      </c>
      <c r="J74" s="16">
        <v>0</v>
      </c>
      <c r="K74" s="16">
        <v>0</v>
      </c>
      <c r="L74" s="16">
        <v>0</v>
      </c>
      <c r="M74" s="16">
        <v>0</v>
      </c>
      <c r="N74" s="16">
        <v>0</v>
      </c>
      <c r="O74" s="16">
        <v>0</v>
      </c>
      <c r="P74" s="16">
        <v>0</v>
      </c>
      <c r="Q74" s="16">
        <v>0</v>
      </c>
      <c r="R74" s="16">
        <v>0</v>
      </c>
      <c r="S74" s="16">
        <v>0</v>
      </c>
      <c r="T74" s="16">
        <v>0</v>
      </c>
      <c r="U74" s="16">
        <v>0</v>
      </c>
      <c r="V74" s="16">
        <v>0</v>
      </c>
      <c r="W74" s="16">
        <v>0</v>
      </c>
      <c r="X74" s="16">
        <v>1</v>
      </c>
      <c r="Y74" s="16">
        <v>0</v>
      </c>
      <c r="Z74" s="16">
        <v>0</v>
      </c>
      <c r="AA74" s="16">
        <v>0</v>
      </c>
      <c r="AB74" s="16">
        <v>0</v>
      </c>
      <c r="AC74" s="16">
        <v>0</v>
      </c>
      <c r="AD74" s="16">
        <v>1</v>
      </c>
      <c r="AE74" s="16">
        <v>0</v>
      </c>
      <c r="AF74" s="16">
        <v>1</v>
      </c>
      <c r="AG74" s="16">
        <v>0</v>
      </c>
      <c r="AH74" s="16">
        <v>0</v>
      </c>
    </row>
    <row r="75" spans="1:34" x14ac:dyDescent="0.25">
      <c r="A75" s="14" t="s">
        <v>287</v>
      </c>
      <c r="B75" s="15" t="s">
        <v>288</v>
      </c>
      <c r="C75" s="14" t="s">
        <v>76</v>
      </c>
      <c r="D75" s="14" t="s">
        <v>289</v>
      </c>
      <c r="E75" s="14" t="s">
        <v>16</v>
      </c>
      <c r="F75" s="16">
        <v>0</v>
      </c>
      <c r="G75" s="16">
        <v>1</v>
      </c>
      <c r="H75" s="16">
        <v>0</v>
      </c>
      <c r="I75" s="16">
        <v>0</v>
      </c>
      <c r="J75" s="16">
        <v>0</v>
      </c>
      <c r="K75" s="16">
        <v>0</v>
      </c>
      <c r="L75" s="16">
        <v>0</v>
      </c>
      <c r="M75" s="16">
        <v>1</v>
      </c>
      <c r="N75" s="16">
        <v>0</v>
      </c>
      <c r="O75" s="16">
        <v>0</v>
      </c>
      <c r="P75" s="16">
        <v>0</v>
      </c>
      <c r="Q75" s="16">
        <v>1</v>
      </c>
      <c r="R75" s="16">
        <v>1</v>
      </c>
      <c r="S75" s="16">
        <v>0</v>
      </c>
      <c r="T75" s="16">
        <v>0</v>
      </c>
      <c r="U75" s="16">
        <v>0</v>
      </c>
      <c r="V75" s="16">
        <v>0</v>
      </c>
      <c r="W75" s="16">
        <v>0</v>
      </c>
      <c r="X75" s="16">
        <v>0</v>
      </c>
      <c r="Y75" s="16">
        <v>1</v>
      </c>
      <c r="Z75" s="16">
        <v>0</v>
      </c>
      <c r="AA75" s="16">
        <v>1</v>
      </c>
      <c r="AB75" s="16">
        <v>0</v>
      </c>
      <c r="AC75" s="16">
        <v>1</v>
      </c>
      <c r="AD75" s="16">
        <v>1</v>
      </c>
      <c r="AE75" s="16">
        <v>0</v>
      </c>
      <c r="AF75" s="16">
        <v>0</v>
      </c>
      <c r="AG75" s="16">
        <v>1</v>
      </c>
      <c r="AH75" s="16">
        <v>0</v>
      </c>
    </row>
    <row r="76" spans="1:34" x14ac:dyDescent="0.25">
      <c r="A76" s="14" t="s">
        <v>290</v>
      </c>
      <c r="B76" s="15" t="s">
        <v>291</v>
      </c>
      <c r="C76" s="14" t="s">
        <v>76</v>
      </c>
      <c r="D76" s="14" t="s">
        <v>292</v>
      </c>
      <c r="E76" s="14" t="s">
        <v>14</v>
      </c>
      <c r="F76" s="16">
        <v>0</v>
      </c>
      <c r="G76" s="16">
        <v>1</v>
      </c>
      <c r="H76" s="16">
        <v>0</v>
      </c>
      <c r="I76" s="16">
        <v>0</v>
      </c>
      <c r="J76" s="16">
        <v>1</v>
      </c>
      <c r="K76" s="16">
        <v>0</v>
      </c>
      <c r="L76" s="16">
        <v>0</v>
      </c>
      <c r="M76" s="16">
        <v>0</v>
      </c>
      <c r="N76" s="16">
        <v>0</v>
      </c>
      <c r="O76" s="16">
        <v>0</v>
      </c>
      <c r="P76" s="16">
        <v>0</v>
      </c>
      <c r="Q76" s="16">
        <v>0</v>
      </c>
      <c r="R76" s="16">
        <v>0</v>
      </c>
      <c r="S76" s="16">
        <v>0</v>
      </c>
      <c r="T76" s="16">
        <v>0</v>
      </c>
      <c r="U76" s="16">
        <v>0</v>
      </c>
      <c r="V76" s="16">
        <v>0</v>
      </c>
      <c r="W76" s="16">
        <v>0</v>
      </c>
      <c r="X76" s="16">
        <v>1</v>
      </c>
      <c r="Y76" s="16">
        <v>0</v>
      </c>
      <c r="Z76" s="16">
        <v>0</v>
      </c>
      <c r="AA76" s="16">
        <v>0</v>
      </c>
      <c r="AB76" s="16">
        <v>0</v>
      </c>
      <c r="AC76" s="16">
        <v>0</v>
      </c>
      <c r="AD76" s="16">
        <v>1</v>
      </c>
      <c r="AE76" s="16">
        <v>0</v>
      </c>
      <c r="AF76" s="16">
        <v>1</v>
      </c>
      <c r="AG76" s="16">
        <v>0</v>
      </c>
      <c r="AH76" s="16">
        <v>0</v>
      </c>
    </row>
    <row r="77" spans="1:34" x14ac:dyDescent="0.25">
      <c r="A77" s="14" t="s">
        <v>293</v>
      </c>
      <c r="B77" s="15" t="s">
        <v>294</v>
      </c>
      <c r="C77" s="14" t="s">
        <v>65</v>
      </c>
      <c r="D77" s="14" t="s">
        <v>295</v>
      </c>
      <c r="E77" s="14" t="s">
        <v>16</v>
      </c>
      <c r="F77" s="16">
        <v>1</v>
      </c>
      <c r="G77" s="16">
        <v>0</v>
      </c>
      <c r="H77" s="16">
        <v>0</v>
      </c>
      <c r="I77" s="16">
        <v>0</v>
      </c>
      <c r="J77" s="16">
        <v>0</v>
      </c>
      <c r="K77" s="16">
        <v>0</v>
      </c>
      <c r="L77" s="16">
        <v>0</v>
      </c>
      <c r="M77" s="16">
        <v>0</v>
      </c>
      <c r="N77" s="16">
        <v>0</v>
      </c>
      <c r="O77" s="16">
        <v>0</v>
      </c>
      <c r="P77" s="16">
        <v>0</v>
      </c>
      <c r="Q77" s="16">
        <v>0</v>
      </c>
      <c r="R77" s="16">
        <v>0</v>
      </c>
      <c r="S77" s="16">
        <v>0</v>
      </c>
      <c r="T77" s="16">
        <v>0</v>
      </c>
      <c r="U77" s="16">
        <v>0</v>
      </c>
      <c r="V77" s="16">
        <v>0</v>
      </c>
      <c r="W77" s="16">
        <v>0</v>
      </c>
      <c r="X77" s="16">
        <v>1</v>
      </c>
      <c r="Y77" s="16">
        <v>0</v>
      </c>
      <c r="Z77" s="16">
        <v>0</v>
      </c>
      <c r="AA77" s="16">
        <v>0</v>
      </c>
      <c r="AB77" s="16">
        <v>0</v>
      </c>
      <c r="AC77" s="16">
        <v>0</v>
      </c>
      <c r="AD77" s="16">
        <v>0</v>
      </c>
      <c r="AE77" s="16">
        <v>0</v>
      </c>
      <c r="AF77" s="16">
        <v>0</v>
      </c>
      <c r="AG77" s="16">
        <v>0</v>
      </c>
      <c r="AH77" s="16">
        <v>0</v>
      </c>
    </row>
    <row r="78" spans="1:34" x14ac:dyDescent="0.25">
      <c r="A78" s="14" t="s">
        <v>296</v>
      </c>
      <c r="B78" s="15" t="s">
        <v>297</v>
      </c>
      <c r="C78" s="14" t="s">
        <v>69</v>
      </c>
      <c r="D78" s="14" t="s">
        <v>298</v>
      </c>
      <c r="E78" s="14" t="s">
        <v>13</v>
      </c>
      <c r="F78" s="16">
        <v>0</v>
      </c>
      <c r="G78" s="16">
        <v>1</v>
      </c>
      <c r="H78" s="16">
        <v>0</v>
      </c>
      <c r="I78" s="16">
        <v>1</v>
      </c>
      <c r="J78" s="16">
        <v>0</v>
      </c>
      <c r="K78" s="16">
        <v>0</v>
      </c>
      <c r="L78" s="16">
        <v>0</v>
      </c>
      <c r="M78" s="16">
        <v>0</v>
      </c>
      <c r="N78" s="16">
        <v>0</v>
      </c>
      <c r="O78" s="16">
        <v>0</v>
      </c>
      <c r="P78" s="16">
        <v>0</v>
      </c>
      <c r="Q78" s="16">
        <v>0</v>
      </c>
      <c r="R78" s="16">
        <v>0</v>
      </c>
      <c r="S78" s="16">
        <v>0</v>
      </c>
      <c r="T78" s="16">
        <v>0</v>
      </c>
      <c r="U78" s="16">
        <v>0</v>
      </c>
      <c r="V78" s="16">
        <v>0</v>
      </c>
      <c r="W78" s="16">
        <v>0</v>
      </c>
      <c r="X78" s="16">
        <v>0</v>
      </c>
      <c r="Y78" s="16">
        <v>1</v>
      </c>
      <c r="Z78" s="16">
        <v>0</v>
      </c>
      <c r="AA78" s="16">
        <v>0</v>
      </c>
      <c r="AB78" s="16">
        <v>1</v>
      </c>
      <c r="AC78" s="16">
        <v>0</v>
      </c>
      <c r="AD78" s="16">
        <v>1</v>
      </c>
      <c r="AE78" s="16">
        <v>0</v>
      </c>
      <c r="AF78" s="16">
        <v>1</v>
      </c>
      <c r="AG78" s="16">
        <v>0</v>
      </c>
      <c r="AH78" s="16">
        <v>0</v>
      </c>
    </row>
    <row r="79" spans="1:34" x14ac:dyDescent="0.25">
      <c r="A79" s="14" t="s">
        <v>299</v>
      </c>
      <c r="B79" s="15" t="s">
        <v>300</v>
      </c>
      <c r="C79" s="14" t="s">
        <v>65</v>
      </c>
      <c r="D79" s="14" t="s">
        <v>301</v>
      </c>
      <c r="E79" s="14" t="s">
        <v>15</v>
      </c>
      <c r="F79" s="16">
        <v>1</v>
      </c>
      <c r="G79" s="16">
        <v>0</v>
      </c>
      <c r="H79" s="16">
        <v>0</v>
      </c>
      <c r="I79" s="16">
        <v>0</v>
      </c>
      <c r="J79" s="16">
        <v>0</v>
      </c>
      <c r="K79" s="16">
        <v>0</v>
      </c>
      <c r="L79" s="16">
        <v>0</v>
      </c>
      <c r="M79" s="16">
        <v>0</v>
      </c>
      <c r="N79" s="16">
        <v>0</v>
      </c>
      <c r="O79" s="16">
        <v>1</v>
      </c>
      <c r="P79" s="16">
        <v>0</v>
      </c>
      <c r="Q79" s="16">
        <v>0</v>
      </c>
      <c r="R79" s="16">
        <v>0</v>
      </c>
      <c r="S79" s="16">
        <v>0</v>
      </c>
      <c r="T79" s="16">
        <v>0</v>
      </c>
      <c r="U79" s="16">
        <v>0</v>
      </c>
      <c r="V79" s="16">
        <v>0</v>
      </c>
      <c r="W79" s="16">
        <v>0</v>
      </c>
      <c r="X79" s="16">
        <v>0</v>
      </c>
      <c r="Y79" s="16">
        <v>1</v>
      </c>
      <c r="Z79" s="16">
        <v>0</v>
      </c>
      <c r="AA79" s="16">
        <v>0</v>
      </c>
      <c r="AB79" s="16">
        <v>0</v>
      </c>
      <c r="AC79" s="16">
        <v>1</v>
      </c>
      <c r="AD79" s="16">
        <v>0</v>
      </c>
      <c r="AE79" s="16">
        <v>1</v>
      </c>
      <c r="AF79" s="16">
        <v>0</v>
      </c>
      <c r="AG79" s="16">
        <v>1</v>
      </c>
      <c r="AH79" s="16">
        <v>0</v>
      </c>
    </row>
    <row r="80" spans="1:34" x14ac:dyDescent="0.25">
      <c r="A80" s="14" t="s">
        <v>302</v>
      </c>
      <c r="B80" s="15" t="s">
        <v>303</v>
      </c>
      <c r="C80" s="14" t="s">
        <v>65</v>
      </c>
      <c r="D80" s="14" t="s">
        <v>304</v>
      </c>
      <c r="E80" s="14" t="s">
        <v>15</v>
      </c>
      <c r="F80" s="16">
        <v>0</v>
      </c>
      <c r="G80" s="16">
        <v>1</v>
      </c>
      <c r="H80" s="16">
        <v>0</v>
      </c>
      <c r="I80" s="16">
        <v>0</v>
      </c>
      <c r="J80" s="16">
        <v>0</v>
      </c>
      <c r="K80" s="16">
        <v>0</v>
      </c>
      <c r="L80" s="16">
        <v>0</v>
      </c>
      <c r="M80" s="16">
        <v>0</v>
      </c>
      <c r="N80" s="16">
        <v>0</v>
      </c>
      <c r="O80" s="16">
        <v>0</v>
      </c>
      <c r="P80" s="16">
        <v>0</v>
      </c>
      <c r="Q80" s="16">
        <v>0</v>
      </c>
      <c r="R80" s="16">
        <v>0</v>
      </c>
      <c r="S80" s="16">
        <v>0</v>
      </c>
      <c r="T80" s="16">
        <v>0</v>
      </c>
      <c r="U80" s="16">
        <v>0</v>
      </c>
      <c r="V80" s="16">
        <v>0</v>
      </c>
      <c r="W80" s="16">
        <v>0</v>
      </c>
      <c r="X80" s="16">
        <v>1</v>
      </c>
      <c r="Y80" s="16">
        <v>0</v>
      </c>
      <c r="Z80" s="16">
        <v>0</v>
      </c>
      <c r="AA80" s="16">
        <v>0</v>
      </c>
      <c r="AB80" s="16">
        <v>0</v>
      </c>
      <c r="AC80" s="16">
        <v>0</v>
      </c>
      <c r="AD80" s="16">
        <v>1</v>
      </c>
      <c r="AE80" s="16">
        <v>0</v>
      </c>
      <c r="AF80" s="16">
        <v>0</v>
      </c>
      <c r="AG80" s="16">
        <v>1</v>
      </c>
      <c r="AH80" s="16">
        <v>0</v>
      </c>
    </row>
    <row r="81" spans="1:34" x14ac:dyDescent="0.25">
      <c r="A81" s="14" t="s">
        <v>305</v>
      </c>
      <c r="B81" s="15" t="s">
        <v>306</v>
      </c>
      <c r="C81" s="14" t="s">
        <v>69</v>
      </c>
      <c r="D81" s="14" t="s">
        <v>307</v>
      </c>
      <c r="E81" s="14" t="s">
        <v>15</v>
      </c>
      <c r="F81" s="16">
        <v>1</v>
      </c>
      <c r="G81" s="16">
        <v>0</v>
      </c>
      <c r="H81" s="16">
        <v>0</v>
      </c>
      <c r="I81" s="16">
        <v>0</v>
      </c>
      <c r="J81" s="16">
        <v>0</v>
      </c>
      <c r="K81" s="16">
        <v>0</v>
      </c>
      <c r="L81" s="16">
        <v>0</v>
      </c>
      <c r="M81" s="16">
        <v>0</v>
      </c>
      <c r="N81" s="16">
        <v>0</v>
      </c>
      <c r="O81" s="16">
        <v>0</v>
      </c>
      <c r="P81" s="16">
        <v>0</v>
      </c>
      <c r="Q81" s="16">
        <v>0</v>
      </c>
      <c r="R81" s="16">
        <v>0</v>
      </c>
      <c r="S81" s="16">
        <v>0</v>
      </c>
      <c r="T81" s="16">
        <v>0</v>
      </c>
      <c r="U81" s="16">
        <v>0</v>
      </c>
      <c r="V81" s="16">
        <v>0</v>
      </c>
      <c r="W81" s="16">
        <v>0</v>
      </c>
      <c r="X81" s="16">
        <v>0</v>
      </c>
      <c r="Y81" s="16">
        <v>0</v>
      </c>
      <c r="Z81" s="16">
        <v>0</v>
      </c>
      <c r="AA81" s="16">
        <v>0</v>
      </c>
      <c r="AB81" s="16">
        <v>0</v>
      </c>
      <c r="AC81" s="16">
        <v>0</v>
      </c>
      <c r="AD81" s="16">
        <v>0</v>
      </c>
      <c r="AE81" s="16">
        <v>1</v>
      </c>
      <c r="AF81" s="16">
        <v>0</v>
      </c>
      <c r="AG81" s="16">
        <v>1</v>
      </c>
      <c r="AH81" s="16">
        <v>0</v>
      </c>
    </row>
    <row r="82" spans="1:34" x14ac:dyDescent="0.25">
      <c r="A82" s="14" t="s">
        <v>308</v>
      </c>
      <c r="B82" s="15" t="s">
        <v>309</v>
      </c>
      <c r="C82" s="14" t="s">
        <v>65</v>
      </c>
      <c r="D82" s="14" t="s">
        <v>310</v>
      </c>
      <c r="E82" s="14" t="s">
        <v>15</v>
      </c>
      <c r="F82" s="16">
        <v>1</v>
      </c>
      <c r="G82" s="16">
        <v>0</v>
      </c>
      <c r="H82" s="16">
        <v>0</v>
      </c>
      <c r="I82" s="16">
        <v>0</v>
      </c>
      <c r="J82" s="16">
        <v>0</v>
      </c>
      <c r="K82" s="16">
        <v>0</v>
      </c>
      <c r="L82" s="16">
        <v>0</v>
      </c>
      <c r="M82" s="16">
        <v>0</v>
      </c>
      <c r="N82" s="16">
        <v>0</v>
      </c>
      <c r="O82" s="16">
        <v>0</v>
      </c>
      <c r="P82" s="16">
        <v>0</v>
      </c>
      <c r="Q82" s="16">
        <v>0</v>
      </c>
      <c r="R82" s="16">
        <v>0</v>
      </c>
      <c r="S82" s="16">
        <v>0</v>
      </c>
      <c r="T82" s="16">
        <v>0</v>
      </c>
      <c r="U82" s="16">
        <v>0</v>
      </c>
      <c r="V82" s="16">
        <v>0</v>
      </c>
      <c r="W82" s="16">
        <v>0</v>
      </c>
      <c r="X82" s="16">
        <v>1</v>
      </c>
      <c r="Y82" s="16">
        <v>0</v>
      </c>
      <c r="Z82" s="16">
        <v>0</v>
      </c>
      <c r="AA82" s="16">
        <v>0</v>
      </c>
      <c r="AB82" s="16">
        <v>0</v>
      </c>
      <c r="AC82" s="16">
        <v>0</v>
      </c>
      <c r="AD82" s="16">
        <v>1</v>
      </c>
      <c r="AE82" s="16">
        <v>0</v>
      </c>
      <c r="AF82" s="16">
        <v>1</v>
      </c>
      <c r="AG82" s="16">
        <v>0</v>
      </c>
      <c r="AH82" s="16">
        <v>0</v>
      </c>
    </row>
    <row r="83" spans="1:34" x14ac:dyDescent="0.25">
      <c r="A83" s="14" t="s">
        <v>311</v>
      </c>
      <c r="B83" s="15" t="s">
        <v>312</v>
      </c>
      <c r="C83" s="14" t="s">
        <v>73</v>
      </c>
      <c r="D83" s="14" t="s">
        <v>313</v>
      </c>
      <c r="E83" s="14" t="s">
        <v>14</v>
      </c>
      <c r="F83" s="16">
        <v>0</v>
      </c>
      <c r="G83" s="16">
        <v>1</v>
      </c>
      <c r="H83" s="16">
        <v>0</v>
      </c>
      <c r="I83" s="16">
        <v>0</v>
      </c>
      <c r="J83" s="16">
        <v>1</v>
      </c>
      <c r="K83" s="16">
        <v>0</v>
      </c>
      <c r="L83" s="16">
        <v>0</v>
      </c>
      <c r="M83" s="16">
        <v>0</v>
      </c>
      <c r="N83" s="16">
        <v>0</v>
      </c>
      <c r="O83" s="16">
        <v>0</v>
      </c>
      <c r="P83" s="16">
        <v>1</v>
      </c>
      <c r="Q83" s="16">
        <v>0</v>
      </c>
      <c r="R83" s="16">
        <v>0</v>
      </c>
      <c r="S83" s="16">
        <v>0</v>
      </c>
      <c r="T83" s="16">
        <v>0</v>
      </c>
      <c r="U83" s="16">
        <v>0</v>
      </c>
      <c r="V83" s="16">
        <v>1</v>
      </c>
      <c r="W83" s="16">
        <v>0</v>
      </c>
      <c r="X83" s="16">
        <v>1</v>
      </c>
      <c r="Y83" s="16">
        <v>0</v>
      </c>
      <c r="Z83" s="16">
        <v>0</v>
      </c>
      <c r="AA83" s="16">
        <v>0</v>
      </c>
      <c r="AB83" s="16">
        <v>0</v>
      </c>
      <c r="AC83" s="16">
        <v>0</v>
      </c>
      <c r="AD83" s="16">
        <v>1</v>
      </c>
      <c r="AE83" s="16">
        <v>0</v>
      </c>
      <c r="AF83" s="16">
        <v>0</v>
      </c>
      <c r="AG83" s="16">
        <v>1</v>
      </c>
      <c r="AH83" s="16">
        <v>0</v>
      </c>
    </row>
    <row r="84" spans="1:34" x14ac:dyDescent="0.25">
      <c r="A84" s="14" t="s">
        <v>314</v>
      </c>
      <c r="B84" s="15" t="s">
        <v>315</v>
      </c>
      <c r="C84" s="14" t="s">
        <v>84</v>
      </c>
      <c r="D84" s="14" t="s">
        <v>316</v>
      </c>
      <c r="E84" s="14" t="s">
        <v>14</v>
      </c>
      <c r="F84" s="16">
        <v>0</v>
      </c>
      <c r="G84" s="16">
        <v>1</v>
      </c>
      <c r="H84" s="16">
        <v>0</v>
      </c>
      <c r="I84" s="16">
        <v>0</v>
      </c>
      <c r="J84" s="16">
        <v>0</v>
      </c>
      <c r="K84" s="16">
        <v>0</v>
      </c>
      <c r="L84" s="16">
        <v>0</v>
      </c>
      <c r="M84" s="16">
        <v>0</v>
      </c>
      <c r="N84" s="16">
        <v>0</v>
      </c>
      <c r="O84" s="16">
        <v>0</v>
      </c>
      <c r="P84" s="16">
        <v>0</v>
      </c>
      <c r="Q84" s="16">
        <v>0</v>
      </c>
      <c r="R84" s="16">
        <v>0</v>
      </c>
      <c r="S84" s="16">
        <v>0</v>
      </c>
      <c r="T84" s="16">
        <v>0</v>
      </c>
      <c r="U84" s="16">
        <v>0</v>
      </c>
      <c r="V84" s="16">
        <v>0</v>
      </c>
      <c r="W84" s="16">
        <v>0</v>
      </c>
      <c r="X84" s="16">
        <v>1</v>
      </c>
      <c r="Y84" s="16">
        <v>0</v>
      </c>
      <c r="Z84" s="16">
        <v>0</v>
      </c>
      <c r="AA84" s="16">
        <v>0</v>
      </c>
      <c r="AB84" s="16">
        <v>0</v>
      </c>
      <c r="AC84" s="16">
        <v>0</v>
      </c>
      <c r="AD84" s="16">
        <v>1</v>
      </c>
      <c r="AE84" s="16">
        <v>0</v>
      </c>
      <c r="AF84" s="16">
        <v>0</v>
      </c>
      <c r="AG84" s="16">
        <v>1</v>
      </c>
      <c r="AH84" s="16">
        <v>0</v>
      </c>
    </row>
    <row r="85" spans="1:34" x14ac:dyDescent="0.25">
      <c r="A85" s="14" t="s">
        <v>317</v>
      </c>
      <c r="B85" s="15" t="s">
        <v>318</v>
      </c>
      <c r="C85" s="14" t="s">
        <v>73</v>
      </c>
      <c r="D85" s="14" t="s">
        <v>319</v>
      </c>
      <c r="E85" s="14" t="s">
        <v>14</v>
      </c>
      <c r="F85" s="16">
        <v>0</v>
      </c>
      <c r="G85" s="16">
        <v>1</v>
      </c>
      <c r="H85" s="16">
        <v>0</v>
      </c>
      <c r="I85" s="16">
        <v>1</v>
      </c>
      <c r="J85" s="16">
        <v>1</v>
      </c>
      <c r="K85" s="16">
        <v>1</v>
      </c>
      <c r="L85" s="16">
        <v>1</v>
      </c>
      <c r="M85" s="16">
        <v>1</v>
      </c>
      <c r="N85" s="16">
        <v>1</v>
      </c>
      <c r="O85" s="16">
        <v>0</v>
      </c>
      <c r="P85" s="16">
        <v>0</v>
      </c>
      <c r="Q85" s="16">
        <v>0</v>
      </c>
      <c r="R85" s="16">
        <v>1</v>
      </c>
      <c r="S85" s="16">
        <v>0</v>
      </c>
      <c r="T85" s="16">
        <v>0</v>
      </c>
      <c r="U85" s="16">
        <v>0</v>
      </c>
      <c r="V85" s="16">
        <v>0</v>
      </c>
      <c r="W85" s="16">
        <v>0</v>
      </c>
      <c r="X85" s="16">
        <v>0</v>
      </c>
      <c r="Y85" s="16">
        <v>1</v>
      </c>
      <c r="Z85" s="16">
        <v>0</v>
      </c>
      <c r="AA85" s="16">
        <v>0</v>
      </c>
      <c r="AB85" s="16">
        <v>0</v>
      </c>
      <c r="AC85" s="16">
        <v>1</v>
      </c>
      <c r="AD85" s="16">
        <v>0</v>
      </c>
      <c r="AE85" s="16">
        <v>1</v>
      </c>
      <c r="AF85" s="16">
        <v>0</v>
      </c>
      <c r="AG85" s="16">
        <v>1</v>
      </c>
      <c r="AH85" s="16">
        <v>0</v>
      </c>
    </row>
    <row r="86" spans="1:34" x14ac:dyDescent="0.25">
      <c r="A86" s="14" t="s">
        <v>320</v>
      </c>
      <c r="B86" s="15" t="s">
        <v>321</v>
      </c>
      <c r="C86" s="14" t="s">
        <v>73</v>
      </c>
      <c r="D86" s="14" t="s">
        <v>322</v>
      </c>
      <c r="E86" s="14" t="s">
        <v>14</v>
      </c>
      <c r="F86" s="16">
        <v>1</v>
      </c>
      <c r="G86" s="16">
        <v>0</v>
      </c>
      <c r="H86" s="16">
        <v>0</v>
      </c>
      <c r="I86" s="16">
        <v>0</v>
      </c>
      <c r="J86" s="16">
        <v>0</v>
      </c>
      <c r="K86" s="16">
        <v>0</v>
      </c>
      <c r="L86" s="16">
        <v>0</v>
      </c>
      <c r="M86" s="16">
        <v>0</v>
      </c>
      <c r="N86" s="16">
        <v>0</v>
      </c>
      <c r="O86" s="16">
        <v>0</v>
      </c>
      <c r="P86" s="16">
        <v>0</v>
      </c>
      <c r="Q86" s="16">
        <v>0</v>
      </c>
      <c r="R86" s="16">
        <v>0</v>
      </c>
      <c r="S86" s="16">
        <v>0</v>
      </c>
      <c r="T86" s="16">
        <v>0</v>
      </c>
      <c r="U86" s="16">
        <v>0</v>
      </c>
      <c r="V86" s="16">
        <v>0</v>
      </c>
      <c r="W86" s="16">
        <v>0</v>
      </c>
      <c r="X86" s="16">
        <v>0</v>
      </c>
      <c r="Y86" s="16">
        <v>1</v>
      </c>
      <c r="Z86" s="16">
        <v>0</v>
      </c>
      <c r="AA86" s="16">
        <v>0</v>
      </c>
      <c r="AB86" s="16">
        <v>1</v>
      </c>
      <c r="AC86" s="16">
        <v>0</v>
      </c>
      <c r="AD86" s="16">
        <v>1</v>
      </c>
      <c r="AE86" s="16">
        <v>0</v>
      </c>
      <c r="AF86" s="16">
        <v>0</v>
      </c>
      <c r="AG86" s="16">
        <v>1</v>
      </c>
      <c r="AH86" s="16">
        <v>0</v>
      </c>
    </row>
    <row r="87" spans="1:34" x14ac:dyDescent="0.25">
      <c r="A87" s="14" t="s">
        <v>323</v>
      </c>
      <c r="B87" s="15" t="s">
        <v>324</v>
      </c>
      <c r="C87" s="14" t="s">
        <v>84</v>
      </c>
      <c r="D87" s="14" t="s">
        <v>325</v>
      </c>
      <c r="E87" s="14" t="s">
        <v>16</v>
      </c>
      <c r="F87" s="16">
        <v>0</v>
      </c>
      <c r="G87" s="16">
        <v>1</v>
      </c>
      <c r="H87" s="16">
        <v>0</v>
      </c>
      <c r="I87" s="16">
        <v>1</v>
      </c>
      <c r="J87" s="16">
        <v>0</v>
      </c>
      <c r="K87" s="16">
        <v>0</v>
      </c>
      <c r="L87" s="16">
        <v>1</v>
      </c>
      <c r="M87" s="16">
        <v>0</v>
      </c>
      <c r="N87" s="16">
        <v>1</v>
      </c>
      <c r="O87" s="16">
        <v>0</v>
      </c>
      <c r="P87" s="16">
        <v>1</v>
      </c>
      <c r="Q87" s="16">
        <v>0</v>
      </c>
      <c r="R87" s="16">
        <v>0</v>
      </c>
      <c r="S87" s="16">
        <v>0</v>
      </c>
      <c r="T87" s="16">
        <v>1</v>
      </c>
      <c r="U87" s="16">
        <v>0</v>
      </c>
      <c r="V87" s="16">
        <v>0</v>
      </c>
      <c r="W87" s="16">
        <v>0</v>
      </c>
      <c r="X87" s="16">
        <v>0</v>
      </c>
      <c r="Y87" s="16">
        <v>1</v>
      </c>
      <c r="Z87" s="16">
        <v>0</v>
      </c>
      <c r="AA87" s="16">
        <v>1</v>
      </c>
      <c r="AB87" s="16">
        <v>0</v>
      </c>
      <c r="AC87" s="16">
        <v>0</v>
      </c>
      <c r="AD87" s="16">
        <v>0</v>
      </c>
      <c r="AE87" s="16">
        <v>1</v>
      </c>
      <c r="AF87" s="16">
        <v>0</v>
      </c>
      <c r="AG87" s="16">
        <v>1</v>
      </c>
      <c r="AH87" s="16">
        <v>0</v>
      </c>
    </row>
    <row r="88" spans="1:34" x14ac:dyDescent="0.25">
      <c r="A88" s="14" t="s">
        <v>326</v>
      </c>
      <c r="B88" s="15" t="s">
        <v>327</v>
      </c>
      <c r="C88" s="14" t="s">
        <v>73</v>
      </c>
      <c r="D88" s="14" t="s">
        <v>328</v>
      </c>
      <c r="E88" s="14" t="s">
        <v>16</v>
      </c>
      <c r="F88" s="16">
        <v>0</v>
      </c>
      <c r="G88" s="16">
        <v>1</v>
      </c>
      <c r="H88" s="16">
        <v>0</v>
      </c>
      <c r="I88" s="16">
        <v>1</v>
      </c>
      <c r="J88" s="16">
        <v>0</v>
      </c>
      <c r="K88" s="16">
        <v>0</v>
      </c>
      <c r="L88" s="16">
        <v>0</v>
      </c>
      <c r="M88" s="16">
        <v>0</v>
      </c>
      <c r="N88" s="16">
        <v>0</v>
      </c>
      <c r="O88" s="16">
        <v>0</v>
      </c>
      <c r="P88" s="16">
        <v>0</v>
      </c>
      <c r="Q88" s="16">
        <v>0</v>
      </c>
      <c r="R88" s="16">
        <v>1</v>
      </c>
      <c r="S88" s="16">
        <v>0</v>
      </c>
      <c r="T88" s="16">
        <v>0</v>
      </c>
      <c r="U88" s="16">
        <v>0</v>
      </c>
      <c r="V88" s="16">
        <v>0</v>
      </c>
      <c r="W88" s="16">
        <v>0</v>
      </c>
      <c r="X88" s="16">
        <v>0</v>
      </c>
      <c r="Y88" s="16">
        <v>1</v>
      </c>
      <c r="Z88" s="16">
        <v>0</v>
      </c>
      <c r="AA88" s="16">
        <v>1</v>
      </c>
      <c r="AB88" s="16">
        <v>0</v>
      </c>
      <c r="AC88" s="16">
        <v>0</v>
      </c>
      <c r="AD88" s="16">
        <v>0</v>
      </c>
      <c r="AE88" s="16">
        <v>1</v>
      </c>
      <c r="AF88" s="16">
        <v>0</v>
      </c>
      <c r="AG88" s="16">
        <v>1</v>
      </c>
      <c r="AH88" s="16">
        <v>0</v>
      </c>
    </row>
    <row r="89" spans="1:34" x14ac:dyDescent="0.25">
      <c r="A89" s="14" t="s">
        <v>329</v>
      </c>
      <c r="B89" s="15" t="s">
        <v>330</v>
      </c>
      <c r="C89" s="14" t="s">
        <v>76</v>
      </c>
      <c r="D89" s="14" t="s">
        <v>331</v>
      </c>
      <c r="E89" s="14" t="s">
        <v>15</v>
      </c>
      <c r="F89" s="16">
        <v>0</v>
      </c>
      <c r="G89" s="16">
        <v>1</v>
      </c>
      <c r="H89" s="16">
        <v>0</v>
      </c>
      <c r="I89" s="16">
        <v>0</v>
      </c>
      <c r="J89" s="16">
        <v>1</v>
      </c>
      <c r="K89" s="16">
        <v>0</v>
      </c>
      <c r="L89" s="16">
        <v>0</v>
      </c>
      <c r="M89" s="16">
        <v>0</v>
      </c>
      <c r="N89" s="16">
        <v>0</v>
      </c>
      <c r="O89" s="16">
        <v>0</v>
      </c>
      <c r="P89" s="16">
        <v>0</v>
      </c>
      <c r="Q89" s="16">
        <v>0</v>
      </c>
      <c r="R89" s="16">
        <v>0</v>
      </c>
      <c r="S89" s="16">
        <v>0</v>
      </c>
      <c r="T89" s="16">
        <v>0</v>
      </c>
      <c r="U89" s="16">
        <v>0</v>
      </c>
      <c r="V89" s="16">
        <v>0</v>
      </c>
      <c r="W89" s="16">
        <v>0</v>
      </c>
      <c r="X89" s="16">
        <v>0</v>
      </c>
      <c r="Y89" s="16">
        <v>0</v>
      </c>
      <c r="Z89" s="16">
        <v>0</v>
      </c>
      <c r="AA89" s="16">
        <v>0</v>
      </c>
      <c r="AB89" s="16">
        <v>0</v>
      </c>
      <c r="AC89" s="16">
        <v>0</v>
      </c>
      <c r="AD89" s="16">
        <v>0</v>
      </c>
      <c r="AE89" s="16">
        <v>1</v>
      </c>
      <c r="AF89" s="16">
        <v>0</v>
      </c>
      <c r="AG89" s="16">
        <v>1</v>
      </c>
      <c r="AH89" s="16">
        <v>0</v>
      </c>
    </row>
    <row r="90" spans="1:34" x14ac:dyDescent="0.25">
      <c r="A90" s="14" t="s">
        <v>332</v>
      </c>
      <c r="B90" s="15" t="s">
        <v>333</v>
      </c>
      <c r="C90" s="14" t="s">
        <v>69</v>
      </c>
      <c r="D90" s="14" t="s">
        <v>334</v>
      </c>
      <c r="E90" s="14" t="s">
        <v>17</v>
      </c>
      <c r="F90" s="16">
        <v>0</v>
      </c>
      <c r="G90" s="16">
        <v>0</v>
      </c>
      <c r="H90" s="16">
        <v>0</v>
      </c>
      <c r="I90" s="16">
        <v>0</v>
      </c>
      <c r="J90" s="16">
        <v>0</v>
      </c>
      <c r="K90" s="16">
        <v>0</v>
      </c>
      <c r="L90" s="16">
        <v>0</v>
      </c>
      <c r="M90" s="16">
        <v>0</v>
      </c>
      <c r="N90" s="16">
        <v>0</v>
      </c>
      <c r="O90" s="16">
        <v>0</v>
      </c>
      <c r="P90" s="16">
        <v>0</v>
      </c>
      <c r="Q90" s="16">
        <v>0</v>
      </c>
      <c r="R90" s="16">
        <v>0</v>
      </c>
      <c r="S90" s="16">
        <v>0</v>
      </c>
      <c r="T90" s="16">
        <v>0</v>
      </c>
      <c r="U90" s="16">
        <v>0</v>
      </c>
      <c r="V90" s="16">
        <v>0</v>
      </c>
      <c r="W90" s="16">
        <v>0</v>
      </c>
      <c r="X90" s="16">
        <v>0</v>
      </c>
      <c r="Y90" s="16">
        <v>0</v>
      </c>
      <c r="Z90" s="16">
        <v>0</v>
      </c>
      <c r="AA90" s="16">
        <v>0</v>
      </c>
      <c r="AB90" s="16">
        <v>0</v>
      </c>
      <c r="AC90" s="16">
        <v>0</v>
      </c>
      <c r="AD90" s="16">
        <v>0</v>
      </c>
      <c r="AE90" s="16">
        <v>1</v>
      </c>
      <c r="AF90" s="16">
        <v>0</v>
      </c>
      <c r="AG90" s="16">
        <v>1</v>
      </c>
      <c r="AH90" s="16">
        <v>0</v>
      </c>
    </row>
    <row r="91" spans="1:34" x14ac:dyDescent="0.25">
      <c r="A91" s="14" t="s">
        <v>335</v>
      </c>
      <c r="B91" s="15" t="s">
        <v>336</v>
      </c>
      <c r="C91" s="14" t="s">
        <v>76</v>
      </c>
      <c r="D91" s="14" t="s">
        <v>337</v>
      </c>
      <c r="E91" s="14" t="s">
        <v>18</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1</v>
      </c>
      <c r="Y91" s="16">
        <v>0</v>
      </c>
      <c r="Z91" s="16">
        <v>0</v>
      </c>
      <c r="AA91" s="16">
        <v>0</v>
      </c>
      <c r="AB91" s="16">
        <v>0</v>
      </c>
      <c r="AC91" s="16">
        <v>0</v>
      </c>
      <c r="AD91" s="16">
        <v>1</v>
      </c>
      <c r="AE91" s="16">
        <v>0</v>
      </c>
      <c r="AF91" s="16">
        <v>0</v>
      </c>
      <c r="AG91" s="16">
        <v>0</v>
      </c>
      <c r="AH91" s="16">
        <v>1</v>
      </c>
    </row>
    <row r="92" spans="1:34" x14ac:dyDescent="0.25">
      <c r="A92" s="14" t="s">
        <v>338</v>
      </c>
      <c r="B92" s="15" t="s">
        <v>339</v>
      </c>
      <c r="C92" s="14" t="s">
        <v>76</v>
      </c>
      <c r="D92" s="14" t="s">
        <v>340</v>
      </c>
      <c r="E92" s="14" t="s">
        <v>16</v>
      </c>
      <c r="F92" s="16">
        <v>0</v>
      </c>
      <c r="G92" s="16">
        <v>1</v>
      </c>
      <c r="H92" s="16">
        <v>0</v>
      </c>
      <c r="I92" s="16">
        <v>0</v>
      </c>
      <c r="J92" s="16">
        <v>0</v>
      </c>
      <c r="K92" s="16">
        <v>0</v>
      </c>
      <c r="L92" s="16">
        <v>0</v>
      </c>
      <c r="M92" s="16">
        <v>0</v>
      </c>
      <c r="N92" s="16">
        <v>0</v>
      </c>
      <c r="O92" s="16">
        <v>0</v>
      </c>
      <c r="P92" s="16">
        <v>0</v>
      </c>
      <c r="Q92" s="16">
        <v>0</v>
      </c>
      <c r="R92" s="16">
        <v>0</v>
      </c>
      <c r="S92" s="16">
        <v>0</v>
      </c>
      <c r="T92" s="16">
        <v>0</v>
      </c>
      <c r="U92" s="16">
        <v>0</v>
      </c>
      <c r="V92" s="16">
        <v>0</v>
      </c>
      <c r="W92" s="16">
        <v>0</v>
      </c>
      <c r="X92" s="16">
        <v>0</v>
      </c>
      <c r="Y92" s="16">
        <v>1</v>
      </c>
      <c r="Z92" s="16">
        <v>0</v>
      </c>
      <c r="AA92" s="16">
        <v>1</v>
      </c>
      <c r="AB92" s="16">
        <v>1</v>
      </c>
      <c r="AC92" s="16">
        <v>0</v>
      </c>
      <c r="AD92" s="16">
        <v>1</v>
      </c>
      <c r="AE92" s="16">
        <v>0</v>
      </c>
      <c r="AF92" s="16">
        <v>0</v>
      </c>
      <c r="AG92" s="16">
        <v>1</v>
      </c>
      <c r="AH92" s="16">
        <v>0</v>
      </c>
    </row>
  </sheetData>
  <autoFilter ref="A1:AK92" xr:uid="{D89F1789-9FBE-480B-B1CA-115CEDE7BB84}"/>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Agenda Item 8-A.1_Q1 - Category</vt:lpstr>
      <vt:lpstr>Agenda Item 8-A.2_Q1 - Theme</vt:lpstr>
      <vt:lpstr>Agenda Item 8-A.3_Q4-Category</vt:lpstr>
      <vt:lpstr>Agenda Item 8-A.4_Q4-Theme</vt:lpstr>
      <vt:lpstr>Agenda Item 8-A.5_Q7-Category</vt:lpstr>
      <vt:lpstr>Agenda Item 8-A.6_Q7-Theme</vt:lpstr>
      <vt:lpstr>Agenda Item 8-A.7_Q5-Category</vt:lpstr>
      <vt:lpstr>Agenda Item 8-A.8_Q2-Category</vt:lpstr>
      <vt:lpstr>Name</vt:lpstr>
      <vt:lpstr>'Agenda Item 8-A.2_Q1 - Theme'!Print_Titles</vt:lpstr>
      <vt:lpstr>'Agenda Item 8-A.3_Q4-Category'!Print_Titles</vt:lpstr>
      <vt:lpstr>'Agenda Item 8-A.4_Q4-Theme'!Print_Titles</vt:lpstr>
      <vt:lpstr>'Agenda Item 8-A.5_Q7-Category'!Print_Titles</vt:lpstr>
      <vt:lpstr>'Agenda Item 8-A.6_Q7-Theme'!Print_Titles</vt:lpstr>
      <vt:lpstr>'Agenda Item 8-A.7_Q5-Category'!Print_Titles</vt:lpstr>
      <vt:lpstr>'Agenda Item 8-A.8_Q2-Category'!Print_Titles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Thurgood</dc:creator>
  <cp:lastModifiedBy>Armand Kotze</cp:lastModifiedBy>
  <cp:lastPrinted>2019-09-05T18:28:13Z</cp:lastPrinted>
  <dcterms:created xsi:type="dcterms:W3CDTF">2019-08-21T18:34:58Z</dcterms:created>
  <dcterms:modified xsi:type="dcterms:W3CDTF">2019-09-05T19:19:21Z</dcterms:modified>
</cp:coreProperties>
</file>