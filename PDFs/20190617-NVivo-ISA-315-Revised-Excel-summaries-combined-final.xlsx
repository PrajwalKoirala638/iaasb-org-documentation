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S:\IAASB\Meetings\2019\June 2019\Agenda Papers\ISA 315\NVivo reports\Combined Excel summary\"/>
    </mc:Choice>
  </mc:AlternateContent>
  <xr:revisionPtr revIDLastSave="0" documentId="13_ncr:1_{8C9061F1-2A75-4CA8-AC8C-F18B82C76EC6}" xr6:coauthVersionLast="36" xr6:coauthVersionMax="36" xr10:uidLastSave="{00000000-0000-0000-0000-000000000000}"/>
  <bookViews>
    <workbookView xWindow="0" yWindow="0" windowWidth="20160" windowHeight="8724" xr2:uid="{00000000-000D-0000-FFFF-FFFF00000000}"/>
  </bookViews>
  <sheets>
    <sheet name="1B Public interest" sheetId="11" r:id="rId1"/>
    <sheet name="2B Overarching concerns" sheetId="8" r:id="rId2"/>
    <sheet name="3B Prof Skepticism" sheetId="1" r:id="rId3"/>
    <sheet name="4B IRFs" sheetId="9" r:id="rId4"/>
    <sheet name="5B IT" sheetId="3" r:id="rId5"/>
    <sheet name="6B FS level risk" sheetId="4" r:id="rId6"/>
    <sheet name="7B RSPA" sheetId="5" r:id="rId7"/>
    <sheet name="8B Documentation"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11" i="11" l="1"/>
  <c r="I147" i="11"/>
  <c r="H11" i="3" l="1"/>
  <c r="J12" i="3"/>
  <c r="G175" i="11" l="1"/>
  <c r="G147" i="11"/>
  <c r="G140" i="11"/>
  <c r="G127" i="11"/>
  <c r="G114" i="11"/>
  <c r="G108" i="11"/>
  <c r="G102" i="11"/>
  <c r="G100" i="11" l="1"/>
  <c r="F126" i="4"/>
  <c r="F123" i="4"/>
  <c r="U75" i="9"/>
  <c r="T75" i="9"/>
  <c r="R75" i="9"/>
  <c r="P75" i="9"/>
  <c r="N75" i="9"/>
  <c r="L75" i="9"/>
  <c r="J75" i="9"/>
  <c r="H75" i="9"/>
  <c r="F75" i="9"/>
  <c r="E75" i="9"/>
  <c r="E115" i="9"/>
  <c r="F24" i="7"/>
  <c r="N175" i="1" l="1"/>
  <c r="N146" i="1"/>
  <c r="N139" i="1"/>
  <c r="N126" i="1"/>
  <c r="N113" i="1"/>
  <c r="N106" i="1"/>
  <c r="N100" i="1"/>
  <c r="N98" i="1" l="1"/>
  <c r="F111" i="11" l="1"/>
  <c r="F276" i="11" l="1"/>
  <c r="F275" i="11"/>
  <c r="F274" i="11"/>
  <c r="F273" i="11"/>
  <c r="F272" i="11"/>
  <c r="F271" i="11"/>
  <c r="F270" i="11"/>
  <c r="T269" i="11"/>
  <c r="S269" i="11"/>
  <c r="R269" i="11"/>
  <c r="Q269" i="11"/>
  <c r="P269" i="11"/>
  <c r="O269" i="11"/>
  <c r="N269" i="11"/>
  <c r="M269" i="11"/>
  <c r="L269" i="11"/>
  <c r="K269" i="11"/>
  <c r="J269" i="11"/>
  <c r="I269" i="11"/>
  <c r="H269" i="11"/>
  <c r="G269"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s="1"/>
  <c r="T240" i="11"/>
  <c r="S240" i="11"/>
  <c r="R240" i="11"/>
  <c r="Q240" i="11"/>
  <c r="P240" i="11"/>
  <c r="O240" i="11"/>
  <c r="N240" i="11"/>
  <c r="M240" i="11"/>
  <c r="L240" i="11"/>
  <c r="K240" i="11"/>
  <c r="J240" i="11"/>
  <c r="I240" i="11"/>
  <c r="H240" i="11"/>
  <c r="G240" i="11"/>
  <c r="F238" i="11"/>
  <c r="F237" i="11"/>
  <c r="F236" i="11"/>
  <c r="F235" i="11"/>
  <c r="F234" i="11"/>
  <c r="F233" i="11" s="1"/>
  <c r="T233" i="11"/>
  <c r="S233" i="11"/>
  <c r="R233" i="11"/>
  <c r="Q233" i="11"/>
  <c r="P233" i="11"/>
  <c r="O233" i="11"/>
  <c r="N233" i="11"/>
  <c r="M233" i="11"/>
  <c r="L233" i="11"/>
  <c r="K233" i="11"/>
  <c r="J233" i="11"/>
  <c r="I233" i="11"/>
  <c r="H233" i="11"/>
  <c r="G233" i="11"/>
  <c r="F231" i="11"/>
  <c r="F230" i="11"/>
  <c r="F229" i="11"/>
  <c r="F228" i="11"/>
  <c r="F227" i="11"/>
  <c r="F226" i="11"/>
  <c r="F225" i="11"/>
  <c r="F224" i="11"/>
  <c r="F223" i="11"/>
  <c r="F222" i="11"/>
  <c r="F221" i="11"/>
  <c r="T220" i="11"/>
  <c r="S220" i="11"/>
  <c r="R220" i="11"/>
  <c r="Q220" i="11"/>
  <c r="P220" i="11"/>
  <c r="O220" i="11"/>
  <c r="N220" i="11"/>
  <c r="M220" i="11"/>
  <c r="L220" i="11"/>
  <c r="K220" i="11"/>
  <c r="J220" i="11"/>
  <c r="I220" i="11"/>
  <c r="H220" i="11"/>
  <c r="G220" i="11"/>
  <c r="F218" i="11"/>
  <c r="F217" i="11"/>
  <c r="F216" i="11"/>
  <c r="F215" i="11"/>
  <c r="F214" i="11"/>
  <c r="F213" i="11"/>
  <c r="F212" i="11"/>
  <c r="F211" i="11"/>
  <c r="F210" i="11"/>
  <c r="F209" i="11"/>
  <c r="F208" i="11"/>
  <c r="F207" i="11" s="1"/>
  <c r="T207" i="11"/>
  <c r="S207" i="11"/>
  <c r="R207" i="11"/>
  <c r="Q207" i="11"/>
  <c r="P207" i="11"/>
  <c r="O207" i="11"/>
  <c r="N207" i="11"/>
  <c r="M207" i="11"/>
  <c r="L207" i="11"/>
  <c r="K207" i="11"/>
  <c r="J207" i="11"/>
  <c r="I207" i="11"/>
  <c r="H207" i="11"/>
  <c r="G207" i="11"/>
  <c r="F205" i="11"/>
  <c r="F204" i="11"/>
  <c r="F203" i="11"/>
  <c r="F202" i="11"/>
  <c r="T201" i="11"/>
  <c r="S201" i="11"/>
  <c r="S193" i="11" s="1"/>
  <c r="R201" i="11"/>
  <c r="Q201" i="11"/>
  <c r="P201" i="11"/>
  <c r="O201" i="11"/>
  <c r="N201" i="11"/>
  <c r="M201" i="11"/>
  <c r="L201" i="11"/>
  <c r="K201" i="11"/>
  <c r="K193" i="11" s="1"/>
  <c r="J201" i="11"/>
  <c r="I201" i="11"/>
  <c r="H201" i="11"/>
  <c r="G201" i="11"/>
  <c r="G193" i="11" s="1"/>
  <c r="F199" i="11"/>
  <c r="F198" i="11"/>
  <c r="F197" i="11"/>
  <c r="F196" i="11"/>
  <c r="F195" i="11" s="1"/>
  <c r="T195" i="11"/>
  <c r="S195" i="11"/>
  <c r="R195" i="11"/>
  <c r="Q195" i="11"/>
  <c r="P195" i="11"/>
  <c r="O195" i="11"/>
  <c r="N195" i="11"/>
  <c r="M195" i="11"/>
  <c r="L195" i="11"/>
  <c r="K195" i="11"/>
  <c r="J195" i="11"/>
  <c r="I195" i="11"/>
  <c r="H195" i="11"/>
  <c r="G195" i="11"/>
  <c r="O193" i="11"/>
  <c r="E193" i="11"/>
  <c r="F185" i="11"/>
  <c r="F182" i="11"/>
  <c r="F181" i="11"/>
  <c r="F180" i="11"/>
  <c r="F179" i="11"/>
  <c r="F178" i="11"/>
  <c r="F177" i="11"/>
  <c r="F176" i="11"/>
  <c r="O175" i="11"/>
  <c r="N175" i="11"/>
  <c r="M175" i="11"/>
  <c r="L175" i="11"/>
  <c r="K175" i="11"/>
  <c r="J175" i="11"/>
  <c r="I175" i="11"/>
  <c r="H175"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O147" i="11"/>
  <c r="N147" i="11"/>
  <c r="M147" i="11"/>
  <c r="L147" i="11"/>
  <c r="K147" i="11"/>
  <c r="J147" i="11"/>
  <c r="H147" i="11"/>
  <c r="F145" i="11"/>
  <c r="F144" i="11"/>
  <c r="F143" i="11"/>
  <c r="F142" i="11"/>
  <c r="F141" i="11"/>
  <c r="O140" i="11"/>
  <c r="N140" i="11"/>
  <c r="M140" i="11"/>
  <c r="L140" i="11"/>
  <c r="K140" i="11"/>
  <c r="J140" i="11"/>
  <c r="I140" i="11"/>
  <c r="H140" i="11"/>
  <c r="F138" i="11"/>
  <c r="F137" i="11"/>
  <c r="F136" i="11"/>
  <c r="F135" i="11"/>
  <c r="F134" i="11"/>
  <c r="F133" i="11"/>
  <c r="F132" i="11"/>
  <c r="F131" i="11"/>
  <c r="F130" i="11"/>
  <c r="F129" i="11"/>
  <c r="F128" i="11"/>
  <c r="O127" i="11"/>
  <c r="N127" i="11"/>
  <c r="M127" i="11"/>
  <c r="L127" i="11"/>
  <c r="K127" i="11"/>
  <c r="J127" i="11"/>
  <c r="I127" i="11"/>
  <c r="H127" i="11"/>
  <c r="F125" i="11"/>
  <c r="F124" i="11"/>
  <c r="F123" i="11"/>
  <c r="F122" i="11"/>
  <c r="F121" i="11"/>
  <c r="F120" i="11"/>
  <c r="F119" i="11"/>
  <c r="F118" i="11"/>
  <c r="F117" i="11"/>
  <c r="F116" i="11"/>
  <c r="F115" i="11"/>
  <c r="O114" i="11"/>
  <c r="N114" i="11"/>
  <c r="M114" i="11"/>
  <c r="L114" i="11"/>
  <c r="K114" i="11"/>
  <c r="J114" i="11"/>
  <c r="I114" i="11"/>
  <c r="H114" i="11"/>
  <c r="F112" i="11"/>
  <c r="F110" i="11"/>
  <c r="F109" i="11"/>
  <c r="O108" i="11"/>
  <c r="N108" i="11"/>
  <c r="M108" i="11"/>
  <c r="L108" i="11"/>
  <c r="K108" i="11"/>
  <c r="J108" i="11"/>
  <c r="I108" i="11"/>
  <c r="H108" i="11"/>
  <c r="F106" i="11"/>
  <c r="F105" i="11"/>
  <c r="F104" i="11"/>
  <c r="F103" i="11"/>
  <c r="O102" i="11"/>
  <c r="N102" i="11"/>
  <c r="M102" i="11"/>
  <c r="L102" i="11"/>
  <c r="K102" i="11"/>
  <c r="J102" i="11"/>
  <c r="I102" i="11"/>
  <c r="H102" i="11"/>
  <c r="E100" i="11"/>
  <c r="L11" i="11"/>
  <c r="M11" i="11" s="1"/>
  <c r="J11" i="11"/>
  <c r="K11" i="11" s="1"/>
  <c r="I11" i="11"/>
  <c r="F11" i="11"/>
  <c r="G11" i="11" s="1"/>
  <c r="H193" i="11" l="1"/>
  <c r="L193" i="11"/>
  <c r="T193" i="11"/>
  <c r="I193" i="11"/>
  <c r="M193" i="11"/>
  <c r="Q193" i="11"/>
  <c r="F201" i="11"/>
  <c r="F220" i="11"/>
  <c r="K100" i="11"/>
  <c r="O100" i="11"/>
  <c r="P193" i="11"/>
  <c r="J193" i="11"/>
  <c r="N193" i="11"/>
  <c r="R193" i="11"/>
  <c r="F269" i="11"/>
  <c r="F108" i="11"/>
  <c r="F175" i="11"/>
  <c r="F147" i="11"/>
  <c r="F140" i="11"/>
  <c r="F127" i="11"/>
  <c r="F114" i="11"/>
  <c r="M100" i="11"/>
  <c r="F102" i="11"/>
  <c r="J100" i="11"/>
  <c r="I100" i="11"/>
  <c r="N100" i="11"/>
  <c r="H100" i="11"/>
  <c r="L100" i="11"/>
  <c r="E11" i="11"/>
  <c r="F193" i="11" l="1"/>
  <c r="F100" i="11"/>
  <c r="F92" i="8"/>
  <c r="F91" i="8"/>
  <c r="F90" i="8"/>
  <c r="F89" i="8"/>
  <c r="F88" i="8"/>
  <c r="F87" i="8"/>
  <c r="F86" i="8"/>
  <c r="N85" i="8"/>
  <c r="M85" i="8"/>
  <c r="L85" i="8"/>
  <c r="K85" i="8"/>
  <c r="J85" i="8"/>
  <c r="I85" i="8"/>
  <c r="H85" i="8"/>
  <c r="G85" i="8"/>
  <c r="F83" i="8"/>
  <c r="F82" i="8"/>
  <c r="F81" i="8"/>
  <c r="F80" i="8"/>
  <c r="F79" i="8"/>
  <c r="F78" i="8"/>
  <c r="F77" i="8"/>
  <c r="F76" i="8"/>
  <c r="F75" i="8"/>
  <c r="F74" i="8"/>
  <c r="F73" i="8"/>
  <c r="F72" i="8"/>
  <c r="F71" i="8"/>
  <c r="F70" i="8"/>
  <c r="F69" i="8"/>
  <c r="F68" i="8"/>
  <c r="F67" i="8"/>
  <c r="F66" i="8"/>
  <c r="F65" i="8"/>
  <c r="F64" i="8"/>
  <c r="F63" i="8"/>
  <c r="F62" i="8"/>
  <c r="F61" i="8"/>
  <c r="F60" i="8"/>
  <c r="F59" i="8"/>
  <c r="F58" i="8"/>
  <c r="F57" i="8"/>
  <c r="N56" i="8"/>
  <c r="M56" i="8"/>
  <c r="L56" i="8"/>
  <c r="K56" i="8"/>
  <c r="J56" i="8"/>
  <c r="I56" i="8"/>
  <c r="H56" i="8"/>
  <c r="G56" i="8"/>
  <c r="F55" i="8"/>
  <c r="F54" i="8"/>
  <c r="F53" i="8"/>
  <c r="F52" i="8"/>
  <c r="F51" i="8"/>
  <c r="N50" i="8"/>
  <c r="M50" i="8"/>
  <c r="L50" i="8"/>
  <c r="K50" i="8"/>
  <c r="J50" i="8"/>
  <c r="J10" i="8" s="1"/>
  <c r="I50" i="8"/>
  <c r="H50" i="8"/>
  <c r="G50" i="8"/>
  <c r="F48" i="8"/>
  <c r="F47" i="8"/>
  <c r="F46" i="8"/>
  <c r="F45" i="8"/>
  <c r="F44" i="8"/>
  <c r="F43" i="8"/>
  <c r="F42" i="8"/>
  <c r="F41" i="8"/>
  <c r="F40" i="8"/>
  <c r="F39" i="8"/>
  <c r="F38" i="8"/>
  <c r="N37" i="8"/>
  <c r="N10" i="8" s="1"/>
  <c r="M37" i="8"/>
  <c r="L37" i="8"/>
  <c r="K37" i="8"/>
  <c r="J37" i="8"/>
  <c r="I37" i="8"/>
  <c r="H37" i="8"/>
  <c r="G37" i="8"/>
  <c r="F35" i="8"/>
  <c r="F34" i="8"/>
  <c r="F33" i="8"/>
  <c r="F32" i="8"/>
  <c r="F31" i="8"/>
  <c r="F30" i="8"/>
  <c r="F29" i="8"/>
  <c r="F28" i="8"/>
  <c r="F27" i="8"/>
  <c r="F26" i="8"/>
  <c r="F25" i="8"/>
  <c r="N24" i="8"/>
  <c r="M24" i="8"/>
  <c r="L24" i="8"/>
  <c r="K24" i="8"/>
  <c r="J24" i="8"/>
  <c r="I24" i="8"/>
  <c r="H24" i="8"/>
  <c r="G24" i="8"/>
  <c r="F22" i="8"/>
  <c r="F21" i="8"/>
  <c r="F20" i="8"/>
  <c r="F19" i="8"/>
  <c r="F18" i="8" s="1"/>
  <c r="N18" i="8"/>
  <c r="M18" i="8"/>
  <c r="L18" i="8"/>
  <c r="K18" i="8"/>
  <c r="J18" i="8"/>
  <c r="I18" i="8"/>
  <c r="H18" i="8"/>
  <c r="G18" i="8"/>
  <c r="G10" i="8" s="1"/>
  <c r="F16" i="8"/>
  <c r="F15" i="8"/>
  <c r="F14" i="8"/>
  <c r="F13" i="8"/>
  <c r="N12" i="8"/>
  <c r="M12" i="8"/>
  <c r="L12" i="8"/>
  <c r="K12" i="8"/>
  <c r="J12" i="8"/>
  <c r="I12" i="8"/>
  <c r="H12" i="8"/>
  <c r="G12" i="8"/>
  <c r="E10" i="8"/>
  <c r="F96" i="7"/>
  <c r="F95" i="7"/>
  <c r="F94" i="7"/>
  <c r="F93" i="7"/>
  <c r="F92" i="7"/>
  <c r="F91" i="7"/>
  <c r="F90" i="7"/>
  <c r="W89" i="7"/>
  <c r="V89" i="7"/>
  <c r="U89" i="7"/>
  <c r="T89" i="7"/>
  <c r="S89" i="7"/>
  <c r="R89" i="7"/>
  <c r="Q89" i="7"/>
  <c r="P89" i="7"/>
  <c r="O89" i="7"/>
  <c r="N89" i="7"/>
  <c r="M89" i="7"/>
  <c r="L89" i="7"/>
  <c r="K89" i="7"/>
  <c r="J89" i="7"/>
  <c r="I89" i="7"/>
  <c r="H89" i="7"/>
  <c r="G89" i="7"/>
  <c r="F87" i="7"/>
  <c r="F86" i="7"/>
  <c r="F85" i="7"/>
  <c r="F84" i="7"/>
  <c r="F83" i="7"/>
  <c r="F82" i="7"/>
  <c r="F81" i="7"/>
  <c r="F80" i="7"/>
  <c r="F79" i="7"/>
  <c r="F78" i="7"/>
  <c r="F77" i="7"/>
  <c r="F76" i="7"/>
  <c r="F75" i="7"/>
  <c r="F74" i="7"/>
  <c r="F73" i="7"/>
  <c r="F72" i="7"/>
  <c r="F71" i="7"/>
  <c r="F70" i="7"/>
  <c r="F69" i="7"/>
  <c r="F68" i="7"/>
  <c r="F67" i="7"/>
  <c r="F66" i="7"/>
  <c r="F65" i="7"/>
  <c r="F64" i="7"/>
  <c r="F63" i="7"/>
  <c r="F62" i="7"/>
  <c r="F61" i="7"/>
  <c r="W60" i="7"/>
  <c r="V60" i="7"/>
  <c r="U60" i="7"/>
  <c r="T60" i="7"/>
  <c r="S60" i="7"/>
  <c r="R60" i="7"/>
  <c r="Q60" i="7"/>
  <c r="P60" i="7"/>
  <c r="O60" i="7"/>
  <c r="O13" i="7" s="1"/>
  <c r="N60" i="7"/>
  <c r="M60" i="7"/>
  <c r="L60" i="7"/>
  <c r="K60" i="7"/>
  <c r="J60" i="7"/>
  <c r="I60" i="7"/>
  <c r="H60" i="7"/>
  <c r="G60" i="7"/>
  <c r="F58" i="7"/>
  <c r="F57" i="7"/>
  <c r="F56" i="7"/>
  <c r="F55" i="7"/>
  <c r="F54" i="7"/>
  <c r="W53" i="7"/>
  <c r="V53" i="7"/>
  <c r="U53" i="7"/>
  <c r="T53" i="7"/>
  <c r="S53" i="7"/>
  <c r="R53" i="7"/>
  <c r="Q53" i="7"/>
  <c r="P53" i="7"/>
  <c r="O53" i="7"/>
  <c r="N53" i="7"/>
  <c r="M53" i="7"/>
  <c r="L53" i="7"/>
  <c r="K53" i="7"/>
  <c r="J53" i="7"/>
  <c r="I53" i="7"/>
  <c r="H53" i="7"/>
  <c r="G53" i="7"/>
  <c r="F51" i="7"/>
  <c r="F50" i="7"/>
  <c r="F49" i="7"/>
  <c r="F48" i="7"/>
  <c r="F47" i="7"/>
  <c r="F46" i="7"/>
  <c r="F45" i="7"/>
  <c r="F44" i="7"/>
  <c r="F43" i="7"/>
  <c r="F42" i="7"/>
  <c r="F41" i="7"/>
  <c r="W40" i="7"/>
  <c r="V40" i="7"/>
  <c r="U40" i="7"/>
  <c r="T40" i="7"/>
  <c r="S40" i="7"/>
  <c r="R40" i="7"/>
  <c r="Q40" i="7"/>
  <c r="P40" i="7"/>
  <c r="O40" i="7"/>
  <c r="N40" i="7"/>
  <c r="M40" i="7"/>
  <c r="L40" i="7"/>
  <c r="K40" i="7"/>
  <c r="J40" i="7"/>
  <c r="I40" i="7"/>
  <c r="H40" i="7"/>
  <c r="G40" i="7"/>
  <c r="F38" i="7"/>
  <c r="F37" i="7"/>
  <c r="F36" i="7"/>
  <c r="F35" i="7"/>
  <c r="F34" i="7"/>
  <c r="F33" i="7"/>
  <c r="F32" i="7"/>
  <c r="F31" i="7"/>
  <c r="F30" i="7"/>
  <c r="F29" i="7"/>
  <c r="F27" i="7" s="1"/>
  <c r="F28" i="7"/>
  <c r="W27" i="7"/>
  <c r="V27" i="7"/>
  <c r="U27" i="7"/>
  <c r="U13" i="7" s="1"/>
  <c r="T27" i="7"/>
  <c r="S27" i="7"/>
  <c r="R27" i="7"/>
  <c r="Q27" i="7"/>
  <c r="Q13" i="7" s="1"/>
  <c r="P27" i="7"/>
  <c r="O27" i="7"/>
  <c r="N27" i="7"/>
  <c r="M27" i="7"/>
  <c r="M13" i="7" s="1"/>
  <c r="L27" i="7"/>
  <c r="K27" i="7"/>
  <c r="J27" i="7"/>
  <c r="I27" i="7"/>
  <c r="I13" i="7" s="1"/>
  <c r="H27" i="7"/>
  <c r="G27" i="7"/>
  <c r="F25" i="7"/>
  <c r="F23" i="7"/>
  <c r="F22" i="7"/>
  <c r="W21" i="7"/>
  <c r="W13" i="7" s="1"/>
  <c r="V21" i="7"/>
  <c r="U21" i="7"/>
  <c r="T21" i="7"/>
  <c r="S21" i="7"/>
  <c r="S13" i="7" s="1"/>
  <c r="R21" i="7"/>
  <c r="Q21" i="7"/>
  <c r="P21" i="7"/>
  <c r="O21" i="7"/>
  <c r="N21" i="7"/>
  <c r="M21" i="7"/>
  <c r="L21" i="7"/>
  <c r="K21" i="7"/>
  <c r="J21" i="7"/>
  <c r="I21" i="7"/>
  <c r="H21" i="7"/>
  <c r="G21" i="7"/>
  <c r="G13" i="7" s="1"/>
  <c r="F19" i="7"/>
  <c r="F18" i="7"/>
  <c r="F17" i="7"/>
  <c r="F16" i="7"/>
  <c r="W15" i="7"/>
  <c r="V15" i="7"/>
  <c r="U15" i="7"/>
  <c r="T15" i="7"/>
  <c r="S15" i="7"/>
  <c r="R15" i="7"/>
  <c r="Q15" i="7"/>
  <c r="P15" i="7"/>
  <c r="O15" i="7"/>
  <c r="N15" i="7"/>
  <c r="M15" i="7"/>
  <c r="L15" i="7"/>
  <c r="K15" i="7"/>
  <c r="J15" i="7"/>
  <c r="I15" i="7"/>
  <c r="H15" i="7"/>
  <c r="G15" i="7"/>
  <c r="K13" i="7"/>
  <c r="E13" i="7"/>
  <c r="F99" i="5"/>
  <c r="F98" i="5"/>
  <c r="F97" i="5"/>
  <c r="F96" i="5"/>
  <c r="F95" i="5"/>
  <c r="F94" i="5"/>
  <c r="F93" i="5"/>
  <c r="L92" i="5"/>
  <c r="K92" i="5"/>
  <c r="J92" i="5"/>
  <c r="I92" i="5"/>
  <c r="H92" i="5"/>
  <c r="G92" i="5"/>
  <c r="F90" i="5"/>
  <c r="F89" i="5"/>
  <c r="F88" i="5"/>
  <c r="F87" i="5"/>
  <c r="F86" i="5"/>
  <c r="F85" i="5"/>
  <c r="F84" i="5"/>
  <c r="F83" i="5"/>
  <c r="F82" i="5"/>
  <c r="F81" i="5"/>
  <c r="F80" i="5"/>
  <c r="F79" i="5"/>
  <c r="F78" i="5"/>
  <c r="F77" i="5"/>
  <c r="F76" i="5"/>
  <c r="F75" i="5"/>
  <c r="F74" i="5"/>
  <c r="F73" i="5"/>
  <c r="F72" i="5"/>
  <c r="F71" i="5"/>
  <c r="F70" i="5"/>
  <c r="F69" i="5"/>
  <c r="F68" i="5"/>
  <c r="F67" i="5"/>
  <c r="F66" i="5"/>
  <c r="F65" i="5"/>
  <c r="F64" i="5"/>
  <c r="L63" i="5"/>
  <c r="K63" i="5"/>
  <c r="J63" i="5"/>
  <c r="I63" i="5"/>
  <c r="H63" i="5"/>
  <c r="G63" i="5"/>
  <c r="F61" i="5"/>
  <c r="F60" i="5"/>
  <c r="F59" i="5"/>
  <c r="F58" i="5"/>
  <c r="F57" i="5"/>
  <c r="L56" i="5"/>
  <c r="K56" i="5"/>
  <c r="J56" i="5"/>
  <c r="I56" i="5"/>
  <c r="H56" i="5"/>
  <c r="G56" i="5"/>
  <c r="F54" i="5"/>
  <c r="F53" i="5"/>
  <c r="F52" i="5"/>
  <c r="F51" i="5"/>
  <c r="F50" i="5"/>
  <c r="F49" i="5"/>
  <c r="F48" i="5"/>
  <c r="F47" i="5"/>
  <c r="F46" i="5"/>
  <c r="F45" i="5"/>
  <c r="F44" i="5"/>
  <c r="L43" i="5"/>
  <c r="K43" i="5"/>
  <c r="J43" i="5"/>
  <c r="I43" i="5"/>
  <c r="H43" i="5"/>
  <c r="G43" i="5"/>
  <c r="F41" i="5"/>
  <c r="F40" i="5"/>
  <c r="F39" i="5"/>
  <c r="F38" i="5"/>
  <c r="F37" i="5"/>
  <c r="F36" i="5"/>
  <c r="F35" i="5"/>
  <c r="F34" i="5"/>
  <c r="F33" i="5"/>
  <c r="F32" i="5"/>
  <c r="F31" i="5"/>
  <c r="L30" i="5"/>
  <c r="L16" i="5" s="1"/>
  <c r="K30" i="5"/>
  <c r="J30" i="5"/>
  <c r="I30" i="5"/>
  <c r="H30" i="5"/>
  <c r="G30" i="5"/>
  <c r="F28" i="5"/>
  <c r="F27" i="5"/>
  <c r="F26" i="5"/>
  <c r="F25" i="5"/>
  <c r="L24" i="5"/>
  <c r="K24" i="5"/>
  <c r="J24" i="5"/>
  <c r="I24" i="5"/>
  <c r="I16" i="5" s="1"/>
  <c r="H24" i="5"/>
  <c r="G24" i="5"/>
  <c r="F22" i="5"/>
  <c r="F21" i="5"/>
  <c r="F20" i="5"/>
  <c r="F19" i="5"/>
  <c r="L18" i="5"/>
  <c r="K18" i="5"/>
  <c r="J18" i="5"/>
  <c r="I18" i="5"/>
  <c r="H18" i="5"/>
  <c r="G18" i="5"/>
  <c r="E16" i="5"/>
  <c r="F7" i="5"/>
  <c r="F12" i="8" l="1"/>
  <c r="H10" i="8"/>
  <c r="L10" i="8"/>
  <c r="F24" i="8"/>
  <c r="F10" i="8" s="1"/>
  <c r="I10" i="8"/>
  <c r="M10" i="8"/>
  <c r="F50" i="8"/>
  <c r="K10" i="8"/>
  <c r="F37" i="8"/>
  <c r="F56" i="8"/>
  <c r="F85" i="8"/>
  <c r="F43" i="5"/>
  <c r="F92" i="5"/>
  <c r="G16" i="5"/>
  <c r="K16" i="5"/>
  <c r="F30" i="5"/>
  <c r="F56" i="5"/>
  <c r="F18" i="5"/>
  <c r="H16" i="5"/>
  <c r="F63" i="5"/>
  <c r="F16" i="5" s="1"/>
  <c r="J16" i="5"/>
  <c r="F24" i="5"/>
  <c r="J13" i="7"/>
  <c r="N13" i="7"/>
  <c r="R13" i="7"/>
  <c r="V13" i="7"/>
  <c r="F60" i="7"/>
  <c r="F15" i="7"/>
  <c r="F21" i="7"/>
  <c r="F89" i="7"/>
  <c r="H13" i="7"/>
  <c r="L13" i="7"/>
  <c r="P13" i="7"/>
  <c r="T13" i="7"/>
  <c r="F40" i="7"/>
  <c r="F53" i="7"/>
  <c r="F13" i="7" l="1"/>
  <c r="F303" i="4"/>
  <c r="D303" i="4" s="1"/>
  <c r="H295" i="4"/>
  <c r="G295" i="4"/>
  <c r="F295" i="4"/>
  <c r="E295" i="4"/>
  <c r="D295" i="4" s="1"/>
  <c r="H266" i="4"/>
  <c r="D266" i="4" s="1"/>
  <c r="G266" i="4"/>
  <c r="F266" i="4"/>
  <c r="E266" i="4"/>
  <c r="H259" i="4"/>
  <c r="G259" i="4"/>
  <c r="F259" i="4"/>
  <c r="E259" i="4"/>
  <c r="H247" i="4"/>
  <c r="G247" i="4"/>
  <c r="F247" i="4"/>
  <c r="E247" i="4"/>
  <c r="D247" i="4" s="1"/>
  <c r="H234" i="4"/>
  <c r="G234" i="4"/>
  <c r="F234" i="4"/>
  <c r="F219" i="4" s="1"/>
  <c r="E234" i="4"/>
  <c r="D234" i="4" s="1"/>
  <c r="H227" i="4"/>
  <c r="G227" i="4"/>
  <c r="G219" i="4" s="1"/>
  <c r="F227" i="4"/>
  <c r="D227" i="4" s="1"/>
  <c r="E227" i="4"/>
  <c r="H221" i="4"/>
  <c r="H219" i="4" s="1"/>
  <c r="G221" i="4"/>
  <c r="F221" i="4"/>
  <c r="E221" i="4"/>
  <c r="D221" i="4"/>
  <c r="E219" i="4"/>
  <c r="F179" i="4"/>
  <c r="F176" i="4"/>
  <c r="F175" i="4"/>
  <c r="F174" i="4"/>
  <c r="F173" i="4"/>
  <c r="F172" i="4"/>
  <c r="F171" i="4"/>
  <c r="F169" i="4" s="1"/>
  <c r="F170" i="4"/>
  <c r="M169" i="4"/>
  <c r="L169" i="4"/>
  <c r="K169" i="4"/>
  <c r="J169" i="4"/>
  <c r="I169" i="4"/>
  <c r="H169" i="4"/>
  <c r="G169" i="4"/>
  <c r="F167" i="4"/>
  <c r="F166" i="4"/>
  <c r="F165" i="4"/>
  <c r="F164" i="4"/>
  <c r="F163" i="4"/>
  <c r="F162" i="4"/>
  <c r="F161" i="4"/>
  <c r="F160" i="4"/>
  <c r="F159" i="4"/>
  <c r="F158" i="4"/>
  <c r="F157" i="4"/>
  <c r="F156" i="4"/>
  <c r="F155" i="4"/>
  <c r="F154" i="4"/>
  <c r="F153" i="4"/>
  <c r="F152" i="4"/>
  <c r="F151" i="4"/>
  <c r="F150" i="4"/>
  <c r="F149" i="4"/>
  <c r="F148" i="4"/>
  <c r="F147" i="4"/>
  <c r="F146" i="4"/>
  <c r="F145" i="4"/>
  <c r="F141" i="4" s="1"/>
  <c r="F144" i="4"/>
  <c r="F143" i="4"/>
  <c r="F142" i="4"/>
  <c r="M141" i="4"/>
  <c r="L141" i="4"/>
  <c r="K141" i="4"/>
  <c r="J141" i="4"/>
  <c r="I141" i="4"/>
  <c r="H141" i="4"/>
  <c r="G141" i="4"/>
  <c r="F139" i="4"/>
  <c r="F138" i="4"/>
  <c r="F137" i="4"/>
  <c r="F136" i="4"/>
  <c r="F135" i="4"/>
  <c r="M134" i="4"/>
  <c r="L134" i="4"/>
  <c r="K134" i="4"/>
  <c r="J134" i="4"/>
  <c r="J93" i="4" s="1"/>
  <c r="I134" i="4"/>
  <c r="H134" i="4"/>
  <c r="G134" i="4"/>
  <c r="F134" i="4"/>
  <c r="F132" i="4"/>
  <c r="F131" i="4"/>
  <c r="F130" i="4"/>
  <c r="F129" i="4"/>
  <c r="F128" i="4"/>
  <c r="F127" i="4"/>
  <c r="F125" i="4"/>
  <c r="F121" i="4" s="1"/>
  <c r="F93" i="4" s="1"/>
  <c r="F124" i="4"/>
  <c r="F122" i="4"/>
  <c r="M121" i="4"/>
  <c r="M93" i="4" s="1"/>
  <c r="L121" i="4"/>
  <c r="K121" i="4"/>
  <c r="J121" i="4"/>
  <c r="I121" i="4"/>
  <c r="I93" i="4" s="1"/>
  <c r="H121" i="4"/>
  <c r="G121" i="4"/>
  <c r="F119" i="4"/>
  <c r="F118" i="4"/>
  <c r="F117" i="4"/>
  <c r="F116" i="4"/>
  <c r="F115" i="4"/>
  <c r="F114" i="4"/>
  <c r="F113" i="4"/>
  <c r="F112" i="4"/>
  <c r="F111" i="4"/>
  <c r="F108" i="4" s="1"/>
  <c r="F110" i="4"/>
  <c r="F109" i="4"/>
  <c r="M108" i="4"/>
  <c r="L108" i="4"/>
  <c r="K108" i="4"/>
  <c r="J108" i="4"/>
  <c r="I108" i="4"/>
  <c r="H108" i="4"/>
  <c r="G108" i="4"/>
  <c r="F106" i="4"/>
  <c r="F105" i="4"/>
  <c r="F101" i="4" s="1"/>
  <c r="F104" i="4"/>
  <c r="F103" i="4"/>
  <c r="F102" i="4"/>
  <c r="L101" i="4"/>
  <c r="L93" i="4" s="1"/>
  <c r="K101" i="4"/>
  <c r="J101" i="4"/>
  <c r="I101" i="4"/>
  <c r="H101" i="4"/>
  <c r="H93" i="4" s="1"/>
  <c r="G101" i="4"/>
  <c r="F99" i="4"/>
  <c r="F98" i="4"/>
  <c r="F95" i="4" s="1"/>
  <c r="F97" i="4"/>
  <c r="F96" i="4"/>
  <c r="L95" i="4"/>
  <c r="K95" i="4"/>
  <c r="J95" i="4"/>
  <c r="I95" i="4"/>
  <c r="H95" i="4"/>
  <c r="G95" i="4"/>
  <c r="K93" i="4"/>
  <c r="G93" i="4"/>
  <c r="E93" i="4"/>
  <c r="F84" i="4"/>
  <c r="F83" i="4"/>
  <c r="F80" i="4" s="1"/>
  <c r="F82" i="4"/>
  <c r="F81" i="4"/>
  <c r="I80" i="4"/>
  <c r="H80" i="4"/>
  <c r="G80" i="4"/>
  <c r="F78" i="4"/>
  <c r="H77" i="4"/>
  <c r="H72" i="4" s="1"/>
  <c r="G77" i="4"/>
  <c r="F77" i="4"/>
  <c r="F75" i="4"/>
  <c r="F74" i="4" s="1"/>
  <c r="F72" i="4" s="1"/>
  <c r="G74" i="4"/>
  <c r="G72" i="4" s="1"/>
  <c r="I72" i="4"/>
  <c r="E72" i="4"/>
  <c r="L63" i="4"/>
  <c r="H63" i="4"/>
  <c r="F63" i="4"/>
  <c r="J55" i="4"/>
  <c r="F55" i="4"/>
  <c r="J50" i="4"/>
  <c r="J11" i="4" s="1"/>
  <c r="K11" i="4" s="1"/>
  <c r="H50" i="4"/>
  <c r="F50" i="4"/>
  <c r="J35" i="4"/>
  <c r="F35" i="4"/>
  <c r="J31" i="4"/>
  <c r="H31" i="4"/>
  <c r="H24" i="4"/>
  <c r="H11" i="4" s="1"/>
  <c r="I11" i="4" s="1"/>
  <c r="F24" i="4"/>
  <c r="L18" i="4"/>
  <c r="L11" i="4" s="1"/>
  <c r="M11" i="4" s="1"/>
  <c r="F13" i="4"/>
  <c r="D219" i="4" l="1"/>
  <c r="F31" i="4"/>
  <c r="F11" i="4" s="1"/>
  <c r="G11" i="4" l="1"/>
  <c r="E11" i="4"/>
  <c r="F260" i="3" l="1"/>
  <c r="D260" i="3" s="1"/>
  <c r="H252" i="3"/>
  <c r="G252" i="3"/>
  <c r="F252" i="3"/>
  <c r="E252" i="3"/>
  <c r="H223" i="3"/>
  <c r="G223" i="3"/>
  <c r="F223" i="3"/>
  <c r="E223" i="3"/>
  <c r="H216" i="3"/>
  <c r="G216" i="3"/>
  <c r="F216" i="3"/>
  <c r="F36" i="3" s="1"/>
  <c r="E216" i="3"/>
  <c r="H204" i="3"/>
  <c r="H176" i="3" s="1"/>
  <c r="G204" i="3"/>
  <c r="F204" i="3"/>
  <c r="F19" i="3" s="1"/>
  <c r="E204" i="3"/>
  <c r="D204" i="3"/>
  <c r="H191" i="3"/>
  <c r="G191" i="3"/>
  <c r="H22" i="3" s="1"/>
  <c r="I11" i="3" s="1"/>
  <c r="F191" i="3"/>
  <c r="F22" i="3" s="1"/>
  <c r="E191" i="3"/>
  <c r="D191" i="3" s="1"/>
  <c r="H184" i="3"/>
  <c r="G184" i="3"/>
  <c r="F184" i="3"/>
  <c r="E184" i="3"/>
  <c r="H178" i="3"/>
  <c r="G178" i="3"/>
  <c r="G176" i="3" s="1"/>
  <c r="F178" i="3"/>
  <c r="E178" i="3"/>
  <c r="D178" i="3" s="1"/>
  <c r="F136" i="3"/>
  <c r="V135" i="3"/>
  <c r="U135" i="3"/>
  <c r="T135" i="3"/>
  <c r="S135" i="3"/>
  <c r="R135" i="3"/>
  <c r="Q135" i="3"/>
  <c r="P135" i="3"/>
  <c r="O135" i="3"/>
  <c r="N135" i="3"/>
  <c r="M135" i="3"/>
  <c r="L135" i="3"/>
  <c r="K135" i="3"/>
  <c r="J135" i="3"/>
  <c r="I135" i="3"/>
  <c r="H135" i="3"/>
  <c r="G135" i="3"/>
  <c r="F135" i="3"/>
  <c r="E135" i="3" s="1"/>
  <c r="E54" i="3" s="1"/>
  <c r="F133" i="3"/>
  <c r="F132" i="3"/>
  <c r="F131" i="3"/>
  <c r="F130" i="3"/>
  <c r="F128" i="3" s="1"/>
  <c r="F129" i="3"/>
  <c r="V128" i="3"/>
  <c r="U128" i="3"/>
  <c r="T128" i="3"/>
  <c r="S128" i="3"/>
  <c r="R128" i="3"/>
  <c r="Q128" i="3"/>
  <c r="P128" i="3"/>
  <c r="O128" i="3"/>
  <c r="N128" i="3"/>
  <c r="M128" i="3"/>
  <c r="L128" i="3"/>
  <c r="K128" i="3"/>
  <c r="J128" i="3"/>
  <c r="I128" i="3"/>
  <c r="H128" i="3"/>
  <c r="G128" i="3"/>
  <c r="F126" i="3"/>
  <c r="F125" i="3"/>
  <c r="F124" i="3"/>
  <c r="F123" i="3"/>
  <c r="F122" i="3"/>
  <c r="F121" i="3"/>
  <c r="F120" i="3"/>
  <c r="F119" i="3"/>
  <c r="F118" i="3"/>
  <c r="F117" i="3"/>
  <c r="F116" i="3"/>
  <c r="F115" i="3"/>
  <c r="F114" i="3"/>
  <c r="F113" i="3"/>
  <c r="F112" i="3"/>
  <c r="F111" i="3"/>
  <c r="F110" i="3"/>
  <c r="F109" i="3"/>
  <c r="F108" i="3"/>
  <c r="F107" i="3"/>
  <c r="F106" i="3"/>
  <c r="F105" i="3"/>
  <c r="F104" i="3"/>
  <c r="F103" i="3"/>
  <c r="V102" i="3"/>
  <c r="U102" i="3"/>
  <c r="T102" i="3"/>
  <c r="S102" i="3"/>
  <c r="R102" i="3"/>
  <c r="Q102" i="3"/>
  <c r="P102" i="3"/>
  <c r="O102" i="3"/>
  <c r="N102" i="3"/>
  <c r="M102" i="3"/>
  <c r="L102" i="3"/>
  <c r="K102" i="3"/>
  <c r="J102" i="3"/>
  <c r="I102" i="3"/>
  <c r="H102" i="3"/>
  <c r="G102" i="3"/>
  <c r="F100" i="3"/>
  <c r="F99" i="3"/>
  <c r="F98" i="3"/>
  <c r="F97" i="3"/>
  <c r="F96" i="3"/>
  <c r="F95" i="3"/>
  <c r="V94" i="3"/>
  <c r="U94" i="3"/>
  <c r="T94" i="3"/>
  <c r="S94" i="3"/>
  <c r="R94" i="3"/>
  <c r="Q94" i="3"/>
  <c r="P94" i="3"/>
  <c r="O94" i="3"/>
  <c r="N94" i="3"/>
  <c r="M94" i="3"/>
  <c r="L94" i="3"/>
  <c r="K94" i="3"/>
  <c r="J94" i="3"/>
  <c r="I94" i="3"/>
  <c r="H94" i="3"/>
  <c r="G94" i="3"/>
  <c r="F92" i="3"/>
  <c r="F91" i="3"/>
  <c r="F90" i="3"/>
  <c r="F89" i="3"/>
  <c r="F88" i="3"/>
  <c r="F87" i="3"/>
  <c r="F86" i="3"/>
  <c r="F85" i="3"/>
  <c r="F84" i="3"/>
  <c r="V83" i="3"/>
  <c r="U83" i="3"/>
  <c r="T83" i="3"/>
  <c r="S83" i="3"/>
  <c r="R83" i="3"/>
  <c r="Q83" i="3"/>
  <c r="P83" i="3"/>
  <c r="O83" i="3"/>
  <c r="N83" i="3"/>
  <c r="M83" i="3"/>
  <c r="L83" i="3"/>
  <c r="K83" i="3"/>
  <c r="J83" i="3"/>
  <c r="I83" i="3"/>
  <c r="H83" i="3"/>
  <c r="G83" i="3"/>
  <c r="F81" i="3"/>
  <c r="F80" i="3"/>
  <c r="F79" i="3"/>
  <c r="F78" i="3"/>
  <c r="F77" i="3"/>
  <c r="F76" i="3"/>
  <c r="F75" i="3"/>
  <c r="F74" i="3"/>
  <c r="F73" i="3"/>
  <c r="F72" i="3"/>
  <c r="F71" i="3"/>
  <c r="F70" i="3"/>
  <c r="V69" i="3"/>
  <c r="U69" i="3"/>
  <c r="T69" i="3"/>
  <c r="S69" i="3"/>
  <c r="R69" i="3"/>
  <c r="R54" i="3" s="1"/>
  <c r="Q69" i="3"/>
  <c r="P69" i="3"/>
  <c r="O69" i="3"/>
  <c r="N69" i="3"/>
  <c r="M69" i="3"/>
  <c r="L69" i="3"/>
  <c r="K69" i="3"/>
  <c r="J69" i="3"/>
  <c r="I69" i="3"/>
  <c r="H69" i="3"/>
  <c r="G69" i="3"/>
  <c r="F69" i="3"/>
  <c r="F67" i="3"/>
  <c r="F66" i="3"/>
  <c r="F65" i="3"/>
  <c r="F64" i="3"/>
  <c r="F63" i="3"/>
  <c r="F62" i="3"/>
  <c r="V61" i="3"/>
  <c r="V54" i="3" s="1"/>
  <c r="U61" i="3"/>
  <c r="U54" i="3" s="1"/>
  <c r="T61" i="3"/>
  <c r="S61" i="3"/>
  <c r="R61" i="3"/>
  <c r="Q61" i="3"/>
  <c r="Q54" i="3" s="1"/>
  <c r="P61" i="3"/>
  <c r="O61" i="3"/>
  <c r="N61" i="3"/>
  <c r="M61" i="3"/>
  <c r="M54" i="3" s="1"/>
  <c r="L61" i="3"/>
  <c r="K61" i="3"/>
  <c r="J61" i="3"/>
  <c r="J54" i="3" s="1"/>
  <c r="I61" i="3"/>
  <c r="I54" i="3" s="1"/>
  <c r="H61" i="3"/>
  <c r="G61" i="3"/>
  <c r="F59" i="3"/>
  <c r="F58" i="3"/>
  <c r="F57" i="3"/>
  <c r="V56" i="3"/>
  <c r="U56" i="3"/>
  <c r="T56" i="3"/>
  <c r="S56" i="3"/>
  <c r="R56" i="3"/>
  <c r="Q56" i="3"/>
  <c r="P56" i="3"/>
  <c r="O56" i="3"/>
  <c r="N56" i="3"/>
  <c r="M56" i="3"/>
  <c r="L56" i="3"/>
  <c r="K56" i="3"/>
  <c r="J56" i="3"/>
  <c r="I56" i="3"/>
  <c r="H56" i="3"/>
  <c r="G56" i="3"/>
  <c r="N54" i="3"/>
  <c r="J36" i="3"/>
  <c r="J22" i="3"/>
  <c r="F12" i="3"/>
  <c r="F83" i="3" l="1"/>
  <c r="H54" i="3"/>
  <c r="L54" i="3"/>
  <c r="P54" i="3"/>
  <c r="T54" i="3"/>
  <c r="F102" i="3"/>
  <c r="D184" i="3"/>
  <c r="D223" i="3"/>
  <c r="F45" i="3"/>
  <c r="G54" i="3"/>
  <c r="K54" i="3"/>
  <c r="O54" i="3"/>
  <c r="S54" i="3"/>
  <c r="F61" i="3"/>
  <c r="F94" i="3"/>
  <c r="D252" i="3"/>
  <c r="J11" i="3"/>
  <c r="K11" i="3" s="1"/>
  <c r="F56" i="3"/>
  <c r="D176" i="3"/>
  <c r="F11" i="3"/>
  <c r="F38" i="3"/>
  <c r="E176" i="3"/>
  <c r="F176" i="3"/>
  <c r="F54" i="3" l="1"/>
  <c r="E11" i="3"/>
  <c r="G11" i="3"/>
  <c r="W10" i="3" s="1"/>
  <c r="R212" i="9" l="1"/>
  <c r="Q212" i="9"/>
  <c r="P212" i="9"/>
  <c r="O212" i="9"/>
  <c r="N212" i="9"/>
  <c r="M212" i="9"/>
  <c r="L212" i="9"/>
  <c r="K212" i="9"/>
  <c r="J212" i="9"/>
  <c r="I212" i="9"/>
  <c r="H212" i="9"/>
  <c r="F212" i="9"/>
  <c r="E212" i="9"/>
  <c r="R182" i="9"/>
  <c r="Q182" i="9"/>
  <c r="P182" i="9"/>
  <c r="O182" i="9"/>
  <c r="N182" i="9"/>
  <c r="M182" i="9"/>
  <c r="L182" i="9"/>
  <c r="K182" i="9"/>
  <c r="J182" i="9"/>
  <c r="I182" i="9"/>
  <c r="H182" i="9"/>
  <c r="F182" i="9"/>
  <c r="E182" i="9"/>
  <c r="R174" i="9"/>
  <c r="Q174" i="9"/>
  <c r="P174" i="9"/>
  <c r="O174" i="9"/>
  <c r="N174" i="9"/>
  <c r="M174" i="9"/>
  <c r="L174" i="9"/>
  <c r="K174" i="9"/>
  <c r="J174" i="9"/>
  <c r="I174" i="9"/>
  <c r="H174" i="9"/>
  <c r="F174" i="9"/>
  <c r="E174" i="9"/>
  <c r="R161" i="9"/>
  <c r="Q161" i="9"/>
  <c r="Q134" i="9" s="1"/>
  <c r="P161" i="9"/>
  <c r="O161" i="9"/>
  <c r="N161" i="9"/>
  <c r="M161" i="9"/>
  <c r="M134" i="9" s="1"/>
  <c r="L161" i="9"/>
  <c r="K161" i="9"/>
  <c r="J161" i="9"/>
  <c r="I161" i="9"/>
  <c r="I134" i="9" s="1"/>
  <c r="H161" i="9"/>
  <c r="F161" i="9"/>
  <c r="E161" i="9"/>
  <c r="R148" i="9"/>
  <c r="R134" i="9" s="1"/>
  <c r="Q148" i="9"/>
  <c r="P148" i="9"/>
  <c r="O148" i="9"/>
  <c r="N148" i="9"/>
  <c r="N134" i="9" s="1"/>
  <c r="M148" i="9"/>
  <c r="L148" i="9"/>
  <c r="K148" i="9"/>
  <c r="J148" i="9"/>
  <c r="J134" i="9" s="1"/>
  <c r="I148" i="9"/>
  <c r="H148" i="9"/>
  <c r="F148" i="9"/>
  <c r="E148" i="9"/>
  <c r="E134" i="9" s="1"/>
  <c r="R137" i="9"/>
  <c r="Q137" i="9"/>
  <c r="P137" i="9"/>
  <c r="O137" i="9"/>
  <c r="O134" i="9" s="1"/>
  <c r="N137" i="9"/>
  <c r="M137" i="9"/>
  <c r="L137" i="9"/>
  <c r="K137" i="9"/>
  <c r="K134" i="9" s="1"/>
  <c r="J137" i="9"/>
  <c r="I137" i="9"/>
  <c r="H137" i="9"/>
  <c r="F137" i="9"/>
  <c r="F134" i="9" s="1"/>
  <c r="E137" i="9"/>
  <c r="P134" i="9"/>
  <c r="L134" i="9"/>
  <c r="H134" i="9"/>
  <c r="G134" i="9"/>
  <c r="E122" i="9"/>
  <c r="E121" i="9"/>
  <c r="E119" i="9"/>
  <c r="E117" i="9"/>
  <c r="E116" i="9"/>
  <c r="T115" i="9"/>
  <c r="E113" i="9"/>
  <c r="E112" i="9"/>
  <c r="E111" i="9"/>
  <c r="E110" i="9"/>
  <c r="E109" i="9"/>
  <c r="E108" i="9"/>
  <c r="E107" i="9"/>
  <c r="E106" i="9"/>
  <c r="E105" i="9"/>
  <c r="E104" i="9"/>
  <c r="E103" i="9"/>
  <c r="E102" i="9"/>
  <c r="E101" i="9"/>
  <c r="E99" i="9"/>
  <c r="E98" i="9"/>
  <c r="E97" i="9"/>
  <c r="E96" i="9"/>
  <c r="E95" i="9"/>
  <c r="E94" i="9"/>
  <c r="T93" i="9"/>
  <c r="E93" i="9"/>
  <c r="E91" i="9"/>
  <c r="E90" i="9"/>
  <c r="E89" i="9"/>
  <c r="E88" i="9"/>
  <c r="E87" i="9"/>
  <c r="E86" i="9"/>
  <c r="T85" i="9"/>
  <c r="E85" i="9"/>
  <c r="E83" i="9"/>
  <c r="E82" i="9"/>
  <c r="E81" i="9"/>
  <c r="T80" i="9"/>
  <c r="E80" i="9" s="1"/>
  <c r="E78" i="9"/>
  <c r="E77" i="9"/>
  <c r="D75" i="9"/>
  <c r="L11" i="9"/>
  <c r="M11" i="9" s="1"/>
  <c r="J11" i="9"/>
  <c r="K11" i="9" s="1"/>
  <c r="H11" i="9"/>
  <c r="I11" i="9" s="1"/>
  <c r="F11" i="9"/>
  <c r="G11" i="9" s="1"/>
  <c r="D134" i="9" l="1"/>
  <c r="E11" i="9"/>
  <c r="F172" i="1" l="1"/>
  <c r="F171" i="1"/>
  <c r="F170" i="1"/>
  <c r="F169" i="1"/>
  <c r="F168" i="1"/>
  <c r="F167" i="1"/>
  <c r="F166" i="1"/>
  <c r="F165" i="1"/>
  <c r="F164" i="1"/>
  <c r="F163" i="1"/>
  <c r="F162" i="1"/>
  <c r="F161" i="1"/>
  <c r="F160" i="1"/>
  <c r="F159" i="1"/>
  <c r="F158" i="1"/>
  <c r="F157" i="1"/>
  <c r="F156" i="1"/>
  <c r="F155" i="1"/>
  <c r="F154" i="1"/>
  <c r="F153" i="1"/>
  <c r="F173" i="1"/>
  <c r="F148" i="1"/>
  <c r="F147" i="1"/>
  <c r="F143" i="1"/>
  <c r="F140" i="1"/>
  <c r="F137" i="1"/>
  <c r="F136" i="1"/>
  <c r="F135" i="1"/>
  <c r="F133" i="1"/>
  <c r="F132" i="1"/>
  <c r="F118" i="1"/>
  <c r="F122" i="1"/>
  <c r="F120" i="1"/>
  <c r="F119" i="1"/>
  <c r="F117" i="1"/>
  <c r="F115" i="1"/>
  <c r="F104" i="1"/>
  <c r="F103" i="1"/>
  <c r="F102" i="1"/>
  <c r="F101" i="1"/>
  <c r="O175" i="1"/>
  <c r="M175" i="1"/>
  <c r="L175" i="1"/>
  <c r="K175" i="1"/>
  <c r="J175" i="1"/>
  <c r="I175" i="1"/>
  <c r="H175" i="1"/>
  <c r="G175" i="1"/>
  <c r="F89" i="1"/>
  <c r="F88" i="1"/>
  <c r="F87" i="1"/>
  <c r="E81" i="1"/>
  <c r="F144" i="1"/>
  <c r="F142" i="1"/>
  <c r="F141" i="1"/>
  <c r="M146" i="1"/>
  <c r="M139" i="1"/>
  <c r="M126" i="1"/>
  <c r="M113" i="1"/>
  <c r="M106" i="1"/>
  <c r="M100" i="1"/>
  <c r="O106" i="1"/>
  <c r="O100" i="1"/>
  <c r="F100" i="1" l="1"/>
  <c r="M98" i="1"/>
  <c r="F185" i="1"/>
  <c r="F182" i="1"/>
  <c r="F176" i="1"/>
  <c r="F181" i="1"/>
  <c r="F180" i="1"/>
  <c r="F179" i="1"/>
  <c r="F178" i="1"/>
  <c r="F177" i="1"/>
  <c r="F124" i="1"/>
  <c r="F131" i="1"/>
  <c r="F128" i="1"/>
  <c r="F151" i="1"/>
  <c r="F152" i="1"/>
  <c r="F134" i="1"/>
  <c r="F121" i="1"/>
  <c r="F116" i="1"/>
  <c r="O113" i="1"/>
  <c r="O126" i="1"/>
  <c r="K126" i="1"/>
  <c r="O139" i="1"/>
  <c r="K139" i="1"/>
  <c r="O146" i="1"/>
  <c r="K146" i="1"/>
  <c r="F175" i="1" l="1"/>
  <c r="O98" i="1"/>
  <c r="E98" i="1"/>
  <c r="I86" i="1" l="1"/>
  <c r="I81" i="1" s="1"/>
  <c r="H86" i="1"/>
  <c r="H81" i="1" s="1"/>
  <c r="G86" i="1"/>
  <c r="F84" i="1"/>
  <c r="F83" i="1" s="1"/>
  <c r="G83" i="1"/>
  <c r="L106" i="1"/>
  <c r="K106" i="1"/>
  <c r="J106" i="1"/>
  <c r="I106" i="1"/>
  <c r="H106" i="1"/>
  <c r="G106" i="1"/>
  <c r="L100" i="1"/>
  <c r="K100" i="1"/>
  <c r="J100" i="1"/>
  <c r="I100" i="1"/>
  <c r="H100" i="1"/>
  <c r="G100" i="1"/>
  <c r="F111" i="1"/>
  <c r="F110" i="1"/>
  <c r="F109" i="1"/>
  <c r="F108" i="1"/>
  <c r="F150" i="1"/>
  <c r="F149" i="1"/>
  <c r="F130" i="1"/>
  <c r="F129" i="1"/>
  <c r="F123" i="1"/>
  <c r="F114" i="1"/>
  <c r="F127" i="1"/>
  <c r="L146" i="1"/>
  <c r="J146" i="1"/>
  <c r="L139" i="1"/>
  <c r="J139" i="1"/>
  <c r="L126" i="1"/>
  <c r="J126" i="1"/>
  <c r="L113" i="1"/>
  <c r="K113" i="1"/>
  <c r="J113" i="1"/>
  <c r="I113" i="1"/>
  <c r="G81" i="1" l="1"/>
  <c r="F146" i="1"/>
  <c r="F86" i="1"/>
  <c r="F81" i="1" s="1"/>
  <c r="F113" i="1"/>
  <c r="L98" i="1"/>
  <c r="J98" i="1"/>
  <c r="K98" i="1"/>
  <c r="F107" i="1" l="1"/>
  <c r="F106" i="1" s="1"/>
  <c r="L73" i="1"/>
  <c r="L18" i="1"/>
  <c r="L11" i="1" s="1"/>
  <c r="M11" i="1" s="1"/>
  <c r="G113" i="1" l="1"/>
  <c r="G139" i="1"/>
  <c r="I146" i="1"/>
  <c r="I139" i="1"/>
  <c r="I126" i="1"/>
  <c r="G146" i="1"/>
  <c r="H113" i="1"/>
  <c r="H126" i="1"/>
  <c r="H139" i="1"/>
  <c r="H146" i="1"/>
  <c r="I98" i="1" l="1"/>
  <c r="G126" i="1"/>
  <c r="H98" i="1" l="1"/>
  <c r="G98" i="1"/>
  <c r="H73" i="1"/>
  <c r="F309" i="1"/>
  <c r="D309" i="1" s="1"/>
  <c r="H301" i="1"/>
  <c r="G301" i="1"/>
  <c r="F301" i="1"/>
  <c r="E301" i="1"/>
  <c r="H272" i="1"/>
  <c r="G272" i="1"/>
  <c r="F272" i="1"/>
  <c r="E272" i="1"/>
  <c r="G265" i="1"/>
  <c r="G253" i="1"/>
  <c r="H24" i="1" s="1"/>
  <c r="E253" i="1"/>
  <c r="G233" i="1"/>
  <c r="E233" i="1"/>
  <c r="G227" i="1"/>
  <c r="E227" i="1"/>
  <c r="F126" i="1" l="1"/>
  <c r="F139" i="1"/>
  <c r="D301" i="1"/>
  <c r="D272" i="1"/>
  <c r="H265" i="1"/>
  <c r="H253" i="1"/>
  <c r="H227" i="1"/>
  <c r="H233" i="1"/>
  <c r="H240" i="1"/>
  <c r="G240" i="1"/>
  <c r="F98" i="1" l="1"/>
  <c r="G225" i="1"/>
  <c r="H225" i="1"/>
  <c r="F227" i="1"/>
  <c r="H11" i="1" l="1"/>
  <c r="I11" i="1" s="1"/>
  <c r="F13" i="1"/>
  <c r="D227" i="1"/>
  <c r="F265" i="1"/>
  <c r="F60" i="1" s="1"/>
  <c r="F253" i="1"/>
  <c r="D253" i="1" s="1"/>
  <c r="F240" i="1"/>
  <c r="F233" i="1"/>
  <c r="F225" i="1" l="1"/>
  <c r="F24" i="1"/>
  <c r="E265" i="1"/>
  <c r="J60" i="1" s="1"/>
  <c r="E240" i="1"/>
  <c r="D240" i="1" s="1"/>
  <c r="F11" i="1" l="1"/>
  <c r="J31" i="1"/>
  <c r="J11" i="1" s="1"/>
  <c r="E225" i="1"/>
  <c r="D233" i="1"/>
  <c r="E11" i="1" l="1"/>
  <c r="G11" i="1"/>
  <c r="K11" i="1"/>
  <c r="D2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Phil Minnaar</author>
  </authors>
  <commentList>
    <comment ref="U83" authorId="0" shapeId="0" xr:uid="{6422B860-1CD8-4E6D-AD42-1E27197FDECE}">
      <text>
        <r>
          <rPr>
            <sz val="9"/>
            <color indexed="81"/>
            <rFont val="Tahoma"/>
            <family val="2"/>
          </rPr>
          <t xml:space="preserve">We recommend that the IAASB also enhances and clarifies that there are other inherent risk factors by including the words “…, and other relevant factors” at the end of the inherent risk factors definition in paragraph 16(f) of ED-315. Paragraph A6 of ED-315 lists the other inherent risk factors.
</t>
        </r>
      </text>
    </comment>
    <comment ref="U90" authorId="0" shapeId="0" xr:uid="{45CAE5FB-5685-42CD-B7D1-F7C65FB6899E}">
      <text>
        <r>
          <rPr>
            <b/>
            <sz val="9"/>
            <color indexed="81"/>
            <rFont val="Tahoma"/>
            <family val="2"/>
          </rPr>
          <t>PwC:</t>
        </r>
        <r>
          <rPr>
            <sz val="9"/>
            <color indexed="81"/>
            <rFont val="Tahoma"/>
            <family val="2"/>
          </rPr>
          <t xml:space="preserve">
Concern with reference to 'characteristics of events and conditions' in the definition</t>
        </r>
      </text>
    </comment>
    <comment ref="T96" authorId="1" shapeId="0" xr:uid="{FD3025EE-4F6E-4588-8813-B32F18BD2835}">
      <text>
        <r>
          <rPr>
            <sz val="9"/>
            <color indexed="81"/>
            <rFont val="Tahoma"/>
            <family val="2"/>
          </rPr>
          <t>Susceptibility to management bias and susceptibility due to fraud should be separated</t>
        </r>
      </text>
    </comment>
    <comment ref="U99" authorId="0" shapeId="0" xr:uid="{53B27DA5-A578-42DB-94EE-B85F075F4B4B}">
      <text>
        <r>
          <rPr>
            <sz val="9"/>
            <color indexed="81"/>
            <rFont val="Tahoma"/>
            <family val="2"/>
          </rPr>
          <t xml:space="preserve">Furthermore, in the second sentence of the definition of inherent risk factors, the words “may be” need to be changed to “are” because the statement that such factors are qualitative or quantitative is a statement of fact (they can be one or the other or both, but not anything else). Otherwise, due to the use of the word “may”, that sentence would need to be moved to the application material. 
As a further observation, we would like to suggest that in paragraph A5 in the description of “uncertainty”, the terms “best available”, “comprehensive” and “to the extent available” be removed from the description of “uncertainty” or be changed, as superlatives ought to be avoided unless needed and the other words are too open-ended. 
We also note that paragraph A6 is written like a definition, rather than application material, which leads to lack of clarity as to whether auditors are required to consider these factors too. Either the word “may” needs to be inserted prior to “include” or the content of A6 needs to be moved to the definition. 
</t>
        </r>
      </text>
    </comment>
    <comment ref="U106" authorId="0" shapeId="0" xr:uid="{76BDB21E-FF9C-4FFB-B298-4DE011490BCF}">
      <text>
        <r>
          <rPr>
            <sz val="9"/>
            <color indexed="81"/>
            <rFont val="Tahoma"/>
            <family val="2"/>
          </rPr>
          <t xml:space="preserve">The standard should place more emphasis on highlighting that the mere fact of the presence of a factor in paragraph A.6 should not result in the direct conclusion that there is a "reasonable possibility" of material error (i.e. the mere fact that there is a high transaction volume of petty-cash refunding transactions, should not be a decisive factor in concluding that there is a "reasonable possibility" of material error). That is, it should be emphasized that the auditor must take into account the combination of the inherent risk factors to reach a conclusion that there is "a reasonable possibility" of material error, and that only the factors in paragraph A5 could lead individually to consider that an assertion has a "reasonable possibility" of material error.
</t>
        </r>
      </text>
    </comment>
    <comment ref="U111" authorId="0" shapeId="0" xr:uid="{0DD4D77C-09D4-4D74-88CF-4C991FDE7AB3}">
      <text>
        <r>
          <rPr>
            <sz val="9"/>
            <color indexed="81"/>
            <rFont val="Tahoma"/>
            <family val="2"/>
          </rPr>
          <t xml:space="preserve">There is, however, scope to further refine the definition of inherent risk factors so as to include the notion that the inherent risk factors may not necessarily be restricted to only the five main factors that have been identified; i.e. it may also include other risk factors such as those mentioned in paragraph A6. The following wording is suggested:
Inherent risk factors – Characteristics of events or conditions that affect susceptibility to misstatement of an assertion about a class of transactions, account balance or disclosure, before consideration of controls. Such factors may be qualitative or quantitative, and include complexity, subjectivity, change, uncertainty, or susceptibility to misstatement due to management bias or fraud and other risk factors as may be applicable in the circumstances.
</t>
        </r>
      </text>
    </comment>
    <comment ref="U112" authorId="0" shapeId="0" xr:uid="{B2107483-48DB-43EC-9F1B-E0F9201A4339}">
      <text>
        <r>
          <rPr>
            <sz val="9"/>
            <color indexed="81"/>
            <rFont val="Tahoma"/>
            <family val="2"/>
          </rPr>
          <t xml:space="preserve">SAICA believes that the definition of inherent risk factors should be further refined to include the notion that the inherent risk factors may not necessarily be restricted to only the five main factors that have been identified; i.e. it may also include other risk factors such as those mentioned in paragraph A6. The following wording is suggested:
Inherent risk factors – Characteristics of events or conditions that affect susceptibility to misstatement of an assertion about a class of transactions, account balance or disclosure, before consideration of controls. Such factors may be qualitative or quantitative, and include complexity, subjectivity, change, uncertainty, or susceptibility to misstatement due to management bias or fraud and other risk factors as may be applicable in the circumstances.
Another matter that should be clarified is the reference to “at assertion level” in the ISA. It is not clear whether, or in which instances this refers to each assertion for a COTABD or only to the relevant assertions for a SCOTABD. SAICA has the following view on this based on the wording in the extant ISA 315: The wording in the extant ISA seems to indicate that risks should be assessed for each assertion because if a specific assertion is not considered it will result in the auditor not considering all possible (material) misstatements that could relate to a COTABD. Applying this to ED-ISA 315, taking into account that the ED introduces the concepts of relevant assertions and SCOTABD, up to and including the point where the auditor determines SCOTABD the auditor is alert to how relevant information that informs his/her understanding as required by ED-ISA 315 may implicate or be related to any / all assertions about all COTABD. Once the auditor has determined the SCOTABD and their relevant assertions, “at assertion level” only relates to these (for example, inherent risk and control risk will only be assessed in relation to the relevant assertions for each SCOTABD).
SAICA believes that the wording in paragraph 48 should be further refined in addition to the comments made in the previous paragraph. I.e. to more clearly indicate that inherent risk is only assessed for risks of material misstatement with respect to relevant assertions.
</t>
        </r>
      </text>
    </comment>
    <comment ref="U113" authorId="0" shapeId="0" xr:uid="{3C4FBCC0-6885-4F13-A172-680E2ADF0DD8}">
      <text>
        <r>
          <rPr>
            <sz val="9"/>
            <color indexed="81"/>
            <rFont val="Tahoma"/>
            <family val="2"/>
          </rPr>
          <t xml:space="preserve">In order to assist practical application, it would be helpful to clarify under ‘Uncertainty’ in A5 that “best available” is relative to the audit i.e. the best available to the auditor.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 Minnaar</author>
  </authors>
  <commentList>
    <comment ref="K187" authorId="0" shapeId="0" xr:uid="{BDE83560-0A19-4360-B8C1-EACA71460BDC}">
      <text>
        <r>
          <rPr>
            <b/>
            <sz val="9"/>
            <color indexed="81"/>
            <rFont val="Tahoma"/>
            <charset val="1"/>
          </rPr>
          <t>Phil Minnaar:</t>
        </r>
        <r>
          <rPr>
            <sz val="9"/>
            <color indexed="81"/>
            <rFont val="Tahoma"/>
            <charset val="1"/>
          </rPr>
          <t xml:space="preserve">
Concerned with assertion that application controls could be automated (i.e. IAASA is saying application controls cannot be automated)</t>
        </r>
      </text>
    </comment>
    <comment ref="K198" authorId="0" shapeId="0" xr:uid="{56E1D0E8-224D-49AB-B4E8-45CEFCC2F55F}">
      <text>
        <r>
          <rPr>
            <b/>
            <sz val="9"/>
            <color indexed="81"/>
            <rFont val="Tahoma"/>
            <family val="2"/>
          </rPr>
          <t>Phil Minnaar:</t>
        </r>
        <r>
          <rPr>
            <sz val="9"/>
            <color indexed="81"/>
            <rFont val="Tahoma"/>
            <family val="2"/>
          </rPr>
          <t xml:space="preserve">
Define integrity of information, concern with general IT controls
</t>
        </r>
      </text>
    </comment>
    <comment ref="K199" authorId="0" shapeId="0" xr:uid="{987186AF-1558-4719-A4CD-61C9ECF0A664}">
      <text>
        <r>
          <rPr>
            <b/>
            <sz val="9"/>
            <color indexed="81"/>
            <rFont val="Tahoma"/>
            <family val="2"/>
          </rPr>
          <t>Phil Minnaar:</t>
        </r>
        <r>
          <rPr>
            <sz val="9"/>
            <color indexed="81"/>
            <rFont val="Tahoma"/>
            <family val="2"/>
          </rPr>
          <t xml:space="preserve">
Define integrity of information</t>
        </r>
      </text>
    </comment>
    <comment ref="K210" authorId="0" shapeId="0" xr:uid="{3CC6EE8B-3E41-479A-B6E0-27BA4671EC02}">
      <text>
        <r>
          <rPr>
            <b/>
            <sz val="9"/>
            <color indexed="81"/>
            <rFont val="Tahoma"/>
            <charset val="1"/>
          </rPr>
          <t>Phil Minnaar:</t>
        </r>
        <r>
          <rPr>
            <sz val="9"/>
            <color indexed="81"/>
            <rFont val="Tahoma"/>
            <charset val="1"/>
          </rPr>
          <t xml:space="preserve">
Define automated controls (to reduce confusion with automated controls)</t>
        </r>
      </text>
    </comment>
    <comment ref="K212" authorId="0" shapeId="0" xr:uid="{1B0E18B2-F0AC-4879-856F-5431DBD10161}">
      <text>
        <r>
          <rPr>
            <b/>
            <sz val="9"/>
            <color indexed="81"/>
            <rFont val="Tahoma"/>
            <charset val="1"/>
          </rPr>
          <t>Phil Minnaar:</t>
        </r>
        <r>
          <rPr>
            <sz val="9"/>
            <color indexed="81"/>
            <rFont val="Tahoma"/>
            <charset val="1"/>
          </rPr>
          <t xml:space="preserve">
Application controls appear to be definied as all controls, not just controls with an application. 
Provide an example of what is meant by (in def of application controls): 
“such controls may rely on information, or other controls that maintain the integrity of information, or may rely on the operation of other controls”</t>
        </r>
      </text>
    </comment>
    <comment ref="K214" authorId="0" shapeId="0" xr:uid="{8EF2ABD1-5128-4332-A56F-ED78FD0EC56B}">
      <text>
        <r>
          <rPr>
            <b/>
            <sz val="9"/>
            <color indexed="81"/>
            <rFont val="Tahoma"/>
            <charset val="1"/>
          </rPr>
          <t>Phil Minnaar:</t>
        </r>
        <r>
          <rPr>
            <sz val="9"/>
            <color indexed="81"/>
            <rFont val="Tahoma"/>
            <charset val="1"/>
          </rPr>
          <t xml:space="preserve">
Define "information system" to help distinguish this concept from the definition of IT environment</t>
        </r>
      </text>
    </comment>
    <comment ref="K217" authorId="0" shapeId="0" xr:uid="{8E636B99-E267-47CB-89F7-F26C4176DF14}">
      <text>
        <r>
          <rPr>
            <b/>
            <sz val="9"/>
            <color indexed="81"/>
            <rFont val="Tahoma"/>
            <charset val="1"/>
          </rPr>
          <t>Phil Minnaar:</t>
        </r>
        <r>
          <rPr>
            <sz val="9"/>
            <color indexed="81"/>
            <rFont val="Tahoma"/>
            <charset val="1"/>
          </rPr>
          <t xml:space="preserve">
1. The definition of application controls should say 'detective and corrective' rather than only 'detective' 
2. The definition of IT environment could be modernized </t>
        </r>
      </text>
    </comment>
    <comment ref="K218" authorId="0" shapeId="0" xr:uid="{E191722C-FD20-457C-A6CD-B9EDB7B3824B}">
      <text>
        <r>
          <rPr>
            <b/>
            <sz val="9"/>
            <color indexed="81"/>
            <rFont val="Tahoma"/>
            <charset val="1"/>
          </rPr>
          <t>Phil Minnaar:</t>
        </r>
        <r>
          <rPr>
            <sz val="9"/>
            <color indexed="81"/>
            <rFont val="Tahoma"/>
            <charset val="1"/>
          </rPr>
          <t xml:space="preserve">
The definition of General IT controls could explicitly state that these controls are indirect in nature, as confirmed by para. A197</t>
        </r>
      </text>
    </comment>
    <comment ref="K220" authorId="0" shapeId="0" xr:uid="{C7459183-5EB3-461D-8917-18E743305462}">
      <text>
        <r>
          <rPr>
            <b/>
            <sz val="9"/>
            <color indexed="81"/>
            <rFont val="Tahoma"/>
            <charset val="1"/>
          </rPr>
          <t>Phil Minnaar:</t>
        </r>
        <r>
          <rPr>
            <sz val="9"/>
            <color indexed="81"/>
            <rFont val="Tahoma"/>
            <charset val="1"/>
          </rPr>
          <t xml:space="preserve">
It may be confusing to use the term application controls also for controls that are manual (with no automated component) - maybe use process level controls</t>
        </r>
      </text>
    </comment>
  </commentList>
</comments>
</file>

<file path=xl/sharedStrings.xml><?xml version="1.0" encoding="utf-8"?>
<sst xmlns="http://schemas.openxmlformats.org/spreadsheetml/2006/main" count="1781" uniqueCount="507">
  <si>
    <t>Individuals and Others</t>
  </si>
  <si>
    <t>02. CEAOB</t>
  </si>
  <si>
    <t>04. IAASA</t>
  </si>
  <si>
    <t>06. IFIAR</t>
  </si>
  <si>
    <t>01. Basel</t>
  </si>
  <si>
    <t>03. CPAB</t>
  </si>
  <si>
    <t>05. IAIS</t>
  </si>
  <si>
    <t xml:space="preserve"> </t>
  </si>
  <si>
    <t>TOTALS</t>
  </si>
  <si>
    <t>Member bodies and Other Prof Org</t>
  </si>
  <si>
    <t>Public sector (6)</t>
  </si>
  <si>
    <t>Accounting firms (11)</t>
  </si>
  <si>
    <t>Respondent group</t>
  </si>
  <si>
    <t>Count</t>
  </si>
  <si>
    <t>%</t>
  </si>
  <si>
    <t>Totals</t>
  </si>
  <si>
    <t>Accounting Firms</t>
  </si>
  <si>
    <t>National Auditing Standard Setters</t>
  </si>
  <si>
    <t>Public Sector</t>
  </si>
  <si>
    <t>Member Bodies / Prof Org</t>
  </si>
  <si>
    <t>Regulators and Oversight Authorities</t>
  </si>
  <si>
    <t>No specific response</t>
  </si>
  <si>
    <t xml:space="preserve">Monitoring Group </t>
  </si>
  <si>
    <t>07. IOSCO</t>
  </si>
  <si>
    <t>08. IRBA</t>
  </si>
  <si>
    <t>09. UK FRC</t>
  </si>
  <si>
    <t>Support with reservations</t>
  </si>
  <si>
    <t>Reg &amp; Over Auth</t>
  </si>
  <si>
    <t>How does D&amp;I help with identifying and assessing risk at the assertion level</t>
  </si>
  <si>
    <t>More guidance on 'relevant to the audit' in terms of GITCs</t>
  </si>
  <si>
    <t xml:space="preserve">More guidance on D&amp;I for journal entries / always relevant? </t>
  </si>
  <si>
    <t>Do not support</t>
  </si>
  <si>
    <t>Support</t>
  </si>
  <si>
    <t>10. AASB of India</t>
  </si>
  <si>
    <t>11. AuAASB</t>
  </si>
  <si>
    <t>12. Canadian AASB</t>
  </si>
  <si>
    <t>13. CNCC-CSOES</t>
  </si>
  <si>
    <t>14. Hong Kong Institute of CPAs</t>
  </si>
  <si>
    <t>15. IDW</t>
  </si>
  <si>
    <t>16. JICPA</t>
  </si>
  <si>
    <t>17. Malaysian Institute of Accountants</t>
  </si>
  <si>
    <t>18. NBA</t>
  </si>
  <si>
    <t>19. National Board of Accountants Tanzania</t>
  </si>
  <si>
    <t>22. BDO Intermational</t>
  </si>
  <si>
    <t>23. Baker Tilly</t>
  </si>
  <si>
    <t>24. Crowe International</t>
  </si>
  <si>
    <t>25. Deloitte</t>
  </si>
  <si>
    <t>26. EY</t>
  </si>
  <si>
    <t>27. GT</t>
  </si>
  <si>
    <t>28. KPMG</t>
  </si>
  <si>
    <t>29. MNP LLP</t>
  </si>
  <si>
    <t>30. PwC</t>
  </si>
  <si>
    <t>31. RSM International</t>
  </si>
  <si>
    <t>32. AG of Alberta</t>
  </si>
  <si>
    <t>33. AG of Canada</t>
  </si>
  <si>
    <t>34. AG Montreal</t>
  </si>
  <si>
    <t>35. US Government Accountability Office</t>
  </si>
  <si>
    <t>36. Swedish National Audit Office</t>
  </si>
  <si>
    <t>37. Wales Audit Office</t>
  </si>
  <si>
    <t>38. ACCA CAANZ</t>
  </si>
  <si>
    <t>39. Accountancy Europe</t>
  </si>
  <si>
    <t>40. AICPA</t>
  </si>
  <si>
    <t xml:space="preserve">41. Center for Audit Quality </t>
  </si>
  <si>
    <t>42. CIPFA</t>
  </si>
  <si>
    <t>43. CPA Australia</t>
  </si>
  <si>
    <t>44. EFAA</t>
  </si>
  <si>
    <t xml:space="preserve">45. Finnish Association </t>
  </si>
  <si>
    <t>46. Fed of Prof Council</t>
  </si>
  <si>
    <t xml:space="preserve">47. FSR Danske Rivisorer </t>
  </si>
  <si>
    <t>48. IAA</t>
  </si>
  <si>
    <t>49. IBRANCO</t>
  </si>
  <si>
    <t xml:space="preserve">50. Belgian Institute </t>
  </si>
  <si>
    <t>51. ICAEW</t>
  </si>
  <si>
    <t>56. Institute of Internal Auditors</t>
  </si>
  <si>
    <t xml:space="preserve">57. Institute of Public Accountants </t>
  </si>
  <si>
    <t>59. Malaysian Institute of CPAs</t>
  </si>
  <si>
    <t>60. New York State Society of CPAs</t>
  </si>
  <si>
    <t>61. PAFA</t>
  </si>
  <si>
    <t>62. SAICA</t>
  </si>
  <si>
    <t>63. SMPC</t>
  </si>
  <si>
    <t>64. Wirtschaftsprufer</t>
  </si>
  <si>
    <t xml:space="preserve">66. FocusRoi Inc </t>
  </si>
  <si>
    <t>67. Lynessa Dias</t>
  </si>
  <si>
    <t>68. Miguel Cortina</t>
  </si>
  <si>
    <t>69. Dr R Wittsiepe</t>
  </si>
  <si>
    <t>70. S Dianne Azoor Hughes</t>
  </si>
  <si>
    <t>72. AAA</t>
  </si>
  <si>
    <t>71. UNSW Research Network</t>
  </si>
  <si>
    <t>20. NZ Auditing and Assurance STD Board</t>
  </si>
  <si>
    <t>53. Institute of Chartered Acc of Pakistan</t>
  </si>
  <si>
    <t>54. Institute of Chartered Acc of Scotland</t>
  </si>
  <si>
    <t>55. Institute of Chartered Acc of Zimbabwe</t>
  </si>
  <si>
    <t>58. Institute of Singapore Chartered Acc</t>
  </si>
  <si>
    <t>52. Institute of Chartered Acc Ghana</t>
  </si>
  <si>
    <t>Academics</t>
  </si>
  <si>
    <t>Respondents</t>
  </si>
  <si>
    <t xml:space="preserve">National Standard Setters </t>
  </si>
  <si>
    <t>Number of suggestions / comments</t>
  </si>
  <si>
    <t>21. Altaf Noor Ali Chartered Acc</t>
  </si>
  <si>
    <t>19. National Board Tanzania</t>
  </si>
  <si>
    <t>35. US Government Acc Office</t>
  </si>
  <si>
    <t>Member bodies &amp; Other Prof Org</t>
  </si>
  <si>
    <t>53. Institute of Acc of Pakistan</t>
  </si>
  <si>
    <t>54. Institute of Acc of Scotland</t>
  </si>
  <si>
    <t>58. Institute of Singapore Acc</t>
  </si>
  <si>
    <t xml:space="preserve"> - IAIS</t>
  </si>
  <si>
    <t xml:space="preserve"> - CPAB</t>
  </si>
  <si>
    <t xml:space="preserve"> - Baker Tilly</t>
  </si>
  <si>
    <t xml:space="preserve"> - Malaysian Institute of Accountants</t>
  </si>
  <si>
    <t xml:space="preserve"> - IAA </t>
  </si>
  <si>
    <t xml:space="preserve"> - Institute Ghana</t>
  </si>
  <si>
    <t xml:space="preserve"> - Institute Zimbabwe</t>
  </si>
  <si>
    <t xml:space="preserve"> - IIA</t>
  </si>
  <si>
    <t xml:space="preserve"> - NY State Society</t>
  </si>
  <si>
    <t xml:space="preserve"> - Wirtschhaftsprufer</t>
  </si>
  <si>
    <t xml:space="preserve"> - AG Montreal</t>
  </si>
  <si>
    <t xml:space="preserve"> - Wales Audit Office</t>
  </si>
  <si>
    <t xml:space="preserve"> - Chartered Accountants Academy (Zim)</t>
  </si>
  <si>
    <t xml:space="preserve"> - Miguel Cortina</t>
  </si>
  <si>
    <t xml:space="preserve"> - Dr R Wittsiepe</t>
  </si>
  <si>
    <t xml:space="preserve"> - S Dianne Azoor Hughes</t>
  </si>
  <si>
    <t xml:space="preserve"> - UNSW Research Network</t>
  </si>
  <si>
    <t>Monitoring Group</t>
  </si>
  <si>
    <t xml:space="preserve">29. MNP </t>
  </si>
  <si>
    <t>01. BASEL</t>
  </si>
  <si>
    <t xml:space="preserve">Accounting firms </t>
  </si>
  <si>
    <t>Further Considerations / Concerns</t>
  </si>
  <si>
    <t>65. Chartered Acc Academy (Zim)</t>
  </si>
  <si>
    <t>20. NZ Auditing and Ass STD Board</t>
  </si>
  <si>
    <t xml:space="preserve">23. Baker Tilly </t>
  </si>
  <si>
    <t>52. Institute of Acc of Ghana</t>
  </si>
  <si>
    <t xml:space="preserve">60. New York State Society </t>
  </si>
  <si>
    <t>Number of respondents with further considerations</t>
  </si>
  <si>
    <t xml:space="preserve"> - Basel</t>
  </si>
  <si>
    <t xml:space="preserve"> - UK FRC</t>
  </si>
  <si>
    <t xml:space="preserve"> - Altaf Noor Ali Accountants</t>
  </si>
  <si>
    <t xml:space="preserve"> - Crowe</t>
  </si>
  <si>
    <t xml:space="preserve"> - National Board Tanzania</t>
  </si>
  <si>
    <t xml:space="preserve"> - AICPA</t>
  </si>
  <si>
    <t xml:space="preserve"> - Malaysian CPA</t>
  </si>
  <si>
    <t xml:space="preserve"> - IBR-IRE</t>
  </si>
  <si>
    <t xml:space="preserve"> - US Government Office</t>
  </si>
  <si>
    <t xml:space="preserve">Reasons given </t>
  </si>
  <si>
    <t>17. MIA</t>
  </si>
  <si>
    <t>47. FSR Danske</t>
  </si>
  <si>
    <t xml:space="preserve"> - KPMG</t>
  </si>
  <si>
    <t xml:space="preserve"> - Center for Audit Quality</t>
  </si>
  <si>
    <t>National Standard Setters</t>
  </si>
  <si>
    <t>Change to the flowcharts</t>
  </si>
  <si>
    <t>Interaction between risk at FS and assertion level</t>
  </si>
  <si>
    <t>Clarifications to AM</t>
  </si>
  <si>
    <t>Call for more guidance / more examples in AM</t>
  </si>
  <si>
    <t>Unclear as to how to 'determine the degree to which'  FS level risk affect RoMM at the assertion level</t>
  </si>
  <si>
    <t>47. FSR Danske Revisorer</t>
  </si>
  <si>
    <t>14. Hong Kong Institute CPAs</t>
  </si>
  <si>
    <t>Do not support FS level guidance</t>
  </si>
  <si>
    <t>Abbreviations</t>
  </si>
  <si>
    <t>AM: Application material</t>
  </si>
  <si>
    <t xml:space="preserve"> - IFIAR</t>
  </si>
  <si>
    <t xml:space="preserve"> - IOSCO</t>
  </si>
  <si>
    <t xml:space="preserve"> - CEAOB</t>
  </si>
  <si>
    <t xml:space="preserve"> - IAASA</t>
  </si>
  <si>
    <t xml:space="preserve"> - IRBA</t>
  </si>
  <si>
    <t xml:space="preserve"> - AASB of India</t>
  </si>
  <si>
    <t xml:space="preserve"> - ACCA CAANZ</t>
  </si>
  <si>
    <t xml:space="preserve"> - EFAA</t>
  </si>
  <si>
    <t xml:space="preserve"> - Finnish Association </t>
  </si>
  <si>
    <t xml:space="preserve"> - IPA</t>
  </si>
  <si>
    <t xml:space="preserve"> - AG Canada</t>
  </si>
  <si>
    <t xml:space="preserve"> - Lynessa Dias</t>
  </si>
  <si>
    <r>
      <t>ED</t>
    </r>
    <r>
      <rPr>
        <b/>
        <sz val="12"/>
        <color theme="1"/>
        <rFont val="Calibri"/>
        <family val="2"/>
      </rPr>
      <t>−</t>
    </r>
    <r>
      <rPr>
        <b/>
        <sz val="12"/>
        <color theme="1"/>
        <rFont val="Arial"/>
        <family val="2"/>
      </rPr>
      <t xml:space="preserve">315: Analysis of Comments in Relation to 'Professional Skepticism' </t>
    </r>
  </si>
  <si>
    <t>Responses to question 4 of ED-315 Explanatory Memorandum:</t>
  </si>
  <si>
    <t>Agreed to question 4</t>
  </si>
  <si>
    <t>Agreed  to question 4, subject to further considerations / concerns</t>
  </si>
  <si>
    <t xml:space="preserve">Agreed to Question 4,          but with Further Considerations / Concerns </t>
  </si>
  <si>
    <t>Recognising the need for the auditor to exercise PS</t>
  </si>
  <si>
    <r>
      <t xml:space="preserve">Call for the </t>
    </r>
    <r>
      <rPr>
        <b/>
        <sz val="8"/>
        <color theme="1"/>
        <rFont val="Arial"/>
        <family val="2"/>
      </rPr>
      <t>requirements</t>
    </r>
    <r>
      <rPr>
        <sz val="8"/>
        <color theme="1"/>
        <rFont val="Arial"/>
        <family val="2"/>
      </rPr>
      <t xml:space="preserve"> to specifically include (or give more prominence): </t>
    </r>
  </si>
  <si>
    <t xml:space="preserve"> - Canadian AASB</t>
  </si>
  <si>
    <t xml:space="preserve">Do not support                           the proposals in relation to procfessional skepticism </t>
  </si>
  <si>
    <t>Other comments</t>
  </si>
  <si>
    <t>Complexity of the standard may impair exercise of PS</t>
  </si>
  <si>
    <t xml:space="preserve"> - NBA</t>
  </si>
  <si>
    <t xml:space="preserve"> - BDO</t>
  </si>
  <si>
    <t xml:space="preserve"> - Deloitte</t>
  </si>
  <si>
    <t>RAP: Risk assessment procedures</t>
  </si>
  <si>
    <t xml:space="preserve">PS: Professional skepticism </t>
  </si>
  <si>
    <t xml:space="preserve"> - Sweden National Office </t>
  </si>
  <si>
    <t xml:space="preserve"> - CIPFA</t>
  </si>
  <si>
    <t xml:space="preserve"> - CPA Australia</t>
  </si>
  <si>
    <t xml:space="preserve">Not clear what or when PS is required, other than considering contradictory information. </t>
  </si>
  <si>
    <t xml:space="preserve"> - Fed of Prof Council of Eco Sciences (Arg)</t>
  </si>
  <si>
    <t>48. IAAA</t>
  </si>
  <si>
    <t>ED-315 should include more examples on PS</t>
  </si>
  <si>
    <t xml:space="preserve"> - IBRANCO</t>
  </si>
  <si>
    <t xml:space="preserve"> - FSR Danske</t>
  </si>
  <si>
    <t xml:space="preserve"> - Institute Pakistan</t>
  </si>
  <si>
    <t xml:space="preserve"> - Institute Singapore</t>
  </si>
  <si>
    <t xml:space="preserve"> - SAICA</t>
  </si>
  <si>
    <t xml:space="preserve">64. Wirtshaftsprufer </t>
  </si>
  <si>
    <t>Character / behavior, education of auditors weigh more than audit standards in exercising PS (IAASB to manage expectations of STD)</t>
  </si>
  <si>
    <t>Analysis of those respondents that do NOT agree that the proposals support the exercise of professional skepticicm</t>
  </si>
  <si>
    <t xml:space="preserve">PS is incorprated in all audits or the whole audit process. Why focus on risk assessment process? </t>
  </si>
  <si>
    <t>Although ED requires consideration of  'contradictory info',  auditors should also critically assess &amp; challenge info from management</t>
  </si>
  <si>
    <t>Explcit requirement to document the excercise of PS (para. 52)</t>
  </si>
  <si>
    <r>
      <t xml:space="preserve">Call for stronger emphasis on the importantce of PS </t>
    </r>
    <r>
      <rPr>
        <b/>
        <sz val="8"/>
        <color theme="1"/>
        <rFont val="Arial"/>
        <family val="2"/>
      </rPr>
      <t>throughout</t>
    </r>
    <r>
      <rPr>
        <sz val="8"/>
        <color theme="1"/>
        <rFont val="Arial"/>
        <family val="2"/>
      </rPr>
      <t xml:space="preserve"> the standard</t>
    </r>
  </si>
  <si>
    <t xml:space="preserve">Propose further editorial / clarifications or enhancements to AM in relation to professional skepticism  </t>
  </si>
  <si>
    <r>
      <t>ED</t>
    </r>
    <r>
      <rPr>
        <b/>
        <sz val="12"/>
        <color theme="1"/>
        <rFont val="Calibri"/>
        <family val="2"/>
      </rPr>
      <t>−</t>
    </r>
    <r>
      <rPr>
        <b/>
        <sz val="12"/>
        <color theme="1"/>
        <rFont val="Arial"/>
        <family val="2"/>
      </rPr>
      <t>315: Analysis of Comments in Relation to 'Inherent Risk Factors'</t>
    </r>
  </si>
  <si>
    <t>Responses to question 6(b) of ED-315 Explanatory Memorandum:</t>
  </si>
  <si>
    <t>Do you support the introduction of the concepts and definitions of ‘inherent risk factors’ to help identify risks of material misstatement and assess inherent risk? Is there sufficient guidance to explain how these risk factors are used in the auditor’s risk assessment process?</t>
  </si>
  <si>
    <t>Agreement to     question 6(b)</t>
  </si>
  <si>
    <t>Agreement to question 6(b), subject to some concerns or recommendations</t>
  </si>
  <si>
    <t>No specific response               to the question</t>
  </si>
  <si>
    <t>Do not support IRF</t>
  </si>
  <si>
    <t xml:space="preserve"> - MNP LLP</t>
  </si>
  <si>
    <t xml:space="preserve"> - AASB of ICAI</t>
  </si>
  <si>
    <t xml:space="preserve"> - CNCC-CSOES</t>
  </si>
  <si>
    <t xml:space="preserve"> - Hong Kong Institute of CPAs</t>
  </si>
  <si>
    <t xml:space="preserve"> - National Board of Accountants Tanzania</t>
  </si>
  <si>
    <t xml:space="preserve"> - Accountancy Europe</t>
  </si>
  <si>
    <t xml:space="preserve"> - Finnish Association of Authorised Public Accountants</t>
  </si>
  <si>
    <t xml:space="preserve"> - IAA</t>
  </si>
  <si>
    <t xml:space="preserve"> - Belgian Institute</t>
  </si>
  <si>
    <t xml:space="preserve"> - Institute of chartered acc Ghana</t>
  </si>
  <si>
    <t xml:space="preserve"> - Institute of chartered acc Pakistan</t>
  </si>
  <si>
    <t xml:space="preserve"> - Institute of chartered acc Scotland</t>
  </si>
  <si>
    <t xml:space="preserve"> - Institute of chartered acc Zimbabwe</t>
  </si>
  <si>
    <t xml:space="preserve"> - Institute of Internal Auditors</t>
  </si>
  <si>
    <t xml:space="preserve"> - Institute of Singapore Chartered acc</t>
  </si>
  <si>
    <t xml:space="preserve"> - Malaysian Institute of CPAs</t>
  </si>
  <si>
    <t xml:space="preserve"> - Wirtschaftsprufer</t>
  </si>
  <si>
    <t xml:space="preserve"> - US Government Accountability Office</t>
  </si>
  <si>
    <t xml:space="preserve"> - FocusRoi Inc </t>
  </si>
  <si>
    <r>
      <t xml:space="preserve">Do not support: </t>
    </r>
    <r>
      <rPr>
        <b/>
        <sz val="10"/>
        <color rgb="FFFF0000"/>
        <rFont val="Arial"/>
        <family val="2"/>
      </rPr>
      <t>1</t>
    </r>
    <r>
      <rPr>
        <b/>
        <sz val="10"/>
        <color theme="1"/>
        <rFont val="Arial"/>
        <family val="2"/>
      </rPr>
      <t xml:space="preserve"> respondent </t>
    </r>
  </si>
  <si>
    <t>1. AASB of ICAI</t>
  </si>
  <si>
    <t>Extracts of response:</t>
  </si>
  <si>
    <t>Inherent risk is understood as a risk inherent in class of transactions, account balances or disclosures that could lead to a material misstatement in financial statements. Classifying the inherent risk based on the degree or any magnitude would not lead to more clarity in risk assessment procedures or assessment of inherent risk.</t>
  </si>
  <si>
    <t>Nature of concerns or recommendations:</t>
  </si>
  <si>
    <t>Number of respondents</t>
  </si>
  <si>
    <t>Number of issues raised</t>
  </si>
  <si>
    <t>Concept is not prominent in requirements / include IRF as requirement</t>
  </si>
  <si>
    <t>Concern about:</t>
  </si>
  <si>
    <t xml:space="preserve">Not sufficient clarity on: </t>
  </si>
  <si>
    <t>Other                 comments</t>
  </si>
  <si>
    <t>Editorial suggestions or concerns in relation to definition of IRFs</t>
  </si>
  <si>
    <t>Including management bias &amp; fraud as IRF</t>
  </si>
  <si>
    <t>Overlap of IRFs</t>
  </si>
  <si>
    <t>Reference to 'quantitative' (i.e. all material items = RoMM?)</t>
  </si>
  <si>
    <t>How to apply IRFs (inluding the meaning of 'take into account') - examples?</t>
  </si>
  <si>
    <t>Documentation requirements</t>
  </si>
  <si>
    <t>Integration or interaction of fraud risk factors of ISA 240 into IRFs</t>
  </si>
  <si>
    <t>Regulators and Oversight Auth.</t>
  </si>
  <si>
    <t xml:space="preserve"> - GT</t>
  </si>
  <si>
    <t xml:space="preserve"> - EY</t>
  </si>
  <si>
    <t xml:space="preserve"> - PwC</t>
  </si>
  <si>
    <t xml:space="preserve"> - RSM</t>
  </si>
  <si>
    <t>National Auditing Std Setters</t>
  </si>
  <si>
    <t xml:space="preserve"> - AuAASB</t>
  </si>
  <si>
    <t xml:space="preserve"> - JICPA</t>
  </si>
  <si>
    <t xml:space="preserve"> - NZ AASB</t>
  </si>
  <si>
    <t xml:space="preserve"> - IDW</t>
  </si>
  <si>
    <t xml:space="preserve"> - ACCA-CAANZ</t>
  </si>
  <si>
    <t xml:space="preserve"> - Center for Audit Quality </t>
  </si>
  <si>
    <t xml:space="preserve"> - Fed of Prof Council of Eco Sciences</t>
  </si>
  <si>
    <t xml:space="preserve"> - ICAEW</t>
  </si>
  <si>
    <t xml:space="preserve"> - New York State Society</t>
  </si>
  <si>
    <t xml:space="preserve"> - PAFA</t>
  </si>
  <si>
    <t xml:space="preserve"> - SMPC</t>
  </si>
  <si>
    <t xml:space="preserve"> - AG of Alberta</t>
  </si>
  <si>
    <t xml:space="preserve"> - Swedish National Audit Office</t>
  </si>
  <si>
    <t xml:space="preserve"> - AAA</t>
  </si>
  <si>
    <t>Total respondents</t>
  </si>
  <si>
    <t>No specific  comment</t>
  </si>
  <si>
    <t>Include as requirement</t>
  </si>
  <si>
    <t>Expand definition</t>
  </si>
  <si>
    <t>Concerns with characteristics of events or conditions</t>
  </si>
  <si>
    <t>Concern about  reference to 'quantitative'</t>
  </si>
  <si>
    <t>Not sufficient clarity on how to apply IRFs</t>
  </si>
  <si>
    <t>Documentation</t>
  </si>
  <si>
    <t>Overlap</t>
  </si>
  <si>
    <t>Interaction of fraud risk factors (ISA 240) and the ISA 315 / IRFs</t>
  </si>
  <si>
    <t>Management bias &amp; fraud should not be IRF</t>
  </si>
  <si>
    <t>Editorial changes</t>
  </si>
  <si>
    <t>Regulator and Oversight Authorities</t>
  </si>
  <si>
    <t>National Standard Setters (11)</t>
  </si>
  <si>
    <t>21. Altaf Noor Ali Chartered Accountants</t>
  </si>
  <si>
    <t>45. Finnish Association of Authorised Public Acc</t>
  </si>
  <si>
    <t>46. Fed of Prof Council of Economic Sciences</t>
  </si>
  <si>
    <t>47. FSR Danske Rivisorer (Denmark)</t>
  </si>
  <si>
    <t>50. Belgian Institute</t>
  </si>
  <si>
    <t>52. Institute of Chartered Accountants Ghana</t>
  </si>
  <si>
    <t>53. Institute of Chartered Accountants of Pakistan</t>
  </si>
  <si>
    <t>54. Institute of Chartered Accountants of Scotland</t>
  </si>
  <si>
    <t>55. Institute of Chartered Accountants of Zimbabwe</t>
  </si>
  <si>
    <t>58. Institute of Singapore Chartered Accountants</t>
  </si>
  <si>
    <t>65. Chartered Accountants Academy (Zim)</t>
  </si>
  <si>
    <t>Academices</t>
  </si>
  <si>
    <t xml:space="preserve">72. AAA </t>
  </si>
  <si>
    <r>
      <t>ED</t>
    </r>
    <r>
      <rPr>
        <b/>
        <sz val="12"/>
        <color theme="1"/>
        <rFont val="Calibri"/>
        <family val="2"/>
      </rPr>
      <t>−</t>
    </r>
    <r>
      <rPr>
        <b/>
        <sz val="12"/>
        <color theme="1"/>
        <rFont val="Arial"/>
        <family val="2"/>
      </rPr>
      <t>315: Analysis of Comments in Relation to IT</t>
    </r>
  </si>
  <si>
    <t>Responses to question 5(c) of ED-315 Explanatory Memorandum:</t>
  </si>
  <si>
    <t>Do you support the introduction of the new IT-related concepts and definitions? Are the enhanced requirements and application material related to the auditor’s understanding of the IT environment, the identification of the risks arising from IT and the identification of general IT controls sufficient to support the auditor’s consideration of the effects of the entity’s use of IT on the identification and assessment of the risks of material misstatement?</t>
  </si>
  <si>
    <t xml:space="preserve">Agreed to question 5(c) </t>
  </si>
  <si>
    <t>Agreed  to question 5(c), subject to further considerations / concerns</t>
  </si>
  <si>
    <t>No specific response to question 5(c)</t>
  </si>
  <si>
    <t xml:space="preserve">    Note: Table contains hidden rows</t>
  </si>
  <si>
    <t xml:space="preserve"> - Fed of Prof Council Argentina</t>
  </si>
  <si>
    <t xml:space="preserve"> - FocusRoi</t>
  </si>
  <si>
    <t>Analysis of those respondents that agree to question 5(c), subject to further considerations:</t>
  </si>
  <si>
    <t xml:space="preserve">Agreed to Question 5(c),      but with Further Considerations / Concerns </t>
  </si>
  <si>
    <t xml:space="preserve">Call for more guidance / clarification of: </t>
  </si>
  <si>
    <t>Definitions</t>
  </si>
  <si>
    <t>Less complex entitiies</t>
  </si>
  <si>
    <t>Terminology used not consistent (e.g. automated-, application- and automated app controls)</t>
  </si>
  <si>
    <t>Too much volume / detail - simplify or move to AM / appendix</t>
  </si>
  <si>
    <t>Enhance standard with emerging technologies, such as blockchain, wireless networks &amp; cloud</t>
  </si>
  <si>
    <t>Call for separate non-authoritative guidance on IT concepts</t>
  </si>
  <si>
    <t>IT is dealt with as a separate subject matter and should be integrated and simplified</t>
  </si>
  <si>
    <t>Editorial suggestions</t>
  </si>
  <si>
    <t xml:space="preserve">Data / IT outsourcing (3rd party) </t>
  </si>
  <si>
    <t>Risks arising from IT</t>
  </si>
  <si>
    <t>General IT controls (incl. examples, when relevant &amp; its impact on audit)</t>
  </si>
  <si>
    <t>IT applications (e.g. when are they relevant to the audit?)</t>
  </si>
  <si>
    <t>Understanding IT (para. 35) and how this helps auditor to identify RoMM?</t>
  </si>
  <si>
    <t xml:space="preserve">Application controls, incl: manual or automated? </t>
  </si>
  <si>
    <t>Comments on other definitions (or matters to be defined)</t>
  </si>
  <si>
    <t xml:space="preserve">Commercial software: Work effort? Simplify - conditional? More guidance. </t>
  </si>
  <si>
    <t xml:space="preserve">Examples appear extreme (e.g. hardcopy only realistic - should we say rare?) </t>
  </si>
  <si>
    <t>09. FRC</t>
  </si>
  <si>
    <t>19. NZAASB</t>
  </si>
  <si>
    <t>Public sector</t>
  </si>
  <si>
    <t xml:space="preserve">There were some respondents who asked for further clarification of the difference between information system controls and controls in the control activities component - this was addressed in the 'system of internal control' analysis and therefore not repeated here. </t>
  </si>
  <si>
    <t>IT</t>
  </si>
  <si>
    <t xml:space="preserve">More consideration of data / IT outsourcing </t>
  </si>
  <si>
    <t>Terminology not used consistently (such as automated-, application-, and automated application controls</t>
  </si>
  <si>
    <t xml:space="preserve">Comments on definitions, or need for other terms to be defined </t>
  </si>
  <si>
    <t>Confusion with definition of application controls (manual or autormated or both?) Maybe process level controls</t>
  </si>
  <si>
    <t xml:space="preserve">Calls for non-authoritative guidance on IT related concepts </t>
  </si>
  <si>
    <t>Enhance standard by including risk  factors relating to evolving technology (blockchain etc.)</t>
  </si>
  <si>
    <t xml:space="preserve">Suggestions or calls for quidance on the extent of understanding of IT environment required 35(d) (incl. how this helps the aiuditor to identify and asess RoMM) </t>
  </si>
  <si>
    <t>Clarity required in para. 36 controls (and how, for example, these are different from control activities component)</t>
  </si>
  <si>
    <t>Clarify the purposes of para. 35(d)</t>
  </si>
  <si>
    <t>Too complex for small entities or calls for more guidance for smaller entities (e.g. commercial software) and the effect on the audit &amp; work effort</t>
  </si>
  <si>
    <t>Examples or criteria of small and less complex entity may be over simplified / extreme</t>
  </si>
  <si>
    <t>More guidance / clarify further 'risks arising from IT'</t>
  </si>
  <si>
    <t>Clarify further 'general IT controls' including those relevant to the audit'</t>
  </si>
  <si>
    <t xml:space="preserve">Guidance: If general IT controls are considered, what is the impact on other procedures? </t>
  </si>
  <si>
    <t>It is not clear when IT or application controls are relevant to the audit</t>
  </si>
  <si>
    <t>Call for examples of IT control deficiencies and the auditor's response</t>
  </si>
  <si>
    <t>IT is dealt with as a separate  matter and should be integrated with other controls and simplified</t>
  </si>
  <si>
    <t xml:space="preserve">Concerned with meaning of 'underlying controls' </t>
  </si>
  <si>
    <t xml:space="preserve">Concerned with meaning of 'high level' (A147 and A180) </t>
  </si>
  <si>
    <t>Appendix 4 guidance could be enhanced</t>
  </si>
  <si>
    <t xml:space="preserve">Editorial suggections </t>
  </si>
  <si>
    <t>Too much volume of detail - move to appendix</t>
  </si>
  <si>
    <t>Excel Summary 4B</t>
  </si>
  <si>
    <t>Responses to question 7 of ED-315 Explanatory Memorandum:</t>
  </si>
  <si>
    <t>Do you support the additional guidance in relation to the auditor’s assessment of risks of material misstatement at the financial statement level, including the determination about how, and the degree to which, such risks may affect the assessment of risks at the assertion level?</t>
  </si>
  <si>
    <t>Agreed to question 7, or agreed to question 7 with considerations that relate to other sections</t>
  </si>
  <si>
    <t>Agreed  to question 7, subject to further considerations / concerns</t>
  </si>
  <si>
    <t>No specific response to question 7</t>
  </si>
  <si>
    <t>Do not support                       the additional guidance</t>
  </si>
  <si>
    <t>Guidance is superfluous / repeating requirements</t>
  </si>
  <si>
    <t>FS level concept is not helpful, all assertions are about components</t>
  </si>
  <si>
    <t xml:space="preserve">Complexity and inconsistent use of terminolgy </t>
  </si>
  <si>
    <t xml:space="preserve">Public sector </t>
  </si>
  <si>
    <t>54. Institute of Acc Scotland</t>
  </si>
  <si>
    <t xml:space="preserve">Agreed to Question 7,          but with Further Considerations / Concerns </t>
  </si>
  <si>
    <t>Call for more examples &amp; guidance</t>
  </si>
  <si>
    <t>Clarify relationship between risk at FS level and RoMM at the assertion level</t>
  </si>
  <si>
    <t>Structural &amp; editorial suggestions (incl. to flowcharts)</t>
  </si>
  <si>
    <t>Other clarifications   to AM</t>
  </si>
  <si>
    <t xml:space="preserve">Clarify whether FS level risk can be significant risk? </t>
  </si>
  <si>
    <t>f</t>
  </si>
  <si>
    <t xml:space="preserve">FS: Financial statement </t>
  </si>
  <si>
    <t xml:space="preserve">RoMM: Risk of material misstatement </t>
  </si>
  <si>
    <t>Excel Summary 1B</t>
  </si>
  <si>
    <t>Excel Summary 3B</t>
  </si>
  <si>
    <r>
      <t>ED</t>
    </r>
    <r>
      <rPr>
        <b/>
        <sz val="12"/>
        <color theme="1"/>
        <rFont val="Calibri"/>
        <family val="2"/>
      </rPr>
      <t>−</t>
    </r>
    <r>
      <rPr>
        <b/>
        <sz val="12"/>
        <color theme="1"/>
        <rFont val="Arial"/>
        <family val="2"/>
      </rPr>
      <t>315</t>
    </r>
  </si>
  <si>
    <t xml:space="preserve">Analysis of Responses NOT Specific to Questions in Explanatory Memorandum </t>
  </si>
  <si>
    <t>Summary of responses</t>
  </si>
  <si>
    <t>Specific comments</t>
  </si>
  <si>
    <t>Requirements</t>
  </si>
  <si>
    <t>Intro paragraphs</t>
  </si>
  <si>
    <t>Application material enhancements</t>
  </si>
  <si>
    <t xml:space="preserve">Criteria when such risks are applicable, should remain in requirements (as per extant) - highly automated etc.  </t>
  </si>
  <si>
    <t>Assessment of IR, and determination of SR and RFSA should be moved before the requirements to obtain understanding of controls (iterative nature)</t>
  </si>
  <si>
    <t>It may be helpful; to explain this concept in the introductory paragraphs (and how the response is different from other risks)</t>
  </si>
  <si>
    <t>The concept of RFSA should be better explained (as technology continues to evolve)</t>
  </si>
  <si>
    <t>More examples on when the auditor would expect to have RFSA</t>
  </si>
  <si>
    <t xml:space="preserve">What to do when identifying RFSA and controls do not operate effectively? </t>
  </si>
  <si>
    <t>49. IBRACON</t>
  </si>
  <si>
    <t xml:space="preserve">Abbreviations: </t>
  </si>
  <si>
    <t>SR - Significant risk</t>
  </si>
  <si>
    <t>RFSA - Risks for which substantive procedures alone cannot provide sufficient appropriate audit evidence</t>
  </si>
  <si>
    <t>Excel Summary 5B</t>
  </si>
  <si>
    <t>Excel Summary 6B</t>
  </si>
  <si>
    <t>Public sector considerations</t>
  </si>
  <si>
    <t>Further considerations</t>
  </si>
  <si>
    <t>Proposal to include a requirement (para. 54 of ED-315) to document:</t>
  </si>
  <si>
    <t>Proposal to include guidance in application material on the documentation of:</t>
  </si>
  <si>
    <t>The application or exercise of  professional skepticism</t>
  </si>
  <si>
    <t>The factors that were considered when classifying an entity as LCE / smaller and less complex</t>
  </si>
  <si>
    <t>The performance of the stand-back requirement</t>
  </si>
  <si>
    <t>Documentation requirements when using automated tools and techniques (and guidance, including what is considered 'audit evidence'?)</t>
  </si>
  <si>
    <t>The assessment of risks on the spectrum of inherent risk</t>
  </si>
  <si>
    <t>Use of automated tools and techniques</t>
  </si>
  <si>
    <t>'Significant judgments' (e.g. does this include 'position on the spectrum'?)</t>
  </si>
  <si>
    <t>Sufficient appropriate audit evidence  (risk assessment procedures - para. 17)</t>
  </si>
  <si>
    <t>The required understanding of the SOIC including D&amp;I (in particular where substantive approach is followed / LCE)</t>
  </si>
  <si>
    <t xml:space="preserve">The stand-back requirement </t>
  </si>
  <si>
    <t>The meaning of 'Key aspects' (para. 54(b) of ED-315)</t>
  </si>
  <si>
    <t>The 'degree to which' FS risks affect assessment of RoMM at the assertion level</t>
  </si>
  <si>
    <t>'Likelihood and magnitude' and how this links to the position on the spectrum of inherent risk</t>
  </si>
  <si>
    <t>The exercise of professional skepticism</t>
  </si>
  <si>
    <t xml:space="preserve">Abbreviaionts: </t>
  </si>
  <si>
    <t>LCE - Less complex entities</t>
  </si>
  <si>
    <t>FS - Financial statement</t>
  </si>
  <si>
    <t>D&amp;I - Design and implementation</t>
  </si>
  <si>
    <t xml:space="preserve">Analysis of Comments Included in the Overarching Comments of Respondent Letters, and NOT explicitly elsewhere in the letter. </t>
  </si>
  <si>
    <t>Standard should place emphasis on RoMM arising from audits in complex entities, notably entities in financial sector (banks) - alternatively develop guidance outside of standard (e.g. IAPN)</t>
  </si>
  <si>
    <t>Too little time is invested in fundamental changes (interplay between definitions and requirements). Detrimental to scalability and doubt whether work effort is worth the increase in assurance</t>
  </si>
  <si>
    <t xml:space="preserve">Standard appears to be audit manual / text book / prescriptive - rather than principle based. </t>
  </si>
  <si>
    <t>Concern that the scope of proposed amendments exceed the scope of project proposal</t>
  </si>
  <si>
    <t>Call to clarify extent of the required understanding of the SOIC to support the separate assessment of IR and CR (scalability)</t>
  </si>
  <si>
    <t>General concern with the introduction of PCAOB concepts in ISA 315</t>
  </si>
  <si>
    <t>IAASB should consider a thorough review of ISA 610 - concern that reliance on internal audit is precluded in some instances (e.g. SR)</t>
  </si>
  <si>
    <t>IR - Inherent risk</t>
  </si>
  <si>
    <t>CR - Control risk</t>
  </si>
  <si>
    <t>Excel Summary 7B</t>
  </si>
  <si>
    <t>Responses to question 1(b) of ED-315 Explanatory Memorandum:</t>
  </si>
  <si>
    <t xml:space="preserve">Will the revisions promote a more robust process for the identification and assessment of the risks of material misstatement and do they appropriately address the public interest issues outlined in paragraphs 6–28? </t>
  </si>
  <si>
    <t>Agreed to question 1(b)</t>
  </si>
  <si>
    <t xml:space="preserve">Agreed to question1(b), subject to further considerations </t>
  </si>
  <si>
    <t>Table has hidden rows</t>
  </si>
  <si>
    <t xml:space="preserve"> - MNP</t>
  </si>
  <si>
    <t xml:space="preserve"> - AUASB</t>
  </si>
  <si>
    <t xml:space="preserve"> - CNCC-CSOEC</t>
  </si>
  <si>
    <t xml:space="preserve"> - Hong Kong Institute</t>
  </si>
  <si>
    <t xml:space="preserve"> - IAAA</t>
  </si>
  <si>
    <t xml:space="preserve"> - IBRACON</t>
  </si>
  <si>
    <t xml:space="preserve"> - Institute Scotland</t>
  </si>
  <si>
    <t xml:space="preserve"> - AG Alberta</t>
  </si>
  <si>
    <t xml:space="preserve"> - Swedish National Office </t>
  </si>
  <si>
    <t>Analysis of those respondents that agreed to question 1(b), subject to further considerations:</t>
  </si>
  <si>
    <t>Agree to question 1(b), subject to further considerations</t>
  </si>
  <si>
    <t>Further improvements required to address public interest issues</t>
  </si>
  <si>
    <t>Scalability considerations</t>
  </si>
  <si>
    <t>Complexity &amp; length of standard may cause challenges (including inconsistent application)</t>
  </si>
  <si>
    <t>Automated tools and techniques</t>
  </si>
  <si>
    <t>Clearer delineation / interaction of ISA 315 versis ISA 240</t>
  </si>
  <si>
    <t>Pubic interest issues could be more explicitly referred to in ISA itself</t>
  </si>
  <si>
    <t xml:space="preserve">Concern on whether standard is 'sufficiently' principle based </t>
  </si>
  <si>
    <t>Do not agree to question 1b</t>
  </si>
  <si>
    <t>Reasons provided</t>
  </si>
  <si>
    <t>Increased work effort is not worth increased assurance obtained</t>
  </si>
  <si>
    <t>Scalability not adequately addressed</t>
  </si>
  <si>
    <t xml:space="preserve">ED is too complex and long (resulting in inconsistent application) </t>
  </si>
  <si>
    <t>Public interest issues are discussed, but not solved</t>
  </si>
  <si>
    <t>The need to rely on extensive AM, including flowcharts</t>
  </si>
  <si>
    <t>Concern about risk assessment requirements, in particular CR</t>
  </si>
  <si>
    <t>Concern about introduction of PCAOB concepts</t>
  </si>
  <si>
    <t>Further clarification of definitions required: IRF, RA. SCOTABD, SR</t>
  </si>
  <si>
    <t>Stand-back requirement in ED-315 is unnecessary</t>
  </si>
  <si>
    <t>Concern with the use of 'sufficient appropriate audit evidence'</t>
  </si>
  <si>
    <t>Concern with clarity on documentation requirements as a whole</t>
  </si>
  <si>
    <t>More required on the extent of required  understanding SOIC to support assessment of risk</t>
  </si>
  <si>
    <t>In relation to D&amp;I, walkthrough test should be a requirement for the implementation assessment</t>
  </si>
  <si>
    <t>ED is too prescriptive, should be more principle based and allow for PJ</t>
  </si>
  <si>
    <t>SOIC - System of internal control</t>
  </si>
  <si>
    <t>CRTA - Controls relevant to the audit</t>
  </si>
  <si>
    <t>PS - Professional skepticism</t>
  </si>
  <si>
    <t>SR - Signifcant risk</t>
  </si>
  <si>
    <t>IRF - Inherent risk factors</t>
  </si>
  <si>
    <t>RA - Relevant assertions</t>
  </si>
  <si>
    <t>PJ - Professional judgment</t>
  </si>
  <si>
    <t>AM - Application material</t>
  </si>
  <si>
    <t>General concern with the level of documentation required as a whole to comply with ED, in particular for LCE</t>
  </si>
  <si>
    <t xml:space="preserve">Excel Summary 8B </t>
  </si>
  <si>
    <t>Excel Summary 2B</t>
  </si>
  <si>
    <t>ED-315 in certain aspects, represent a revision of the risk model</t>
  </si>
  <si>
    <t>IAPN - International Auditing Practice Note</t>
  </si>
  <si>
    <t>CA - Conforming amendments</t>
  </si>
  <si>
    <r>
      <t xml:space="preserve">Do the proposals sufficiently support the exercise of professional skepticism throughout the risk identification and assessment process?              </t>
    </r>
    <r>
      <rPr>
        <i/>
        <sz val="10"/>
        <color theme="1"/>
        <rFont val="Arial"/>
        <family val="2"/>
      </rPr>
      <t xml:space="preserve">                           [</t>
    </r>
    <r>
      <rPr>
        <b/>
        <i/>
        <sz val="10"/>
        <color theme="1"/>
        <rFont val="Arial"/>
        <family val="2"/>
      </rPr>
      <t>Note</t>
    </r>
    <r>
      <rPr>
        <i/>
        <sz val="10"/>
        <color theme="1"/>
        <rFont val="Arial"/>
        <family val="2"/>
      </rPr>
      <t xml:space="preserve"> - Question 4 also asked respondents whether they support the proposed change for the auditor to obtain 'sufficient appropriate audit evidence' through the performance of risk assessment procedures to provide the basis for the identification and assessment of the risks of material misstatement. This part of the question was analysed separately and presented to the Board in March 2019 - See </t>
    </r>
    <r>
      <rPr>
        <b/>
        <i/>
        <sz val="10"/>
        <color theme="1"/>
        <rFont val="Arial"/>
        <family val="2"/>
      </rPr>
      <t>NVivo report 10B of March 2019</t>
    </r>
    <r>
      <rPr>
        <i/>
        <sz val="10"/>
        <color theme="1"/>
        <rFont val="Arial"/>
        <family val="2"/>
      </rPr>
      <t>]</t>
    </r>
  </si>
  <si>
    <t>EM: Explanatory memorandum</t>
  </si>
  <si>
    <r>
      <t>Table on PS included in EM is helpful             [</t>
    </r>
    <r>
      <rPr>
        <i/>
        <sz val="8"/>
        <color theme="1"/>
        <rFont val="Arial"/>
        <family val="2"/>
      </rPr>
      <t>and could be an appendix in the final standard</t>
    </r>
    <r>
      <rPr>
        <sz val="8"/>
        <color theme="1"/>
        <rFont val="Arial"/>
        <family val="2"/>
      </rPr>
      <t>]</t>
    </r>
  </si>
  <si>
    <r>
      <t>ED</t>
    </r>
    <r>
      <rPr>
        <b/>
        <sz val="12"/>
        <color theme="1"/>
        <rFont val="Calibri"/>
        <family val="2"/>
      </rPr>
      <t>−</t>
    </r>
    <r>
      <rPr>
        <b/>
        <sz val="12"/>
        <color theme="1"/>
        <rFont val="Arial"/>
        <family val="2"/>
      </rPr>
      <t>315: Analysis of Comments in Relation to 'Financial Statement Level Risk'</t>
    </r>
  </si>
  <si>
    <t xml:space="preserve">Note: Comments in relation to RFSA and the flowcharts will be considered during the third quarter. </t>
  </si>
  <si>
    <t>Inherent risk factors (over and above para. A245) in relation to SCOTABD</t>
  </si>
  <si>
    <t xml:space="preserve">RoMM - Risks of material misstatement </t>
  </si>
  <si>
    <t>ED - Exposure Draft</t>
  </si>
  <si>
    <t>SCOTABD - Significant classes of transactions, account balances and disclosures</t>
  </si>
  <si>
    <t>IRF - Inherent risk factor</t>
  </si>
  <si>
    <t>Calls for guidance on negative documentation requirements (e.g. when an IRF or relevant assertion is deemed not applicable)</t>
  </si>
  <si>
    <t>Number of comments</t>
  </si>
  <si>
    <t>SCOTABD - Significant classes of transactions and account balances and disclosures</t>
  </si>
  <si>
    <t>Analysis of those respondents that agree to question 4, subject to further considerations:</t>
  </si>
  <si>
    <t xml:space="preserve">Analysis of those respondents that do NOT agree to or support the guidance on financial statement level risks: </t>
  </si>
  <si>
    <t>Analysis of those respondents that agree to question 7, subject to further considerations:</t>
  </si>
  <si>
    <r>
      <t xml:space="preserve">Clarify the meaning of 'determine the </t>
    </r>
    <r>
      <rPr>
        <b/>
        <i/>
        <sz val="8"/>
        <color theme="1"/>
        <rFont val="Arial"/>
        <family val="2"/>
      </rPr>
      <t>degree to which</t>
    </r>
    <r>
      <rPr>
        <sz val="8"/>
        <color theme="1"/>
        <rFont val="Arial"/>
        <family val="2"/>
      </rPr>
      <t>' FS level risk affect RoMM at the assertion level</t>
    </r>
  </si>
  <si>
    <t>Move description of RoMM at FS level (para. A207) to definitions</t>
  </si>
  <si>
    <t>Risks for which substantive procedures alone cannot provide sufficient appropriate audit evidence (RSPA)</t>
  </si>
  <si>
    <t xml:space="preserve">Enhance AM on RSPA (e.g. what if D&amp;I of such controls are inappropriate?) </t>
  </si>
  <si>
    <r>
      <t>ED</t>
    </r>
    <r>
      <rPr>
        <b/>
        <sz val="12"/>
        <color theme="1"/>
        <rFont val="Calibri"/>
        <family val="2"/>
      </rPr>
      <t>−</t>
    </r>
    <r>
      <rPr>
        <b/>
        <sz val="12"/>
        <color theme="1"/>
        <rFont val="Arial"/>
        <family val="2"/>
      </rPr>
      <t xml:space="preserve">315: Analysis of Comments in Relation to Public Interest Issues </t>
    </r>
  </si>
  <si>
    <t>No specific response                 to question 4</t>
  </si>
  <si>
    <t>Respondent does not agree with question 1(b)</t>
  </si>
  <si>
    <r>
      <t xml:space="preserve">Analysis of those respondents that did </t>
    </r>
    <r>
      <rPr>
        <b/>
        <sz val="10"/>
        <color rgb="FFFF0000"/>
        <rFont val="Arial"/>
        <family val="2"/>
      </rPr>
      <t>not</t>
    </r>
    <r>
      <rPr>
        <b/>
        <sz val="10"/>
        <color theme="1"/>
        <rFont val="Arial"/>
        <family val="2"/>
      </rPr>
      <t xml:space="preserve"> agree with question 1(b)</t>
    </r>
  </si>
  <si>
    <t xml:space="preserve">No specific response                        to question on public interest </t>
  </si>
  <si>
    <t>IAASB to consider the respondent's feedback to individual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</si>
</sst>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b/>
      <sz val="12"/>
      <color theme="1"/>
      <name val="Arial"/>
      <family val="2"/>
    </font>
    <font>
      <b/>
      <sz val="12"/>
      <color theme="1"/>
      <name val="Calibri"/>
      <family val="2"/>
    </font>
    <font>
      <sz val="9"/>
      <color theme="1"/>
      <name val="Arial"/>
      <family val="2"/>
    </font>
    <font>
      <b/>
      <sz val="10"/>
      <name val="Arial"/>
      <family val="2"/>
    </font>
    <font>
      <b/>
      <u/>
      <sz val="10"/>
      <color theme="1"/>
      <name val="Arial"/>
      <family val="2"/>
    </font>
    <font>
      <b/>
      <sz val="9"/>
      <color theme="1"/>
      <name val="Arial"/>
      <family val="2"/>
    </font>
    <font>
      <b/>
      <sz val="10"/>
      <color rgb="FF0070C0"/>
      <name val="Arial"/>
      <family val="2"/>
    </font>
    <font>
      <sz val="8"/>
      <color theme="1"/>
      <name val="Arial"/>
      <family val="2"/>
    </font>
    <font>
      <b/>
      <sz val="8"/>
      <color theme="1"/>
      <name val="Arial"/>
      <family val="2"/>
    </font>
    <font>
      <i/>
      <sz val="10"/>
      <color theme="1"/>
      <name val="Arial"/>
      <family val="2"/>
    </font>
    <font>
      <b/>
      <sz val="10"/>
      <color rgb="FFFF0000"/>
      <name val="Arial"/>
      <family val="2"/>
    </font>
    <font>
      <sz val="10"/>
      <color rgb="FFFF0000"/>
      <name val="Arial"/>
      <family val="2"/>
    </font>
    <font>
      <b/>
      <sz val="8"/>
      <name val="Arial"/>
      <family val="2"/>
    </font>
    <font>
      <sz val="8"/>
      <name val="Calibri"/>
      <family val="2"/>
      <scheme val="minor"/>
    </font>
    <font>
      <b/>
      <i/>
      <sz val="10"/>
      <color theme="1"/>
      <name val="Arial"/>
      <family val="2"/>
    </font>
    <font>
      <sz val="10"/>
      <color rgb="FF000000"/>
      <name val="Arial"/>
      <family val="2"/>
    </font>
    <font>
      <b/>
      <sz val="8"/>
      <color theme="1"/>
      <name val="Calibri"/>
      <family val="2"/>
      <scheme val="minor"/>
    </font>
    <font>
      <i/>
      <u/>
      <sz val="10"/>
      <color theme="1"/>
      <name val="Arial"/>
      <family val="2"/>
    </font>
    <font>
      <sz val="10"/>
      <name val="Arial"/>
      <family val="2"/>
    </font>
    <font>
      <sz val="9"/>
      <color indexed="81"/>
      <name val="Tahoma"/>
      <family val="2"/>
    </font>
    <font>
      <b/>
      <sz val="9"/>
      <color indexed="81"/>
      <name val="Tahoma"/>
      <family val="2"/>
    </font>
    <font>
      <b/>
      <sz val="9"/>
      <color indexed="81"/>
      <name val="Tahoma"/>
      <charset val="1"/>
    </font>
    <font>
      <i/>
      <sz val="8"/>
      <color theme="1"/>
      <name val="Arial"/>
      <family val="2"/>
    </font>
    <font>
      <b/>
      <i/>
      <sz val="8"/>
      <color theme="1"/>
      <name val="Arial"/>
      <family val="2"/>
    </font>
    <font>
      <sz val="9"/>
      <color indexed="81"/>
      <name val="Tahoma"/>
      <charset val="1"/>
    </font>
    <font>
      <b/>
      <sz val="10"/>
      <color rgb="FF002060"/>
      <name val="Arial"/>
      <family val="2"/>
    </font>
    <font>
      <sz val="12"/>
      <color theme="0"/>
      <name val="Arial"/>
      <family val="2"/>
    </font>
    <font>
      <b/>
      <sz val="12"/>
      <color theme="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59999389629810485"/>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50">
    <xf numFmtId="0" fontId="0" fillId="0" borderId="0" xfId="0"/>
    <xf numFmtId="0" fontId="2" fillId="0" borderId="0" xfId="0" applyFont="1"/>
    <xf numFmtId="0" fontId="2" fillId="0" borderId="0" xfId="0" applyFont="1" applyAlignment="1">
      <alignment horizontal="center"/>
    </xf>
    <xf numFmtId="0" fontId="3" fillId="0" borderId="0" xfId="0" applyFont="1"/>
    <xf numFmtId="0" fontId="2" fillId="2" borderId="5" xfId="0" applyFont="1" applyFill="1" applyBorder="1" applyAlignment="1">
      <alignment horizontal="center"/>
    </xf>
    <xf numFmtId="0" fontId="4" fillId="0" borderId="0" xfId="0" applyFont="1"/>
    <xf numFmtId="0" fontId="2" fillId="0" borderId="3" xfId="0" applyFont="1" applyBorder="1" applyAlignment="1">
      <alignment horizontal="center"/>
    </xf>
    <xf numFmtId="0" fontId="2" fillId="0" borderId="14" xfId="0" applyFont="1" applyBorder="1" applyAlignment="1">
      <alignment horizontal="center"/>
    </xf>
    <xf numFmtId="0" fontId="2" fillId="2" borderId="14" xfId="0" applyFont="1" applyFill="1" applyBorder="1" applyAlignment="1">
      <alignment horizontal="center"/>
    </xf>
    <xf numFmtId="0" fontId="2" fillId="0" borderId="7" xfId="0" applyFont="1" applyBorder="1" applyAlignment="1"/>
    <xf numFmtId="0" fontId="3" fillId="0" borderId="0" xfId="0" applyFont="1" applyBorder="1" applyAlignment="1"/>
    <xf numFmtId="0" fontId="2" fillId="2" borderId="0" xfId="0" applyFont="1" applyFill="1" applyBorder="1" applyAlignment="1"/>
    <xf numFmtId="0" fontId="2" fillId="0" borderId="0" xfId="0" applyFont="1" applyBorder="1" applyAlignment="1"/>
    <xf numFmtId="0" fontId="2" fillId="0" borderId="6" xfId="0" applyFont="1" applyBorder="1" applyAlignment="1"/>
    <xf numFmtId="0" fontId="3" fillId="0" borderId="9" xfId="0" applyFont="1" applyBorder="1" applyAlignment="1"/>
    <xf numFmtId="0" fontId="2" fillId="0" borderId="9" xfId="0" applyFont="1" applyBorder="1" applyAlignment="1"/>
    <xf numFmtId="0" fontId="2" fillId="2" borderId="9" xfId="0" applyFont="1" applyFill="1" applyBorder="1" applyAlignment="1"/>
    <xf numFmtId="0" fontId="2" fillId="0" borderId="0" xfId="0" applyFont="1" applyAlignment="1">
      <alignment horizontal="center"/>
    </xf>
    <xf numFmtId="0" fontId="2" fillId="0" borderId="0" xfId="0" applyFont="1" applyFill="1" applyBorder="1" applyAlignment="1">
      <alignment horizontal="center"/>
    </xf>
    <xf numFmtId="0" fontId="2" fillId="2" borderId="4" xfId="0" applyFont="1" applyFill="1" applyBorder="1" applyAlignment="1">
      <alignment horizontal="center"/>
    </xf>
    <xf numFmtId="0" fontId="2" fillId="2" borderId="3" xfId="0" applyFont="1" applyFill="1" applyBorder="1" applyAlignment="1">
      <alignment horizontal="center"/>
    </xf>
    <xf numFmtId="0" fontId="2" fillId="0" borderId="3" xfId="0" applyFont="1" applyFill="1" applyBorder="1" applyAlignment="1">
      <alignment horizontal="center"/>
    </xf>
    <xf numFmtId="0" fontId="2" fillId="0" borderId="14" xfId="0" applyFont="1" applyFill="1" applyBorder="1" applyAlignment="1">
      <alignment horizontal="center"/>
    </xf>
    <xf numFmtId="0" fontId="2" fillId="0" borderId="4" xfId="0" applyFont="1" applyFill="1" applyBorder="1" applyAlignment="1">
      <alignment horizontal="center"/>
    </xf>
    <xf numFmtId="9" fontId="2" fillId="0" borderId="0" xfId="0" applyNumberFormat="1" applyFont="1" applyFill="1" applyBorder="1" applyAlignment="1">
      <alignment horizontal="center"/>
    </xf>
    <xf numFmtId="0" fontId="2" fillId="0" borderId="6" xfId="0" applyFont="1" applyFill="1" applyBorder="1" applyAlignment="1">
      <alignment horizontal="center"/>
    </xf>
    <xf numFmtId="0" fontId="2" fillId="0" borderId="9" xfId="0" applyFont="1" applyFill="1" applyBorder="1" applyAlignment="1">
      <alignment horizontal="center"/>
    </xf>
    <xf numFmtId="0" fontId="3" fillId="4" borderId="2" xfId="0" applyFont="1" applyFill="1" applyBorder="1" applyAlignment="1">
      <alignment horizontal="center"/>
    </xf>
    <xf numFmtId="0" fontId="2" fillId="0" borderId="2" xfId="0" applyFont="1" applyBorder="1" applyAlignment="1">
      <alignment horizontal="center"/>
    </xf>
    <xf numFmtId="0" fontId="2" fillId="2" borderId="6"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8" xfId="0" applyFont="1" applyFill="1" applyBorder="1" applyAlignment="1">
      <alignment horizontal="center"/>
    </xf>
    <xf numFmtId="0" fontId="6" fillId="3" borderId="2"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2" borderId="0" xfId="0" applyFont="1" applyFill="1" applyBorder="1" applyAlignment="1">
      <alignment horizontal="center"/>
    </xf>
    <xf numFmtId="0" fontId="2" fillId="2" borderId="7" xfId="0" applyFont="1" applyFill="1" applyBorder="1" applyAlignment="1">
      <alignment horizontal="center"/>
    </xf>
    <xf numFmtId="0" fontId="2" fillId="2" borderId="1" xfId="0" applyFont="1" applyFill="1" applyBorder="1" applyAlignment="1">
      <alignment horizontal="center"/>
    </xf>
    <xf numFmtId="0" fontId="2" fillId="0" borderId="0" xfId="0" applyFont="1" applyFill="1" applyBorder="1" applyAlignment="1"/>
    <xf numFmtId="0" fontId="2" fillId="0" borderId="0" xfId="0" applyFont="1" applyBorder="1" applyAlignment="1">
      <alignment horizontal="center"/>
    </xf>
    <xf numFmtId="0" fontId="2" fillId="2" borderId="0" xfId="0" applyFont="1" applyFill="1" applyAlignment="1">
      <alignment horizontal="center"/>
    </xf>
    <xf numFmtId="0" fontId="2" fillId="2" borderId="0" xfId="0" applyFont="1" applyFill="1"/>
    <xf numFmtId="0" fontId="3" fillId="2" borderId="0" xfId="0" applyFont="1" applyFill="1"/>
    <xf numFmtId="0" fontId="2" fillId="5" borderId="0" xfId="0" applyFont="1" applyFill="1" applyBorder="1" applyAlignment="1">
      <alignment horizontal="center"/>
    </xf>
    <xf numFmtId="0" fontId="2" fillId="2" borderId="15" xfId="0" applyFont="1" applyFill="1" applyBorder="1" applyAlignment="1">
      <alignment horizontal="center"/>
    </xf>
    <xf numFmtId="0" fontId="2" fillId="2" borderId="2" xfId="0" applyFont="1" applyFill="1" applyBorder="1" applyAlignment="1">
      <alignment horizontal="center"/>
    </xf>
    <xf numFmtId="0" fontId="2" fillId="2" borderId="13" xfId="0" applyFont="1" applyFill="1" applyBorder="1" applyAlignment="1">
      <alignment horizontal="center"/>
    </xf>
    <xf numFmtId="0" fontId="3" fillId="5" borderId="0" xfId="0" applyFont="1" applyFill="1" applyBorder="1" applyAlignment="1">
      <alignment horizontal="center"/>
    </xf>
    <xf numFmtId="0" fontId="2" fillId="0" borderId="0" xfId="0" applyFont="1" applyFill="1"/>
    <xf numFmtId="0" fontId="2" fillId="0" borderId="0" xfId="0" applyFont="1" applyFill="1" applyBorder="1"/>
    <xf numFmtId="0" fontId="2" fillId="0" borderId="0" xfId="0" applyFont="1" applyFill="1" applyAlignment="1">
      <alignment horizontal="center"/>
    </xf>
    <xf numFmtId="0" fontId="3" fillId="0" borderId="0" xfId="0" applyFont="1" applyFill="1" applyBorder="1" applyAlignment="1"/>
    <xf numFmtId="0" fontId="3" fillId="0" borderId="0" xfId="0" applyFont="1" applyFill="1" applyBorder="1" applyAlignment="1">
      <alignment horizontal="center"/>
    </xf>
    <xf numFmtId="0" fontId="10" fillId="0" borderId="14" xfId="0" applyFont="1" applyBorder="1" applyAlignment="1">
      <alignment horizontal="center"/>
    </xf>
    <xf numFmtId="0" fontId="2" fillId="0" borderId="9" xfId="0" applyFont="1" applyBorder="1"/>
    <xf numFmtId="0" fontId="2" fillId="0" borderId="1" xfId="0" applyFont="1" applyFill="1" applyBorder="1"/>
    <xf numFmtId="0" fontId="2" fillId="0" borderId="0" xfId="0" applyFont="1" applyBorder="1"/>
    <xf numFmtId="0" fontId="2" fillId="0" borderId="9" xfId="0" applyFont="1" applyFill="1" applyBorder="1"/>
    <xf numFmtId="0" fontId="3" fillId="0" borderId="9" xfId="0" applyFont="1" applyFill="1" applyBorder="1"/>
    <xf numFmtId="0" fontId="2" fillId="0" borderId="1" xfId="0" applyFont="1" applyFill="1" applyBorder="1" applyAlignment="1"/>
    <xf numFmtId="0" fontId="6" fillId="3" borderId="2" xfId="0" applyFont="1" applyFill="1" applyBorder="1" applyAlignment="1">
      <alignment horizontal="center"/>
    </xf>
    <xf numFmtId="0" fontId="2" fillId="0" borderId="10" xfId="0" applyFont="1" applyFill="1" applyBorder="1"/>
    <xf numFmtId="0" fontId="13" fillId="2" borderId="9" xfId="0" applyFont="1" applyFill="1" applyBorder="1" applyAlignment="1"/>
    <xf numFmtId="0" fontId="13" fillId="2" borderId="14" xfId="0" applyFont="1" applyFill="1" applyBorder="1" applyAlignment="1">
      <alignment horizontal="center"/>
    </xf>
    <xf numFmtId="0" fontId="13" fillId="0" borderId="9" xfId="0" applyFont="1" applyBorder="1" applyAlignment="1"/>
    <xf numFmtId="0" fontId="13" fillId="0" borderId="0" xfId="0" applyFont="1" applyBorder="1" applyAlignment="1"/>
    <xf numFmtId="0" fontId="13" fillId="0" borderId="14" xfId="0" applyFont="1" applyBorder="1" applyAlignment="1">
      <alignment horizontal="center"/>
    </xf>
    <xf numFmtId="0" fontId="13" fillId="6" borderId="3" xfId="0" applyFont="1" applyFill="1" applyBorder="1" applyAlignment="1">
      <alignment horizontal="center"/>
    </xf>
    <xf numFmtId="0" fontId="13" fillId="6" borderId="14" xfId="0" applyFont="1" applyFill="1" applyBorder="1" applyAlignment="1">
      <alignment horizontal="center"/>
    </xf>
    <xf numFmtId="0" fontId="13" fillId="6" borderId="4" xfId="0" applyFont="1" applyFill="1" applyBorder="1" applyAlignment="1">
      <alignment horizontal="center"/>
    </xf>
    <xf numFmtId="0" fontId="13" fillId="2" borderId="0" xfId="0" applyFont="1" applyFill="1" applyBorder="1" applyAlignment="1"/>
    <xf numFmtId="0" fontId="13" fillId="2" borderId="9" xfId="0" applyFont="1" applyFill="1" applyBorder="1"/>
    <xf numFmtId="0" fontId="2" fillId="0" borderId="10" xfId="0" applyFont="1" applyFill="1" applyBorder="1" applyAlignment="1"/>
    <xf numFmtId="0" fontId="3" fillId="7" borderId="15" xfId="0" applyFont="1" applyFill="1" applyBorder="1"/>
    <xf numFmtId="0" fontId="2" fillId="7" borderId="12" xfId="0" applyFont="1" applyFill="1" applyBorder="1"/>
    <xf numFmtId="0" fontId="3" fillId="7" borderId="12" xfId="0" applyFont="1" applyFill="1" applyBorder="1" applyAlignment="1">
      <alignment horizontal="center"/>
    </xf>
    <xf numFmtId="0" fontId="7" fillId="7" borderId="12" xfId="0" applyFont="1" applyFill="1" applyBorder="1" applyAlignment="1">
      <alignment horizontal="center"/>
    </xf>
    <xf numFmtId="0" fontId="3" fillId="7" borderId="2" xfId="0" applyFont="1" applyFill="1" applyBorder="1" applyAlignment="1">
      <alignment horizontal="center"/>
    </xf>
    <xf numFmtId="0" fontId="2" fillId="0" borderId="0" xfId="0" applyFont="1" applyFill="1" applyBorder="1" applyAlignment="1">
      <alignment horizontal="center"/>
    </xf>
    <xf numFmtId="0" fontId="8" fillId="0" borderId="0" xfId="0" applyFont="1" applyFill="1" applyBorder="1" applyAlignment="1"/>
    <xf numFmtId="0" fontId="2" fillId="0" borderId="0" xfId="0" applyFont="1" applyFill="1" applyBorder="1" applyAlignment="1">
      <alignment horizontal="center"/>
    </xf>
    <xf numFmtId="0" fontId="2" fillId="0" borderId="5" xfId="0" applyFont="1" applyFill="1" applyBorder="1" applyAlignment="1">
      <alignment horizontal="center"/>
    </xf>
    <xf numFmtId="0" fontId="2" fillId="8" borderId="3" xfId="0" applyFont="1" applyFill="1" applyBorder="1" applyAlignment="1">
      <alignment horizontal="center"/>
    </xf>
    <xf numFmtId="0" fontId="2" fillId="8" borderId="14" xfId="0" applyFont="1" applyFill="1" applyBorder="1" applyAlignment="1">
      <alignment horizontal="center"/>
    </xf>
    <xf numFmtId="0" fontId="2" fillId="8" borderId="4" xfId="0" applyFont="1" applyFill="1" applyBorder="1" applyAlignment="1">
      <alignment horizontal="center"/>
    </xf>
    <xf numFmtId="0" fontId="2" fillId="8" borderId="2" xfId="0" applyFont="1" applyFill="1" applyBorder="1" applyAlignment="1">
      <alignment horizontal="center"/>
    </xf>
    <xf numFmtId="0" fontId="2" fillId="0" borderId="0" xfId="0" applyFont="1" applyFill="1" applyBorder="1" applyAlignment="1">
      <alignment horizontal="center"/>
    </xf>
    <xf numFmtId="0" fontId="2" fillId="0" borderId="2" xfId="0" applyFont="1" applyFill="1" applyBorder="1" applyAlignment="1">
      <alignment horizontal="center"/>
    </xf>
    <xf numFmtId="0" fontId="2" fillId="8" borderId="4" xfId="0" applyFont="1" applyFill="1" applyBorder="1"/>
    <xf numFmtId="0" fontId="2" fillId="0" borderId="3" xfId="0" applyFont="1" applyFill="1" applyBorder="1"/>
    <xf numFmtId="0" fontId="2" fillId="0" borderId="14" xfId="0" applyFont="1" applyFill="1" applyBorder="1"/>
    <xf numFmtId="0" fontId="3" fillId="0" borderId="0" xfId="0" applyFont="1" applyFill="1" applyBorder="1"/>
    <xf numFmtId="0" fontId="3" fillId="0" borderId="14" xfId="0" applyFont="1" applyFill="1" applyBorder="1" applyAlignment="1">
      <alignment horizontal="center"/>
    </xf>
    <xf numFmtId="0" fontId="3" fillId="0" borderId="0" xfId="0" applyFont="1" applyFill="1"/>
    <xf numFmtId="0" fontId="3" fillId="0" borderId="4" xfId="0" applyFont="1" applyFill="1" applyBorder="1" applyAlignment="1">
      <alignment horizontal="center"/>
    </xf>
    <xf numFmtId="0" fontId="3" fillId="0" borderId="0" xfId="0" applyFont="1" applyBorder="1" applyAlignment="1">
      <alignment horizontal="center"/>
    </xf>
    <xf numFmtId="0" fontId="2" fillId="2" borderId="0" xfId="0" applyFont="1" applyFill="1" applyBorder="1"/>
    <xf numFmtId="0" fontId="13" fillId="0" borderId="0" xfId="0" applyFont="1" applyBorder="1" applyAlignment="1">
      <alignment horizontal="center"/>
    </xf>
    <xf numFmtId="0" fontId="13" fillId="2" borderId="0" xfId="0" applyFont="1" applyFill="1" applyBorder="1" applyAlignment="1">
      <alignment horizontal="center"/>
    </xf>
    <xf numFmtId="0" fontId="2" fillId="0" borderId="1" xfId="0" applyFont="1" applyFill="1" applyBorder="1" applyAlignment="1">
      <alignment horizontal="center"/>
    </xf>
    <xf numFmtId="0" fontId="8" fillId="0" borderId="0" xfId="0" applyFont="1"/>
    <xf numFmtId="0" fontId="2" fillId="8" borderId="0" xfId="0" applyFont="1" applyFill="1" applyBorder="1" applyAlignment="1">
      <alignment horizontal="center"/>
    </xf>
    <xf numFmtId="0" fontId="2" fillId="8" borderId="7" xfId="0" applyFont="1" applyFill="1" applyBorder="1" applyAlignment="1">
      <alignment horizontal="center"/>
    </xf>
    <xf numFmtId="0" fontId="2" fillId="8" borderId="5" xfId="0" applyFont="1" applyFill="1" applyBorder="1" applyAlignment="1">
      <alignment horizontal="center"/>
    </xf>
    <xf numFmtId="0" fontId="2" fillId="8" borderId="1"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center" vertical="center"/>
    </xf>
    <xf numFmtId="0" fontId="3" fillId="8" borderId="3" xfId="0" applyFont="1" applyFill="1" applyBorder="1" applyAlignment="1">
      <alignment horizontal="center"/>
    </xf>
    <xf numFmtId="0" fontId="3" fillId="8" borderId="14" xfId="0" applyFont="1" applyFill="1" applyBorder="1" applyAlignment="1">
      <alignment horizontal="center"/>
    </xf>
    <xf numFmtId="0" fontId="2" fillId="0" borderId="0" xfId="0" applyFont="1" applyFill="1" applyBorder="1" applyAlignment="1">
      <alignment horizontal="center"/>
    </xf>
    <xf numFmtId="0" fontId="2" fillId="0" borderId="10" xfId="0" applyFont="1" applyFill="1" applyBorder="1" applyAlignment="1">
      <alignment horizontal="center"/>
    </xf>
    <xf numFmtId="0" fontId="2" fillId="0" borderId="11" xfId="0" applyFont="1" applyFill="1" applyBorder="1" applyAlignment="1">
      <alignment horizontal="center"/>
    </xf>
    <xf numFmtId="0" fontId="2" fillId="0" borderId="9" xfId="0" applyFont="1" applyBorder="1" applyAlignment="1">
      <alignment horizontal="center"/>
    </xf>
    <xf numFmtId="0" fontId="2" fillId="2" borderId="0" xfId="0" applyFont="1" applyFill="1" applyBorder="1" applyAlignment="1">
      <alignment horizontal="center"/>
    </xf>
    <xf numFmtId="0" fontId="6" fillId="3" borderId="15" xfId="0" applyFont="1" applyFill="1" applyBorder="1" applyAlignment="1">
      <alignment horizontal="center"/>
    </xf>
    <xf numFmtId="0" fontId="6" fillId="0" borderId="0" xfId="0" applyFont="1" applyFill="1" applyBorder="1" applyAlignment="1">
      <alignment horizontal="center" vertical="center" wrapText="1"/>
    </xf>
    <xf numFmtId="0" fontId="2" fillId="0" borderId="0" xfId="0" applyFont="1" applyBorder="1" applyAlignment="1">
      <alignment horizontal="left" vertical="top" wrapText="1"/>
    </xf>
    <xf numFmtId="0" fontId="2" fillId="0" borderId="0" xfId="0" applyFont="1" applyBorder="1" applyAlignment="1">
      <alignment horizontal="center"/>
    </xf>
    <xf numFmtId="0" fontId="2" fillId="6" borderId="3" xfId="0" applyFont="1" applyFill="1" applyBorder="1" applyAlignment="1">
      <alignment horizontal="center"/>
    </xf>
    <xf numFmtId="0" fontId="2" fillId="0" borderId="7" xfId="0" applyFont="1" applyBorder="1" applyAlignment="1">
      <alignment horizontal="center"/>
    </xf>
    <xf numFmtId="9" fontId="3" fillId="0" borderId="0" xfId="1" applyFont="1" applyBorder="1" applyAlignment="1">
      <alignment horizontal="center"/>
    </xf>
    <xf numFmtId="0" fontId="13" fillId="0" borderId="9" xfId="0" applyFont="1" applyBorder="1"/>
    <xf numFmtId="0" fontId="2" fillId="0" borderId="1" xfId="0" applyFont="1" applyBorder="1"/>
    <xf numFmtId="0" fontId="2" fillId="8" borderId="12" xfId="0" applyFont="1" applyFill="1" applyBorder="1" applyAlignment="1">
      <alignment horizontal="center"/>
    </xf>
    <xf numFmtId="0" fontId="2" fillId="0" borderId="7" xfId="0" applyFont="1" applyFill="1" applyBorder="1" applyAlignment="1">
      <alignment horizontal="center"/>
    </xf>
    <xf numFmtId="0" fontId="3" fillId="0" borderId="5" xfId="0" applyFont="1" applyFill="1" applyBorder="1" applyAlignment="1">
      <alignment horizontal="center"/>
    </xf>
    <xf numFmtId="0" fontId="2" fillId="0" borderId="4" xfId="0" applyFont="1" applyFill="1" applyBorder="1"/>
    <xf numFmtId="0" fontId="3" fillId="0" borderId="2" xfId="0" applyFont="1" applyFill="1" applyBorder="1" applyAlignment="1">
      <alignment horizontal="center"/>
    </xf>
    <xf numFmtId="0" fontId="3" fillId="0" borderId="9" xfId="0" applyFont="1" applyFill="1" applyBorder="1" applyAlignment="1">
      <alignment horizontal="center"/>
    </xf>
    <xf numFmtId="0" fontId="2" fillId="0" borderId="5" xfId="0" applyFont="1" applyFill="1" applyBorder="1"/>
    <xf numFmtId="0" fontId="2" fillId="8" borderId="8" xfId="0" applyFont="1" applyFill="1" applyBorder="1" applyAlignment="1">
      <alignment horizontal="center"/>
    </xf>
    <xf numFmtId="0" fontId="2" fillId="0" borderId="6" xfId="0" applyFont="1" applyFill="1" applyBorder="1"/>
    <xf numFmtId="0" fontId="3" fillId="0" borderId="14" xfId="0" applyNumberFormat="1" applyFont="1" applyFill="1" applyBorder="1" applyAlignment="1">
      <alignment horizontal="center"/>
    </xf>
    <xf numFmtId="0" fontId="2" fillId="0" borderId="1" xfId="0" applyFont="1" applyBorder="1" applyAlignment="1">
      <alignment horizontal="left" vertical="top"/>
    </xf>
    <xf numFmtId="0" fontId="2" fillId="0" borderId="6" xfId="0" applyFont="1" applyFill="1" applyBorder="1" applyAlignment="1">
      <alignment horizontal="left" vertical="top"/>
    </xf>
    <xf numFmtId="0" fontId="2" fillId="0" borderId="7" xfId="0" applyFont="1" applyFill="1" applyBorder="1" applyAlignment="1">
      <alignment horizontal="left" vertical="top"/>
    </xf>
    <xf numFmtId="0" fontId="2" fillId="0" borderId="3" xfId="0" applyFont="1" applyFill="1" applyBorder="1" applyAlignment="1">
      <alignment horizontal="left" vertical="top"/>
    </xf>
    <xf numFmtId="0" fontId="2" fillId="0" borderId="10" xfId="0" applyFont="1" applyBorder="1" applyAlignment="1">
      <alignment horizontal="left" vertical="top"/>
    </xf>
    <xf numFmtId="0" fontId="2" fillId="0" borderId="0" xfId="0" applyFont="1" applyFill="1" applyBorder="1" applyAlignment="1">
      <alignment horizontal="left" vertical="top"/>
    </xf>
    <xf numFmtId="0" fontId="9" fillId="0" borderId="0" xfId="0" applyFont="1" applyFill="1" applyBorder="1" applyAlignment="1">
      <alignment vertical="center"/>
    </xf>
    <xf numFmtId="0" fontId="3" fillId="0" borderId="14" xfId="0" applyFont="1" applyBorder="1" applyAlignment="1">
      <alignment horizontal="center"/>
    </xf>
    <xf numFmtId="0" fontId="2" fillId="0" borderId="14" xfId="0" applyFont="1" applyFill="1" applyBorder="1" applyAlignment="1">
      <alignment horizontal="left" vertical="top"/>
    </xf>
    <xf numFmtId="0" fontId="13" fillId="0" borderId="0" xfId="0" applyFont="1" applyFill="1" applyBorder="1" applyAlignment="1">
      <alignment horizontal="center"/>
    </xf>
    <xf numFmtId="0" fontId="13" fillId="0" borderId="14" xfId="0" applyFont="1" applyFill="1" applyBorder="1" applyAlignment="1">
      <alignment horizontal="center"/>
    </xf>
    <xf numFmtId="0" fontId="14" fillId="0" borderId="14" xfId="0" applyFont="1" applyBorder="1" applyAlignment="1">
      <alignment horizontal="center"/>
    </xf>
    <xf numFmtId="0" fontId="13" fillId="5" borderId="14" xfId="0" applyFont="1" applyFill="1" applyBorder="1" applyAlignment="1">
      <alignment horizontal="center"/>
    </xf>
    <xf numFmtId="0" fontId="2" fillId="0" borderId="0"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15" fillId="0" borderId="14" xfId="0" applyFont="1" applyFill="1" applyBorder="1" applyAlignment="1">
      <alignment horizontal="center"/>
    </xf>
    <xf numFmtId="0" fontId="2" fillId="0" borderId="8" xfId="0" applyFont="1" applyFill="1" applyBorder="1" applyAlignment="1">
      <alignment horizontal="left" vertical="top"/>
    </xf>
    <xf numFmtId="0" fontId="2" fillId="0" borderId="5" xfId="0" applyFont="1" applyBorder="1" applyAlignment="1"/>
    <xf numFmtId="0" fontId="2" fillId="0" borderId="11" xfId="0" applyFont="1" applyBorder="1" applyAlignment="1">
      <alignment horizontal="left" vertical="top"/>
    </xf>
    <xf numFmtId="0" fontId="2" fillId="0" borderId="0" xfId="0" applyFont="1" applyFill="1" applyBorder="1" applyAlignment="1">
      <alignment horizontal="center"/>
    </xf>
    <xf numFmtId="0" fontId="3" fillId="8" borderId="0" xfId="0" applyFont="1" applyFill="1" applyBorder="1" applyAlignment="1">
      <alignment horizontal="center"/>
    </xf>
    <xf numFmtId="0" fontId="3" fillId="2" borderId="0" xfId="0" applyFont="1" applyFill="1" applyBorder="1" applyAlignment="1">
      <alignment horizontal="center"/>
    </xf>
    <xf numFmtId="0" fontId="14" fillId="7" borderId="2" xfId="0" applyNumberFormat="1" applyFont="1" applyFill="1" applyBorder="1" applyAlignment="1">
      <alignment horizontal="center"/>
    </xf>
    <xf numFmtId="0" fontId="3" fillId="8" borderId="7" xfId="0" applyFont="1" applyFill="1" applyBorder="1" applyAlignment="1">
      <alignment horizontal="center"/>
    </xf>
    <xf numFmtId="0" fontId="3" fillId="0" borderId="1" xfId="0" applyFont="1" applyFill="1" applyBorder="1" applyAlignment="1">
      <alignment horizontal="center"/>
    </xf>
    <xf numFmtId="0" fontId="2" fillId="0" borderId="14" xfId="0" applyFont="1" applyFill="1" applyBorder="1" applyAlignment="1"/>
    <xf numFmtId="0" fontId="2" fillId="0" borderId="3" xfId="0" applyFont="1" applyFill="1" applyBorder="1" applyAlignment="1"/>
    <xf numFmtId="9" fontId="3" fillId="0" borderId="14" xfId="1" applyFont="1" applyBorder="1" applyAlignment="1">
      <alignment horizontal="center"/>
    </xf>
    <xf numFmtId="0" fontId="2" fillId="0" borderId="4" xfId="0" applyFont="1" applyBorder="1"/>
    <xf numFmtId="0" fontId="2" fillId="6" borderId="14" xfId="0" applyFont="1" applyFill="1" applyBorder="1" applyAlignment="1">
      <alignment horizontal="center"/>
    </xf>
    <xf numFmtId="0" fontId="3" fillId="0" borderId="1" xfId="0" applyFont="1" applyBorder="1" applyAlignment="1">
      <alignment horizontal="center"/>
    </xf>
    <xf numFmtId="0" fontId="10" fillId="7" borderId="2" xfId="0" applyNumberFormat="1" applyFont="1" applyFill="1" applyBorder="1" applyAlignment="1">
      <alignment horizontal="center"/>
    </xf>
    <xf numFmtId="0" fontId="9" fillId="6" borderId="13" xfId="0" applyFont="1" applyFill="1" applyBorder="1" applyAlignment="1">
      <alignment vertical="center"/>
    </xf>
    <xf numFmtId="0" fontId="6" fillId="0" borderId="3" xfId="0" applyFont="1" applyFill="1" applyBorder="1" applyAlignment="1">
      <alignment horizontal="center" vertical="center" wrapText="1"/>
    </xf>
    <xf numFmtId="0" fontId="2" fillId="0" borderId="14" xfId="0" applyNumberFormat="1" applyFont="1" applyFill="1" applyBorder="1" applyAlignment="1">
      <alignment horizontal="center"/>
    </xf>
    <xf numFmtId="0" fontId="2" fillId="0" borderId="7" xfId="0" applyFont="1" applyFill="1" applyBorder="1"/>
    <xf numFmtId="0" fontId="3" fillId="0" borderId="7" xfId="0" applyFont="1" applyFill="1" applyBorder="1" applyAlignment="1">
      <alignment horizontal="center"/>
    </xf>
    <xf numFmtId="0" fontId="11" fillId="3" borderId="4"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2" fillId="2" borderId="0" xfId="0" applyFont="1" applyFill="1" applyBorder="1" applyAlignment="1">
      <alignment horizontal="center"/>
    </xf>
    <xf numFmtId="0" fontId="2" fillId="0" borderId="0" xfId="0" applyFont="1" applyFill="1" applyBorder="1" applyAlignment="1">
      <alignment horizontal="center"/>
    </xf>
    <xf numFmtId="0" fontId="6" fillId="0" borderId="0" xfId="0" applyFont="1" applyFill="1" applyBorder="1" applyAlignment="1">
      <alignment horizontal="center" vertical="center" wrapText="1"/>
    </xf>
    <xf numFmtId="0" fontId="2" fillId="0" borderId="0" xfId="0" applyFont="1" applyBorder="1" applyAlignment="1">
      <alignment horizontal="left" vertical="top" wrapText="1"/>
    </xf>
    <xf numFmtId="0" fontId="9" fillId="6" borderId="12" xfId="0" applyFont="1" applyFill="1" applyBorder="1" applyAlignment="1">
      <alignment horizontal="center" vertical="center"/>
    </xf>
    <xf numFmtId="0" fontId="2" fillId="8" borderId="6" xfId="0" applyFont="1" applyFill="1" applyBorder="1" applyAlignment="1">
      <alignment horizontal="center"/>
    </xf>
    <xf numFmtId="0" fontId="2" fillId="8" borderId="9" xfId="0" applyFont="1" applyFill="1" applyBorder="1" applyAlignment="1">
      <alignment horizontal="center"/>
    </xf>
    <xf numFmtId="0" fontId="2" fillId="8" borderId="10" xfId="0" applyFont="1" applyFill="1" applyBorder="1" applyAlignment="1">
      <alignment horizontal="center"/>
    </xf>
    <xf numFmtId="0" fontId="2" fillId="8" borderId="11" xfId="0" applyFont="1" applyFill="1" applyBorder="1" applyAlignment="1">
      <alignment horizontal="center"/>
    </xf>
    <xf numFmtId="0" fontId="3" fillId="8" borderId="8" xfId="0" applyFont="1" applyFill="1" applyBorder="1" applyAlignment="1">
      <alignment horizontal="center"/>
    </xf>
    <xf numFmtId="0" fontId="3" fillId="8" borderId="5" xfId="0" applyFont="1" applyFill="1" applyBorder="1" applyAlignment="1">
      <alignment horizontal="center"/>
    </xf>
    <xf numFmtId="0" fontId="2" fillId="5" borderId="4" xfId="0" applyFont="1" applyFill="1" applyBorder="1" applyAlignment="1">
      <alignment horizontal="center"/>
    </xf>
    <xf numFmtId="0" fontId="2" fillId="10" borderId="3" xfId="0" applyFont="1" applyFill="1" applyBorder="1" applyAlignment="1">
      <alignment horizontal="center"/>
    </xf>
    <xf numFmtId="0" fontId="2" fillId="10" borderId="14" xfId="0" applyFont="1" applyFill="1" applyBorder="1" applyAlignment="1">
      <alignment horizontal="center"/>
    </xf>
    <xf numFmtId="0" fontId="2" fillId="10" borderId="4" xfId="0" applyFont="1" applyFill="1" applyBorder="1" applyAlignment="1">
      <alignment horizontal="center"/>
    </xf>
    <xf numFmtId="0" fontId="2" fillId="10" borderId="7" xfId="0" applyFont="1" applyFill="1" applyBorder="1" applyAlignment="1">
      <alignment horizontal="center"/>
    </xf>
    <xf numFmtId="0" fontId="2" fillId="10" borderId="8" xfId="0" applyFont="1" applyFill="1" applyBorder="1" applyAlignment="1">
      <alignment horizontal="center"/>
    </xf>
    <xf numFmtId="0" fontId="2" fillId="10" borderId="0" xfId="0" applyFont="1" applyFill="1" applyBorder="1" applyAlignment="1">
      <alignment horizontal="center"/>
    </xf>
    <xf numFmtId="0" fontId="2" fillId="10" borderId="5" xfId="0" applyFont="1" applyFill="1" applyBorder="1" applyAlignment="1">
      <alignment horizontal="center"/>
    </xf>
    <xf numFmtId="0" fontId="2" fillId="10" borderId="1" xfId="0" applyFont="1" applyFill="1" applyBorder="1" applyAlignment="1">
      <alignment horizontal="center"/>
    </xf>
    <xf numFmtId="0" fontId="2" fillId="10" borderId="11" xfId="0" applyFont="1" applyFill="1" applyBorder="1" applyAlignment="1">
      <alignment horizontal="center"/>
    </xf>
    <xf numFmtId="0" fontId="2" fillId="10" borderId="14" xfId="0" applyFont="1" applyFill="1" applyBorder="1"/>
    <xf numFmtId="0" fontId="2" fillId="10" borderId="4" xfId="0" applyFont="1" applyFill="1" applyBorder="1"/>
    <xf numFmtId="0" fontId="2" fillId="10" borderId="2" xfId="0" applyFont="1" applyFill="1" applyBorder="1" applyAlignment="1">
      <alignment horizontal="center"/>
    </xf>
    <xf numFmtId="0" fontId="2" fillId="10" borderId="12" xfId="0" applyFont="1" applyFill="1" applyBorder="1" applyAlignment="1">
      <alignment horizontal="center"/>
    </xf>
    <xf numFmtId="0" fontId="2" fillId="10" borderId="6" xfId="0" applyFont="1" applyFill="1" applyBorder="1" applyAlignment="1">
      <alignment horizontal="center"/>
    </xf>
    <xf numFmtId="0" fontId="2" fillId="10" borderId="9" xfId="0" applyFont="1" applyFill="1" applyBorder="1" applyAlignment="1">
      <alignment horizontal="center"/>
    </xf>
    <xf numFmtId="0" fontId="2" fillId="10" borderId="10" xfId="0" applyFont="1" applyFill="1" applyBorder="1" applyAlignment="1">
      <alignment horizontal="center"/>
    </xf>
    <xf numFmtId="0" fontId="2" fillId="10" borderId="3" xfId="0" applyFont="1" applyFill="1" applyBorder="1"/>
    <xf numFmtId="0" fontId="2" fillId="10" borderId="0" xfId="0" applyFont="1" applyFill="1" applyBorder="1"/>
    <xf numFmtId="0" fontId="11" fillId="3" borderId="0" xfId="0" applyFont="1" applyFill="1" applyAlignment="1">
      <alignment horizontal="center" vertical="center" wrapText="1"/>
    </xf>
    <xf numFmtId="0" fontId="13" fillId="5" borderId="0" xfId="0" applyFont="1" applyFill="1" applyBorder="1" applyAlignment="1">
      <alignment horizontal="center"/>
    </xf>
    <xf numFmtId="0" fontId="12" fillId="5" borderId="0" xfId="0" applyFont="1" applyFill="1" applyBorder="1" applyAlignment="1">
      <alignment vertical="center"/>
    </xf>
    <xf numFmtId="0" fontId="6" fillId="5" borderId="0" xfId="0" applyFont="1" applyFill="1" applyBorder="1" applyAlignment="1">
      <alignment horizontal="center"/>
    </xf>
    <xf numFmtId="9" fontId="3" fillId="5" borderId="0" xfId="1" applyFont="1" applyFill="1" applyBorder="1" applyAlignment="1">
      <alignment horizontal="center"/>
    </xf>
    <xf numFmtId="0" fontId="2" fillId="5" borderId="0" xfId="0" applyFont="1" applyFill="1" applyBorder="1"/>
    <xf numFmtId="0" fontId="12" fillId="5" borderId="0" xfId="0" applyFont="1" applyFill="1" applyBorder="1" applyAlignment="1">
      <alignment horizontal="center" vertical="center" wrapText="1"/>
    </xf>
    <xf numFmtId="0" fontId="2" fillId="0" borderId="9" xfId="0" applyFont="1" applyFill="1" applyBorder="1" applyAlignment="1">
      <alignment horizontal="left" vertical="top"/>
    </xf>
    <xf numFmtId="0" fontId="2" fillId="8" borderId="15" xfId="0" applyFont="1" applyFill="1" applyBorder="1" applyAlignment="1">
      <alignment horizontal="center"/>
    </xf>
    <xf numFmtId="0" fontId="3" fillId="0" borderId="9" xfId="0" applyFont="1" applyBorder="1" applyAlignment="1">
      <alignment horizontal="center"/>
    </xf>
    <xf numFmtId="0" fontId="2" fillId="0" borderId="5" xfId="0" applyFont="1" applyFill="1" applyBorder="1" applyAlignment="1">
      <alignment horizontal="left" vertical="top"/>
    </xf>
    <xf numFmtId="0" fontId="2" fillId="8" borderId="13" xfId="0" applyFont="1" applyFill="1" applyBorder="1" applyAlignment="1">
      <alignment horizontal="center"/>
    </xf>
    <xf numFmtId="0" fontId="2" fillId="0" borderId="8" xfId="0" applyFont="1" applyBorder="1" applyAlignment="1">
      <alignment horizontal="center"/>
    </xf>
    <xf numFmtId="0" fontId="3" fillId="0" borderId="5" xfId="0" applyFont="1" applyBorder="1" applyAlignment="1">
      <alignment horizontal="center"/>
    </xf>
    <xf numFmtId="0" fontId="7" fillId="7" borderId="2" xfId="0" applyFont="1" applyFill="1" applyBorder="1" applyAlignment="1">
      <alignment horizontal="center"/>
    </xf>
    <xf numFmtId="0" fontId="2" fillId="10" borderId="7" xfId="0" applyFont="1" applyFill="1" applyBorder="1"/>
    <xf numFmtId="0" fontId="2" fillId="10" borderId="1" xfId="0" applyFont="1" applyFill="1" applyBorder="1"/>
    <xf numFmtId="0" fontId="2" fillId="10" borderId="12" xfId="0" applyFont="1" applyFill="1" applyBorder="1"/>
    <xf numFmtId="0" fontId="2" fillId="10" borderId="2" xfId="0" applyFont="1" applyFill="1" applyBorder="1"/>
    <xf numFmtId="0" fontId="2" fillId="5" borderId="1" xfId="0" applyFont="1" applyFill="1" applyBorder="1" applyAlignment="1">
      <alignment horizontal="center" vertical="top"/>
    </xf>
    <xf numFmtId="0" fontId="2" fillId="5" borderId="4" xfId="0" applyFont="1" applyFill="1" applyBorder="1" applyAlignment="1">
      <alignment horizontal="left" vertical="top"/>
    </xf>
    <xf numFmtId="0" fontId="2" fillId="5" borderId="11" xfId="0" applyFont="1" applyFill="1" applyBorder="1" applyAlignment="1">
      <alignment horizontal="center" vertical="top"/>
    </xf>
    <xf numFmtId="0" fontId="2" fillId="0" borderId="4" xfId="0" applyNumberFormat="1" applyFont="1" applyFill="1" applyBorder="1" applyAlignment="1">
      <alignment horizontal="center"/>
    </xf>
    <xf numFmtId="0" fontId="11" fillId="0" borderId="0"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11" fillId="3" borderId="8" xfId="0" applyFont="1" applyFill="1" applyBorder="1" applyAlignment="1">
      <alignment horizontal="center" vertical="center" wrapText="1"/>
    </xf>
    <xf numFmtId="0" fontId="0" fillId="0" borderId="0" xfId="0" applyAlignment="1">
      <alignment vertical="top"/>
    </xf>
    <xf numFmtId="0" fontId="6" fillId="3" borderId="3" xfId="0" applyFont="1" applyFill="1" applyBorder="1" applyAlignment="1">
      <alignment horizontal="center"/>
    </xf>
    <xf numFmtId="0" fontId="2" fillId="0" borderId="8" xfId="0" applyFont="1" applyBorder="1" applyAlignment="1"/>
    <xf numFmtId="9" fontId="2" fillId="0" borderId="0" xfId="0" applyNumberFormat="1" applyFont="1" applyAlignment="1">
      <alignment horizontal="center"/>
    </xf>
    <xf numFmtId="0" fontId="2" fillId="0" borderId="5" xfId="0" applyFont="1" applyBorder="1"/>
    <xf numFmtId="0" fontId="3" fillId="2" borderId="5" xfId="0" applyFont="1" applyFill="1" applyBorder="1" applyAlignment="1">
      <alignment horizontal="center"/>
    </xf>
    <xf numFmtId="0" fontId="2" fillId="5" borderId="14" xfId="0" applyFont="1" applyFill="1" applyBorder="1" applyAlignment="1">
      <alignment horizontal="center"/>
    </xf>
    <xf numFmtId="0" fontId="2" fillId="6" borderId="4" xfId="0" applyFont="1" applyFill="1" applyBorder="1" applyAlignment="1">
      <alignment horizontal="center"/>
    </xf>
    <xf numFmtId="0" fontId="2" fillId="2" borderId="9" xfId="0" applyFont="1" applyFill="1" applyBorder="1"/>
    <xf numFmtId="0" fontId="2" fillId="0" borderId="9" xfId="0" applyFont="1" applyFill="1" applyBorder="1" applyAlignment="1"/>
    <xf numFmtId="0" fontId="2" fillId="0" borderId="10" xfId="0" applyFont="1" applyBorder="1" applyAlignment="1"/>
    <xf numFmtId="0" fontId="2" fillId="0" borderId="1" xfId="0" applyFont="1" applyBorder="1" applyAlignment="1"/>
    <xf numFmtId="0" fontId="2" fillId="0" borderId="11"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center"/>
    </xf>
    <xf numFmtId="0" fontId="21" fillId="0" borderId="0" xfId="0" applyFont="1"/>
    <xf numFmtId="0" fontId="2" fillId="0" borderId="6" xfId="0" applyFont="1" applyBorder="1"/>
    <xf numFmtId="0" fontId="2" fillId="0" borderId="7" xfId="0" applyFont="1" applyBorder="1"/>
    <xf numFmtId="0" fontId="2" fillId="0" borderId="3" xfId="0" applyFont="1" applyBorder="1"/>
    <xf numFmtId="0" fontId="3" fillId="7" borderId="15" xfId="0" applyFont="1" applyFill="1" applyBorder="1" applyAlignment="1"/>
    <xf numFmtId="0" fontId="10" fillId="7" borderId="2" xfId="0" applyFont="1" applyFill="1" applyBorder="1" applyAlignment="1">
      <alignment horizontal="center"/>
    </xf>
    <xf numFmtId="0" fontId="2" fillId="0" borderId="14" xfId="0" applyFont="1" applyBorder="1"/>
    <xf numFmtId="0" fontId="2" fillId="0" borderId="5" xfId="0" applyFont="1" applyBorder="1" applyAlignment="1">
      <alignment horizontal="center"/>
    </xf>
    <xf numFmtId="0" fontId="3" fillId="0" borderId="9" xfId="0" applyFont="1" applyFill="1" applyBorder="1" applyAlignment="1"/>
    <xf numFmtId="0" fontId="2" fillId="2" borderId="12" xfId="0" applyFont="1" applyFill="1" applyBorder="1" applyAlignment="1">
      <alignment horizontal="center"/>
    </xf>
    <xf numFmtId="0" fontId="2" fillId="5" borderId="9" xfId="0" applyFont="1" applyFill="1" applyBorder="1" applyAlignment="1">
      <alignment horizontal="center"/>
    </xf>
    <xf numFmtId="0" fontId="2" fillId="5" borderId="5" xfId="0" applyFont="1" applyFill="1" applyBorder="1" applyAlignment="1">
      <alignment horizontal="center"/>
    </xf>
    <xf numFmtId="0" fontId="2" fillId="2" borderId="11" xfId="0" applyFont="1" applyFill="1" applyBorder="1" applyAlignment="1">
      <alignment horizontal="center"/>
    </xf>
    <xf numFmtId="0" fontId="6" fillId="0" borderId="9" xfId="0" applyFont="1" applyFill="1" applyBorder="1" applyAlignment="1"/>
    <xf numFmtId="0" fontId="22" fillId="2" borderId="6" xfId="0" applyFont="1" applyFill="1" applyBorder="1" applyAlignment="1">
      <alignment horizontal="center"/>
    </xf>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3" xfId="0" applyFont="1" applyFill="1" applyBorder="1" applyAlignment="1">
      <alignment horizontal="center"/>
    </xf>
    <xf numFmtId="0" fontId="22" fillId="2" borderId="10" xfId="0" applyFont="1" applyFill="1" applyBorder="1" applyAlignment="1">
      <alignment horizontal="center"/>
    </xf>
    <xf numFmtId="0" fontId="22" fillId="2" borderId="11" xfId="0" applyFont="1" applyFill="1" applyBorder="1" applyAlignment="1">
      <alignment horizontal="center"/>
    </xf>
    <xf numFmtId="0" fontId="22" fillId="2" borderId="1" xfId="0" applyFont="1" applyFill="1" applyBorder="1" applyAlignment="1">
      <alignment horizontal="center"/>
    </xf>
    <xf numFmtId="0" fontId="22" fillId="2" borderId="4" xfId="0" applyFont="1" applyFill="1" applyBorder="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horizontal="center"/>
    </xf>
    <xf numFmtId="0" fontId="2" fillId="4" borderId="0" xfId="0" applyFont="1" applyFill="1" applyAlignment="1">
      <alignment horizontal="center"/>
    </xf>
    <xf numFmtId="0" fontId="3" fillId="3" borderId="0" xfId="0" applyFont="1" applyFill="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2" fillId="4" borderId="8" xfId="0" applyFont="1" applyFill="1" applyBorder="1" applyAlignment="1">
      <alignment horizontal="center"/>
    </xf>
    <xf numFmtId="0" fontId="2" fillId="4" borderId="5" xfId="0" applyFont="1" applyFill="1" applyBorder="1" applyAlignment="1">
      <alignment horizontal="center"/>
    </xf>
    <xf numFmtId="0" fontId="3" fillId="2" borderId="9" xfId="0" applyFont="1" applyFill="1" applyBorder="1" applyAlignment="1">
      <alignment horizontal="center"/>
    </xf>
    <xf numFmtId="0" fontId="3" fillId="10" borderId="0" xfId="0" applyFont="1" applyFill="1" applyBorder="1" applyAlignment="1">
      <alignment horizontal="center"/>
    </xf>
    <xf numFmtId="0" fontId="2" fillId="4" borderId="11" xfId="0" applyFont="1" applyFill="1" applyBorder="1" applyAlignment="1">
      <alignment horizontal="center"/>
    </xf>
    <xf numFmtId="0" fontId="19" fillId="0" borderId="0" xfId="0" applyFont="1" applyAlignment="1">
      <alignment horizontal="left" vertical="center" wrapText="1"/>
    </xf>
    <xf numFmtId="0" fontId="19" fillId="0" borderId="0" xfId="0" applyFont="1" applyAlignment="1">
      <alignment horizontal="justify" vertical="center"/>
    </xf>
    <xf numFmtId="0" fontId="12" fillId="0" borderId="0" xfId="0" applyFont="1" applyFill="1" applyBorder="1" applyAlignment="1">
      <alignment horizontal="center" vertical="center" wrapText="1"/>
    </xf>
    <xf numFmtId="0" fontId="6" fillId="0" borderId="0" xfId="0" applyFont="1" applyFill="1" applyBorder="1" applyAlignment="1">
      <alignment horizontal="center"/>
    </xf>
    <xf numFmtId="9" fontId="3" fillId="0" borderId="5" xfId="1" applyFont="1" applyBorder="1" applyAlignment="1">
      <alignment horizontal="center"/>
    </xf>
    <xf numFmtId="0" fontId="14" fillId="0" borderId="0" xfId="0" applyFont="1" applyFill="1" applyBorder="1" applyAlignment="1">
      <alignment horizontal="center"/>
    </xf>
    <xf numFmtId="9" fontId="3" fillId="0" borderId="0" xfId="1" applyFont="1" applyFill="1" applyBorder="1" applyAlignment="1">
      <alignment horizontal="center"/>
    </xf>
    <xf numFmtId="0" fontId="13" fillId="0" borderId="5" xfId="0" applyFont="1" applyFill="1" applyBorder="1" applyAlignment="1">
      <alignment horizontal="center"/>
    </xf>
    <xf numFmtId="0" fontId="13" fillId="2" borderId="5" xfId="0" applyFont="1" applyFill="1" applyBorder="1" applyAlignment="1">
      <alignment horizontal="center"/>
    </xf>
    <xf numFmtId="0" fontId="2" fillId="0" borderId="0" xfId="0" applyFont="1" applyFill="1" applyAlignment="1"/>
    <xf numFmtId="0" fontId="2" fillId="0" borderId="15" xfId="0" applyFont="1" applyFill="1" applyBorder="1"/>
    <xf numFmtId="0" fontId="2" fillId="0" borderId="2" xfId="0" applyFont="1" applyFill="1" applyBorder="1"/>
    <xf numFmtId="0" fontId="2" fillId="0" borderId="13" xfId="0" applyFont="1" applyFill="1" applyBorder="1"/>
    <xf numFmtId="0" fontId="3" fillId="7" borderId="15" xfId="0" applyFont="1" applyFill="1" applyBorder="1" applyAlignment="1">
      <alignment horizontal="center"/>
    </xf>
    <xf numFmtId="0" fontId="3" fillId="7" borderId="13" xfId="0" applyFont="1" applyFill="1" applyBorder="1" applyAlignment="1">
      <alignment horizontal="center"/>
    </xf>
    <xf numFmtId="0" fontId="2" fillId="0" borderId="7" xfId="0" applyFont="1" applyFill="1" applyBorder="1" applyAlignment="1"/>
    <xf numFmtId="0" fontId="2" fillId="0" borderId="8" xfId="0" applyFont="1" applyFill="1" applyBorder="1"/>
    <xf numFmtId="0" fontId="2" fillId="8" borderId="3" xfId="0" applyFont="1" applyFill="1" applyBorder="1"/>
    <xf numFmtId="0" fontId="2" fillId="8" borderId="14" xfId="0" applyFont="1" applyFill="1" applyBorder="1"/>
    <xf numFmtId="0" fontId="3" fillId="8" borderId="11" xfId="0" applyFont="1" applyFill="1" applyBorder="1" applyAlignment="1">
      <alignment horizontal="center"/>
    </xf>
    <xf numFmtId="0" fontId="3" fillId="8" borderId="1" xfId="0" applyFont="1" applyFill="1" applyBorder="1" applyAlignment="1">
      <alignment horizontal="center"/>
    </xf>
    <xf numFmtId="0" fontId="3" fillId="8" borderId="4" xfId="0" applyFont="1" applyFill="1" applyBorder="1" applyAlignment="1">
      <alignment horizontal="center"/>
    </xf>
    <xf numFmtId="0" fontId="3" fillId="0" borderId="10" xfId="0" applyFont="1" applyFill="1" applyBorder="1" applyAlignment="1">
      <alignment horizontal="center"/>
    </xf>
    <xf numFmtId="0" fontId="3" fillId="0" borderId="11" xfId="0" applyFont="1" applyFill="1" applyBorder="1" applyAlignment="1">
      <alignment horizontal="center"/>
    </xf>
    <xf numFmtId="0" fontId="2" fillId="8" borderId="7" xfId="0" applyFont="1" applyFill="1" applyBorder="1"/>
    <xf numFmtId="0" fontId="2" fillId="8" borderId="6" xfId="0" applyFont="1" applyFill="1" applyBorder="1"/>
    <xf numFmtId="0" fontId="2" fillId="8" borderId="8" xfId="0" applyFont="1" applyFill="1" applyBorder="1"/>
    <xf numFmtId="0" fontId="2" fillId="8" borderId="2" xfId="0" applyFont="1" applyFill="1" applyBorder="1"/>
    <xf numFmtId="0" fontId="2" fillId="8" borderId="12" xfId="0" applyFont="1" applyFill="1" applyBorder="1"/>
    <xf numFmtId="0" fontId="2" fillId="8" borderId="15" xfId="0" applyFont="1" applyFill="1" applyBorder="1"/>
    <xf numFmtId="0" fontId="2" fillId="8" borderId="13" xfId="0" applyFont="1" applyFill="1" applyBorder="1"/>
    <xf numFmtId="0" fontId="2" fillId="8" borderId="0" xfId="0" applyFont="1" applyFill="1" applyBorder="1"/>
    <xf numFmtId="0" fontId="2" fillId="8" borderId="9" xfId="0" applyFont="1" applyFill="1" applyBorder="1"/>
    <xf numFmtId="0" fontId="2" fillId="8" borderId="5" xfId="0" applyFont="1" applyFill="1" applyBorder="1"/>
    <xf numFmtId="0" fontId="2" fillId="8" borderId="1" xfId="0" applyFont="1" applyFill="1" applyBorder="1"/>
    <xf numFmtId="0" fontId="2" fillId="8" borderId="10" xfId="0" applyFont="1" applyFill="1" applyBorder="1"/>
    <xf numFmtId="0" fontId="2" fillId="8" borderId="11" xfId="0" applyFont="1" applyFill="1" applyBorder="1"/>
    <xf numFmtId="0" fontId="2" fillId="0" borderId="9" xfId="0" applyNumberFormat="1" applyFont="1" applyFill="1" applyBorder="1" applyAlignment="1">
      <alignment horizontal="center"/>
    </xf>
    <xf numFmtId="0" fontId="2" fillId="0" borderId="0" xfId="0" applyFont="1" applyFill="1" applyBorder="1" applyAlignment="1">
      <alignment horizontal="left" wrapText="1"/>
    </xf>
    <xf numFmtId="0" fontId="6" fillId="3" borderId="0" xfId="0" applyFont="1" applyFill="1" applyBorder="1" applyAlignment="1">
      <alignment horizontal="center" vertical="center" wrapText="1"/>
    </xf>
    <xf numFmtId="0" fontId="2" fillId="4" borderId="0" xfId="0" applyFont="1" applyFill="1" applyBorder="1" applyAlignment="1">
      <alignment horizontal="center"/>
    </xf>
    <xf numFmtId="0" fontId="15" fillId="2" borderId="0" xfId="0" applyFont="1" applyFill="1" applyBorder="1" applyAlignment="1">
      <alignment horizontal="center"/>
    </xf>
    <xf numFmtId="0" fontId="13" fillId="0" borderId="10" xfId="0" applyFont="1" applyBorder="1" applyAlignment="1"/>
    <xf numFmtId="0" fontId="2" fillId="0" borderId="2" xfId="0" applyFont="1" applyBorder="1"/>
    <xf numFmtId="0" fontId="2" fillId="0" borderId="15" xfId="0" applyFont="1" applyFill="1" applyBorder="1" applyAlignment="1">
      <alignment horizontal="center"/>
    </xf>
    <xf numFmtId="0" fontId="2" fillId="8" borderId="11" xfId="0" applyFont="1" applyFill="1" applyBorder="1" applyAlignment="1">
      <alignment horizontal="center" vertical="top"/>
    </xf>
    <xf numFmtId="0" fontId="2" fillId="8" borderId="1" xfId="0" applyFont="1" applyFill="1" applyBorder="1" applyAlignment="1">
      <alignment horizontal="left" vertical="top"/>
    </xf>
    <xf numFmtId="0" fontId="2" fillId="8" borderId="4" xfId="0" applyFont="1" applyFill="1" applyBorder="1" applyAlignment="1">
      <alignment horizontal="center" vertical="top"/>
    </xf>
    <xf numFmtId="0" fontId="2" fillId="2" borderId="14" xfId="0" applyFont="1" applyFill="1" applyBorder="1"/>
    <xf numFmtId="0" fontId="2" fillId="2" borderId="4" xfId="0" applyFont="1" applyFill="1" applyBorder="1"/>
    <xf numFmtId="0" fontId="2" fillId="2" borderId="3" xfId="0" applyFont="1" applyFill="1" applyBorder="1"/>
    <xf numFmtId="0" fontId="2" fillId="2" borderId="7" xfId="0" applyFont="1" applyFill="1" applyBorder="1"/>
    <xf numFmtId="0" fontId="2" fillId="2" borderId="1" xfId="0" applyFont="1" applyFill="1" applyBorder="1"/>
    <xf numFmtId="0" fontId="2" fillId="2" borderId="2" xfId="0" applyFont="1" applyFill="1" applyBorder="1"/>
    <xf numFmtId="0" fontId="2" fillId="2" borderId="12" xfId="0" applyFont="1" applyFill="1" applyBorder="1"/>
    <xf numFmtId="0" fontId="2" fillId="0" borderId="10" xfId="0" applyNumberFormat="1" applyFont="1" applyFill="1" applyBorder="1" applyAlignment="1">
      <alignment horizontal="center"/>
    </xf>
    <xf numFmtId="0" fontId="2" fillId="0" borderId="12" xfId="0" applyFont="1" applyFill="1" applyBorder="1" applyAlignment="1">
      <alignment horizontal="center"/>
    </xf>
    <xf numFmtId="0" fontId="29" fillId="0" borderId="0" xfId="0" applyFont="1"/>
    <xf numFmtId="0" fontId="9" fillId="0" borderId="0" xfId="0" applyFont="1" applyFill="1" applyBorder="1" applyAlignment="1">
      <alignment vertical="center" wrapText="1"/>
    </xf>
    <xf numFmtId="0" fontId="3" fillId="3" borderId="9" xfId="0" applyFont="1" applyFill="1" applyBorder="1" applyAlignment="1">
      <alignment horizontal="center" wrapText="1"/>
    </xf>
    <xf numFmtId="0" fontId="3" fillId="3" borderId="0" xfId="0" applyFont="1" applyFill="1" applyBorder="1" applyAlignment="1">
      <alignment horizontal="center" wrapText="1"/>
    </xf>
    <xf numFmtId="0" fontId="3" fillId="3" borderId="5" xfId="0" applyFont="1" applyFill="1" applyBorder="1" applyAlignment="1">
      <alignment horizontal="center" wrapText="1"/>
    </xf>
    <xf numFmtId="0" fontId="9" fillId="0" borderId="0" xfId="0" applyFont="1" applyFill="1" applyBorder="1" applyAlignment="1">
      <alignment horizontal="center" vertical="center" wrapText="1"/>
    </xf>
    <xf numFmtId="0" fontId="3" fillId="3" borderId="10" xfId="0" applyFont="1" applyFill="1" applyBorder="1" applyAlignment="1">
      <alignment vertical="top" wrapText="1"/>
    </xf>
    <xf numFmtId="0" fontId="3" fillId="3" borderId="1" xfId="0" applyFont="1" applyFill="1" applyBorder="1" applyAlignment="1">
      <alignment vertical="top" wrapText="1"/>
    </xf>
    <xf numFmtId="0" fontId="3" fillId="3" borderId="11" xfId="0" applyFont="1" applyFill="1" applyBorder="1" applyAlignment="1">
      <alignment vertical="top" wrapText="1"/>
    </xf>
    <xf numFmtId="0" fontId="11" fillId="3" borderId="2" xfId="0" applyFont="1" applyFill="1" applyBorder="1" applyAlignment="1">
      <alignment horizontal="center" vertical="center" wrapText="1"/>
    </xf>
    <xf numFmtId="0" fontId="3" fillId="0" borderId="9" xfId="0" applyNumberFormat="1" applyFont="1" applyFill="1" applyBorder="1" applyAlignment="1">
      <alignment horizontal="center"/>
    </xf>
    <xf numFmtId="0" fontId="2" fillId="10" borderId="15" xfId="0" applyFont="1" applyFill="1" applyBorder="1" applyAlignment="1">
      <alignment horizontal="center"/>
    </xf>
    <xf numFmtId="0" fontId="9" fillId="5" borderId="0" xfId="0" applyFont="1" applyFill="1" applyBorder="1" applyAlignment="1">
      <alignment vertical="center" wrapText="1"/>
    </xf>
    <xf numFmtId="0" fontId="9" fillId="5" borderId="0" xfId="0" applyFont="1" applyFill="1" applyBorder="1" applyAlignment="1">
      <alignment horizontal="center" vertical="center"/>
    </xf>
    <xf numFmtId="0" fontId="9" fillId="5" borderId="0" xfId="0" applyFont="1" applyFill="1" applyBorder="1" applyAlignment="1">
      <alignment vertical="center"/>
    </xf>
    <xf numFmtId="0" fontId="2" fillId="5" borderId="0" xfId="0" applyFont="1" applyFill="1" applyBorder="1" applyAlignment="1">
      <alignment horizontal="center" vertical="center"/>
    </xf>
    <xf numFmtId="0" fontId="11" fillId="5" borderId="0"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30" fillId="5" borderId="0" xfId="0" applyFont="1" applyFill="1" applyBorder="1" applyAlignment="1">
      <alignment vertical="center" wrapText="1"/>
    </xf>
    <xf numFmtId="0" fontId="31" fillId="5" borderId="0" xfId="0" applyFont="1" applyFill="1" applyBorder="1" applyAlignment="1">
      <alignment horizontal="center" vertical="center" wrapText="1"/>
    </xf>
    <xf numFmtId="0" fontId="11" fillId="3" borderId="2" xfId="0" quotePrefix="1" applyFont="1" applyFill="1" applyBorder="1" applyAlignment="1">
      <alignment horizontal="center" vertical="center" wrapText="1"/>
    </xf>
    <xf numFmtId="0" fontId="11" fillId="3" borderId="15" xfId="0" quotePrefix="1" applyFont="1" applyFill="1" applyBorder="1" applyAlignment="1">
      <alignment horizontal="center" vertical="center" wrapText="1"/>
    </xf>
    <xf numFmtId="0" fontId="3" fillId="0" borderId="0" xfId="1" applyNumberFormat="1" applyFont="1" applyBorder="1" applyAlignment="1">
      <alignment horizontal="center"/>
    </xf>
    <xf numFmtId="0" fontId="2" fillId="0" borderId="8" xfId="0" applyFont="1" applyFill="1" applyBorder="1" applyAlignment="1">
      <alignment horizontal="center"/>
    </xf>
    <xf numFmtId="0" fontId="2" fillId="10" borderId="9" xfId="0" applyFont="1" applyFill="1" applyBorder="1"/>
    <xf numFmtId="0" fontId="2" fillId="10" borderId="15" xfId="0" applyFont="1" applyFill="1" applyBorder="1"/>
    <xf numFmtId="0" fontId="2" fillId="10" borderId="13" xfId="0" applyFont="1" applyFill="1" applyBorder="1" applyAlignment="1">
      <alignment horizontal="center"/>
    </xf>
    <xf numFmtId="0" fontId="2" fillId="10" borderId="6" xfId="0" applyFont="1" applyFill="1" applyBorder="1"/>
    <xf numFmtId="0" fontId="7" fillId="0" borderId="0" xfId="0" applyFont="1" applyFill="1" applyBorder="1" applyAlignment="1">
      <alignment horizontal="center"/>
    </xf>
    <xf numFmtId="0" fontId="11" fillId="0" borderId="0" xfId="0" applyFont="1" applyFill="1" applyBorder="1" applyAlignment="1">
      <alignment horizontal="center" vertical="center" wrapText="1"/>
    </xf>
    <xf numFmtId="0" fontId="9" fillId="6" borderId="12" xfId="0" applyFont="1" applyFill="1" applyBorder="1" applyAlignment="1">
      <alignment horizontal="center" vertical="center"/>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6" fillId="0" borderId="0" xfId="0" applyFont="1" applyFill="1" applyBorder="1" applyAlignment="1">
      <alignment horizontal="center" vertical="center" wrapText="1"/>
    </xf>
    <xf numFmtId="0" fontId="2" fillId="2" borderId="0" xfId="0" applyFont="1" applyFill="1" applyBorder="1" applyAlignment="1">
      <alignment horizontal="center"/>
    </xf>
    <xf numFmtId="0" fontId="2" fillId="0" borderId="0" xfId="0" applyFont="1" applyFill="1" applyBorder="1" applyAlignment="1">
      <alignment horizontal="center"/>
    </xf>
    <xf numFmtId="0" fontId="3" fillId="0" borderId="0" xfId="0" applyFont="1" applyFill="1" applyBorder="1" applyAlignment="1">
      <alignment horizontal="center"/>
    </xf>
    <xf numFmtId="0" fontId="2" fillId="0" borderId="0" xfId="0" applyFont="1" applyBorder="1" applyAlignment="1">
      <alignment horizontal="center"/>
    </xf>
    <xf numFmtId="0" fontId="12" fillId="3" borderId="0" xfId="0" applyFont="1" applyFill="1" applyBorder="1" applyAlignment="1">
      <alignment horizontal="center" vertical="center" wrapText="1"/>
    </xf>
    <xf numFmtId="0" fontId="6" fillId="3" borderId="0" xfId="0" applyFont="1" applyFill="1" applyBorder="1" applyAlignment="1">
      <alignment horizontal="center"/>
    </xf>
    <xf numFmtId="0" fontId="12" fillId="6" borderId="2" xfId="0" applyFont="1" applyFill="1" applyBorder="1" applyAlignment="1">
      <alignment horizontal="center" vertical="center"/>
    </xf>
    <xf numFmtId="0" fontId="3" fillId="0" borderId="0" xfId="0" applyFont="1" applyAlignment="1">
      <alignment horizontal="center"/>
    </xf>
    <xf numFmtId="0" fontId="11" fillId="3" borderId="4"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3" fillId="0" borderId="10"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1" xfId="0" applyFont="1" applyFill="1" applyBorder="1" applyAlignment="1">
      <alignment horizontal="center"/>
    </xf>
    <xf numFmtId="0" fontId="2" fillId="2" borderId="9" xfId="0" applyFont="1" applyFill="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2" fillId="0" borderId="6" xfId="0" applyFont="1" applyBorder="1" applyAlignment="1">
      <alignment horizontal="center"/>
    </xf>
    <xf numFmtId="0" fontId="12" fillId="0" borderId="0" xfId="0" applyFont="1" applyFill="1" applyBorder="1" applyAlignment="1">
      <alignment vertical="center" wrapText="1"/>
    </xf>
    <xf numFmtId="0" fontId="13" fillId="6" borderId="6" xfId="0" applyFont="1" applyFill="1" applyBorder="1" applyAlignment="1">
      <alignment horizontal="center"/>
    </xf>
    <xf numFmtId="0" fontId="13" fillId="6" borderId="9" xfId="0" applyFont="1" applyFill="1" applyBorder="1" applyAlignment="1">
      <alignment horizontal="center"/>
    </xf>
    <xf numFmtId="0" fontId="13" fillId="6" borderId="10" xfId="0" applyFont="1" applyFill="1" applyBorder="1" applyAlignment="1">
      <alignment horizontal="center"/>
    </xf>
    <xf numFmtId="0" fontId="2" fillId="6" borderId="15" xfId="0" applyFont="1" applyFill="1" applyBorder="1" applyAlignment="1">
      <alignment horizontal="center"/>
    </xf>
    <xf numFmtId="0" fontId="2" fillId="6" borderId="6" xfId="0" applyFont="1" applyFill="1" applyBorder="1" applyAlignment="1">
      <alignment horizontal="center"/>
    </xf>
    <xf numFmtId="0" fontId="13" fillId="6" borderId="15" xfId="0" applyFont="1" applyFill="1" applyBorder="1" applyAlignment="1">
      <alignment horizontal="center"/>
    </xf>
    <xf numFmtId="0" fontId="10" fillId="0" borderId="0" xfId="0" applyFont="1" applyBorder="1" applyAlignment="1">
      <alignment horizontal="center"/>
    </xf>
    <xf numFmtId="0" fontId="13" fillId="6" borderId="7" xfId="0" applyFont="1" applyFill="1" applyBorder="1" applyAlignment="1">
      <alignment horizontal="center"/>
    </xf>
    <xf numFmtId="0" fontId="13" fillId="6" borderId="0" xfId="0" applyFont="1" applyFill="1" applyBorder="1" applyAlignment="1">
      <alignment horizontal="center"/>
    </xf>
    <xf numFmtId="0" fontId="13" fillId="6" borderId="1" xfId="0" applyFont="1" applyFill="1" applyBorder="1" applyAlignment="1">
      <alignment horizontal="center"/>
    </xf>
    <xf numFmtId="0" fontId="13" fillId="6" borderId="12" xfId="0" applyFont="1" applyFill="1" applyBorder="1" applyAlignment="1">
      <alignment horizontal="center"/>
    </xf>
    <xf numFmtId="0" fontId="2" fillId="6" borderId="7" xfId="0" applyFont="1" applyFill="1" applyBorder="1" applyAlignment="1">
      <alignment horizontal="center"/>
    </xf>
    <xf numFmtId="0" fontId="2" fillId="6" borderId="0" xfId="0" applyFont="1" applyFill="1" applyBorder="1" applyAlignment="1">
      <alignment horizont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3" fillId="3" borderId="6" xfId="0" applyFont="1" applyFill="1" applyBorder="1" applyAlignment="1">
      <alignment horizontal="center" wrapText="1"/>
    </xf>
    <xf numFmtId="0" fontId="3" fillId="3" borderId="7"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3" fillId="3" borderId="0" xfId="0" applyFont="1" applyFill="1" applyBorder="1" applyAlignment="1">
      <alignment horizontal="center" wrapText="1"/>
    </xf>
    <xf numFmtId="0" fontId="3" fillId="3" borderId="5" xfId="0" applyFont="1" applyFill="1" applyBorder="1" applyAlignment="1">
      <alignment horizontal="center" wrapText="1"/>
    </xf>
    <xf numFmtId="0" fontId="12" fillId="3" borderId="6"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11" fillId="3" borderId="6"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2" fillId="0" borderId="0" xfId="0" applyFont="1" applyAlignment="1">
      <alignment horizontal="left"/>
    </xf>
    <xf numFmtId="0" fontId="4" fillId="9" borderId="15"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2" fillId="0" borderId="0" xfId="0" applyFont="1" applyAlignment="1">
      <alignment horizontal="left" vertical="top"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26" fillId="3" borderId="10"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26" fillId="3" borderId="11" xfId="0" applyFont="1" applyFill="1" applyBorder="1" applyAlignment="1">
      <alignment horizontal="center" vertical="center" wrapText="1"/>
    </xf>
    <xf numFmtId="0" fontId="2" fillId="0" borderId="0" xfId="0" applyFont="1" applyBorder="1" applyAlignment="1">
      <alignment horizontal="left" vertical="top" wrapText="1"/>
    </xf>
    <xf numFmtId="0" fontId="12" fillId="6" borderId="15"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9" fillId="11" borderId="15" xfId="0" applyFont="1" applyFill="1" applyBorder="1" applyAlignment="1">
      <alignment horizontal="center" vertical="center"/>
    </xf>
    <xf numFmtId="0" fontId="9" fillId="11" borderId="12" xfId="0" applyFont="1" applyFill="1" applyBorder="1" applyAlignment="1">
      <alignment horizontal="center" vertical="center"/>
    </xf>
    <xf numFmtId="0" fontId="9" fillId="11" borderId="13" xfId="0" applyFont="1" applyFill="1" applyBorder="1" applyAlignment="1">
      <alignment horizontal="center" vertical="center"/>
    </xf>
    <xf numFmtId="0" fontId="9" fillId="11" borderId="6"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9" fillId="11" borderId="8" xfId="0" applyFont="1" applyFill="1" applyBorder="1" applyAlignment="1">
      <alignment horizontal="center" vertical="center" wrapText="1"/>
    </xf>
    <xf numFmtId="0" fontId="9" fillId="11" borderId="10"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26" fillId="3" borderId="10" xfId="0" applyFont="1" applyFill="1" applyBorder="1" applyAlignment="1">
      <alignment horizontal="center" wrapText="1"/>
    </xf>
    <xf numFmtId="0" fontId="26" fillId="3" borderId="1" xfId="0" applyFont="1" applyFill="1" applyBorder="1" applyAlignment="1">
      <alignment horizontal="center" wrapText="1"/>
    </xf>
    <xf numFmtId="0" fontId="26" fillId="3" borderId="11" xfId="0" applyFont="1" applyFill="1" applyBorder="1" applyAlignment="1">
      <alignment horizontal="center" wrapText="1"/>
    </xf>
    <xf numFmtId="0" fontId="12" fillId="6" borderId="6"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2" fillId="6" borderId="15"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3" xfId="0" applyFont="1" applyFill="1" applyBorder="1" applyAlignment="1">
      <alignment horizontal="center" vertic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11" fillId="3" borderId="3" xfId="0" quotePrefix="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1" xfId="0" applyFont="1" applyFill="1" applyBorder="1" applyAlignment="1">
      <alignment horizontal="center"/>
    </xf>
    <xf numFmtId="0" fontId="3" fillId="3" borderId="0" xfId="0" applyFont="1" applyFill="1" applyAlignment="1">
      <alignment horizontal="center" vertical="center" textRotation="180"/>
    </xf>
    <xf numFmtId="0" fontId="2" fillId="3" borderId="0" xfId="0" applyFont="1" applyFill="1" applyAlignment="1">
      <alignment horizontal="center" vertical="center"/>
    </xf>
    <xf numFmtId="0" fontId="2" fillId="3" borderId="5"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10" xfId="0" applyFont="1" applyFill="1" applyBorder="1" applyAlignment="1">
      <alignment horizontal="center"/>
    </xf>
    <xf numFmtId="0" fontId="3" fillId="0" borderId="11" xfId="0" applyFont="1" applyFill="1" applyBorder="1" applyAlignment="1">
      <alignment horizontal="center"/>
    </xf>
    <xf numFmtId="0" fontId="3" fillId="0" borderId="0" xfId="0" applyFont="1" applyFill="1" applyBorder="1" applyAlignment="1">
      <alignment horizontal="center"/>
    </xf>
    <xf numFmtId="0" fontId="3" fillId="0" borderId="5" xfId="0" applyFont="1" applyFill="1" applyBorder="1" applyAlignment="1">
      <alignment horizontal="center"/>
    </xf>
    <xf numFmtId="0" fontId="22" fillId="2" borderId="7" xfId="0" applyFont="1" applyFill="1" applyBorder="1" applyAlignment="1">
      <alignment horizontal="center"/>
    </xf>
    <xf numFmtId="0" fontId="22" fillId="2" borderId="8" xfId="0" applyFont="1" applyFill="1" applyBorder="1" applyAlignment="1">
      <alignment horizontal="center"/>
    </xf>
    <xf numFmtId="0" fontId="22" fillId="2" borderId="10" xfId="0" applyFont="1" applyFill="1" applyBorder="1" applyAlignment="1">
      <alignment horizontal="center"/>
    </xf>
    <xf numFmtId="0" fontId="2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 xfId="0" applyFont="1" applyFill="1" applyBorder="1" applyAlignment="1">
      <alignment horizontal="center"/>
    </xf>
    <xf numFmtId="0" fontId="3" fillId="0" borderId="1" xfId="0" applyFont="1" applyFill="1" applyBorder="1" applyAlignment="1">
      <alignment horizontal="center"/>
    </xf>
    <xf numFmtId="0" fontId="2" fillId="2" borderId="6" xfId="0" applyFont="1" applyFill="1" applyBorder="1" applyAlignment="1">
      <alignment horizontal="center"/>
    </xf>
    <xf numFmtId="0" fontId="2" fillId="2" borderId="8" xfId="0" applyFont="1" applyFill="1" applyBorder="1" applyAlignment="1">
      <alignment horizontal="center"/>
    </xf>
    <xf numFmtId="0" fontId="2" fillId="2" borderId="7" xfId="0" applyFont="1" applyFill="1" applyBorder="1" applyAlignment="1">
      <alignment horizontal="center"/>
    </xf>
    <xf numFmtId="0" fontId="2" fillId="2" borderId="15" xfId="0" applyFont="1" applyFill="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2" fillId="0" borderId="5" xfId="0" applyFont="1" applyBorder="1" applyAlignment="1">
      <alignment horizontal="center"/>
    </xf>
    <xf numFmtId="0" fontId="3" fillId="7" borderId="15" xfId="0" applyFont="1" applyFill="1" applyBorder="1" applyAlignment="1">
      <alignment horizontal="center"/>
    </xf>
    <xf numFmtId="0" fontId="3" fillId="7" borderId="13" xfId="0" applyFont="1" applyFill="1" applyBorder="1" applyAlignment="1">
      <alignment horizontal="center"/>
    </xf>
    <xf numFmtId="0" fontId="3" fillId="7" borderId="12" xfId="0" applyFont="1" applyFill="1" applyBorder="1" applyAlignment="1">
      <alignment horizontal="center"/>
    </xf>
    <xf numFmtId="0" fontId="2" fillId="0" borderId="6" xfId="0" applyFont="1" applyBorder="1" applyAlignment="1">
      <alignment horizontal="center"/>
    </xf>
    <xf numFmtId="0" fontId="2" fillId="0" borderId="8" xfId="0" applyFont="1" applyBorder="1" applyAlignment="1">
      <alignment horizont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2" fillId="0" borderId="0" xfId="0" applyFont="1" applyAlignment="1">
      <alignment horizontal="left" vertical="center" wrapText="1"/>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0" xfId="0" applyFont="1" applyFill="1" applyBorder="1" applyAlignment="1">
      <alignment horizontal="center" vertical="center"/>
    </xf>
    <xf numFmtId="0" fontId="9" fillId="9" borderId="3" xfId="0" applyFont="1" applyFill="1" applyBorder="1" applyAlignment="1">
      <alignment horizontal="center" vertical="center" textRotation="180" wrapText="1"/>
    </xf>
    <xf numFmtId="0" fontId="9" fillId="9" borderId="14" xfId="0" applyFont="1" applyFill="1" applyBorder="1" applyAlignment="1">
      <alignment horizontal="center" vertical="center" textRotation="180" wrapText="1"/>
    </xf>
    <xf numFmtId="0" fontId="9" fillId="9" borderId="6" xfId="0" applyFont="1" applyFill="1" applyBorder="1" applyAlignment="1">
      <alignment horizontal="center" vertical="center" textRotation="180" wrapText="1"/>
    </xf>
    <xf numFmtId="0" fontId="9" fillId="9" borderId="9" xfId="0" applyFont="1" applyFill="1" applyBorder="1" applyAlignment="1">
      <alignment horizontal="center" vertical="center" textRotation="180" wrapText="1"/>
    </xf>
    <xf numFmtId="0" fontId="12" fillId="3" borderId="15" xfId="0" applyFont="1" applyFill="1" applyBorder="1" applyAlignment="1">
      <alignment horizontal="center" vertical="center"/>
    </xf>
    <xf numFmtId="0" fontId="12" fillId="3" borderId="12" xfId="0" applyFont="1" applyFill="1" applyBorder="1" applyAlignment="1">
      <alignment horizontal="center" vertical="center"/>
    </xf>
    <xf numFmtId="0" fontId="12" fillId="3" borderId="13" xfId="0" applyFont="1" applyFill="1" applyBorder="1" applyAlignment="1">
      <alignment horizontal="center" vertical="center"/>
    </xf>
    <xf numFmtId="0" fontId="19" fillId="0" borderId="0" xfId="0" applyFont="1" applyAlignment="1">
      <alignment horizontal="left"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2" fillId="4" borderId="0" xfId="0" applyFont="1" applyFill="1" applyBorder="1" applyAlignment="1">
      <alignment horizontal="center"/>
    </xf>
    <xf numFmtId="0" fontId="2" fillId="0" borderId="0" xfId="0" applyFont="1" applyFill="1" applyBorder="1" applyAlignment="1">
      <alignment horizontal="left" wrapText="1"/>
    </xf>
    <xf numFmtId="0" fontId="3" fillId="0" borderId="0" xfId="0" applyFont="1" applyAlignment="1">
      <alignment horizontal="center" vertical="center" wrapText="1"/>
    </xf>
    <xf numFmtId="0" fontId="26" fillId="3" borderId="10" xfId="0" applyFont="1" applyFill="1" applyBorder="1" applyAlignment="1">
      <alignment horizontal="left" vertical="center" wrapText="1"/>
    </xf>
    <xf numFmtId="0" fontId="26" fillId="3" borderId="1" xfId="0" applyFont="1" applyFill="1" applyBorder="1" applyAlignment="1">
      <alignment horizontal="left" vertical="center" wrapText="1"/>
    </xf>
    <xf numFmtId="0" fontId="26" fillId="3" borderId="11" xfId="0" applyFont="1" applyFill="1" applyBorder="1" applyAlignment="1">
      <alignment horizontal="left" vertical="center" wrapText="1"/>
    </xf>
    <xf numFmtId="0" fontId="27" fillId="3" borderId="15"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7" fillId="3" borderId="13" xfId="0" applyFont="1" applyFill="1" applyBorder="1" applyAlignment="1">
      <alignment horizontal="center" vertical="center" wrapText="1"/>
    </xf>
    <xf numFmtId="0" fontId="19" fillId="0" borderId="0" xfId="0" applyFont="1" applyAlignment="1">
      <alignment horizontal="left" vertical="center" wrapText="1"/>
    </xf>
    <xf numFmtId="0" fontId="12" fillId="0" borderId="0"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5"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CC42-CAB1-4C3E-8921-15AE1AE7768B}">
  <dimension ref="B2:AT294"/>
  <sheetViews>
    <sheetView showGridLines="0" tabSelected="1" workbookViewId="0">
      <selection activeCell="E2" sqref="E2"/>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2.33203125" style="17" customWidth="1"/>
    <col min="8" max="8" width="12.44140625" style="234" customWidth="1"/>
    <col min="9" max="10" width="12.109375" style="234" customWidth="1"/>
    <col min="11" max="11" width="12" style="234" customWidth="1"/>
    <col min="12" max="12" width="12.21875" style="234" customWidth="1"/>
    <col min="13" max="13" width="12.109375" style="234" customWidth="1"/>
    <col min="14" max="14" width="12.88671875" style="234" customWidth="1"/>
    <col min="15" max="15" width="10.88671875" style="234" customWidth="1"/>
    <col min="16" max="16" width="11.44140625" style="234" customWidth="1"/>
    <col min="17" max="17" width="11.109375" style="234" customWidth="1"/>
    <col min="18" max="18" width="12.33203125" style="234" customWidth="1"/>
    <col min="19" max="19" width="12.109375" style="234" customWidth="1"/>
    <col min="20" max="21" width="10.5546875" style="234" customWidth="1"/>
    <col min="22" max="22" width="11.44140625" style="234" customWidth="1"/>
    <col min="23" max="24" width="1.109375" style="234" customWidth="1"/>
    <col min="25" max="25" width="12.21875" style="234" customWidth="1"/>
    <col min="26" max="26" width="12.6640625" style="234" customWidth="1"/>
    <col min="27" max="28" width="12.44140625" style="234" customWidth="1"/>
    <col min="29" max="29" width="11.77734375" style="234" customWidth="1"/>
    <col min="30" max="30" width="12.33203125" style="234" customWidth="1"/>
    <col min="31" max="31" width="12.77734375" style="234" customWidth="1"/>
    <col min="32" max="32" width="11.88671875" style="234" customWidth="1"/>
    <col min="33" max="33" width="11.6640625" style="17" customWidth="1"/>
    <col min="34" max="34" width="10.5546875" style="17" customWidth="1"/>
    <col min="35" max="35" width="11.6640625" style="17" customWidth="1"/>
    <col min="36" max="36" width="10.6640625" style="17" customWidth="1"/>
    <col min="37" max="37" width="0.77734375" style="17" customWidth="1"/>
    <col min="38" max="38" width="12.44140625" style="17" customWidth="1"/>
    <col min="39" max="16384" width="8.88671875" style="1"/>
  </cols>
  <sheetData>
    <row r="2" spans="2:32" ht="18.600000000000001" customHeight="1" x14ac:dyDescent="0.25">
      <c r="B2" s="431" t="s">
        <v>374</v>
      </c>
      <c r="C2" s="432"/>
      <c r="E2" s="50" t="s">
        <v>7</v>
      </c>
      <c r="F2" s="17" t="s">
        <v>7</v>
      </c>
    </row>
    <row r="3" spans="2:32" ht="20.399999999999999" customHeight="1" x14ac:dyDescent="0.3">
      <c r="B3" s="5" t="s">
        <v>501</v>
      </c>
      <c r="E3" s="1"/>
      <c r="I3" s="234" t="s">
        <v>7</v>
      </c>
    </row>
    <row r="4" spans="2:32" ht="9" customHeight="1" x14ac:dyDescent="0.3">
      <c r="B4" s="5"/>
      <c r="E4" s="1"/>
    </row>
    <row r="5" spans="2:32" x14ac:dyDescent="0.25">
      <c r="B5" s="100" t="s">
        <v>428</v>
      </c>
      <c r="E5" s="1"/>
    </row>
    <row r="6" spans="2:32" ht="34.200000000000003" customHeight="1" x14ac:dyDescent="0.25">
      <c r="B6" s="433" t="s">
        <v>429</v>
      </c>
      <c r="C6" s="433"/>
      <c r="D6" s="433"/>
      <c r="E6" s="433"/>
      <c r="F6" s="433"/>
      <c r="G6" s="433"/>
      <c r="H6" s="433"/>
      <c r="I6" s="433"/>
      <c r="J6" s="433"/>
      <c r="K6" s="433"/>
      <c r="L6" s="433"/>
      <c r="M6" s="433"/>
      <c r="N6" s="433"/>
      <c r="O6" s="236"/>
      <c r="P6" s="236"/>
      <c r="Q6" s="236"/>
      <c r="R6" s="236"/>
      <c r="S6" s="236"/>
      <c r="T6" s="236"/>
      <c r="U6" s="236"/>
      <c r="V6" s="236"/>
      <c r="W6" s="236"/>
    </row>
    <row r="7" spans="2:32" x14ac:dyDescent="0.25">
      <c r="E7" s="1"/>
    </row>
    <row r="8" spans="2:32" ht="53.4" customHeight="1" x14ac:dyDescent="0.25">
      <c r="B8" s="434" t="s">
        <v>12</v>
      </c>
      <c r="C8" s="435"/>
      <c r="D8" s="435"/>
      <c r="E8" s="436"/>
      <c r="F8" s="437" t="s">
        <v>430</v>
      </c>
      <c r="G8" s="438"/>
      <c r="H8" s="437" t="s">
        <v>431</v>
      </c>
      <c r="I8" s="438"/>
      <c r="J8" s="439" t="s">
        <v>505</v>
      </c>
      <c r="K8" s="440"/>
      <c r="L8" s="439" t="s">
        <v>503</v>
      </c>
      <c r="M8" s="441"/>
      <c r="N8" s="442"/>
      <c r="O8" s="442"/>
      <c r="P8" s="442"/>
      <c r="Q8" s="442"/>
      <c r="R8" s="210"/>
      <c r="S8" s="210"/>
      <c r="T8" s="210"/>
      <c r="U8" s="210"/>
      <c r="V8" s="210"/>
      <c r="W8" s="210"/>
      <c r="X8" s="206"/>
    </row>
    <row r="9" spans="2:32" ht="14.4" customHeight="1" x14ac:dyDescent="0.25">
      <c r="B9" s="443" t="s">
        <v>432</v>
      </c>
      <c r="C9" s="444"/>
      <c r="D9" s="444"/>
      <c r="E9" s="445"/>
      <c r="F9" s="60" t="s">
        <v>13</v>
      </c>
      <c r="G9" s="60" t="s">
        <v>14</v>
      </c>
      <c r="H9" s="60" t="s">
        <v>13</v>
      </c>
      <c r="I9" s="60" t="s">
        <v>14</v>
      </c>
      <c r="J9" s="115" t="s">
        <v>13</v>
      </c>
      <c r="K9" s="115" t="s">
        <v>14</v>
      </c>
      <c r="L9" s="60" t="s">
        <v>13</v>
      </c>
      <c r="M9" s="60" t="s">
        <v>14</v>
      </c>
      <c r="N9" s="207"/>
      <c r="O9" s="207"/>
      <c r="P9" s="207"/>
      <c r="Q9" s="207"/>
      <c r="R9" s="207"/>
      <c r="S9" s="207"/>
      <c r="T9" s="207"/>
      <c r="U9" s="207"/>
      <c r="V9" s="207"/>
      <c r="W9" s="207"/>
      <c r="X9" s="207"/>
    </row>
    <row r="10" spans="2:32" x14ac:dyDescent="0.25">
      <c r="B10" s="13"/>
      <c r="C10" s="9"/>
      <c r="D10" s="9"/>
      <c r="E10" s="9"/>
      <c r="F10" s="6"/>
      <c r="G10" s="120"/>
      <c r="H10" s="6"/>
      <c r="I10" s="120"/>
      <c r="J10" s="6"/>
      <c r="K10" s="120"/>
      <c r="L10" s="6"/>
      <c r="M10" s="216"/>
      <c r="N10" s="43"/>
      <c r="O10" s="43"/>
      <c r="P10" s="43"/>
      <c r="Q10" s="43"/>
      <c r="R10" s="43"/>
      <c r="S10" s="43"/>
      <c r="T10" s="43"/>
      <c r="U10" s="43"/>
      <c r="V10" s="43"/>
      <c r="W10" s="43"/>
      <c r="X10" s="43"/>
      <c r="Z10" s="24"/>
    </row>
    <row r="11" spans="2:32" ht="14.4" customHeight="1" x14ac:dyDescent="0.25">
      <c r="B11" s="14" t="s">
        <v>15</v>
      </c>
      <c r="C11" s="10"/>
      <c r="D11" s="10"/>
      <c r="E11" s="367">
        <f>F11+H11+J11+L11+N11</f>
        <v>72</v>
      </c>
      <c r="F11" s="7">
        <f>F13+F18+F24+F36+F48+F76+F83+F91</f>
        <v>17</v>
      </c>
      <c r="G11" s="121">
        <f>F11/72</f>
        <v>0.2361111111111111</v>
      </c>
      <c r="H11" s="53">
        <f>SUM(H13+H18+H24+H36+H48+H76+H83+H91)</f>
        <v>14</v>
      </c>
      <c r="I11" s="121">
        <f>H11/72</f>
        <v>0.19444444444444445</v>
      </c>
      <c r="J11" s="7">
        <f>SUM(J13+J18+J24+J36+J48+J76+J83+J91)</f>
        <v>30</v>
      </c>
      <c r="K11" s="121">
        <f>J11/72</f>
        <v>0.41666666666666669</v>
      </c>
      <c r="L11" s="145">
        <f>L13+L18+L24+L36+L48+L76+L83+L91</f>
        <v>11</v>
      </c>
      <c r="M11" s="291">
        <f>L11/72</f>
        <v>0.15277777777777779</v>
      </c>
      <c r="N11" s="43"/>
      <c r="O11" s="43"/>
      <c r="P11" s="43"/>
      <c r="Q11" s="208"/>
      <c r="R11" s="208"/>
      <c r="S11" s="208"/>
      <c r="T11" s="208"/>
      <c r="U11" s="208"/>
      <c r="V11" s="208"/>
      <c r="W11" s="208"/>
      <c r="X11" s="208"/>
      <c r="Y11" s="24"/>
      <c r="Z11" s="24"/>
      <c r="AA11" s="24"/>
      <c r="AB11" s="24"/>
      <c r="AC11" s="24"/>
      <c r="AD11" s="24"/>
      <c r="AE11" s="24"/>
      <c r="AF11" s="24"/>
    </row>
    <row r="12" spans="2:32" x14ac:dyDescent="0.25">
      <c r="B12" s="15"/>
      <c r="C12" s="12"/>
      <c r="D12" s="12"/>
      <c r="E12" s="56"/>
      <c r="F12" s="7"/>
      <c r="G12" s="118"/>
      <c r="H12" s="7"/>
      <c r="I12" s="118"/>
      <c r="J12" s="7"/>
      <c r="K12" s="118"/>
      <c r="L12" s="7"/>
      <c r="M12" s="260"/>
      <c r="N12" s="43"/>
      <c r="O12" s="43"/>
      <c r="P12" s="43"/>
      <c r="Q12" s="43"/>
      <c r="R12" s="43"/>
      <c r="S12" s="43"/>
      <c r="T12" s="43"/>
      <c r="U12" s="43"/>
      <c r="V12" s="43"/>
      <c r="W12" s="43"/>
      <c r="X12" s="43"/>
    </row>
    <row r="13" spans="2:32" x14ac:dyDescent="0.25">
      <c r="B13" s="16" t="s">
        <v>22</v>
      </c>
      <c r="C13" s="11"/>
      <c r="D13" s="11"/>
      <c r="E13" s="156"/>
      <c r="F13" s="8"/>
      <c r="G13" s="233"/>
      <c r="H13" s="8"/>
      <c r="I13" s="233"/>
      <c r="J13" s="8">
        <v>4</v>
      </c>
      <c r="K13" s="233"/>
      <c r="L13" s="8"/>
      <c r="M13" s="4"/>
      <c r="N13" s="43"/>
      <c r="O13" s="43"/>
      <c r="P13" s="43"/>
      <c r="Q13" s="43"/>
      <c r="R13" s="43"/>
      <c r="S13" s="43"/>
      <c r="T13" s="43"/>
      <c r="U13" s="43"/>
      <c r="V13" s="43"/>
      <c r="W13" s="43"/>
      <c r="X13" s="43"/>
    </row>
    <row r="14" spans="2:32" ht="13.2" hidden="1" customHeight="1" x14ac:dyDescent="0.25">
      <c r="B14" s="62" t="s">
        <v>133</v>
      </c>
      <c r="C14" s="11"/>
      <c r="D14" s="11"/>
      <c r="E14" s="96"/>
      <c r="F14" s="63"/>
      <c r="G14" s="233"/>
      <c r="H14" s="8"/>
      <c r="I14" s="233"/>
      <c r="J14" s="67">
        <v>1</v>
      </c>
      <c r="K14" s="233"/>
      <c r="L14" s="8"/>
      <c r="M14" s="4"/>
      <c r="N14" s="43"/>
      <c r="O14" s="43"/>
      <c r="P14" s="43"/>
      <c r="Q14" s="43"/>
      <c r="R14" s="43"/>
      <c r="S14" s="43"/>
      <c r="T14" s="43"/>
      <c r="U14" s="43"/>
      <c r="V14" s="43"/>
      <c r="W14" s="43"/>
      <c r="X14" s="43"/>
    </row>
    <row r="15" spans="2:32" ht="13.2" hidden="1" customHeight="1" x14ac:dyDescent="0.25">
      <c r="B15" s="62" t="s">
        <v>105</v>
      </c>
      <c r="C15" s="11"/>
      <c r="D15" s="11"/>
      <c r="E15" s="96"/>
      <c r="F15" s="63"/>
      <c r="G15" s="233"/>
      <c r="H15" s="8"/>
      <c r="I15" s="233"/>
      <c r="J15" s="68">
        <v>1</v>
      </c>
      <c r="K15" s="233"/>
      <c r="L15" s="8"/>
      <c r="M15" s="4"/>
      <c r="N15" s="43"/>
      <c r="O15" s="43"/>
      <c r="P15" s="43"/>
      <c r="Q15" s="43"/>
      <c r="R15" s="43"/>
      <c r="S15" s="43"/>
      <c r="T15" s="43"/>
      <c r="U15" s="43"/>
      <c r="V15" s="43"/>
      <c r="W15" s="43"/>
      <c r="X15" s="43"/>
    </row>
    <row r="16" spans="2:32" ht="13.2" hidden="1" customHeight="1" x14ac:dyDescent="0.25">
      <c r="B16" s="62" t="s">
        <v>158</v>
      </c>
      <c r="C16" s="11"/>
      <c r="D16" s="11"/>
      <c r="E16" s="96"/>
      <c r="F16" s="63"/>
      <c r="G16" s="233"/>
      <c r="H16" s="8"/>
      <c r="I16" s="233"/>
      <c r="J16" s="68">
        <v>1</v>
      </c>
      <c r="K16" s="233"/>
      <c r="L16" s="8"/>
      <c r="M16" s="4"/>
      <c r="N16" s="43"/>
      <c r="O16" s="43"/>
      <c r="P16" s="43"/>
      <c r="Q16" s="43"/>
      <c r="R16" s="43"/>
      <c r="S16" s="43"/>
      <c r="T16" s="43"/>
      <c r="U16" s="43"/>
      <c r="V16" s="43"/>
      <c r="W16" s="43"/>
      <c r="X16" s="43"/>
    </row>
    <row r="17" spans="2:24" ht="13.2" hidden="1" customHeight="1" x14ac:dyDescent="0.25">
      <c r="B17" s="62" t="s">
        <v>159</v>
      </c>
      <c r="C17" s="11"/>
      <c r="D17" s="11"/>
      <c r="E17" s="96"/>
      <c r="F17" s="63"/>
      <c r="G17" s="233"/>
      <c r="H17" s="8"/>
      <c r="I17" s="233"/>
      <c r="J17" s="69">
        <v>1</v>
      </c>
      <c r="K17" s="233"/>
      <c r="L17" s="63"/>
      <c r="M17" s="4"/>
      <c r="N17" s="43"/>
      <c r="O17" s="43"/>
      <c r="P17" s="43"/>
      <c r="Q17" s="43"/>
      <c r="R17" s="43"/>
      <c r="S17" s="43"/>
      <c r="T17" s="43"/>
      <c r="U17" s="43"/>
      <c r="V17" s="43"/>
      <c r="W17" s="43"/>
      <c r="X17" s="43"/>
    </row>
    <row r="18" spans="2:24" ht="14.4" customHeight="1" x14ac:dyDescent="0.25">
      <c r="B18" s="15" t="s">
        <v>20</v>
      </c>
      <c r="C18" s="12"/>
      <c r="D18" s="12"/>
      <c r="E18" s="95"/>
      <c r="F18" s="7">
        <v>1</v>
      </c>
      <c r="G18" s="118"/>
      <c r="H18" s="7">
        <v>1</v>
      </c>
      <c r="I18" s="118"/>
      <c r="J18" s="7">
        <v>3</v>
      </c>
      <c r="K18" s="118"/>
      <c r="L18" s="7"/>
      <c r="M18" s="260"/>
      <c r="N18" s="43"/>
      <c r="O18" s="43"/>
      <c r="P18" s="43"/>
      <c r="Q18" s="43"/>
      <c r="R18" s="43"/>
      <c r="S18" s="43"/>
      <c r="T18" s="43"/>
      <c r="U18" s="43"/>
      <c r="V18" s="43"/>
      <c r="W18" s="43"/>
      <c r="X18" s="43"/>
    </row>
    <row r="19" spans="2:24" ht="14.4" hidden="1" customHeight="1" x14ac:dyDescent="0.25">
      <c r="B19" s="64" t="s">
        <v>160</v>
      </c>
      <c r="C19" s="12"/>
      <c r="D19" s="12"/>
      <c r="E19" s="118"/>
      <c r="F19" s="119"/>
      <c r="G19" s="118"/>
      <c r="H19" s="119"/>
      <c r="I19" s="118"/>
      <c r="J19" s="67">
        <v>1</v>
      </c>
      <c r="K19" s="118"/>
      <c r="L19" s="146"/>
      <c r="M19" s="260"/>
      <c r="N19" s="43"/>
      <c r="O19" s="43"/>
      <c r="P19" s="43"/>
      <c r="Q19" s="43"/>
      <c r="R19" s="43"/>
      <c r="S19" s="43"/>
      <c r="T19" s="43"/>
      <c r="U19" s="43"/>
      <c r="V19" s="43"/>
      <c r="W19" s="43"/>
      <c r="X19" s="43"/>
    </row>
    <row r="20" spans="2:24" ht="14.4" hidden="1" customHeight="1" x14ac:dyDescent="0.25">
      <c r="B20" s="64" t="s">
        <v>106</v>
      </c>
      <c r="C20" s="12"/>
      <c r="D20" s="12"/>
      <c r="E20" s="118"/>
      <c r="F20" s="164"/>
      <c r="G20" s="118"/>
      <c r="H20" s="164"/>
      <c r="I20" s="118"/>
      <c r="J20" s="68">
        <v>1</v>
      </c>
      <c r="K20" s="118"/>
      <c r="L20" s="146"/>
      <c r="M20" s="260"/>
      <c r="N20" s="43"/>
      <c r="O20" s="43"/>
      <c r="P20" s="43"/>
      <c r="Q20" s="43"/>
      <c r="R20" s="43"/>
      <c r="S20" s="43"/>
      <c r="T20" s="43"/>
      <c r="U20" s="43"/>
      <c r="V20" s="43"/>
      <c r="W20" s="43"/>
      <c r="X20" s="43"/>
    </row>
    <row r="21" spans="2:24" ht="14.4" hidden="1" customHeight="1" x14ac:dyDescent="0.25">
      <c r="B21" s="64" t="s">
        <v>161</v>
      </c>
      <c r="C21" s="12"/>
      <c r="D21" s="12"/>
      <c r="E21" s="118"/>
      <c r="F21" s="164"/>
      <c r="G21" s="118"/>
      <c r="H21" s="164"/>
      <c r="I21" s="118"/>
      <c r="J21" s="68">
        <v>1</v>
      </c>
      <c r="K21" s="118"/>
      <c r="L21" s="146"/>
      <c r="M21" s="260"/>
      <c r="N21" s="43"/>
      <c r="O21" s="43"/>
      <c r="P21" s="43"/>
      <c r="Q21" s="43"/>
      <c r="R21" s="43"/>
      <c r="S21" s="43"/>
      <c r="T21" s="43"/>
      <c r="U21" s="43"/>
      <c r="V21" s="43"/>
      <c r="W21" s="43"/>
      <c r="X21" s="43"/>
    </row>
    <row r="22" spans="2:24" ht="14.4" hidden="1" customHeight="1" x14ac:dyDescent="0.25">
      <c r="B22" s="64" t="s">
        <v>162</v>
      </c>
      <c r="C22" s="12"/>
      <c r="D22" s="12"/>
      <c r="E22" s="118"/>
      <c r="F22" s="68"/>
      <c r="G22" s="118"/>
      <c r="H22" s="68">
        <v>1</v>
      </c>
      <c r="I22" s="118"/>
      <c r="J22" s="68"/>
      <c r="K22" s="118"/>
      <c r="L22" s="146"/>
      <c r="M22" s="260"/>
      <c r="N22" s="43"/>
      <c r="O22" s="43"/>
      <c r="P22" s="43"/>
      <c r="Q22" s="43"/>
      <c r="R22" s="43"/>
      <c r="S22" s="43"/>
      <c r="T22" s="43"/>
      <c r="U22" s="43"/>
      <c r="V22" s="43"/>
      <c r="W22" s="43"/>
      <c r="X22" s="43"/>
    </row>
    <row r="23" spans="2:24" ht="14.4" hidden="1" customHeight="1" x14ac:dyDescent="0.25">
      <c r="B23" s="64" t="s">
        <v>134</v>
      </c>
      <c r="C23" s="12"/>
      <c r="D23" s="12"/>
      <c r="E23" s="118"/>
      <c r="F23" s="69">
        <v>1</v>
      </c>
      <c r="G23" s="118"/>
      <c r="H23" s="245"/>
      <c r="I23" s="118"/>
      <c r="J23" s="69"/>
      <c r="K23" s="118"/>
      <c r="L23" s="146"/>
      <c r="M23" s="260"/>
      <c r="N23" s="43"/>
      <c r="O23" s="43"/>
      <c r="P23" s="43"/>
      <c r="Q23" s="43"/>
      <c r="R23" s="43"/>
      <c r="S23" s="43"/>
      <c r="T23" s="43"/>
      <c r="U23" s="43"/>
      <c r="V23" s="43"/>
      <c r="W23" s="43"/>
      <c r="X23" s="43"/>
    </row>
    <row r="24" spans="2:24" ht="14.4" customHeight="1" x14ac:dyDescent="0.25">
      <c r="B24" s="16" t="s">
        <v>16</v>
      </c>
      <c r="C24" s="11"/>
      <c r="D24" s="11"/>
      <c r="E24" s="156"/>
      <c r="F24" s="8">
        <v>4</v>
      </c>
      <c r="G24" s="233"/>
      <c r="H24" s="8">
        <v>4</v>
      </c>
      <c r="I24" s="233"/>
      <c r="J24" s="8">
        <v>1</v>
      </c>
      <c r="K24" s="233"/>
      <c r="L24" s="8">
        <v>2</v>
      </c>
      <c r="M24" s="4"/>
      <c r="N24" s="43"/>
      <c r="O24" s="43"/>
      <c r="P24" s="43"/>
      <c r="Q24" s="43"/>
      <c r="R24" s="43"/>
      <c r="S24" s="43"/>
      <c r="T24" s="43"/>
      <c r="U24" s="43"/>
      <c r="V24" s="43"/>
      <c r="W24" s="43"/>
      <c r="X24" s="43"/>
    </row>
    <row r="25" spans="2:24" ht="14.4" hidden="1" customHeight="1" x14ac:dyDescent="0.25">
      <c r="B25" s="62" t="s">
        <v>107</v>
      </c>
      <c r="C25" s="11"/>
      <c r="D25" s="11"/>
      <c r="E25" s="233"/>
      <c r="F25" s="119"/>
      <c r="G25" s="233"/>
      <c r="H25" s="119"/>
      <c r="I25" s="233"/>
      <c r="J25" s="67">
        <v>1</v>
      </c>
      <c r="K25" s="233"/>
      <c r="L25" s="67"/>
      <c r="M25" s="4"/>
      <c r="N25" s="43"/>
      <c r="O25" s="43"/>
      <c r="P25" s="43"/>
      <c r="Q25" s="43"/>
      <c r="R25" s="43"/>
      <c r="S25" s="43"/>
      <c r="T25" s="43"/>
      <c r="U25" s="43"/>
      <c r="V25" s="43"/>
      <c r="W25" s="43"/>
      <c r="X25" s="43"/>
    </row>
    <row r="26" spans="2:24" ht="14.4" hidden="1" customHeight="1" x14ac:dyDescent="0.25">
      <c r="B26" s="62" t="s">
        <v>135</v>
      </c>
      <c r="C26" s="11"/>
      <c r="D26" s="11"/>
      <c r="E26" s="233"/>
      <c r="F26" s="68">
        <v>1</v>
      </c>
      <c r="G26" s="233"/>
      <c r="H26" s="164"/>
      <c r="I26" s="233"/>
      <c r="J26" s="68"/>
      <c r="K26" s="233"/>
      <c r="L26" s="68"/>
      <c r="M26" s="4"/>
      <c r="N26" s="43"/>
      <c r="O26" s="43"/>
      <c r="P26" s="43"/>
      <c r="Q26" s="43"/>
      <c r="R26" s="43"/>
      <c r="S26" s="43"/>
      <c r="T26" s="43"/>
      <c r="U26" s="43"/>
      <c r="V26" s="43"/>
      <c r="W26" s="43"/>
      <c r="X26" s="43"/>
    </row>
    <row r="27" spans="2:24" ht="14.4" hidden="1" customHeight="1" x14ac:dyDescent="0.25">
      <c r="B27" s="62" t="s">
        <v>182</v>
      </c>
      <c r="C27" s="11"/>
      <c r="D27" s="11"/>
      <c r="E27" s="233"/>
      <c r="F27" s="68"/>
      <c r="G27" s="233"/>
      <c r="H27" s="164">
        <v>1</v>
      </c>
      <c r="I27" s="233"/>
      <c r="J27" s="68"/>
      <c r="K27" s="233"/>
      <c r="L27" s="68"/>
      <c r="M27" s="4"/>
      <c r="N27" s="43"/>
      <c r="O27" s="43"/>
      <c r="P27" s="43"/>
      <c r="Q27" s="43"/>
      <c r="R27" s="43"/>
      <c r="S27" s="43"/>
      <c r="T27" s="43"/>
      <c r="U27" s="43"/>
      <c r="V27" s="43"/>
      <c r="W27" s="43"/>
      <c r="X27" s="43"/>
    </row>
    <row r="28" spans="2:24" ht="14.4" hidden="1" customHeight="1" x14ac:dyDescent="0.25">
      <c r="B28" s="62" t="s">
        <v>136</v>
      </c>
      <c r="C28" s="11"/>
      <c r="D28" s="11"/>
      <c r="E28" s="233"/>
      <c r="F28" s="68">
        <v>1</v>
      </c>
      <c r="G28" s="233"/>
      <c r="H28" s="164"/>
      <c r="I28" s="233"/>
      <c r="J28" s="68"/>
      <c r="K28" s="233"/>
      <c r="L28" s="68"/>
      <c r="M28" s="4"/>
      <c r="N28" s="43"/>
      <c r="O28" s="43"/>
      <c r="P28" s="43"/>
      <c r="Q28" s="43"/>
      <c r="R28" s="43"/>
      <c r="S28" s="43"/>
      <c r="T28" s="43"/>
      <c r="U28" s="43"/>
      <c r="V28" s="43"/>
      <c r="W28" s="43"/>
      <c r="X28" s="43"/>
    </row>
    <row r="29" spans="2:24" ht="14.4" hidden="1" customHeight="1" x14ac:dyDescent="0.25">
      <c r="B29" s="62" t="s">
        <v>183</v>
      </c>
      <c r="C29" s="11"/>
      <c r="D29" s="11"/>
      <c r="E29" s="233"/>
      <c r="F29" s="68">
        <v>1</v>
      </c>
      <c r="G29" s="233"/>
      <c r="H29" s="164"/>
      <c r="I29" s="233"/>
      <c r="J29" s="68"/>
      <c r="K29" s="233"/>
      <c r="L29" s="68"/>
      <c r="M29" s="4"/>
      <c r="N29" s="43"/>
      <c r="O29" s="43"/>
      <c r="P29" s="43"/>
      <c r="Q29" s="43"/>
      <c r="R29" s="43"/>
      <c r="S29" s="43"/>
      <c r="T29" s="43"/>
      <c r="U29" s="43"/>
      <c r="V29" s="43"/>
      <c r="W29" s="43"/>
      <c r="X29" s="43"/>
    </row>
    <row r="30" spans="2:24" ht="14.4" hidden="1" customHeight="1" x14ac:dyDescent="0.25">
      <c r="B30" s="62" t="s">
        <v>252</v>
      </c>
      <c r="C30" s="11"/>
      <c r="D30" s="11"/>
      <c r="E30" s="233"/>
      <c r="F30" s="68">
        <v>1</v>
      </c>
      <c r="G30" s="233"/>
      <c r="H30" s="164"/>
      <c r="I30" s="233"/>
      <c r="J30" s="68"/>
      <c r="K30" s="233"/>
      <c r="L30" s="68"/>
      <c r="M30" s="4"/>
      <c r="N30" s="43"/>
      <c r="O30" s="43"/>
      <c r="P30" s="43"/>
      <c r="Q30" s="43"/>
      <c r="R30" s="43"/>
      <c r="S30" s="43"/>
      <c r="T30" s="43"/>
      <c r="U30" s="43"/>
      <c r="V30" s="43"/>
      <c r="W30" s="43"/>
      <c r="X30" s="43"/>
    </row>
    <row r="31" spans="2:24" ht="14.4" hidden="1" customHeight="1" x14ac:dyDescent="0.25">
      <c r="B31" s="62" t="s">
        <v>251</v>
      </c>
      <c r="C31" s="11"/>
      <c r="D31" s="11"/>
      <c r="E31" s="233"/>
      <c r="F31" s="68"/>
      <c r="G31" s="233"/>
      <c r="H31" s="164"/>
      <c r="I31" s="233"/>
      <c r="J31" s="68"/>
      <c r="K31" s="233"/>
      <c r="L31" s="68">
        <v>1</v>
      </c>
      <c r="M31" s="4"/>
      <c r="N31" s="43"/>
      <c r="O31" s="43"/>
      <c r="P31" s="43"/>
      <c r="Q31" s="43"/>
      <c r="R31" s="43"/>
      <c r="S31" s="43"/>
      <c r="T31" s="43"/>
      <c r="U31" s="43"/>
      <c r="V31" s="43"/>
      <c r="W31" s="43"/>
      <c r="X31" s="43"/>
    </row>
    <row r="32" spans="2:24" ht="14.4" hidden="1" customHeight="1" x14ac:dyDescent="0.25">
      <c r="B32" s="62" t="s">
        <v>145</v>
      </c>
      <c r="C32" s="11"/>
      <c r="D32" s="11"/>
      <c r="E32" s="233"/>
      <c r="F32" s="68"/>
      <c r="G32" s="233"/>
      <c r="H32" s="164">
        <v>1</v>
      </c>
      <c r="I32" s="233"/>
      <c r="J32" s="68"/>
      <c r="K32" s="233"/>
      <c r="L32" s="68"/>
      <c r="M32" s="4"/>
      <c r="N32" s="43"/>
      <c r="O32" s="43"/>
      <c r="P32" s="43"/>
      <c r="Q32" s="43"/>
      <c r="R32" s="43"/>
      <c r="S32" s="43"/>
      <c r="T32" s="43"/>
      <c r="U32" s="43"/>
      <c r="V32" s="43"/>
      <c r="W32" s="43"/>
      <c r="X32" s="43"/>
    </row>
    <row r="33" spans="2:24" ht="14.4" hidden="1" customHeight="1" x14ac:dyDescent="0.25">
      <c r="B33" s="62" t="s">
        <v>433</v>
      </c>
      <c r="C33" s="11"/>
      <c r="D33" s="11"/>
      <c r="E33" s="233"/>
      <c r="F33" s="68"/>
      <c r="G33" s="233"/>
      <c r="H33" s="164">
        <v>1</v>
      </c>
      <c r="I33" s="233"/>
      <c r="J33" s="68"/>
      <c r="K33" s="233"/>
      <c r="L33" s="68"/>
      <c r="M33" s="4"/>
      <c r="N33" s="43"/>
      <c r="O33" s="43"/>
      <c r="P33" s="43"/>
      <c r="Q33" s="43"/>
      <c r="R33" s="43"/>
      <c r="S33" s="43"/>
      <c r="T33" s="43"/>
      <c r="U33" s="43"/>
      <c r="V33" s="43"/>
      <c r="W33" s="43"/>
      <c r="X33" s="43"/>
    </row>
    <row r="34" spans="2:24" ht="14.4" hidden="1" customHeight="1" x14ac:dyDescent="0.25">
      <c r="B34" s="62" t="s">
        <v>253</v>
      </c>
      <c r="C34" s="11"/>
      <c r="D34" s="11"/>
      <c r="E34" s="233"/>
      <c r="F34" s="68"/>
      <c r="G34" s="233"/>
      <c r="H34" s="164"/>
      <c r="I34" s="233"/>
      <c r="J34" s="68"/>
      <c r="K34" s="233"/>
      <c r="L34" s="68">
        <v>1</v>
      </c>
      <c r="M34" s="4"/>
      <c r="N34" s="43"/>
      <c r="O34" s="43"/>
      <c r="P34" s="43"/>
      <c r="Q34" s="43"/>
      <c r="R34" s="43"/>
      <c r="S34" s="43"/>
      <c r="T34" s="43"/>
      <c r="U34" s="43"/>
      <c r="V34" s="43"/>
      <c r="W34" s="43"/>
      <c r="X34" s="43"/>
    </row>
    <row r="35" spans="2:24" ht="14.4" hidden="1" customHeight="1" x14ac:dyDescent="0.25">
      <c r="B35" s="62" t="s">
        <v>254</v>
      </c>
      <c r="C35" s="11"/>
      <c r="D35" s="11"/>
      <c r="E35" s="233"/>
      <c r="F35" s="69"/>
      <c r="G35" s="233"/>
      <c r="H35" s="245">
        <v>1</v>
      </c>
      <c r="I35" s="233"/>
      <c r="J35" s="69"/>
      <c r="K35" s="233"/>
      <c r="L35" s="69"/>
      <c r="M35" s="4"/>
      <c r="N35" s="43"/>
      <c r="O35" s="43"/>
      <c r="P35" s="43"/>
      <c r="Q35" s="43"/>
      <c r="R35" s="43"/>
      <c r="S35" s="43"/>
      <c r="T35" s="43"/>
      <c r="U35" s="43"/>
      <c r="V35" s="43"/>
      <c r="W35" s="43"/>
      <c r="X35" s="43"/>
    </row>
    <row r="36" spans="2:24" ht="14.4" customHeight="1" x14ac:dyDescent="0.25">
      <c r="B36" s="15" t="s">
        <v>17</v>
      </c>
      <c r="C36" s="12"/>
      <c r="D36" s="12"/>
      <c r="E36" s="95"/>
      <c r="F36" s="7">
        <v>2</v>
      </c>
      <c r="G36" s="118"/>
      <c r="H36" s="7">
        <v>2</v>
      </c>
      <c r="I36" s="118"/>
      <c r="J36" s="7">
        <v>5</v>
      </c>
      <c r="K36" s="118"/>
      <c r="L36" s="7">
        <v>2</v>
      </c>
      <c r="M36" s="260"/>
      <c r="N36" s="43"/>
      <c r="O36" s="43"/>
      <c r="P36" s="43"/>
      <c r="Q36" s="43"/>
      <c r="R36" s="43"/>
      <c r="S36" s="43"/>
      <c r="T36" s="43"/>
      <c r="U36" s="43"/>
      <c r="V36" s="43"/>
      <c r="W36" s="43"/>
      <c r="X36" s="43"/>
    </row>
    <row r="37" spans="2:24" ht="14.4" hidden="1" customHeight="1" x14ac:dyDescent="0.25">
      <c r="B37" s="64" t="s">
        <v>163</v>
      </c>
      <c r="C37" s="65"/>
      <c r="D37" s="65"/>
      <c r="E37" s="97"/>
      <c r="F37" s="67"/>
      <c r="G37" s="97"/>
      <c r="H37" s="67"/>
      <c r="I37" s="97"/>
      <c r="J37" s="67">
        <v>1</v>
      </c>
      <c r="K37" s="143"/>
      <c r="L37" s="67"/>
      <c r="M37" s="294"/>
      <c r="N37" s="205"/>
      <c r="O37" s="205"/>
      <c r="P37" s="205"/>
      <c r="Q37" s="205"/>
      <c r="R37" s="205"/>
      <c r="S37" s="205"/>
      <c r="T37" s="205"/>
      <c r="U37" s="205"/>
      <c r="V37" s="205"/>
      <c r="W37" s="205"/>
      <c r="X37" s="205"/>
    </row>
    <row r="38" spans="2:24" ht="14.4" hidden="1" customHeight="1" x14ac:dyDescent="0.25">
      <c r="B38" s="64" t="s">
        <v>434</v>
      </c>
      <c r="C38" s="65"/>
      <c r="D38" s="65"/>
      <c r="E38" s="97"/>
      <c r="F38" s="68"/>
      <c r="G38" s="97"/>
      <c r="H38" s="68">
        <v>1</v>
      </c>
      <c r="I38" s="97"/>
      <c r="J38" s="68"/>
      <c r="K38" s="143"/>
      <c r="L38" s="68"/>
      <c r="M38" s="294"/>
      <c r="N38" s="205"/>
      <c r="O38" s="205"/>
      <c r="P38" s="205"/>
      <c r="Q38" s="205"/>
      <c r="R38" s="205"/>
      <c r="S38" s="205"/>
      <c r="T38" s="205"/>
      <c r="U38" s="205"/>
      <c r="V38" s="205"/>
      <c r="W38" s="205"/>
      <c r="X38" s="205"/>
    </row>
    <row r="39" spans="2:24" ht="14.4" hidden="1" customHeight="1" x14ac:dyDescent="0.25">
      <c r="B39" s="64" t="s">
        <v>177</v>
      </c>
      <c r="C39" s="65"/>
      <c r="D39" s="65"/>
      <c r="E39" s="97"/>
      <c r="F39" s="68"/>
      <c r="G39" s="97"/>
      <c r="H39" s="68">
        <v>1</v>
      </c>
      <c r="I39" s="97"/>
      <c r="J39" s="68"/>
      <c r="K39" s="143"/>
      <c r="L39" s="68"/>
      <c r="M39" s="294"/>
      <c r="N39" s="205"/>
      <c r="O39" s="205"/>
      <c r="P39" s="205"/>
      <c r="Q39" s="205"/>
      <c r="R39" s="205"/>
      <c r="S39" s="205"/>
      <c r="T39" s="205"/>
      <c r="U39" s="205"/>
      <c r="V39" s="205"/>
      <c r="W39" s="205"/>
      <c r="X39" s="205"/>
    </row>
    <row r="40" spans="2:24" ht="14.4" hidden="1" customHeight="1" x14ac:dyDescent="0.25">
      <c r="B40" s="64" t="s">
        <v>435</v>
      </c>
      <c r="C40" s="65"/>
      <c r="D40" s="65"/>
      <c r="E40" s="97"/>
      <c r="F40" s="68"/>
      <c r="G40" s="97"/>
      <c r="H40" s="68"/>
      <c r="I40" s="97"/>
      <c r="J40" s="68">
        <v>1</v>
      </c>
      <c r="K40" s="143"/>
      <c r="L40" s="68"/>
      <c r="M40" s="294"/>
      <c r="N40" s="205"/>
      <c r="O40" s="205"/>
      <c r="P40" s="205"/>
      <c r="Q40" s="205"/>
      <c r="R40" s="205"/>
      <c r="S40" s="205"/>
      <c r="T40" s="205"/>
      <c r="U40" s="205"/>
      <c r="V40" s="205"/>
      <c r="W40" s="205"/>
      <c r="X40" s="205"/>
    </row>
    <row r="41" spans="2:24" ht="14.4" hidden="1" customHeight="1" x14ac:dyDescent="0.25">
      <c r="B41" s="64" t="s">
        <v>436</v>
      </c>
      <c r="C41" s="65"/>
      <c r="D41" s="65"/>
      <c r="E41" s="97"/>
      <c r="F41" s="68"/>
      <c r="G41" s="97"/>
      <c r="H41" s="68"/>
      <c r="I41" s="97"/>
      <c r="J41" s="68">
        <v>1</v>
      </c>
      <c r="K41" s="143"/>
      <c r="L41" s="68"/>
      <c r="M41" s="294"/>
      <c r="N41" s="205"/>
      <c r="O41" s="205"/>
      <c r="P41" s="205"/>
      <c r="Q41" s="205"/>
      <c r="R41" s="205"/>
      <c r="S41" s="205"/>
      <c r="T41" s="205"/>
      <c r="U41" s="205"/>
      <c r="V41" s="205"/>
      <c r="W41" s="205"/>
      <c r="X41" s="205"/>
    </row>
    <row r="42" spans="2:24" ht="14.4" hidden="1" customHeight="1" x14ac:dyDescent="0.25">
      <c r="B42" s="64" t="s">
        <v>259</v>
      </c>
      <c r="C42" s="65"/>
      <c r="D42" s="65"/>
      <c r="E42" s="97"/>
      <c r="F42" s="68"/>
      <c r="G42" s="97"/>
      <c r="H42" s="68"/>
      <c r="I42" s="97"/>
      <c r="J42" s="68"/>
      <c r="K42" s="143"/>
      <c r="L42" s="68">
        <v>1</v>
      </c>
      <c r="M42" s="294"/>
      <c r="N42" s="205"/>
      <c r="O42" s="205"/>
      <c r="P42" s="205"/>
      <c r="Q42" s="205"/>
      <c r="R42" s="205"/>
      <c r="S42" s="205"/>
      <c r="T42" s="205"/>
      <c r="U42" s="205"/>
      <c r="V42" s="205"/>
      <c r="W42" s="205"/>
      <c r="X42" s="205"/>
    </row>
    <row r="43" spans="2:24" ht="14.4" hidden="1" customHeight="1" x14ac:dyDescent="0.25">
      <c r="B43" s="64" t="s">
        <v>257</v>
      </c>
      <c r="C43" s="65"/>
      <c r="D43" s="65"/>
      <c r="E43" s="97"/>
      <c r="F43" s="68"/>
      <c r="G43" s="97"/>
      <c r="H43" s="68"/>
      <c r="I43" s="97"/>
      <c r="J43" s="68">
        <v>1</v>
      </c>
      <c r="K43" s="143"/>
      <c r="L43" s="68"/>
      <c r="M43" s="294"/>
      <c r="N43" s="205"/>
      <c r="O43" s="205"/>
      <c r="P43" s="205"/>
      <c r="Q43" s="205"/>
      <c r="R43" s="205"/>
      <c r="S43" s="205"/>
      <c r="T43" s="205"/>
      <c r="U43" s="205"/>
      <c r="V43" s="205"/>
      <c r="W43" s="205"/>
      <c r="X43" s="205"/>
    </row>
    <row r="44" spans="2:24" ht="14.4" hidden="1" customHeight="1" x14ac:dyDescent="0.25">
      <c r="B44" s="64" t="s">
        <v>108</v>
      </c>
      <c r="C44" s="65"/>
      <c r="D44" s="65"/>
      <c r="E44" s="97"/>
      <c r="F44" s="68">
        <v>1</v>
      </c>
      <c r="G44" s="97"/>
      <c r="H44" s="68"/>
      <c r="I44" s="97"/>
      <c r="J44" s="68"/>
      <c r="K44" s="143"/>
      <c r="L44" s="68"/>
      <c r="M44" s="294"/>
      <c r="N44" s="205"/>
      <c r="O44" s="205"/>
      <c r="P44" s="205"/>
      <c r="Q44" s="205"/>
      <c r="R44" s="205"/>
      <c r="S44" s="205"/>
      <c r="T44" s="205"/>
      <c r="U44" s="205"/>
      <c r="V44" s="205"/>
      <c r="W44" s="205"/>
      <c r="X44" s="205"/>
    </row>
    <row r="45" spans="2:24" ht="14.4" hidden="1" customHeight="1" x14ac:dyDescent="0.25">
      <c r="B45" s="64" t="s">
        <v>181</v>
      </c>
      <c r="C45" s="65"/>
      <c r="D45" s="65"/>
      <c r="E45" s="97"/>
      <c r="F45" s="68"/>
      <c r="G45" s="97"/>
      <c r="H45" s="68"/>
      <c r="I45" s="97"/>
      <c r="J45" s="68"/>
      <c r="K45" s="143"/>
      <c r="L45" s="68">
        <v>1</v>
      </c>
      <c r="M45" s="294"/>
      <c r="N45" s="205"/>
      <c r="O45" s="205"/>
      <c r="P45" s="205"/>
      <c r="Q45" s="205"/>
      <c r="R45" s="205"/>
      <c r="S45" s="205"/>
      <c r="T45" s="205"/>
      <c r="U45" s="205"/>
      <c r="V45" s="205"/>
      <c r="W45" s="205"/>
      <c r="X45" s="205"/>
    </row>
    <row r="46" spans="2:24" ht="14.4" hidden="1" customHeight="1" x14ac:dyDescent="0.25">
      <c r="B46" s="122" t="s">
        <v>137</v>
      </c>
      <c r="C46" s="65"/>
      <c r="D46" s="65"/>
      <c r="E46" s="97"/>
      <c r="F46" s="68"/>
      <c r="G46" s="97"/>
      <c r="H46" s="68"/>
      <c r="I46" s="97"/>
      <c r="J46" s="68">
        <v>1</v>
      </c>
      <c r="K46" s="143"/>
      <c r="L46" s="68"/>
      <c r="M46" s="294"/>
      <c r="N46" s="205"/>
      <c r="O46" s="205"/>
      <c r="P46" s="205"/>
      <c r="Q46" s="205"/>
      <c r="R46" s="205"/>
      <c r="S46" s="205"/>
      <c r="T46" s="205"/>
      <c r="U46" s="205"/>
      <c r="V46" s="205"/>
      <c r="W46" s="205"/>
      <c r="X46" s="205"/>
    </row>
    <row r="47" spans="2:24" ht="14.4" hidden="1" customHeight="1" x14ac:dyDescent="0.25">
      <c r="B47" s="122" t="s">
        <v>258</v>
      </c>
      <c r="C47" s="65"/>
      <c r="D47" s="65"/>
      <c r="E47" s="97"/>
      <c r="F47" s="69">
        <v>1</v>
      </c>
      <c r="G47" s="97"/>
      <c r="H47" s="69"/>
      <c r="I47" s="97"/>
      <c r="J47" s="69"/>
      <c r="K47" s="143"/>
      <c r="L47" s="69"/>
      <c r="M47" s="294"/>
      <c r="N47" s="205"/>
      <c r="O47" s="205"/>
      <c r="P47" s="205"/>
      <c r="Q47" s="205"/>
      <c r="R47" s="205"/>
      <c r="S47" s="205"/>
      <c r="T47" s="205"/>
      <c r="U47" s="205"/>
      <c r="V47" s="205"/>
      <c r="W47" s="205"/>
      <c r="X47" s="205"/>
    </row>
    <row r="48" spans="2:24" ht="14.4" customHeight="1" x14ac:dyDescent="0.25">
      <c r="B48" s="16" t="s">
        <v>19</v>
      </c>
      <c r="C48" s="11"/>
      <c r="D48" s="11"/>
      <c r="E48" s="156"/>
      <c r="F48" s="8">
        <v>6</v>
      </c>
      <c r="G48" s="233"/>
      <c r="H48" s="8">
        <v>5</v>
      </c>
      <c r="I48" s="233"/>
      <c r="J48" s="8">
        <v>10</v>
      </c>
      <c r="K48" s="233"/>
      <c r="L48" s="8">
        <v>6</v>
      </c>
      <c r="M48" s="4"/>
      <c r="N48" s="43"/>
      <c r="O48" s="43"/>
      <c r="P48" s="43"/>
      <c r="Q48" s="43"/>
      <c r="R48" s="43"/>
      <c r="S48" s="43"/>
      <c r="T48" s="43"/>
      <c r="U48" s="43"/>
      <c r="V48" s="43"/>
      <c r="W48" s="43"/>
      <c r="X48" s="43"/>
    </row>
    <row r="49" spans="2:24" ht="14.4" hidden="1" customHeight="1" x14ac:dyDescent="0.25">
      <c r="B49" s="62" t="s">
        <v>164</v>
      </c>
      <c r="C49" s="70"/>
      <c r="D49" s="70"/>
      <c r="E49" s="98"/>
      <c r="F49" s="67"/>
      <c r="G49" s="98"/>
      <c r="H49" s="67"/>
      <c r="I49" s="98"/>
      <c r="J49" s="67"/>
      <c r="K49" s="98"/>
      <c r="L49" s="67">
        <v>1</v>
      </c>
      <c r="M49" s="295"/>
      <c r="N49" s="205"/>
      <c r="O49" s="205"/>
      <c r="P49" s="205"/>
      <c r="Q49" s="205"/>
      <c r="R49" s="205"/>
      <c r="S49" s="205"/>
      <c r="T49" s="205"/>
      <c r="U49" s="205"/>
      <c r="V49" s="205"/>
      <c r="W49" s="205"/>
      <c r="X49" s="205"/>
    </row>
    <row r="50" spans="2:24" ht="14.4" hidden="1" customHeight="1" x14ac:dyDescent="0.25">
      <c r="B50" s="62" t="s">
        <v>218</v>
      </c>
      <c r="C50" s="70"/>
      <c r="D50" s="70"/>
      <c r="E50" s="98"/>
      <c r="F50" s="68"/>
      <c r="G50" s="98"/>
      <c r="H50" s="68"/>
      <c r="I50" s="98"/>
      <c r="J50" s="68"/>
      <c r="K50" s="98"/>
      <c r="L50" s="68">
        <v>1</v>
      </c>
      <c r="M50" s="295"/>
      <c r="N50" s="205"/>
      <c r="O50" s="205"/>
      <c r="P50" s="205"/>
      <c r="Q50" s="205"/>
      <c r="R50" s="205"/>
      <c r="S50" s="205"/>
      <c r="T50" s="205"/>
      <c r="U50" s="205"/>
      <c r="V50" s="205"/>
      <c r="W50" s="205"/>
      <c r="X50" s="205"/>
    </row>
    <row r="51" spans="2:24" ht="14.4" hidden="1" customHeight="1" x14ac:dyDescent="0.25">
      <c r="B51" s="62" t="s">
        <v>138</v>
      </c>
      <c r="C51" s="70"/>
      <c r="D51" s="70"/>
      <c r="E51" s="98"/>
      <c r="F51" s="68"/>
      <c r="G51" s="98"/>
      <c r="H51" s="68"/>
      <c r="I51" s="98"/>
      <c r="J51" s="68">
        <v>1</v>
      </c>
      <c r="K51" s="98"/>
      <c r="L51" s="68"/>
      <c r="M51" s="295"/>
      <c r="N51" s="205"/>
      <c r="O51" s="205"/>
      <c r="P51" s="205"/>
      <c r="Q51" s="205"/>
      <c r="R51" s="205"/>
      <c r="S51" s="205"/>
      <c r="T51" s="205"/>
      <c r="U51" s="205"/>
      <c r="V51" s="205"/>
      <c r="W51" s="205"/>
      <c r="X51" s="205"/>
    </row>
    <row r="52" spans="2:24" ht="14.4" hidden="1" customHeight="1" x14ac:dyDescent="0.25">
      <c r="B52" s="62" t="s">
        <v>146</v>
      </c>
      <c r="C52" s="70"/>
      <c r="D52" s="70"/>
      <c r="E52" s="98"/>
      <c r="F52" s="68"/>
      <c r="G52" s="98"/>
      <c r="H52" s="68"/>
      <c r="I52" s="98"/>
      <c r="J52" s="68">
        <v>1</v>
      </c>
      <c r="K52" s="98"/>
      <c r="L52" s="68"/>
      <c r="M52" s="295"/>
      <c r="N52" s="205"/>
      <c r="O52" s="205"/>
      <c r="P52" s="205"/>
      <c r="Q52" s="205"/>
      <c r="R52" s="205"/>
      <c r="S52" s="205"/>
      <c r="T52" s="205"/>
      <c r="U52" s="205"/>
      <c r="V52" s="205"/>
      <c r="W52" s="205"/>
      <c r="X52" s="205"/>
    </row>
    <row r="53" spans="2:24" ht="14.4" hidden="1" customHeight="1" x14ac:dyDescent="0.25">
      <c r="B53" s="62" t="s">
        <v>187</v>
      </c>
      <c r="C53" s="70"/>
      <c r="D53" s="70"/>
      <c r="E53" s="98"/>
      <c r="F53" s="68"/>
      <c r="G53" s="98"/>
      <c r="H53" s="68"/>
      <c r="I53" s="98"/>
      <c r="J53" s="68"/>
      <c r="K53" s="98"/>
      <c r="L53" s="68">
        <v>1</v>
      </c>
      <c r="M53" s="295"/>
      <c r="N53" s="205"/>
      <c r="O53" s="205"/>
      <c r="P53" s="205"/>
      <c r="Q53" s="205"/>
      <c r="R53" s="205"/>
      <c r="S53" s="205"/>
      <c r="T53" s="205"/>
      <c r="U53" s="205"/>
      <c r="V53" s="205"/>
      <c r="W53" s="205"/>
      <c r="X53" s="205"/>
    </row>
    <row r="54" spans="2:24" ht="14.4" hidden="1" customHeight="1" x14ac:dyDescent="0.25">
      <c r="B54" s="62" t="s">
        <v>188</v>
      </c>
      <c r="C54" s="70"/>
      <c r="D54" s="70"/>
      <c r="E54" s="98"/>
      <c r="F54" s="68"/>
      <c r="G54" s="98"/>
      <c r="H54" s="68">
        <v>1</v>
      </c>
      <c r="I54" s="98"/>
      <c r="J54" s="68"/>
      <c r="K54" s="98"/>
      <c r="L54" s="68"/>
      <c r="M54" s="295"/>
      <c r="N54" s="205"/>
      <c r="O54" s="205"/>
      <c r="P54" s="205"/>
      <c r="Q54" s="205"/>
      <c r="R54" s="205"/>
      <c r="S54" s="205"/>
      <c r="T54" s="205"/>
      <c r="U54" s="205"/>
      <c r="V54" s="205"/>
      <c r="W54" s="205"/>
      <c r="X54" s="205"/>
    </row>
    <row r="55" spans="2:24" ht="14.4" hidden="1" customHeight="1" x14ac:dyDescent="0.25">
      <c r="B55" s="62" t="s">
        <v>165</v>
      </c>
      <c r="C55" s="70"/>
      <c r="D55" s="70"/>
      <c r="E55" s="98"/>
      <c r="F55" s="68"/>
      <c r="G55" s="98"/>
      <c r="H55" s="68"/>
      <c r="I55" s="98"/>
      <c r="J55" s="68"/>
      <c r="K55" s="98"/>
      <c r="L55" s="68">
        <v>1</v>
      </c>
      <c r="M55" s="295"/>
      <c r="N55" s="205"/>
      <c r="O55" s="205"/>
      <c r="P55" s="205"/>
      <c r="Q55" s="205"/>
      <c r="R55" s="205"/>
      <c r="S55" s="205"/>
      <c r="T55" s="205"/>
      <c r="U55" s="205"/>
      <c r="V55" s="205"/>
      <c r="W55" s="205"/>
      <c r="X55" s="205"/>
    </row>
    <row r="56" spans="2:24" ht="14.4" hidden="1" customHeight="1" x14ac:dyDescent="0.25">
      <c r="B56" s="62" t="s">
        <v>166</v>
      </c>
      <c r="C56" s="70"/>
      <c r="D56" s="70"/>
      <c r="E56" s="98"/>
      <c r="F56" s="68"/>
      <c r="G56" s="98"/>
      <c r="H56" s="68">
        <v>1</v>
      </c>
      <c r="I56" s="98"/>
      <c r="J56" s="68"/>
      <c r="K56" s="98"/>
      <c r="L56" s="68"/>
      <c r="M56" s="295"/>
      <c r="N56" s="205"/>
      <c r="O56" s="205"/>
      <c r="P56" s="205"/>
      <c r="Q56" s="205"/>
      <c r="R56" s="205"/>
      <c r="S56" s="205"/>
      <c r="T56" s="205"/>
      <c r="U56" s="205"/>
      <c r="V56" s="205"/>
      <c r="W56" s="205"/>
      <c r="X56" s="205"/>
    </row>
    <row r="57" spans="2:24" ht="14.4" hidden="1" customHeight="1" x14ac:dyDescent="0.25">
      <c r="B57" s="62" t="s">
        <v>190</v>
      </c>
      <c r="C57" s="70"/>
      <c r="D57" s="70"/>
      <c r="E57" s="98"/>
      <c r="F57" s="68">
        <v>1</v>
      </c>
      <c r="G57" s="98"/>
      <c r="H57" s="68"/>
      <c r="I57" s="98"/>
      <c r="J57" s="68"/>
      <c r="K57" s="98"/>
      <c r="L57" s="68"/>
      <c r="M57" s="295"/>
      <c r="N57" s="205"/>
      <c r="O57" s="205"/>
      <c r="P57" s="205"/>
      <c r="Q57" s="205"/>
      <c r="R57" s="205"/>
      <c r="S57" s="205"/>
      <c r="T57" s="205"/>
      <c r="U57" s="205"/>
      <c r="V57" s="205"/>
      <c r="W57" s="205"/>
      <c r="X57" s="205"/>
    </row>
    <row r="58" spans="2:24" ht="14.4" hidden="1" customHeight="1" x14ac:dyDescent="0.25">
      <c r="B58" s="62" t="s">
        <v>194</v>
      </c>
      <c r="C58" s="70"/>
      <c r="D58" s="70"/>
      <c r="E58" s="98"/>
      <c r="F58" s="68"/>
      <c r="G58" s="98"/>
      <c r="H58" s="68"/>
      <c r="I58" s="98"/>
      <c r="J58" s="68"/>
      <c r="K58" s="98"/>
      <c r="L58" s="68">
        <v>1</v>
      </c>
      <c r="M58" s="295"/>
      <c r="N58" s="205"/>
      <c r="O58" s="205"/>
      <c r="P58" s="205"/>
      <c r="Q58" s="205"/>
      <c r="R58" s="205"/>
      <c r="S58" s="205"/>
      <c r="T58" s="205"/>
      <c r="U58" s="205"/>
      <c r="V58" s="205"/>
      <c r="W58" s="205"/>
      <c r="X58" s="205"/>
    </row>
    <row r="59" spans="2:24" ht="14.4" hidden="1" customHeight="1" x14ac:dyDescent="0.25">
      <c r="B59" s="62" t="s">
        <v>437</v>
      </c>
      <c r="C59" s="70"/>
      <c r="D59" s="70"/>
      <c r="E59" s="98"/>
      <c r="F59" s="68">
        <v>1</v>
      </c>
      <c r="G59" s="98"/>
      <c r="H59" s="68"/>
      <c r="I59" s="98"/>
      <c r="J59" s="68"/>
      <c r="K59" s="98"/>
      <c r="L59" s="68"/>
      <c r="M59" s="295"/>
      <c r="N59" s="205"/>
      <c r="O59" s="205"/>
      <c r="P59" s="205"/>
      <c r="Q59" s="205"/>
      <c r="R59" s="205"/>
      <c r="S59" s="205"/>
      <c r="T59" s="205"/>
      <c r="U59" s="205"/>
      <c r="V59" s="205"/>
      <c r="W59" s="205"/>
      <c r="X59" s="205"/>
    </row>
    <row r="60" spans="2:24" ht="14.4" hidden="1" customHeight="1" x14ac:dyDescent="0.25">
      <c r="B60" s="62" t="s">
        <v>438</v>
      </c>
      <c r="C60" s="70"/>
      <c r="D60" s="70"/>
      <c r="E60" s="98"/>
      <c r="F60" s="68"/>
      <c r="G60" s="98"/>
      <c r="H60" s="68">
        <v>1</v>
      </c>
      <c r="I60" s="98"/>
      <c r="J60" s="68"/>
      <c r="K60" s="98"/>
      <c r="L60" s="68"/>
      <c r="M60" s="295"/>
      <c r="N60" s="205"/>
      <c r="O60" s="205"/>
      <c r="P60" s="205"/>
      <c r="Q60" s="205"/>
      <c r="R60" s="205"/>
      <c r="S60" s="205"/>
      <c r="T60" s="205"/>
      <c r="U60" s="205"/>
      <c r="V60" s="205"/>
      <c r="W60" s="205"/>
      <c r="X60" s="205"/>
    </row>
    <row r="61" spans="2:24" ht="14.4" hidden="1" customHeight="1" x14ac:dyDescent="0.25">
      <c r="B61" s="62" t="s">
        <v>140</v>
      </c>
      <c r="C61" s="70"/>
      <c r="D61" s="70"/>
      <c r="E61" s="98"/>
      <c r="F61" s="68"/>
      <c r="G61" s="98"/>
      <c r="H61" s="68"/>
      <c r="I61" s="98"/>
      <c r="J61" s="68">
        <v>1</v>
      </c>
      <c r="K61" s="98"/>
      <c r="L61" s="68"/>
      <c r="M61" s="295"/>
      <c r="N61" s="205"/>
      <c r="O61" s="205"/>
      <c r="P61" s="205"/>
      <c r="Q61" s="205"/>
      <c r="R61" s="205"/>
      <c r="S61" s="205"/>
      <c r="T61" s="205"/>
      <c r="U61" s="205"/>
      <c r="V61" s="205"/>
      <c r="W61" s="205"/>
      <c r="X61" s="205"/>
    </row>
    <row r="62" spans="2:24" ht="14.4" hidden="1" customHeight="1" x14ac:dyDescent="0.25">
      <c r="B62" s="62" t="s">
        <v>263</v>
      </c>
      <c r="C62" s="70"/>
      <c r="D62" s="70"/>
      <c r="E62" s="98"/>
      <c r="F62" s="68"/>
      <c r="G62" s="98"/>
      <c r="H62" s="68"/>
      <c r="I62" s="98"/>
      <c r="J62" s="68">
        <v>1</v>
      </c>
      <c r="K62" s="98"/>
      <c r="L62" s="68"/>
      <c r="M62" s="295"/>
      <c r="N62" s="205"/>
      <c r="O62" s="205"/>
      <c r="P62" s="205"/>
      <c r="Q62" s="205"/>
      <c r="R62" s="205"/>
      <c r="S62" s="205"/>
      <c r="T62" s="205"/>
      <c r="U62" s="205"/>
      <c r="V62" s="205"/>
      <c r="W62" s="205"/>
      <c r="X62" s="205"/>
    </row>
    <row r="63" spans="2:24" ht="14.4" hidden="1" customHeight="1" x14ac:dyDescent="0.25">
      <c r="B63" s="62" t="s">
        <v>110</v>
      </c>
      <c r="C63" s="70"/>
      <c r="D63" s="70"/>
      <c r="E63" s="98"/>
      <c r="F63" s="68">
        <v>1</v>
      </c>
      <c r="G63" s="98"/>
      <c r="H63" s="68"/>
      <c r="I63" s="98"/>
      <c r="J63" s="68"/>
      <c r="K63" s="98"/>
      <c r="L63" s="68"/>
      <c r="M63" s="295"/>
      <c r="N63" s="205"/>
      <c r="O63" s="205"/>
      <c r="P63" s="205"/>
      <c r="Q63" s="205"/>
      <c r="R63" s="205"/>
      <c r="S63" s="205"/>
      <c r="T63" s="205"/>
      <c r="U63" s="205"/>
      <c r="V63" s="205"/>
      <c r="W63" s="205"/>
      <c r="X63" s="205"/>
    </row>
    <row r="64" spans="2:24" ht="14.4" hidden="1" customHeight="1" x14ac:dyDescent="0.25">
      <c r="B64" s="62" t="s">
        <v>195</v>
      </c>
      <c r="C64" s="70"/>
      <c r="D64" s="70"/>
      <c r="E64" s="98"/>
      <c r="F64" s="68">
        <v>1</v>
      </c>
      <c r="G64" s="98"/>
      <c r="H64" s="68"/>
      <c r="I64" s="98"/>
      <c r="J64" s="68"/>
      <c r="K64" s="98"/>
      <c r="L64" s="68"/>
      <c r="M64" s="295"/>
      <c r="N64" s="205"/>
      <c r="O64" s="205"/>
      <c r="P64" s="205"/>
      <c r="Q64" s="205"/>
      <c r="R64" s="205"/>
      <c r="S64" s="205"/>
      <c r="T64" s="205"/>
      <c r="U64" s="205"/>
      <c r="V64" s="205"/>
      <c r="W64" s="205"/>
      <c r="X64" s="205"/>
    </row>
    <row r="65" spans="2:24" ht="14.4" hidden="1" customHeight="1" x14ac:dyDescent="0.25">
      <c r="B65" s="62" t="s">
        <v>439</v>
      </c>
      <c r="C65" s="70"/>
      <c r="D65" s="70"/>
      <c r="E65" s="98"/>
      <c r="F65" s="68"/>
      <c r="G65" s="98"/>
      <c r="H65" s="68"/>
      <c r="I65" s="98"/>
      <c r="J65" s="68"/>
      <c r="K65" s="98"/>
      <c r="L65" s="68">
        <v>1</v>
      </c>
      <c r="M65" s="295"/>
      <c r="N65" s="205"/>
      <c r="O65" s="205"/>
      <c r="P65" s="205"/>
      <c r="Q65" s="205"/>
      <c r="R65" s="205"/>
      <c r="S65" s="205"/>
      <c r="T65" s="205"/>
      <c r="U65" s="205"/>
      <c r="V65" s="205"/>
      <c r="W65" s="205"/>
      <c r="X65" s="205"/>
    </row>
    <row r="66" spans="2:24" ht="14.4" hidden="1" customHeight="1" x14ac:dyDescent="0.25">
      <c r="B66" s="62" t="s">
        <v>111</v>
      </c>
      <c r="C66" s="70"/>
      <c r="D66" s="70"/>
      <c r="E66" s="98"/>
      <c r="F66" s="68">
        <v>1</v>
      </c>
      <c r="G66" s="98"/>
      <c r="H66" s="68"/>
      <c r="I66" s="98"/>
      <c r="J66" s="68"/>
      <c r="K66" s="98"/>
      <c r="L66" s="68"/>
      <c r="M66" s="295"/>
      <c r="N66" s="205"/>
      <c r="O66" s="205"/>
      <c r="P66" s="205"/>
      <c r="Q66" s="205"/>
      <c r="R66" s="205"/>
      <c r="S66" s="205"/>
      <c r="T66" s="205"/>
      <c r="U66" s="205"/>
      <c r="V66" s="205"/>
      <c r="W66" s="205"/>
      <c r="X66" s="205"/>
    </row>
    <row r="67" spans="2:24" ht="14.4" hidden="1" customHeight="1" x14ac:dyDescent="0.25">
      <c r="B67" s="62" t="s">
        <v>112</v>
      </c>
      <c r="C67" s="70"/>
      <c r="D67" s="70"/>
      <c r="E67" s="98"/>
      <c r="F67" s="68"/>
      <c r="G67" s="98"/>
      <c r="H67" s="68"/>
      <c r="I67" s="98"/>
      <c r="J67" s="68">
        <v>1</v>
      </c>
      <c r="K67" s="98"/>
      <c r="L67" s="68"/>
      <c r="M67" s="295"/>
      <c r="N67" s="209"/>
      <c r="O67" s="209"/>
      <c r="P67" s="209"/>
      <c r="Q67" s="205"/>
      <c r="R67" s="205"/>
      <c r="S67" s="205"/>
      <c r="T67" s="205"/>
      <c r="U67" s="205"/>
      <c r="V67" s="205"/>
      <c r="W67" s="205"/>
      <c r="X67" s="205"/>
    </row>
    <row r="68" spans="2:24" ht="14.4" hidden="1" customHeight="1" x14ac:dyDescent="0.25">
      <c r="B68" s="62" t="s">
        <v>167</v>
      </c>
      <c r="C68" s="70"/>
      <c r="D68" s="70"/>
      <c r="E68" s="98"/>
      <c r="F68" s="68"/>
      <c r="G68" s="98"/>
      <c r="H68" s="68"/>
      <c r="I68" s="98"/>
      <c r="J68" s="68">
        <v>1</v>
      </c>
      <c r="K68" s="98"/>
      <c r="L68" s="68"/>
      <c r="M68" s="295"/>
      <c r="N68" s="205"/>
      <c r="O68" s="205"/>
      <c r="P68" s="205"/>
      <c r="Q68" s="205"/>
      <c r="R68" s="205"/>
      <c r="S68" s="205"/>
      <c r="T68" s="205"/>
      <c r="U68" s="205"/>
      <c r="V68" s="205"/>
      <c r="W68" s="205"/>
      <c r="X68" s="205"/>
    </row>
    <row r="69" spans="2:24" ht="14.4" hidden="1" customHeight="1" x14ac:dyDescent="0.25">
      <c r="B69" s="62" t="s">
        <v>196</v>
      </c>
      <c r="C69" s="70"/>
      <c r="D69" s="70"/>
      <c r="E69" s="98"/>
      <c r="F69" s="68"/>
      <c r="G69" s="98"/>
      <c r="H69" s="68"/>
      <c r="I69" s="98"/>
      <c r="J69" s="68">
        <v>1</v>
      </c>
      <c r="K69" s="98"/>
      <c r="L69" s="68"/>
      <c r="M69" s="295"/>
      <c r="N69" s="205"/>
      <c r="O69" s="205"/>
      <c r="P69" s="205"/>
      <c r="Q69" s="205"/>
      <c r="R69" s="205"/>
      <c r="S69" s="205"/>
      <c r="T69" s="205"/>
      <c r="U69" s="205"/>
      <c r="V69" s="205"/>
      <c r="W69" s="205"/>
      <c r="X69" s="205"/>
    </row>
    <row r="70" spans="2:24" ht="14.4" hidden="1" customHeight="1" x14ac:dyDescent="0.25">
      <c r="B70" s="62" t="s">
        <v>139</v>
      </c>
      <c r="C70" s="70"/>
      <c r="D70" s="70"/>
      <c r="E70" s="98"/>
      <c r="F70" s="68"/>
      <c r="G70" s="98"/>
      <c r="H70" s="68"/>
      <c r="I70" s="98"/>
      <c r="J70" s="68">
        <v>1</v>
      </c>
      <c r="K70" s="98"/>
      <c r="L70" s="68"/>
      <c r="M70" s="295"/>
      <c r="N70" s="205"/>
      <c r="O70" s="205"/>
      <c r="P70" s="205"/>
      <c r="Q70" s="205"/>
      <c r="R70" s="205"/>
      <c r="S70" s="205"/>
      <c r="T70" s="205"/>
      <c r="U70" s="205"/>
      <c r="V70" s="205"/>
      <c r="W70" s="205"/>
      <c r="X70" s="205"/>
    </row>
    <row r="71" spans="2:24" ht="14.4" hidden="1" customHeight="1" x14ac:dyDescent="0.25">
      <c r="B71" s="62" t="s">
        <v>113</v>
      </c>
      <c r="C71" s="70"/>
      <c r="D71" s="70"/>
      <c r="E71" s="98"/>
      <c r="F71" s="68"/>
      <c r="G71" s="98"/>
      <c r="H71" s="68">
        <v>1</v>
      </c>
      <c r="I71" s="98"/>
      <c r="J71" s="68"/>
      <c r="K71" s="98"/>
      <c r="L71" s="68"/>
      <c r="M71" s="295"/>
      <c r="N71" s="205"/>
      <c r="O71" s="205"/>
      <c r="P71" s="205"/>
      <c r="Q71" s="205"/>
      <c r="R71" s="205"/>
      <c r="S71" s="205"/>
      <c r="T71" s="205"/>
      <c r="U71" s="205"/>
      <c r="V71" s="205"/>
      <c r="W71" s="205"/>
      <c r="X71" s="205"/>
    </row>
    <row r="72" spans="2:24" ht="14.4" hidden="1" customHeight="1" x14ac:dyDescent="0.25">
      <c r="B72" s="62" t="s">
        <v>265</v>
      </c>
      <c r="C72" s="70"/>
      <c r="D72" s="70"/>
      <c r="E72" s="98"/>
      <c r="F72" s="68">
        <v>1</v>
      </c>
      <c r="G72" s="98"/>
      <c r="H72" s="68"/>
      <c r="I72" s="98"/>
      <c r="J72" s="68"/>
      <c r="K72" s="98"/>
      <c r="L72" s="68"/>
      <c r="M72" s="295"/>
      <c r="N72" s="205"/>
      <c r="O72" s="205"/>
      <c r="P72" s="205"/>
      <c r="Q72" s="205"/>
      <c r="R72" s="205"/>
      <c r="S72" s="205"/>
      <c r="T72" s="205"/>
      <c r="U72" s="205"/>
      <c r="V72" s="205"/>
      <c r="W72" s="205"/>
      <c r="X72" s="205"/>
    </row>
    <row r="73" spans="2:24" ht="14.4" hidden="1" customHeight="1" x14ac:dyDescent="0.25">
      <c r="B73" s="62" t="s">
        <v>197</v>
      </c>
      <c r="C73" s="70"/>
      <c r="D73" s="70"/>
      <c r="E73" s="98"/>
      <c r="F73" s="68"/>
      <c r="G73" s="98"/>
      <c r="H73" s="68"/>
      <c r="I73" s="98"/>
      <c r="J73" s="68">
        <v>1</v>
      </c>
      <c r="K73" s="98"/>
      <c r="L73" s="68"/>
      <c r="M73" s="295"/>
      <c r="N73" s="205"/>
      <c r="O73" s="205"/>
      <c r="P73" s="205"/>
      <c r="Q73" s="205"/>
      <c r="R73" s="205"/>
      <c r="S73" s="205"/>
      <c r="T73" s="205"/>
      <c r="U73" s="205"/>
      <c r="V73" s="205"/>
      <c r="W73" s="205"/>
      <c r="X73" s="205"/>
    </row>
    <row r="74" spans="2:24" ht="14.4" hidden="1" customHeight="1" x14ac:dyDescent="0.25">
      <c r="B74" s="62" t="s">
        <v>266</v>
      </c>
      <c r="C74" s="70"/>
      <c r="D74" s="70"/>
      <c r="E74" s="98"/>
      <c r="F74" s="68"/>
      <c r="G74" s="98"/>
      <c r="H74" s="68">
        <v>1</v>
      </c>
      <c r="I74" s="98"/>
      <c r="J74" s="68"/>
      <c r="K74" s="98"/>
      <c r="L74" s="68"/>
      <c r="M74" s="295"/>
      <c r="N74" s="205"/>
      <c r="O74" s="205"/>
      <c r="P74" s="205"/>
      <c r="Q74" s="205"/>
      <c r="R74" s="205"/>
      <c r="S74" s="205"/>
      <c r="T74" s="205"/>
      <c r="U74" s="205"/>
      <c r="V74" s="205"/>
      <c r="W74" s="205"/>
      <c r="X74" s="205"/>
    </row>
    <row r="75" spans="2:24" ht="14.4" hidden="1" customHeight="1" x14ac:dyDescent="0.25">
      <c r="B75" s="62" t="s">
        <v>114</v>
      </c>
      <c r="C75" s="70"/>
      <c r="D75" s="70"/>
      <c r="E75" s="98"/>
      <c r="F75" s="69"/>
      <c r="G75" s="98"/>
      <c r="H75" s="69"/>
      <c r="I75" s="98"/>
      <c r="J75" s="69">
        <v>1</v>
      </c>
      <c r="K75" s="98"/>
      <c r="L75" s="69"/>
      <c r="M75" s="295"/>
      <c r="N75" s="205"/>
      <c r="O75" s="205"/>
      <c r="P75" s="205"/>
      <c r="Q75" s="205"/>
      <c r="R75" s="205"/>
      <c r="S75" s="205"/>
      <c r="T75" s="205"/>
      <c r="U75" s="205"/>
      <c r="V75" s="205"/>
      <c r="W75" s="205"/>
      <c r="X75" s="205"/>
    </row>
    <row r="76" spans="2:24" ht="14.4" customHeight="1" x14ac:dyDescent="0.25">
      <c r="B76" s="15" t="s">
        <v>18</v>
      </c>
      <c r="C76" s="12"/>
      <c r="D76" s="12"/>
      <c r="E76" s="95"/>
      <c r="F76" s="7">
        <v>2</v>
      </c>
      <c r="G76" s="118"/>
      <c r="H76" s="7">
        <v>1</v>
      </c>
      <c r="I76" s="118"/>
      <c r="J76" s="7">
        <v>2</v>
      </c>
      <c r="K76" s="118"/>
      <c r="L76" s="7">
        <v>1</v>
      </c>
      <c r="M76" s="7"/>
      <c r="N76" s="43"/>
      <c r="O76" s="43"/>
      <c r="P76" s="43"/>
      <c r="Q76" s="43"/>
      <c r="R76" s="43"/>
      <c r="S76" s="43"/>
      <c r="T76" s="43"/>
      <c r="U76" s="43"/>
      <c r="V76" s="43"/>
      <c r="W76" s="43"/>
      <c r="X76" s="43"/>
    </row>
    <row r="77" spans="2:24" ht="14.4" hidden="1" customHeight="1" x14ac:dyDescent="0.25">
      <c r="B77" s="64" t="s">
        <v>440</v>
      </c>
      <c r="C77" s="12"/>
      <c r="D77" s="12"/>
      <c r="E77" s="118"/>
      <c r="F77" s="67"/>
      <c r="G77" s="118"/>
      <c r="H77" s="119"/>
      <c r="I77" s="118"/>
      <c r="J77" s="67"/>
      <c r="K77" s="118"/>
      <c r="L77" s="67">
        <v>1</v>
      </c>
      <c r="M77" s="7"/>
      <c r="N77" s="43"/>
      <c r="O77" s="43"/>
      <c r="P77" s="43"/>
      <c r="Q77" s="43"/>
      <c r="R77" s="43"/>
      <c r="S77" s="43"/>
      <c r="T77" s="43"/>
      <c r="U77" s="43"/>
      <c r="V77" s="43"/>
      <c r="W77" s="43"/>
      <c r="X77" s="43"/>
    </row>
    <row r="78" spans="2:24" ht="14.4" hidden="1" customHeight="1" x14ac:dyDescent="0.25">
      <c r="B78" s="64" t="s">
        <v>168</v>
      </c>
      <c r="C78" s="12"/>
      <c r="D78" s="12"/>
      <c r="E78" s="118"/>
      <c r="F78" s="68">
        <v>1</v>
      </c>
      <c r="G78" s="118"/>
      <c r="H78" s="164"/>
      <c r="I78" s="118"/>
      <c r="J78" s="68"/>
      <c r="K78" s="118"/>
      <c r="L78" s="68"/>
      <c r="M78" s="7"/>
      <c r="N78" s="43"/>
      <c r="O78" s="43"/>
      <c r="P78" s="43"/>
      <c r="Q78" s="43"/>
      <c r="R78" s="43"/>
      <c r="S78" s="43"/>
      <c r="T78" s="43"/>
      <c r="U78" s="43"/>
      <c r="V78" s="43"/>
      <c r="W78" s="43"/>
      <c r="X78" s="43"/>
    </row>
    <row r="79" spans="2:24" ht="14.4" hidden="1" customHeight="1" x14ac:dyDescent="0.25">
      <c r="B79" s="64" t="s">
        <v>115</v>
      </c>
      <c r="C79" s="12"/>
      <c r="D79" s="12"/>
      <c r="E79" s="118"/>
      <c r="F79" s="68"/>
      <c r="G79" s="118"/>
      <c r="H79" s="164"/>
      <c r="I79" s="118"/>
      <c r="J79" s="68">
        <v>1</v>
      </c>
      <c r="K79" s="118"/>
      <c r="L79" s="68"/>
      <c r="M79" s="7"/>
      <c r="N79" s="43"/>
      <c r="O79" s="43"/>
      <c r="P79" s="43"/>
      <c r="Q79" s="43"/>
      <c r="R79" s="43"/>
      <c r="S79" s="43"/>
      <c r="T79" s="43"/>
      <c r="U79" s="43"/>
      <c r="V79" s="43"/>
      <c r="W79" s="43"/>
      <c r="X79" s="43"/>
    </row>
    <row r="80" spans="2:24" ht="14.4" hidden="1" customHeight="1" x14ac:dyDescent="0.25">
      <c r="B80" s="64" t="s">
        <v>141</v>
      </c>
      <c r="C80" s="12"/>
      <c r="D80" s="12"/>
      <c r="E80" s="118"/>
      <c r="F80" s="68"/>
      <c r="G80" s="118"/>
      <c r="H80" s="164">
        <v>1</v>
      </c>
      <c r="I80" s="118"/>
      <c r="J80" s="68"/>
      <c r="K80" s="118"/>
      <c r="L80" s="68"/>
      <c r="M80" s="7"/>
      <c r="N80" s="43"/>
      <c r="O80" s="43"/>
      <c r="P80" s="43"/>
      <c r="Q80" s="43"/>
      <c r="R80" s="43"/>
      <c r="S80" s="43"/>
      <c r="T80" s="43"/>
      <c r="U80" s="43"/>
      <c r="V80" s="43"/>
      <c r="W80" s="43"/>
      <c r="X80" s="43"/>
    </row>
    <row r="81" spans="2:46" ht="14.4" hidden="1" customHeight="1" x14ac:dyDescent="0.25">
      <c r="B81" s="64" t="s">
        <v>441</v>
      </c>
      <c r="C81" s="12"/>
      <c r="D81" s="12"/>
      <c r="E81" s="118"/>
      <c r="F81" s="68">
        <v>1</v>
      </c>
      <c r="G81" s="118"/>
      <c r="H81" s="164"/>
      <c r="I81" s="118"/>
      <c r="J81" s="68"/>
      <c r="K81" s="118"/>
      <c r="L81" s="68"/>
      <c r="M81" s="7"/>
      <c r="N81" s="43"/>
      <c r="O81" s="43"/>
      <c r="P81" s="43"/>
      <c r="Q81" s="43"/>
      <c r="R81" s="43"/>
      <c r="S81" s="43"/>
      <c r="T81" s="43"/>
      <c r="U81" s="43"/>
      <c r="V81" s="43"/>
      <c r="W81" s="43"/>
      <c r="X81" s="43"/>
    </row>
    <row r="82" spans="2:46" ht="14.4" hidden="1" customHeight="1" x14ac:dyDescent="0.25">
      <c r="B82" s="64" t="s">
        <v>116</v>
      </c>
      <c r="C82" s="12"/>
      <c r="D82" s="12"/>
      <c r="E82" s="118"/>
      <c r="F82" s="69"/>
      <c r="G82" s="118"/>
      <c r="H82" s="245"/>
      <c r="I82" s="118"/>
      <c r="J82" s="69">
        <v>1</v>
      </c>
      <c r="K82" s="118"/>
      <c r="L82" s="69"/>
      <c r="M82" s="7"/>
      <c r="N82" s="43"/>
      <c r="O82" s="43"/>
      <c r="P82" s="43"/>
      <c r="Q82" s="43"/>
      <c r="R82" s="43"/>
      <c r="S82" s="43"/>
      <c r="T82" s="43"/>
      <c r="U82" s="43"/>
      <c r="V82" s="43"/>
      <c r="W82" s="43"/>
      <c r="X82" s="43"/>
    </row>
    <row r="83" spans="2:46" ht="14.4" customHeight="1" x14ac:dyDescent="0.25">
      <c r="B83" s="16" t="s">
        <v>0</v>
      </c>
      <c r="C83" s="11"/>
      <c r="D83" s="11"/>
      <c r="E83" s="156"/>
      <c r="F83" s="8">
        <v>2</v>
      </c>
      <c r="G83" s="233"/>
      <c r="H83" s="8">
        <v>1</v>
      </c>
      <c r="I83" s="233"/>
      <c r="J83" s="8">
        <v>4</v>
      </c>
      <c r="K83" s="233"/>
      <c r="L83" s="8"/>
      <c r="M83" s="8"/>
      <c r="N83" s="43"/>
      <c r="O83" s="43"/>
      <c r="P83" s="43"/>
      <c r="Q83" s="43"/>
      <c r="R83" s="43"/>
      <c r="S83" s="43"/>
      <c r="T83" s="43"/>
      <c r="U83" s="43"/>
      <c r="V83" s="43"/>
      <c r="W83" s="43"/>
      <c r="X83" s="43"/>
    </row>
    <row r="84" spans="2:46" ht="14.4" hidden="1" customHeight="1" x14ac:dyDescent="0.25">
      <c r="B84" s="71" t="s">
        <v>117</v>
      </c>
      <c r="C84" s="70"/>
      <c r="D84" s="11"/>
      <c r="E84" s="233"/>
      <c r="F84" s="67">
        <v>1</v>
      </c>
      <c r="G84" s="98"/>
      <c r="H84" s="67"/>
      <c r="I84" s="98"/>
      <c r="J84" s="67"/>
      <c r="K84" s="233"/>
      <c r="L84" s="8"/>
      <c r="M84" s="8"/>
      <c r="N84" s="43"/>
      <c r="O84" s="43"/>
      <c r="P84" s="43"/>
      <c r="Q84" s="43"/>
      <c r="R84" s="43"/>
      <c r="S84" s="43"/>
      <c r="T84" s="43"/>
      <c r="U84" s="43"/>
      <c r="V84" s="43"/>
      <c r="W84" s="43"/>
      <c r="X84" s="43"/>
    </row>
    <row r="85" spans="2:46" ht="14.4" hidden="1" customHeight="1" x14ac:dyDescent="0.25">
      <c r="B85" s="71" t="s">
        <v>305</v>
      </c>
      <c r="C85" s="70"/>
      <c r="D85" s="11"/>
      <c r="E85" s="233"/>
      <c r="F85" s="68"/>
      <c r="G85" s="98"/>
      <c r="H85" s="68"/>
      <c r="I85" s="98"/>
      <c r="J85" s="68">
        <v>1</v>
      </c>
      <c r="K85" s="233"/>
      <c r="L85" s="8"/>
      <c r="M85" s="8"/>
      <c r="N85" s="43"/>
      <c r="O85" s="43"/>
      <c r="P85" s="43"/>
      <c r="Q85" s="43"/>
      <c r="R85" s="43"/>
      <c r="S85" s="43"/>
      <c r="T85" s="43"/>
      <c r="U85" s="43"/>
      <c r="V85" s="43"/>
      <c r="W85" s="43"/>
      <c r="X85" s="43"/>
    </row>
    <row r="86" spans="2:46" ht="14.4" hidden="1" customHeight="1" x14ac:dyDescent="0.25">
      <c r="B86" s="71" t="s">
        <v>169</v>
      </c>
      <c r="C86" s="70"/>
      <c r="D86" s="11"/>
      <c r="E86" s="233"/>
      <c r="F86" s="68"/>
      <c r="G86" s="98"/>
      <c r="H86" s="68"/>
      <c r="I86" s="98"/>
      <c r="J86" s="68">
        <v>1</v>
      </c>
      <c r="K86" s="233"/>
      <c r="L86" s="8"/>
      <c r="M86" s="8"/>
      <c r="N86" s="43"/>
      <c r="O86" s="43"/>
      <c r="P86" s="43"/>
      <c r="Q86" s="43"/>
      <c r="R86" s="43"/>
      <c r="S86" s="43"/>
      <c r="T86" s="43"/>
      <c r="U86" s="43"/>
      <c r="V86" s="43"/>
      <c r="W86" s="43"/>
      <c r="X86" s="43"/>
    </row>
    <row r="87" spans="2:46" ht="14.4" hidden="1" customHeight="1" x14ac:dyDescent="0.25">
      <c r="B87" s="71" t="s">
        <v>118</v>
      </c>
      <c r="C87" s="70"/>
      <c r="D87" s="11"/>
      <c r="E87" s="233"/>
      <c r="F87" s="68"/>
      <c r="G87" s="98"/>
      <c r="H87" s="68"/>
      <c r="I87" s="98"/>
      <c r="J87" s="68">
        <v>1</v>
      </c>
      <c r="K87" s="233"/>
      <c r="L87" s="63"/>
      <c r="M87" s="8"/>
      <c r="N87" s="43"/>
      <c r="O87" s="43"/>
      <c r="P87" s="43"/>
      <c r="Q87" s="43"/>
      <c r="R87" s="43"/>
      <c r="S87" s="43"/>
      <c r="T87" s="43"/>
      <c r="U87" s="43"/>
      <c r="V87" s="43"/>
      <c r="W87" s="43"/>
      <c r="X87" s="43"/>
    </row>
    <row r="88" spans="2:46" ht="14.4" hidden="1" customHeight="1" x14ac:dyDescent="0.25">
      <c r="B88" s="71" t="s">
        <v>119</v>
      </c>
      <c r="C88" s="70"/>
      <c r="D88" s="11"/>
      <c r="E88" s="233"/>
      <c r="F88" s="68"/>
      <c r="G88" s="98"/>
      <c r="H88" s="68"/>
      <c r="I88" s="98"/>
      <c r="J88" s="68">
        <v>1</v>
      </c>
      <c r="K88" s="233"/>
      <c r="L88" s="63"/>
      <c r="M88" s="8"/>
      <c r="N88" s="43"/>
      <c r="O88" s="43"/>
      <c r="P88" s="43"/>
      <c r="Q88" s="43"/>
      <c r="R88" s="43"/>
      <c r="S88" s="43"/>
      <c r="T88" s="43"/>
      <c r="U88" s="43"/>
      <c r="V88" s="43"/>
      <c r="W88" s="43"/>
      <c r="X88" s="43"/>
    </row>
    <row r="89" spans="2:46" ht="14.4" hidden="1" customHeight="1" x14ac:dyDescent="0.25">
      <c r="B89" s="71" t="s">
        <v>120</v>
      </c>
      <c r="C89" s="70"/>
      <c r="D89" s="11"/>
      <c r="E89" s="233"/>
      <c r="F89" s="68">
        <v>1</v>
      </c>
      <c r="G89" s="98"/>
      <c r="H89" s="68"/>
      <c r="I89" s="98"/>
      <c r="J89" s="68"/>
      <c r="K89" s="233"/>
      <c r="L89" s="63"/>
      <c r="M89" s="8"/>
      <c r="N89" s="43"/>
      <c r="O89" s="43"/>
      <c r="P89" s="43"/>
      <c r="Q89" s="43"/>
      <c r="R89" s="43"/>
      <c r="S89" s="43"/>
      <c r="T89" s="43"/>
      <c r="U89" s="43"/>
      <c r="V89" s="43"/>
      <c r="W89" s="43"/>
      <c r="X89" s="43"/>
    </row>
    <row r="90" spans="2:46" ht="14.4" hidden="1" customHeight="1" x14ac:dyDescent="0.25">
      <c r="B90" s="71" t="s">
        <v>121</v>
      </c>
      <c r="C90" s="70"/>
      <c r="D90" s="11"/>
      <c r="E90" s="233"/>
      <c r="F90" s="69"/>
      <c r="G90" s="98"/>
      <c r="H90" s="69"/>
      <c r="I90" s="98"/>
      <c r="J90" s="69">
        <v>1</v>
      </c>
      <c r="K90" s="233"/>
      <c r="L90" s="63"/>
      <c r="M90" s="8"/>
      <c r="N90" s="43"/>
      <c r="O90" s="43"/>
      <c r="P90" s="43"/>
      <c r="Q90" s="43"/>
      <c r="R90" s="43"/>
      <c r="S90" s="43"/>
      <c r="T90" s="43"/>
      <c r="U90" s="43"/>
      <c r="V90" s="43"/>
      <c r="W90" s="43"/>
      <c r="X90" s="43"/>
    </row>
    <row r="91" spans="2:46" ht="14.4" customHeight="1" x14ac:dyDescent="0.25">
      <c r="B91" s="72" t="s">
        <v>94</v>
      </c>
      <c r="C91" s="59"/>
      <c r="D91" s="59"/>
      <c r="E91" s="165"/>
      <c r="F91" s="23"/>
      <c r="G91" s="99"/>
      <c r="H91" s="23"/>
      <c r="I91" s="99"/>
      <c r="J91" s="23">
        <v>1</v>
      </c>
      <c r="K91" s="123"/>
      <c r="L91" s="23"/>
      <c r="M91" s="163"/>
      <c r="N91" s="209"/>
      <c r="O91" s="209"/>
      <c r="P91" s="209"/>
      <c r="Q91" s="209"/>
      <c r="R91" s="209"/>
      <c r="S91" s="209"/>
      <c r="T91" s="209"/>
      <c r="U91" s="209"/>
      <c r="V91" s="209"/>
      <c r="W91" s="209"/>
      <c r="X91" s="209"/>
    </row>
    <row r="92" spans="2:46" ht="9.6" customHeight="1" x14ac:dyDescent="0.25">
      <c r="B92" s="12"/>
      <c r="C92" s="12"/>
      <c r="D92" s="12"/>
      <c r="E92" s="118"/>
      <c r="F92" s="118"/>
      <c r="G92" s="118"/>
      <c r="H92" s="118"/>
      <c r="I92" s="118"/>
      <c r="J92" s="118"/>
      <c r="K92" s="118"/>
      <c r="L92" s="118"/>
      <c r="M92" s="118"/>
      <c r="N92" s="118"/>
      <c r="O92" s="118"/>
      <c r="P92" s="118"/>
      <c r="Q92" s="118"/>
      <c r="R92" s="118"/>
      <c r="S92" s="118"/>
      <c r="T92" s="118"/>
      <c r="U92" s="118"/>
      <c r="V92" s="118"/>
      <c r="W92" s="118"/>
    </row>
    <row r="93" spans="2:46" ht="6" customHeight="1" x14ac:dyDescent="0.25">
      <c r="B93" s="446" t="s">
        <v>7</v>
      </c>
      <c r="C93" s="446"/>
      <c r="D93" s="446"/>
      <c r="E93" s="446"/>
      <c r="F93" s="446"/>
      <c r="G93" s="446"/>
      <c r="H93" s="446"/>
      <c r="I93" s="446"/>
      <c r="J93" s="446"/>
      <c r="K93" s="446"/>
      <c r="L93" s="446"/>
      <c r="M93" s="235"/>
      <c r="N93" s="235"/>
      <c r="O93" s="235"/>
      <c r="P93" s="235"/>
      <c r="Q93" s="235"/>
      <c r="R93" s="235"/>
      <c r="S93" s="235"/>
      <c r="T93" s="235"/>
      <c r="U93" s="235"/>
      <c r="V93" s="235"/>
      <c r="W93" s="235"/>
    </row>
    <row r="94" spans="2:46" ht="16.2" customHeight="1" x14ac:dyDescent="0.25">
      <c r="B94" s="10" t="s">
        <v>442</v>
      </c>
      <c r="C94" s="235"/>
      <c r="D94" s="235"/>
      <c r="E94" s="235"/>
      <c r="F94" s="235"/>
      <c r="G94" s="235"/>
      <c r="H94" s="235"/>
      <c r="I94" s="235"/>
      <c r="J94" s="235"/>
      <c r="K94" s="235"/>
      <c r="L94" s="235"/>
      <c r="M94" s="235"/>
      <c r="N94" s="235"/>
      <c r="O94" s="235"/>
      <c r="P94" s="235"/>
      <c r="Q94" s="235"/>
      <c r="R94" s="235"/>
      <c r="S94" s="235"/>
      <c r="T94" s="235"/>
      <c r="U94" s="235"/>
      <c r="V94" s="235"/>
      <c r="W94" s="235"/>
    </row>
    <row r="95" spans="2:46" ht="8.4" customHeight="1" x14ac:dyDescent="0.25">
      <c r="B95" s="10"/>
      <c r="C95" s="12"/>
      <c r="D95" s="12"/>
      <c r="E95" s="118"/>
      <c r="F95" s="118"/>
      <c r="G95" s="118"/>
      <c r="H95" s="118"/>
      <c r="I95" s="118"/>
      <c r="J95" s="118"/>
      <c r="K95" s="118"/>
      <c r="L95" s="118"/>
      <c r="M95" s="118"/>
      <c r="N95" s="118"/>
      <c r="O95" s="118"/>
      <c r="P95" s="118"/>
      <c r="Q95" s="118"/>
      <c r="R95" s="118"/>
      <c r="S95" s="118"/>
      <c r="T95" s="118"/>
      <c r="U95" s="118"/>
      <c r="V95" s="118"/>
      <c r="W95" s="118"/>
      <c r="AG95" s="118"/>
      <c r="AH95" s="118"/>
      <c r="AI95" s="118"/>
      <c r="AJ95" s="118"/>
      <c r="AK95" s="118"/>
      <c r="AL95" s="118"/>
      <c r="AM95" s="56"/>
      <c r="AN95" s="56"/>
      <c r="AO95" s="56"/>
      <c r="AP95" s="56"/>
      <c r="AQ95" s="56"/>
      <c r="AR95" s="56"/>
      <c r="AS95" s="56"/>
      <c r="AT95" s="56"/>
    </row>
    <row r="96" spans="2:46" ht="24.6" customHeight="1" x14ac:dyDescent="0.25">
      <c r="B96" s="415" t="s">
        <v>95</v>
      </c>
      <c r="C96" s="416"/>
      <c r="D96" s="417"/>
      <c r="E96" s="421" t="s">
        <v>443</v>
      </c>
      <c r="F96" s="422"/>
      <c r="G96" s="450" t="s">
        <v>396</v>
      </c>
      <c r="H96" s="451"/>
      <c r="I96" s="451"/>
      <c r="J96" s="451"/>
      <c r="K96" s="451"/>
      <c r="L96" s="451"/>
      <c r="M96" s="451"/>
      <c r="N96" s="451"/>
      <c r="O96" s="452"/>
      <c r="P96" s="140"/>
      <c r="Q96" s="140"/>
      <c r="R96" s="140"/>
      <c r="S96" s="140"/>
      <c r="T96" s="140"/>
      <c r="U96" s="140"/>
      <c r="V96" s="140"/>
      <c r="W96" s="357"/>
      <c r="X96" s="358"/>
      <c r="Y96" s="359"/>
      <c r="Z96" s="107"/>
      <c r="AA96" s="107"/>
      <c r="AB96" s="107"/>
      <c r="AC96" s="107"/>
      <c r="AD96" s="107"/>
      <c r="AE96" s="107"/>
      <c r="AF96" s="107"/>
      <c r="AG96" s="107"/>
      <c r="AH96" s="107"/>
      <c r="AI96" s="107"/>
      <c r="AJ96" s="107"/>
      <c r="AK96" s="49"/>
      <c r="AL96" s="49"/>
      <c r="AM96" s="49"/>
      <c r="AN96" s="49"/>
      <c r="AO96" s="56"/>
      <c r="AP96" s="56"/>
      <c r="AQ96" s="56"/>
      <c r="AR96" s="56"/>
      <c r="AS96" s="56"/>
      <c r="AT96" s="56"/>
    </row>
    <row r="97" spans="2:38" ht="24.6" customHeight="1" x14ac:dyDescent="0.25">
      <c r="B97" s="418"/>
      <c r="C97" s="419"/>
      <c r="D97" s="420"/>
      <c r="E97" s="423"/>
      <c r="F97" s="424"/>
      <c r="G97" s="447" t="s">
        <v>444</v>
      </c>
      <c r="H97" s="448"/>
      <c r="I97" s="448"/>
      <c r="J97" s="448"/>
      <c r="K97" s="448"/>
      <c r="L97" s="448"/>
      <c r="M97" s="448"/>
      <c r="N97" s="448"/>
      <c r="O97" s="449"/>
      <c r="P97" s="398"/>
      <c r="Q97" s="398"/>
      <c r="R97" s="398"/>
      <c r="S97" s="398"/>
      <c r="T97" s="398"/>
      <c r="U97" s="398"/>
      <c r="V97" s="398"/>
      <c r="W97" s="388"/>
      <c r="X97" s="388"/>
      <c r="Y97" s="360"/>
      <c r="Z97" s="227"/>
      <c r="AA97" s="227"/>
      <c r="AB97" s="227"/>
      <c r="AC97" s="227"/>
      <c r="AD97" s="227"/>
      <c r="AE97" s="227"/>
      <c r="AF97" s="227"/>
      <c r="AG97" s="227"/>
      <c r="AH97" s="227"/>
      <c r="AI97" s="227"/>
      <c r="AJ97" s="227"/>
      <c r="AK97" s="232"/>
      <c r="AL97" s="234"/>
    </row>
    <row r="98" spans="2:38" ht="85.2" customHeight="1" x14ac:dyDescent="0.25">
      <c r="B98" s="350"/>
      <c r="C98" s="351"/>
      <c r="D98" s="352"/>
      <c r="E98" s="237" t="s">
        <v>132</v>
      </c>
      <c r="F98" s="353" t="s">
        <v>97</v>
      </c>
      <c r="G98" s="387" t="s">
        <v>446</v>
      </c>
      <c r="H98" s="389" t="s">
        <v>445</v>
      </c>
      <c r="I98" s="230" t="s">
        <v>395</v>
      </c>
      <c r="J98" s="230" t="s">
        <v>447</v>
      </c>
      <c r="K98" s="230" t="s">
        <v>448</v>
      </c>
      <c r="L98" s="230" t="s">
        <v>500</v>
      </c>
      <c r="M98" s="353" t="s">
        <v>449</v>
      </c>
      <c r="N98" s="230" t="s">
        <v>506</v>
      </c>
      <c r="O98" s="353" t="s">
        <v>450</v>
      </c>
      <c r="W98" s="360"/>
      <c r="X98" s="360"/>
      <c r="Y98" s="360"/>
      <c r="Z98" s="227"/>
      <c r="AA98" s="227"/>
      <c r="AB98" s="227"/>
      <c r="AC98" s="227"/>
      <c r="AD98" s="227"/>
      <c r="AE98" s="227"/>
      <c r="AF98" s="227"/>
      <c r="AG98" s="227"/>
      <c r="AH98" s="227"/>
      <c r="AI98" s="227"/>
      <c r="AJ98" s="227"/>
      <c r="AK98" s="232"/>
      <c r="AL98" s="234"/>
    </row>
    <row r="99" spans="2:38" s="48" customFormat="1" ht="9" customHeight="1" x14ac:dyDescent="0.25">
      <c r="B99" s="57"/>
      <c r="C99" s="49"/>
      <c r="D99" s="52"/>
      <c r="E99" s="21"/>
      <c r="F99" s="234"/>
      <c r="G99" s="87"/>
      <c r="H99" s="331"/>
      <c r="I99" s="331"/>
      <c r="J99" s="331"/>
      <c r="K99" s="331"/>
      <c r="L99" s="331"/>
      <c r="M99" s="87"/>
      <c r="N99" s="331"/>
      <c r="O99" s="87"/>
      <c r="W99" s="362"/>
      <c r="X99" s="362"/>
      <c r="Y99" s="362"/>
      <c r="Z99" s="232"/>
      <c r="AA99" s="232"/>
      <c r="AB99" s="232"/>
      <c r="AC99" s="232"/>
      <c r="AD99" s="232"/>
      <c r="AE99" s="232"/>
      <c r="AF99" s="234"/>
      <c r="AG99" s="234"/>
      <c r="AH99" s="234"/>
      <c r="AI99" s="234"/>
      <c r="AJ99" s="234"/>
      <c r="AK99" s="234"/>
      <c r="AL99" s="234"/>
    </row>
    <row r="100" spans="2:38" x14ac:dyDescent="0.25">
      <c r="B100" s="73" t="s">
        <v>8</v>
      </c>
      <c r="C100" s="74"/>
      <c r="D100" s="75"/>
      <c r="E100" s="166">
        <f>E108+E114+E127+E140+E147+E175+E102</f>
        <v>14</v>
      </c>
      <c r="F100" s="76">
        <f>F108+F114+F127+F140+F147+F175+F184+F102</f>
        <v>20</v>
      </c>
      <c r="G100" s="77">
        <f t="shared" ref="G100:O100" si="0">G108+G114+G127+G140+G147+G175+G102</f>
        <v>6</v>
      </c>
      <c r="H100" s="77">
        <f t="shared" si="0"/>
        <v>4</v>
      </c>
      <c r="I100" s="77">
        <f t="shared" si="0"/>
        <v>1</v>
      </c>
      <c r="J100" s="77">
        <f t="shared" si="0"/>
        <v>2</v>
      </c>
      <c r="K100" s="77">
        <f t="shared" si="0"/>
        <v>1</v>
      </c>
      <c r="L100" s="77">
        <f t="shared" si="0"/>
        <v>1</v>
      </c>
      <c r="M100" s="77">
        <f t="shared" si="0"/>
        <v>1</v>
      </c>
      <c r="N100" s="77">
        <f t="shared" si="0"/>
        <v>2</v>
      </c>
      <c r="O100" s="77">
        <f t="shared" si="0"/>
        <v>2</v>
      </c>
      <c r="W100" s="47"/>
      <c r="X100" s="47"/>
      <c r="Y100" s="43"/>
      <c r="AF100" s="52"/>
      <c r="AG100" s="52"/>
      <c r="AH100" s="52"/>
      <c r="AI100" s="52"/>
      <c r="AJ100" s="52"/>
      <c r="AK100" s="234"/>
      <c r="AL100" s="234"/>
    </row>
    <row r="101" spans="2:38" s="48" customFormat="1" x14ac:dyDescent="0.25">
      <c r="B101" s="132" t="s">
        <v>7</v>
      </c>
      <c r="C101" s="170"/>
      <c r="D101" s="171"/>
      <c r="E101" s="21"/>
      <c r="F101" s="125"/>
      <c r="G101" s="21"/>
      <c r="H101" s="21"/>
      <c r="I101" s="21"/>
      <c r="J101" s="21"/>
      <c r="K101" s="21"/>
      <c r="L101" s="21"/>
      <c r="M101" s="21"/>
      <c r="N101" s="21"/>
      <c r="O101" s="21"/>
      <c r="W101" s="43"/>
      <c r="X101" s="43"/>
      <c r="Y101" s="43"/>
      <c r="Z101" s="414"/>
      <c r="AA101" s="234"/>
      <c r="AB101" s="234"/>
      <c r="AC101" s="234"/>
      <c r="AD101" s="234"/>
      <c r="AE101" s="234"/>
      <c r="AF101" s="234"/>
      <c r="AG101" s="234"/>
      <c r="AH101" s="234"/>
      <c r="AI101" s="234"/>
      <c r="AJ101" s="234"/>
      <c r="AK101" s="234"/>
      <c r="AL101" s="234"/>
    </row>
    <row r="102" spans="2:38" s="93" customFormat="1" hidden="1" x14ac:dyDescent="0.25">
      <c r="B102" s="58" t="s">
        <v>122</v>
      </c>
      <c r="C102" s="91"/>
      <c r="D102" s="52"/>
      <c r="E102" s="133"/>
      <c r="F102" s="52">
        <f>SUM(F103:F106)</f>
        <v>0</v>
      </c>
      <c r="G102" s="92">
        <f t="shared" ref="G102" si="1">SUM(G103:G106)</f>
        <v>0</v>
      </c>
      <c r="H102" s="92">
        <f t="shared" ref="H102:O102" si="2">SUM(H103:H106)</f>
        <v>0</v>
      </c>
      <c r="I102" s="92">
        <f t="shared" si="2"/>
        <v>0</v>
      </c>
      <c r="J102" s="92">
        <f t="shared" si="2"/>
        <v>0</v>
      </c>
      <c r="K102" s="92">
        <f t="shared" si="2"/>
        <v>0</v>
      </c>
      <c r="L102" s="92">
        <f t="shared" si="2"/>
        <v>0</v>
      </c>
      <c r="M102" s="92">
        <f t="shared" si="2"/>
        <v>0</v>
      </c>
      <c r="N102" s="92">
        <f t="shared" si="2"/>
        <v>0</v>
      </c>
      <c r="O102" s="92">
        <f t="shared" si="2"/>
        <v>0</v>
      </c>
      <c r="W102" s="47"/>
      <c r="X102" s="47"/>
      <c r="Y102" s="43"/>
      <c r="Z102" s="414"/>
      <c r="AA102" s="234"/>
      <c r="AB102" s="234"/>
      <c r="AC102" s="234"/>
      <c r="AD102" s="234"/>
      <c r="AE102" s="234"/>
      <c r="AF102" s="52"/>
      <c r="AG102" s="52"/>
      <c r="AH102" s="52"/>
      <c r="AI102" s="52"/>
      <c r="AJ102" s="52"/>
      <c r="AK102" s="52"/>
      <c r="AL102" s="52"/>
    </row>
    <row r="103" spans="2:38" ht="13.2" hidden="1" customHeight="1" x14ac:dyDescent="0.25">
      <c r="B103" s="54" t="s">
        <v>124</v>
      </c>
      <c r="C103" s="56"/>
      <c r="D103" s="47"/>
      <c r="E103" s="22"/>
      <c r="F103" s="199">
        <f>SUM(G103:X103)</f>
        <v>0</v>
      </c>
      <c r="G103" s="186"/>
      <c r="H103" s="186"/>
      <c r="I103" s="186"/>
      <c r="J103" s="186"/>
      <c r="K103" s="186"/>
      <c r="L103" s="186"/>
      <c r="M103" s="186"/>
      <c r="N103" s="186"/>
      <c r="O103" s="186"/>
      <c r="W103" s="43"/>
      <c r="X103" s="43"/>
      <c r="Y103" s="43"/>
      <c r="AG103" s="234"/>
      <c r="AH103" s="234"/>
      <c r="AI103" s="234"/>
      <c r="AJ103" s="234"/>
      <c r="AK103" s="234"/>
      <c r="AL103" s="234"/>
    </row>
    <row r="104" spans="2:38" ht="13.2" hidden="1" customHeight="1" x14ac:dyDescent="0.25">
      <c r="B104" s="54" t="s">
        <v>6</v>
      </c>
      <c r="C104" s="56"/>
      <c r="D104" s="47"/>
      <c r="E104" s="22"/>
      <c r="F104" s="200">
        <f>SUM(G104:X104)</f>
        <v>0</v>
      </c>
      <c r="G104" s="187"/>
      <c r="H104" s="187"/>
      <c r="I104" s="187"/>
      <c r="J104" s="187"/>
      <c r="K104" s="187"/>
      <c r="L104" s="187"/>
      <c r="M104" s="187"/>
      <c r="N104" s="187"/>
      <c r="O104" s="187"/>
      <c r="W104" s="43"/>
      <c r="X104" s="43"/>
      <c r="Y104" s="43"/>
      <c r="AG104" s="234"/>
      <c r="AH104" s="234"/>
      <c r="AI104" s="234"/>
      <c r="AJ104" s="234"/>
      <c r="AK104" s="234"/>
      <c r="AL104" s="234"/>
    </row>
    <row r="105" spans="2:38" ht="13.2" hidden="1" customHeight="1" x14ac:dyDescent="0.25">
      <c r="B105" s="54" t="s">
        <v>3</v>
      </c>
      <c r="C105" s="56"/>
      <c r="D105" s="47"/>
      <c r="E105" s="22"/>
      <c r="F105" s="200">
        <f>SUM(G105:X105)</f>
        <v>0</v>
      </c>
      <c r="G105" s="187"/>
      <c r="H105" s="187"/>
      <c r="I105" s="187"/>
      <c r="J105" s="187"/>
      <c r="K105" s="187"/>
      <c r="L105" s="187"/>
      <c r="M105" s="187"/>
      <c r="N105" s="187"/>
      <c r="O105" s="187"/>
      <c r="W105" s="43"/>
      <c r="X105" s="43"/>
      <c r="Y105" s="43"/>
      <c r="AG105" s="234"/>
      <c r="AH105" s="234"/>
      <c r="AI105" s="234"/>
      <c r="AJ105" s="234"/>
      <c r="AK105" s="234"/>
      <c r="AL105" s="234"/>
    </row>
    <row r="106" spans="2:38" ht="13.2" hidden="1" customHeight="1" x14ac:dyDescent="0.25">
      <c r="B106" s="54" t="s">
        <v>23</v>
      </c>
      <c r="C106" s="56"/>
      <c r="D106" s="47"/>
      <c r="E106" s="22"/>
      <c r="F106" s="201">
        <f>SUM(G106:X106)</f>
        <v>0</v>
      </c>
      <c r="G106" s="188"/>
      <c r="H106" s="188"/>
      <c r="I106" s="188"/>
      <c r="J106" s="188"/>
      <c r="K106" s="188"/>
      <c r="L106" s="188"/>
      <c r="M106" s="188"/>
      <c r="N106" s="188"/>
      <c r="O106" s="188"/>
      <c r="W106" s="43"/>
      <c r="X106" s="43"/>
      <c r="Y106" s="43"/>
      <c r="AG106" s="234"/>
      <c r="AH106" s="234"/>
      <c r="AI106" s="234"/>
      <c r="AJ106" s="234"/>
      <c r="AK106" s="234"/>
      <c r="AL106" s="234"/>
    </row>
    <row r="107" spans="2:38" s="48" customFormat="1" ht="13.2" hidden="1" customHeight="1" x14ac:dyDescent="0.25">
      <c r="B107" s="57" t="s">
        <v>7</v>
      </c>
      <c r="C107" s="49"/>
      <c r="D107" s="52"/>
      <c r="E107" s="22"/>
      <c r="F107" s="234"/>
      <c r="G107" s="22"/>
      <c r="H107" s="22"/>
      <c r="I107" s="22"/>
      <c r="J107" s="22"/>
      <c r="K107" s="22"/>
      <c r="L107" s="22"/>
      <c r="M107" s="22"/>
      <c r="N107" s="22"/>
      <c r="O107" s="22"/>
      <c r="W107" s="43"/>
      <c r="X107" s="43"/>
      <c r="Y107" s="43"/>
      <c r="Z107" s="234"/>
      <c r="AA107" s="234"/>
      <c r="AB107" s="234"/>
      <c r="AC107" s="234"/>
      <c r="AD107" s="234"/>
      <c r="AE107" s="234"/>
      <c r="AF107" s="234"/>
      <c r="AG107" s="234"/>
      <c r="AH107" s="234"/>
      <c r="AI107" s="234"/>
      <c r="AJ107" s="234"/>
      <c r="AK107" s="234"/>
      <c r="AL107" s="234"/>
    </row>
    <row r="108" spans="2:38" s="93" customFormat="1" x14ac:dyDescent="0.25">
      <c r="B108" s="58" t="s">
        <v>27</v>
      </c>
      <c r="C108" s="91"/>
      <c r="D108" s="52"/>
      <c r="E108" s="133">
        <v>1</v>
      </c>
      <c r="F108" s="52">
        <f>SUM(F109:F112)</f>
        <v>2</v>
      </c>
      <c r="G108" s="92">
        <f t="shared" ref="G108" si="3">SUM(G109:G112)</f>
        <v>0</v>
      </c>
      <c r="H108" s="92">
        <f t="shared" ref="H108:O108" si="4">SUM(H109:H112)</f>
        <v>1</v>
      </c>
      <c r="I108" s="92">
        <f t="shared" si="4"/>
        <v>0</v>
      </c>
      <c r="J108" s="92">
        <f t="shared" si="4"/>
        <v>0</v>
      </c>
      <c r="K108" s="92">
        <f t="shared" si="4"/>
        <v>0</v>
      </c>
      <c r="L108" s="92">
        <f t="shared" si="4"/>
        <v>0</v>
      </c>
      <c r="M108" s="92">
        <f t="shared" si="4"/>
        <v>0</v>
      </c>
      <c r="N108" s="92">
        <f t="shared" si="4"/>
        <v>1</v>
      </c>
      <c r="O108" s="92">
        <f t="shared" si="4"/>
        <v>0</v>
      </c>
      <c r="W108" s="47"/>
      <c r="X108" s="47"/>
      <c r="Y108" s="43"/>
      <c r="Z108" s="234"/>
      <c r="AA108" s="234"/>
      <c r="AB108" s="234"/>
      <c r="AC108" s="234"/>
      <c r="AD108" s="234"/>
      <c r="AE108" s="234"/>
      <c r="AF108" s="52"/>
      <c r="AG108" s="52"/>
      <c r="AH108" s="52"/>
      <c r="AI108" s="52"/>
      <c r="AJ108" s="52"/>
      <c r="AK108" s="52"/>
      <c r="AL108" s="52"/>
    </row>
    <row r="109" spans="2:38" s="93" customFormat="1" ht="13.2" hidden="1" customHeight="1" x14ac:dyDescent="0.25">
      <c r="B109" s="57" t="s">
        <v>1</v>
      </c>
      <c r="C109" s="91"/>
      <c r="D109" s="52"/>
      <c r="E109" s="92"/>
      <c r="F109" s="179">
        <f>SUM(G109:G109)</f>
        <v>0</v>
      </c>
      <c r="G109" s="108"/>
      <c r="H109" s="108"/>
      <c r="I109" s="108"/>
      <c r="J109" s="108"/>
      <c r="K109" s="108"/>
      <c r="L109" s="108"/>
      <c r="M109" s="108"/>
      <c r="N109" s="108"/>
      <c r="O109" s="108"/>
      <c r="W109" s="43"/>
      <c r="X109" s="43"/>
      <c r="Y109" s="43"/>
      <c r="Z109" s="234"/>
      <c r="AA109" s="234"/>
      <c r="AB109" s="234"/>
      <c r="AC109" s="234"/>
      <c r="AD109" s="234"/>
      <c r="AE109" s="234"/>
      <c r="AF109" s="52"/>
      <c r="AG109" s="52"/>
      <c r="AH109" s="52"/>
      <c r="AI109" s="52"/>
      <c r="AJ109" s="52"/>
      <c r="AK109" s="52"/>
      <c r="AL109" s="52"/>
    </row>
    <row r="110" spans="2:38" s="93" customFormat="1" ht="13.2" hidden="1" customHeight="1" x14ac:dyDescent="0.25">
      <c r="B110" s="57" t="s">
        <v>2</v>
      </c>
      <c r="C110" s="91"/>
      <c r="D110" s="52"/>
      <c r="E110" s="92"/>
      <c r="F110" s="180">
        <f>SUM(G110:G110)</f>
        <v>0</v>
      </c>
      <c r="G110" s="109"/>
      <c r="H110" s="109"/>
      <c r="I110" s="109"/>
      <c r="J110" s="109"/>
      <c r="K110" s="109"/>
      <c r="L110" s="109"/>
      <c r="M110" s="109"/>
      <c r="N110" s="109"/>
      <c r="O110" s="109"/>
      <c r="W110" s="43"/>
      <c r="X110" s="43"/>
      <c r="Y110" s="43"/>
      <c r="Z110" s="234"/>
      <c r="AA110" s="234"/>
      <c r="AB110" s="234"/>
      <c r="AC110" s="234"/>
      <c r="AD110" s="234"/>
      <c r="AE110" s="234"/>
      <c r="AF110" s="52"/>
      <c r="AG110" s="52"/>
      <c r="AH110" s="52"/>
      <c r="AI110" s="52"/>
      <c r="AJ110" s="52"/>
      <c r="AK110" s="52"/>
      <c r="AL110" s="52"/>
    </row>
    <row r="111" spans="2:38" ht="13.2" customHeight="1" x14ac:dyDescent="0.25">
      <c r="B111" s="57" t="s">
        <v>24</v>
      </c>
      <c r="C111" s="49"/>
      <c r="D111" s="49"/>
      <c r="E111" s="22"/>
      <c r="F111" s="212">
        <f>SUM(G111:O111)</f>
        <v>2</v>
      </c>
      <c r="G111" s="85"/>
      <c r="H111" s="85">
        <v>1</v>
      </c>
      <c r="I111" s="85"/>
      <c r="J111" s="85"/>
      <c r="K111" s="85"/>
      <c r="L111" s="85"/>
      <c r="M111" s="85"/>
      <c r="N111" s="85">
        <v>1</v>
      </c>
      <c r="O111" s="85"/>
      <c r="W111" s="43"/>
      <c r="X111" s="43"/>
      <c r="Y111" s="43"/>
      <c r="AG111" s="234"/>
      <c r="AH111" s="234"/>
      <c r="AI111" s="234"/>
      <c r="AJ111" s="234"/>
      <c r="AK111" s="234"/>
      <c r="AL111" s="234"/>
    </row>
    <row r="112" spans="2:38" s="48" customFormat="1" ht="13.2" hidden="1" customHeight="1" x14ac:dyDescent="0.25">
      <c r="B112" s="57" t="s">
        <v>25</v>
      </c>
      <c r="C112" s="49"/>
      <c r="D112" s="49"/>
      <c r="E112" s="22" t="s">
        <v>7</v>
      </c>
      <c r="F112" s="181">
        <f>SUM(G112:G112)</f>
        <v>0</v>
      </c>
      <c r="G112" s="84"/>
      <c r="H112" s="84"/>
      <c r="I112" s="84"/>
      <c r="J112" s="84"/>
      <c r="K112" s="84"/>
      <c r="L112" s="84"/>
      <c r="M112" s="84"/>
      <c r="N112" s="84"/>
      <c r="O112" s="84"/>
      <c r="W112" s="43"/>
      <c r="X112" s="43"/>
      <c r="Y112" s="43"/>
      <c r="Z112" s="234"/>
      <c r="AA112" s="234"/>
      <c r="AB112" s="234"/>
      <c r="AC112" s="234"/>
      <c r="AD112" s="234"/>
      <c r="AE112" s="234"/>
      <c r="AF112" s="234"/>
      <c r="AG112" s="234"/>
      <c r="AH112" s="234"/>
      <c r="AI112" s="234"/>
      <c r="AJ112" s="234"/>
      <c r="AK112" s="234"/>
      <c r="AL112" s="234"/>
    </row>
    <row r="113" spans="2:38" s="48" customFormat="1" x14ac:dyDescent="0.25">
      <c r="B113" s="57"/>
      <c r="C113" s="49"/>
      <c r="D113" s="49"/>
      <c r="E113" s="22"/>
      <c r="F113" s="234"/>
      <c r="G113" s="22"/>
      <c r="H113" s="22"/>
      <c r="I113" s="22"/>
      <c r="J113" s="22"/>
      <c r="K113" s="22"/>
      <c r="L113" s="22"/>
      <c r="M113" s="22"/>
      <c r="N113" s="22"/>
      <c r="O113" s="22"/>
      <c r="W113" s="43" t="s">
        <v>7</v>
      </c>
      <c r="X113" s="43"/>
      <c r="Y113" s="43"/>
      <c r="Z113" s="234"/>
      <c r="AA113" s="234"/>
      <c r="AB113" s="234"/>
      <c r="AC113" s="234"/>
      <c r="AD113" s="234"/>
      <c r="AE113" s="234"/>
      <c r="AF113" s="234"/>
      <c r="AG113" s="234"/>
      <c r="AH113" s="234"/>
      <c r="AI113" s="234"/>
      <c r="AJ113" s="234"/>
      <c r="AK113" s="234"/>
      <c r="AL113" s="234"/>
    </row>
    <row r="114" spans="2:38" s="93" customFormat="1" x14ac:dyDescent="0.25">
      <c r="B114" s="58" t="s">
        <v>96</v>
      </c>
      <c r="C114" s="91"/>
      <c r="D114" s="52"/>
      <c r="E114" s="92">
        <v>2</v>
      </c>
      <c r="F114" s="52">
        <f t="shared" ref="F114" si="5">SUM(F115:F125)</f>
        <v>5</v>
      </c>
      <c r="G114" s="92">
        <f t="shared" ref="G114" si="6">SUM(G115:G125)</f>
        <v>1</v>
      </c>
      <c r="H114" s="92">
        <f t="shared" ref="H114:O114" si="7">SUM(H115:H125)</f>
        <v>1</v>
      </c>
      <c r="I114" s="92">
        <f t="shared" si="7"/>
        <v>1</v>
      </c>
      <c r="J114" s="92">
        <f t="shared" si="7"/>
        <v>1</v>
      </c>
      <c r="K114" s="92">
        <f t="shared" si="7"/>
        <v>0</v>
      </c>
      <c r="L114" s="92">
        <f t="shared" si="7"/>
        <v>0</v>
      </c>
      <c r="M114" s="92">
        <f t="shared" si="7"/>
        <v>0</v>
      </c>
      <c r="N114" s="92">
        <f t="shared" si="7"/>
        <v>1</v>
      </c>
      <c r="O114" s="92">
        <f t="shared" si="7"/>
        <v>0</v>
      </c>
      <c r="W114" s="47"/>
      <c r="X114" s="47"/>
      <c r="Y114" s="43"/>
      <c r="Z114" s="234"/>
      <c r="AA114" s="234"/>
      <c r="AB114" s="234"/>
      <c r="AC114" s="234"/>
      <c r="AD114" s="234"/>
      <c r="AE114" s="234"/>
      <c r="AF114" s="52"/>
      <c r="AG114" s="52"/>
      <c r="AH114" s="52"/>
      <c r="AI114" s="52"/>
      <c r="AJ114" s="52"/>
      <c r="AK114" s="52"/>
      <c r="AL114" s="52"/>
    </row>
    <row r="115" spans="2:38" s="48" customFormat="1" hidden="1" x14ac:dyDescent="0.25">
      <c r="B115" s="57" t="s">
        <v>33</v>
      </c>
      <c r="C115" s="49"/>
      <c r="D115" s="49"/>
      <c r="E115" s="22"/>
      <c r="F115" s="199">
        <f t="shared" ref="F115:F125" si="8">SUM(G115:X115)</f>
        <v>0</v>
      </c>
      <c r="G115" s="186"/>
      <c r="H115" s="186"/>
      <c r="I115" s="186"/>
      <c r="J115" s="186"/>
      <c r="K115" s="186"/>
      <c r="L115" s="186"/>
      <c r="M115" s="186"/>
      <c r="N115" s="186"/>
      <c r="O115" s="186"/>
      <c r="W115" s="43"/>
      <c r="X115" s="43"/>
      <c r="Y115" s="43"/>
      <c r="Z115" s="234"/>
      <c r="AA115" s="234"/>
      <c r="AB115" s="234"/>
      <c r="AC115" s="234"/>
      <c r="AD115" s="234"/>
      <c r="AE115" s="234"/>
      <c r="AF115" s="234"/>
      <c r="AG115" s="234"/>
      <c r="AH115" s="234"/>
      <c r="AI115" s="234"/>
      <c r="AJ115" s="234"/>
      <c r="AK115" s="234"/>
      <c r="AL115" s="234"/>
    </row>
    <row r="116" spans="2:38" s="48" customFormat="1" x14ac:dyDescent="0.25">
      <c r="B116" s="57" t="s">
        <v>34</v>
      </c>
      <c r="C116" s="49"/>
      <c r="D116" s="49"/>
      <c r="E116" s="22"/>
      <c r="F116" s="199">
        <f t="shared" si="8"/>
        <v>4</v>
      </c>
      <c r="G116" s="186">
        <v>1</v>
      </c>
      <c r="H116" s="186">
        <v>1</v>
      </c>
      <c r="I116" s="186">
        <v>1</v>
      </c>
      <c r="J116" s="186">
        <v>1</v>
      </c>
      <c r="K116" s="186"/>
      <c r="L116" s="186"/>
      <c r="M116" s="186"/>
      <c r="N116" s="186"/>
      <c r="O116" s="186"/>
      <c r="W116" s="43"/>
      <c r="X116" s="43"/>
      <c r="Y116" s="43"/>
      <c r="Z116" s="234"/>
      <c r="AA116" s="234"/>
      <c r="AB116" s="234"/>
      <c r="AC116" s="234"/>
      <c r="AD116" s="234"/>
      <c r="AE116" s="234"/>
      <c r="AF116" s="234"/>
      <c r="AG116" s="234"/>
      <c r="AH116" s="234"/>
      <c r="AI116" s="234"/>
      <c r="AJ116" s="234"/>
      <c r="AK116" s="234"/>
      <c r="AL116" s="234"/>
    </row>
    <row r="117" spans="2:38" s="48" customFormat="1" ht="13.2" customHeight="1" x14ac:dyDescent="0.25">
      <c r="B117" s="57" t="s">
        <v>35</v>
      </c>
      <c r="C117" s="49"/>
      <c r="D117" s="49"/>
      <c r="E117" s="22"/>
      <c r="F117" s="201">
        <f t="shared" si="8"/>
        <v>1</v>
      </c>
      <c r="G117" s="188"/>
      <c r="H117" s="188"/>
      <c r="I117" s="188"/>
      <c r="J117" s="188"/>
      <c r="K117" s="188"/>
      <c r="L117" s="188"/>
      <c r="M117" s="188"/>
      <c r="N117" s="188">
        <v>1</v>
      </c>
      <c r="O117" s="188"/>
      <c r="W117" s="43"/>
      <c r="X117" s="43"/>
      <c r="Y117" s="43"/>
      <c r="Z117" s="234"/>
      <c r="AA117" s="234"/>
      <c r="AB117" s="234"/>
      <c r="AC117" s="234"/>
      <c r="AD117" s="234"/>
      <c r="AE117" s="234"/>
      <c r="AF117" s="234"/>
      <c r="AG117" s="234"/>
      <c r="AH117" s="234"/>
      <c r="AI117" s="234"/>
      <c r="AJ117" s="234"/>
      <c r="AK117" s="234"/>
      <c r="AL117" s="234"/>
    </row>
    <row r="118" spans="2:38" s="48" customFormat="1" ht="13.2" hidden="1" customHeight="1" x14ac:dyDescent="0.25">
      <c r="B118" s="57" t="s">
        <v>36</v>
      </c>
      <c r="C118" s="49"/>
      <c r="D118" s="49"/>
      <c r="E118" s="22"/>
      <c r="F118" s="200">
        <f t="shared" si="8"/>
        <v>0</v>
      </c>
      <c r="G118" s="187"/>
      <c r="H118" s="187"/>
      <c r="I118" s="187"/>
      <c r="J118" s="187"/>
      <c r="K118" s="187"/>
      <c r="L118" s="187"/>
      <c r="M118" s="187"/>
      <c r="N118" s="187"/>
      <c r="O118" s="187"/>
      <c r="W118" s="43"/>
      <c r="X118" s="43"/>
      <c r="Y118" s="43"/>
      <c r="Z118" s="234"/>
      <c r="AA118" s="234"/>
      <c r="AB118" s="234"/>
      <c r="AC118" s="234"/>
      <c r="AD118" s="234"/>
      <c r="AE118" s="234"/>
      <c r="AF118" s="234"/>
      <c r="AG118" s="234"/>
      <c r="AH118" s="234"/>
      <c r="AI118" s="234"/>
      <c r="AJ118" s="234"/>
      <c r="AK118" s="234"/>
      <c r="AL118" s="234"/>
    </row>
    <row r="119" spans="2:38" s="48" customFormat="1" ht="13.2" hidden="1" customHeight="1" x14ac:dyDescent="0.25">
      <c r="B119" s="57" t="s">
        <v>154</v>
      </c>
      <c r="C119" s="49"/>
      <c r="D119" s="49"/>
      <c r="E119" s="22"/>
      <c r="F119" s="200">
        <f t="shared" si="8"/>
        <v>0</v>
      </c>
      <c r="G119" s="187"/>
      <c r="H119" s="187"/>
      <c r="I119" s="187"/>
      <c r="J119" s="187"/>
      <c r="K119" s="187"/>
      <c r="L119" s="187"/>
      <c r="M119" s="187"/>
      <c r="N119" s="187"/>
      <c r="O119" s="187"/>
      <c r="W119" s="43"/>
      <c r="X119" s="43"/>
      <c r="Y119" s="43"/>
      <c r="Z119" s="234"/>
      <c r="AA119" s="234"/>
      <c r="AB119" s="234"/>
      <c r="AC119" s="234"/>
      <c r="AD119" s="234"/>
      <c r="AE119" s="234"/>
      <c r="AF119" s="234"/>
      <c r="AG119" s="234"/>
      <c r="AH119" s="234"/>
      <c r="AI119" s="234"/>
      <c r="AJ119" s="234"/>
      <c r="AK119" s="234"/>
      <c r="AL119" s="234"/>
    </row>
    <row r="120" spans="2:38" s="48" customFormat="1" hidden="1" x14ac:dyDescent="0.25">
      <c r="B120" s="57" t="s">
        <v>38</v>
      </c>
      <c r="C120" s="49"/>
      <c r="D120" s="49"/>
      <c r="E120" s="22"/>
      <c r="F120" s="200">
        <f t="shared" si="8"/>
        <v>0</v>
      </c>
      <c r="G120" s="187"/>
      <c r="H120" s="187"/>
      <c r="I120" s="187"/>
      <c r="J120" s="187"/>
      <c r="K120" s="187"/>
      <c r="L120" s="187"/>
      <c r="M120" s="187"/>
      <c r="N120" s="187"/>
      <c r="O120" s="187"/>
      <c r="W120" s="43"/>
      <c r="X120" s="43"/>
      <c r="Y120" s="43"/>
      <c r="Z120" s="234"/>
      <c r="AA120" s="234"/>
      <c r="AB120" s="234"/>
      <c r="AC120" s="234"/>
      <c r="AD120" s="234"/>
      <c r="AE120" s="234"/>
      <c r="AF120" s="234"/>
      <c r="AG120" s="234"/>
      <c r="AH120" s="234"/>
      <c r="AI120" s="234"/>
      <c r="AJ120" s="234"/>
      <c r="AK120" s="234"/>
      <c r="AL120" s="234"/>
    </row>
    <row r="121" spans="2:38" s="48" customFormat="1" hidden="1" x14ac:dyDescent="0.25">
      <c r="B121" s="57" t="s">
        <v>39</v>
      </c>
      <c r="C121" s="49" t="s">
        <v>7</v>
      </c>
      <c r="D121" s="49"/>
      <c r="E121" s="22"/>
      <c r="F121" s="200">
        <f t="shared" si="8"/>
        <v>0</v>
      </c>
      <c r="G121" s="187"/>
      <c r="H121" s="187"/>
      <c r="I121" s="187"/>
      <c r="J121" s="187"/>
      <c r="K121" s="187"/>
      <c r="L121" s="187"/>
      <c r="M121" s="187"/>
      <c r="N121" s="187"/>
      <c r="O121" s="187"/>
      <c r="W121" s="43"/>
      <c r="X121" s="43"/>
      <c r="Y121" s="43"/>
      <c r="Z121" s="234"/>
      <c r="AA121" s="234"/>
      <c r="AB121" s="234"/>
      <c r="AC121" s="234"/>
      <c r="AD121" s="234"/>
      <c r="AE121" s="234"/>
      <c r="AF121" s="234"/>
      <c r="AG121" s="234"/>
      <c r="AH121" s="234"/>
      <c r="AI121" s="234"/>
      <c r="AJ121" s="234"/>
      <c r="AK121" s="234"/>
      <c r="AL121" s="234"/>
    </row>
    <row r="122" spans="2:38" s="48" customFormat="1" hidden="1" x14ac:dyDescent="0.25">
      <c r="B122" s="57" t="s">
        <v>143</v>
      </c>
      <c r="C122" s="49"/>
      <c r="D122" s="49"/>
      <c r="E122" s="22" t="s">
        <v>7</v>
      </c>
      <c r="F122" s="200">
        <f t="shared" si="8"/>
        <v>0</v>
      </c>
      <c r="G122" s="187"/>
      <c r="H122" s="187"/>
      <c r="I122" s="187"/>
      <c r="J122" s="187"/>
      <c r="K122" s="187"/>
      <c r="L122" s="187"/>
      <c r="M122" s="187"/>
      <c r="N122" s="187"/>
      <c r="O122" s="187"/>
      <c r="W122" s="43"/>
      <c r="X122" s="43"/>
      <c r="Y122" s="43"/>
      <c r="Z122" s="234"/>
      <c r="AA122" s="234"/>
      <c r="AB122" s="234"/>
      <c r="AC122" s="234"/>
      <c r="AD122" s="234"/>
      <c r="AE122" s="234"/>
      <c r="AF122" s="234"/>
      <c r="AG122" s="234"/>
      <c r="AH122" s="234"/>
      <c r="AI122" s="234"/>
      <c r="AJ122" s="234"/>
      <c r="AK122" s="234"/>
      <c r="AL122" s="234"/>
    </row>
    <row r="123" spans="2:38" s="48" customFormat="1" ht="13.2" hidden="1" customHeight="1" x14ac:dyDescent="0.25">
      <c r="B123" s="57" t="s">
        <v>41</v>
      </c>
      <c r="C123" s="49"/>
      <c r="D123" s="49"/>
      <c r="E123" s="22"/>
      <c r="F123" s="200">
        <f t="shared" si="8"/>
        <v>0</v>
      </c>
      <c r="G123" s="187"/>
      <c r="H123" s="187"/>
      <c r="I123" s="187"/>
      <c r="J123" s="187"/>
      <c r="K123" s="187"/>
      <c r="L123" s="187"/>
      <c r="M123" s="187"/>
      <c r="N123" s="187"/>
      <c r="O123" s="187"/>
      <c r="W123" s="43"/>
      <c r="X123" s="43"/>
      <c r="Y123" s="43"/>
      <c r="Z123" s="234"/>
      <c r="AA123" s="234"/>
      <c r="AB123" s="234"/>
      <c r="AC123" s="234"/>
      <c r="AD123" s="234"/>
      <c r="AE123" s="234"/>
      <c r="AF123" s="234"/>
      <c r="AG123" s="234"/>
      <c r="AH123" s="234"/>
      <c r="AI123" s="234"/>
      <c r="AJ123" s="234"/>
      <c r="AK123" s="234"/>
      <c r="AL123" s="234"/>
    </row>
    <row r="124" spans="2:38" s="48" customFormat="1" hidden="1" x14ac:dyDescent="0.25">
      <c r="B124" s="57" t="s">
        <v>99</v>
      </c>
      <c r="C124" s="49"/>
      <c r="D124" s="49"/>
      <c r="E124" s="22"/>
      <c r="F124" s="200">
        <f t="shared" si="8"/>
        <v>0</v>
      </c>
      <c r="G124" s="187"/>
      <c r="H124" s="187"/>
      <c r="I124" s="187"/>
      <c r="J124" s="187"/>
      <c r="K124" s="187"/>
      <c r="L124" s="187"/>
      <c r="M124" s="187"/>
      <c r="N124" s="187"/>
      <c r="O124" s="187"/>
      <c r="W124" s="43"/>
      <c r="X124" s="43"/>
      <c r="Y124" s="43"/>
      <c r="Z124" s="234"/>
      <c r="AA124" s="234"/>
      <c r="AB124" s="234"/>
      <c r="AC124" s="234"/>
      <c r="AD124" s="234"/>
      <c r="AE124" s="234"/>
      <c r="AF124" s="234"/>
      <c r="AG124" s="234"/>
      <c r="AH124" s="234"/>
      <c r="AI124" s="234"/>
      <c r="AJ124" s="234"/>
      <c r="AK124" s="234"/>
      <c r="AL124" s="234"/>
    </row>
    <row r="125" spans="2:38" s="48" customFormat="1" ht="13.2" hidden="1" customHeight="1" x14ac:dyDescent="0.25">
      <c r="B125" s="57" t="s">
        <v>128</v>
      </c>
      <c r="C125" s="49"/>
      <c r="D125" s="49"/>
      <c r="E125" s="22"/>
      <c r="F125" s="201">
        <f t="shared" si="8"/>
        <v>0</v>
      </c>
      <c r="G125" s="188"/>
      <c r="H125" s="188"/>
      <c r="I125" s="188"/>
      <c r="J125" s="188"/>
      <c r="K125" s="188"/>
      <c r="L125" s="188"/>
      <c r="M125" s="188"/>
      <c r="N125" s="188"/>
      <c r="O125" s="188"/>
      <c r="W125" s="43"/>
      <c r="X125" s="43"/>
      <c r="Y125" s="43"/>
      <c r="Z125" s="234"/>
      <c r="AA125" s="234"/>
      <c r="AB125" s="234"/>
      <c r="AC125" s="234"/>
      <c r="AD125" s="234"/>
      <c r="AE125" s="234"/>
      <c r="AF125" s="234"/>
      <c r="AG125" s="234"/>
      <c r="AH125" s="234"/>
      <c r="AI125" s="234"/>
      <c r="AJ125" s="234"/>
      <c r="AK125" s="234"/>
      <c r="AL125" s="234"/>
    </row>
    <row r="126" spans="2:38" s="48" customFormat="1" x14ac:dyDescent="0.25">
      <c r="B126" s="57" t="s">
        <v>7</v>
      </c>
      <c r="C126" s="49"/>
      <c r="D126" s="49"/>
      <c r="E126" s="22"/>
      <c r="F126" s="81"/>
      <c r="G126" s="22"/>
      <c r="H126" s="22"/>
      <c r="I126" s="22"/>
      <c r="J126" s="22"/>
      <c r="K126" s="22"/>
      <c r="L126" s="22"/>
      <c r="M126" s="22"/>
      <c r="N126" s="22"/>
      <c r="O126" s="22"/>
      <c r="W126" s="43"/>
      <c r="X126" s="43"/>
      <c r="Y126" s="43"/>
      <c r="Z126" s="234"/>
      <c r="AA126" s="234"/>
      <c r="AB126" s="234"/>
      <c r="AC126" s="234"/>
      <c r="AD126" s="234"/>
      <c r="AE126" s="234"/>
      <c r="AF126" s="234"/>
      <c r="AG126" s="234"/>
      <c r="AH126" s="234"/>
      <c r="AI126" s="234"/>
      <c r="AJ126" s="234"/>
      <c r="AK126" s="234"/>
      <c r="AL126" s="234"/>
    </row>
    <row r="127" spans="2:38" s="93" customFormat="1" x14ac:dyDescent="0.25">
      <c r="B127" s="58" t="s">
        <v>125</v>
      </c>
      <c r="C127" s="91"/>
      <c r="D127" s="52"/>
      <c r="E127" s="92">
        <v>4</v>
      </c>
      <c r="F127" s="126">
        <f>SUM(F128:F138)</f>
        <v>4</v>
      </c>
      <c r="G127" s="92">
        <f t="shared" ref="G127" si="9">SUM(G128:G138)</f>
        <v>1</v>
      </c>
      <c r="H127" s="92">
        <f t="shared" ref="H127:O127" si="10">SUM(H128:H138)</f>
        <v>0</v>
      </c>
      <c r="I127" s="92">
        <f t="shared" si="10"/>
        <v>0</v>
      </c>
      <c r="J127" s="92">
        <f t="shared" si="10"/>
        <v>0</v>
      </c>
      <c r="K127" s="92">
        <f t="shared" si="10"/>
        <v>1</v>
      </c>
      <c r="L127" s="92">
        <f t="shared" si="10"/>
        <v>1</v>
      </c>
      <c r="M127" s="92">
        <f t="shared" si="10"/>
        <v>1</v>
      </c>
      <c r="N127" s="92">
        <f t="shared" si="10"/>
        <v>0</v>
      </c>
      <c r="O127" s="92">
        <f t="shared" si="10"/>
        <v>0</v>
      </c>
      <c r="W127" s="47"/>
      <c r="X127" s="47"/>
      <c r="Y127" s="43"/>
      <c r="Z127" s="234"/>
      <c r="AA127" s="234"/>
      <c r="AB127" s="234"/>
      <c r="AC127" s="234"/>
      <c r="AD127" s="234"/>
      <c r="AE127" s="234"/>
      <c r="AF127" s="52"/>
      <c r="AG127" s="52"/>
      <c r="AH127" s="52"/>
      <c r="AI127" s="52"/>
      <c r="AJ127" s="52"/>
      <c r="AK127" s="52"/>
      <c r="AL127" s="52"/>
    </row>
    <row r="128" spans="2:38" s="48" customFormat="1" ht="13.2" hidden="1" customHeight="1" x14ac:dyDescent="0.25">
      <c r="B128" s="57" t="s">
        <v>98</v>
      </c>
      <c r="C128" s="49"/>
      <c r="D128" s="49"/>
      <c r="E128" s="22"/>
      <c r="F128" s="199">
        <f>SUM(G128:X128)</f>
        <v>0</v>
      </c>
      <c r="G128" s="186"/>
      <c r="H128" s="186"/>
      <c r="I128" s="186"/>
      <c r="J128" s="186"/>
      <c r="K128" s="186"/>
      <c r="L128" s="186"/>
      <c r="M128" s="186"/>
      <c r="N128" s="186"/>
      <c r="O128" s="186"/>
      <c r="W128" s="43"/>
      <c r="X128" s="43"/>
      <c r="Y128" s="43"/>
      <c r="Z128" s="234"/>
      <c r="AA128" s="234"/>
      <c r="AB128" s="234"/>
      <c r="AC128" s="234"/>
      <c r="AD128" s="234"/>
      <c r="AE128" s="234"/>
      <c r="AF128" s="234"/>
      <c r="AG128" s="234"/>
      <c r="AH128" s="234"/>
      <c r="AI128" s="234"/>
      <c r="AJ128" s="234"/>
      <c r="AK128" s="234"/>
      <c r="AL128" s="234"/>
    </row>
    <row r="129" spans="2:38" s="48" customFormat="1" ht="13.2" customHeight="1" x14ac:dyDescent="0.25">
      <c r="B129" s="57" t="s">
        <v>43</v>
      </c>
      <c r="C129" s="49"/>
      <c r="D129" s="49"/>
      <c r="E129" s="22"/>
      <c r="F129" s="199">
        <f>SUM(G129:X129)</f>
        <v>1</v>
      </c>
      <c r="G129" s="186">
        <v>1</v>
      </c>
      <c r="H129" s="186"/>
      <c r="I129" s="186"/>
      <c r="J129" s="186"/>
      <c r="K129" s="186"/>
      <c r="L129" s="186"/>
      <c r="M129" s="186"/>
      <c r="N129" s="186"/>
      <c r="O129" s="186"/>
      <c r="W129" s="43"/>
      <c r="X129" s="43"/>
      <c r="Y129" s="43"/>
      <c r="Z129" s="234"/>
      <c r="AA129" s="234"/>
      <c r="AB129" s="234"/>
      <c r="AC129" s="234"/>
      <c r="AD129" s="234"/>
      <c r="AE129" s="234"/>
      <c r="AF129" s="234"/>
      <c r="AG129" s="234"/>
      <c r="AH129" s="234"/>
      <c r="AI129" s="234"/>
      <c r="AJ129" s="234"/>
      <c r="AK129" s="234"/>
      <c r="AL129" s="234"/>
    </row>
    <row r="130" spans="2:38" s="48" customFormat="1" ht="13.2" hidden="1" customHeight="1" x14ac:dyDescent="0.25">
      <c r="B130" s="57" t="s">
        <v>129</v>
      </c>
      <c r="C130" s="49"/>
      <c r="D130" s="49"/>
      <c r="E130" s="22" t="s">
        <v>7</v>
      </c>
      <c r="F130" s="200">
        <f t="shared" ref="F130:F137" si="11">SUM(G130:X130)</f>
        <v>0</v>
      </c>
      <c r="G130" s="187"/>
      <c r="H130" s="187"/>
      <c r="I130" s="187"/>
      <c r="J130" s="187"/>
      <c r="K130" s="187"/>
      <c r="L130" s="187"/>
      <c r="M130" s="187"/>
      <c r="N130" s="187"/>
      <c r="O130" s="187"/>
      <c r="W130" s="43"/>
      <c r="X130" s="43"/>
      <c r="Y130" s="43"/>
      <c r="Z130" s="234"/>
      <c r="AA130" s="234"/>
      <c r="AB130" s="234"/>
      <c r="AC130" s="234"/>
      <c r="AD130" s="234"/>
      <c r="AE130" s="234"/>
      <c r="AF130" s="234"/>
      <c r="AG130" s="234"/>
      <c r="AH130" s="234"/>
      <c r="AI130" s="234"/>
      <c r="AJ130" s="234"/>
      <c r="AK130" s="234"/>
      <c r="AL130" s="234"/>
    </row>
    <row r="131" spans="2:38" s="48" customFormat="1" ht="13.2" hidden="1" customHeight="1" x14ac:dyDescent="0.25">
      <c r="B131" s="57" t="s">
        <v>45</v>
      </c>
      <c r="C131" s="49"/>
      <c r="D131" s="49"/>
      <c r="E131" s="22"/>
      <c r="F131" s="200">
        <f t="shared" si="11"/>
        <v>0</v>
      </c>
      <c r="G131" s="187"/>
      <c r="H131" s="187"/>
      <c r="I131" s="187"/>
      <c r="J131" s="187"/>
      <c r="K131" s="187"/>
      <c r="L131" s="187"/>
      <c r="M131" s="187"/>
      <c r="N131" s="187"/>
      <c r="O131" s="187"/>
      <c r="W131" s="43"/>
      <c r="X131" s="43"/>
      <c r="Y131" s="43"/>
      <c r="Z131" s="234"/>
      <c r="AA131" s="234"/>
      <c r="AB131" s="234"/>
      <c r="AC131" s="234"/>
      <c r="AD131" s="234"/>
      <c r="AE131" s="234"/>
      <c r="AF131" s="234"/>
      <c r="AG131" s="234"/>
      <c r="AH131" s="234"/>
      <c r="AI131" s="234"/>
      <c r="AJ131" s="234"/>
      <c r="AK131" s="234"/>
      <c r="AL131" s="234"/>
    </row>
    <row r="132" spans="2:38" s="48" customFormat="1" hidden="1" x14ac:dyDescent="0.25">
      <c r="B132" s="57" t="s">
        <v>46</v>
      </c>
      <c r="C132" s="49"/>
      <c r="D132" s="49"/>
      <c r="E132" s="22"/>
      <c r="F132" s="200">
        <f t="shared" si="11"/>
        <v>0</v>
      </c>
      <c r="G132" s="187"/>
      <c r="H132" s="187"/>
      <c r="I132" s="187"/>
      <c r="J132" s="187"/>
      <c r="K132" s="187"/>
      <c r="L132" s="187"/>
      <c r="M132" s="187"/>
      <c r="N132" s="187"/>
      <c r="O132" s="187"/>
      <c r="W132" s="43"/>
      <c r="X132" s="43"/>
      <c r="Y132" s="43"/>
      <c r="Z132" s="234"/>
      <c r="AA132" s="234"/>
      <c r="AB132" s="234"/>
      <c r="AC132" s="234"/>
      <c r="AD132" s="234"/>
      <c r="AE132" s="234"/>
      <c r="AF132" s="234"/>
      <c r="AG132" s="234"/>
      <c r="AH132" s="234"/>
      <c r="AI132" s="234"/>
      <c r="AJ132" s="234"/>
      <c r="AK132" s="234"/>
      <c r="AL132" s="234"/>
    </row>
    <row r="133" spans="2:38" s="48" customFormat="1" ht="13.2" hidden="1" customHeight="1" x14ac:dyDescent="0.25">
      <c r="B133" s="57" t="s">
        <v>47</v>
      </c>
      <c r="C133" s="49"/>
      <c r="D133" s="49"/>
      <c r="E133" s="22"/>
      <c r="F133" s="200">
        <f t="shared" si="11"/>
        <v>0</v>
      </c>
      <c r="G133" s="187"/>
      <c r="H133" s="187"/>
      <c r="I133" s="187"/>
      <c r="J133" s="187"/>
      <c r="K133" s="187"/>
      <c r="L133" s="187"/>
      <c r="M133" s="187"/>
      <c r="N133" s="187"/>
      <c r="O133" s="187"/>
      <c r="W133" s="43"/>
      <c r="X133" s="43"/>
      <c r="Y133" s="43"/>
      <c r="Z133" s="234"/>
      <c r="AA133" s="234"/>
      <c r="AB133" s="234"/>
      <c r="AC133" s="234"/>
      <c r="AD133" s="234"/>
      <c r="AE133" s="234"/>
      <c r="AF133" s="234"/>
      <c r="AG133" s="234"/>
      <c r="AH133" s="234"/>
      <c r="AI133" s="234"/>
      <c r="AJ133" s="234"/>
      <c r="AK133" s="234"/>
      <c r="AL133" s="234"/>
    </row>
    <row r="134" spans="2:38" s="48" customFormat="1" hidden="1" x14ac:dyDescent="0.25">
      <c r="B134" s="57" t="s">
        <v>48</v>
      </c>
      <c r="C134" s="49"/>
      <c r="D134" s="49"/>
      <c r="E134" s="22"/>
      <c r="F134" s="200">
        <f t="shared" si="11"/>
        <v>0</v>
      </c>
      <c r="G134" s="187"/>
      <c r="H134" s="187"/>
      <c r="I134" s="187"/>
      <c r="J134" s="187"/>
      <c r="K134" s="187"/>
      <c r="L134" s="187"/>
      <c r="M134" s="187"/>
      <c r="N134" s="187"/>
      <c r="O134" s="187"/>
      <c r="W134" s="43"/>
      <c r="X134" s="43"/>
      <c r="Y134" s="43"/>
      <c r="Z134" s="234"/>
      <c r="AA134" s="234"/>
      <c r="AB134" s="234"/>
      <c r="AC134" s="234"/>
      <c r="AD134" s="234"/>
      <c r="AE134" s="234"/>
      <c r="AF134" s="234"/>
      <c r="AG134" s="234"/>
      <c r="AH134" s="234"/>
      <c r="AI134" s="234"/>
      <c r="AJ134" s="234"/>
      <c r="AK134" s="234"/>
      <c r="AL134" s="234"/>
    </row>
    <row r="135" spans="2:38" s="48" customFormat="1" x14ac:dyDescent="0.25">
      <c r="B135" s="57" t="s">
        <v>49</v>
      </c>
      <c r="C135" s="49"/>
      <c r="D135" s="49"/>
      <c r="E135" s="22"/>
      <c r="F135" s="200">
        <f t="shared" si="11"/>
        <v>1</v>
      </c>
      <c r="G135" s="187"/>
      <c r="H135" s="187"/>
      <c r="I135" s="187"/>
      <c r="J135" s="187"/>
      <c r="K135" s="187">
        <v>1</v>
      </c>
      <c r="L135" s="187"/>
      <c r="M135" s="187"/>
      <c r="N135" s="187"/>
      <c r="O135" s="187"/>
      <c r="W135" s="43"/>
      <c r="X135" s="43"/>
      <c r="Y135" s="43"/>
      <c r="Z135" s="234"/>
      <c r="AA135" s="234"/>
      <c r="AB135" s="234"/>
      <c r="AC135" s="234"/>
      <c r="AD135" s="234"/>
      <c r="AE135" s="234"/>
      <c r="AF135" s="234"/>
      <c r="AG135" s="234"/>
      <c r="AH135" s="234"/>
      <c r="AI135" s="234"/>
      <c r="AJ135" s="234"/>
      <c r="AK135" s="234"/>
      <c r="AL135" s="234"/>
    </row>
    <row r="136" spans="2:38" s="48" customFormat="1" ht="13.2" customHeight="1" x14ac:dyDescent="0.25">
      <c r="B136" s="57" t="s">
        <v>123</v>
      </c>
      <c r="C136" s="49"/>
      <c r="D136" s="49" t="s">
        <v>7</v>
      </c>
      <c r="E136" s="22"/>
      <c r="F136" s="200">
        <f t="shared" si="11"/>
        <v>1</v>
      </c>
      <c r="G136" s="187"/>
      <c r="H136" s="187"/>
      <c r="I136" s="187"/>
      <c r="J136" s="187"/>
      <c r="K136" s="187"/>
      <c r="L136" s="187">
        <v>1</v>
      </c>
      <c r="M136" s="187"/>
      <c r="N136" s="187"/>
      <c r="O136" s="187"/>
      <c r="W136" s="43"/>
      <c r="X136" s="43"/>
      <c r="Y136" s="43"/>
      <c r="Z136" s="234"/>
      <c r="AA136" s="234"/>
      <c r="AB136" s="234"/>
      <c r="AC136" s="234"/>
      <c r="AD136" s="234"/>
      <c r="AE136" s="234"/>
      <c r="AF136" s="234"/>
      <c r="AG136" s="234"/>
      <c r="AH136" s="234"/>
      <c r="AI136" s="234"/>
      <c r="AJ136" s="234"/>
      <c r="AK136" s="234"/>
      <c r="AL136" s="234"/>
    </row>
    <row r="137" spans="2:38" s="48" customFormat="1" hidden="1" x14ac:dyDescent="0.25">
      <c r="B137" s="57" t="s">
        <v>51</v>
      </c>
      <c r="C137" s="49"/>
      <c r="D137" s="49"/>
      <c r="E137" s="22"/>
      <c r="F137" s="200">
        <f t="shared" si="11"/>
        <v>0</v>
      </c>
      <c r="G137" s="187"/>
      <c r="H137" s="187"/>
      <c r="I137" s="187"/>
      <c r="J137" s="187"/>
      <c r="K137" s="187"/>
      <c r="L137" s="187"/>
      <c r="M137" s="187"/>
      <c r="N137" s="187"/>
      <c r="O137" s="187"/>
      <c r="W137" s="43"/>
      <c r="X137" s="43"/>
      <c r="Y137" s="43"/>
      <c r="Z137" s="234"/>
      <c r="AA137" s="234"/>
      <c r="AB137" s="234"/>
      <c r="AC137" s="234"/>
      <c r="AD137" s="234"/>
      <c r="AE137" s="234"/>
      <c r="AF137" s="234"/>
      <c r="AG137" s="234"/>
      <c r="AH137" s="234"/>
      <c r="AI137" s="234"/>
      <c r="AJ137" s="234"/>
      <c r="AK137" s="234"/>
      <c r="AL137" s="234"/>
    </row>
    <row r="138" spans="2:38" s="48" customFormat="1" ht="13.2" customHeight="1" x14ac:dyDescent="0.25">
      <c r="B138" s="57" t="s">
        <v>52</v>
      </c>
      <c r="C138" s="49"/>
      <c r="D138" s="49"/>
      <c r="E138" s="22"/>
      <c r="F138" s="201">
        <f>SUM(G138:X138)</f>
        <v>1</v>
      </c>
      <c r="G138" s="188"/>
      <c r="H138" s="188"/>
      <c r="I138" s="188"/>
      <c r="J138" s="188"/>
      <c r="K138" s="188"/>
      <c r="L138" s="188"/>
      <c r="M138" s="188">
        <v>1</v>
      </c>
      <c r="N138" s="188"/>
      <c r="O138" s="188"/>
      <c r="W138" s="43"/>
      <c r="X138" s="43"/>
      <c r="Y138" s="43"/>
      <c r="Z138" s="234"/>
      <c r="AA138" s="234"/>
      <c r="AB138" s="234"/>
      <c r="AC138" s="234"/>
      <c r="AD138" s="234"/>
      <c r="AE138" s="234"/>
      <c r="AF138" s="234"/>
      <c r="AG138" s="234"/>
      <c r="AH138" s="234"/>
      <c r="AI138" s="234"/>
      <c r="AJ138" s="234"/>
      <c r="AK138" s="234"/>
      <c r="AL138" s="234"/>
    </row>
    <row r="139" spans="2:38" s="48" customFormat="1" x14ac:dyDescent="0.25">
      <c r="B139" s="57"/>
      <c r="C139" s="49"/>
      <c r="D139" s="49"/>
      <c r="E139" s="22"/>
      <c r="F139" s="234"/>
      <c r="G139" s="21"/>
      <c r="H139" s="22"/>
      <c r="I139" s="22"/>
      <c r="J139" s="22"/>
      <c r="K139" s="22"/>
      <c r="L139" s="22"/>
      <c r="M139" s="22"/>
      <c r="N139" s="22"/>
      <c r="O139" s="22"/>
      <c r="W139" s="43"/>
      <c r="X139" s="43"/>
      <c r="Y139" s="43"/>
      <c r="Z139" s="234"/>
      <c r="AA139" s="234"/>
      <c r="AB139" s="234"/>
      <c r="AC139" s="234"/>
      <c r="AD139" s="234"/>
      <c r="AE139" s="234"/>
      <c r="AF139" s="234"/>
      <c r="AG139" s="234"/>
      <c r="AH139" s="234"/>
      <c r="AI139" s="234"/>
      <c r="AJ139" s="234"/>
      <c r="AK139" s="234"/>
      <c r="AL139" s="234"/>
    </row>
    <row r="140" spans="2:38" s="93" customFormat="1" x14ac:dyDescent="0.25">
      <c r="B140" s="58" t="s">
        <v>328</v>
      </c>
      <c r="C140" s="91"/>
      <c r="D140" s="52"/>
      <c r="E140" s="92">
        <v>1</v>
      </c>
      <c r="F140" s="52">
        <f t="shared" ref="F140" si="12">SUM(F141:F145)</f>
        <v>1</v>
      </c>
      <c r="G140" s="92">
        <f t="shared" ref="G140" si="13">SUM(G141:G145)</f>
        <v>1</v>
      </c>
      <c r="H140" s="92">
        <f t="shared" ref="H140:O140" si="14">SUM(H141:H145)</f>
        <v>0</v>
      </c>
      <c r="I140" s="92">
        <f t="shared" si="14"/>
        <v>0</v>
      </c>
      <c r="J140" s="92">
        <f t="shared" si="14"/>
        <v>0</v>
      </c>
      <c r="K140" s="92">
        <f t="shared" si="14"/>
        <v>0</v>
      </c>
      <c r="L140" s="92">
        <f t="shared" si="14"/>
        <v>0</v>
      </c>
      <c r="M140" s="92">
        <f t="shared" si="14"/>
        <v>0</v>
      </c>
      <c r="N140" s="92">
        <f t="shared" si="14"/>
        <v>0</v>
      </c>
      <c r="O140" s="92">
        <f t="shared" si="14"/>
        <v>0</v>
      </c>
      <c r="W140" s="47"/>
      <c r="X140" s="47"/>
      <c r="Y140" s="43"/>
      <c r="Z140" s="234"/>
      <c r="AA140" s="234"/>
      <c r="AB140" s="234"/>
      <c r="AC140" s="234"/>
      <c r="AD140" s="234"/>
      <c r="AE140" s="234"/>
      <c r="AF140" s="52"/>
      <c r="AG140" s="52"/>
      <c r="AH140" s="52"/>
      <c r="AI140" s="52"/>
      <c r="AJ140" s="52"/>
      <c r="AK140" s="52"/>
      <c r="AL140" s="52"/>
    </row>
    <row r="141" spans="2:38" s="48" customFormat="1" hidden="1" x14ac:dyDescent="0.25">
      <c r="B141" s="57" t="s">
        <v>53</v>
      </c>
      <c r="C141" s="49"/>
      <c r="D141" s="49"/>
      <c r="E141" s="22"/>
      <c r="F141" s="199">
        <f>SUM(G141:X141)</f>
        <v>0</v>
      </c>
      <c r="G141" s="186"/>
      <c r="H141" s="186"/>
      <c r="I141" s="186"/>
      <c r="J141" s="186"/>
      <c r="K141" s="186"/>
      <c r="L141" s="186"/>
      <c r="M141" s="186"/>
      <c r="N141" s="186"/>
      <c r="O141" s="186"/>
      <c r="W141" s="43"/>
      <c r="X141" s="43"/>
      <c r="Y141" s="43"/>
      <c r="Z141" s="234"/>
      <c r="AA141" s="234"/>
      <c r="AB141" s="234"/>
      <c r="AC141" s="234"/>
      <c r="AD141" s="234"/>
      <c r="AE141" s="234"/>
      <c r="AF141" s="234"/>
      <c r="AG141" s="234"/>
      <c r="AH141" s="234"/>
      <c r="AI141" s="234"/>
      <c r="AJ141" s="234"/>
      <c r="AK141" s="234"/>
      <c r="AL141" s="234"/>
    </row>
    <row r="142" spans="2:38" s="48" customFormat="1" ht="13.2" hidden="1" customHeight="1" x14ac:dyDescent="0.25">
      <c r="B142" s="57" t="s">
        <v>54</v>
      </c>
      <c r="C142" s="49"/>
      <c r="D142" s="49"/>
      <c r="E142" s="22"/>
      <c r="F142" s="200">
        <f>SUM(G142:X142)</f>
        <v>0</v>
      </c>
      <c r="G142" s="187"/>
      <c r="H142" s="187"/>
      <c r="I142" s="187"/>
      <c r="J142" s="187"/>
      <c r="K142" s="187"/>
      <c r="L142" s="187"/>
      <c r="M142" s="187"/>
      <c r="N142" s="187"/>
      <c r="O142" s="187"/>
      <c r="W142" s="43"/>
      <c r="X142" s="43"/>
      <c r="Y142" s="43"/>
      <c r="Z142" s="234"/>
      <c r="AA142" s="234"/>
      <c r="AB142" s="234"/>
      <c r="AC142" s="234"/>
      <c r="AD142" s="234"/>
      <c r="AE142" s="234"/>
      <c r="AF142" s="234"/>
      <c r="AG142" s="234"/>
      <c r="AH142" s="234"/>
      <c r="AI142" s="234"/>
      <c r="AJ142" s="234"/>
      <c r="AK142" s="234"/>
      <c r="AL142" s="234"/>
    </row>
    <row r="143" spans="2:38" s="48" customFormat="1" ht="13.2" hidden="1" customHeight="1" x14ac:dyDescent="0.25">
      <c r="B143" s="57" t="s">
        <v>55</v>
      </c>
      <c r="C143" s="49"/>
      <c r="D143" s="49"/>
      <c r="E143" s="22"/>
      <c r="F143" s="200">
        <f>SUM(G143:X143)</f>
        <v>0</v>
      </c>
      <c r="G143" s="187"/>
      <c r="H143" s="187"/>
      <c r="I143" s="187"/>
      <c r="J143" s="187"/>
      <c r="K143" s="187"/>
      <c r="L143" s="187"/>
      <c r="M143" s="187"/>
      <c r="N143" s="187"/>
      <c r="O143" s="187"/>
      <c r="W143" s="43"/>
      <c r="X143" s="43"/>
      <c r="Y143" s="43"/>
      <c r="Z143" s="234"/>
      <c r="AA143" s="234"/>
      <c r="AB143" s="234"/>
      <c r="AC143" s="234"/>
      <c r="AD143" s="234"/>
      <c r="AE143" s="234"/>
      <c r="AF143" s="234"/>
      <c r="AG143" s="234"/>
      <c r="AH143" s="234"/>
      <c r="AI143" s="234"/>
      <c r="AJ143" s="234"/>
      <c r="AK143" s="234"/>
      <c r="AL143" s="234"/>
    </row>
    <row r="144" spans="2:38" s="48" customFormat="1" ht="13.2" customHeight="1" x14ac:dyDescent="0.25">
      <c r="B144" s="57" t="s">
        <v>100</v>
      </c>
      <c r="C144" s="49"/>
      <c r="D144" s="49"/>
      <c r="E144" s="22"/>
      <c r="F144" s="355">
        <f>SUM(G144:X144)</f>
        <v>1</v>
      </c>
      <c r="G144" s="197">
        <v>1</v>
      </c>
      <c r="H144" s="197"/>
      <c r="I144" s="197"/>
      <c r="J144" s="197"/>
      <c r="K144" s="197"/>
      <c r="L144" s="197"/>
      <c r="M144" s="197"/>
      <c r="N144" s="197"/>
      <c r="O144" s="197"/>
      <c r="W144" s="43"/>
      <c r="X144" s="43"/>
      <c r="Y144" s="43"/>
      <c r="Z144" s="234"/>
      <c r="AA144" s="234"/>
      <c r="AB144" s="234"/>
      <c r="AC144" s="234"/>
      <c r="AD144" s="234"/>
      <c r="AE144" s="234"/>
      <c r="AF144" s="234"/>
      <c r="AG144" s="234"/>
      <c r="AH144" s="234"/>
      <c r="AI144" s="234"/>
      <c r="AJ144" s="234"/>
      <c r="AK144" s="234"/>
      <c r="AL144" s="234"/>
    </row>
    <row r="145" spans="2:38" s="48" customFormat="1" hidden="1" x14ac:dyDescent="0.25">
      <c r="B145" s="57" t="s">
        <v>57</v>
      </c>
      <c r="C145" s="49"/>
      <c r="D145" s="49"/>
      <c r="E145" s="22" t="s">
        <v>7</v>
      </c>
      <c r="F145" s="201">
        <f>SUM(G145:X145)</f>
        <v>0</v>
      </c>
      <c r="G145" s="188"/>
      <c r="H145" s="188"/>
      <c r="I145" s="188"/>
      <c r="J145" s="188"/>
      <c r="K145" s="188"/>
      <c r="L145" s="188"/>
      <c r="M145" s="188"/>
      <c r="N145" s="188"/>
      <c r="O145" s="188"/>
      <c r="W145" s="43"/>
      <c r="X145" s="43"/>
      <c r="Y145" s="43"/>
      <c r="Z145" s="234"/>
      <c r="AA145" s="234"/>
      <c r="AB145" s="234"/>
      <c r="AC145" s="234"/>
      <c r="AD145" s="234"/>
      <c r="AE145" s="234"/>
      <c r="AF145" s="234"/>
      <c r="AG145" s="234"/>
      <c r="AH145" s="234"/>
      <c r="AI145" s="234"/>
      <c r="AJ145" s="234"/>
      <c r="AK145" s="234"/>
      <c r="AL145" s="234"/>
    </row>
    <row r="146" spans="2:38" s="48" customFormat="1" x14ac:dyDescent="0.25">
      <c r="B146" s="57"/>
      <c r="C146" s="49"/>
      <c r="D146" s="49"/>
      <c r="E146" s="22"/>
      <c r="F146" s="25"/>
      <c r="G146" s="21"/>
      <c r="H146" s="22"/>
      <c r="I146" s="22"/>
      <c r="J146" s="22"/>
      <c r="K146" s="22"/>
      <c r="L146" s="22"/>
      <c r="M146" s="22"/>
      <c r="N146" s="22"/>
      <c r="O146" s="22"/>
      <c r="W146" s="43"/>
      <c r="X146" s="43"/>
      <c r="Y146" s="43"/>
      <c r="Z146" s="234"/>
      <c r="AA146" s="234"/>
      <c r="AB146" s="234"/>
      <c r="AC146" s="234"/>
      <c r="AD146" s="234"/>
      <c r="AE146" s="234"/>
      <c r="AF146" s="234"/>
      <c r="AG146" s="234"/>
      <c r="AH146" s="234"/>
      <c r="AI146" s="234"/>
      <c r="AJ146" s="234"/>
      <c r="AK146" s="234"/>
      <c r="AL146" s="234"/>
    </row>
    <row r="147" spans="2:38" s="93" customFormat="1" x14ac:dyDescent="0.25">
      <c r="B147" s="58" t="s">
        <v>101</v>
      </c>
      <c r="C147" s="91"/>
      <c r="D147" s="52"/>
      <c r="E147" s="92">
        <v>5</v>
      </c>
      <c r="F147" s="309">
        <f t="shared" ref="F147:O147" si="15">SUM(F148:F173)</f>
        <v>8</v>
      </c>
      <c r="G147" s="94">
        <f t="shared" si="15"/>
        <v>3</v>
      </c>
      <c r="H147" s="92">
        <f t="shared" si="15"/>
        <v>2</v>
      </c>
      <c r="I147" s="92">
        <f>SUM(I148:I173)</f>
        <v>0</v>
      </c>
      <c r="J147" s="92">
        <f t="shared" si="15"/>
        <v>1</v>
      </c>
      <c r="K147" s="92">
        <f t="shared" si="15"/>
        <v>0</v>
      </c>
      <c r="L147" s="92">
        <f t="shared" si="15"/>
        <v>0</v>
      </c>
      <c r="M147" s="92">
        <f t="shared" si="15"/>
        <v>0</v>
      </c>
      <c r="N147" s="92">
        <f t="shared" si="15"/>
        <v>0</v>
      </c>
      <c r="O147" s="92">
        <f t="shared" si="15"/>
        <v>2</v>
      </c>
      <c r="W147" s="47"/>
      <c r="X147" s="47"/>
      <c r="Y147" s="43"/>
      <c r="Z147" s="234"/>
      <c r="AA147" s="234"/>
      <c r="AB147" s="234"/>
      <c r="AC147" s="234"/>
      <c r="AD147" s="234"/>
      <c r="AE147" s="234"/>
      <c r="AF147" s="52"/>
      <c r="AG147" s="52"/>
      <c r="AH147" s="52"/>
      <c r="AI147" s="52"/>
      <c r="AJ147" s="52"/>
      <c r="AK147" s="52"/>
      <c r="AL147" s="52"/>
    </row>
    <row r="148" spans="2:38" s="48" customFormat="1" ht="13.2" hidden="1" customHeight="1" x14ac:dyDescent="0.25">
      <c r="B148" s="57" t="s">
        <v>59</v>
      </c>
      <c r="C148" s="49"/>
      <c r="D148" s="49"/>
      <c r="E148" s="22"/>
      <c r="F148" s="199">
        <f>SUM(G148:X148)</f>
        <v>0</v>
      </c>
      <c r="G148" s="186"/>
      <c r="H148" s="186"/>
      <c r="I148" s="186"/>
      <c r="J148" s="186"/>
      <c r="K148" s="186"/>
      <c r="L148" s="186"/>
      <c r="M148" s="186"/>
      <c r="N148" s="186"/>
      <c r="O148" s="186"/>
      <c r="W148" s="43"/>
      <c r="X148" s="43"/>
      <c r="Y148" s="43"/>
      <c r="Z148" s="234"/>
      <c r="AA148" s="234"/>
      <c r="AB148" s="234"/>
      <c r="AC148" s="234"/>
      <c r="AD148" s="234"/>
      <c r="AE148" s="234"/>
      <c r="AF148" s="234"/>
      <c r="AG148" s="234"/>
      <c r="AH148" s="234"/>
      <c r="AI148" s="234"/>
      <c r="AJ148" s="234"/>
      <c r="AK148" s="234"/>
      <c r="AL148" s="234"/>
    </row>
    <row r="149" spans="2:38" s="48" customFormat="1" ht="13.2" hidden="1" customHeight="1" x14ac:dyDescent="0.25">
      <c r="B149" s="57" t="s">
        <v>60</v>
      </c>
      <c r="C149" s="49"/>
      <c r="D149" s="49"/>
      <c r="E149" s="22"/>
      <c r="F149" s="200">
        <f>SUM(G149:X149)</f>
        <v>0</v>
      </c>
      <c r="G149" s="187"/>
      <c r="H149" s="187"/>
      <c r="I149" s="187"/>
      <c r="J149" s="187"/>
      <c r="K149" s="187"/>
      <c r="L149" s="187"/>
      <c r="M149" s="187"/>
      <c r="N149" s="187"/>
      <c r="O149" s="187"/>
      <c r="W149" s="43"/>
      <c r="X149" s="43"/>
      <c r="Y149" s="43"/>
      <c r="Z149" s="234"/>
      <c r="AA149" s="234"/>
      <c r="AB149" s="234"/>
      <c r="AC149" s="234"/>
      <c r="AD149" s="234"/>
      <c r="AE149" s="234"/>
      <c r="AF149" s="234"/>
      <c r="AG149" s="234"/>
      <c r="AH149" s="234"/>
      <c r="AI149" s="234"/>
      <c r="AJ149" s="234"/>
      <c r="AK149" s="234"/>
      <c r="AL149" s="234"/>
    </row>
    <row r="150" spans="2:38" s="48" customFormat="1" ht="13.2" hidden="1" customHeight="1" x14ac:dyDescent="0.25">
      <c r="B150" s="57" t="s">
        <v>61</v>
      </c>
      <c r="C150" s="49"/>
      <c r="D150" s="49"/>
      <c r="E150" s="22"/>
      <c r="F150" s="200">
        <f t="shared" ref="F150:F172" si="16">SUM(G150:X150)</f>
        <v>0</v>
      </c>
      <c r="G150" s="187"/>
      <c r="H150" s="187"/>
      <c r="I150" s="187"/>
      <c r="J150" s="187"/>
      <c r="K150" s="187"/>
      <c r="L150" s="187"/>
      <c r="M150" s="187"/>
      <c r="N150" s="187"/>
      <c r="O150" s="187"/>
      <c r="W150" s="43"/>
      <c r="X150" s="43"/>
      <c r="Y150" s="43"/>
      <c r="Z150" s="234"/>
      <c r="AA150" s="234"/>
      <c r="AB150" s="234"/>
      <c r="AC150" s="234"/>
      <c r="AD150" s="234"/>
      <c r="AE150" s="234"/>
      <c r="AF150" s="234"/>
      <c r="AG150" s="234"/>
      <c r="AH150" s="234"/>
      <c r="AI150" s="234"/>
      <c r="AJ150" s="234"/>
      <c r="AK150" s="234"/>
      <c r="AL150" s="234"/>
    </row>
    <row r="151" spans="2:38" s="48" customFormat="1" hidden="1" x14ac:dyDescent="0.25">
      <c r="B151" s="57" t="s">
        <v>62</v>
      </c>
      <c r="C151" s="49"/>
      <c r="D151" s="49"/>
      <c r="E151" s="22"/>
      <c r="F151" s="200">
        <f t="shared" si="16"/>
        <v>0</v>
      </c>
      <c r="G151" s="187"/>
      <c r="H151" s="187"/>
      <c r="I151" s="187"/>
      <c r="J151" s="187"/>
      <c r="K151" s="187"/>
      <c r="L151" s="187"/>
      <c r="M151" s="187"/>
      <c r="N151" s="187"/>
      <c r="O151" s="187"/>
      <c r="W151" s="43"/>
      <c r="X151" s="43"/>
      <c r="Y151" s="43"/>
      <c r="Z151" s="234"/>
      <c r="AA151" s="234"/>
      <c r="AB151" s="234"/>
      <c r="AC151" s="234"/>
      <c r="AD151" s="234"/>
      <c r="AE151" s="234"/>
      <c r="AF151" s="234"/>
      <c r="AG151" s="234"/>
      <c r="AH151" s="234"/>
      <c r="AI151" s="234"/>
      <c r="AJ151" s="234"/>
      <c r="AK151" s="234"/>
      <c r="AL151" s="234"/>
    </row>
    <row r="152" spans="2:38" s="48" customFormat="1" hidden="1" x14ac:dyDescent="0.25">
      <c r="B152" s="57" t="s">
        <v>63</v>
      </c>
      <c r="C152" s="49"/>
      <c r="D152" s="49"/>
      <c r="E152" s="22"/>
      <c r="F152" s="200">
        <f t="shared" si="16"/>
        <v>0</v>
      </c>
      <c r="G152" s="187"/>
      <c r="H152" s="187"/>
      <c r="I152" s="187"/>
      <c r="J152" s="187"/>
      <c r="K152" s="187"/>
      <c r="L152" s="187"/>
      <c r="M152" s="187"/>
      <c r="N152" s="187"/>
      <c r="O152" s="187"/>
      <c r="W152" s="43"/>
      <c r="X152" s="43"/>
      <c r="Y152" s="43"/>
      <c r="Z152" s="234"/>
      <c r="AA152" s="234"/>
      <c r="AB152" s="234"/>
      <c r="AC152" s="234"/>
      <c r="AD152" s="234"/>
      <c r="AE152" s="234"/>
      <c r="AF152" s="234"/>
      <c r="AG152" s="234"/>
      <c r="AH152" s="234"/>
      <c r="AI152" s="234"/>
      <c r="AJ152" s="234"/>
      <c r="AK152" s="234"/>
      <c r="AL152" s="234"/>
    </row>
    <row r="153" spans="2:38" s="48" customFormat="1" x14ac:dyDescent="0.25">
      <c r="B153" s="57" t="s">
        <v>64</v>
      </c>
      <c r="C153" s="49"/>
      <c r="D153" s="49"/>
      <c r="E153" s="22"/>
      <c r="F153" s="200">
        <f t="shared" si="16"/>
        <v>2</v>
      </c>
      <c r="G153" s="187"/>
      <c r="H153" s="186">
        <v>1</v>
      </c>
      <c r="I153" s="186"/>
      <c r="J153" s="186">
        <v>1</v>
      </c>
      <c r="K153" s="186"/>
      <c r="L153" s="186"/>
      <c r="M153" s="186"/>
      <c r="N153" s="186"/>
      <c r="O153" s="186"/>
      <c r="W153" s="43"/>
      <c r="X153" s="43"/>
      <c r="Y153" s="43"/>
      <c r="Z153" s="234"/>
      <c r="AA153" s="234"/>
      <c r="AB153" s="234"/>
      <c r="AC153" s="234"/>
      <c r="AD153" s="234"/>
      <c r="AE153" s="234"/>
      <c r="AF153" s="234"/>
      <c r="AG153" s="234"/>
      <c r="AH153" s="234"/>
      <c r="AI153" s="234"/>
      <c r="AJ153" s="234"/>
      <c r="AK153" s="234"/>
      <c r="AL153" s="234"/>
    </row>
    <row r="154" spans="2:38" s="48" customFormat="1" ht="13.2" hidden="1" customHeight="1" x14ac:dyDescent="0.25">
      <c r="B154" s="57" t="s">
        <v>65</v>
      </c>
      <c r="C154" s="49"/>
      <c r="D154" s="49"/>
      <c r="E154" s="22"/>
      <c r="F154" s="200">
        <f t="shared" si="16"/>
        <v>0</v>
      </c>
      <c r="G154" s="187"/>
      <c r="H154" s="187"/>
      <c r="I154" s="187"/>
      <c r="J154" s="187"/>
      <c r="K154" s="187"/>
      <c r="L154" s="187"/>
      <c r="M154" s="187"/>
      <c r="N154" s="187"/>
      <c r="O154" s="187"/>
      <c r="W154" s="43"/>
      <c r="X154" s="43"/>
      <c r="Y154" s="43"/>
      <c r="Z154" s="234"/>
      <c r="AA154" s="234"/>
      <c r="AB154" s="234"/>
      <c r="AC154" s="234"/>
      <c r="AD154" s="234"/>
      <c r="AE154" s="234"/>
      <c r="AF154" s="234"/>
      <c r="AG154" s="234"/>
      <c r="AH154" s="234"/>
      <c r="AI154" s="234"/>
      <c r="AJ154" s="234"/>
      <c r="AK154" s="234"/>
      <c r="AL154" s="234"/>
    </row>
    <row r="155" spans="2:38" s="48" customFormat="1" x14ac:dyDescent="0.25">
      <c r="B155" s="57" t="s">
        <v>66</v>
      </c>
      <c r="C155" s="49"/>
      <c r="D155" s="49"/>
      <c r="E155" s="22"/>
      <c r="F155" s="200">
        <f t="shared" si="16"/>
        <v>1</v>
      </c>
      <c r="G155" s="187">
        <v>1</v>
      </c>
      <c r="H155" s="187"/>
      <c r="I155" s="187"/>
      <c r="J155" s="187"/>
      <c r="K155" s="187"/>
      <c r="L155" s="187"/>
      <c r="M155" s="187"/>
      <c r="N155" s="187"/>
      <c r="O155" s="187"/>
      <c r="W155" s="43"/>
      <c r="X155" s="43"/>
      <c r="Y155" s="43"/>
      <c r="Z155" s="234"/>
      <c r="AA155" s="234"/>
      <c r="AB155" s="234"/>
      <c r="AC155" s="234"/>
      <c r="AD155" s="234"/>
      <c r="AE155" s="234"/>
      <c r="AF155" s="234"/>
      <c r="AG155" s="234"/>
      <c r="AH155" s="234"/>
      <c r="AI155" s="234"/>
      <c r="AJ155" s="234"/>
      <c r="AK155" s="234"/>
      <c r="AL155" s="234"/>
    </row>
    <row r="156" spans="2:38" s="48" customFormat="1" hidden="1" x14ac:dyDescent="0.25">
      <c r="B156" s="57" t="s">
        <v>67</v>
      </c>
      <c r="C156" s="49"/>
      <c r="D156" s="49"/>
      <c r="E156" s="22"/>
      <c r="F156" s="200">
        <f t="shared" si="16"/>
        <v>0</v>
      </c>
      <c r="G156" s="187"/>
      <c r="H156" s="187"/>
      <c r="I156" s="187"/>
      <c r="J156" s="187"/>
      <c r="K156" s="187"/>
      <c r="L156" s="187"/>
      <c r="M156" s="187"/>
      <c r="N156" s="187"/>
      <c r="O156" s="187"/>
      <c r="W156" s="43"/>
      <c r="X156" s="43"/>
      <c r="Y156" s="43"/>
      <c r="Z156" s="234"/>
      <c r="AA156" s="234"/>
      <c r="AB156" s="234"/>
      <c r="AC156" s="234"/>
      <c r="AD156" s="234"/>
      <c r="AE156" s="234"/>
      <c r="AF156" s="234"/>
      <c r="AG156" s="234"/>
      <c r="AH156" s="234"/>
      <c r="AI156" s="234"/>
      <c r="AJ156" s="234"/>
      <c r="AK156" s="234"/>
      <c r="AL156" s="234"/>
    </row>
    <row r="157" spans="2:38" s="48" customFormat="1" hidden="1" x14ac:dyDescent="0.25">
      <c r="B157" s="57" t="s">
        <v>144</v>
      </c>
      <c r="C157" s="49"/>
      <c r="D157" s="49"/>
      <c r="E157" s="22"/>
      <c r="F157" s="200">
        <f t="shared" si="16"/>
        <v>0</v>
      </c>
      <c r="G157" s="187"/>
      <c r="H157" s="187"/>
      <c r="I157" s="187"/>
      <c r="J157" s="187"/>
      <c r="K157" s="187"/>
      <c r="L157" s="187"/>
      <c r="M157" s="187"/>
      <c r="N157" s="187"/>
      <c r="O157" s="187"/>
      <c r="W157" s="43"/>
      <c r="X157" s="43"/>
      <c r="Y157" s="43"/>
      <c r="Z157" s="234"/>
      <c r="AA157" s="234"/>
      <c r="AB157" s="234"/>
      <c r="AC157" s="234"/>
      <c r="AD157" s="234"/>
      <c r="AE157" s="234"/>
      <c r="AF157" s="234"/>
      <c r="AG157" s="234"/>
      <c r="AH157" s="234"/>
      <c r="AI157" s="234"/>
      <c r="AJ157" s="234"/>
      <c r="AK157" s="234"/>
      <c r="AL157" s="234"/>
    </row>
    <row r="158" spans="2:38" s="48" customFormat="1" hidden="1" x14ac:dyDescent="0.25">
      <c r="B158" s="57" t="s">
        <v>69</v>
      </c>
      <c r="C158" s="49"/>
      <c r="D158" s="49"/>
      <c r="E158" s="22"/>
      <c r="F158" s="200">
        <f t="shared" si="16"/>
        <v>0</v>
      </c>
      <c r="G158" s="187"/>
      <c r="H158" s="187"/>
      <c r="I158" s="187"/>
      <c r="J158" s="187"/>
      <c r="K158" s="187"/>
      <c r="L158" s="187"/>
      <c r="M158" s="187"/>
      <c r="N158" s="187"/>
      <c r="O158" s="187"/>
      <c r="W158" s="43"/>
      <c r="X158" s="43"/>
      <c r="Y158" s="43"/>
      <c r="Z158" s="234"/>
      <c r="AA158" s="234"/>
      <c r="AB158" s="234"/>
      <c r="AC158" s="234"/>
      <c r="AD158" s="234"/>
      <c r="AE158" s="234"/>
      <c r="AF158" s="234"/>
      <c r="AG158" s="234"/>
      <c r="AH158" s="234"/>
      <c r="AI158" s="234"/>
      <c r="AJ158" s="234"/>
      <c r="AK158" s="234"/>
      <c r="AL158" s="234"/>
    </row>
    <row r="159" spans="2:38" s="48" customFormat="1" ht="13.2" customHeight="1" x14ac:dyDescent="0.25">
      <c r="B159" s="57" t="s">
        <v>389</v>
      </c>
      <c r="C159" s="49"/>
      <c r="D159" s="49"/>
      <c r="E159" s="22"/>
      <c r="F159" s="200">
        <f t="shared" si="16"/>
        <v>1</v>
      </c>
      <c r="G159" s="187">
        <v>1</v>
      </c>
      <c r="H159" s="187"/>
      <c r="I159" s="187"/>
      <c r="J159" s="187"/>
      <c r="K159" s="187"/>
      <c r="L159" s="187"/>
      <c r="M159" s="187"/>
      <c r="N159" s="187"/>
      <c r="O159" s="187"/>
      <c r="W159" s="43"/>
      <c r="X159" s="43"/>
      <c r="Y159" s="43"/>
      <c r="Z159" s="234"/>
      <c r="AA159" s="234"/>
      <c r="AB159" s="234"/>
      <c r="AC159" s="234"/>
      <c r="AD159" s="234"/>
      <c r="AE159" s="234"/>
      <c r="AF159" s="234"/>
      <c r="AG159" s="234"/>
      <c r="AH159" s="234"/>
      <c r="AI159" s="234"/>
      <c r="AJ159" s="234"/>
      <c r="AK159" s="234"/>
      <c r="AL159" s="234"/>
    </row>
    <row r="160" spans="2:38" s="48" customFormat="1" ht="13.2" hidden="1" customHeight="1" x14ac:dyDescent="0.25">
      <c r="B160" s="57" t="s">
        <v>71</v>
      </c>
      <c r="C160" s="49"/>
      <c r="D160" s="49"/>
      <c r="E160" s="22"/>
      <c r="F160" s="200">
        <f t="shared" si="16"/>
        <v>0</v>
      </c>
      <c r="G160" s="187"/>
      <c r="H160" s="187"/>
      <c r="I160" s="187"/>
      <c r="J160" s="187"/>
      <c r="K160" s="187"/>
      <c r="L160" s="187"/>
      <c r="M160" s="187"/>
      <c r="N160" s="187"/>
      <c r="O160" s="187"/>
      <c r="W160" s="43"/>
      <c r="X160" s="43"/>
      <c r="Y160" s="43"/>
      <c r="Z160" s="234"/>
      <c r="AA160" s="234"/>
      <c r="AB160" s="234"/>
      <c r="AC160" s="234"/>
      <c r="AD160" s="234"/>
      <c r="AE160" s="234"/>
      <c r="AF160" s="234"/>
      <c r="AG160" s="234"/>
      <c r="AH160" s="234"/>
      <c r="AI160" s="234"/>
      <c r="AJ160" s="234"/>
      <c r="AK160" s="234"/>
      <c r="AL160" s="234"/>
    </row>
    <row r="161" spans="2:38" s="48" customFormat="1" ht="13.2" hidden="1" customHeight="1" x14ac:dyDescent="0.25">
      <c r="B161" s="57" t="s">
        <v>72</v>
      </c>
      <c r="C161" s="49"/>
      <c r="D161" s="49"/>
      <c r="E161" s="22"/>
      <c r="F161" s="200">
        <f t="shared" si="16"/>
        <v>0</v>
      </c>
      <c r="G161" s="187"/>
      <c r="H161" s="187"/>
      <c r="I161" s="187"/>
      <c r="J161" s="187"/>
      <c r="K161" s="187"/>
      <c r="L161" s="187"/>
      <c r="M161" s="187"/>
      <c r="N161" s="187"/>
      <c r="O161" s="187"/>
      <c r="W161" s="43"/>
      <c r="X161" s="43"/>
      <c r="Y161" s="43"/>
      <c r="Z161" s="234"/>
      <c r="AA161" s="234"/>
      <c r="AB161" s="234"/>
      <c r="AC161" s="234"/>
      <c r="AD161" s="234"/>
      <c r="AE161" s="234"/>
      <c r="AF161" s="234"/>
      <c r="AG161" s="234"/>
      <c r="AH161" s="234"/>
      <c r="AI161" s="234"/>
      <c r="AJ161" s="234"/>
      <c r="AK161" s="234"/>
      <c r="AL161" s="234"/>
    </row>
    <row r="162" spans="2:38" s="48" customFormat="1" hidden="1" x14ac:dyDescent="0.25">
      <c r="B162" s="57" t="s">
        <v>130</v>
      </c>
      <c r="C162" s="49"/>
      <c r="D162" s="49"/>
      <c r="E162" s="22"/>
      <c r="F162" s="200">
        <f t="shared" si="16"/>
        <v>0</v>
      </c>
      <c r="G162" s="187"/>
      <c r="H162" s="187"/>
      <c r="I162" s="187"/>
      <c r="J162" s="187"/>
      <c r="K162" s="187"/>
      <c r="L162" s="187"/>
      <c r="M162" s="187"/>
      <c r="N162" s="187"/>
      <c r="O162" s="187"/>
      <c r="W162" s="43"/>
      <c r="X162" s="43"/>
      <c r="Y162" s="43"/>
      <c r="Z162" s="234"/>
      <c r="AA162" s="234"/>
      <c r="AB162" s="234"/>
      <c r="AC162" s="234"/>
      <c r="AD162" s="234"/>
      <c r="AE162" s="234"/>
      <c r="AF162" s="234"/>
      <c r="AG162" s="234"/>
      <c r="AH162" s="234"/>
      <c r="AI162" s="234"/>
      <c r="AJ162" s="234"/>
      <c r="AK162" s="234"/>
      <c r="AL162" s="234"/>
    </row>
    <row r="163" spans="2:38" s="48" customFormat="1" ht="13.2" hidden="1" customHeight="1" x14ac:dyDescent="0.25">
      <c r="B163" s="57" t="s">
        <v>102</v>
      </c>
      <c r="C163" s="49"/>
      <c r="D163" s="49"/>
      <c r="E163" s="22"/>
      <c r="F163" s="200">
        <f t="shared" si="16"/>
        <v>0</v>
      </c>
      <c r="G163" s="187"/>
      <c r="H163" s="187"/>
      <c r="I163" s="187"/>
      <c r="J163" s="187"/>
      <c r="K163" s="187"/>
      <c r="L163" s="187"/>
      <c r="M163" s="187"/>
      <c r="N163" s="187"/>
      <c r="O163" s="187"/>
      <c r="W163" s="43"/>
      <c r="X163" s="43"/>
      <c r="Y163" s="43"/>
      <c r="Z163" s="234"/>
      <c r="AA163" s="234"/>
      <c r="AB163" s="234"/>
      <c r="AC163" s="234"/>
      <c r="AD163" s="234"/>
      <c r="AE163" s="234"/>
      <c r="AF163" s="234"/>
      <c r="AG163" s="234"/>
      <c r="AH163" s="234"/>
      <c r="AI163" s="234"/>
      <c r="AJ163" s="234"/>
      <c r="AK163" s="234"/>
      <c r="AL163" s="234"/>
    </row>
    <row r="164" spans="2:38" s="48" customFormat="1" ht="13.2" hidden="1" customHeight="1" x14ac:dyDescent="0.25">
      <c r="B164" s="57" t="s">
        <v>103</v>
      </c>
      <c r="C164" s="49"/>
      <c r="D164" s="49"/>
      <c r="E164" s="22"/>
      <c r="F164" s="200">
        <f t="shared" si="16"/>
        <v>0</v>
      </c>
      <c r="G164" s="187"/>
      <c r="H164" s="187"/>
      <c r="I164" s="187"/>
      <c r="J164" s="187"/>
      <c r="K164" s="187"/>
      <c r="L164" s="187"/>
      <c r="M164" s="187"/>
      <c r="N164" s="187"/>
      <c r="O164" s="187"/>
      <c r="W164" s="43"/>
      <c r="X164" s="43"/>
      <c r="Y164" s="43"/>
      <c r="Z164" s="234"/>
      <c r="AA164" s="234"/>
      <c r="AB164" s="234"/>
      <c r="AC164" s="234"/>
      <c r="AD164" s="234"/>
      <c r="AE164" s="234"/>
      <c r="AF164" s="234"/>
      <c r="AG164" s="234"/>
      <c r="AH164" s="234"/>
      <c r="AI164" s="234"/>
      <c r="AJ164" s="234"/>
      <c r="AK164" s="234"/>
      <c r="AL164" s="234"/>
    </row>
    <row r="165" spans="2:38" s="48" customFormat="1" hidden="1" x14ac:dyDescent="0.25">
      <c r="B165" s="57" t="s">
        <v>91</v>
      </c>
      <c r="C165" s="49"/>
      <c r="D165" s="49"/>
      <c r="E165" s="22"/>
      <c r="F165" s="200">
        <f t="shared" si="16"/>
        <v>0</v>
      </c>
      <c r="G165" s="187"/>
      <c r="H165" s="187"/>
      <c r="I165" s="187"/>
      <c r="J165" s="187"/>
      <c r="K165" s="187"/>
      <c r="L165" s="187"/>
      <c r="M165" s="187"/>
      <c r="N165" s="187"/>
      <c r="O165" s="187"/>
      <c r="W165" s="43"/>
      <c r="X165" s="43"/>
      <c r="Y165" s="43"/>
      <c r="Z165" s="234"/>
      <c r="AA165" s="234"/>
      <c r="AB165" s="234"/>
      <c r="AC165" s="234"/>
      <c r="AD165" s="234"/>
      <c r="AE165" s="234"/>
      <c r="AF165" s="234"/>
      <c r="AG165" s="234"/>
      <c r="AH165" s="234"/>
      <c r="AI165" s="234"/>
      <c r="AJ165" s="234"/>
      <c r="AK165" s="234"/>
      <c r="AL165" s="234"/>
    </row>
    <row r="166" spans="2:38" s="48" customFormat="1" ht="13.2" hidden="1" customHeight="1" x14ac:dyDescent="0.25">
      <c r="B166" s="57" t="s">
        <v>73</v>
      </c>
      <c r="C166" s="49"/>
      <c r="D166" s="49"/>
      <c r="E166" s="22"/>
      <c r="F166" s="200">
        <f t="shared" si="16"/>
        <v>0</v>
      </c>
      <c r="G166" s="187"/>
      <c r="H166" s="187"/>
      <c r="I166" s="187"/>
      <c r="J166" s="187"/>
      <c r="K166" s="187"/>
      <c r="L166" s="187"/>
      <c r="M166" s="187"/>
      <c r="N166" s="187"/>
      <c r="O166" s="187"/>
      <c r="W166" s="43"/>
      <c r="X166" s="43"/>
      <c r="Y166" s="43"/>
      <c r="Z166" s="234"/>
      <c r="AA166" s="234"/>
      <c r="AB166" s="234"/>
      <c r="AC166" s="234"/>
      <c r="AD166" s="234"/>
      <c r="AE166" s="234"/>
      <c r="AF166" s="234"/>
      <c r="AG166" s="234"/>
      <c r="AH166" s="234"/>
      <c r="AI166" s="234"/>
      <c r="AJ166" s="234"/>
      <c r="AK166" s="234"/>
      <c r="AL166" s="234"/>
    </row>
    <row r="167" spans="2:38" s="48" customFormat="1" ht="13.2" hidden="1" customHeight="1" x14ac:dyDescent="0.25">
      <c r="B167" s="57" t="s">
        <v>104</v>
      </c>
      <c r="C167" s="49"/>
      <c r="D167" s="49"/>
      <c r="E167" s="22"/>
      <c r="F167" s="200">
        <f t="shared" si="16"/>
        <v>0</v>
      </c>
      <c r="G167" s="187"/>
      <c r="H167" s="187"/>
      <c r="I167" s="187"/>
      <c r="J167" s="187"/>
      <c r="K167" s="187"/>
      <c r="L167" s="187"/>
      <c r="M167" s="187"/>
      <c r="N167" s="187"/>
      <c r="O167" s="187"/>
      <c r="W167" s="43"/>
      <c r="X167" s="43"/>
      <c r="Y167" s="43"/>
      <c r="Z167" s="234"/>
      <c r="AA167" s="234"/>
      <c r="AB167" s="234"/>
      <c r="AC167" s="234"/>
      <c r="AD167" s="234"/>
      <c r="AE167" s="234"/>
      <c r="AF167" s="234"/>
      <c r="AG167" s="234"/>
      <c r="AH167" s="234"/>
      <c r="AI167" s="234"/>
      <c r="AJ167" s="234"/>
      <c r="AK167" s="234"/>
      <c r="AL167" s="234"/>
    </row>
    <row r="168" spans="2:38" s="48" customFormat="1" ht="13.2" hidden="1" customHeight="1" x14ac:dyDescent="0.25">
      <c r="B168" s="57" t="s">
        <v>75</v>
      </c>
      <c r="C168" s="49"/>
      <c r="D168" s="49"/>
      <c r="E168" s="22"/>
      <c r="F168" s="200">
        <f t="shared" si="16"/>
        <v>0</v>
      </c>
      <c r="G168" s="187"/>
      <c r="H168" s="187"/>
      <c r="I168" s="187"/>
      <c r="J168" s="187"/>
      <c r="K168" s="187"/>
      <c r="L168" s="187"/>
      <c r="M168" s="187"/>
      <c r="N168" s="187"/>
      <c r="O168" s="187"/>
      <c r="W168" s="43"/>
      <c r="X168" s="43"/>
      <c r="Y168" s="43"/>
      <c r="Z168" s="234"/>
      <c r="AA168" s="234"/>
      <c r="AB168" s="234"/>
      <c r="AC168" s="234"/>
      <c r="AD168" s="234"/>
      <c r="AE168" s="234"/>
      <c r="AF168" s="234"/>
      <c r="AG168" s="234"/>
      <c r="AH168" s="234"/>
      <c r="AI168" s="234"/>
      <c r="AJ168" s="234"/>
      <c r="AK168" s="234"/>
      <c r="AL168" s="234"/>
    </row>
    <row r="169" spans="2:38" s="48" customFormat="1" x14ac:dyDescent="0.25">
      <c r="B169" s="57" t="s">
        <v>131</v>
      </c>
      <c r="C169" s="49"/>
      <c r="D169" s="49"/>
      <c r="E169" s="22"/>
      <c r="F169" s="200">
        <f t="shared" si="16"/>
        <v>1</v>
      </c>
      <c r="G169" s="187"/>
      <c r="H169" s="187"/>
      <c r="I169" s="187"/>
      <c r="J169" s="187"/>
      <c r="K169" s="187"/>
      <c r="L169" s="187"/>
      <c r="M169" s="187"/>
      <c r="N169" s="187"/>
      <c r="O169" s="187">
        <v>1</v>
      </c>
      <c r="W169" s="43"/>
      <c r="X169" s="43"/>
      <c r="Y169" s="43"/>
      <c r="Z169" s="234"/>
      <c r="AA169" s="234"/>
      <c r="AB169" s="234"/>
      <c r="AC169" s="234"/>
      <c r="AD169" s="234"/>
      <c r="AE169" s="234"/>
      <c r="AF169" s="234"/>
      <c r="AG169" s="234"/>
      <c r="AH169" s="234"/>
      <c r="AI169" s="234"/>
      <c r="AJ169" s="234"/>
      <c r="AK169" s="234"/>
      <c r="AL169" s="234"/>
    </row>
    <row r="170" spans="2:38" s="48" customFormat="1" ht="13.2" hidden="1" customHeight="1" x14ac:dyDescent="0.25">
      <c r="B170" s="57" t="s">
        <v>77</v>
      </c>
      <c r="C170" s="49"/>
      <c r="D170" s="49"/>
      <c r="E170" s="22"/>
      <c r="F170" s="200">
        <f t="shared" si="16"/>
        <v>0</v>
      </c>
      <c r="G170" s="187"/>
      <c r="H170" s="187"/>
      <c r="I170" s="187"/>
      <c r="J170" s="187"/>
      <c r="K170" s="187"/>
      <c r="L170" s="187"/>
      <c r="M170" s="187"/>
      <c r="N170" s="187"/>
      <c r="O170" s="187"/>
      <c r="W170" s="43"/>
      <c r="X170" s="43"/>
      <c r="Y170" s="43"/>
      <c r="Z170" s="234"/>
      <c r="AA170" s="234"/>
      <c r="AB170" s="234"/>
      <c r="AC170" s="234"/>
      <c r="AD170" s="234"/>
      <c r="AE170" s="234"/>
      <c r="AF170" s="234"/>
      <c r="AG170" s="234"/>
      <c r="AH170" s="234"/>
      <c r="AI170" s="234"/>
      <c r="AJ170" s="234"/>
      <c r="AK170" s="234"/>
      <c r="AL170" s="234"/>
    </row>
    <row r="171" spans="2:38" s="48" customFormat="1" hidden="1" x14ac:dyDescent="0.25">
      <c r="B171" s="57" t="s">
        <v>78</v>
      </c>
      <c r="C171" s="49"/>
      <c r="D171" s="49"/>
      <c r="E171" s="22"/>
      <c r="F171" s="200">
        <f t="shared" si="16"/>
        <v>0</v>
      </c>
      <c r="G171" s="187"/>
      <c r="H171" s="187"/>
      <c r="I171" s="187"/>
      <c r="J171" s="187"/>
      <c r="K171" s="187"/>
      <c r="L171" s="187"/>
      <c r="M171" s="187"/>
      <c r="N171" s="187"/>
      <c r="O171" s="187"/>
      <c r="W171" s="43"/>
      <c r="X171" s="43"/>
      <c r="Y171" s="43"/>
      <c r="Z171" s="234"/>
      <c r="AA171" s="234"/>
      <c r="AB171" s="234"/>
      <c r="AC171" s="234"/>
      <c r="AD171" s="234"/>
      <c r="AE171" s="234"/>
      <c r="AF171" s="234"/>
      <c r="AG171" s="234"/>
      <c r="AH171" s="234"/>
      <c r="AI171" s="234"/>
      <c r="AJ171" s="234"/>
      <c r="AK171" s="234"/>
      <c r="AL171" s="234"/>
    </row>
    <row r="172" spans="2:38" s="48" customFormat="1" x14ac:dyDescent="0.25">
      <c r="B172" s="57" t="s">
        <v>79</v>
      </c>
      <c r="C172" s="49"/>
      <c r="D172" s="49"/>
      <c r="E172" s="22"/>
      <c r="F172" s="200">
        <f t="shared" si="16"/>
        <v>3</v>
      </c>
      <c r="G172" s="187">
        <v>1</v>
      </c>
      <c r="H172" s="187">
        <v>1</v>
      </c>
      <c r="I172" s="187"/>
      <c r="J172" s="187"/>
      <c r="K172" s="187"/>
      <c r="L172" s="187"/>
      <c r="M172" s="187"/>
      <c r="N172" s="187"/>
      <c r="O172" s="187">
        <v>1</v>
      </c>
      <c r="W172" s="43"/>
      <c r="X172" s="43"/>
      <c r="Y172" s="43"/>
      <c r="Z172" s="234"/>
      <c r="AA172" s="234"/>
      <c r="AB172" s="234"/>
      <c r="AC172" s="234"/>
      <c r="AD172" s="234"/>
      <c r="AE172" s="234"/>
      <c r="AF172" s="234"/>
      <c r="AG172" s="234"/>
      <c r="AH172" s="234"/>
      <c r="AI172" s="234"/>
      <c r="AJ172" s="234"/>
      <c r="AK172" s="234"/>
      <c r="AL172" s="234"/>
    </row>
    <row r="173" spans="2:38" s="48" customFormat="1" hidden="1" x14ac:dyDescent="0.25">
      <c r="B173" s="57" t="s">
        <v>198</v>
      </c>
      <c r="C173" s="49"/>
      <c r="D173" s="49"/>
      <c r="E173" s="22"/>
      <c r="F173" s="201">
        <f>SUM(G173:X173)</f>
        <v>0</v>
      </c>
      <c r="G173" s="188"/>
      <c r="H173" s="188"/>
      <c r="I173" s="188"/>
      <c r="J173" s="188"/>
      <c r="K173" s="188"/>
      <c r="L173" s="188"/>
      <c r="M173" s="188"/>
      <c r="N173" s="188"/>
      <c r="O173" s="188"/>
      <c r="W173" s="43"/>
      <c r="X173" s="43"/>
      <c r="Y173" s="43"/>
      <c r="Z173" s="234"/>
      <c r="AA173" s="234"/>
      <c r="AB173" s="234"/>
      <c r="AC173" s="234"/>
      <c r="AD173" s="234"/>
      <c r="AE173" s="234"/>
      <c r="AF173" s="234"/>
      <c r="AG173" s="234"/>
      <c r="AH173" s="234"/>
      <c r="AI173" s="234"/>
      <c r="AJ173" s="234"/>
      <c r="AK173" s="234"/>
      <c r="AL173" s="234"/>
    </row>
    <row r="174" spans="2:38" s="48" customFormat="1" x14ac:dyDescent="0.25">
      <c r="B174" s="57"/>
      <c r="C174" s="49"/>
      <c r="D174" s="49"/>
      <c r="E174" s="22"/>
      <c r="F174" s="25"/>
      <c r="G174" s="21"/>
      <c r="H174" s="21"/>
      <c r="I174" s="21"/>
      <c r="J174" s="21"/>
      <c r="K174" s="21"/>
      <c r="L174" s="21"/>
      <c r="M174" s="21"/>
      <c r="N174" s="21"/>
      <c r="O174" s="21"/>
      <c r="W174" s="43"/>
      <c r="X174" s="43"/>
      <c r="Y174" s="43"/>
      <c r="Z174" s="234"/>
      <c r="AA174" s="234"/>
      <c r="AB174" s="234"/>
      <c r="AC174" s="234"/>
      <c r="AD174" s="234"/>
      <c r="AE174" s="234"/>
      <c r="AF174" s="234"/>
      <c r="AG174" s="234"/>
      <c r="AH174" s="234"/>
      <c r="AI174" s="234"/>
      <c r="AJ174" s="234"/>
      <c r="AK174" s="234"/>
      <c r="AL174" s="234"/>
    </row>
    <row r="175" spans="2:38" s="93" customFormat="1" x14ac:dyDescent="0.25">
      <c r="B175" s="58" t="s">
        <v>0</v>
      </c>
      <c r="C175" s="91"/>
      <c r="D175" s="52"/>
      <c r="E175" s="133">
        <v>1</v>
      </c>
      <c r="F175" s="390">
        <f>SUM(F177:F182)</f>
        <v>0</v>
      </c>
      <c r="G175" s="94">
        <f t="shared" ref="G175" si="17">SUM(G177:G182)</f>
        <v>0</v>
      </c>
      <c r="H175" s="94">
        <f t="shared" ref="H175:O175" si="18">SUM(H177:H182)</f>
        <v>0</v>
      </c>
      <c r="I175" s="94">
        <f t="shared" si="18"/>
        <v>0</v>
      </c>
      <c r="J175" s="94">
        <f t="shared" si="18"/>
        <v>0</v>
      </c>
      <c r="K175" s="94">
        <f t="shared" si="18"/>
        <v>0</v>
      </c>
      <c r="L175" s="94">
        <f t="shared" si="18"/>
        <v>0</v>
      </c>
      <c r="M175" s="94">
        <f t="shared" si="18"/>
        <v>0</v>
      </c>
      <c r="N175" s="94">
        <f t="shared" si="18"/>
        <v>0</v>
      </c>
      <c r="O175" s="94">
        <f t="shared" si="18"/>
        <v>0</v>
      </c>
      <c r="W175" s="47"/>
      <c r="X175" s="47"/>
      <c r="Y175" s="43"/>
      <c r="Z175" s="234"/>
      <c r="AA175" s="234"/>
      <c r="AB175" s="234"/>
      <c r="AC175" s="234"/>
      <c r="AD175" s="234"/>
      <c r="AE175" s="234"/>
      <c r="AF175" s="52"/>
      <c r="AG175" s="52"/>
      <c r="AH175" s="52"/>
      <c r="AI175" s="52"/>
      <c r="AJ175" s="52"/>
      <c r="AK175" s="52"/>
      <c r="AL175" s="52"/>
    </row>
    <row r="176" spans="2:38" s="48" customFormat="1" ht="13.2" hidden="1" customHeight="1" x14ac:dyDescent="0.25">
      <c r="B176" s="57" t="s">
        <v>127</v>
      </c>
      <c r="C176" s="49"/>
      <c r="D176" s="49"/>
      <c r="E176" s="169"/>
      <c r="F176" s="199">
        <f>SUM(G176:X176)</f>
        <v>0</v>
      </c>
      <c r="G176" s="186"/>
      <c r="H176" s="186"/>
      <c r="I176" s="186"/>
      <c r="J176" s="186"/>
      <c r="K176" s="186"/>
      <c r="L176" s="186"/>
      <c r="M176" s="186"/>
      <c r="N176" s="186"/>
      <c r="O176" s="186"/>
      <c r="W176" s="209"/>
      <c r="X176" s="43"/>
      <c r="Y176" s="43"/>
      <c r="Z176" s="234"/>
      <c r="AA176" s="234"/>
      <c r="AB176" s="234"/>
      <c r="AC176" s="234"/>
      <c r="AD176" s="234"/>
      <c r="AE176" s="234"/>
      <c r="AF176" s="234"/>
      <c r="AG176" s="234"/>
      <c r="AH176" s="234"/>
      <c r="AI176" s="234"/>
      <c r="AJ176" s="234"/>
      <c r="AK176" s="234"/>
      <c r="AL176" s="234"/>
    </row>
    <row r="177" spans="2:38" s="48" customFormat="1" ht="13.2" customHeight="1" x14ac:dyDescent="0.25">
      <c r="B177" s="57" t="s">
        <v>81</v>
      </c>
      <c r="C177" s="49"/>
      <c r="D177" s="49"/>
      <c r="E177" s="169"/>
      <c r="F177" s="355">
        <f t="shared" ref="F177:F181" si="19">SUM(G177:X177)</f>
        <v>0</v>
      </c>
      <c r="G177" s="197"/>
      <c r="H177" s="197"/>
      <c r="I177" s="197"/>
      <c r="J177" s="197"/>
      <c r="K177" s="197"/>
      <c r="L177" s="197"/>
      <c r="M177" s="197"/>
      <c r="N177" s="197"/>
      <c r="O177" s="197"/>
      <c r="W177" s="209"/>
      <c r="X177" s="43"/>
      <c r="Y177" s="43"/>
      <c r="Z177" s="234"/>
      <c r="AA177" s="234"/>
      <c r="AB177" s="234"/>
      <c r="AC177" s="234"/>
      <c r="AD177" s="234"/>
      <c r="AE177" s="234"/>
      <c r="AF177" s="234"/>
      <c r="AG177" s="234"/>
      <c r="AH177" s="234"/>
      <c r="AI177" s="234"/>
      <c r="AJ177" s="234"/>
      <c r="AK177" s="234"/>
      <c r="AL177" s="234"/>
    </row>
    <row r="178" spans="2:38" s="48" customFormat="1" ht="13.2" hidden="1" customHeight="1" x14ac:dyDescent="0.25">
      <c r="B178" s="57" t="s">
        <v>82</v>
      </c>
      <c r="C178" s="49"/>
      <c r="D178" s="49"/>
      <c r="E178" s="169"/>
      <c r="F178" s="200">
        <f t="shared" si="19"/>
        <v>0</v>
      </c>
      <c r="G178" s="187"/>
      <c r="H178" s="187"/>
      <c r="I178" s="187"/>
      <c r="J178" s="187"/>
      <c r="K178" s="187"/>
      <c r="L178" s="187"/>
      <c r="M178" s="187"/>
      <c r="N178" s="187"/>
      <c r="O178" s="187"/>
      <c r="W178" s="209"/>
      <c r="X178" s="43"/>
      <c r="Y178" s="43"/>
      <c r="Z178" s="234"/>
      <c r="AA178" s="234"/>
      <c r="AB178" s="234"/>
      <c r="AC178" s="234"/>
      <c r="AD178" s="234"/>
      <c r="AE178" s="234"/>
      <c r="AF178" s="234"/>
      <c r="AG178" s="234"/>
      <c r="AH178" s="234"/>
      <c r="AI178" s="234"/>
      <c r="AJ178" s="234"/>
      <c r="AK178" s="234"/>
      <c r="AL178" s="234"/>
    </row>
    <row r="179" spans="2:38" s="48" customFormat="1" ht="13.2" hidden="1" customHeight="1" x14ac:dyDescent="0.25">
      <c r="B179" s="57" t="s">
        <v>83</v>
      </c>
      <c r="C179" s="49"/>
      <c r="D179" s="49"/>
      <c r="E179" s="169"/>
      <c r="F179" s="200">
        <f t="shared" si="19"/>
        <v>0</v>
      </c>
      <c r="G179" s="187"/>
      <c r="H179" s="187"/>
      <c r="I179" s="187"/>
      <c r="J179" s="187"/>
      <c r="K179" s="187"/>
      <c r="L179" s="187"/>
      <c r="M179" s="187"/>
      <c r="N179" s="187"/>
      <c r="O179" s="187"/>
      <c r="W179" s="209"/>
      <c r="X179" s="43"/>
      <c r="Y179" s="43"/>
      <c r="Z179" s="234"/>
      <c r="AA179" s="234"/>
      <c r="AB179" s="234"/>
      <c r="AC179" s="234"/>
      <c r="AD179" s="234"/>
      <c r="AE179" s="234"/>
      <c r="AF179" s="234"/>
      <c r="AG179" s="234"/>
      <c r="AH179" s="234"/>
      <c r="AI179" s="234"/>
      <c r="AJ179" s="234"/>
      <c r="AK179" s="234"/>
      <c r="AL179" s="234"/>
    </row>
    <row r="180" spans="2:38" s="48" customFormat="1" ht="13.2" hidden="1" customHeight="1" x14ac:dyDescent="0.25">
      <c r="B180" s="57" t="s">
        <v>84</v>
      </c>
      <c r="C180" s="49"/>
      <c r="D180" s="49"/>
      <c r="E180" s="169"/>
      <c r="F180" s="200">
        <f t="shared" si="19"/>
        <v>0</v>
      </c>
      <c r="G180" s="187"/>
      <c r="H180" s="187"/>
      <c r="I180" s="187"/>
      <c r="J180" s="187"/>
      <c r="K180" s="187"/>
      <c r="L180" s="187"/>
      <c r="M180" s="187"/>
      <c r="N180" s="187"/>
      <c r="O180" s="187"/>
      <c r="W180" s="209"/>
      <c r="X180" s="43"/>
      <c r="Y180" s="43"/>
      <c r="Z180" s="234"/>
      <c r="AA180" s="234"/>
      <c r="AB180" s="234"/>
      <c r="AC180" s="234"/>
      <c r="AD180" s="234"/>
      <c r="AE180" s="234"/>
      <c r="AF180" s="234"/>
      <c r="AG180" s="234"/>
      <c r="AH180" s="234"/>
      <c r="AI180" s="234"/>
      <c r="AJ180" s="234"/>
      <c r="AK180" s="234"/>
      <c r="AL180" s="234"/>
    </row>
    <row r="181" spans="2:38" s="48" customFormat="1" ht="13.2" hidden="1" customHeight="1" x14ac:dyDescent="0.25">
      <c r="B181" s="57" t="s">
        <v>85</v>
      </c>
      <c r="C181" s="49"/>
      <c r="D181" s="49"/>
      <c r="E181" s="169"/>
      <c r="F181" s="200">
        <f t="shared" si="19"/>
        <v>0</v>
      </c>
      <c r="G181" s="187"/>
      <c r="H181" s="187"/>
      <c r="I181" s="187"/>
      <c r="J181" s="187"/>
      <c r="K181" s="187"/>
      <c r="L181" s="187"/>
      <c r="M181" s="187"/>
      <c r="N181" s="187"/>
      <c r="O181" s="187"/>
      <c r="W181" s="209"/>
      <c r="X181" s="43"/>
      <c r="Y181" s="43"/>
      <c r="Z181" s="234"/>
      <c r="AA181" s="234"/>
      <c r="AB181" s="234"/>
      <c r="AC181" s="234"/>
      <c r="AD181" s="234"/>
      <c r="AE181" s="234"/>
      <c r="AF181" s="234"/>
      <c r="AG181" s="234"/>
      <c r="AH181" s="234"/>
      <c r="AI181" s="234"/>
      <c r="AJ181" s="234"/>
      <c r="AK181" s="234"/>
      <c r="AL181" s="234"/>
    </row>
    <row r="182" spans="2:38" s="48" customFormat="1" ht="13.2" hidden="1" customHeight="1" x14ac:dyDescent="0.25">
      <c r="B182" s="57" t="s">
        <v>87</v>
      </c>
      <c r="C182" s="49"/>
      <c r="D182" s="49"/>
      <c r="E182" s="169"/>
      <c r="F182" s="201">
        <f>SUM(G182:X182)</f>
        <v>0</v>
      </c>
      <c r="G182" s="188"/>
      <c r="H182" s="188"/>
      <c r="I182" s="188"/>
      <c r="J182" s="188"/>
      <c r="K182" s="188"/>
      <c r="L182" s="188"/>
      <c r="M182" s="188"/>
      <c r="N182" s="188"/>
      <c r="O182" s="188"/>
      <c r="W182" s="209"/>
      <c r="X182" s="43"/>
      <c r="Y182" s="43"/>
      <c r="Z182" s="234"/>
      <c r="AA182" s="234"/>
      <c r="AB182" s="234"/>
      <c r="AC182" s="234"/>
      <c r="AD182" s="234"/>
      <c r="AE182" s="234"/>
      <c r="AF182" s="234"/>
      <c r="AG182" s="234"/>
      <c r="AH182" s="234"/>
      <c r="AI182" s="234"/>
      <c r="AJ182" s="234"/>
      <c r="AK182" s="234"/>
      <c r="AL182" s="234"/>
    </row>
    <row r="183" spans="2:38" s="48" customFormat="1" x14ac:dyDescent="0.25">
      <c r="B183" s="61"/>
      <c r="C183" s="55"/>
      <c r="D183" s="55"/>
      <c r="E183" s="226"/>
      <c r="F183" s="331"/>
      <c r="G183" s="23"/>
      <c r="H183" s="23"/>
      <c r="I183" s="23"/>
      <c r="J183" s="23"/>
      <c r="K183" s="23"/>
      <c r="L183" s="23"/>
      <c r="M183" s="23"/>
      <c r="N183" s="23"/>
      <c r="O183" s="23"/>
      <c r="W183" s="209"/>
      <c r="X183" s="43"/>
      <c r="Y183" s="43"/>
      <c r="Z183" s="234"/>
      <c r="AA183" s="234"/>
      <c r="AB183" s="234"/>
      <c r="AC183" s="234"/>
      <c r="AD183" s="234"/>
      <c r="AE183" s="234"/>
      <c r="AF183" s="234"/>
      <c r="AG183" s="234"/>
      <c r="AH183" s="234"/>
      <c r="AI183" s="234"/>
      <c r="AJ183" s="234"/>
      <c r="AK183" s="234"/>
      <c r="AL183" s="234"/>
    </row>
    <row r="184" spans="2:38" s="48" customFormat="1" hidden="1" x14ac:dyDescent="0.25">
      <c r="B184" s="58" t="s">
        <v>94</v>
      </c>
      <c r="C184" s="49"/>
      <c r="D184" s="49"/>
      <c r="E184" s="133"/>
      <c r="F184" s="22"/>
      <c r="G184" s="49"/>
      <c r="H184" s="22"/>
      <c r="I184" s="234"/>
      <c r="J184" s="22"/>
      <c r="K184" s="234"/>
      <c r="L184" s="22"/>
      <c r="M184" s="234"/>
      <c r="N184" s="22"/>
      <c r="O184" s="22"/>
      <c r="P184" s="22"/>
      <c r="Q184" s="22"/>
      <c r="R184" s="22"/>
      <c r="S184" s="22"/>
      <c r="T184" s="22"/>
      <c r="U184" s="22"/>
      <c r="V184" s="22"/>
      <c r="W184" s="209"/>
      <c r="X184" s="43"/>
      <c r="Y184" s="43"/>
      <c r="Z184" s="234"/>
      <c r="AA184" s="234"/>
      <c r="AB184" s="234"/>
      <c r="AC184" s="234"/>
      <c r="AD184" s="234"/>
      <c r="AE184" s="234"/>
      <c r="AF184" s="234"/>
      <c r="AG184" s="234"/>
      <c r="AH184" s="234"/>
      <c r="AI184" s="234"/>
      <c r="AJ184" s="234"/>
      <c r="AK184" s="234"/>
      <c r="AL184" s="234"/>
    </row>
    <row r="185" spans="2:38" s="48" customFormat="1" ht="13.2" hidden="1" customHeight="1" x14ac:dyDescent="0.25">
      <c r="B185" s="61" t="s">
        <v>86</v>
      </c>
      <c r="C185" s="55"/>
      <c r="D185" s="55"/>
      <c r="E185" s="23" t="s">
        <v>7</v>
      </c>
      <c r="F185" s="197">
        <f>SUM(G185:X185)</f>
        <v>0</v>
      </c>
      <c r="G185" s="221"/>
      <c r="H185" s="197"/>
      <c r="I185" s="198"/>
      <c r="J185" s="197"/>
      <c r="K185" s="198"/>
      <c r="L185" s="197"/>
      <c r="M185" s="198"/>
      <c r="N185" s="197"/>
      <c r="O185" s="197"/>
      <c r="P185" s="197"/>
      <c r="Q185" s="197"/>
      <c r="R185" s="197"/>
      <c r="S185" s="197"/>
      <c r="T185" s="197"/>
      <c r="U185" s="197"/>
      <c r="V185" s="197"/>
      <c r="W185" s="209"/>
      <c r="X185" s="43"/>
      <c r="Y185" s="43"/>
      <c r="Z185" s="234"/>
      <c r="AA185" s="234"/>
      <c r="AB185" s="234"/>
      <c r="AC185" s="234"/>
      <c r="AD185" s="234"/>
      <c r="AE185" s="234"/>
      <c r="AF185" s="234"/>
      <c r="AG185" s="234"/>
      <c r="AH185" s="234"/>
      <c r="AI185" s="234"/>
      <c r="AJ185" s="234"/>
      <c r="AK185" s="234"/>
      <c r="AL185" s="234"/>
    </row>
    <row r="186" spans="2:38" s="48" customFormat="1" ht="13.2" customHeight="1" x14ac:dyDescent="0.25">
      <c r="B186" s="49"/>
      <c r="C186" s="49"/>
      <c r="D186" s="49"/>
      <c r="E186" s="234"/>
      <c r="F186" s="234"/>
      <c r="G186" s="49"/>
      <c r="H186" s="234"/>
      <c r="I186" s="234"/>
      <c r="J186" s="234"/>
      <c r="K186" s="234"/>
      <c r="L186" s="234"/>
      <c r="M186" s="234"/>
      <c r="N186" s="234"/>
      <c r="O186" s="234"/>
      <c r="P186" s="234"/>
      <c r="Q186" s="234"/>
      <c r="R186" s="234"/>
      <c r="S186" s="234"/>
      <c r="T186" s="234"/>
      <c r="U186" s="234"/>
      <c r="V186" s="234"/>
      <c r="W186" s="49"/>
      <c r="X186" s="234"/>
      <c r="Y186" s="234"/>
      <c r="Z186" s="234"/>
      <c r="AA186" s="234"/>
      <c r="AB186" s="234"/>
      <c r="AC186" s="234"/>
      <c r="AD186" s="234"/>
      <c r="AE186" s="234"/>
      <c r="AF186" s="234"/>
      <c r="AG186" s="234"/>
      <c r="AH186" s="234"/>
      <c r="AI186" s="234"/>
      <c r="AJ186" s="234"/>
      <c r="AK186" s="234"/>
      <c r="AL186" s="234"/>
    </row>
    <row r="187" spans="2:38" s="48" customFormat="1" x14ac:dyDescent="0.25">
      <c r="B187" s="10" t="s">
        <v>504</v>
      </c>
      <c r="C187" s="38"/>
      <c r="D187" s="38"/>
      <c r="E187" s="234"/>
      <c r="F187" s="234"/>
      <c r="G187" s="234"/>
      <c r="H187" s="234"/>
      <c r="I187" s="234"/>
      <c r="J187" s="234"/>
      <c r="K187" s="43"/>
      <c r="L187" s="209"/>
      <c r="M187" s="209"/>
      <c r="N187" s="209"/>
      <c r="O187" s="209"/>
      <c r="P187" s="209"/>
      <c r="Q187" s="209"/>
      <c r="R187" s="209"/>
      <c r="S187" s="209"/>
      <c r="T187" s="209"/>
      <c r="U187" s="209"/>
      <c r="V187" s="209"/>
      <c r="W187" s="209"/>
      <c r="X187" s="43"/>
      <c r="Y187" s="43"/>
      <c r="Z187" s="234"/>
      <c r="AA187" s="234"/>
      <c r="AB187" s="234"/>
      <c r="AC187" s="234"/>
      <c r="AD187" s="234"/>
      <c r="AE187" s="234"/>
      <c r="AF187" s="234"/>
      <c r="AG187" s="50"/>
      <c r="AH187" s="50"/>
      <c r="AI187" s="50"/>
      <c r="AJ187" s="50"/>
      <c r="AK187" s="50"/>
      <c r="AL187" s="50"/>
    </row>
    <row r="188" spans="2:38" s="48" customFormat="1" x14ac:dyDescent="0.25">
      <c r="B188" s="51"/>
      <c r="C188" s="38"/>
      <c r="D188" s="38"/>
      <c r="E188" s="234"/>
      <c r="F188" s="234"/>
      <c r="G188" s="234"/>
      <c r="H188" s="234"/>
      <c r="I188" s="234"/>
      <c r="J188" s="234"/>
      <c r="K188" s="43"/>
      <c r="L188" s="209"/>
      <c r="M188" s="209"/>
      <c r="N188" s="209"/>
      <c r="O188" s="209"/>
      <c r="P188" s="209"/>
      <c r="Q188" s="209"/>
      <c r="R188" s="209"/>
      <c r="S188" s="209"/>
      <c r="T188" s="209"/>
      <c r="U188" s="209"/>
      <c r="V188" s="209"/>
      <c r="W188" s="209"/>
      <c r="X188" s="43"/>
      <c r="Y188" s="43"/>
      <c r="Z188" s="234"/>
      <c r="AA188" s="234"/>
      <c r="AB188" s="234"/>
      <c r="AC188" s="234"/>
      <c r="AD188" s="234"/>
      <c r="AE188" s="234"/>
      <c r="AF188" s="234"/>
      <c r="AG188" s="50"/>
      <c r="AH188" s="50"/>
      <c r="AI188" s="50"/>
      <c r="AJ188" s="50"/>
      <c r="AK188" s="50"/>
      <c r="AL188" s="50"/>
    </row>
    <row r="189" spans="2:38" s="48" customFormat="1" ht="30" customHeight="1" x14ac:dyDescent="0.25">
      <c r="B189" s="415" t="s">
        <v>95</v>
      </c>
      <c r="C189" s="416"/>
      <c r="D189" s="417"/>
      <c r="E189" s="421" t="s">
        <v>451</v>
      </c>
      <c r="F189" s="422"/>
      <c r="G189" s="425" t="s">
        <v>452</v>
      </c>
      <c r="H189" s="426"/>
      <c r="I189" s="426"/>
      <c r="J189" s="426"/>
      <c r="K189" s="426"/>
      <c r="L189" s="426"/>
      <c r="M189" s="426"/>
      <c r="N189" s="426"/>
      <c r="O189" s="426"/>
      <c r="P189" s="426"/>
      <c r="Q189" s="426"/>
      <c r="R189" s="426"/>
      <c r="S189" s="426"/>
      <c r="T189" s="427"/>
      <c r="U189" s="140"/>
      <c r="V189" s="140"/>
      <c r="W189" s="209"/>
      <c r="X189" s="43"/>
      <c r="Y189" s="43"/>
      <c r="Z189" s="234"/>
      <c r="AA189" s="234"/>
      <c r="AB189" s="234"/>
      <c r="AC189" s="234"/>
      <c r="AD189" s="234"/>
      <c r="AE189" s="234"/>
      <c r="AF189" s="234"/>
      <c r="AG189" s="50"/>
      <c r="AH189" s="50"/>
      <c r="AI189" s="50"/>
      <c r="AJ189" s="50"/>
      <c r="AK189" s="50"/>
      <c r="AL189" s="50"/>
    </row>
    <row r="190" spans="2:38" s="48" customFormat="1" ht="9" customHeight="1" x14ac:dyDescent="0.25">
      <c r="B190" s="418"/>
      <c r="C190" s="419"/>
      <c r="D190" s="420"/>
      <c r="E190" s="423"/>
      <c r="F190" s="424"/>
      <c r="G190" s="412" t="s">
        <v>453</v>
      </c>
      <c r="H190" s="412" t="s">
        <v>454</v>
      </c>
      <c r="I190" s="412" t="s">
        <v>455</v>
      </c>
      <c r="J190" s="428" t="s">
        <v>456</v>
      </c>
      <c r="K190" s="412" t="s">
        <v>457</v>
      </c>
      <c r="L190" s="412" t="s">
        <v>458</v>
      </c>
      <c r="M190" s="412" t="s">
        <v>459</v>
      </c>
      <c r="N190" s="412" t="s">
        <v>460</v>
      </c>
      <c r="O190" s="412" t="s">
        <v>461</v>
      </c>
      <c r="P190" s="412" t="s">
        <v>462</v>
      </c>
      <c r="Q190" s="412" t="s">
        <v>463</v>
      </c>
      <c r="R190" s="412" t="s">
        <v>464</v>
      </c>
      <c r="S190" s="428" t="s">
        <v>465</v>
      </c>
      <c r="T190" s="412" t="s">
        <v>466</v>
      </c>
      <c r="U190" s="414"/>
      <c r="V190" s="414"/>
      <c r="W190" s="209"/>
      <c r="X190" s="43"/>
      <c r="Y190" s="43"/>
      <c r="Z190" s="234"/>
      <c r="AA190" s="234"/>
      <c r="AB190" s="234"/>
      <c r="AC190" s="234"/>
      <c r="AD190" s="234"/>
      <c r="AE190" s="234"/>
      <c r="AF190" s="234"/>
      <c r="AG190" s="50"/>
      <c r="AH190" s="50"/>
      <c r="AI190" s="50"/>
      <c r="AJ190" s="50"/>
      <c r="AK190" s="50"/>
      <c r="AL190" s="50"/>
    </row>
    <row r="191" spans="2:38" s="48" customFormat="1" ht="66" customHeight="1" x14ac:dyDescent="0.25">
      <c r="B191" s="350"/>
      <c r="C191" s="351"/>
      <c r="D191" s="352"/>
      <c r="E191" s="237" t="s">
        <v>237</v>
      </c>
      <c r="F191" s="353" t="s">
        <v>492</v>
      </c>
      <c r="G191" s="413"/>
      <c r="H191" s="413"/>
      <c r="I191" s="413"/>
      <c r="J191" s="429"/>
      <c r="K191" s="413"/>
      <c r="L191" s="413"/>
      <c r="M191" s="413"/>
      <c r="N191" s="413"/>
      <c r="O191" s="413"/>
      <c r="P191" s="413"/>
      <c r="Q191" s="413"/>
      <c r="R191" s="413"/>
      <c r="S191" s="429"/>
      <c r="T191" s="413"/>
      <c r="U191" s="414"/>
      <c r="V191" s="414"/>
      <c r="W191" s="209"/>
      <c r="X191" s="43"/>
      <c r="Y191" s="43"/>
      <c r="Z191" s="234"/>
      <c r="AA191" s="234"/>
      <c r="AB191" s="234"/>
      <c r="AC191" s="234"/>
      <c r="AD191" s="234"/>
      <c r="AE191" s="234"/>
      <c r="AF191" s="234"/>
      <c r="AG191" s="50"/>
      <c r="AH191" s="50"/>
      <c r="AI191" s="50"/>
      <c r="AJ191" s="50"/>
      <c r="AK191" s="50"/>
      <c r="AL191" s="50"/>
    </row>
    <row r="192" spans="2:38" s="48" customFormat="1" x14ac:dyDescent="0.25">
      <c r="B192" s="57"/>
      <c r="C192" s="49"/>
      <c r="D192" s="52"/>
      <c r="E192" s="21"/>
      <c r="F192" s="234"/>
      <c r="G192" s="89"/>
      <c r="H192" s="234"/>
      <c r="I192" s="87"/>
      <c r="J192" s="81"/>
      <c r="K192" s="87"/>
      <c r="L192" s="87"/>
      <c r="M192" s="87"/>
      <c r="N192" s="87"/>
      <c r="O192" s="331"/>
      <c r="P192" s="331"/>
      <c r="Q192" s="331"/>
      <c r="R192" s="331"/>
      <c r="S192" s="331"/>
      <c r="T192" s="87"/>
      <c r="U192" s="234"/>
      <c r="V192" s="234"/>
      <c r="W192" s="209"/>
      <c r="X192" s="43"/>
      <c r="Y192" s="43"/>
      <c r="Z192" s="234"/>
      <c r="AA192" s="234"/>
      <c r="AB192" s="234"/>
      <c r="AC192" s="234"/>
      <c r="AD192" s="234"/>
      <c r="AE192" s="234"/>
      <c r="AF192" s="234"/>
      <c r="AG192" s="50"/>
      <c r="AH192" s="50"/>
      <c r="AI192" s="50"/>
      <c r="AJ192" s="50"/>
      <c r="AK192" s="50"/>
      <c r="AL192" s="50"/>
    </row>
    <row r="193" spans="2:38" s="48" customFormat="1" x14ac:dyDescent="0.25">
      <c r="B193" s="73" t="s">
        <v>8</v>
      </c>
      <c r="C193" s="74"/>
      <c r="D193" s="75"/>
      <c r="E193" s="157">
        <f>E201+E207+E220+E233+E240+E269+E195</f>
        <v>11</v>
      </c>
      <c r="F193" s="76">
        <f>F201+F207+F220+F233+F240+F269</f>
        <v>26</v>
      </c>
      <c r="G193" s="218">
        <f t="shared" ref="G193:T193" si="20">G201+G207+G220+G233+G240+G269</f>
        <v>1</v>
      </c>
      <c r="H193" s="218">
        <f t="shared" si="20"/>
        <v>4</v>
      </c>
      <c r="I193" s="76">
        <f t="shared" si="20"/>
        <v>8</v>
      </c>
      <c r="J193" s="218">
        <f t="shared" si="20"/>
        <v>1</v>
      </c>
      <c r="K193" s="76">
        <f t="shared" si="20"/>
        <v>1</v>
      </c>
      <c r="L193" s="218">
        <f t="shared" si="20"/>
        <v>1</v>
      </c>
      <c r="M193" s="76">
        <f t="shared" si="20"/>
        <v>1</v>
      </c>
      <c r="N193" s="218">
        <f t="shared" si="20"/>
        <v>1</v>
      </c>
      <c r="O193" s="76">
        <f t="shared" si="20"/>
        <v>1</v>
      </c>
      <c r="P193" s="218">
        <f t="shared" si="20"/>
        <v>1</v>
      </c>
      <c r="Q193" s="76">
        <f t="shared" si="20"/>
        <v>1</v>
      </c>
      <c r="R193" s="218">
        <f t="shared" si="20"/>
        <v>1</v>
      </c>
      <c r="S193" s="76">
        <f t="shared" si="20"/>
        <v>1</v>
      </c>
      <c r="T193" s="218">
        <f t="shared" si="20"/>
        <v>3</v>
      </c>
      <c r="U193" s="373"/>
      <c r="V193" s="373"/>
      <c r="W193" s="209"/>
      <c r="X193" s="43"/>
      <c r="Y193" s="43"/>
      <c r="Z193" s="234"/>
      <c r="AA193" s="234"/>
      <c r="AB193" s="234"/>
      <c r="AC193" s="234"/>
      <c r="AD193" s="234"/>
      <c r="AE193" s="234"/>
      <c r="AF193" s="234"/>
      <c r="AG193" s="50"/>
      <c r="AH193" s="50"/>
      <c r="AI193" s="50"/>
      <c r="AJ193" s="50"/>
      <c r="AK193" s="50"/>
      <c r="AL193" s="50"/>
    </row>
    <row r="194" spans="2:38" s="48" customFormat="1" x14ac:dyDescent="0.25">
      <c r="B194" s="132" t="s">
        <v>7</v>
      </c>
      <c r="C194" s="170"/>
      <c r="D194" s="171"/>
      <c r="E194" s="21"/>
      <c r="F194" s="125"/>
      <c r="G194" s="89"/>
      <c r="H194" s="125"/>
      <c r="I194" s="21"/>
      <c r="J194" s="368"/>
      <c r="K194" s="21"/>
      <c r="L194" s="21"/>
      <c r="M194" s="25"/>
      <c r="N194" s="21"/>
      <c r="O194" s="21"/>
      <c r="P194" s="21"/>
      <c r="Q194" s="21"/>
      <c r="R194" s="21"/>
      <c r="S194" s="25"/>
      <c r="T194" s="21"/>
      <c r="U194" s="234"/>
      <c r="V194" s="234"/>
      <c r="W194" s="209"/>
      <c r="X194" s="43"/>
      <c r="Y194" s="43"/>
      <c r="Z194" s="234"/>
      <c r="AA194" s="234"/>
      <c r="AB194" s="234"/>
      <c r="AC194" s="234"/>
      <c r="AD194" s="234"/>
      <c r="AE194" s="234"/>
      <c r="AF194" s="234"/>
      <c r="AG194" s="50"/>
      <c r="AH194" s="50"/>
      <c r="AI194" s="50"/>
      <c r="AJ194" s="50"/>
      <c r="AK194" s="50"/>
      <c r="AL194" s="50"/>
    </row>
    <row r="195" spans="2:38" s="48" customFormat="1" hidden="1" x14ac:dyDescent="0.25">
      <c r="B195" s="58" t="s">
        <v>122</v>
      </c>
      <c r="C195" s="91"/>
      <c r="D195" s="52"/>
      <c r="E195" s="133"/>
      <c r="F195" s="52">
        <f>SUM(F196:F199)</f>
        <v>0</v>
      </c>
      <c r="G195" s="92">
        <f>SUM(G196:G199)</f>
        <v>0</v>
      </c>
      <c r="H195" s="52">
        <f t="shared" ref="H195:T195" si="21">SUM(H196:H199)</f>
        <v>0</v>
      </c>
      <c r="I195" s="92">
        <f t="shared" si="21"/>
        <v>0</v>
      </c>
      <c r="J195" s="126">
        <f t="shared" si="21"/>
        <v>0</v>
      </c>
      <c r="K195" s="92">
        <f t="shared" si="21"/>
        <v>0</v>
      </c>
      <c r="L195" s="92">
        <f t="shared" si="21"/>
        <v>0</v>
      </c>
      <c r="M195" s="129">
        <f t="shared" si="21"/>
        <v>0</v>
      </c>
      <c r="N195" s="92">
        <f t="shared" si="21"/>
        <v>0</v>
      </c>
      <c r="O195" s="92">
        <f t="shared" si="21"/>
        <v>0</v>
      </c>
      <c r="P195" s="92">
        <f t="shared" si="21"/>
        <v>0</v>
      </c>
      <c r="Q195" s="92">
        <f t="shared" si="21"/>
        <v>0</v>
      </c>
      <c r="R195" s="92">
        <f t="shared" si="21"/>
        <v>0</v>
      </c>
      <c r="S195" s="129">
        <f t="shared" si="21"/>
        <v>0</v>
      </c>
      <c r="T195" s="92">
        <f t="shared" si="21"/>
        <v>0</v>
      </c>
      <c r="U195" s="52"/>
      <c r="V195" s="52"/>
      <c r="W195" s="209"/>
      <c r="X195" s="43"/>
      <c r="Y195" s="43"/>
      <c r="Z195" s="234"/>
      <c r="AA195" s="234"/>
      <c r="AB195" s="234"/>
      <c r="AC195" s="234"/>
      <c r="AD195" s="234"/>
      <c r="AE195" s="234"/>
      <c r="AF195" s="234"/>
      <c r="AG195" s="50"/>
      <c r="AH195" s="50"/>
      <c r="AI195" s="50"/>
      <c r="AJ195" s="50"/>
      <c r="AK195" s="50"/>
      <c r="AL195" s="50"/>
    </row>
    <row r="196" spans="2:38" s="48" customFormat="1" hidden="1" x14ac:dyDescent="0.25">
      <c r="B196" s="54" t="s">
        <v>124</v>
      </c>
      <c r="C196" s="56"/>
      <c r="D196" s="47"/>
      <c r="E196" s="22"/>
      <c r="F196" s="199">
        <f>SUM(G196:X196)</f>
        <v>0</v>
      </c>
      <c r="G196" s="186"/>
      <c r="H196" s="189"/>
      <c r="I196" s="186"/>
      <c r="J196" s="190"/>
      <c r="K196" s="186"/>
      <c r="L196" s="186"/>
      <c r="M196" s="199"/>
      <c r="N196" s="186"/>
      <c r="O196" s="186"/>
      <c r="P196" s="186"/>
      <c r="Q196" s="186"/>
      <c r="R196" s="186"/>
      <c r="S196" s="199"/>
      <c r="T196" s="186"/>
      <c r="U196" s="234"/>
      <c r="V196" s="234"/>
      <c r="W196" s="209"/>
      <c r="X196" s="43"/>
      <c r="Y196" s="43"/>
      <c r="Z196" s="234"/>
      <c r="AA196" s="234"/>
      <c r="AB196" s="234"/>
      <c r="AC196" s="234"/>
      <c r="AD196" s="234"/>
      <c r="AE196" s="234"/>
      <c r="AF196" s="234"/>
      <c r="AG196" s="50"/>
      <c r="AH196" s="50"/>
      <c r="AI196" s="50"/>
      <c r="AJ196" s="50"/>
      <c r="AK196" s="50"/>
      <c r="AL196" s="50"/>
    </row>
    <row r="197" spans="2:38" s="48" customFormat="1" hidden="1" x14ac:dyDescent="0.25">
      <c r="B197" s="54" t="s">
        <v>6</v>
      </c>
      <c r="C197" s="56"/>
      <c r="D197" s="47"/>
      <c r="E197" s="22"/>
      <c r="F197" s="200">
        <f>SUM(G197:X197)</f>
        <v>0</v>
      </c>
      <c r="G197" s="187"/>
      <c r="H197" s="191"/>
      <c r="I197" s="187"/>
      <c r="J197" s="192"/>
      <c r="K197" s="187"/>
      <c r="L197" s="187"/>
      <c r="M197" s="200"/>
      <c r="N197" s="187"/>
      <c r="O197" s="187"/>
      <c r="P197" s="187"/>
      <c r="Q197" s="187"/>
      <c r="R197" s="187"/>
      <c r="S197" s="200"/>
      <c r="T197" s="187"/>
      <c r="U197" s="234"/>
      <c r="V197" s="234"/>
      <c r="W197" s="209"/>
      <c r="X197" s="43"/>
      <c r="Y197" s="43"/>
      <c r="Z197" s="234"/>
      <c r="AA197" s="234"/>
      <c r="AB197" s="234"/>
      <c r="AC197" s="234"/>
      <c r="AD197" s="234"/>
      <c r="AE197" s="234"/>
      <c r="AF197" s="234"/>
      <c r="AG197" s="50"/>
      <c r="AH197" s="50"/>
      <c r="AI197" s="50"/>
      <c r="AJ197" s="50"/>
      <c r="AK197" s="50"/>
      <c r="AL197" s="50"/>
    </row>
    <row r="198" spans="2:38" s="48" customFormat="1" hidden="1" x14ac:dyDescent="0.25">
      <c r="B198" s="54" t="s">
        <v>3</v>
      </c>
      <c r="C198" s="56"/>
      <c r="D198" s="47"/>
      <c r="E198" s="22"/>
      <c r="F198" s="200">
        <f>SUM(G198:X198)</f>
        <v>0</v>
      </c>
      <c r="G198" s="187"/>
      <c r="H198" s="191"/>
      <c r="I198" s="187"/>
      <c r="J198" s="192"/>
      <c r="K198" s="187"/>
      <c r="L198" s="187"/>
      <c r="M198" s="200"/>
      <c r="N198" s="187"/>
      <c r="O198" s="187"/>
      <c r="P198" s="187"/>
      <c r="Q198" s="187"/>
      <c r="R198" s="187"/>
      <c r="S198" s="200"/>
      <c r="T198" s="187"/>
      <c r="U198" s="234"/>
      <c r="V198" s="234"/>
      <c r="W198" s="209"/>
      <c r="X198" s="43"/>
      <c r="Y198" s="43"/>
      <c r="Z198" s="234"/>
      <c r="AA198" s="234"/>
      <c r="AB198" s="234"/>
      <c r="AC198" s="234"/>
      <c r="AD198" s="234"/>
      <c r="AE198" s="234"/>
      <c r="AF198" s="234"/>
      <c r="AG198" s="50"/>
      <c r="AH198" s="50"/>
      <c r="AI198" s="50"/>
      <c r="AJ198" s="50"/>
      <c r="AK198" s="50"/>
      <c r="AL198" s="50"/>
    </row>
    <row r="199" spans="2:38" s="48" customFormat="1" hidden="1" x14ac:dyDescent="0.25">
      <c r="B199" s="54" t="s">
        <v>23</v>
      </c>
      <c r="C199" s="56"/>
      <c r="D199" s="47"/>
      <c r="E199" s="22"/>
      <c r="F199" s="201">
        <f>SUM(G199:X199)</f>
        <v>0</v>
      </c>
      <c r="G199" s="188"/>
      <c r="H199" s="193"/>
      <c r="I199" s="188"/>
      <c r="J199" s="194"/>
      <c r="K199" s="188"/>
      <c r="L199" s="188"/>
      <c r="M199" s="201"/>
      <c r="N199" s="188"/>
      <c r="O199" s="188"/>
      <c r="P199" s="188"/>
      <c r="Q199" s="188"/>
      <c r="R199" s="188"/>
      <c r="S199" s="201"/>
      <c r="T199" s="188"/>
      <c r="U199" s="234"/>
      <c r="V199" s="234"/>
      <c r="W199" s="209"/>
      <c r="X199" s="43"/>
      <c r="Y199" s="43"/>
      <c r="Z199" s="234"/>
      <c r="AA199" s="234"/>
      <c r="AB199" s="234"/>
      <c r="AC199" s="234"/>
      <c r="AD199" s="234"/>
      <c r="AE199" s="234"/>
      <c r="AF199" s="234"/>
      <c r="AG199" s="50"/>
      <c r="AH199" s="50"/>
      <c r="AI199" s="50"/>
      <c r="AJ199" s="50"/>
      <c r="AK199" s="50"/>
      <c r="AL199" s="50"/>
    </row>
    <row r="200" spans="2:38" s="48" customFormat="1" hidden="1" x14ac:dyDescent="0.25">
      <c r="B200" s="57" t="s">
        <v>7</v>
      </c>
      <c r="C200" s="49"/>
      <c r="D200" s="52"/>
      <c r="E200" s="22"/>
      <c r="F200" s="234"/>
      <c r="G200" s="90"/>
      <c r="H200" s="234"/>
      <c r="I200" s="22"/>
      <c r="J200" s="81"/>
      <c r="K200" s="22"/>
      <c r="L200" s="22"/>
      <c r="M200" s="26"/>
      <c r="N200" s="22"/>
      <c r="O200" s="22"/>
      <c r="P200" s="22"/>
      <c r="Q200" s="22"/>
      <c r="R200" s="22"/>
      <c r="S200" s="26"/>
      <c r="T200" s="22"/>
      <c r="U200" s="234"/>
      <c r="V200" s="234"/>
      <c r="W200" s="209"/>
      <c r="X200" s="43"/>
      <c r="Y200" s="43"/>
      <c r="Z200" s="234"/>
      <c r="AA200" s="234"/>
      <c r="AB200" s="234"/>
      <c r="AC200" s="234"/>
      <c r="AD200" s="234"/>
      <c r="AE200" s="234"/>
      <c r="AF200" s="234"/>
      <c r="AG200" s="50"/>
      <c r="AH200" s="50"/>
      <c r="AI200" s="50"/>
      <c r="AJ200" s="50"/>
      <c r="AK200" s="50"/>
      <c r="AL200" s="50"/>
    </row>
    <row r="201" spans="2:38" s="48" customFormat="1" hidden="1" x14ac:dyDescent="0.25">
      <c r="B201" s="58" t="s">
        <v>27</v>
      </c>
      <c r="C201" s="91"/>
      <c r="D201" s="52"/>
      <c r="E201" s="133"/>
      <c r="F201" s="52">
        <f t="shared" ref="F201:T201" si="22">SUM(F202:F205)</f>
        <v>0</v>
      </c>
      <c r="G201" s="92">
        <f t="shared" si="22"/>
        <v>0</v>
      </c>
      <c r="H201" s="52">
        <f t="shared" si="22"/>
        <v>0</v>
      </c>
      <c r="I201" s="92">
        <f t="shared" si="22"/>
        <v>0</v>
      </c>
      <c r="J201" s="126">
        <f t="shared" si="22"/>
        <v>0</v>
      </c>
      <c r="K201" s="92">
        <f t="shared" si="22"/>
        <v>0</v>
      </c>
      <c r="L201" s="92">
        <f t="shared" si="22"/>
        <v>0</v>
      </c>
      <c r="M201" s="129">
        <f t="shared" si="22"/>
        <v>0</v>
      </c>
      <c r="N201" s="92">
        <f t="shared" si="22"/>
        <v>0</v>
      </c>
      <c r="O201" s="92">
        <f t="shared" si="22"/>
        <v>0</v>
      </c>
      <c r="P201" s="92">
        <f t="shared" si="22"/>
        <v>0</v>
      </c>
      <c r="Q201" s="92">
        <f t="shared" si="22"/>
        <v>0</v>
      </c>
      <c r="R201" s="92">
        <f t="shared" si="22"/>
        <v>0</v>
      </c>
      <c r="S201" s="129">
        <f t="shared" si="22"/>
        <v>0</v>
      </c>
      <c r="T201" s="92">
        <f t="shared" si="22"/>
        <v>0</v>
      </c>
      <c r="U201" s="52"/>
      <c r="V201" s="52"/>
      <c r="W201" s="209"/>
      <c r="X201" s="43"/>
      <c r="Y201" s="43"/>
      <c r="Z201" s="234"/>
      <c r="AA201" s="234"/>
      <c r="AB201" s="234"/>
      <c r="AC201" s="234"/>
      <c r="AD201" s="234"/>
      <c r="AE201" s="234"/>
      <c r="AF201" s="234"/>
      <c r="AG201" s="50"/>
      <c r="AH201" s="50"/>
      <c r="AI201" s="50"/>
      <c r="AJ201" s="50"/>
      <c r="AK201" s="50"/>
      <c r="AL201" s="50"/>
    </row>
    <row r="202" spans="2:38" s="48" customFormat="1" hidden="1" x14ac:dyDescent="0.25">
      <c r="B202" s="57" t="s">
        <v>1</v>
      </c>
      <c r="C202" s="91"/>
      <c r="D202" s="52"/>
      <c r="E202" s="129"/>
      <c r="F202" s="82">
        <f>SUM(G202:I202)</f>
        <v>0</v>
      </c>
      <c r="G202" s="179"/>
      <c r="H202" s="158"/>
      <c r="I202" s="158"/>
      <c r="J202" s="158"/>
      <c r="K202" s="158"/>
      <c r="L202" s="158"/>
      <c r="M202" s="158"/>
      <c r="N202" s="158"/>
      <c r="O202" s="158"/>
      <c r="P202" s="158"/>
      <c r="Q202" s="158"/>
      <c r="R202" s="158"/>
      <c r="S202" s="158"/>
      <c r="T202" s="108"/>
      <c r="U202" s="52"/>
      <c r="V202" s="52"/>
      <c r="W202" s="209"/>
      <c r="X202" s="43"/>
      <c r="Y202" s="43"/>
      <c r="Z202" s="234"/>
      <c r="AA202" s="234"/>
      <c r="AB202" s="234"/>
      <c r="AC202" s="234"/>
      <c r="AD202" s="234"/>
      <c r="AE202" s="234"/>
      <c r="AF202" s="234"/>
      <c r="AG202" s="50"/>
      <c r="AH202" s="50"/>
      <c r="AI202" s="50"/>
      <c r="AJ202" s="50"/>
      <c r="AK202" s="50"/>
      <c r="AL202" s="50"/>
    </row>
    <row r="203" spans="2:38" s="48" customFormat="1" hidden="1" x14ac:dyDescent="0.25">
      <c r="B203" s="57" t="s">
        <v>2</v>
      </c>
      <c r="C203" s="91"/>
      <c r="D203" s="52"/>
      <c r="E203" s="129"/>
      <c r="F203" s="83">
        <f>SUM(G203:L203)</f>
        <v>0</v>
      </c>
      <c r="G203" s="180"/>
      <c r="H203" s="155"/>
      <c r="I203" s="155"/>
      <c r="J203" s="155"/>
      <c r="K203" s="155"/>
      <c r="L203" s="155"/>
      <c r="M203" s="155"/>
      <c r="N203" s="155"/>
      <c r="O203" s="155"/>
      <c r="P203" s="155"/>
      <c r="Q203" s="155"/>
      <c r="R203" s="155"/>
      <c r="S203" s="155"/>
      <c r="T203" s="109"/>
      <c r="U203" s="52"/>
      <c r="V203" s="52"/>
      <c r="W203" s="209"/>
      <c r="X203" s="43"/>
      <c r="Y203" s="43"/>
      <c r="Z203" s="234"/>
      <c r="AA203" s="234"/>
      <c r="AB203" s="234"/>
      <c r="AC203" s="234"/>
      <c r="AD203" s="234"/>
      <c r="AE203" s="234"/>
      <c r="AF203" s="234"/>
      <c r="AG203" s="50"/>
      <c r="AH203" s="50"/>
      <c r="AI203" s="50"/>
      <c r="AJ203" s="50"/>
      <c r="AK203" s="50"/>
      <c r="AL203" s="50"/>
    </row>
    <row r="204" spans="2:38" s="48" customFormat="1" hidden="1" x14ac:dyDescent="0.25">
      <c r="B204" s="57" t="s">
        <v>24</v>
      </c>
      <c r="C204" s="49"/>
      <c r="D204" s="49"/>
      <c r="E204" s="26"/>
      <c r="F204" s="83">
        <f>SUM(G204:V204)</f>
        <v>0</v>
      </c>
      <c r="G204" s="180"/>
      <c r="H204" s="101"/>
      <c r="I204" s="101"/>
      <c r="J204" s="101"/>
      <c r="K204" s="101"/>
      <c r="L204" s="101"/>
      <c r="M204" s="101"/>
      <c r="N204" s="101"/>
      <c r="O204" s="101"/>
      <c r="P204" s="101"/>
      <c r="Q204" s="101"/>
      <c r="R204" s="101"/>
      <c r="S204" s="101"/>
      <c r="T204" s="83"/>
      <c r="U204" s="234"/>
      <c r="V204" s="234"/>
      <c r="W204" s="209"/>
      <c r="X204" s="43"/>
      <c r="Y204" s="43"/>
      <c r="Z204" s="234"/>
      <c r="AA204" s="234"/>
      <c r="AB204" s="234"/>
      <c r="AC204" s="234"/>
      <c r="AD204" s="234"/>
      <c r="AE204" s="234"/>
      <c r="AF204" s="234"/>
      <c r="AG204" s="50"/>
      <c r="AH204" s="50"/>
      <c r="AI204" s="50"/>
      <c r="AJ204" s="50"/>
      <c r="AK204" s="50"/>
      <c r="AL204" s="50"/>
    </row>
    <row r="205" spans="2:38" s="48" customFormat="1" hidden="1" x14ac:dyDescent="0.25">
      <c r="B205" s="57" t="s">
        <v>25</v>
      </c>
      <c r="C205" s="49"/>
      <c r="D205" s="49"/>
      <c r="E205" s="26" t="s">
        <v>7</v>
      </c>
      <c r="F205" s="84">
        <f>SUM(G205:L205)</f>
        <v>0</v>
      </c>
      <c r="G205" s="322"/>
      <c r="H205" s="104"/>
      <c r="I205" s="104"/>
      <c r="J205" s="104"/>
      <c r="K205" s="104"/>
      <c r="L205" s="104"/>
      <c r="M205" s="104"/>
      <c r="N205" s="104"/>
      <c r="O205" s="104"/>
      <c r="P205" s="104"/>
      <c r="Q205" s="104"/>
      <c r="R205" s="104"/>
      <c r="S205" s="104"/>
      <c r="T205" s="84"/>
      <c r="U205" s="234"/>
      <c r="V205" s="234"/>
      <c r="W205" s="209"/>
      <c r="X205" s="43"/>
      <c r="Y205" s="43"/>
      <c r="Z205" s="234"/>
      <c r="AA205" s="234"/>
      <c r="AB205" s="234"/>
      <c r="AC205" s="234"/>
      <c r="AD205" s="234"/>
      <c r="AE205" s="234"/>
      <c r="AF205" s="234"/>
      <c r="AG205" s="50"/>
      <c r="AH205" s="50"/>
      <c r="AI205" s="50"/>
      <c r="AJ205" s="50"/>
      <c r="AK205" s="50"/>
      <c r="AL205" s="50"/>
    </row>
    <row r="206" spans="2:38" s="48" customFormat="1" hidden="1" x14ac:dyDescent="0.25">
      <c r="B206" s="57"/>
      <c r="C206" s="49"/>
      <c r="D206" s="49"/>
      <c r="E206" s="22"/>
      <c r="F206" s="234"/>
      <c r="G206" s="90"/>
      <c r="H206" s="234"/>
      <c r="I206" s="22"/>
      <c r="J206" s="81"/>
      <c r="K206" s="22"/>
      <c r="L206" s="22"/>
      <c r="M206" s="26"/>
      <c r="N206" s="22"/>
      <c r="O206" s="22"/>
      <c r="P206" s="22"/>
      <c r="Q206" s="22"/>
      <c r="R206" s="22"/>
      <c r="S206" s="26"/>
      <c r="T206" s="22"/>
      <c r="U206" s="234"/>
      <c r="V206" s="234"/>
      <c r="W206" s="209"/>
      <c r="X206" s="43"/>
      <c r="Y206" s="43"/>
      <c r="Z206" s="234"/>
      <c r="AA206" s="234"/>
      <c r="AB206" s="234"/>
      <c r="AC206" s="234"/>
      <c r="AD206" s="234"/>
      <c r="AE206" s="234"/>
      <c r="AF206" s="234"/>
      <c r="AG206" s="50"/>
      <c r="AH206" s="50"/>
      <c r="AI206" s="50"/>
      <c r="AJ206" s="50"/>
      <c r="AK206" s="50"/>
      <c r="AL206" s="50"/>
    </row>
    <row r="207" spans="2:38" s="48" customFormat="1" x14ac:dyDescent="0.25">
      <c r="B207" s="58" t="s">
        <v>96</v>
      </c>
      <c r="C207" s="91"/>
      <c r="D207" s="52"/>
      <c r="E207" s="92">
        <v>2</v>
      </c>
      <c r="F207" s="52">
        <f t="shared" ref="F207:T207" si="23">SUM(F208:F218)</f>
        <v>4</v>
      </c>
      <c r="G207" s="92">
        <f t="shared" si="23"/>
        <v>1</v>
      </c>
      <c r="H207" s="52">
        <f t="shared" si="23"/>
        <v>1</v>
      </c>
      <c r="I207" s="92">
        <f t="shared" si="23"/>
        <v>1</v>
      </c>
      <c r="J207" s="126">
        <f t="shared" si="23"/>
        <v>1</v>
      </c>
      <c r="K207" s="92">
        <f t="shared" si="23"/>
        <v>0</v>
      </c>
      <c r="L207" s="92">
        <f t="shared" si="23"/>
        <v>0</v>
      </c>
      <c r="M207" s="129">
        <f t="shared" si="23"/>
        <v>0</v>
      </c>
      <c r="N207" s="92">
        <f t="shared" si="23"/>
        <v>0</v>
      </c>
      <c r="O207" s="92">
        <f t="shared" si="23"/>
        <v>0</v>
      </c>
      <c r="P207" s="92">
        <f t="shared" si="23"/>
        <v>0</v>
      </c>
      <c r="Q207" s="92">
        <f t="shared" si="23"/>
        <v>0</v>
      </c>
      <c r="R207" s="92">
        <f t="shared" si="23"/>
        <v>0</v>
      </c>
      <c r="S207" s="129">
        <f t="shared" si="23"/>
        <v>0</v>
      </c>
      <c r="T207" s="92">
        <f t="shared" si="23"/>
        <v>0</v>
      </c>
      <c r="U207" s="52"/>
      <c r="V207" s="52"/>
      <c r="W207" s="209"/>
      <c r="X207" s="43"/>
      <c r="Y207" s="43"/>
      <c r="Z207" s="234"/>
      <c r="AA207" s="234"/>
      <c r="AB207" s="234"/>
      <c r="AC207" s="234"/>
      <c r="AD207" s="234"/>
      <c r="AE207" s="234"/>
      <c r="AF207" s="234"/>
      <c r="AG207" s="50"/>
      <c r="AH207" s="50"/>
      <c r="AI207" s="50"/>
      <c r="AJ207" s="50"/>
      <c r="AK207" s="50"/>
      <c r="AL207" s="50"/>
    </row>
    <row r="208" spans="2:38" s="48" customFormat="1" hidden="1" x14ac:dyDescent="0.25">
      <c r="B208" s="57" t="s">
        <v>33</v>
      </c>
      <c r="C208" s="49"/>
      <c r="D208" s="49"/>
      <c r="E208" s="22"/>
      <c r="F208" s="199">
        <f t="shared" ref="F208:F218" si="24">SUM(G208:X208)</f>
        <v>0</v>
      </c>
      <c r="G208" s="186"/>
      <c r="H208" s="189"/>
      <c r="I208" s="186"/>
      <c r="J208" s="190"/>
      <c r="K208" s="186"/>
      <c r="L208" s="186"/>
      <c r="M208" s="199"/>
      <c r="N208" s="186"/>
      <c r="O208" s="186"/>
      <c r="P208" s="186"/>
      <c r="Q208" s="186"/>
      <c r="R208" s="186"/>
      <c r="S208" s="199"/>
      <c r="T208" s="186"/>
      <c r="U208" s="234"/>
      <c r="V208" s="234"/>
      <c r="W208" s="209"/>
      <c r="X208" s="43"/>
      <c r="Y208" s="43"/>
      <c r="Z208" s="234"/>
      <c r="AA208" s="234"/>
      <c r="AB208" s="234"/>
      <c r="AC208" s="234"/>
      <c r="AD208" s="234"/>
      <c r="AE208" s="234"/>
      <c r="AF208" s="234"/>
      <c r="AG208" s="50"/>
      <c r="AH208" s="50"/>
      <c r="AI208" s="50"/>
      <c r="AJ208" s="50"/>
      <c r="AK208" s="50"/>
      <c r="AL208" s="50"/>
    </row>
    <row r="209" spans="2:38" s="48" customFormat="1" hidden="1" x14ac:dyDescent="0.25">
      <c r="B209" s="57" t="s">
        <v>34</v>
      </c>
      <c r="C209" s="49"/>
      <c r="D209" s="49"/>
      <c r="E209" s="22"/>
      <c r="F209" s="199">
        <f t="shared" si="24"/>
        <v>0</v>
      </c>
      <c r="G209" s="186"/>
      <c r="H209" s="189"/>
      <c r="I209" s="186"/>
      <c r="J209" s="190"/>
      <c r="K209" s="186"/>
      <c r="L209" s="186"/>
      <c r="M209" s="199"/>
      <c r="N209" s="186"/>
      <c r="O209" s="186"/>
      <c r="P209" s="186"/>
      <c r="Q209" s="186"/>
      <c r="R209" s="186"/>
      <c r="S209" s="199"/>
      <c r="T209" s="186"/>
      <c r="U209" s="234"/>
      <c r="V209" s="234"/>
      <c r="W209" s="209"/>
      <c r="X209" s="43"/>
      <c r="Y209" s="43"/>
      <c r="Z209" s="234"/>
      <c r="AA209" s="234"/>
      <c r="AB209" s="234"/>
      <c r="AC209" s="234"/>
      <c r="AD209" s="234"/>
      <c r="AE209" s="234"/>
      <c r="AF209" s="234"/>
      <c r="AG209" s="50"/>
      <c r="AH209" s="50"/>
      <c r="AI209" s="50"/>
      <c r="AJ209" s="50"/>
      <c r="AK209" s="50"/>
      <c r="AL209" s="50"/>
    </row>
    <row r="210" spans="2:38" s="48" customFormat="1" hidden="1" x14ac:dyDescent="0.25">
      <c r="B210" s="57" t="s">
        <v>35</v>
      </c>
      <c r="C210" s="49"/>
      <c r="D210" s="49"/>
      <c r="E210" s="22"/>
      <c r="F210" s="201">
        <f t="shared" si="24"/>
        <v>0</v>
      </c>
      <c r="G210" s="188"/>
      <c r="H210" s="193"/>
      <c r="I210" s="188"/>
      <c r="J210" s="194"/>
      <c r="K210" s="188"/>
      <c r="L210" s="188"/>
      <c r="M210" s="201"/>
      <c r="N210" s="188"/>
      <c r="O210" s="188"/>
      <c r="P210" s="188"/>
      <c r="Q210" s="188"/>
      <c r="R210" s="188"/>
      <c r="S210" s="201"/>
      <c r="T210" s="188"/>
      <c r="U210" s="234"/>
      <c r="V210" s="234"/>
      <c r="W210" s="209"/>
      <c r="X210" s="43"/>
      <c r="Y210" s="43"/>
      <c r="Z210" s="234"/>
      <c r="AA210" s="234"/>
      <c r="AB210" s="234"/>
      <c r="AC210" s="234"/>
      <c r="AD210" s="234"/>
      <c r="AE210" s="234"/>
      <c r="AF210" s="234"/>
      <c r="AG210" s="50"/>
      <c r="AH210" s="50"/>
      <c r="AI210" s="50"/>
      <c r="AJ210" s="50"/>
      <c r="AK210" s="50"/>
      <c r="AL210" s="50"/>
    </row>
    <row r="211" spans="2:38" s="48" customFormat="1" hidden="1" x14ac:dyDescent="0.25">
      <c r="B211" s="57" t="s">
        <v>36</v>
      </c>
      <c r="C211" s="49"/>
      <c r="D211" s="49"/>
      <c r="E211" s="22"/>
      <c r="F211" s="200">
        <f t="shared" si="24"/>
        <v>0</v>
      </c>
      <c r="G211" s="187"/>
      <c r="H211" s="191"/>
      <c r="I211" s="187"/>
      <c r="J211" s="192"/>
      <c r="K211" s="187"/>
      <c r="L211" s="187"/>
      <c r="M211" s="200"/>
      <c r="N211" s="187"/>
      <c r="O211" s="187"/>
      <c r="P211" s="187"/>
      <c r="Q211" s="187"/>
      <c r="R211" s="187"/>
      <c r="S211" s="200"/>
      <c r="T211" s="187"/>
      <c r="U211" s="234"/>
      <c r="V211" s="234"/>
      <c r="W211" s="209"/>
      <c r="X211" s="43"/>
      <c r="Y211" s="43"/>
      <c r="Z211" s="234"/>
      <c r="AA211" s="234"/>
      <c r="AB211" s="234"/>
      <c r="AC211" s="234"/>
      <c r="AD211" s="234"/>
      <c r="AE211" s="234"/>
      <c r="AF211" s="234"/>
      <c r="AG211" s="50"/>
      <c r="AH211" s="50"/>
      <c r="AI211" s="50"/>
      <c r="AJ211" s="50"/>
      <c r="AK211" s="50"/>
      <c r="AL211" s="50"/>
    </row>
    <row r="212" spans="2:38" s="48" customFormat="1" hidden="1" x14ac:dyDescent="0.25">
      <c r="B212" s="57" t="s">
        <v>154</v>
      </c>
      <c r="C212" s="49"/>
      <c r="D212" s="49"/>
      <c r="E212" s="22"/>
      <c r="F212" s="200">
        <f t="shared" si="24"/>
        <v>0</v>
      </c>
      <c r="G212" s="187"/>
      <c r="H212" s="191"/>
      <c r="I212" s="187"/>
      <c r="J212" s="192"/>
      <c r="K212" s="187"/>
      <c r="L212" s="187"/>
      <c r="M212" s="200"/>
      <c r="N212" s="187"/>
      <c r="O212" s="187"/>
      <c r="P212" s="187"/>
      <c r="Q212" s="187"/>
      <c r="R212" s="187"/>
      <c r="S212" s="200"/>
      <c r="T212" s="187"/>
      <c r="U212" s="234"/>
      <c r="V212" s="234"/>
      <c r="W212" s="209"/>
      <c r="X212" s="43"/>
      <c r="Y212" s="43"/>
      <c r="Z212" s="234"/>
      <c r="AA212" s="234"/>
      <c r="AB212" s="234"/>
      <c r="AC212" s="234"/>
      <c r="AD212" s="234"/>
      <c r="AE212" s="234"/>
      <c r="AF212" s="234"/>
      <c r="AG212" s="50"/>
      <c r="AH212" s="50"/>
      <c r="AI212" s="50"/>
      <c r="AJ212" s="50"/>
      <c r="AK212" s="50"/>
      <c r="AL212" s="50"/>
    </row>
    <row r="213" spans="2:38" s="48" customFormat="1" x14ac:dyDescent="0.25">
      <c r="B213" s="57" t="s">
        <v>38</v>
      </c>
      <c r="C213" s="49"/>
      <c r="D213" s="49"/>
      <c r="E213" s="22"/>
      <c r="F213" s="199">
        <f t="shared" si="24"/>
        <v>2</v>
      </c>
      <c r="G213" s="186">
        <v>1</v>
      </c>
      <c r="H213" s="189">
        <v>1</v>
      </c>
      <c r="I213" s="186"/>
      <c r="J213" s="190"/>
      <c r="K213" s="186"/>
      <c r="L213" s="186"/>
      <c r="M213" s="199"/>
      <c r="N213" s="186"/>
      <c r="O213" s="186"/>
      <c r="P213" s="186"/>
      <c r="Q213" s="186"/>
      <c r="R213" s="186"/>
      <c r="S213" s="199"/>
      <c r="T213" s="186"/>
      <c r="U213" s="234"/>
      <c r="V213" s="234"/>
      <c r="W213" s="209"/>
      <c r="X213" s="43"/>
      <c r="Y213" s="43"/>
      <c r="Z213" s="234"/>
      <c r="AA213" s="234"/>
      <c r="AB213" s="234"/>
      <c r="AC213" s="234"/>
      <c r="AD213" s="234"/>
      <c r="AE213" s="234"/>
      <c r="AF213" s="234"/>
      <c r="AG213" s="50"/>
      <c r="AH213" s="50"/>
      <c r="AI213" s="50"/>
      <c r="AJ213" s="50"/>
      <c r="AK213" s="50"/>
      <c r="AL213" s="50"/>
    </row>
    <row r="214" spans="2:38" s="48" customFormat="1" hidden="1" x14ac:dyDescent="0.25">
      <c r="B214" s="57" t="s">
        <v>39</v>
      </c>
      <c r="C214" s="49" t="s">
        <v>7</v>
      </c>
      <c r="D214" s="49"/>
      <c r="E214" s="22"/>
      <c r="F214" s="200">
        <f t="shared" si="24"/>
        <v>0</v>
      </c>
      <c r="G214" s="187"/>
      <c r="H214" s="191"/>
      <c r="I214" s="187"/>
      <c r="J214" s="192"/>
      <c r="K214" s="187"/>
      <c r="L214" s="187"/>
      <c r="M214" s="200"/>
      <c r="N214" s="187"/>
      <c r="O214" s="187"/>
      <c r="P214" s="187"/>
      <c r="Q214" s="187"/>
      <c r="R214" s="187"/>
      <c r="S214" s="200"/>
      <c r="T214" s="187"/>
      <c r="U214" s="234"/>
      <c r="V214" s="234"/>
      <c r="W214" s="209"/>
      <c r="X214" s="43"/>
      <c r="Y214" s="43"/>
      <c r="Z214" s="234"/>
      <c r="AA214" s="234"/>
      <c r="AB214" s="234"/>
      <c r="AC214" s="234"/>
      <c r="AD214" s="234"/>
      <c r="AE214" s="234"/>
      <c r="AF214" s="234"/>
      <c r="AG214" s="50"/>
      <c r="AH214" s="50"/>
      <c r="AI214" s="50"/>
      <c r="AJ214" s="50"/>
      <c r="AK214" s="50"/>
      <c r="AL214" s="50"/>
    </row>
    <row r="215" spans="2:38" s="48" customFormat="1" hidden="1" x14ac:dyDescent="0.25">
      <c r="B215" s="57" t="s">
        <v>143</v>
      </c>
      <c r="C215" s="49"/>
      <c r="D215" s="49"/>
      <c r="E215" s="22" t="s">
        <v>7</v>
      </c>
      <c r="F215" s="200">
        <f t="shared" si="24"/>
        <v>0</v>
      </c>
      <c r="G215" s="187"/>
      <c r="H215" s="191"/>
      <c r="I215" s="187"/>
      <c r="J215" s="192"/>
      <c r="K215" s="187"/>
      <c r="L215" s="187"/>
      <c r="M215" s="200"/>
      <c r="N215" s="187"/>
      <c r="O215" s="187"/>
      <c r="P215" s="187"/>
      <c r="Q215" s="187"/>
      <c r="R215" s="187"/>
      <c r="S215" s="200"/>
      <c r="T215" s="187"/>
      <c r="U215" s="234"/>
      <c r="V215" s="234"/>
      <c r="W215" s="209"/>
      <c r="X215" s="43"/>
      <c r="Y215" s="43"/>
      <c r="Z215" s="234"/>
      <c r="AA215" s="234"/>
      <c r="AB215" s="234"/>
      <c r="AC215" s="234"/>
      <c r="AD215" s="234"/>
      <c r="AE215" s="234"/>
      <c r="AF215" s="234"/>
      <c r="AG215" s="50"/>
      <c r="AH215" s="50"/>
      <c r="AI215" s="50"/>
      <c r="AJ215" s="50"/>
      <c r="AK215" s="50"/>
      <c r="AL215" s="50"/>
    </row>
    <row r="216" spans="2:38" s="48" customFormat="1" x14ac:dyDescent="0.25">
      <c r="B216" s="57" t="s">
        <v>41</v>
      </c>
      <c r="C216" s="49"/>
      <c r="D216" s="49"/>
      <c r="E216" s="22"/>
      <c r="F216" s="201">
        <f t="shared" si="24"/>
        <v>2</v>
      </c>
      <c r="G216" s="188"/>
      <c r="H216" s="193"/>
      <c r="I216" s="188">
        <v>1</v>
      </c>
      <c r="J216" s="194">
        <v>1</v>
      </c>
      <c r="K216" s="188"/>
      <c r="L216" s="188"/>
      <c r="M216" s="201"/>
      <c r="N216" s="188"/>
      <c r="O216" s="188"/>
      <c r="P216" s="188"/>
      <c r="Q216" s="188"/>
      <c r="R216" s="188"/>
      <c r="S216" s="201"/>
      <c r="T216" s="188"/>
      <c r="U216" s="234"/>
      <c r="V216" s="234"/>
      <c r="W216" s="209"/>
      <c r="X216" s="43"/>
      <c r="Y216" s="43"/>
      <c r="Z216" s="234"/>
      <c r="AA216" s="234"/>
      <c r="AB216" s="234"/>
      <c r="AC216" s="234"/>
      <c r="AD216" s="234"/>
      <c r="AE216" s="234"/>
      <c r="AF216" s="234"/>
      <c r="AG216" s="50"/>
      <c r="AH216" s="50"/>
      <c r="AI216" s="50"/>
      <c r="AJ216" s="50"/>
      <c r="AK216" s="50"/>
      <c r="AL216" s="50"/>
    </row>
    <row r="217" spans="2:38" s="48" customFormat="1" hidden="1" x14ac:dyDescent="0.25">
      <c r="B217" s="57" t="s">
        <v>99</v>
      </c>
      <c r="C217" s="49"/>
      <c r="D217" s="49"/>
      <c r="E217" s="22"/>
      <c r="F217" s="200">
        <f t="shared" si="24"/>
        <v>0</v>
      </c>
      <c r="G217" s="187"/>
      <c r="H217" s="191"/>
      <c r="I217" s="187"/>
      <c r="J217" s="192"/>
      <c r="K217" s="187"/>
      <c r="L217" s="187"/>
      <c r="M217" s="200"/>
      <c r="N217" s="187"/>
      <c r="O217" s="187"/>
      <c r="P217" s="187"/>
      <c r="Q217" s="187"/>
      <c r="R217" s="187"/>
      <c r="S217" s="200"/>
      <c r="T217" s="187"/>
      <c r="U217" s="234"/>
      <c r="V217" s="234"/>
      <c r="W217" s="209"/>
      <c r="X217" s="43"/>
      <c r="Y217" s="43"/>
      <c r="Z217" s="234"/>
      <c r="AA217" s="234"/>
      <c r="AB217" s="234"/>
      <c r="AC217" s="234"/>
      <c r="AD217" s="234"/>
      <c r="AE217" s="234"/>
      <c r="AF217" s="234"/>
      <c r="AG217" s="50"/>
      <c r="AH217" s="50"/>
      <c r="AI217" s="50"/>
      <c r="AJ217" s="50"/>
      <c r="AK217" s="50"/>
      <c r="AL217" s="50"/>
    </row>
    <row r="218" spans="2:38" s="48" customFormat="1" hidden="1" x14ac:dyDescent="0.25">
      <c r="B218" s="57" t="s">
        <v>128</v>
      </c>
      <c r="C218" s="49"/>
      <c r="D218" s="49"/>
      <c r="E218" s="22"/>
      <c r="F218" s="201">
        <f t="shared" si="24"/>
        <v>0</v>
      </c>
      <c r="G218" s="188"/>
      <c r="H218" s="193"/>
      <c r="I218" s="188"/>
      <c r="J218" s="194"/>
      <c r="K218" s="188"/>
      <c r="L218" s="188"/>
      <c r="M218" s="201"/>
      <c r="N218" s="188"/>
      <c r="O218" s="188"/>
      <c r="P218" s="188"/>
      <c r="Q218" s="188"/>
      <c r="R218" s="188"/>
      <c r="S218" s="201"/>
      <c r="T218" s="188"/>
      <c r="U218" s="234"/>
      <c r="V218" s="234"/>
      <c r="W218" s="209"/>
      <c r="X218" s="43"/>
      <c r="Y218" s="43"/>
      <c r="Z218" s="234"/>
      <c r="AA218" s="234"/>
      <c r="AB218" s="234"/>
      <c r="AC218" s="234"/>
      <c r="AD218" s="234"/>
      <c r="AE218" s="234"/>
      <c r="AF218" s="234"/>
      <c r="AG218" s="50"/>
      <c r="AH218" s="50"/>
      <c r="AI218" s="50"/>
      <c r="AJ218" s="50"/>
      <c r="AK218" s="50"/>
      <c r="AL218" s="50"/>
    </row>
    <row r="219" spans="2:38" s="48" customFormat="1" x14ac:dyDescent="0.25">
      <c r="B219" s="57" t="s">
        <v>7</v>
      </c>
      <c r="C219" s="49"/>
      <c r="D219" s="49"/>
      <c r="E219" s="22"/>
      <c r="F219" s="81"/>
      <c r="G219" s="90"/>
      <c r="H219" s="234"/>
      <c r="I219" s="22"/>
      <c r="J219" s="81"/>
      <c r="K219" s="22"/>
      <c r="L219" s="22"/>
      <c r="M219" s="26"/>
      <c r="N219" s="22"/>
      <c r="O219" s="22"/>
      <c r="P219" s="22"/>
      <c r="Q219" s="22"/>
      <c r="R219" s="22"/>
      <c r="S219" s="26"/>
      <c r="T219" s="22"/>
      <c r="U219" s="234"/>
      <c r="V219" s="234"/>
      <c r="W219" s="209"/>
      <c r="X219" s="43"/>
      <c r="Y219" s="43"/>
      <c r="Z219" s="234"/>
      <c r="AA219" s="234"/>
      <c r="AB219" s="234"/>
      <c r="AC219" s="234"/>
      <c r="AD219" s="234"/>
      <c r="AE219" s="234"/>
      <c r="AF219" s="234"/>
      <c r="AG219" s="50"/>
      <c r="AH219" s="50"/>
      <c r="AI219" s="50"/>
      <c r="AJ219" s="50"/>
      <c r="AK219" s="50"/>
      <c r="AL219" s="50"/>
    </row>
    <row r="220" spans="2:38" s="48" customFormat="1" x14ac:dyDescent="0.25">
      <c r="B220" s="58" t="s">
        <v>125</v>
      </c>
      <c r="C220" s="91"/>
      <c r="D220" s="52"/>
      <c r="E220" s="92">
        <v>2</v>
      </c>
      <c r="F220" s="126">
        <f>SUM(F221:F231)</f>
        <v>12</v>
      </c>
      <c r="G220" s="92">
        <f>SUM(G221:G231)</f>
        <v>0</v>
      </c>
      <c r="H220" s="52">
        <f>SUM(H221:H231)</f>
        <v>2</v>
      </c>
      <c r="I220" s="92">
        <f t="shared" ref="I220:T220" si="25">SUM(I221:I231)</f>
        <v>2</v>
      </c>
      <c r="J220" s="126">
        <f t="shared" si="25"/>
        <v>0</v>
      </c>
      <c r="K220" s="92">
        <f t="shared" si="25"/>
        <v>1</v>
      </c>
      <c r="L220" s="92">
        <f t="shared" si="25"/>
        <v>1</v>
      </c>
      <c r="M220" s="129">
        <f t="shared" si="25"/>
        <v>1</v>
      </c>
      <c r="N220" s="92">
        <f t="shared" si="25"/>
        <v>1</v>
      </c>
      <c r="O220" s="92">
        <f t="shared" si="25"/>
        <v>1</v>
      </c>
      <c r="P220" s="92">
        <f t="shared" si="25"/>
        <v>1</v>
      </c>
      <c r="Q220" s="92">
        <f t="shared" si="25"/>
        <v>1</v>
      </c>
      <c r="R220" s="92">
        <f t="shared" si="25"/>
        <v>1</v>
      </c>
      <c r="S220" s="129">
        <f t="shared" si="25"/>
        <v>0</v>
      </c>
      <c r="T220" s="92">
        <f t="shared" si="25"/>
        <v>0</v>
      </c>
      <c r="U220" s="52"/>
      <c r="V220" s="52"/>
      <c r="W220" s="209"/>
      <c r="X220" s="43"/>
      <c r="Y220" s="43"/>
      <c r="Z220" s="234"/>
      <c r="AA220" s="234"/>
      <c r="AB220" s="234"/>
      <c r="AC220" s="234"/>
      <c r="AD220" s="234"/>
      <c r="AE220" s="234"/>
      <c r="AF220" s="234"/>
      <c r="AG220" s="50"/>
      <c r="AH220" s="50"/>
      <c r="AI220" s="50"/>
      <c r="AJ220" s="50"/>
      <c r="AK220" s="50"/>
      <c r="AL220" s="50"/>
    </row>
    <row r="221" spans="2:38" s="48" customFormat="1" hidden="1" x14ac:dyDescent="0.25">
      <c r="B221" s="57" t="s">
        <v>98</v>
      </c>
      <c r="C221" s="49"/>
      <c r="D221" s="49"/>
      <c r="E221" s="22"/>
      <c r="F221" s="199">
        <f>SUM(G221:X221)</f>
        <v>0</v>
      </c>
      <c r="G221" s="202"/>
      <c r="H221" s="189"/>
      <c r="I221" s="186"/>
      <c r="J221" s="190"/>
      <c r="K221" s="186"/>
      <c r="L221" s="186"/>
      <c r="M221" s="199"/>
      <c r="N221" s="186"/>
      <c r="O221" s="186"/>
      <c r="P221" s="186"/>
      <c r="Q221" s="186"/>
      <c r="R221" s="186"/>
      <c r="S221" s="199"/>
      <c r="T221" s="186"/>
      <c r="U221" s="234"/>
      <c r="V221" s="234"/>
      <c r="W221" s="209"/>
      <c r="X221" s="43"/>
      <c r="Y221" s="43"/>
      <c r="Z221" s="234"/>
      <c r="AA221" s="234"/>
      <c r="AB221" s="234"/>
      <c r="AC221" s="234"/>
      <c r="AD221" s="234"/>
      <c r="AE221" s="234"/>
      <c r="AF221" s="234"/>
      <c r="AG221" s="50"/>
      <c r="AH221" s="50"/>
      <c r="AI221" s="50"/>
      <c r="AJ221" s="50"/>
      <c r="AK221" s="50"/>
      <c r="AL221" s="50"/>
    </row>
    <row r="222" spans="2:38" s="48" customFormat="1" hidden="1" x14ac:dyDescent="0.25">
      <c r="B222" s="57" t="s">
        <v>43</v>
      </c>
      <c r="C222" s="49"/>
      <c r="D222" s="49"/>
      <c r="E222" s="22"/>
      <c r="F222" s="199">
        <f>SUM(G222:X222)</f>
        <v>0</v>
      </c>
      <c r="G222" s="186"/>
      <c r="H222" s="189"/>
      <c r="I222" s="186"/>
      <c r="J222" s="190"/>
      <c r="K222" s="186"/>
      <c r="L222" s="186"/>
      <c r="M222" s="199"/>
      <c r="N222" s="186"/>
      <c r="O222" s="186"/>
      <c r="P222" s="186"/>
      <c r="Q222" s="186"/>
      <c r="R222" s="186"/>
      <c r="S222" s="199"/>
      <c r="T222" s="186"/>
      <c r="U222" s="234"/>
      <c r="V222" s="234"/>
      <c r="W222" s="209"/>
      <c r="X222" s="43"/>
      <c r="Y222" s="43"/>
      <c r="Z222" s="234"/>
      <c r="AA222" s="234"/>
      <c r="AB222" s="234"/>
      <c r="AC222" s="234"/>
      <c r="AD222" s="234"/>
      <c r="AE222" s="234"/>
      <c r="AF222" s="234"/>
      <c r="AG222" s="50"/>
      <c r="AH222" s="50"/>
      <c r="AI222" s="50"/>
      <c r="AJ222" s="50"/>
      <c r="AK222" s="50"/>
      <c r="AL222" s="50"/>
    </row>
    <row r="223" spans="2:38" s="48" customFormat="1" hidden="1" x14ac:dyDescent="0.25">
      <c r="B223" s="57" t="s">
        <v>129</v>
      </c>
      <c r="C223" s="49"/>
      <c r="D223" s="49"/>
      <c r="E223" s="22" t="s">
        <v>7</v>
      </c>
      <c r="F223" s="200">
        <f t="shared" ref="F223:F230" si="26">SUM(G223:X223)</f>
        <v>0</v>
      </c>
      <c r="G223" s="187"/>
      <c r="H223" s="191"/>
      <c r="I223" s="187"/>
      <c r="J223" s="192"/>
      <c r="K223" s="187"/>
      <c r="L223" s="187"/>
      <c r="M223" s="200"/>
      <c r="N223" s="187"/>
      <c r="O223" s="187"/>
      <c r="P223" s="187"/>
      <c r="Q223" s="187"/>
      <c r="R223" s="187"/>
      <c r="S223" s="200"/>
      <c r="T223" s="187"/>
      <c r="U223" s="234"/>
      <c r="V223" s="234"/>
      <c r="W223" s="209"/>
      <c r="X223" s="43"/>
      <c r="Y223" s="43"/>
      <c r="Z223" s="234"/>
      <c r="AA223" s="234"/>
      <c r="AB223" s="234"/>
      <c r="AC223" s="234"/>
      <c r="AD223" s="234"/>
      <c r="AE223" s="234"/>
      <c r="AF223" s="234"/>
      <c r="AG223" s="50"/>
      <c r="AH223" s="50"/>
      <c r="AI223" s="50"/>
      <c r="AJ223" s="50"/>
      <c r="AK223" s="50"/>
      <c r="AL223" s="50"/>
    </row>
    <row r="224" spans="2:38" s="48" customFormat="1" hidden="1" x14ac:dyDescent="0.25">
      <c r="B224" s="57" t="s">
        <v>45</v>
      </c>
      <c r="C224" s="49"/>
      <c r="D224" s="49"/>
      <c r="E224" s="22"/>
      <c r="F224" s="200">
        <f t="shared" si="26"/>
        <v>0</v>
      </c>
      <c r="G224" s="195"/>
      <c r="H224" s="191"/>
      <c r="I224" s="187"/>
      <c r="J224" s="192"/>
      <c r="K224" s="187"/>
      <c r="L224" s="187"/>
      <c r="M224" s="200"/>
      <c r="N224" s="187"/>
      <c r="O224" s="187"/>
      <c r="P224" s="187"/>
      <c r="Q224" s="187"/>
      <c r="R224" s="187"/>
      <c r="S224" s="200"/>
      <c r="T224" s="187"/>
      <c r="U224" s="234"/>
      <c r="V224" s="234"/>
      <c r="W224" s="209"/>
      <c r="X224" s="43"/>
      <c r="Y224" s="43"/>
      <c r="Z224" s="234"/>
      <c r="AA224" s="234"/>
      <c r="AB224" s="234"/>
      <c r="AC224" s="234"/>
      <c r="AD224" s="234"/>
      <c r="AE224" s="234"/>
      <c r="AF224" s="234"/>
      <c r="AG224" s="50"/>
      <c r="AH224" s="50"/>
      <c r="AI224" s="50"/>
      <c r="AJ224" s="50"/>
      <c r="AK224" s="50"/>
      <c r="AL224" s="50"/>
    </row>
    <row r="225" spans="2:38" s="48" customFormat="1" hidden="1" x14ac:dyDescent="0.25">
      <c r="B225" s="57" t="s">
        <v>46</v>
      </c>
      <c r="C225" s="49"/>
      <c r="D225" s="49"/>
      <c r="E225" s="22"/>
      <c r="F225" s="200">
        <f t="shared" si="26"/>
        <v>0</v>
      </c>
      <c r="G225" s="187"/>
      <c r="H225" s="191"/>
      <c r="I225" s="187"/>
      <c r="J225" s="192"/>
      <c r="K225" s="187"/>
      <c r="L225" s="187"/>
      <c r="M225" s="200"/>
      <c r="N225" s="187"/>
      <c r="O225" s="187"/>
      <c r="P225" s="187"/>
      <c r="Q225" s="187"/>
      <c r="R225" s="187"/>
      <c r="S225" s="200"/>
      <c r="T225" s="187"/>
      <c r="U225" s="234"/>
      <c r="V225" s="234"/>
      <c r="W225" s="209"/>
      <c r="X225" s="43"/>
      <c r="Y225" s="43"/>
      <c r="Z225" s="234"/>
      <c r="AA225" s="234"/>
      <c r="AB225" s="234"/>
      <c r="AC225" s="234"/>
      <c r="AD225" s="234"/>
      <c r="AE225" s="234"/>
      <c r="AF225" s="234"/>
      <c r="AG225" s="50"/>
      <c r="AH225" s="50"/>
      <c r="AI225" s="50"/>
      <c r="AJ225" s="50"/>
      <c r="AK225" s="50"/>
      <c r="AL225" s="50"/>
    </row>
    <row r="226" spans="2:38" s="48" customFormat="1" hidden="1" x14ac:dyDescent="0.25">
      <c r="B226" s="57" t="s">
        <v>47</v>
      </c>
      <c r="C226" s="49"/>
      <c r="D226" s="49"/>
      <c r="E226" s="22"/>
      <c r="F226" s="200">
        <f t="shared" si="26"/>
        <v>0</v>
      </c>
      <c r="G226" s="195"/>
      <c r="H226" s="191"/>
      <c r="I226" s="187"/>
      <c r="J226" s="192"/>
      <c r="K226" s="187"/>
      <c r="L226" s="187"/>
      <c r="M226" s="200"/>
      <c r="N226" s="187"/>
      <c r="O226" s="187"/>
      <c r="P226" s="187"/>
      <c r="Q226" s="187"/>
      <c r="R226" s="187"/>
      <c r="S226" s="200"/>
      <c r="T226" s="187"/>
      <c r="U226" s="234"/>
      <c r="V226" s="234"/>
      <c r="W226" s="209"/>
      <c r="X226" s="43"/>
      <c r="Y226" s="43"/>
      <c r="Z226" s="234"/>
      <c r="AA226" s="234"/>
      <c r="AB226" s="234"/>
      <c r="AC226" s="234"/>
      <c r="AD226" s="234"/>
      <c r="AE226" s="234"/>
      <c r="AF226" s="234"/>
      <c r="AG226" s="50"/>
      <c r="AH226" s="50"/>
      <c r="AI226" s="50"/>
      <c r="AJ226" s="50"/>
      <c r="AK226" s="50"/>
      <c r="AL226" s="50"/>
    </row>
    <row r="227" spans="2:38" s="48" customFormat="1" x14ac:dyDescent="0.25">
      <c r="B227" s="57" t="s">
        <v>48</v>
      </c>
      <c r="C227" s="49"/>
      <c r="D227" s="49"/>
      <c r="E227" s="22"/>
      <c r="F227" s="199">
        <f t="shared" si="26"/>
        <v>3</v>
      </c>
      <c r="G227" s="186"/>
      <c r="H227" s="189">
        <v>1</v>
      </c>
      <c r="I227" s="186">
        <v>1</v>
      </c>
      <c r="J227" s="190"/>
      <c r="K227" s="186">
        <v>1</v>
      </c>
      <c r="L227" s="186"/>
      <c r="M227" s="199"/>
      <c r="N227" s="186"/>
      <c r="O227" s="186"/>
      <c r="P227" s="186"/>
      <c r="Q227" s="186"/>
      <c r="R227" s="186"/>
      <c r="S227" s="199"/>
      <c r="T227" s="186"/>
      <c r="U227" s="234"/>
      <c r="V227" s="234"/>
      <c r="W227" s="209"/>
      <c r="X227" s="43"/>
      <c r="Y227" s="43"/>
      <c r="Z227" s="234"/>
      <c r="AA227" s="234"/>
      <c r="AB227" s="234"/>
      <c r="AC227" s="234"/>
      <c r="AD227" s="234"/>
      <c r="AE227" s="234"/>
      <c r="AF227" s="234"/>
      <c r="AG227" s="50"/>
      <c r="AH227" s="50"/>
      <c r="AI227" s="50"/>
      <c r="AJ227" s="50"/>
      <c r="AK227" s="50"/>
      <c r="AL227" s="50"/>
    </row>
    <row r="228" spans="2:38" s="48" customFormat="1" hidden="1" x14ac:dyDescent="0.25">
      <c r="B228" s="57" t="s">
        <v>49</v>
      </c>
      <c r="C228" s="49"/>
      <c r="D228" s="49"/>
      <c r="E228" s="22"/>
      <c r="F228" s="200">
        <f t="shared" si="26"/>
        <v>0</v>
      </c>
      <c r="G228" s="187"/>
      <c r="H228" s="191"/>
      <c r="I228" s="187"/>
      <c r="J228" s="192"/>
      <c r="K228" s="187"/>
      <c r="L228" s="187"/>
      <c r="M228" s="200"/>
      <c r="N228" s="187"/>
      <c r="O228" s="187"/>
      <c r="P228" s="187"/>
      <c r="Q228" s="187"/>
      <c r="R228" s="187"/>
      <c r="S228" s="200"/>
      <c r="T228" s="187"/>
      <c r="U228" s="234"/>
      <c r="V228" s="234"/>
      <c r="W228" s="209"/>
      <c r="X228" s="43"/>
      <c r="Y228" s="43"/>
      <c r="Z228" s="234"/>
      <c r="AA228" s="234"/>
      <c r="AB228" s="234"/>
      <c r="AC228" s="234"/>
      <c r="AD228" s="234"/>
      <c r="AE228" s="234"/>
      <c r="AF228" s="234"/>
      <c r="AG228" s="50"/>
      <c r="AH228" s="50"/>
      <c r="AI228" s="50"/>
      <c r="AJ228" s="50"/>
      <c r="AK228" s="50"/>
      <c r="AL228" s="50"/>
    </row>
    <row r="229" spans="2:38" s="48" customFormat="1" hidden="1" x14ac:dyDescent="0.25">
      <c r="B229" s="57" t="s">
        <v>123</v>
      </c>
      <c r="C229" s="49"/>
      <c r="D229" s="49" t="s">
        <v>7</v>
      </c>
      <c r="E229" s="22"/>
      <c r="F229" s="200">
        <f t="shared" si="26"/>
        <v>0</v>
      </c>
      <c r="G229" s="187"/>
      <c r="H229" s="191"/>
      <c r="I229" s="187"/>
      <c r="J229" s="192"/>
      <c r="K229" s="187"/>
      <c r="L229" s="187"/>
      <c r="M229" s="200"/>
      <c r="N229" s="187"/>
      <c r="O229" s="187"/>
      <c r="P229" s="187"/>
      <c r="Q229" s="187"/>
      <c r="R229" s="187"/>
      <c r="S229" s="200"/>
      <c r="T229" s="187"/>
      <c r="U229" s="234"/>
      <c r="V229" s="234"/>
      <c r="W229" s="209"/>
      <c r="X229" s="43"/>
      <c r="Y229" s="43"/>
      <c r="Z229" s="234"/>
      <c r="AA229" s="234"/>
      <c r="AB229" s="234"/>
      <c r="AC229" s="234"/>
      <c r="AD229" s="234"/>
      <c r="AE229" s="234"/>
      <c r="AF229" s="234"/>
      <c r="AG229" s="50"/>
      <c r="AH229" s="50"/>
      <c r="AI229" s="50"/>
      <c r="AJ229" s="50"/>
      <c r="AK229" s="50"/>
      <c r="AL229" s="50"/>
    </row>
    <row r="230" spans="2:38" s="48" customFormat="1" x14ac:dyDescent="0.25">
      <c r="B230" s="57" t="s">
        <v>51</v>
      </c>
      <c r="C230" s="49"/>
      <c r="D230" s="49"/>
      <c r="E230" s="22"/>
      <c r="F230" s="201">
        <f t="shared" si="26"/>
        <v>9</v>
      </c>
      <c r="G230" s="188"/>
      <c r="H230" s="193">
        <v>1</v>
      </c>
      <c r="I230" s="188">
        <v>1</v>
      </c>
      <c r="J230" s="194"/>
      <c r="K230" s="188"/>
      <c r="L230" s="188">
        <v>1</v>
      </c>
      <c r="M230" s="201">
        <v>1</v>
      </c>
      <c r="N230" s="188">
        <v>1</v>
      </c>
      <c r="O230" s="188">
        <v>1</v>
      </c>
      <c r="P230" s="188">
        <v>1</v>
      </c>
      <c r="Q230" s="188">
        <v>1</v>
      </c>
      <c r="R230" s="188">
        <v>1</v>
      </c>
      <c r="S230" s="201"/>
      <c r="T230" s="188"/>
      <c r="U230" s="234"/>
      <c r="V230" s="234"/>
      <c r="W230" s="209"/>
      <c r="X230" s="43"/>
      <c r="Y230" s="43"/>
      <c r="Z230" s="234"/>
      <c r="AA230" s="234"/>
      <c r="AB230" s="234"/>
      <c r="AC230" s="234"/>
      <c r="AD230" s="234"/>
      <c r="AE230" s="234"/>
      <c r="AF230" s="234"/>
      <c r="AG230" s="50"/>
      <c r="AH230" s="50"/>
      <c r="AI230" s="50"/>
      <c r="AJ230" s="50"/>
      <c r="AK230" s="50"/>
      <c r="AL230" s="50"/>
    </row>
    <row r="231" spans="2:38" s="48" customFormat="1" hidden="1" x14ac:dyDescent="0.25">
      <c r="B231" s="57" t="s">
        <v>52</v>
      </c>
      <c r="C231" s="49"/>
      <c r="D231" s="49"/>
      <c r="E231" s="22"/>
      <c r="F231" s="201">
        <f>SUM(G231:X231)</f>
        <v>0</v>
      </c>
      <c r="G231" s="196"/>
      <c r="H231" s="193"/>
      <c r="I231" s="188"/>
      <c r="J231" s="194"/>
      <c r="K231" s="188"/>
      <c r="L231" s="188"/>
      <c r="M231" s="201"/>
      <c r="N231" s="188"/>
      <c r="O231" s="188"/>
      <c r="P231" s="188"/>
      <c r="Q231" s="188"/>
      <c r="R231" s="188"/>
      <c r="S231" s="201"/>
      <c r="T231" s="188"/>
      <c r="U231" s="234"/>
      <c r="V231" s="234"/>
      <c r="W231" s="209"/>
      <c r="X231" s="43"/>
      <c r="Y231" s="43"/>
      <c r="Z231" s="234"/>
      <c r="AA231" s="234"/>
      <c r="AB231" s="234"/>
      <c r="AC231" s="234"/>
      <c r="AD231" s="234"/>
      <c r="AE231" s="234"/>
      <c r="AF231" s="234"/>
      <c r="AG231" s="50"/>
      <c r="AH231" s="50"/>
      <c r="AI231" s="50"/>
      <c r="AJ231" s="50"/>
      <c r="AK231" s="50"/>
      <c r="AL231" s="50"/>
    </row>
    <row r="232" spans="2:38" s="48" customFormat="1" x14ac:dyDescent="0.25">
      <c r="B232" s="57"/>
      <c r="C232" s="49"/>
      <c r="D232" s="49"/>
      <c r="E232" s="22"/>
      <c r="F232" s="234"/>
      <c r="G232" s="57"/>
      <c r="H232" s="22"/>
      <c r="I232" s="234"/>
      <c r="J232" s="22"/>
      <c r="K232" s="234"/>
      <c r="L232" s="21"/>
      <c r="M232" s="234"/>
      <c r="N232" s="22"/>
      <c r="O232" s="22"/>
      <c r="P232" s="22"/>
      <c r="Q232" s="22"/>
      <c r="R232" s="22"/>
      <c r="S232" s="26"/>
      <c r="T232" s="22"/>
      <c r="U232" s="234"/>
      <c r="V232" s="234"/>
      <c r="W232" s="209"/>
      <c r="X232" s="43"/>
      <c r="Y232" s="43"/>
      <c r="Z232" s="234"/>
      <c r="AA232" s="234"/>
      <c r="AB232" s="234"/>
      <c r="AC232" s="234"/>
      <c r="AD232" s="234"/>
      <c r="AE232" s="234"/>
      <c r="AF232" s="234"/>
      <c r="AG232" s="50"/>
      <c r="AH232" s="50"/>
      <c r="AI232" s="50"/>
      <c r="AJ232" s="50"/>
      <c r="AK232" s="50"/>
      <c r="AL232" s="50"/>
    </row>
    <row r="233" spans="2:38" s="48" customFormat="1" x14ac:dyDescent="0.25">
      <c r="B233" s="58" t="s">
        <v>328</v>
      </c>
      <c r="C233" s="91"/>
      <c r="D233" s="52"/>
      <c r="E233" s="92">
        <v>1</v>
      </c>
      <c r="F233" s="52">
        <f t="shared" ref="F233:T233" si="27">SUM(F234:F238)</f>
        <v>2</v>
      </c>
      <c r="G233" s="129">
        <f t="shared" si="27"/>
        <v>0</v>
      </c>
      <c r="H233" s="92">
        <f t="shared" si="27"/>
        <v>0</v>
      </c>
      <c r="I233" s="52">
        <f t="shared" si="27"/>
        <v>1</v>
      </c>
      <c r="J233" s="92">
        <f t="shared" si="27"/>
        <v>0</v>
      </c>
      <c r="K233" s="52">
        <f t="shared" si="27"/>
        <v>0</v>
      </c>
      <c r="L233" s="94">
        <f t="shared" si="27"/>
        <v>0</v>
      </c>
      <c r="M233" s="52">
        <f t="shared" si="27"/>
        <v>0</v>
      </c>
      <c r="N233" s="92">
        <f t="shared" si="27"/>
        <v>0</v>
      </c>
      <c r="O233" s="92">
        <f t="shared" si="27"/>
        <v>0</v>
      </c>
      <c r="P233" s="92">
        <f t="shared" si="27"/>
        <v>0</v>
      </c>
      <c r="Q233" s="92">
        <f t="shared" si="27"/>
        <v>0</v>
      </c>
      <c r="R233" s="92">
        <f t="shared" si="27"/>
        <v>0</v>
      </c>
      <c r="S233" s="129">
        <f t="shared" si="27"/>
        <v>1</v>
      </c>
      <c r="T233" s="92">
        <f t="shared" si="27"/>
        <v>0</v>
      </c>
      <c r="U233" s="52"/>
      <c r="V233" s="52"/>
      <c r="W233" s="209"/>
      <c r="X233" s="43"/>
      <c r="Y233" s="43"/>
      <c r="Z233" s="234"/>
      <c r="AA233" s="234"/>
      <c r="AB233" s="234"/>
      <c r="AC233" s="234"/>
      <c r="AD233" s="234"/>
      <c r="AE233" s="234"/>
      <c r="AF233" s="234"/>
      <c r="AG233" s="50"/>
      <c r="AH233" s="50"/>
      <c r="AI233" s="50"/>
      <c r="AJ233" s="50"/>
      <c r="AK233" s="50"/>
      <c r="AL233" s="50"/>
    </row>
    <row r="234" spans="2:38" s="48" customFormat="1" x14ac:dyDescent="0.25">
      <c r="B234" s="57" t="s">
        <v>53</v>
      </c>
      <c r="C234" s="49"/>
      <c r="D234" s="49"/>
      <c r="E234" s="22"/>
      <c r="F234" s="199">
        <f>SUM(G234:X234)</f>
        <v>2</v>
      </c>
      <c r="G234" s="199"/>
      <c r="H234" s="186"/>
      <c r="I234" s="190">
        <v>1</v>
      </c>
      <c r="J234" s="190"/>
      <c r="K234" s="197"/>
      <c r="L234" s="371"/>
      <c r="M234" s="198"/>
      <c r="N234" s="197"/>
      <c r="O234" s="197"/>
      <c r="P234" s="197"/>
      <c r="Q234" s="197"/>
      <c r="R234" s="197"/>
      <c r="S234" s="355">
        <v>1</v>
      </c>
      <c r="T234" s="197"/>
      <c r="U234" s="234"/>
      <c r="V234" s="234"/>
      <c r="W234" s="209"/>
      <c r="X234" s="43"/>
      <c r="Y234" s="43"/>
      <c r="Z234" s="234"/>
      <c r="AA234" s="234"/>
      <c r="AB234" s="234"/>
      <c r="AC234" s="234"/>
      <c r="AD234" s="234"/>
      <c r="AE234" s="234"/>
      <c r="AF234" s="234"/>
      <c r="AG234" s="50"/>
      <c r="AH234" s="50"/>
      <c r="AI234" s="50"/>
      <c r="AJ234" s="50"/>
      <c r="AK234" s="50"/>
      <c r="AL234" s="50"/>
    </row>
    <row r="235" spans="2:38" s="48" customFormat="1" hidden="1" x14ac:dyDescent="0.25">
      <c r="B235" s="57" t="s">
        <v>54</v>
      </c>
      <c r="C235" s="49"/>
      <c r="D235" s="49"/>
      <c r="E235" s="22"/>
      <c r="F235" s="200">
        <f>SUM(G235:X235)</f>
        <v>0</v>
      </c>
      <c r="G235" s="369"/>
      <c r="H235" s="187"/>
      <c r="I235" s="192"/>
      <c r="J235" s="192"/>
      <c r="K235" s="192"/>
      <c r="L235" s="192"/>
      <c r="M235" s="191"/>
      <c r="N235" s="187"/>
      <c r="O235" s="187"/>
      <c r="P235" s="187"/>
      <c r="Q235" s="187"/>
      <c r="R235" s="187"/>
      <c r="S235" s="200"/>
      <c r="T235" s="187"/>
      <c r="U235" s="234"/>
      <c r="V235" s="234"/>
      <c r="W235" s="209"/>
      <c r="X235" s="43"/>
      <c r="Y235" s="43"/>
      <c r="Z235" s="234"/>
      <c r="AA235" s="234"/>
      <c r="AB235" s="234"/>
      <c r="AC235" s="234"/>
      <c r="AD235" s="234"/>
      <c r="AE235" s="234"/>
      <c r="AF235" s="234"/>
      <c r="AG235" s="50"/>
      <c r="AH235" s="50"/>
      <c r="AI235" s="50"/>
      <c r="AJ235" s="50"/>
      <c r="AK235" s="50"/>
      <c r="AL235" s="50"/>
    </row>
    <row r="236" spans="2:38" s="48" customFormat="1" hidden="1" x14ac:dyDescent="0.25">
      <c r="B236" s="57" t="s">
        <v>55</v>
      </c>
      <c r="C236" s="49"/>
      <c r="D236" s="49"/>
      <c r="E236" s="22"/>
      <c r="F236" s="200">
        <f>SUM(G236:X236)</f>
        <v>0</v>
      </c>
      <c r="G236" s="369"/>
      <c r="H236" s="187"/>
      <c r="I236" s="192"/>
      <c r="J236" s="192"/>
      <c r="K236" s="192"/>
      <c r="L236" s="192"/>
      <c r="M236" s="191"/>
      <c r="N236" s="187"/>
      <c r="O236" s="187"/>
      <c r="P236" s="187"/>
      <c r="Q236" s="187"/>
      <c r="R236" s="187"/>
      <c r="S236" s="200"/>
      <c r="T236" s="187"/>
      <c r="U236" s="234"/>
      <c r="V236" s="234"/>
      <c r="W236" s="209"/>
      <c r="X236" s="43"/>
      <c r="Y236" s="43"/>
      <c r="Z236" s="234"/>
      <c r="AA236" s="234"/>
      <c r="AB236" s="234"/>
      <c r="AC236" s="234"/>
      <c r="AD236" s="234"/>
      <c r="AE236" s="234"/>
      <c r="AF236" s="234"/>
      <c r="AG236" s="50"/>
      <c r="AH236" s="50"/>
      <c r="AI236" s="50"/>
      <c r="AJ236" s="50"/>
      <c r="AK236" s="50"/>
      <c r="AL236" s="50"/>
    </row>
    <row r="237" spans="2:38" s="48" customFormat="1" hidden="1" x14ac:dyDescent="0.25">
      <c r="B237" s="57" t="s">
        <v>100</v>
      </c>
      <c r="C237" s="49"/>
      <c r="D237" s="49"/>
      <c r="E237" s="22"/>
      <c r="F237" s="355">
        <f>SUM(G237:X237)</f>
        <v>0</v>
      </c>
      <c r="G237" s="370"/>
      <c r="H237" s="197"/>
      <c r="I237" s="371"/>
      <c r="J237" s="371"/>
      <c r="K237" s="371"/>
      <c r="L237" s="371"/>
      <c r="M237" s="198"/>
      <c r="N237" s="197"/>
      <c r="O237" s="197"/>
      <c r="P237" s="197"/>
      <c r="Q237" s="197"/>
      <c r="R237" s="197"/>
      <c r="S237" s="355"/>
      <c r="T237" s="197"/>
      <c r="U237" s="234"/>
      <c r="V237" s="234"/>
      <c r="W237" s="209"/>
      <c r="X237" s="43"/>
      <c r="Y237" s="43"/>
      <c r="Z237" s="234"/>
      <c r="AA237" s="234"/>
      <c r="AB237" s="234"/>
      <c r="AC237" s="234"/>
      <c r="AD237" s="234"/>
      <c r="AE237" s="234"/>
      <c r="AF237" s="234"/>
      <c r="AG237" s="50"/>
      <c r="AH237" s="50"/>
      <c r="AI237" s="50"/>
      <c r="AJ237" s="50"/>
      <c r="AK237" s="50"/>
      <c r="AL237" s="50"/>
    </row>
    <row r="238" spans="2:38" s="48" customFormat="1" hidden="1" x14ac:dyDescent="0.25">
      <c r="B238" s="57" t="s">
        <v>57</v>
      </c>
      <c r="C238" s="49"/>
      <c r="D238" s="49"/>
      <c r="E238" s="22" t="s">
        <v>7</v>
      </c>
      <c r="F238" s="201">
        <f>SUM(G238:X238)</f>
        <v>0</v>
      </c>
      <c r="G238" s="201"/>
      <c r="H238" s="188"/>
      <c r="I238" s="194"/>
      <c r="J238" s="194"/>
      <c r="K238" s="194"/>
      <c r="L238" s="194"/>
      <c r="M238" s="193"/>
      <c r="N238" s="188"/>
      <c r="O238" s="188"/>
      <c r="P238" s="188"/>
      <c r="Q238" s="188"/>
      <c r="R238" s="188"/>
      <c r="S238" s="201"/>
      <c r="T238" s="188"/>
      <c r="U238" s="234"/>
      <c r="V238" s="234"/>
      <c r="W238" s="209"/>
      <c r="X238" s="43"/>
      <c r="Y238" s="43"/>
      <c r="Z238" s="234"/>
      <c r="AA238" s="234"/>
      <c r="AB238" s="234"/>
      <c r="AC238" s="234"/>
      <c r="AD238" s="234"/>
      <c r="AE238" s="234"/>
      <c r="AF238" s="234"/>
      <c r="AG238" s="50"/>
      <c r="AH238" s="50"/>
      <c r="AI238" s="50"/>
      <c r="AJ238" s="50"/>
      <c r="AK238" s="50"/>
      <c r="AL238" s="50"/>
    </row>
    <row r="239" spans="2:38" s="48" customFormat="1" x14ac:dyDescent="0.25">
      <c r="B239" s="57"/>
      <c r="C239" s="49"/>
      <c r="D239" s="49"/>
      <c r="E239" s="22"/>
      <c r="F239" s="25"/>
      <c r="G239" s="89"/>
      <c r="H239" s="125"/>
      <c r="I239" s="21"/>
      <c r="J239" s="368"/>
      <c r="K239" s="22"/>
      <c r="L239" s="22"/>
      <c r="M239" s="26"/>
      <c r="N239" s="22"/>
      <c r="O239" s="22"/>
      <c r="P239" s="22"/>
      <c r="Q239" s="22"/>
      <c r="R239" s="22"/>
      <c r="S239" s="26"/>
      <c r="T239" s="22"/>
      <c r="U239" s="234"/>
      <c r="V239" s="234"/>
      <c r="W239" s="209"/>
      <c r="X239" s="43"/>
      <c r="Y239" s="43"/>
      <c r="Z239" s="234"/>
      <c r="AA239" s="234"/>
      <c r="AB239" s="234"/>
      <c r="AC239" s="234"/>
      <c r="AD239" s="234"/>
      <c r="AE239" s="234"/>
      <c r="AF239" s="234"/>
      <c r="AG239" s="50"/>
      <c r="AH239" s="50"/>
      <c r="AI239" s="50"/>
      <c r="AJ239" s="50"/>
      <c r="AK239" s="50"/>
      <c r="AL239" s="50"/>
    </row>
    <row r="240" spans="2:38" s="48" customFormat="1" x14ac:dyDescent="0.25">
      <c r="B240" s="58" t="s">
        <v>101</v>
      </c>
      <c r="C240" s="91"/>
      <c r="D240" s="52"/>
      <c r="E240" s="92">
        <v>6</v>
      </c>
      <c r="F240" s="309">
        <f t="shared" ref="F240:T240" si="28">SUM(F241:F267)</f>
        <v>8</v>
      </c>
      <c r="G240" s="94">
        <f t="shared" si="28"/>
        <v>0</v>
      </c>
      <c r="H240" s="159">
        <f t="shared" si="28"/>
        <v>1</v>
      </c>
      <c r="I240" s="94">
        <f t="shared" si="28"/>
        <v>4</v>
      </c>
      <c r="J240" s="310">
        <f t="shared" si="28"/>
        <v>0</v>
      </c>
      <c r="K240" s="92">
        <f t="shared" si="28"/>
        <v>0</v>
      </c>
      <c r="L240" s="92">
        <f t="shared" si="28"/>
        <v>0</v>
      </c>
      <c r="M240" s="129">
        <f t="shared" si="28"/>
        <v>0</v>
      </c>
      <c r="N240" s="92">
        <f t="shared" si="28"/>
        <v>0</v>
      </c>
      <c r="O240" s="92">
        <f t="shared" si="28"/>
        <v>0</v>
      </c>
      <c r="P240" s="92">
        <f t="shared" si="28"/>
        <v>0</v>
      </c>
      <c r="Q240" s="92">
        <f t="shared" si="28"/>
        <v>0</v>
      </c>
      <c r="R240" s="92">
        <f t="shared" si="28"/>
        <v>0</v>
      </c>
      <c r="S240" s="129">
        <f t="shared" si="28"/>
        <v>0</v>
      </c>
      <c r="T240" s="92">
        <f t="shared" si="28"/>
        <v>3</v>
      </c>
      <c r="U240" s="52"/>
      <c r="V240" s="52"/>
      <c r="W240" s="209"/>
      <c r="X240" s="43"/>
      <c r="Y240" s="43"/>
      <c r="Z240" s="234"/>
      <c r="AA240" s="234"/>
      <c r="AB240" s="234"/>
      <c r="AC240" s="234"/>
      <c r="AD240" s="234"/>
      <c r="AE240" s="234"/>
      <c r="AF240" s="234"/>
      <c r="AG240" s="50"/>
      <c r="AH240" s="50"/>
      <c r="AI240" s="50"/>
      <c r="AJ240" s="50"/>
      <c r="AK240" s="50"/>
      <c r="AL240" s="50"/>
    </row>
    <row r="241" spans="2:38" s="48" customFormat="1" x14ac:dyDescent="0.25">
      <c r="B241" s="57" t="s">
        <v>59</v>
      </c>
      <c r="C241" s="49"/>
      <c r="D241" s="49"/>
      <c r="E241" s="22"/>
      <c r="F241" s="199">
        <f>SUM(G241:X241)</f>
        <v>1</v>
      </c>
      <c r="G241" s="372"/>
      <c r="H241" s="186"/>
      <c r="I241" s="190">
        <v>1</v>
      </c>
      <c r="J241" s="190"/>
      <c r="K241" s="190"/>
      <c r="L241" s="190"/>
      <c r="M241" s="189"/>
      <c r="N241" s="186"/>
      <c r="O241" s="186"/>
      <c r="P241" s="186"/>
      <c r="Q241" s="186"/>
      <c r="R241" s="186"/>
      <c r="S241" s="199"/>
      <c r="T241" s="186"/>
      <c r="U241" s="234"/>
      <c r="V241" s="234"/>
      <c r="W241" s="209"/>
      <c r="X241" s="43"/>
      <c r="Y241" s="43"/>
      <c r="Z241" s="234"/>
      <c r="AA241" s="234"/>
      <c r="AB241" s="234"/>
      <c r="AC241" s="234"/>
      <c r="AD241" s="234"/>
      <c r="AE241" s="234"/>
      <c r="AF241" s="234"/>
      <c r="AG241" s="50"/>
      <c r="AH241" s="50"/>
      <c r="AI241" s="50"/>
      <c r="AJ241" s="50"/>
      <c r="AK241" s="50"/>
      <c r="AL241" s="50"/>
    </row>
    <row r="242" spans="2:38" s="48" customFormat="1" x14ac:dyDescent="0.25">
      <c r="B242" s="57" t="s">
        <v>60</v>
      </c>
      <c r="C242" s="49"/>
      <c r="D242" s="49"/>
      <c r="E242" s="22"/>
      <c r="F242" s="200">
        <f>SUM(G242:X242)</f>
        <v>1</v>
      </c>
      <c r="G242" s="200"/>
      <c r="H242" s="187"/>
      <c r="I242" s="192"/>
      <c r="J242" s="192"/>
      <c r="K242" s="192"/>
      <c r="L242" s="192"/>
      <c r="M242" s="191"/>
      <c r="N242" s="187"/>
      <c r="O242" s="187"/>
      <c r="P242" s="187"/>
      <c r="Q242" s="187"/>
      <c r="R242" s="187"/>
      <c r="S242" s="200"/>
      <c r="T242" s="187">
        <v>1</v>
      </c>
      <c r="U242" s="234"/>
      <c r="V242" s="234"/>
      <c r="W242" s="209"/>
      <c r="X242" s="43"/>
      <c r="Y242" s="43"/>
      <c r="Z242" s="234"/>
      <c r="AA242" s="234"/>
      <c r="AB242" s="234"/>
      <c r="AC242" s="234"/>
      <c r="AD242" s="234"/>
      <c r="AE242" s="234"/>
      <c r="AF242" s="234"/>
      <c r="AG242" s="50"/>
      <c r="AH242" s="50"/>
      <c r="AI242" s="50"/>
      <c r="AJ242" s="50"/>
      <c r="AK242" s="50"/>
      <c r="AL242" s="50"/>
    </row>
    <row r="243" spans="2:38" s="48" customFormat="1" hidden="1" x14ac:dyDescent="0.25">
      <c r="B243" s="57" t="s">
        <v>61</v>
      </c>
      <c r="C243" s="49"/>
      <c r="D243" s="49"/>
      <c r="E243" s="22"/>
      <c r="F243" s="200">
        <f t="shared" ref="F243:F266" si="29">SUM(G243:X243)</f>
        <v>0</v>
      </c>
      <c r="G243" s="369"/>
      <c r="H243" s="187"/>
      <c r="I243" s="192"/>
      <c r="J243" s="192"/>
      <c r="K243" s="192"/>
      <c r="L243" s="192"/>
      <c r="M243" s="191"/>
      <c r="N243" s="187"/>
      <c r="O243" s="187"/>
      <c r="P243" s="187"/>
      <c r="Q243" s="187"/>
      <c r="R243" s="187"/>
      <c r="S243" s="200"/>
      <c r="T243" s="187"/>
      <c r="U243" s="234"/>
      <c r="V243" s="234"/>
      <c r="W243" s="209"/>
      <c r="X243" s="43"/>
      <c r="Y243" s="43"/>
      <c r="Z243" s="234"/>
      <c r="AA243" s="234"/>
      <c r="AB243" s="234"/>
      <c r="AC243" s="234"/>
      <c r="AD243" s="234"/>
      <c r="AE243" s="234"/>
      <c r="AF243" s="234"/>
      <c r="AG243" s="50"/>
      <c r="AH243" s="50"/>
      <c r="AI243" s="50"/>
      <c r="AJ243" s="50"/>
      <c r="AK243" s="50"/>
      <c r="AL243" s="50"/>
    </row>
    <row r="244" spans="2:38" s="48" customFormat="1" hidden="1" x14ac:dyDescent="0.25">
      <c r="B244" s="57" t="s">
        <v>62</v>
      </c>
      <c r="C244" s="49"/>
      <c r="D244" s="49"/>
      <c r="E244" s="22"/>
      <c r="F244" s="200">
        <f t="shared" si="29"/>
        <v>0</v>
      </c>
      <c r="G244" s="369"/>
      <c r="H244" s="187"/>
      <c r="I244" s="192"/>
      <c r="J244" s="192"/>
      <c r="K244" s="192"/>
      <c r="L244" s="192"/>
      <c r="M244" s="191"/>
      <c r="N244" s="187"/>
      <c r="O244" s="187"/>
      <c r="P244" s="187"/>
      <c r="Q244" s="187"/>
      <c r="R244" s="187"/>
      <c r="S244" s="200"/>
      <c r="T244" s="187"/>
      <c r="U244" s="234"/>
      <c r="V244" s="234"/>
      <c r="W244" s="209"/>
      <c r="X244" s="43"/>
      <c r="Y244" s="43"/>
      <c r="Z244" s="234"/>
      <c r="AA244" s="234"/>
      <c r="AB244" s="234"/>
      <c r="AC244" s="234"/>
      <c r="AD244" s="234"/>
      <c r="AE244" s="234"/>
      <c r="AF244" s="234"/>
      <c r="AG244" s="50"/>
      <c r="AH244" s="50"/>
      <c r="AI244" s="50"/>
      <c r="AJ244" s="50"/>
      <c r="AK244" s="50"/>
      <c r="AL244" s="50"/>
    </row>
    <row r="245" spans="2:38" s="48" customFormat="1" x14ac:dyDescent="0.25">
      <c r="B245" s="57" t="s">
        <v>63</v>
      </c>
      <c r="C245" s="49"/>
      <c r="D245" s="49"/>
      <c r="E245" s="22"/>
      <c r="F245" s="200">
        <f t="shared" si="29"/>
        <v>1</v>
      </c>
      <c r="G245" s="200"/>
      <c r="H245" s="187"/>
      <c r="I245" s="192">
        <v>1</v>
      </c>
      <c r="J245" s="192"/>
      <c r="K245" s="192"/>
      <c r="L245" s="192"/>
      <c r="M245" s="191"/>
      <c r="N245" s="187"/>
      <c r="O245" s="187"/>
      <c r="P245" s="187"/>
      <c r="Q245" s="187"/>
      <c r="R245" s="187"/>
      <c r="S245" s="200"/>
      <c r="T245" s="187"/>
      <c r="U245" s="234"/>
      <c r="V245" s="234"/>
      <c r="W245" s="209"/>
      <c r="X245" s="43"/>
      <c r="Y245" s="43"/>
      <c r="Z245" s="234"/>
      <c r="AA245" s="234"/>
      <c r="AB245" s="234"/>
      <c r="AC245" s="234"/>
      <c r="AD245" s="234"/>
      <c r="AE245" s="234"/>
      <c r="AF245" s="234"/>
      <c r="AG245" s="50"/>
      <c r="AH245" s="50"/>
      <c r="AI245" s="50"/>
      <c r="AJ245" s="50"/>
      <c r="AK245" s="50"/>
      <c r="AL245" s="50"/>
    </row>
    <row r="246" spans="2:38" s="48" customFormat="1" hidden="1" x14ac:dyDescent="0.25">
      <c r="B246" s="57" t="s">
        <v>64</v>
      </c>
      <c r="C246" s="49"/>
      <c r="D246" s="49"/>
      <c r="E246" s="22"/>
      <c r="F246" s="200">
        <f t="shared" si="29"/>
        <v>0</v>
      </c>
      <c r="G246" s="200"/>
      <c r="H246" s="187"/>
      <c r="I246" s="192"/>
      <c r="J246" s="192"/>
      <c r="K246" s="186"/>
      <c r="L246" s="190"/>
      <c r="M246" s="189"/>
      <c r="N246" s="186"/>
      <c r="O246" s="186"/>
      <c r="P246" s="186"/>
      <c r="Q246" s="186"/>
      <c r="R246" s="186"/>
      <c r="S246" s="199"/>
      <c r="T246" s="186"/>
      <c r="U246" s="234"/>
      <c r="V246" s="234"/>
      <c r="W246" s="209"/>
      <c r="X246" s="43"/>
      <c r="Y246" s="43"/>
      <c r="Z246" s="234"/>
      <c r="AA246" s="234"/>
      <c r="AB246" s="234"/>
      <c r="AC246" s="234"/>
      <c r="AD246" s="234"/>
      <c r="AE246" s="234"/>
      <c r="AF246" s="234"/>
      <c r="AG246" s="50"/>
      <c r="AH246" s="50"/>
      <c r="AI246" s="50"/>
      <c r="AJ246" s="50"/>
      <c r="AK246" s="50"/>
      <c r="AL246" s="50"/>
    </row>
    <row r="247" spans="2:38" s="48" customFormat="1" x14ac:dyDescent="0.25">
      <c r="B247" s="57" t="s">
        <v>65</v>
      </c>
      <c r="C247" s="49"/>
      <c r="D247" s="49"/>
      <c r="E247" s="22"/>
      <c r="F247" s="200">
        <f t="shared" si="29"/>
        <v>2</v>
      </c>
      <c r="G247" s="200"/>
      <c r="H247" s="187"/>
      <c r="I247" s="192">
        <v>1</v>
      </c>
      <c r="J247" s="192"/>
      <c r="K247" s="187"/>
      <c r="L247" s="192"/>
      <c r="M247" s="191"/>
      <c r="N247" s="187"/>
      <c r="O247" s="187"/>
      <c r="P247" s="187"/>
      <c r="Q247" s="187"/>
      <c r="R247" s="187"/>
      <c r="S247" s="200"/>
      <c r="T247" s="187">
        <v>1</v>
      </c>
      <c r="U247" s="234"/>
      <c r="V247" s="234"/>
      <c r="W247" s="209"/>
      <c r="X247" s="43"/>
      <c r="Y247" s="43"/>
      <c r="Z247" s="234"/>
      <c r="AA247" s="234"/>
      <c r="AB247" s="234"/>
      <c r="AC247" s="234"/>
      <c r="AD247" s="234"/>
      <c r="AE247" s="234"/>
      <c r="AF247" s="234"/>
      <c r="AG247" s="50"/>
      <c r="AH247" s="50"/>
      <c r="AI247" s="50"/>
      <c r="AJ247" s="50"/>
      <c r="AK247" s="50"/>
      <c r="AL247" s="50"/>
    </row>
    <row r="248" spans="2:38" s="48" customFormat="1" hidden="1" x14ac:dyDescent="0.25">
      <c r="B248" s="57" t="s">
        <v>66</v>
      </c>
      <c r="C248" s="49"/>
      <c r="D248" s="49"/>
      <c r="E248" s="22"/>
      <c r="F248" s="200">
        <f t="shared" si="29"/>
        <v>0</v>
      </c>
      <c r="G248" s="200"/>
      <c r="H248" s="187"/>
      <c r="I248" s="192"/>
      <c r="J248" s="192"/>
      <c r="K248" s="187"/>
      <c r="L248" s="192"/>
      <c r="M248" s="191"/>
      <c r="N248" s="187"/>
      <c r="O248" s="187"/>
      <c r="P248" s="187"/>
      <c r="Q248" s="187"/>
      <c r="R248" s="187"/>
      <c r="S248" s="200"/>
      <c r="T248" s="187"/>
      <c r="U248" s="234"/>
      <c r="V248" s="234"/>
      <c r="W248" s="209"/>
      <c r="X248" s="43"/>
      <c r="Y248" s="43"/>
      <c r="Z248" s="234"/>
      <c r="AA248" s="234"/>
      <c r="AB248" s="234"/>
      <c r="AC248" s="234"/>
      <c r="AD248" s="234"/>
      <c r="AE248" s="234"/>
      <c r="AF248" s="234"/>
      <c r="AG248" s="50"/>
      <c r="AH248" s="50"/>
      <c r="AI248" s="50"/>
      <c r="AJ248" s="50"/>
      <c r="AK248" s="50"/>
      <c r="AL248" s="50"/>
    </row>
    <row r="249" spans="2:38" s="48" customFormat="1" hidden="1" x14ac:dyDescent="0.25">
      <c r="B249" s="57" t="s">
        <v>67</v>
      </c>
      <c r="C249" s="49"/>
      <c r="D249" s="49"/>
      <c r="E249" s="22"/>
      <c r="F249" s="200">
        <f t="shared" si="29"/>
        <v>0</v>
      </c>
      <c r="G249" s="369"/>
      <c r="H249" s="187"/>
      <c r="I249" s="192"/>
      <c r="J249" s="192"/>
      <c r="K249" s="187"/>
      <c r="L249" s="192"/>
      <c r="M249" s="191"/>
      <c r="N249" s="187"/>
      <c r="O249" s="187"/>
      <c r="P249" s="187"/>
      <c r="Q249" s="187"/>
      <c r="R249" s="187"/>
      <c r="S249" s="200"/>
      <c r="T249" s="187"/>
      <c r="U249" s="234"/>
      <c r="V249" s="234"/>
      <c r="W249" s="209"/>
      <c r="X249" s="43"/>
      <c r="Y249" s="43"/>
      <c r="Z249" s="234"/>
      <c r="AA249" s="234"/>
      <c r="AB249" s="234"/>
      <c r="AC249" s="234"/>
      <c r="AD249" s="234"/>
      <c r="AE249" s="234"/>
      <c r="AF249" s="234"/>
      <c r="AG249" s="50"/>
      <c r="AH249" s="50"/>
      <c r="AI249" s="50"/>
      <c r="AJ249" s="50"/>
      <c r="AK249" s="50"/>
      <c r="AL249" s="50"/>
    </row>
    <row r="250" spans="2:38" s="48" customFormat="1" x14ac:dyDescent="0.25">
      <c r="B250" s="57" t="s">
        <v>144</v>
      </c>
      <c r="C250" s="49"/>
      <c r="D250" s="49"/>
      <c r="E250" s="22"/>
      <c r="F250" s="200">
        <f t="shared" si="29"/>
        <v>2</v>
      </c>
      <c r="G250" s="200"/>
      <c r="H250" s="187">
        <v>1</v>
      </c>
      <c r="I250" s="192">
        <v>1</v>
      </c>
      <c r="J250" s="192"/>
      <c r="K250" s="187"/>
      <c r="L250" s="192"/>
      <c r="M250" s="191"/>
      <c r="N250" s="187"/>
      <c r="O250" s="187"/>
      <c r="P250" s="187"/>
      <c r="Q250" s="187"/>
      <c r="R250" s="187"/>
      <c r="S250" s="200"/>
      <c r="T250" s="187"/>
      <c r="U250" s="234"/>
      <c r="V250" s="234"/>
      <c r="W250" s="209"/>
      <c r="X250" s="43"/>
      <c r="Y250" s="43"/>
      <c r="Z250" s="234"/>
      <c r="AA250" s="234"/>
      <c r="AB250" s="234"/>
      <c r="AC250" s="234"/>
      <c r="AD250" s="234"/>
      <c r="AE250" s="234"/>
      <c r="AF250" s="234"/>
      <c r="AG250" s="50"/>
      <c r="AH250" s="50"/>
      <c r="AI250" s="50"/>
      <c r="AJ250" s="50"/>
      <c r="AK250" s="50"/>
      <c r="AL250" s="50"/>
    </row>
    <row r="251" spans="2:38" s="48" customFormat="1" hidden="1" x14ac:dyDescent="0.25">
      <c r="B251" s="57" t="s">
        <v>69</v>
      </c>
      <c r="C251" s="49"/>
      <c r="D251" s="49"/>
      <c r="E251" s="22"/>
      <c r="F251" s="200">
        <f t="shared" si="29"/>
        <v>0</v>
      </c>
      <c r="G251" s="369"/>
      <c r="H251" s="187"/>
      <c r="I251" s="192"/>
      <c r="J251" s="192"/>
      <c r="K251" s="187"/>
      <c r="L251" s="192"/>
      <c r="M251" s="191"/>
      <c r="N251" s="187"/>
      <c r="O251" s="187"/>
      <c r="P251" s="187"/>
      <c r="Q251" s="187"/>
      <c r="R251" s="187"/>
      <c r="S251" s="200"/>
      <c r="T251" s="187"/>
      <c r="U251" s="234"/>
      <c r="V251" s="234"/>
      <c r="W251" s="209"/>
      <c r="X251" s="43"/>
      <c r="Y251" s="43"/>
      <c r="Z251" s="234"/>
      <c r="AA251" s="234"/>
      <c r="AB251" s="234"/>
      <c r="AC251" s="234"/>
      <c r="AD251" s="234"/>
      <c r="AE251" s="234"/>
      <c r="AF251" s="234"/>
      <c r="AG251" s="50"/>
      <c r="AH251" s="50"/>
      <c r="AI251" s="50"/>
      <c r="AJ251" s="50"/>
      <c r="AK251" s="50"/>
      <c r="AL251" s="50"/>
    </row>
    <row r="252" spans="2:38" s="48" customFormat="1" hidden="1" x14ac:dyDescent="0.25">
      <c r="B252" s="57" t="s">
        <v>389</v>
      </c>
      <c r="C252" s="49"/>
      <c r="D252" s="49"/>
      <c r="E252" s="22"/>
      <c r="F252" s="200">
        <f t="shared" si="29"/>
        <v>0</v>
      </c>
      <c r="G252" s="200"/>
      <c r="H252" s="187"/>
      <c r="I252" s="192"/>
      <c r="J252" s="192"/>
      <c r="K252" s="187"/>
      <c r="L252" s="192"/>
      <c r="M252" s="191"/>
      <c r="N252" s="187"/>
      <c r="O252" s="187"/>
      <c r="P252" s="187"/>
      <c r="Q252" s="187"/>
      <c r="R252" s="187"/>
      <c r="S252" s="200"/>
      <c r="T252" s="187"/>
      <c r="U252" s="234"/>
      <c r="V252" s="234"/>
      <c r="W252" s="209"/>
      <c r="X252" s="43"/>
      <c r="Y252" s="43"/>
      <c r="Z252" s="234"/>
      <c r="AA252" s="234"/>
      <c r="AB252" s="234"/>
      <c r="AC252" s="234"/>
      <c r="AD252" s="234"/>
      <c r="AE252" s="234"/>
      <c r="AF252" s="234"/>
      <c r="AG252" s="50"/>
      <c r="AH252" s="50"/>
      <c r="AI252" s="50"/>
      <c r="AJ252" s="50"/>
      <c r="AK252" s="50"/>
      <c r="AL252" s="50"/>
    </row>
    <row r="253" spans="2:38" s="48" customFormat="1" hidden="1" x14ac:dyDescent="0.25">
      <c r="B253" s="57" t="s">
        <v>71</v>
      </c>
      <c r="C253" s="49"/>
      <c r="D253" s="49"/>
      <c r="E253" s="22"/>
      <c r="F253" s="200">
        <f t="shared" si="29"/>
        <v>0</v>
      </c>
      <c r="G253" s="369"/>
      <c r="H253" s="187"/>
      <c r="I253" s="192"/>
      <c r="J253" s="192"/>
      <c r="K253" s="187"/>
      <c r="L253" s="192"/>
      <c r="M253" s="191"/>
      <c r="N253" s="187"/>
      <c r="O253" s="187"/>
      <c r="P253" s="187"/>
      <c r="Q253" s="187"/>
      <c r="R253" s="187"/>
      <c r="S253" s="200"/>
      <c r="T253" s="187"/>
      <c r="U253" s="234"/>
      <c r="V253" s="234"/>
      <c r="W253" s="209"/>
      <c r="X253" s="43"/>
      <c r="Y253" s="43"/>
      <c r="Z253" s="234"/>
      <c r="AA253" s="234"/>
      <c r="AB253" s="234"/>
      <c r="AC253" s="234"/>
      <c r="AD253" s="234"/>
      <c r="AE253" s="234"/>
      <c r="AF253" s="234"/>
      <c r="AG253" s="50"/>
      <c r="AH253" s="50"/>
      <c r="AI253" s="50"/>
      <c r="AJ253" s="50"/>
      <c r="AK253" s="50"/>
      <c r="AL253" s="50"/>
    </row>
    <row r="254" spans="2:38" s="48" customFormat="1" hidden="1" x14ac:dyDescent="0.25">
      <c r="B254" s="57" t="s">
        <v>72</v>
      </c>
      <c r="C254" s="49"/>
      <c r="D254" s="49"/>
      <c r="E254" s="22"/>
      <c r="F254" s="200">
        <f t="shared" si="29"/>
        <v>0</v>
      </c>
      <c r="G254" s="369"/>
      <c r="H254" s="187"/>
      <c r="I254" s="192"/>
      <c r="J254" s="192"/>
      <c r="K254" s="187"/>
      <c r="L254" s="192"/>
      <c r="M254" s="191"/>
      <c r="N254" s="187"/>
      <c r="O254" s="187"/>
      <c r="P254" s="187"/>
      <c r="Q254" s="187"/>
      <c r="R254" s="187"/>
      <c r="S254" s="200"/>
      <c r="T254" s="187"/>
      <c r="U254" s="234"/>
      <c r="V254" s="234"/>
      <c r="W254" s="209"/>
      <c r="X254" s="43"/>
      <c r="Y254" s="43"/>
      <c r="Z254" s="234"/>
      <c r="AA254" s="234"/>
      <c r="AB254" s="234"/>
      <c r="AC254" s="234"/>
      <c r="AD254" s="234"/>
      <c r="AE254" s="234"/>
      <c r="AF254" s="234"/>
      <c r="AG254" s="50"/>
      <c r="AH254" s="50"/>
      <c r="AI254" s="50"/>
      <c r="AJ254" s="50"/>
      <c r="AK254" s="50"/>
      <c r="AL254" s="50"/>
    </row>
    <row r="255" spans="2:38" s="48" customFormat="1" hidden="1" x14ac:dyDescent="0.25">
      <c r="B255" s="57" t="s">
        <v>130</v>
      </c>
      <c r="C255" s="49"/>
      <c r="D255" s="49"/>
      <c r="E255" s="22"/>
      <c r="F255" s="200">
        <f t="shared" si="29"/>
        <v>0</v>
      </c>
      <c r="G255" s="369"/>
      <c r="H255" s="187"/>
      <c r="I255" s="192"/>
      <c r="J255" s="192"/>
      <c r="K255" s="187"/>
      <c r="L255" s="192"/>
      <c r="M255" s="191"/>
      <c r="N255" s="187"/>
      <c r="O255" s="187"/>
      <c r="P255" s="187"/>
      <c r="Q255" s="187"/>
      <c r="R255" s="187"/>
      <c r="S255" s="200"/>
      <c r="T255" s="187"/>
      <c r="U255" s="234"/>
      <c r="V255" s="234"/>
      <c r="W255" s="209"/>
      <c r="X255" s="43"/>
      <c r="Y255" s="43"/>
      <c r="Z255" s="234"/>
      <c r="AA255" s="234"/>
      <c r="AB255" s="234"/>
      <c r="AC255" s="234"/>
      <c r="AD255" s="234"/>
      <c r="AE255" s="234"/>
      <c r="AF255" s="234"/>
      <c r="AG255" s="50"/>
      <c r="AH255" s="50"/>
      <c r="AI255" s="50"/>
      <c r="AJ255" s="50"/>
      <c r="AK255" s="50"/>
      <c r="AL255" s="50"/>
    </row>
    <row r="256" spans="2:38" s="48" customFormat="1" hidden="1" x14ac:dyDescent="0.25">
      <c r="B256" s="57" t="s">
        <v>102</v>
      </c>
      <c r="C256" s="49"/>
      <c r="D256" s="49"/>
      <c r="E256" s="22"/>
      <c r="F256" s="200">
        <f t="shared" si="29"/>
        <v>0</v>
      </c>
      <c r="G256" s="200"/>
      <c r="H256" s="187"/>
      <c r="I256" s="192"/>
      <c r="J256" s="192"/>
      <c r="K256" s="187"/>
      <c r="L256" s="192"/>
      <c r="M256" s="191"/>
      <c r="N256" s="187"/>
      <c r="O256" s="187"/>
      <c r="P256" s="187"/>
      <c r="Q256" s="187"/>
      <c r="R256" s="187"/>
      <c r="S256" s="200"/>
      <c r="T256" s="187"/>
      <c r="U256" s="234"/>
      <c r="V256" s="234"/>
      <c r="W256" s="209"/>
      <c r="X256" s="43"/>
      <c r="Y256" s="43"/>
      <c r="Z256" s="234"/>
      <c r="AA256" s="234"/>
      <c r="AB256" s="234"/>
      <c r="AC256" s="234"/>
      <c r="AD256" s="234"/>
      <c r="AE256" s="234"/>
      <c r="AF256" s="234"/>
      <c r="AG256" s="50"/>
      <c r="AH256" s="50"/>
      <c r="AI256" s="50"/>
      <c r="AJ256" s="50"/>
      <c r="AK256" s="50"/>
      <c r="AL256" s="50"/>
    </row>
    <row r="257" spans="2:38" s="48" customFormat="1" x14ac:dyDescent="0.25">
      <c r="B257" s="57" t="s">
        <v>103</v>
      </c>
      <c r="C257" s="49"/>
      <c r="D257" s="49"/>
      <c r="E257" s="22"/>
      <c r="F257" s="201">
        <f t="shared" si="29"/>
        <v>1</v>
      </c>
      <c r="G257" s="201"/>
      <c r="H257" s="188"/>
      <c r="I257" s="194"/>
      <c r="J257" s="194"/>
      <c r="K257" s="188"/>
      <c r="L257" s="194"/>
      <c r="M257" s="193"/>
      <c r="N257" s="188"/>
      <c r="O257" s="188"/>
      <c r="P257" s="188"/>
      <c r="Q257" s="188"/>
      <c r="R257" s="188"/>
      <c r="S257" s="201"/>
      <c r="T257" s="188">
        <v>1</v>
      </c>
      <c r="U257" s="234"/>
      <c r="V257" s="234"/>
      <c r="W257" s="209"/>
      <c r="X257" s="43"/>
      <c r="Y257" s="43"/>
      <c r="Z257" s="234"/>
      <c r="AA257" s="234"/>
      <c r="AB257" s="234"/>
      <c r="AC257" s="234"/>
      <c r="AD257" s="234"/>
      <c r="AE257" s="234"/>
      <c r="AF257" s="234"/>
      <c r="AG257" s="50"/>
      <c r="AH257" s="50"/>
      <c r="AI257" s="50"/>
      <c r="AJ257" s="50"/>
      <c r="AK257" s="50"/>
      <c r="AL257" s="50"/>
    </row>
    <row r="258" spans="2:38" s="48" customFormat="1" hidden="1" x14ac:dyDescent="0.25">
      <c r="B258" s="57" t="s">
        <v>91</v>
      </c>
      <c r="C258" s="49"/>
      <c r="D258" s="49"/>
      <c r="E258" s="22"/>
      <c r="F258" s="200">
        <f t="shared" si="29"/>
        <v>0</v>
      </c>
      <c r="G258" s="369"/>
      <c r="H258" s="187"/>
      <c r="I258" s="192"/>
      <c r="J258" s="192"/>
      <c r="K258" s="187"/>
      <c r="L258" s="192"/>
      <c r="M258" s="191"/>
      <c r="N258" s="187"/>
      <c r="O258" s="187"/>
      <c r="P258" s="187"/>
      <c r="Q258" s="187"/>
      <c r="R258" s="187"/>
      <c r="S258" s="200"/>
      <c r="T258" s="187"/>
      <c r="U258" s="234"/>
      <c r="V258" s="234"/>
      <c r="W258" s="209"/>
      <c r="X258" s="43"/>
      <c r="Y258" s="43"/>
      <c r="Z258" s="234"/>
      <c r="AA258" s="234"/>
      <c r="AB258" s="234"/>
      <c r="AC258" s="234"/>
      <c r="AD258" s="234"/>
      <c r="AE258" s="234"/>
      <c r="AF258" s="234"/>
      <c r="AG258" s="50"/>
      <c r="AH258" s="50"/>
      <c r="AI258" s="50"/>
      <c r="AJ258" s="50"/>
      <c r="AK258" s="50"/>
      <c r="AL258" s="50"/>
    </row>
    <row r="259" spans="2:38" s="48" customFormat="1" hidden="1" x14ac:dyDescent="0.25">
      <c r="B259" s="57" t="s">
        <v>73</v>
      </c>
      <c r="C259" s="49"/>
      <c r="D259" s="49"/>
      <c r="E259" s="22"/>
      <c r="F259" s="200">
        <f t="shared" si="29"/>
        <v>0</v>
      </c>
      <c r="G259" s="369"/>
      <c r="H259" s="187"/>
      <c r="I259" s="192"/>
      <c r="J259" s="192"/>
      <c r="K259" s="187"/>
      <c r="L259" s="192"/>
      <c r="M259" s="191"/>
      <c r="N259" s="187"/>
      <c r="O259" s="187"/>
      <c r="P259" s="187"/>
      <c r="Q259" s="187"/>
      <c r="R259" s="187"/>
      <c r="S259" s="200"/>
      <c r="T259" s="187"/>
      <c r="U259" s="234"/>
      <c r="V259" s="234"/>
      <c r="W259" s="209"/>
      <c r="X259" s="43"/>
      <c r="Y259" s="43"/>
      <c r="Z259" s="234"/>
      <c r="AA259" s="234"/>
      <c r="AB259" s="234"/>
      <c r="AC259" s="234"/>
      <c r="AD259" s="234"/>
      <c r="AE259" s="234"/>
      <c r="AF259" s="234"/>
      <c r="AG259" s="50"/>
      <c r="AH259" s="50"/>
      <c r="AI259" s="50"/>
      <c r="AJ259" s="50"/>
      <c r="AK259" s="50"/>
      <c r="AL259" s="50"/>
    </row>
    <row r="260" spans="2:38" s="48" customFormat="1" hidden="1" x14ac:dyDescent="0.25">
      <c r="B260" s="57" t="s">
        <v>74</v>
      </c>
      <c r="C260" s="49"/>
      <c r="D260" s="49"/>
      <c r="E260" s="22"/>
      <c r="F260" s="200">
        <f t="shared" si="29"/>
        <v>0</v>
      </c>
      <c r="G260" s="200"/>
      <c r="H260" s="187"/>
      <c r="I260" s="192"/>
      <c r="J260" s="192"/>
      <c r="K260" s="187"/>
      <c r="L260" s="192"/>
      <c r="M260" s="191"/>
      <c r="N260" s="187"/>
      <c r="O260" s="187"/>
      <c r="P260" s="187"/>
      <c r="Q260" s="187"/>
      <c r="R260" s="187"/>
      <c r="S260" s="200"/>
      <c r="T260" s="187"/>
      <c r="U260" s="234"/>
      <c r="V260" s="234"/>
      <c r="W260" s="209"/>
      <c r="X260" s="43"/>
      <c r="Y260" s="43"/>
      <c r="Z260" s="234"/>
      <c r="AA260" s="234"/>
      <c r="AB260" s="234"/>
      <c r="AC260" s="234"/>
      <c r="AD260" s="234"/>
      <c r="AE260" s="234"/>
      <c r="AF260" s="234"/>
      <c r="AG260" s="50"/>
      <c r="AH260" s="50"/>
      <c r="AI260" s="50"/>
      <c r="AJ260" s="50"/>
      <c r="AK260" s="50"/>
      <c r="AL260" s="50"/>
    </row>
    <row r="261" spans="2:38" s="48" customFormat="1" hidden="1" x14ac:dyDescent="0.25">
      <c r="B261" s="57" t="s">
        <v>104</v>
      </c>
      <c r="C261" s="49"/>
      <c r="D261" s="49"/>
      <c r="E261" s="22"/>
      <c r="F261" s="200">
        <f t="shared" si="29"/>
        <v>0</v>
      </c>
      <c r="G261" s="200"/>
      <c r="H261" s="187"/>
      <c r="I261" s="192"/>
      <c r="J261" s="192"/>
      <c r="K261" s="187"/>
      <c r="L261" s="192"/>
      <c r="M261" s="191"/>
      <c r="N261" s="187"/>
      <c r="O261" s="187"/>
      <c r="P261" s="187"/>
      <c r="Q261" s="187"/>
      <c r="R261" s="187"/>
      <c r="S261" s="200"/>
      <c r="T261" s="187"/>
      <c r="U261" s="234"/>
      <c r="V261" s="234"/>
      <c r="W261" s="209"/>
      <c r="X261" s="43"/>
      <c r="Y261" s="43"/>
      <c r="Z261" s="234"/>
      <c r="AA261" s="234"/>
      <c r="AB261" s="234"/>
      <c r="AC261" s="234"/>
      <c r="AD261" s="234"/>
      <c r="AE261" s="234"/>
      <c r="AF261" s="234"/>
      <c r="AG261" s="50"/>
      <c r="AH261" s="50"/>
      <c r="AI261" s="50"/>
      <c r="AJ261" s="50"/>
      <c r="AK261" s="50"/>
      <c r="AL261" s="50"/>
    </row>
    <row r="262" spans="2:38" s="48" customFormat="1" hidden="1" x14ac:dyDescent="0.25">
      <c r="B262" s="57" t="s">
        <v>75</v>
      </c>
      <c r="C262" s="49"/>
      <c r="D262" s="49"/>
      <c r="E262" s="22"/>
      <c r="F262" s="200">
        <f t="shared" si="29"/>
        <v>0</v>
      </c>
      <c r="G262" s="200"/>
      <c r="H262" s="187"/>
      <c r="I262" s="192"/>
      <c r="J262" s="192"/>
      <c r="K262" s="187"/>
      <c r="L262" s="192"/>
      <c r="M262" s="191"/>
      <c r="N262" s="187"/>
      <c r="O262" s="187"/>
      <c r="P262" s="187"/>
      <c r="Q262" s="187"/>
      <c r="R262" s="187"/>
      <c r="S262" s="200"/>
      <c r="T262" s="187"/>
      <c r="U262" s="234"/>
      <c r="V262" s="234"/>
      <c r="W262" s="209"/>
      <c r="X262" s="43"/>
      <c r="Y262" s="43"/>
      <c r="Z262" s="234"/>
      <c r="AA262" s="234"/>
      <c r="AB262" s="234"/>
      <c r="AC262" s="234"/>
      <c r="AD262" s="234"/>
      <c r="AE262" s="234"/>
      <c r="AF262" s="234"/>
      <c r="AG262" s="50"/>
      <c r="AH262" s="50"/>
      <c r="AI262" s="50"/>
      <c r="AJ262" s="50"/>
      <c r="AK262" s="50"/>
      <c r="AL262" s="50"/>
    </row>
    <row r="263" spans="2:38" s="48" customFormat="1" hidden="1" x14ac:dyDescent="0.25">
      <c r="B263" s="57" t="s">
        <v>131</v>
      </c>
      <c r="C263" s="49"/>
      <c r="D263" s="49"/>
      <c r="E263" s="22"/>
      <c r="F263" s="200">
        <f t="shared" si="29"/>
        <v>0</v>
      </c>
      <c r="G263" s="369"/>
      <c r="H263" s="187"/>
      <c r="I263" s="192"/>
      <c r="J263" s="192"/>
      <c r="K263" s="187"/>
      <c r="L263" s="192"/>
      <c r="M263" s="191"/>
      <c r="N263" s="187"/>
      <c r="O263" s="187"/>
      <c r="P263" s="187"/>
      <c r="Q263" s="187"/>
      <c r="R263" s="187"/>
      <c r="S263" s="200"/>
      <c r="T263" s="187"/>
      <c r="U263" s="234"/>
      <c r="V263" s="234"/>
      <c r="W263" s="209"/>
      <c r="X263" s="43"/>
      <c r="Y263" s="43"/>
      <c r="Z263" s="234"/>
      <c r="AA263" s="234"/>
      <c r="AB263" s="234"/>
      <c r="AC263" s="234"/>
      <c r="AD263" s="234"/>
      <c r="AE263" s="234"/>
      <c r="AF263" s="234"/>
      <c r="AG263" s="50"/>
      <c r="AH263" s="50"/>
      <c r="AI263" s="50"/>
      <c r="AJ263" s="50"/>
      <c r="AK263" s="50"/>
      <c r="AL263" s="50"/>
    </row>
    <row r="264" spans="2:38" s="48" customFormat="1" hidden="1" x14ac:dyDescent="0.25">
      <c r="B264" s="57" t="s">
        <v>77</v>
      </c>
      <c r="C264" s="49"/>
      <c r="D264" s="49"/>
      <c r="E264" s="22"/>
      <c r="F264" s="200">
        <f t="shared" si="29"/>
        <v>0</v>
      </c>
      <c r="G264" s="200"/>
      <c r="H264" s="187"/>
      <c r="I264" s="192"/>
      <c r="J264" s="192"/>
      <c r="K264" s="187"/>
      <c r="L264" s="192"/>
      <c r="M264" s="191"/>
      <c r="N264" s="187"/>
      <c r="O264" s="187"/>
      <c r="P264" s="187"/>
      <c r="Q264" s="187"/>
      <c r="R264" s="187"/>
      <c r="S264" s="200"/>
      <c r="T264" s="187"/>
      <c r="U264" s="234"/>
      <c r="V264" s="234"/>
      <c r="W264" s="209"/>
      <c r="X264" s="43"/>
      <c r="Y264" s="43"/>
      <c r="Z264" s="234"/>
      <c r="AA264" s="234"/>
      <c r="AB264" s="234"/>
      <c r="AC264" s="234"/>
      <c r="AD264" s="234"/>
      <c r="AE264" s="234"/>
      <c r="AF264" s="234"/>
      <c r="AG264" s="50"/>
      <c r="AH264" s="50"/>
      <c r="AI264" s="50"/>
      <c r="AJ264" s="50"/>
      <c r="AK264" s="50"/>
      <c r="AL264" s="50"/>
    </row>
    <row r="265" spans="2:38" s="48" customFormat="1" hidden="1" x14ac:dyDescent="0.25">
      <c r="B265" s="57" t="s">
        <v>78</v>
      </c>
      <c r="C265" s="49"/>
      <c r="D265" s="49"/>
      <c r="E265" s="22"/>
      <c r="F265" s="200">
        <f t="shared" si="29"/>
        <v>0</v>
      </c>
      <c r="G265" s="200"/>
      <c r="H265" s="187"/>
      <c r="I265" s="192"/>
      <c r="J265" s="192"/>
      <c r="K265" s="187"/>
      <c r="L265" s="192"/>
      <c r="M265" s="191"/>
      <c r="N265" s="187"/>
      <c r="O265" s="187"/>
      <c r="P265" s="187"/>
      <c r="Q265" s="187"/>
      <c r="R265" s="187"/>
      <c r="S265" s="200"/>
      <c r="T265" s="187"/>
      <c r="U265" s="234"/>
      <c r="V265" s="234"/>
      <c r="W265" s="209"/>
      <c r="X265" s="43"/>
      <c r="Y265" s="43"/>
      <c r="Z265" s="234"/>
      <c r="AA265" s="234"/>
      <c r="AB265" s="234"/>
      <c r="AC265" s="234"/>
      <c r="AD265" s="234"/>
      <c r="AE265" s="234"/>
      <c r="AF265" s="234"/>
      <c r="AG265" s="50"/>
      <c r="AH265" s="50"/>
      <c r="AI265" s="50"/>
      <c r="AJ265" s="50"/>
      <c r="AK265" s="50"/>
      <c r="AL265" s="50"/>
    </row>
    <row r="266" spans="2:38" s="48" customFormat="1" hidden="1" x14ac:dyDescent="0.25">
      <c r="B266" s="57" t="s">
        <v>79</v>
      </c>
      <c r="C266" s="49"/>
      <c r="D266" s="49"/>
      <c r="E266" s="22"/>
      <c r="F266" s="200">
        <f t="shared" si="29"/>
        <v>0</v>
      </c>
      <c r="G266" s="200"/>
      <c r="H266" s="187"/>
      <c r="I266" s="192"/>
      <c r="J266" s="192"/>
      <c r="K266" s="187"/>
      <c r="L266" s="192"/>
      <c r="M266" s="191"/>
      <c r="N266" s="187"/>
      <c r="O266" s="187"/>
      <c r="P266" s="187"/>
      <c r="Q266" s="187"/>
      <c r="R266" s="187"/>
      <c r="S266" s="200"/>
      <c r="T266" s="187"/>
      <c r="U266" s="234"/>
      <c r="V266" s="234"/>
      <c r="W266" s="209"/>
      <c r="X266" s="43"/>
      <c r="Y266" s="43"/>
      <c r="Z266" s="234"/>
      <c r="AA266" s="234"/>
      <c r="AB266" s="234"/>
      <c r="AC266" s="234"/>
      <c r="AD266" s="234"/>
      <c r="AE266" s="234"/>
      <c r="AF266" s="234"/>
      <c r="AG266" s="50"/>
      <c r="AH266" s="50"/>
      <c r="AI266" s="50"/>
      <c r="AJ266" s="50"/>
      <c r="AK266" s="50"/>
      <c r="AL266" s="50"/>
    </row>
    <row r="267" spans="2:38" s="48" customFormat="1" hidden="1" x14ac:dyDescent="0.25">
      <c r="B267" s="57" t="s">
        <v>198</v>
      </c>
      <c r="C267" s="49"/>
      <c r="D267" s="49"/>
      <c r="E267" s="22"/>
      <c r="F267" s="201">
        <f>SUM(G267:X267)</f>
        <v>0</v>
      </c>
      <c r="G267" s="201"/>
      <c r="H267" s="188"/>
      <c r="I267" s="194"/>
      <c r="J267" s="194"/>
      <c r="K267" s="188"/>
      <c r="L267" s="194"/>
      <c r="M267" s="193"/>
      <c r="N267" s="188"/>
      <c r="O267" s="188"/>
      <c r="P267" s="188"/>
      <c r="Q267" s="188"/>
      <c r="R267" s="188"/>
      <c r="S267" s="201"/>
      <c r="T267" s="188"/>
      <c r="U267" s="234"/>
      <c r="V267" s="234"/>
      <c r="W267" s="209"/>
      <c r="X267" s="43"/>
      <c r="Y267" s="43"/>
      <c r="Z267" s="234"/>
      <c r="AA267" s="234"/>
      <c r="AB267" s="234"/>
      <c r="AC267" s="234"/>
      <c r="AD267" s="234"/>
      <c r="AE267" s="234"/>
      <c r="AF267" s="234"/>
      <c r="AG267" s="50"/>
      <c r="AH267" s="50"/>
      <c r="AI267" s="50"/>
      <c r="AJ267" s="50"/>
      <c r="AK267" s="50"/>
      <c r="AL267" s="50"/>
    </row>
    <row r="268" spans="2:38" s="48" customFormat="1" x14ac:dyDescent="0.25">
      <c r="B268" s="61"/>
      <c r="C268" s="55"/>
      <c r="D268" s="55"/>
      <c r="E268" s="23"/>
      <c r="F268" s="87"/>
      <c r="G268" s="297"/>
      <c r="H268" s="87"/>
      <c r="I268" s="343"/>
      <c r="J268" s="87"/>
      <c r="K268" s="343"/>
      <c r="L268" s="87"/>
      <c r="M268" s="343"/>
      <c r="N268" s="87"/>
      <c r="O268" s="87"/>
      <c r="P268" s="87"/>
      <c r="Q268" s="87"/>
      <c r="R268" s="87"/>
      <c r="S268" s="331"/>
      <c r="T268" s="87"/>
      <c r="U268" s="234"/>
      <c r="V268" s="234"/>
      <c r="W268" s="209"/>
      <c r="X268" s="43"/>
      <c r="Y268" s="43"/>
      <c r="Z268" s="234"/>
      <c r="AA268" s="234"/>
      <c r="AB268" s="234"/>
      <c r="AC268" s="234"/>
      <c r="AD268" s="234"/>
      <c r="AE268" s="234"/>
      <c r="AF268" s="234"/>
      <c r="AG268" s="50"/>
      <c r="AH268" s="50"/>
      <c r="AI268" s="50"/>
      <c r="AJ268" s="50"/>
      <c r="AK268" s="50"/>
      <c r="AL268" s="50"/>
    </row>
    <row r="269" spans="2:38" s="48" customFormat="1" hidden="1" x14ac:dyDescent="0.25">
      <c r="B269" s="58" t="s">
        <v>0</v>
      </c>
      <c r="C269" s="91"/>
      <c r="D269" s="52"/>
      <c r="E269" s="133"/>
      <c r="F269" s="94">
        <f>SUM(F271:F276)</f>
        <v>0</v>
      </c>
      <c r="G269" s="309">
        <f>SUM(G271:G276)</f>
        <v>0</v>
      </c>
      <c r="H269" s="94">
        <f t="shared" ref="H269:T269" si="30">SUM(H271:H276)</f>
        <v>0</v>
      </c>
      <c r="I269" s="159">
        <f t="shared" si="30"/>
        <v>0</v>
      </c>
      <c r="J269" s="94">
        <f t="shared" si="30"/>
        <v>0</v>
      </c>
      <c r="K269" s="159">
        <f t="shared" si="30"/>
        <v>0</v>
      </c>
      <c r="L269" s="94">
        <f t="shared" si="30"/>
        <v>0</v>
      </c>
      <c r="M269" s="159">
        <f t="shared" si="30"/>
        <v>0</v>
      </c>
      <c r="N269" s="94">
        <f t="shared" si="30"/>
        <v>0</v>
      </c>
      <c r="O269" s="94">
        <f t="shared" si="30"/>
        <v>0</v>
      </c>
      <c r="P269" s="94">
        <f t="shared" si="30"/>
        <v>0</v>
      </c>
      <c r="Q269" s="94">
        <f t="shared" si="30"/>
        <v>0</v>
      </c>
      <c r="R269" s="94">
        <f t="shared" si="30"/>
        <v>0</v>
      </c>
      <c r="S269" s="94">
        <f t="shared" si="30"/>
        <v>0</v>
      </c>
      <c r="T269" s="309">
        <f t="shared" si="30"/>
        <v>0</v>
      </c>
      <c r="U269" s="52"/>
      <c r="V269" s="52"/>
      <c r="W269" s="209"/>
      <c r="X269" s="43"/>
      <c r="Y269" s="43"/>
      <c r="Z269" s="234"/>
      <c r="AA269" s="234"/>
      <c r="AB269" s="234"/>
      <c r="AC269" s="234"/>
      <c r="AD269" s="234"/>
      <c r="AE269" s="234"/>
      <c r="AF269" s="234"/>
      <c r="AG269" s="50"/>
      <c r="AH269" s="50"/>
      <c r="AI269" s="50"/>
      <c r="AJ269" s="50"/>
      <c r="AK269" s="50"/>
      <c r="AL269" s="50"/>
    </row>
    <row r="270" spans="2:38" s="48" customFormat="1" hidden="1" x14ac:dyDescent="0.25">
      <c r="B270" s="57" t="s">
        <v>127</v>
      </c>
      <c r="C270" s="49"/>
      <c r="D270" s="49"/>
      <c r="E270" s="169"/>
      <c r="F270" s="199">
        <f>SUM(G270:X270)</f>
        <v>0</v>
      </c>
      <c r="G270" s="202"/>
      <c r="H270" s="189"/>
      <c r="I270" s="186"/>
      <c r="J270" s="190"/>
      <c r="K270" s="199"/>
      <c r="L270" s="186"/>
      <c r="M270" s="189"/>
      <c r="N270" s="186"/>
      <c r="O270" s="186"/>
      <c r="P270" s="186"/>
      <c r="Q270" s="186"/>
      <c r="R270" s="186"/>
      <c r="S270" s="186"/>
      <c r="T270" s="199"/>
      <c r="U270" s="234"/>
      <c r="V270" s="234"/>
      <c r="W270" s="209"/>
      <c r="X270" s="43"/>
      <c r="Y270" s="43"/>
      <c r="Z270" s="234"/>
      <c r="AA270" s="234"/>
      <c r="AB270" s="234"/>
      <c r="AC270" s="234"/>
      <c r="AD270" s="234"/>
      <c r="AE270" s="234"/>
      <c r="AF270" s="234"/>
      <c r="AG270" s="50"/>
      <c r="AH270" s="50"/>
      <c r="AI270" s="50"/>
      <c r="AJ270" s="50"/>
      <c r="AK270" s="50"/>
      <c r="AL270" s="50"/>
    </row>
    <row r="271" spans="2:38" s="48" customFormat="1" hidden="1" x14ac:dyDescent="0.25">
      <c r="B271" s="57" t="s">
        <v>81</v>
      </c>
      <c r="C271" s="49"/>
      <c r="D271" s="49"/>
      <c r="E271" s="169"/>
      <c r="F271" s="355">
        <f t="shared" ref="F271:F275" si="31">SUM(G271:X271)</f>
        <v>0</v>
      </c>
      <c r="G271" s="222"/>
      <c r="H271" s="198"/>
      <c r="I271" s="197"/>
      <c r="J271" s="371"/>
      <c r="K271" s="355"/>
      <c r="L271" s="197"/>
      <c r="M271" s="198"/>
      <c r="N271" s="197"/>
      <c r="O271" s="197"/>
      <c r="P271" s="197"/>
      <c r="Q271" s="197"/>
      <c r="R271" s="197"/>
      <c r="S271" s="197"/>
      <c r="T271" s="355"/>
      <c r="U271" s="234"/>
      <c r="V271" s="234"/>
      <c r="W271" s="209"/>
      <c r="X271" s="43"/>
      <c r="Y271" s="43"/>
      <c r="Z271" s="234"/>
      <c r="AA271" s="234"/>
      <c r="AB271" s="234"/>
      <c r="AC271" s="234"/>
      <c r="AD271" s="234"/>
      <c r="AE271" s="234"/>
      <c r="AF271" s="234"/>
      <c r="AG271" s="50"/>
      <c r="AH271" s="50"/>
      <c r="AI271" s="50"/>
      <c r="AJ271" s="50"/>
      <c r="AK271" s="50"/>
      <c r="AL271" s="50"/>
    </row>
    <row r="272" spans="2:38" s="48" customFormat="1" hidden="1" x14ac:dyDescent="0.25">
      <c r="B272" s="57" t="s">
        <v>82</v>
      </c>
      <c r="C272" s="49"/>
      <c r="D272" s="49"/>
      <c r="E272" s="169"/>
      <c r="F272" s="200">
        <f t="shared" si="31"/>
        <v>0</v>
      </c>
      <c r="G272" s="195"/>
      <c r="H272" s="191"/>
      <c r="I272" s="187"/>
      <c r="J272" s="192"/>
      <c r="K272" s="200"/>
      <c r="L272" s="187"/>
      <c r="M272" s="191"/>
      <c r="N272" s="187"/>
      <c r="O272" s="187"/>
      <c r="P272" s="187"/>
      <c r="Q272" s="187"/>
      <c r="R272" s="187"/>
      <c r="S272" s="187"/>
      <c r="T272" s="200"/>
      <c r="U272" s="234"/>
      <c r="V272" s="234"/>
      <c r="W272" s="209"/>
      <c r="X272" s="43"/>
      <c r="Y272" s="43"/>
      <c r="Z272" s="234"/>
      <c r="AA272" s="234"/>
      <c r="AB272" s="234"/>
      <c r="AC272" s="234"/>
      <c r="AD272" s="234"/>
      <c r="AE272" s="234"/>
      <c r="AF272" s="234"/>
      <c r="AG272" s="50"/>
      <c r="AH272" s="50"/>
      <c r="AI272" s="50"/>
      <c r="AJ272" s="50"/>
      <c r="AK272" s="50"/>
      <c r="AL272" s="50"/>
    </row>
    <row r="273" spans="2:38" s="48" customFormat="1" hidden="1" x14ac:dyDescent="0.25">
      <c r="B273" s="57" t="s">
        <v>83</v>
      </c>
      <c r="C273" s="49"/>
      <c r="D273" s="49"/>
      <c r="E273" s="169"/>
      <c r="F273" s="200">
        <f t="shared" si="31"/>
        <v>0</v>
      </c>
      <c r="G273" s="195"/>
      <c r="H273" s="191"/>
      <c r="I273" s="187"/>
      <c r="J273" s="192"/>
      <c r="K273" s="200"/>
      <c r="L273" s="187"/>
      <c r="M273" s="191"/>
      <c r="N273" s="187"/>
      <c r="O273" s="187"/>
      <c r="P273" s="187"/>
      <c r="Q273" s="187"/>
      <c r="R273" s="187"/>
      <c r="S273" s="187"/>
      <c r="T273" s="200"/>
      <c r="U273" s="234"/>
      <c r="V273" s="234"/>
      <c r="W273" s="209"/>
      <c r="X273" s="43"/>
      <c r="Y273" s="43"/>
      <c r="Z273" s="234"/>
      <c r="AA273" s="234"/>
      <c r="AB273" s="234"/>
      <c r="AC273" s="234"/>
      <c r="AD273" s="234"/>
      <c r="AE273" s="234"/>
      <c r="AF273" s="234"/>
      <c r="AG273" s="50"/>
      <c r="AH273" s="50"/>
      <c r="AI273" s="50"/>
      <c r="AJ273" s="50"/>
      <c r="AK273" s="50"/>
      <c r="AL273" s="50"/>
    </row>
    <row r="274" spans="2:38" s="48" customFormat="1" hidden="1" x14ac:dyDescent="0.25">
      <c r="B274" s="57" t="s">
        <v>84</v>
      </c>
      <c r="C274" s="49"/>
      <c r="D274" s="49"/>
      <c r="E274" s="169"/>
      <c r="F274" s="200">
        <f t="shared" si="31"/>
        <v>0</v>
      </c>
      <c r="G274" s="195"/>
      <c r="H274" s="191"/>
      <c r="I274" s="187"/>
      <c r="J274" s="192"/>
      <c r="K274" s="200"/>
      <c r="L274" s="187"/>
      <c r="M274" s="191"/>
      <c r="N274" s="187"/>
      <c r="O274" s="187"/>
      <c r="P274" s="187"/>
      <c r="Q274" s="187"/>
      <c r="R274" s="187"/>
      <c r="S274" s="187"/>
      <c r="T274" s="200"/>
      <c r="U274" s="234"/>
      <c r="V274" s="234"/>
      <c r="W274" s="209"/>
      <c r="X274" s="43"/>
      <c r="Y274" s="43"/>
      <c r="Z274" s="234"/>
      <c r="AA274" s="234"/>
      <c r="AB274" s="234"/>
      <c r="AC274" s="234"/>
      <c r="AD274" s="234"/>
      <c r="AE274" s="234"/>
      <c r="AF274" s="234"/>
      <c r="AG274" s="50"/>
      <c r="AH274" s="50"/>
      <c r="AI274" s="50"/>
      <c r="AJ274" s="50"/>
      <c r="AK274" s="50"/>
      <c r="AL274" s="50"/>
    </row>
    <row r="275" spans="2:38" s="48" customFormat="1" hidden="1" x14ac:dyDescent="0.25">
      <c r="B275" s="57" t="s">
        <v>85</v>
      </c>
      <c r="C275" s="49"/>
      <c r="D275" s="49"/>
      <c r="E275" s="169"/>
      <c r="F275" s="200">
        <f t="shared" si="31"/>
        <v>0</v>
      </c>
      <c r="G275" s="195"/>
      <c r="H275" s="191"/>
      <c r="I275" s="187"/>
      <c r="J275" s="192"/>
      <c r="K275" s="200"/>
      <c r="L275" s="187"/>
      <c r="M275" s="191"/>
      <c r="N275" s="187"/>
      <c r="O275" s="187"/>
      <c r="P275" s="187"/>
      <c r="Q275" s="187"/>
      <c r="R275" s="187"/>
      <c r="S275" s="187"/>
      <c r="T275" s="200"/>
      <c r="U275" s="234"/>
      <c r="V275" s="234"/>
      <c r="W275" s="209"/>
      <c r="X275" s="43"/>
      <c r="Y275" s="43"/>
      <c r="Z275" s="234"/>
      <c r="AA275" s="234"/>
      <c r="AB275" s="234"/>
      <c r="AC275" s="234"/>
      <c r="AD275" s="234"/>
      <c r="AE275" s="234"/>
      <c r="AF275" s="234"/>
      <c r="AG275" s="50"/>
      <c r="AH275" s="50"/>
      <c r="AI275" s="50"/>
      <c r="AJ275" s="50"/>
      <c r="AK275" s="50"/>
      <c r="AL275" s="50"/>
    </row>
    <row r="276" spans="2:38" s="48" customFormat="1" hidden="1" x14ac:dyDescent="0.25">
      <c r="B276" s="57" t="s">
        <v>87</v>
      </c>
      <c r="C276" s="49"/>
      <c r="D276" s="49"/>
      <c r="E276" s="169"/>
      <c r="F276" s="201">
        <f>SUM(G276:X276)</f>
        <v>0</v>
      </c>
      <c r="G276" s="196"/>
      <c r="H276" s="193"/>
      <c r="I276" s="188"/>
      <c r="J276" s="194"/>
      <c r="K276" s="201"/>
      <c r="L276" s="188"/>
      <c r="M276" s="193"/>
      <c r="N276" s="188"/>
      <c r="O276" s="188"/>
      <c r="P276" s="188"/>
      <c r="Q276" s="188"/>
      <c r="R276" s="188"/>
      <c r="S276" s="188"/>
      <c r="T276" s="201"/>
      <c r="U276" s="234"/>
      <c r="V276" s="234"/>
      <c r="W276" s="209"/>
      <c r="X276" s="43"/>
      <c r="Y276" s="43"/>
      <c r="Z276" s="234"/>
      <c r="AA276" s="234"/>
      <c r="AB276" s="234"/>
      <c r="AC276" s="234"/>
      <c r="AD276" s="234"/>
      <c r="AE276" s="234"/>
      <c r="AF276" s="234"/>
      <c r="AG276" s="50"/>
      <c r="AH276" s="50"/>
      <c r="AI276" s="50"/>
      <c r="AJ276" s="50"/>
      <c r="AK276" s="50"/>
      <c r="AL276" s="50"/>
    </row>
    <row r="277" spans="2:38" s="48" customFormat="1" hidden="1" x14ac:dyDescent="0.25">
      <c r="B277" s="61"/>
      <c r="C277" s="55"/>
      <c r="D277" s="55"/>
      <c r="E277" s="226"/>
      <c r="F277" s="87"/>
      <c r="G277" s="55"/>
      <c r="H277" s="87"/>
      <c r="I277" s="99"/>
      <c r="J277" s="87"/>
      <c r="K277" s="99"/>
      <c r="L277" s="23"/>
      <c r="M277" s="99"/>
      <c r="N277" s="23"/>
      <c r="O277" s="23"/>
      <c r="P277" s="23"/>
      <c r="Q277" s="23"/>
      <c r="R277" s="23"/>
      <c r="S277" s="23"/>
      <c r="T277" s="111"/>
      <c r="U277" s="234"/>
      <c r="V277" s="234"/>
      <c r="W277" s="209"/>
      <c r="X277" s="43"/>
      <c r="Y277" s="43"/>
      <c r="Z277" s="234"/>
      <c r="AA277" s="234"/>
      <c r="AB277" s="234"/>
      <c r="AC277" s="234"/>
      <c r="AD277" s="234"/>
      <c r="AE277" s="234"/>
      <c r="AF277" s="234"/>
      <c r="AG277" s="50"/>
      <c r="AH277" s="50"/>
      <c r="AI277" s="50"/>
      <c r="AJ277" s="50"/>
      <c r="AK277" s="50"/>
      <c r="AL277" s="50"/>
    </row>
    <row r="278" spans="2:38" s="48" customFormat="1" x14ac:dyDescent="0.25">
      <c r="B278" s="51"/>
      <c r="C278" s="38"/>
      <c r="D278" s="38"/>
      <c r="E278" s="234"/>
      <c r="F278" s="234"/>
      <c r="G278" s="234"/>
      <c r="H278" s="234"/>
      <c r="I278" s="234"/>
      <c r="J278" s="234"/>
      <c r="K278" s="43"/>
      <c r="L278" s="209"/>
      <c r="M278" s="209"/>
      <c r="N278" s="209"/>
      <c r="O278" s="209"/>
      <c r="P278" s="209"/>
      <c r="Q278" s="209"/>
      <c r="R278" s="209"/>
      <c r="S278" s="209"/>
      <c r="T278" s="209"/>
      <c r="U278" s="49"/>
      <c r="V278" s="49"/>
      <c r="W278" s="209"/>
      <c r="X278" s="43"/>
      <c r="Y278" s="43"/>
      <c r="Z278" s="234"/>
      <c r="AA278" s="234"/>
      <c r="AB278" s="234"/>
      <c r="AC278" s="234"/>
      <c r="AD278" s="234"/>
      <c r="AE278" s="234"/>
      <c r="AF278" s="234"/>
      <c r="AG278" s="50"/>
      <c r="AH278" s="50"/>
      <c r="AI278" s="50"/>
      <c r="AJ278" s="50"/>
      <c r="AK278" s="50"/>
      <c r="AL278" s="50"/>
    </row>
    <row r="279" spans="2:38" s="48" customFormat="1" x14ac:dyDescent="0.25">
      <c r="B279" s="51"/>
      <c r="C279" s="38"/>
      <c r="D279" s="38"/>
      <c r="E279" s="234"/>
      <c r="F279" s="234"/>
      <c r="G279" s="234"/>
      <c r="H279" s="234"/>
      <c r="I279" s="234"/>
      <c r="J279" s="234"/>
      <c r="K279" s="43"/>
      <c r="L279" s="209"/>
      <c r="M279" s="209"/>
      <c r="N279" s="209"/>
      <c r="O279" s="209"/>
      <c r="P279" s="209"/>
      <c r="Q279" s="209"/>
      <c r="R279" s="209"/>
      <c r="S279" s="209"/>
      <c r="T279" s="209"/>
      <c r="U279" s="209"/>
      <c r="V279" s="209"/>
      <c r="W279" s="209"/>
      <c r="X279" s="43"/>
      <c r="Y279" s="43"/>
      <c r="Z279" s="234"/>
      <c r="AA279" s="234"/>
      <c r="AB279" s="234"/>
      <c r="AC279" s="234"/>
      <c r="AD279" s="234"/>
      <c r="AE279" s="234"/>
      <c r="AF279" s="234"/>
      <c r="AG279" s="50"/>
      <c r="AH279" s="50"/>
      <c r="AI279" s="50"/>
      <c r="AJ279" s="50"/>
      <c r="AK279" s="50"/>
      <c r="AL279" s="50"/>
    </row>
    <row r="280" spans="2:38" x14ac:dyDescent="0.25">
      <c r="B280" s="3" t="s">
        <v>390</v>
      </c>
      <c r="G280" s="234"/>
    </row>
    <row r="281" spans="2:38" x14ac:dyDescent="0.25">
      <c r="B281" s="430" t="s">
        <v>392</v>
      </c>
      <c r="C281" s="430"/>
      <c r="D281" s="430"/>
      <c r="E281" s="430"/>
      <c r="F281" s="430"/>
      <c r="G281" s="430"/>
      <c r="H281" s="430"/>
      <c r="I281" s="430"/>
      <c r="J281" s="430"/>
      <c r="K281" s="430"/>
    </row>
    <row r="282" spans="2:38" x14ac:dyDescent="0.25">
      <c r="B282" s="1" t="s">
        <v>467</v>
      </c>
    </row>
    <row r="283" spans="2:38" x14ac:dyDescent="0.25">
      <c r="B283" s="1" t="s">
        <v>468</v>
      </c>
    </row>
    <row r="284" spans="2:38" x14ac:dyDescent="0.25">
      <c r="B284" s="1" t="s">
        <v>469</v>
      </c>
    </row>
    <row r="285" spans="2:38" x14ac:dyDescent="0.25">
      <c r="B285" s="1" t="s">
        <v>470</v>
      </c>
    </row>
    <row r="286" spans="2:38" x14ac:dyDescent="0.25">
      <c r="B286" s="1" t="s">
        <v>415</v>
      </c>
    </row>
    <row r="287" spans="2:38" x14ac:dyDescent="0.25">
      <c r="B287" s="1" t="s">
        <v>426</v>
      </c>
    </row>
    <row r="288" spans="2:38" x14ac:dyDescent="0.25">
      <c r="B288" s="1" t="s">
        <v>471</v>
      </c>
    </row>
    <row r="289" spans="2:2" x14ac:dyDescent="0.25">
      <c r="B289" s="1" t="s">
        <v>472</v>
      </c>
    </row>
    <row r="290" spans="2:2" x14ac:dyDescent="0.25">
      <c r="B290" s="1" t="s">
        <v>493</v>
      </c>
    </row>
    <row r="291" spans="2:2" x14ac:dyDescent="0.25">
      <c r="B291" s="1" t="s">
        <v>473</v>
      </c>
    </row>
    <row r="292" spans="2:2" x14ac:dyDescent="0.25">
      <c r="B292" s="1" t="s">
        <v>474</v>
      </c>
    </row>
    <row r="294" spans="2:2" x14ac:dyDescent="0.25">
      <c r="B294" s="386"/>
    </row>
  </sheetData>
  <mergeCells count="35">
    <mergeCell ref="B9:E9"/>
    <mergeCell ref="B93:L93"/>
    <mergeCell ref="B96:D97"/>
    <mergeCell ref="E96:F97"/>
    <mergeCell ref="G97:O97"/>
    <mergeCell ref="G96:O96"/>
    <mergeCell ref="B2:C2"/>
    <mergeCell ref="B6:N6"/>
    <mergeCell ref="B8:E8"/>
    <mergeCell ref="F8:G8"/>
    <mergeCell ref="H8:I8"/>
    <mergeCell ref="J8:K8"/>
    <mergeCell ref="L8:M8"/>
    <mergeCell ref="N8:Q8"/>
    <mergeCell ref="N190:N191"/>
    <mergeCell ref="O190:O191"/>
    <mergeCell ref="P190:P191"/>
    <mergeCell ref="Q190:Q191"/>
    <mergeCell ref="B281:K281"/>
    <mergeCell ref="R190:R191"/>
    <mergeCell ref="Z101:Z102"/>
    <mergeCell ref="U190:U191"/>
    <mergeCell ref="V190:V191"/>
    <mergeCell ref="B189:D190"/>
    <mergeCell ref="E189:F190"/>
    <mergeCell ref="G189:T189"/>
    <mergeCell ref="G190:G191"/>
    <mergeCell ref="H190:H191"/>
    <mergeCell ref="I190:I191"/>
    <mergeCell ref="J190:J191"/>
    <mergeCell ref="K190:K191"/>
    <mergeCell ref="L190:L191"/>
    <mergeCell ref="S190:S191"/>
    <mergeCell ref="T190:T191"/>
    <mergeCell ref="M190:M191"/>
  </mergeCells>
  <pageMargins left="0.7" right="0.7" top="0.75" bottom="0.75" header="0.3" footer="0.3"/>
  <pageSetup paperSize="8" scale="75" orientation="landscape" r:id="rId1"/>
  <rowBreaks count="1" manualBreakCount="1">
    <brk id="186" max="16383" man="1"/>
  </rowBreaks>
  <ignoredErrors>
    <ignoredError sqref="F100 F111 H11:I11 J11 L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39D0-8FA7-459B-BE62-FD03D0D4E7E1}">
  <dimension ref="B2:AK105"/>
  <sheetViews>
    <sheetView showGridLines="0" workbookViewId="0">
      <selection activeCell="E47" sqref="E47"/>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8.33203125" style="17" customWidth="1"/>
    <col min="8" max="8" width="16.77734375" style="234" customWidth="1"/>
    <col min="9" max="9" width="14.109375" style="234" customWidth="1"/>
    <col min="10" max="10" width="14.5546875" style="234" customWidth="1"/>
    <col min="11" max="11" width="15.88671875" style="234" customWidth="1"/>
    <col min="12" max="12" width="14.77734375" style="234" customWidth="1"/>
    <col min="13" max="13" width="14" style="234" customWidth="1"/>
    <col min="14" max="14" width="15.21875" style="234" customWidth="1"/>
    <col min="15" max="15" width="14.33203125" style="43" customWidth="1"/>
    <col min="16" max="16" width="11.109375" style="43" customWidth="1"/>
    <col min="17" max="17" width="12.33203125" style="43" customWidth="1"/>
    <col min="18" max="18" width="12.109375" style="43" customWidth="1"/>
    <col min="19" max="19" width="10.5546875" style="43" customWidth="1"/>
    <col min="20" max="20" width="8.88671875" style="43"/>
    <col min="21" max="21" width="9.5546875" style="43" customWidth="1"/>
    <col min="22" max="23" width="1.109375" style="43" customWidth="1"/>
    <col min="24" max="24" width="12.21875" style="43" customWidth="1"/>
    <col min="25" max="25" width="12.6640625" style="43" customWidth="1"/>
    <col min="26" max="27" width="12.44140625" style="43" customWidth="1"/>
    <col min="28" max="28" width="11.77734375" style="234" customWidth="1"/>
    <col min="29" max="29" width="12.33203125" style="234" customWidth="1"/>
    <col min="30" max="30" width="12.77734375" style="234" customWidth="1"/>
    <col min="31" max="31" width="11.88671875" style="234" customWidth="1"/>
    <col min="32" max="32" width="11.6640625" style="17" customWidth="1"/>
    <col min="33" max="33" width="10.5546875" style="17" customWidth="1"/>
    <col min="34" max="34" width="11.6640625" style="17" customWidth="1"/>
    <col min="35" max="35" width="10.6640625" style="17" customWidth="1"/>
    <col min="36" max="36" width="0.77734375" style="17" customWidth="1"/>
    <col min="37" max="37" width="12.44140625" style="17" customWidth="1"/>
    <col min="38" max="16384" width="8.88671875" style="1"/>
  </cols>
  <sheetData>
    <row r="2" spans="2:21" ht="18.600000000000001" customHeight="1" x14ac:dyDescent="0.25">
      <c r="B2" s="431" t="s">
        <v>477</v>
      </c>
      <c r="C2" s="432"/>
      <c r="E2" s="50"/>
    </row>
    <row r="3" spans="2:21" ht="20.399999999999999" customHeight="1" x14ac:dyDescent="0.3">
      <c r="B3" s="5" t="s">
        <v>376</v>
      </c>
      <c r="E3" s="1"/>
    </row>
    <row r="4" spans="2:21" ht="16.2" customHeight="1" x14ac:dyDescent="0.25">
      <c r="B4" s="3" t="s">
        <v>417</v>
      </c>
      <c r="E4" s="1"/>
    </row>
    <row r="6" spans="2:21" ht="13.2" customHeight="1" x14ac:dyDescent="0.25">
      <c r="B6" s="415" t="s">
        <v>95</v>
      </c>
      <c r="C6" s="416"/>
      <c r="D6" s="417"/>
      <c r="E6" s="421" t="s">
        <v>378</v>
      </c>
      <c r="F6" s="422"/>
      <c r="G6" s="453" t="s">
        <v>396</v>
      </c>
      <c r="H6" s="454"/>
      <c r="I6" s="454"/>
      <c r="J6" s="454"/>
      <c r="K6" s="454"/>
      <c r="L6" s="454"/>
      <c r="M6" s="454"/>
      <c r="N6" s="455"/>
      <c r="O6" s="356"/>
      <c r="P6" s="356"/>
      <c r="Q6" s="356"/>
      <c r="R6" s="356"/>
      <c r="S6" s="356"/>
      <c r="T6" s="356"/>
      <c r="U6" s="356"/>
    </row>
    <row r="7" spans="2:21" x14ac:dyDescent="0.25">
      <c r="B7" s="418"/>
      <c r="C7" s="419"/>
      <c r="D7" s="420"/>
      <c r="E7" s="423"/>
      <c r="F7" s="424"/>
      <c r="G7" s="456"/>
      <c r="H7" s="457"/>
      <c r="I7" s="457"/>
      <c r="J7" s="457"/>
      <c r="K7" s="457"/>
      <c r="L7" s="457"/>
      <c r="M7" s="457"/>
      <c r="N7" s="458"/>
      <c r="O7" s="356"/>
      <c r="P7" s="356"/>
      <c r="Q7" s="356"/>
      <c r="R7" s="356"/>
      <c r="S7" s="356"/>
      <c r="T7" s="356"/>
      <c r="U7" s="356"/>
    </row>
    <row r="8" spans="2:21" ht="96.6" customHeight="1" x14ac:dyDescent="0.25">
      <c r="B8" s="459"/>
      <c r="C8" s="460"/>
      <c r="D8" s="461"/>
      <c r="E8" s="237" t="s">
        <v>132</v>
      </c>
      <c r="F8" s="353" t="s">
        <v>97</v>
      </c>
      <c r="G8" s="361" t="s">
        <v>418</v>
      </c>
      <c r="H8" s="229" t="s">
        <v>419</v>
      </c>
      <c r="I8" s="229" t="s">
        <v>420</v>
      </c>
      <c r="J8" s="353" t="s">
        <v>421</v>
      </c>
      <c r="K8" s="353" t="s">
        <v>422</v>
      </c>
      <c r="L8" s="353" t="s">
        <v>423</v>
      </c>
      <c r="M8" s="353" t="s">
        <v>424</v>
      </c>
      <c r="N8" s="353" t="s">
        <v>478</v>
      </c>
      <c r="O8" s="360"/>
      <c r="P8" s="360"/>
      <c r="Q8" s="360"/>
      <c r="R8" s="360"/>
      <c r="S8" s="360"/>
      <c r="T8" s="360"/>
      <c r="U8" s="360"/>
    </row>
    <row r="9" spans="2:21" x14ac:dyDescent="0.25">
      <c r="B9" s="57"/>
      <c r="C9" s="49"/>
      <c r="D9" s="52"/>
      <c r="E9" s="21"/>
      <c r="F9" s="234"/>
      <c r="G9" s="89"/>
      <c r="H9" s="87"/>
      <c r="I9" s="81"/>
      <c r="J9" s="87"/>
      <c r="K9" s="87"/>
      <c r="L9" s="87"/>
      <c r="M9" s="87"/>
      <c r="N9" s="87"/>
    </row>
    <row r="10" spans="2:21" x14ac:dyDescent="0.25">
      <c r="B10" s="73" t="s">
        <v>8</v>
      </c>
      <c r="C10" s="74"/>
      <c r="D10" s="75"/>
      <c r="E10" s="166">
        <f t="shared" ref="E10:N10" si="0">E18+E24+E37+E50+E56+E85+E12</f>
        <v>10</v>
      </c>
      <c r="F10" s="76">
        <f t="shared" si="0"/>
        <v>12</v>
      </c>
      <c r="G10" s="77">
        <f t="shared" si="0"/>
        <v>1</v>
      </c>
      <c r="H10" s="77">
        <f t="shared" si="0"/>
        <v>1</v>
      </c>
      <c r="I10" s="77">
        <f t="shared" si="0"/>
        <v>2</v>
      </c>
      <c r="J10" s="77">
        <f t="shared" si="0"/>
        <v>1</v>
      </c>
      <c r="K10" s="77">
        <f t="shared" si="0"/>
        <v>1</v>
      </c>
      <c r="L10" s="300">
        <f t="shared" si="0"/>
        <v>4</v>
      </c>
      <c r="M10" s="77">
        <f t="shared" si="0"/>
        <v>1</v>
      </c>
      <c r="N10" s="77">
        <f t="shared" si="0"/>
        <v>1</v>
      </c>
      <c r="O10" s="47"/>
      <c r="P10" s="47"/>
      <c r="Q10" s="47"/>
      <c r="R10" s="47"/>
      <c r="S10" s="47"/>
      <c r="T10" s="47"/>
      <c r="U10" s="47"/>
    </row>
    <row r="11" spans="2:21" x14ac:dyDescent="0.25">
      <c r="B11" s="132" t="s">
        <v>7</v>
      </c>
      <c r="C11" s="170"/>
      <c r="D11" s="171"/>
      <c r="E11" s="25"/>
      <c r="F11" s="25"/>
      <c r="G11" s="89"/>
      <c r="H11" s="21"/>
      <c r="I11" s="125"/>
      <c r="J11" s="21"/>
      <c r="K11" s="125"/>
      <c r="L11" s="21"/>
      <c r="M11" s="125"/>
      <c r="N11" s="21"/>
    </row>
    <row r="12" spans="2:21" x14ac:dyDescent="0.25">
      <c r="B12" s="58" t="s">
        <v>122</v>
      </c>
      <c r="C12" s="91"/>
      <c r="D12" s="52"/>
      <c r="E12" s="354">
        <v>2</v>
      </c>
      <c r="F12" s="129">
        <f>SUM(F13:F16)</f>
        <v>1</v>
      </c>
      <c r="G12" s="92">
        <f>SUM(G13:G16)</f>
        <v>1</v>
      </c>
      <c r="H12" s="92">
        <f t="shared" ref="H12:N12" si="1">SUM(H13:H16)</f>
        <v>0</v>
      </c>
      <c r="I12" s="52">
        <f t="shared" si="1"/>
        <v>0</v>
      </c>
      <c r="J12" s="92">
        <f t="shared" si="1"/>
        <v>0</v>
      </c>
      <c r="K12" s="52">
        <f t="shared" si="1"/>
        <v>0</v>
      </c>
      <c r="L12" s="92">
        <f t="shared" si="1"/>
        <v>0</v>
      </c>
      <c r="M12" s="52">
        <f t="shared" si="1"/>
        <v>0</v>
      </c>
      <c r="N12" s="92">
        <f t="shared" si="1"/>
        <v>0</v>
      </c>
      <c r="O12" s="47"/>
      <c r="P12" s="47"/>
      <c r="Q12" s="47"/>
      <c r="R12" s="47"/>
      <c r="S12" s="47"/>
      <c r="T12" s="47"/>
      <c r="U12" s="47"/>
    </row>
    <row r="13" spans="2:21" x14ac:dyDescent="0.25">
      <c r="B13" s="54" t="s">
        <v>124</v>
      </c>
      <c r="C13" s="56"/>
      <c r="D13" s="47"/>
      <c r="E13" s="26"/>
      <c r="F13" s="199">
        <f>SUM(G13:W13)</f>
        <v>1</v>
      </c>
      <c r="G13" s="186">
        <v>1</v>
      </c>
      <c r="H13" s="186"/>
      <c r="I13" s="189"/>
      <c r="J13" s="186"/>
      <c r="K13" s="189"/>
      <c r="L13" s="186"/>
      <c r="M13" s="189"/>
      <c r="N13" s="186"/>
    </row>
    <row r="14" spans="2:21" x14ac:dyDescent="0.25">
      <c r="B14" s="54" t="s">
        <v>6</v>
      </c>
      <c r="C14" s="56"/>
      <c r="D14" s="47"/>
      <c r="E14" s="26"/>
      <c r="F14" s="200">
        <f>SUM(G14:W14)</f>
        <v>0</v>
      </c>
      <c r="G14" s="187"/>
      <c r="H14" s="187"/>
      <c r="I14" s="191"/>
      <c r="J14" s="187"/>
      <c r="K14" s="191"/>
      <c r="L14" s="187"/>
      <c r="M14" s="191"/>
      <c r="N14" s="187"/>
    </row>
    <row r="15" spans="2:21" hidden="1" x14ac:dyDescent="0.25">
      <c r="B15" s="54" t="s">
        <v>3</v>
      </c>
      <c r="C15" s="56"/>
      <c r="D15" s="47"/>
      <c r="E15" s="26"/>
      <c r="F15" s="200">
        <f>SUM(G15:W15)</f>
        <v>0</v>
      </c>
      <c r="G15" s="187"/>
      <c r="H15" s="187"/>
      <c r="I15" s="191"/>
      <c r="J15" s="187"/>
      <c r="K15" s="191"/>
      <c r="L15" s="187"/>
      <c r="M15" s="191"/>
      <c r="N15" s="187"/>
    </row>
    <row r="16" spans="2:21" hidden="1" x14ac:dyDescent="0.25">
      <c r="B16" s="54" t="s">
        <v>23</v>
      </c>
      <c r="C16" s="56"/>
      <c r="D16" s="47"/>
      <c r="E16" s="26"/>
      <c r="F16" s="201">
        <f>SUM(G16:W16)</f>
        <v>0</v>
      </c>
      <c r="G16" s="188"/>
      <c r="H16" s="188"/>
      <c r="I16" s="193"/>
      <c r="J16" s="188"/>
      <c r="K16" s="193"/>
      <c r="L16" s="188"/>
      <c r="M16" s="193"/>
      <c r="N16" s="188"/>
    </row>
    <row r="17" spans="2:21" x14ac:dyDescent="0.25">
      <c r="B17" s="57" t="s">
        <v>7</v>
      </c>
      <c r="C17" s="49"/>
      <c r="D17" s="52"/>
      <c r="E17" s="26"/>
      <c r="F17" s="25"/>
      <c r="G17" s="89"/>
      <c r="H17" s="21"/>
      <c r="I17" s="125"/>
      <c r="J17" s="21"/>
      <c r="K17" s="125"/>
      <c r="L17" s="21"/>
      <c r="M17" s="125"/>
      <c r="N17" s="21"/>
    </row>
    <row r="18" spans="2:21" x14ac:dyDescent="0.25">
      <c r="B18" s="58" t="s">
        <v>27</v>
      </c>
      <c r="C18" s="91"/>
      <c r="D18" s="52"/>
      <c r="E18" s="354">
        <v>1</v>
      </c>
      <c r="F18" s="309">
        <f t="shared" ref="F18:N18" si="2">SUM(F19:F22)</f>
        <v>0</v>
      </c>
      <c r="G18" s="94">
        <f t="shared" si="2"/>
        <v>0</v>
      </c>
      <c r="H18" s="94">
        <f t="shared" si="2"/>
        <v>0</v>
      </c>
      <c r="I18" s="159">
        <f t="shared" si="2"/>
        <v>0</v>
      </c>
      <c r="J18" s="94">
        <f t="shared" si="2"/>
        <v>0</v>
      </c>
      <c r="K18" s="159">
        <f t="shared" si="2"/>
        <v>0</v>
      </c>
      <c r="L18" s="94">
        <f t="shared" si="2"/>
        <v>0</v>
      </c>
      <c r="M18" s="159">
        <f t="shared" si="2"/>
        <v>0</v>
      </c>
      <c r="N18" s="94">
        <f t="shared" si="2"/>
        <v>0</v>
      </c>
      <c r="O18" s="47"/>
      <c r="P18" s="47"/>
      <c r="Q18" s="47"/>
      <c r="R18" s="47"/>
      <c r="S18" s="47"/>
      <c r="T18" s="47"/>
      <c r="U18" s="47"/>
    </row>
    <row r="19" spans="2:21" hidden="1" x14ac:dyDescent="0.25">
      <c r="B19" s="57" t="s">
        <v>1</v>
      </c>
      <c r="C19" s="91"/>
      <c r="D19" s="52"/>
      <c r="E19" s="129"/>
      <c r="F19" s="179">
        <f>SUM(G19:W19)</f>
        <v>0</v>
      </c>
      <c r="G19" s="82"/>
      <c r="H19" s="108"/>
      <c r="I19" s="158"/>
      <c r="J19" s="108"/>
      <c r="K19" s="158"/>
      <c r="L19" s="108"/>
      <c r="M19" s="158"/>
      <c r="N19" s="108"/>
      <c r="O19" s="47"/>
      <c r="P19" s="47"/>
      <c r="Q19" s="47"/>
      <c r="R19" s="47"/>
      <c r="S19" s="47"/>
      <c r="T19" s="47"/>
      <c r="U19" s="47"/>
    </row>
    <row r="20" spans="2:21" x14ac:dyDescent="0.25">
      <c r="B20" s="57" t="s">
        <v>2</v>
      </c>
      <c r="C20" s="91"/>
      <c r="D20" s="52"/>
      <c r="E20" s="129"/>
      <c r="F20" s="180">
        <f>SUM(G20:W20)</f>
        <v>0</v>
      </c>
      <c r="G20" s="83"/>
      <c r="H20" s="109"/>
      <c r="I20" s="155"/>
      <c r="J20" s="109"/>
      <c r="K20" s="155"/>
      <c r="L20" s="109"/>
      <c r="M20" s="155"/>
      <c r="N20" s="109"/>
      <c r="O20" s="47"/>
      <c r="P20" s="47"/>
      <c r="Q20" s="47"/>
      <c r="R20" s="47"/>
      <c r="S20" s="47"/>
      <c r="T20" s="47"/>
      <c r="U20" s="47"/>
    </row>
    <row r="21" spans="2:21" hidden="1" x14ac:dyDescent="0.25">
      <c r="B21" s="57" t="s">
        <v>24</v>
      </c>
      <c r="C21" s="49"/>
      <c r="D21" s="49"/>
      <c r="E21" s="26"/>
      <c r="F21" s="180">
        <f>SUM(G21:W21)</f>
        <v>0</v>
      </c>
      <c r="G21" s="83"/>
      <c r="H21" s="83"/>
      <c r="I21" s="101"/>
      <c r="J21" s="83"/>
      <c r="K21" s="101"/>
      <c r="L21" s="83"/>
      <c r="M21" s="101"/>
      <c r="N21" s="83"/>
    </row>
    <row r="22" spans="2:21" hidden="1" x14ac:dyDescent="0.25">
      <c r="B22" s="57" t="s">
        <v>25</v>
      </c>
      <c r="C22" s="49"/>
      <c r="D22" s="49"/>
      <c r="E22" s="26"/>
      <c r="F22" s="181">
        <f>SUM(G22:W22)</f>
        <v>0</v>
      </c>
      <c r="G22" s="88"/>
      <c r="H22" s="84"/>
      <c r="I22" s="104"/>
      <c r="J22" s="84"/>
      <c r="K22" s="104"/>
      <c r="L22" s="84"/>
      <c r="M22" s="104"/>
      <c r="N22" s="84"/>
    </row>
    <row r="23" spans="2:21" x14ac:dyDescent="0.25">
      <c r="B23" s="57"/>
      <c r="C23" s="49"/>
      <c r="D23" s="49"/>
      <c r="E23" s="26"/>
      <c r="F23" s="25"/>
      <c r="G23" s="89"/>
      <c r="H23" s="21"/>
      <c r="I23" s="125"/>
      <c r="J23" s="21"/>
      <c r="K23" s="125"/>
      <c r="L23" s="21"/>
      <c r="M23" s="125"/>
      <c r="N23" s="21"/>
    </row>
    <row r="24" spans="2:21" x14ac:dyDescent="0.25">
      <c r="B24" s="58" t="s">
        <v>96</v>
      </c>
      <c r="C24" s="91"/>
      <c r="D24" s="52"/>
      <c r="E24" s="129">
        <v>1</v>
      </c>
      <c r="F24" s="309">
        <f t="shared" ref="F24:N24" si="3">SUM(F25:F35)</f>
        <v>2</v>
      </c>
      <c r="G24" s="94">
        <f t="shared" si="3"/>
        <v>0</v>
      </c>
      <c r="H24" s="94">
        <f t="shared" si="3"/>
        <v>1</v>
      </c>
      <c r="I24" s="159">
        <f t="shared" si="3"/>
        <v>1</v>
      </c>
      <c r="J24" s="94">
        <f t="shared" si="3"/>
        <v>0</v>
      </c>
      <c r="K24" s="159">
        <f t="shared" si="3"/>
        <v>0</v>
      </c>
      <c r="L24" s="94">
        <f t="shared" si="3"/>
        <v>0</v>
      </c>
      <c r="M24" s="159">
        <f t="shared" si="3"/>
        <v>0</v>
      </c>
      <c r="N24" s="94">
        <f t="shared" si="3"/>
        <v>0</v>
      </c>
      <c r="O24" s="47"/>
      <c r="P24" s="47"/>
      <c r="Q24" s="47"/>
      <c r="R24" s="47"/>
      <c r="S24" s="47"/>
      <c r="T24" s="47"/>
      <c r="U24" s="47"/>
    </row>
    <row r="25" spans="2:21" hidden="1" x14ac:dyDescent="0.25">
      <c r="B25" s="57" t="s">
        <v>33</v>
      </c>
      <c r="C25" s="49"/>
      <c r="D25" s="49"/>
      <c r="E25" s="26"/>
      <c r="F25" s="199">
        <f t="shared" ref="F25:F35" si="4">SUM(G25:W25)</f>
        <v>0</v>
      </c>
      <c r="G25" s="186"/>
      <c r="H25" s="186"/>
      <c r="I25" s="189"/>
      <c r="J25" s="186"/>
      <c r="K25" s="189"/>
      <c r="L25" s="186"/>
      <c r="M25" s="189"/>
      <c r="N25" s="186"/>
    </row>
    <row r="26" spans="2:21" hidden="1" x14ac:dyDescent="0.25">
      <c r="B26" s="57" t="s">
        <v>34</v>
      </c>
      <c r="C26" s="49"/>
      <c r="D26" s="49"/>
      <c r="E26" s="26"/>
      <c r="F26" s="200">
        <f t="shared" si="4"/>
        <v>0</v>
      </c>
      <c r="G26" s="187"/>
      <c r="H26" s="187"/>
      <c r="I26" s="191"/>
      <c r="J26" s="187"/>
      <c r="K26" s="191"/>
      <c r="L26" s="187"/>
      <c r="M26" s="191"/>
      <c r="N26" s="187"/>
    </row>
    <row r="27" spans="2:21" hidden="1" x14ac:dyDescent="0.25">
      <c r="B27" s="57" t="s">
        <v>35</v>
      </c>
      <c r="C27" s="49"/>
      <c r="D27" s="49"/>
      <c r="E27" s="26"/>
      <c r="F27" s="200">
        <f t="shared" si="4"/>
        <v>0</v>
      </c>
      <c r="G27" s="187"/>
      <c r="H27" s="187"/>
      <c r="I27" s="191"/>
      <c r="J27" s="187"/>
      <c r="K27" s="191"/>
      <c r="L27" s="187"/>
      <c r="M27" s="191"/>
      <c r="N27" s="187"/>
    </row>
    <row r="28" spans="2:21" hidden="1" x14ac:dyDescent="0.25">
      <c r="B28" s="57" t="s">
        <v>36</v>
      </c>
      <c r="C28" s="49"/>
      <c r="D28" s="49"/>
      <c r="E28" s="26"/>
      <c r="F28" s="200">
        <f t="shared" si="4"/>
        <v>0</v>
      </c>
      <c r="G28" s="187"/>
      <c r="H28" s="187"/>
      <c r="I28" s="191"/>
      <c r="J28" s="187"/>
      <c r="K28" s="191"/>
      <c r="L28" s="187"/>
      <c r="M28" s="191"/>
      <c r="N28" s="187"/>
    </row>
    <row r="29" spans="2:21" hidden="1" x14ac:dyDescent="0.25">
      <c r="B29" s="57" t="s">
        <v>154</v>
      </c>
      <c r="C29" s="49"/>
      <c r="D29" s="49"/>
      <c r="E29" s="26"/>
      <c r="F29" s="200">
        <f t="shared" si="4"/>
        <v>0</v>
      </c>
      <c r="G29" s="187"/>
      <c r="H29" s="187"/>
      <c r="I29" s="191"/>
      <c r="J29" s="187"/>
      <c r="K29" s="191"/>
      <c r="L29" s="187"/>
      <c r="M29" s="191"/>
      <c r="N29" s="187"/>
    </row>
    <row r="30" spans="2:21" ht="13.8" customHeight="1" x14ac:dyDescent="0.25">
      <c r="B30" s="57" t="s">
        <v>38</v>
      </c>
      <c r="C30" s="49"/>
      <c r="D30" s="49"/>
      <c r="E30" s="26"/>
      <c r="F30" s="200">
        <f t="shared" si="4"/>
        <v>2</v>
      </c>
      <c r="G30" s="187"/>
      <c r="H30" s="187">
        <v>1</v>
      </c>
      <c r="I30" s="191">
        <v>1</v>
      </c>
      <c r="J30" s="187"/>
      <c r="K30" s="191"/>
      <c r="L30" s="187"/>
      <c r="M30" s="191"/>
      <c r="N30" s="187"/>
    </row>
    <row r="31" spans="2:21" hidden="1" x14ac:dyDescent="0.25">
      <c r="B31" s="57" t="s">
        <v>39</v>
      </c>
      <c r="C31" s="49" t="s">
        <v>7</v>
      </c>
      <c r="D31" s="49"/>
      <c r="E31" s="26"/>
      <c r="F31" s="200">
        <f t="shared" si="4"/>
        <v>0</v>
      </c>
      <c r="G31" s="187"/>
      <c r="H31" s="187"/>
      <c r="I31" s="191"/>
      <c r="J31" s="187"/>
      <c r="K31" s="191"/>
      <c r="L31" s="187"/>
      <c r="M31" s="191"/>
      <c r="N31" s="187"/>
    </row>
    <row r="32" spans="2:21" hidden="1" x14ac:dyDescent="0.25">
      <c r="B32" s="57" t="s">
        <v>143</v>
      </c>
      <c r="C32" s="49"/>
      <c r="D32" s="49"/>
      <c r="E32" s="26" t="s">
        <v>7</v>
      </c>
      <c r="F32" s="200">
        <f t="shared" si="4"/>
        <v>0</v>
      </c>
      <c r="G32" s="187"/>
      <c r="H32" s="187"/>
      <c r="I32" s="191"/>
      <c r="J32" s="187"/>
      <c r="K32" s="191"/>
      <c r="L32" s="187"/>
      <c r="M32" s="191"/>
      <c r="N32" s="187"/>
    </row>
    <row r="33" spans="2:21" hidden="1" x14ac:dyDescent="0.25">
      <c r="B33" s="57" t="s">
        <v>41</v>
      </c>
      <c r="C33" s="49"/>
      <c r="D33" s="49"/>
      <c r="E33" s="26"/>
      <c r="F33" s="200">
        <f t="shared" si="4"/>
        <v>0</v>
      </c>
      <c r="G33" s="187"/>
      <c r="H33" s="187"/>
      <c r="I33" s="191"/>
      <c r="J33" s="187"/>
      <c r="K33" s="191"/>
      <c r="L33" s="187"/>
      <c r="M33" s="191"/>
      <c r="N33" s="187"/>
    </row>
    <row r="34" spans="2:21" hidden="1" x14ac:dyDescent="0.25">
      <c r="B34" s="57" t="s">
        <v>99</v>
      </c>
      <c r="C34" s="49"/>
      <c r="D34" s="49"/>
      <c r="E34" s="26"/>
      <c r="F34" s="200">
        <f t="shared" si="4"/>
        <v>0</v>
      </c>
      <c r="G34" s="187"/>
      <c r="H34" s="187"/>
      <c r="I34" s="191"/>
      <c r="J34" s="187"/>
      <c r="K34" s="191"/>
      <c r="L34" s="187"/>
      <c r="M34" s="191"/>
      <c r="N34" s="187"/>
    </row>
    <row r="35" spans="2:21" hidden="1" x14ac:dyDescent="0.25">
      <c r="B35" s="57" t="s">
        <v>128</v>
      </c>
      <c r="C35" s="49"/>
      <c r="D35" s="49"/>
      <c r="E35" s="26"/>
      <c r="F35" s="201">
        <f t="shared" si="4"/>
        <v>0</v>
      </c>
      <c r="G35" s="188"/>
      <c r="H35" s="188"/>
      <c r="I35" s="193"/>
      <c r="J35" s="188"/>
      <c r="K35" s="193"/>
      <c r="L35" s="188"/>
      <c r="M35" s="193"/>
      <c r="N35" s="188"/>
    </row>
    <row r="36" spans="2:21" x14ac:dyDescent="0.25">
      <c r="B36" s="57" t="s">
        <v>7</v>
      </c>
      <c r="C36" s="49"/>
      <c r="D36" s="49"/>
      <c r="E36" s="26"/>
      <c r="F36" s="25"/>
      <c r="G36" s="89"/>
      <c r="H36" s="21"/>
      <c r="I36" s="125"/>
      <c r="J36" s="21"/>
      <c r="K36" s="125"/>
      <c r="L36" s="21"/>
      <c r="M36" s="125"/>
      <c r="N36" s="21"/>
    </row>
    <row r="37" spans="2:21" x14ac:dyDescent="0.25">
      <c r="B37" s="58" t="s">
        <v>125</v>
      </c>
      <c r="C37" s="91"/>
      <c r="D37" s="52"/>
      <c r="E37" s="129">
        <v>2</v>
      </c>
      <c r="F37" s="309">
        <f>SUM(F38:F48)</f>
        <v>5</v>
      </c>
      <c r="G37" s="94">
        <f>SUM(G38:G48)</f>
        <v>0</v>
      </c>
      <c r="H37" s="94">
        <f t="shared" ref="H37:N37" si="5">SUM(H38:H48)</f>
        <v>0</v>
      </c>
      <c r="I37" s="159">
        <f t="shared" si="5"/>
        <v>1</v>
      </c>
      <c r="J37" s="94">
        <f t="shared" si="5"/>
        <v>1</v>
      </c>
      <c r="K37" s="159">
        <f t="shared" si="5"/>
        <v>1</v>
      </c>
      <c r="L37" s="94">
        <f t="shared" si="5"/>
        <v>1</v>
      </c>
      <c r="M37" s="159">
        <f t="shared" si="5"/>
        <v>0</v>
      </c>
      <c r="N37" s="94">
        <f t="shared" si="5"/>
        <v>1</v>
      </c>
      <c r="O37" s="47"/>
      <c r="P37" s="47"/>
      <c r="Q37" s="47"/>
      <c r="R37" s="47"/>
      <c r="S37" s="47"/>
      <c r="T37" s="47"/>
      <c r="U37" s="47"/>
    </row>
    <row r="38" spans="2:21" hidden="1" x14ac:dyDescent="0.25">
      <c r="B38" s="57" t="s">
        <v>98</v>
      </c>
      <c r="C38" s="49"/>
      <c r="D38" s="49"/>
      <c r="E38" s="26"/>
      <c r="F38" s="200">
        <f t="shared" ref="F38:F48" si="6">SUM(G38:W38)</f>
        <v>0</v>
      </c>
      <c r="G38" s="195"/>
      <c r="H38" s="187"/>
      <c r="I38" s="191"/>
      <c r="J38" s="187"/>
      <c r="K38" s="191"/>
      <c r="L38" s="187"/>
      <c r="M38" s="191"/>
      <c r="N38" s="187"/>
    </row>
    <row r="39" spans="2:21" hidden="1" x14ac:dyDescent="0.25">
      <c r="B39" s="57" t="s">
        <v>43</v>
      </c>
      <c r="C39" s="49"/>
      <c r="D39" s="49"/>
      <c r="E39" s="26"/>
      <c r="F39" s="200">
        <f t="shared" si="6"/>
        <v>0</v>
      </c>
      <c r="G39" s="187"/>
      <c r="H39" s="187"/>
      <c r="I39" s="191"/>
      <c r="J39" s="187"/>
      <c r="K39" s="191"/>
      <c r="L39" s="187"/>
      <c r="M39" s="191"/>
      <c r="N39" s="187"/>
    </row>
    <row r="40" spans="2:21" hidden="1" x14ac:dyDescent="0.25">
      <c r="B40" s="57" t="s">
        <v>129</v>
      </c>
      <c r="C40" s="49"/>
      <c r="D40" s="49"/>
      <c r="E40" s="26"/>
      <c r="F40" s="200">
        <f t="shared" si="6"/>
        <v>0</v>
      </c>
      <c r="G40" s="187"/>
      <c r="H40" s="187"/>
      <c r="I40" s="191"/>
      <c r="J40" s="187"/>
      <c r="K40" s="191"/>
      <c r="L40" s="187"/>
      <c r="M40" s="191"/>
      <c r="N40" s="187"/>
    </row>
    <row r="41" spans="2:21" hidden="1" x14ac:dyDescent="0.25">
      <c r="B41" s="57" t="s">
        <v>45</v>
      </c>
      <c r="C41" s="49"/>
      <c r="D41" s="49"/>
      <c r="E41" s="26"/>
      <c r="F41" s="200">
        <f t="shared" si="6"/>
        <v>0</v>
      </c>
      <c r="G41" s="195"/>
      <c r="H41" s="187"/>
      <c r="I41" s="191"/>
      <c r="J41" s="187"/>
      <c r="K41" s="191"/>
      <c r="L41" s="187"/>
      <c r="M41" s="191"/>
      <c r="N41" s="187"/>
    </row>
    <row r="42" spans="2:21" hidden="1" x14ac:dyDescent="0.25">
      <c r="B42" s="57" t="s">
        <v>46</v>
      </c>
      <c r="C42" s="49"/>
      <c r="D42" s="49"/>
      <c r="E42" s="26"/>
      <c r="F42" s="200">
        <f t="shared" si="6"/>
        <v>0</v>
      </c>
      <c r="G42" s="187"/>
      <c r="H42" s="187"/>
      <c r="I42" s="191"/>
      <c r="J42" s="187"/>
      <c r="K42" s="191"/>
      <c r="L42" s="187"/>
      <c r="M42" s="191"/>
      <c r="N42" s="187"/>
    </row>
    <row r="43" spans="2:21" hidden="1" x14ac:dyDescent="0.25">
      <c r="B43" s="57" t="s">
        <v>47</v>
      </c>
      <c r="C43" s="49"/>
      <c r="D43" s="49"/>
      <c r="E43" s="26"/>
      <c r="F43" s="200">
        <f t="shared" si="6"/>
        <v>0</v>
      </c>
      <c r="G43" s="195"/>
      <c r="H43" s="187"/>
      <c r="I43" s="191"/>
      <c r="J43" s="187"/>
      <c r="K43" s="191"/>
      <c r="L43" s="187"/>
      <c r="M43" s="191"/>
      <c r="N43" s="187"/>
    </row>
    <row r="44" spans="2:21" x14ac:dyDescent="0.25">
      <c r="B44" s="57" t="s">
        <v>48</v>
      </c>
      <c r="C44" s="49"/>
      <c r="D44" s="49"/>
      <c r="E44" s="26"/>
      <c r="F44" s="200">
        <f t="shared" si="6"/>
        <v>2</v>
      </c>
      <c r="G44" s="187"/>
      <c r="H44" s="187"/>
      <c r="I44" s="191">
        <v>1</v>
      </c>
      <c r="J44" s="187">
        <v>1</v>
      </c>
      <c r="K44" s="191"/>
      <c r="L44" s="187"/>
      <c r="M44" s="191"/>
      <c r="N44" s="187"/>
    </row>
    <row r="45" spans="2:21" hidden="1" x14ac:dyDescent="0.25">
      <c r="B45" s="57" t="s">
        <v>49</v>
      </c>
      <c r="C45" s="49"/>
      <c r="D45" s="49"/>
      <c r="E45" s="26"/>
      <c r="F45" s="200">
        <f t="shared" si="6"/>
        <v>0</v>
      </c>
      <c r="G45" s="187"/>
      <c r="H45" s="187"/>
      <c r="I45" s="191"/>
      <c r="J45" s="187"/>
      <c r="K45" s="191"/>
      <c r="L45" s="187"/>
      <c r="M45" s="191"/>
      <c r="N45" s="187"/>
    </row>
    <row r="46" spans="2:21" hidden="1" x14ac:dyDescent="0.25">
      <c r="B46" s="57" t="s">
        <v>123</v>
      </c>
      <c r="C46" s="49"/>
      <c r="D46" s="49" t="s">
        <v>7</v>
      </c>
      <c r="E46" s="26"/>
      <c r="F46" s="200">
        <f t="shared" si="6"/>
        <v>0</v>
      </c>
      <c r="G46" s="187"/>
      <c r="H46" s="187"/>
      <c r="I46" s="191"/>
      <c r="J46" s="187"/>
      <c r="K46" s="191"/>
      <c r="L46" s="187"/>
      <c r="M46" s="191"/>
      <c r="N46" s="187"/>
    </row>
    <row r="47" spans="2:21" x14ac:dyDescent="0.25">
      <c r="B47" s="57" t="s">
        <v>51</v>
      </c>
      <c r="C47" s="49"/>
      <c r="D47" s="49"/>
      <c r="E47" s="26"/>
      <c r="F47" s="200">
        <f t="shared" si="6"/>
        <v>3</v>
      </c>
      <c r="G47" s="187"/>
      <c r="H47" s="187"/>
      <c r="I47" s="191"/>
      <c r="J47" s="187"/>
      <c r="K47" s="191">
        <v>1</v>
      </c>
      <c r="L47" s="187">
        <v>1</v>
      </c>
      <c r="M47" s="191"/>
      <c r="N47" s="187">
        <v>1</v>
      </c>
    </row>
    <row r="48" spans="2:21" hidden="1" x14ac:dyDescent="0.25">
      <c r="B48" s="57" t="s">
        <v>52</v>
      </c>
      <c r="C48" s="49"/>
      <c r="D48" s="49"/>
      <c r="E48" s="26"/>
      <c r="F48" s="201">
        <f t="shared" si="6"/>
        <v>0</v>
      </c>
      <c r="G48" s="196"/>
      <c r="H48" s="188"/>
      <c r="I48" s="193"/>
      <c r="J48" s="188"/>
      <c r="K48" s="193"/>
      <c r="L48" s="188"/>
      <c r="M48" s="193"/>
      <c r="N48" s="188"/>
    </row>
    <row r="49" spans="2:21" x14ac:dyDescent="0.25">
      <c r="B49" s="57"/>
      <c r="C49" s="49"/>
      <c r="D49" s="49"/>
      <c r="E49" s="26"/>
      <c r="F49" s="25"/>
      <c r="G49" s="89"/>
      <c r="H49" s="21"/>
      <c r="I49" s="125"/>
      <c r="J49" s="21"/>
      <c r="K49" s="125"/>
      <c r="L49" s="21"/>
      <c r="M49" s="125"/>
      <c r="N49" s="21"/>
    </row>
    <row r="50" spans="2:21" hidden="1" x14ac:dyDescent="0.25">
      <c r="B50" s="58" t="s">
        <v>328</v>
      </c>
      <c r="C50" s="91"/>
      <c r="D50" s="52"/>
      <c r="E50" s="129"/>
      <c r="F50" s="129">
        <f t="shared" ref="F50:N50" si="7">SUM(F51:F55)</f>
        <v>0</v>
      </c>
      <c r="G50" s="92">
        <f t="shared" si="7"/>
        <v>0</v>
      </c>
      <c r="H50" s="92">
        <f t="shared" si="7"/>
        <v>0</v>
      </c>
      <c r="I50" s="52">
        <f t="shared" si="7"/>
        <v>0</v>
      </c>
      <c r="J50" s="92">
        <f t="shared" si="7"/>
        <v>0</v>
      </c>
      <c r="K50" s="52">
        <f t="shared" si="7"/>
        <v>0</v>
      </c>
      <c r="L50" s="92">
        <f t="shared" si="7"/>
        <v>0</v>
      </c>
      <c r="M50" s="52">
        <f t="shared" si="7"/>
        <v>0</v>
      </c>
      <c r="N50" s="92">
        <f t="shared" si="7"/>
        <v>0</v>
      </c>
      <c r="O50" s="47"/>
      <c r="P50" s="47"/>
      <c r="Q50" s="47"/>
      <c r="R50" s="47"/>
      <c r="S50" s="47"/>
      <c r="T50" s="47"/>
      <c r="U50" s="47"/>
    </row>
    <row r="51" spans="2:21" hidden="1" x14ac:dyDescent="0.25">
      <c r="B51" s="57" t="s">
        <v>53</v>
      </c>
      <c r="C51" s="49"/>
      <c r="D51" s="49"/>
      <c r="E51" s="26"/>
      <c r="F51" s="199">
        <f>SUM(G51:W51)</f>
        <v>0</v>
      </c>
      <c r="G51" s="186"/>
      <c r="H51" s="186"/>
      <c r="I51" s="189"/>
      <c r="J51" s="186"/>
      <c r="K51" s="189"/>
      <c r="L51" s="186"/>
      <c r="M51" s="189"/>
      <c r="N51" s="186"/>
    </row>
    <row r="52" spans="2:21" hidden="1" x14ac:dyDescent="0.25">
      <c r="B52" s="57" t="s">
        <v>54</v>
      </c>
      <c r="C52" s="49"/>
      <c r="D52" s="49"/>
      <c r="E52" s="26"/>
      <c r="F52" s="200">
        <f>SUM(G52:W52)</f>
        <v>0</v>
      </c>
      <c r="G52" s="195"/>
      <c r="H52" s="187"/>
      <c r="I52" s="191"/>
      <c r="J52" s="187"/>
      <c r="K52" s="191"/>
      <c r="L52" s="187"/>
      <c r="M52" s="191"/>
      <c r="N52" s="187"/>
    </row>
    <row r="53" spans="2:21" hidden="1" x14ac:dyDescent="0.25">
      <c r="B53" s="57" t="s">
        <v>55</v>
      </c>
      <c r="C53" s="49"/>
      <c r="D53" s="49"/>
      <c r="E53" s="26"/>
      <c r="F53" s="200">
        <f>SUM(G53:W53)</f>
        <v>0</v>
      </c>
      <c r="G53" s="195"/>
      <c r="H53" s="187"/>
      <c r="I53" s="191"/>
      <c r="J53" s="187"/>
      <c r="K53" s="191"/>
      <c r="L53" s="187"/>
      <c r="M53" s="191"/>
      <c r="N53" s="187"/>
    </row>
    <row r="54" spans="2:21" hidden="1" x14ac:dyDescent="0.25">
      <c r="B54" s="57" t="s">
        <v>100</v>
      </c>
      <c r="C54" s="49"/>
      <c r="D54" s="49"/>
      <c r="E54" s="26"/>
      <c r="F54" s="200">
        <f>SUM(G54:W54)</f>
        <v>0</v>
      </c>
      <c r="G54" s="195"/>
      <c r="H54" s="187"/>
      <c r="I54" s="191"/>
      <c r="J54" s="187"/>
      <c r="K54" s="191"/>
      <c r="L54" s="187"/>
      <c r="M54" s="191"/>
      <c r="N54" s="187"/>
    </row>
    <row r="55" spans="2:21" hidden="1" x14ac:dyDescent="0.25">
      <c r="B55" s="57" t="s">
        <v>57</v>
      </c>
      <c r="C55" s="49"/>
      <c r="D55" s="49"/>
      <c r="E55" s="26"/>
      <c r="F55" s="201">
        <f>SUM(G55:W55)</f>
        <v>0</v>
      </c>
      <c r="G55" s="188"/>
      <c r="H55" s="188"/>
      <c r="I55" s="193"/>
      <c r="J55" s="188"/>
      <c r="K55" s="193"/>
      <c r="L55" s="188"/>
      <c r="M55" s="193"/>
      <c r="N55" s="188"/>
    </row>
    <row r="56" spans="2:21" x14ac:dyDescent="0.25">
      <c r="B56" s="58" t="s">
        <v>101</v>
      </c>
      <c r="C56" s="91"/>
      <c r="D56" s="52"/>
      <c r="E56" s="129">
        <v>4</v>
      </c>
      <c r="F56" s="309">
        <f>SUM(F57:F83)</f>
        <v>4</v>
      </c>
      <c r="G56" s="94">
        <f t="shared" ref="G56:N56" si="8">SUM(G57:G83)</f>
        <v>0</v>
      </c>
      <c r="H56" s="94">
        <f t="shared" si="8"/>
        <v>0</v>
      </c>
      <c r="I56" s="159">
        <f t="shared" si="8"/>
        <v>0</v>
      </c>
      <c r="J56" s="94">
        <f t="shared" si="8"/>
        <v>0</v>
      </c>
      <c r="K56" s="159">
        <f t="shared" si="8"/>
        <v>0</v>
      </c>
      <c r="L56" s="94">
        <f t="shared" si="8"/>
        <v>3</v>
      </c>
      <c r="M56" s="159">
        <f t="shared" si="8"/>
        <v>1</v>
      </c>
      <c r="N56" s="94">
        <f t="shared" si="8"/>
        <v>0</v>
      </c>
      <c r="O56" s="47"/>
      <c r="P56" s="47"/>
      <c r="Q56" s="47"/>
      <c r="R56" s="47"/>
      <c r="S56" s="47"/>
      <c r="T56" s="47"/>
      <c r="U56" s="47"/>
    </row>
    <row r="57" spans="2:21" hidden="1" x14ac:dyDescent="0.25">
      <c r="B57" s="57" t="s">
        <v>59</v>
      </c>
      <c r="C57" s="49"/>
      <c r="D57" s="49"/>
      <c r="E57" s="26"/>
      <c r="F57" s="199">
        <f t="shared" ref="F57:F83" si="9">SUM(G57:W57)</f>
        <v>0</v>
      </c>
      <c r="G57" s="202"/>
      <c r="H57" s="186"/>
      <c r="I57" s="189"/>
      <c r="J57" s="186"/>
      <c r="K57" s="189"/>
      <c r="L57" s="186"/>
      <c r="M57" s="189"/>
      <c r="N57" s="186"/>
    </row>
    <row r="58" spans="2:21" x14ac:dyDescent="0.25">
      <c r="B58" s="57" t="s">
        <v>60</v>
      </c>
      <c r="C58" s="49"/>
      <c r="D58" s="49"/>
      <c r="E58" s="26"/>
      <c r="F58" s="200">
        <f t="shared" si="9"/>
        <v>1</v>
      </c>
      <c r="G58" s="187"/>
      <c r="H58" s="187"/>
      <c r="I58" s="191"/>
      <c r="J58" s="187"/>
      <c r="K58" s="191"/>
      <c r="L58" s="187">
        <v>1</v>
      </c>
      <c r="M58" s="191"/>
      <c r="N58" s="187"/>
    </row>
    <row r="59" spans="2:21" hidden="1" x14ac:dyDescent="0.25">
      <c r="B59" s="57" t="s">
        <v>61</v>
      </c>
      <c r="C59" s="49"/>
      <c r="D59" s="49"/>
      <c r="E59" s="26"/>
      <c r="F59" s="200">
        <f t="shared" si="9"/>
        <v>0</v>
      </c>
      <c r="G59" s="195"/>
      <c r="H59" s="187"/>
      <c r="I59" s="191"/>
      <c r="J59" s="187"/>
      <c r="K59" s="191"/>
      <c r="L59" s="187"/>
      <c r="M59" s="191"/>
      <c r="N59" s="187"/>
    </row>
    <row r="60" spans="2:21" hidden="1" x14ac:dyDescent="0.25">
      <c r="B60" s="57" t="s">
        <v>62</v>
      </c>
      <c r="C60" s="49"/>
      <c r="D60" s="49"/>
      <c r="E60" s="26"/>
      <c r="F60" s="200">
        <f t="shared" si="9"/>
        <v>0</v>
      </c>
      <c r="G60" s="195"/>
      <c r="H60" s="187"/>
      <c r="I60" s="191"/>
      <c r="J60" s="187"/>
      <c r="K60" s="191"/>
      <c r="L60" s="187"/>
      <c r="M60" s="191"/>
      <c r="N60" s="187"/>
    </row>
    <row r="61" spans="2:21" hidden="1" x14ac:dyDescent="0.25">
      <c r="B61" s="57" t="s">
        <v>63</v>
      </c>
      <c r="C61" s="49"/>
      <c r="D61" s="49"/>
      <c r="E61" s="26"/>
      <c r="F61" s="200">
        <f t="shared" si="9"/>
        <v>0</v>
      </c>
      <c r="G61" s="187"/>
      <c r="H61" s="187"/>
      <c r="I61" s="191"/>
      <c r="J61" s="187"/>
      <c r="K61" s="191"/>
      <c r="L61" s="187"/>
      <c r="M61" s="191"/>
      <c r="N61" s="187"/>
    </row>
    <row r="62" spans="2:21" hidden="1" x14ac:dyDescent="0.25">
      <c r="B62" s="57" t="s">
        <v>64</v>
      </c>
      <c r="C62" s="49"/>
      <c r="D62" s="49"/>
      <c r="E62" s="26"/>
      <c r="F62" s="200">
        <f t="shared" si="9"/>
        <v>0</v>
      </c>
      <c r="G62" s="187"/>
      <c r="H62" s="187"/>
      <c r="I62" s="191"/>
      <c r="J62" s="187"/>
      <c r="K62" s="191"/>
      <c r="L62" s="187"/>
      <c r="M62" s="191"/>
      <c r="N62" s="187"/>
    </row>
    <row r="63" spans="2:21" hidden="1" x14ac:dyDescent="0.25">
      <c r="B63" s="57" t="s">
        <v>65</v>
      </c>
      <c r="C63" s="49"/>
      <c r="D63" s="49"/>
      <c r="E63" s="26"/>
      <c r="F63" s="200">
        <f t="shared" si="9"/>
        <v>0</v>
      </c>
      <c r="G63" s="187"/>
      <c r="H63" s="187"/>
      <c r="I63" s="191"/>
      <c r="J63" s="187"/>
      <c r="K63" s="191"/>
      <c r="L63" s="187"/>
      <c r="M63" s="191"/>
      <c r="N63" s="187"/>
    </row>
    <row r="64" spans="2:21" hidden="1" x14ac:dyDescent="0.25">
      <c r="B64" s="57" t="s">
        <v>66</v>
      </c>
      <c r="C64" s="49"/>
      <c r="D64" s="49"/>
      <c r="E64" s="26"/>
      <c r="F64" s="200">
        <f t="shared" si="9"/>
        <v>0</v>
      </c>
      <c r="G64" s="187"/>
      <c r="H64" s="187"/>
      <c r="I64" s="191"/>
      <c r="J64" s="187"/>
      <c r="K64" s="191"/>
      <c r="L64" s="187"/>
      <c r="M64" s="191"/>
      <c r="N64" s="187"/>
    </row>
    <row r="65" spans="2:14" hidden="1" x14ac:dyDescent="0.25">
      <c r="B65" s="57" t="s">
        <v>67</v>
      </c>
      <c r="C65" s="49"/>
      <c r="D65" s="49"/>
      <c r="E65" s="26"/>
      <c r="F65" s="200">
        <f t="shared" si="9"/>
        <v>0</v>
      </c>
      <c r="G65" s="195"/>
      <c r="H65" s="187"/>
      <c r="I65" s="191"/>
      <c r="J65" s="187"/>
      <c r="K65" s="191"/>
      <c r="L65" s="187"/>
      <c r="M65" s="191"/>
      <c r="N65" s="187"/>
    </row>
    <row r="66" spans="2:14" hidden="1" x14ac:dyDescent="0.25">
      <c r="B66" s="57" t="s">
        <v>144</v>
      </c>
      <c r="C66" s="49"/>
      <c r="D66" s="49"/>
      <c r="E66" s="26"/>
      <c r="F66" s="200">
        <f t="shared" si="9"/>
        <v>0</v>
      </c>
      <c r="G66" s="187"/>
      <c r="H66" s="187"/>
      <c r="I66" s="191"/>
      <c r="J66" s="187"/>
      <c r="K66" s="191"/>
      <c r="L66" s="187"/>
      <c r="M66" s="191"/>
      <c r="N66" s="187"/>
    </row>
    <row r="67" spans="2:14" hidden="1" x14ac:dyDescent="0.25">
      <c r="B67" s="57" t="s">
        <v>69</v>
      </c>
      <c r="C67" s="49"/>
      <c r="D67" s="49"/>
      <c r="E67" s="26"/>
      <c r="F67" s="200">
        <f t="shared" si="9"/>
        <v>0</v>
      </c>
      <c r="G67" s="195"/>
      <c r="H67" s="187"/>
      <c r="I67" s="191"/>
      <c r="J67" s="187"/>
      <c r="K67" s="191"/>
      <c r="L67" s="187"/>
      <c r="M67" s="191"/>
      <c r="N67" s="187"/>
    </row>
    <row r="68" spans="2:14" hidden="1" x14ac:dyDescent="0.25">
      <c r="B68" s="57" t="s">
        <v>389</v>
      </c>
      <c r="C68" s="49"/>
      <c r="D68" s="49"/>
      <c r="E68" s="26"/>
      <c r="F68" s="200">
        <f t="shared" si="9"/>
        <v>0</v>
      </c>
      <c r="G68" s="187"/>
      <c r="H68" s="187"/>
      <c r="I68" s="191"/>
      <c r="J68" s="187"/>
      <c r="K68" s="191"/>
      <c r="L68" s="187"/>
      <c r="M68" s="191"/>
      <c r="N68" s="187"/>
    </row>
    <row r="69" spans="2:14" hidden="1" x14ac:dyDescent="0.25">
      <c r="B69" s="57" t="s">
        <v>71</v>
      </c>
      <c r="C69" s="49"/>
      <c r="D69" s="49"/>
      <c r="E69" s="26"/>
      <c r="F69" s="200">
        <f t="shared" si="9"/>
        <v>0</v>
      </c>
      <c r="G69" s="195"/>
      <c r="H69" s="187"/>
      <c r="I69" s="191"/>
      <c r="J69" s="187"/>
      <c r="K69" s="191"/>
      <c r="L69" s="187"/>
      <c r="M69" s="191"/>
      <c r="N69" s="187"/>
    </row>
    <row r="70" spans="2:14" hidden="1" x14ac:dyDescent="0.25">
      <c r="B70" s="57" t="s">
        <v>72</v>
      </c>
      <c r="C70" s="49"/>
      <c r="D70" s="49"/>
      <c r="E70" s="26"/>
      <c r="F70" s="200">
        <f t="shared" si="9"/>
        <v>0</v>
      </c>
      <c r="G70" s="195"/>
      <c r="H70" s="187"/>
      <c r="I70" s="191"/>
      <c r="J70" s="187"/>
      <c r="K70" s="191"/>
      <c r="L70" s="187"/>
      <c r="M70" s="191"/>
      <c r="N70" s="187"/>
    </row>
    <row r="71" spans="2:14" hidden="1" x14ac:dyDescent="0.25">
      <c r="B71" s="57" t="s">
        <v>130</v>
      </c>
      <c r="C71" s="49"/>
      <c r="D71" s="49"/>
      <c r="E71" s="26"/>
      <c r="F71" s="200">
        <f t="shared" si="9"/>
        <v>0</v>
      </c>
      <c r="G71" s="195"/>
      <c r="H71" s="187"/>
      <c r="I71" s="191"/>
      <c r="J71" s="187"/>
      <c r="K71" s="191"/>
      <c r="L71" s="187"/>
      <c r="M71" s="191"/>
      <c r="N71" s="187"/>
    </row>
    <row r="72" spans="2:14" hidden="1" x14ac:dyDescent="0.25">
      <c r="B72" s="57" t="s">
        <v>102</v>
      </c>
      <c r="C72" s="49"/>
      <c r="D72" s="49"/>
      <c r="E72" s="26"/>
      <c r="F72" s="200">
        <f t="shared" si="9"/>
        <v>0</v>
      </c>
      <c r="G72" s="187"/>
      <c r="H72" s="187"/>
      <c r="I72" s="191"/>
      <c r="J72" s="187"/>
      <c r="K72" s="191"/>
      <c r="L72" s="187"/>
      <c r="M72" s="191"/>
      <c r="N72" s="187"/>
    </row>
    <row r="73" spans="2:14" hidden="1" x14ac:dyDescent="0.25">
      <c r="B73" s="57" t="s">
        <v>103</v>
      </c>
      <c r="C73" s="49"/>
      <c r="D73" s="49"/>
      <c r="E73" s="26"/>
      <c r="F73" s="200">
        <f t="shared" si="9"/>
        <v>0</v>
      </c>
      <c r="G73" s="187"/>
      <c r="H73" s="187"/>
      <c r="I73" s="191"/>
      <c r="J73" s="187"/>
      <c r="K73" s="191"/>
      <c r="L73" s="187"/>
      <c r="M73" s="191"/>
      <c r="N73" s="187"/>
    </row>
    <row r="74" spans="2:14" hidden="1" x14ac:dyDescent="0.25">
      <c r="B74" s="57" t="s">
        <v>91</v>
      </c>
      <c r="C74" s="49"/>
      <c r="D74" s="49"/>
      <c r="E74" s="26"/>
      <c r="F74" s="200">
        <f t="shared" si="9"/>
        <v>0</v>
      </c>
      <c r="G74" s="195"/>
      <c r="H74" s="187"/>
      <c r="I74" s="191"/>
      <c r="J74" s="187"/>
      <c r="K74" s="191"/>
      <c r="L74" s="187"/>
      <c r="M74" s="191"/>
      <c r="N74" s="187"/>
    </row>
    <row r="75" spans="2:14" x14ac:dyDescent="0.25">
      <c r="B75" s="57" t="s">
        <v>73</v>
      </c>
      <c r="C75" s="49"/>
      <c r="D75" s="49"/>
      <c r="E75" s="26"/>
      <c r="F75" s="200">
        <f t="shared" si="9"/>
        <v>1</v>
      </c>
      <c r="G75" s="195"/>
      <c r="H75" s="187"/>
      <c r="I75" s="191"/>
      <c r="J75" s="187"/>
      <c r="K75" s="191"/>
      <c r="L75" s="187"/>
      <c r="M75" s="191">
        <v>1</v>
      </c>
      <c r="N75" s="187"/>
    </row>
    <row r="76" spans="2:14" x14ac:dyDescent="0.25">
      <c r="B76" s="57" t="s">
        <v>74</v>
      </c>
      <c r="C76" s="49"/>
      <c r="D76" s="49"/>
      <c r="E76" s="26"/>
      <c r="F76" s="200">
        <f t="shared" si="9"/>
        <v>0</v>
      </c>
      <c r="G76" s="187"/>
      <c r="H76" s="187"/>
      <c r="I76" s="191"/>
      <c r="J76" s="187"/>
      <c r="K76" s="191"/>
      <c r="L76" s="187"/>
      <c r="M76" s="191"/>
      <c r="N76" s="187"/>
    </row>
    <row r="77" spans="2:14" hidden="1" x14ac:dyDescent="0.25">
      <c r="B77" s="57" t="s">
        <v>104</v>
      </c>
      <c r="C77" s="49"/>
      <c r="D77" s="49"/>
      <c r="E77" s="26"/>
      <c r="F77" s="200">
        <f t="shared" si="9"/>
        <v>0</v>
      </c>
      <c r="G77" s="187"/>
      <c r="H77" s="187"/>
      <c r="I77" s="191"/>
      <c r="J77" s="187"/>
      <c r="K77" s="191"/>
      <c r="L77" s="187"/>
      <c r="M77" s="191"/>
      <c r="N77" s="187"/>
    </row>
    <row r="78" spans="2:14" hidden="1" x14ac:dyDescent="0.25">
      <c r="B78" s="57" t="s">
        <v>75</v>
      </c>
      <c r="C78" s="49"/>
      <c r="D78" s="49"/>
      <c r="E78" s="26"/>
      <c r="F78" s="200">
        <f t="shared" si="9"/>
        <v>0</v>
      </c>
      <c r="G78" s="187"/>
      <c r="H78" s="187"/>
      <c r="I78" s="191"/>
      <c r="J78" s="187"/>
      <c r="K78" s="191"/>
      <c r="L78" s="187"/>
      <c r="M78" s="191"/>
      <c r="N78" s="187"/>
    </row>
    <row r="79" spans="2:14" hidden="1" x14ac:dyDescent="0.25">
      <c r="B79" s="57" t="s">
        <v>131</v>
      </c>
      <c r="C79" s="49"/>
      <c r="D79" s="49"/>
      <c r="E79" s="26"/>
      <c r="F79" s="200">
        <f t="shared" si="9"/>
        <v>0</v>
      </c>
      <c r="G79" s="195"/>
      <c r="H79" s="187"/>
      <c r="I79" s="191"/>
      <c r="J79" s="187"/>
      <c r="K79" s="191"/>
      <c r="L79" s="187"/>
      <c r="M79" s="191"/>
      <c r="N79" s="187"/>
    </row>
    <row r="80" spans="2:14" hidden="1" x14ac:dyDescent="0.25">
      <c r="B80" s="57" t="s">
        <v>77</v>
      </c>
      <c r="C80" s="49"/>
      <c r="D80" s="49"/>
      <c r="E80" s="26"/>
      <c r="F80" s="200">
        <f t="shared" si="9"/>
        <v>0</v>
      </c>
      <c r="G80" s="187"/>
      <c r="H80" s="187"/>
      <c r="I80" s="191"/>
      <c r="J80" s="187"/>
      <c r="K80" s="191"/>
      <c r="L80" s="187"/>
      <c r="M80" s="191"/>
      <c r="N80" s="187"/>
    </row>
    <row r="81" spans="2:21" hidden="1" x14ac:dyDescent="0.25">
      <c r="B81" s="57" t="s">
        <v>78</v>
      </c>
      <c r="C81" s="49"/>
      <c r="D81" s="49"/>
      <c r="E81" s="26"/>
      <c r="F81" s="200">
        <f t="shared" si="9"/>
        <v>0</v>
      </c>
      <c r="G81" s="187"/>
      <c r="H81" s="187"/>
      <c r="I81" s="191"/>
      <c r="J81" s="187"/>
      <c r="K81" s="191"/>
      <c r="L81" s="187"/>
      <c r="M81" s="191"/>
      <c r="N81" s="187"/>
    </row>
    <row r="82" spans="2:21" x14ac:dyDescent="0.25">
      <c r="B82" s="57" t="s">
        <v>79</v>
      </c>
      <c r="C82" s="49"/>
      <c r="D82" s="49"/>
      <c r="E82" s="26"/>
      <c r="F82" s="200">
        <f t="shared" si="9"/>
        <v>1</v>
      </c>
      <c r="G82" s="187"/>
      <c r="H82" s="187"/>
      <c r="I82" s="191"/>
      <c r="J82" s="187"/>
      <c r="K82" s="191"/>
      <c r="L82" s="187">
        <v>1</v>
      </c>
      <c r="M82" s="191"/>
      <c r="N82" s="187"/>
    </row>
    <row r="83" spans="2:21" x14ac:dyDescent="0.25">
      <c r="B83" s="57" t="s">
        <v>198</v>
      </c>
      <c r="C83" s="49"/>
      <c r="D83" s="49"/>
      <c r="E83" s="26"/>
      <c r="F83" s="201">
        <f t="shared" si="9"/>
        <v>1</v>
      </c>
      <c r="G83" s="188"/>
      <c r="H83" s="188"/>
      <c r="I83" s="193"/>
      <c r="J83" s="188"/>
      <c r="K83" s="193"/>
      <c r="L83" s="188">
        <v>1</v>
      </c>
      <c r="M83" s="193"/>
      <c r="N83" s="188"/>
    </row>
    <row r="84" spans="2:21" x14ac:dyDescent="0.25">
      <c r="B84" s="61"/>
      <c r="C84" s="55"/>
      <c r="D84" s="55"/>
      <c r="E84" s="111"/>
      <c r="F84" s="331"/>
      <c r="G84" s="298"/>
      <c r="H84" s="87"/>
      <c r="I84" s="343"/>
      <c r="J84" s="87"/>
      <c r="K84" s="343"/>
      <c r="L84" s="87"/>
      <c r="M84" s="343"/>
      <c r="N84" s="87"/>
    </row>
    <row r="85" spans="2:21" hidden="1" x14ac:dyDescent="0.25">
      <c r="B85" s="58" t="s">
        <v>0</v>
      </c>
      <c r="C85" s="91"/>
      <c r="D85" s="52"/>
      <c r="E85" s="354"/>
      <c r="F85" s="309">
        <f>SUM(F87:F92)</f>
        <v>0</v>
      </c>
      <c r="G85" s="94">
        <f>SUM(G87:G92)</f>
        <v>0</v>
      </c>
      <c r="H85" s="94">
        <f t="shared" ref="H85:N85" si="10">SUM(H87:H92)</f>
        <v>0</v>
      </c>
      <c r="I85" s="159">
        <f t="shared" si="10"/>
        <v>0</v>
      </c>
      <c r="J85" s="94">
        <f t="shared" si="10"/>
        <v>0</v>
      </c>
      <c r="K85" s="159">
        <f t="shared" si="10"/>
        <v>0</v>
      </c>
      <c r="L85" s="94">
        <f t="shared" si="10"/>
        <v>0</v>
      </c>
      <c r="M85" s="159">
        <f t="shared" si="10"/>
        <v>0</v>
      </c>
      <c r="N85" s="94">
        <f t="shared" si="10"/>
        <v>0</v>
      </c>
      <c r="O85" s="47"/>
      <c r="P85" s="47"/>
      <c r="Q85" s="47"/>
      <c r="R85" s="47"/>
      <c r="S85" s="47"/>
      <c r="T85" s="47"/>
      <c r="U85" s="47"/>
    </row>
    <row r="86" spans="2:21" hidden="1" x14ac:dyDescent="0.25">
      <c r="B86" s="57" t="s">
        <v>127</v>
      </c>
      <c r="C86" s="49"/>
      <c r="D86" s="49"/>
      <c r="E86" s="324"/>
      <c r="F86" s="199">
        <f>SUM(G86:W86)</f>
        <v>0</v>
      </c>
      <c r="G86" s="202"/>
      <c r="H86" s="186"/>
      <c r="I86" s="189"/>
      <c r="J86" s="186"/>
      <c r="K86" s="189"/>
      <c r="L86" s="186"/>
      <c r="M86" s="189"/>
      <c r="N86" s="186"/>
    </row>
    <row r="87" spans="2:21" hidden="1" x14ac:dyDescent="0.25">
      <c r="B87" s="57" t="s">
        <v>81</v>
      </c>
      <c r="C87" s="49"/>
      <c r="D87" s="49"/>
      <c r="E87" s="324"/>
      <c r="F87" s="200">
        <f t="shared" ref="F87:F91" si="11">SUM(G87:W87)</f>
        <v>0</v>
      </c>
      <c r="G87" s="195"/>
      <c r="H87" s="187"/>
      <c r="I87" s="191"/>
      <c r="J87" s="187"/>
      <c r="K87" s="191"/>
      <c r="L87" s="187"/>
      <c r="M87" s="191"/>
      <c r="N87" s="187"/>
    </row>
    <row r="88" spans="2:21" hidden="1" x14ac:dyDescent="0.25">
      <c r="B88" s="57" t="s">
        <v>82</v>
      </c>
      <c r="C88" s="49"/>
      <c r="D88" s="49"/>
      <c r="E88" s="324"/>
      <c r="F88" s="200">
        <f t="shared" si="11"/>
        <v>0</v>
      </c>
      <c r="G88" s="195"/>
      <c r="H88" s="187"/>
      <c r="I88" s="191"/>
      <c r="J88" s="187"/>
      <c r="K88" s="191"/>
      <c r="L88" s="187"/>
      <c r="M88" s="191"/>
      <c r="N88" s="187"/>
    </row>
    <row r="89" spans="2:21" hidden="1" x14ac:dyDescent="0.25">
      <c r="B89" s="57" t="s">
        <v>83</v>
      </c>
      <c r="C89" s="49"/>
      <c r="D89" s="49"/>
      <c r="E89" s="324"/>
      <c r="F89" s="200">
        <f t="shared" si="11"/>
        <v>0</v>
      </c>
      <c r="G89" s="195"/>
      <c r="H89" s="187"/>
      <c r="I89" s="191"/>
      <c r="J89" s="187"/>
      <c r="K89" s="191"/>
      <c r="L89" s="187"/>
      <c r="M89" s="191"/>
      <c r="N89" s="187"/>
    </row>
    <row r="90" spans="2:21" hidden="1" x14ac:dyDescent="0.25">
      <c r="B90" s="57" t="s">
        <v>84</v>
      </c>
      <c r="C90" s="49"/>
      <c r="D90" s="49"/>
      <c r="E90" s="324"/>
      <c r="F90" s="200">
        <f t="shared" si="11"/>
        <v>0</v>
      </c>
      <c r="G90" s="195"/>
      <c r="H90" s="187"/>
      <c r="I90" s="191"/>
      <c r="J90" s="187"/>
      <c r="K90" s="191"/>
      <c r="L90" s="187"/>
      <c r="M90" s="191"/>
      <c r="N90" s="187"/>
    </row>
    <row r="91" spans="2:21" hidden="1" x14ac:dyDescent="0.25">
      <c r="B91" s="57" t="s">
        <v>85</v>
      </c>
      <c r="C91" s="49"/>
      <c r="D91" s="49"/>
      <c r="E91" s="324"/>
      <c r="F91" s="200">
        <f t="shared" si="11"/>
        <v>0</v>
      </c>
      <c r="G91" s="195"/>
      <c r="H91" s="187"/>
      <c r="I91" s="191"/>
      <c r="J91" s="187"/>
      <c r="K91" s="191"/>
      <c r="L91" s="187"/>
      <c r="M91" s="191"/>
      <c r="N91" s="187"/>
    </row>
    <row r="92" spans="2:21" hidden="1" x14ac:dyDescent="0.25">
      <c r="B92" s="57" t="s">
        <v>87</v>
      </c>
      <c r="C92" s="49"/>
      <c r="D92" s="49"/>
      <c r="E92" s="324"/>
      <c r="F92" s="201">
        <f>SUM(G92:W92)</f>
        <v>0</v>
      </c>
      <c r="G92" s="196"/>
      <c r="H92" s="188"/>
      <c r="I92" s="193"/>
      <c r="J92" s="188"/>
      <c r="K92" s="193"/>
      <c r="L92" s="188"/>
      <c r="M92" s="193"/>
      <c r="N92" s="188"/>
    </row>
    <row r="93" spans="2:21" hidden="1" x14ac:dyDescent="0.25">
      <c r="B93" s="61"/>
      <c r="C93" s="55"/>
      <c r="D93" s="55"/>
      <c r="E93" s="342"/>
      <c r="F93" s="331"/>
      <c r="G93" s="127"/>
      <c r="H93" s="23"/>
      <c r="I93" s="343"/>
      <c r="J93" s="23"/>
      <c r="K93" s="99"/>
      <c r="L93" s="23"/>
      <c r="M93" s="99"/>
      <c r="N93" s="23"/>
    </row>
    <row r="95" spans="2:21" x14ac:dyDescent="0.25">
      <c r="B95" s="1" t="s">
        <v>391</v>
      </c>
    </row>
    <row r="96" spans="2:21" x14ac:dyDescent="0.25">
      <c r="B96" s="1" t="s">
        <v>425</v>
      </c>
    </row>
    <row r="97" spans="2:7" x14ac:dyDescent="0.25">
      <c r="B97" s="1" t="s">
        <v>426</v>
      </c>
    </row>
    <row r="98" spans="2:7" x14ac:dyDescent="0.25">
      <c r="B98" s="1" t="s">
        <v>467</v>
      </c>
    </row>
    <row r="99" spans="2:7" x14ac:dyDescent="0.25">
      <c r="B99" s="1" t="s">
        <v>479</v>
      </c>
    </row>
    <row r="100" spans="2:7" x14ac:dyDescent="0.25">
      <c r="B100" s="1" t="s">
        <v>480</v>
      </c>
    </row>
    <row r="105" spans="2:7" x14ac:dyDescent="0.25">
      <c r="G105" s="17" t="s">
        <v>7</v>
      </c>
    </row>
  </sheetData>
  <mergeCells count="5">
    <mergeCell ref="B2:C2"/>
    <mergeCell ref="B6:D7"/>
    <mergeCell ref="E6:F7"/>
    <mergeCell ref="G6:N7"/>
    <mergeCell ref="B8:D8"/>
  </mergeCells>
  <pageMargins left="0.7" right="0.7" top="0.75" bottom="0.75" header="0.3" footer="0.3"/>
  <pageSetup orientation="portrait" verticalDpi="0" r:id="rId1"/>
  <ignoredErrors>
    <ignoredError sqref="F5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K379"/>
  <sheetViews>
    <sheetView showGridLines="0" zoomScaleNormal="100" workbookViewId="0">
      <selection activeCell="E2" sqref="E2"/>
    </sheetView>
  </sheetViews>
  <sheetFormatPr defaultColWidth="8.88671875" defaultRowHeight="13.2" x14ac:dyDescent="0.25"/>
  <cols>
    <col min="1" max="1" width="1.44140625" style="1" customWidth="1"/>
    <col min="2" max="2" width="8.88671875" style="1" customWidth="1"/>
    <col min="3" max="3" width="15.88671875" style="1" customWidth="1"/>
    <col min="4" max="4" width="4.88671875" style="1" customWidth="1"/>
    <col min="5" max="5" width="10.5546875" style="2" customWidth="1"/>
    <col min="6" max="6" width="11.109375" style="2" customWidth="1"/>
    <col min="7" max="7" width="12.21875" style="2" customWidth="1"/>
    <col min="8" max="8" width="12.44140625" style="18" customWidth="1"/>
    <col min="9" max="9" width="12.77734375" style="18" customWidth="1"/>
    <col min="10" max="10" width="11.88671875" style="18" customWidth="1"/>
    <col min="11" max="11" width="11.33203125" style="18" customWidth="1"/>
    <col min="12" max="12" width="11.21875" style="18" customWidth="1"/>
    <col min="13" max="13" width="11.88671875" style="175" customWidth="1"/>
    <col min="14" max="14" width="11.88671875" style="380" customWidth="1"/>
    <col min="15" max="15" width="10.77734375" style="86" customWidth="1"/>
    <col min="16" max="16" width="12.21875" style="86" customWidth="1"/>
    <col min="17" max="17" width="12.6640625" style="86" customWidth="1"/>
    <col min="18" max="18" width="12.44140625" style="18" customWidth="1"/>
    <col min="19" max="19" width="12.44140625" style="86" customWidth="1"/>
    <col min="20" max="20" width="11.77734375" style="86" customWidth="1"/>
    <col min="21" max="21" width="12.33203125" style="86" customWidth="1"/>
    <col min="22" max="22" width="12.77734375" style="86" customWidth="1"/>
    <col min="23" max="23" width="11.88671875" style="86" customWidth="1"/>
    <col min="24" max="24" width="11.6640625" style="17" customWidth="1"/>
    <col min="25" max="25" width="10.5546875" style="17" customWidth="1"/>
    <col min="26" max="26" width="11.6640625" style="17" customWidth="1"/>
    <col min="27" max="27" width="10.6640625" style="2" customWidth="1"/>
    <col min="28" max="28" width="0.77734375" style="2" customWidth="1"/>
    <col min="29" max="29" width="12.44140625" style="2" customWidth="1"/>
    <col min="30" max="16384" width="8.88671875" style="1"/>
  </cols>
  <sheetData>
    <row r="2" spans="2:29" ht="18.600000000000001" customHeight="1" x14ac:dyDescent="0.25">
      <c r="B2" s="431" t="s">
        <v>375</v>
      </c>
      <c r="C2" s="432"/>
      <c r="E2" s="50"/>
      <c r="F2" s="17"/>
      <c r="G2" s="17"/>
      <c r="H2" s="86"/>
      <c r="I2" s="86"/>
      <c r="J2" s="86"/>
      <c r="K2" s="86"/>
      <c r="L2" s="86"/>
      <c r="R2" s="86"/>
      <c r="AA2" s="17"/>
      <c r="AB2" s="17"/>
      <c r="AC2" s="17"/>
    </row>
    <row r="3" spans="2:29" ht="20.399999999999999" customHeight="1" x14ac:dyDescent="0.3">
      <c r="B3" s="5" t="s">
        <v>170</v>
      </c>
      <c r="E3" s="1"/>
    </row>
    <row r="4" spans="2:29" ht="9" customHeight="1" x14ac:dyDescent="0.3">
      <c r="B4" s="5"/>
      <c r="E4" s="1"/>
      <c r="F4" s="17"/>
      <c r="G4" s="17"/>
      <c r="H4" s="80"/>
      <c r="I4" s="80"/>
      <c r="J4" s="80"/>
      <c r="K4" s="80"/>
      <c r="L4" s="80"/>
      <c r="R4" s="80"/>
      <c r="AA4" s="17"/>
      <c r="AB4" s="17"/>
      <c r="AC4" s="17"/>
    </row>
    <row r="5" spans="2:29" x14ac:dyDescent="0.25">
      <c r="B5" s="100" t="s">
        <v>171</v>
      </c>
      <c r="E5" s="1"/>
      <c r="F5" s="17"/>
      <c r="G5" s="17"/>
      <c r="H5" s="80"/>
      <c r="I5" s="80"/>
      <c r="J5" s="80"/>
      <c r="K5" s="80"/>
      <c r="L5" s="80"/>
      <c r="R5" s="80"/>
      <c r="AA5" s="17"/>
      <c r="AB5" s="17"/>
      <c r="AC5" s="17"/>
    </row>
    <row r="6" spans="2:29" ht="60.6" customHeight="1" x14ac:dyDescent="0.25">
      <c r="B6" s="433" t="s">
        <v>481</v>
      </c>
      <c r="C6" s="433"/>
      <c r="D6" s="433"/>
      <c r="E6" s="433"/>
      <c r="F6" s="433"/>
      <c r="G6" s="433"/>
      <c r="H6" s="433"/>
      <c r="I6" s="433"/>
      <c r="J6" s="433"/>
      <c r="K6" s="433"/>
      <c r="L6" s="433"/>
      <c r="M6" s="433"/>
      <c r="N6" s="377"/>
      <c r="R6" s="80"/>
      <c r="AA6" s="17"/>
      <c r="AB6" s="17"/>
      <c r="AC6" s="17"/>
    </row>
    <row r="7" spans="2:29" x14ac:dyDescent="0.25">
      <c r="E7" s="1"/>
    </row>
    <row r="8" spans="2:29" ht="53.4" customHeight="1" x14ac:dyDescent="0.25">
      <c r="B8" s="434" t="s">
        <v>12</v>
      </c>
      <c r="C8" s="435"/>
      <c r="D8" s="435"/>
      <c r="E8" s="436"/>
      <c r="F8" s="437" t="s">
        <v>172</v>
      </c>
      <c r="G8" s="438"/>
      <c r="H8" s="437" t="s">
        <v>173</v>
      </c>
      <c r="I8" s="438"/>
      <c r="J8" s="439" t="s">
        <v>502</v>
      </c>
      <c r="K8" s="440"/>
      <c r="L8" s="439" t="s">
        <v>178</v>
      </c>
      <c r="M8" s="441"/>
      <c r="N8" s="383"/>
      <c r="O8" s="206"/>
    </row>
    <row r="9" spans="2:29" ht="14.4" customHeight="1" x14ac:dyDescent="0.25">
      <c r="B9" s="443" t="s">
        <v>432</v>
      </c>
      <c r="C9" s="444"/>
      <c r="D9" s="444"/>
      <c r="E9" s="445"/>
      <c r="F9" s="60" t="s">
        <v>13</v>
      </c>
      <c r="G9" s="60" t="s">
        <v>14</v>
      </c>
      <c r="H9" s="60" t="s">
        <v>13</v>
      </c>
      <c r="I9" s="60" t="s">
        <v>14</v>
      </c>
      <c r="J9" s="115" t="s">
        <v>13</v>
      </c>
      <c r="K9" s="115" t="s">
        <v>14</v>
      </c>
      <c r="L9" s="60" t="s">
        <v>13</v>
      </c>
      <c r="M9" s="60" t="s">
        <v>14</v>
      </c>
      <c r="N9" s="384"/>
      <c r="O9" s="207"/>
    </row>
    <row r="10" spans="2:29" x14ac:dyDescent="0.25">
      <c r="B10" s="13"/>
      <c r="C10" s="9"/>
      <c r="D10" s="9"/>
      <c r="E10" s="9"/>
      <c r="F10" s="6"/>
      <c r="G10" s="120"/>
      <c r="H10" s="6"/>
      <c r="I10" s="120"/>
      <c r="J10" s="6"/>
      <c r="K10" s="120"/>
      <c r="L10" s="6"/>
      <c r="M10" s="6"/>
      <c r="N10" s="382"/>
      <c r="O10" s="43"/>
      <c r="Q10" s="24"/>
    </row>
    <row r="11" spans="2:29" ht="14.4" customHeight="1" x14ac:dyDescent="0.25">
      <c r="B11" s="14" t="s">
        <v>15</v>
      </c>
      <c r="C11" s="10"/>
      <c r="D11" s="10"/>
      <c r="E11" s="95">
        <f>F11+H11+J11+L11</f>
        <v>72</v>
      </c>
      <c r="F11" s="7">
        <f>F13+F18+F24+F31+F37+F60+F66+F73</f>
        <v>25</v>
      </c>
      <c r="G11" s="121">
        <f>F11/72</f>
        <v>0.34722222222222221</v>
      </c>
      <c r="H11" s="53">
        <f>SUM(H13+H18+H24+H31+H37+H60+H66+H73)</f>
        <v>28</v>
      </c>
      <c r="I11" s="121">
        <f>H11/72</f>
        <v>0.3888888888888889</v>
      </c>
      <c r="J11" s="7">
        <f>SUM(J13+J18+J24+J31+J37+J60+J66+J73)</f>
        <v>15</v>
      </c>
      <c r="K11" s="121">
        <f>J11/72</f>
        <v>0.20833333333333334</v>
      </c>
      <c r="L11" s="145">
        <f>L13+L18+L24+L31+L37+L60+L66+L73</f>
        <v>4</v>
      </c>
      <c r="M11" s="162">
        <f>L11/72</f>
        <v>5.5555555555555552E-2</v>
      </c>
      <c r="N11" s="121"/>
      <c r="O11" s="208"/>
      <c r="P11" s="24"/>
      <c r="Q11" s="24"/>
      <c r="R11" s="24"/>
      <c r="S11" s="24"/>
      <c r="T11" s="24"/>
      <c r="U11" s="24"/>
      <c r="V11" s="24"/>
      <c r="W11" s="24"/>
    </row>
    <row r="12" spans="2:29" x14ac:dyDescent="0.25">
      <c r="B12" s="15"/>
      <c r="C12" s="12"/>
      <c r="D12" s="12"/>
      <c r="E12" s="56"/>
      <c r="F12" s="7"/>
      <c r="G12" s="39"/>
      <c r="H12" s="7"/>
      <c r="I12" s="39"/>
      <c r="J12" s="7"/>
      <c r="K12" s="118"/>
      <c r="L12" s="7"/>
      <c r="M12" s="7"/>
      <c r="N12" s="382"/>
      <c r="O12" s="43"/>
    </row>
    <row r="13" spans="2:29" x14ac:dyDescent="0.25">
      <c r="B13" s="16" t="s">
        <v>22</v>
      </c>
      <c r="C13" s="11"/>
      <c r="D13" s="11"/>
      <c r="E13" s="156"/>
      <c r="F13" s="8">
        <f>F227</f>
        <v>0</v>
      </c>
      <c r="G13" s="105"/>
      <c r="H13" s="8">
        <v>4</v>
      </c>
      <c r="I13" s="105"/>
      <c r="J13" s="8"/>
      <c r="K13" s="114"/>
      <c r="L13" s="8">
        <v>0</v>
      </c>
      <c r="M13" s="8"/>
      <c r="N13" s="379"/>
      <c r="O13" s="43"/>
      <c r="AA13" s="17"/>
      <c r="AB13" s="17"/>
      <c r="AC13" s="17"/>
    </row>
    <row r="14" spans="2:29" ht="13.2" hidden="1" customHeight="1" x14ac:dyDescent="0.25">
      <c r="B14" s="62" t="s">
        <v>133</v>
      </c>
      <c r="C14" s="11"/>
      <c r="D14" s="11"/>
      <c r="E14" s="96"/>
      <c r="F14" s="63"/>
      <c r="G14" s="105"/>
      <c r="H14" s="8"/>
      <c r="I14" s="105"/>
      <c r="J14" s="63"/>
      <c r="K14" s="114"/>
      <c r="L14" s="8"/>
      <c r="M14" s="8"/>
      <c r="N14" s="379"/>
      <c r="O14" s="43"/>
      <c r="P14" s="106"/>
      <c r="Q14" s="106"/>
      <c r="R14" s="106"/>
      <c r="S14" s="106"/>
      <c r="T14" s="106"/>
      <c r="U14" s="106"/>
      <c r="V14" s="106"/>
      <c r="W14" s="106"/>
      <c r="AA14" s="17"/>
      <c r="AB14" s="17"/>
      <c r="AC14" s="17"/>
    </row>
    <row r="15" spans="2:29" ht="13.2" hidden="1" customHeight="1" x14ac:dyDescent="0.25">
      <c r="B15" s="62" t="s">
        <v>105</v>
      </c>
      <c r="C15" s="11"/>
      <c r="D15" s="11"/>
      <c r="E15" s="96"/>
      <c r="F15" s="63"/>
      <c r="G15" s="148"/>
      <c r="H15" s="8"/>
      <c r="I15" s="148"/>
      <c r="J15" s="63"/>
      <c r="K15" s="148"/>
      <c r="L15" s="8"/>
      <c r="M15" s="8"/>
      <c r="N15" s="379"/>
      <c r="O15" s="43"/>
      <c r="P15" s="149"/>
      <c r="Q15" s="149"/>
      <c r="R15" s="149"/>
      <c r="S15" s="149"/>
      <c r="T15" s="149"/>
      <c r="U15" s="149"/>
      <c r="V15" s="149"/>
      <c r="W15" s="149"/>
      <c r="AA15" s="17"/>
      <c r="AB15" s="17"/>
      <c r="AC15" s="17"/>
    </row>
    <row r="16" spans="2:29" ht="13.2" hidden="1" customHeight="1" x14ac:dyDescent="0.25">
      <c r="B16" s="62" t="s">
        <v>158</v>
      </c>
      <c r="C16" s="11"/>
      <c r="D16" s="11"/>
      <c r="E16" s="96"/>
      <c r="F16" s="63"/>
      <c r="G16" s="148"/>
      <c r="H16" s="8"/>
      <c r="I16" s="148"/>
      <c r="J16" s="63"/>
      <c r="K16" s="148"/>
      <c r="L16" s="8"/>
      <c r="M16" s="8"/>
      <c r="N16" s="379"/>
      <c r="O16" s="43"/>
      <c r="P16" s="149"/>
      <c r="Q16" s="149"/>
      <c r="R16" s="149"/>
      <c r="S16" s="149"/>
      <c r="T16" s="149"/>
      <c r="U16" s="149"/>
      <c r="V16" s="149"/>
      <c r="W16" s="149"/>
      <c r="AA16" s="17"/>
      <c r="AB16" s="17"/>
      <c r="AC16" s="17"/>
    </row>
    <row r="17" spans="2:29" ht="13.2" hidden="1" customHeight="1" x14ac:dyDescent="0.25">
      <c r="B17" s="62" t="s">
        <v>159</v>
      </c>
      <c r="C17" s="11"/>
      <c r="D17" s="11"/>
      <c r="E17" s="96"/>
      <c r="F17" s="63"/>
      <c r="G17" s="105"/>
      <c r="H17" s="8"/>
      <c r="I17" s="105"/>
      <c r="J17" s="63"/>
      <c r="K17" s="114"/>
      <c r="L17" s="63"/>
      <c r="M17" s="8"/>
      <c r="N17" s="379"/>
      <c r="O17" s="43"/>
      <c r="AA17" s="17"/>
      <c r="AB17" s="17"/>
      <c r="AC17" s="17"/>
    </row>
    <row r="18" spans="2:29" ht="14.4" customHeight="1" x14ac:dyDescent="0.25">
      <c r="B18" s="15" t="s">
        <v>20</v>
      </c>
      <c r="C18" s="12"/>
      <c r="D18" s="12"/>
      <c r="E18" s="95"/>
      <c r="F18" s="7">
        <v>2</v>
      </c>
      <c r="G18" s="39"/>
      <c r="H18" s="7">
        <v>0</v>
      </c>
      <c r="I18" s="39"/>
      <c r="J18" s="7">
        <v>3</v>
      </c>
      <c r="K18" s="118"/>
      <c r="L18" s="7">
        <f>I233</f>
        <v>0</v>
      </c>
      <c r="M18" s="7"/>
      <c r="N18" s="382"/>
      <c r="O18" s="43"/>
    </row>
    <row r="19" spans="2:29" ht="14.4" hidden="1" customHeight="1" x14ac:dyDescent="0.25">
      <c r="B19" s="64" t="s">
        <v>160</v>
      </c>
      <c r="C19" s="12"/>
      <c r="D19" s="12"/>
      <c r="E19" s="39"/>
      <c r="F19" s="119"/>
      <c r="G19" s="39"/>
      <c r="H19" s="7"/>
      <c r="I19" s="39"/>
      <c r="J19" s="67">
        <v>1</v>
      </c>
      <c r="K19" s="118"/>
      <c r="L19" s="146"/>
      <c r="M19" s="7"/>
      <c r="N19" s="382"/>
      <c r="O19" s="43"/>
      <c r="AA19" s="17"/>
      <c r="AB19" s="17"/>
      <c r="AC19" s="17"/>
    </row>
    <row r="20" spans="2:29" ht="14.4" hidden="1" customHeight="1" x14ac:dyDescent="0.25">
      <c r="B20" s="64" t="s">
        <v>106</v>
      </c>
      <c r="C20" s="12"/>
      <c r="D20" s="12"/>
      <c r="E20" s="118"/>
      <c r="F20" s="164"/>
      <c r="G20" s="118"/>
      <c r="H20" s="7"/>
      <c r="I20" s="118"/>
      <c r="J20" s="68">
        <v>1</v>
      </c>
      <c r="K20" s="118"/>
      <c r="L20" s="146"/>
      <c r="M20" s="7"/>
      <c r="N20" s="382"/>
      <c r="O20" s="43"/>
      <c r="P20" s="149"/>
      <c r="Q20" s="149"/>
      <c r="R20" s="149"/>
      <c r="S20" s="149"/>
      <c r="T20" s="149"/>
      <c r="U20" s="149"/>
      <c r="V20" s="149"/>
      <c r="W20" s="149"/>
      <c r="AA20" s="17"/>
      <c r="AB20" s="17"/>
      <c r="AC20" s="17"/>
    </row>
    <row r="21" spans="2:29" ht="14.4" hidden="1" customHeight="1" x14ac:dyDescent="0.25">
      <c r="B21" s="64" t="s">
        <v>161</v>
      </c>
      <c r="C21" s="12"/>
      <c r="D21" s="12"/>
      <c r="E21" s="118"/>
      <c r="F21" s="164"/>
      <c r="G21" s="118"/>
      <c r="H21" s="7"/>
      <c r="I21" s="118"/>
      <c r="J21" s="68">
        <v>1</v>
      </c>
      <c r="K21" s="118"/>
      <c r="L21" s="146"/>
      <c r="M21" s="7"/>
      <c r="N21" s="382"/>
      <c r="O21" s="43"/>
      <c r="P21" s="149"/>
      <c r="Q21" s="149"/>
      <c r="R21" s="149"/>
      <c r="S21" s="149"/>
      <c r="T21" s="149"/>
      <c r="U21" s="149"/>
      <c r="V21" s="149"/>
      <c r="W21" s="149"/>
      <c r="AA21" s="17"/>
      <c r="AB21" s="17"/>
      <c r="AC21" s="17"/>
    </row>
    <row r="22" spans="2:29" ht="14.4" hidden="1" customHeight="1" x14ac:dyDescent="0.25">
      <c r="B22" s="64" t="s">
        <v>162</v>
      </c>
      <c r="C22" s="12"/>
      <c r="D22" s="12"/>
      <c r="E22" s="118"/>
      <c r="F22" s="68">
        <v>1</v>
      </c>
      <c r="G22" s="118"/>
      <c r="H22" s="7"/>
      <c r="I22" s="118"/>
      <c r="J22" s="68"/>
      <c r="K22" s="118"/>
      <c r="L22" s="146"/>
      <c r="M22" s="7"/>
      <c r="N22" s="382"/>
      <c r="O22" s="43"/>
      <c r="P22" s="149"/>
      <c r="Q22" s="149"/>
      <c r="R22" s="149"/>
      <c r="S22" s="149"/>
      <c r="T22" s="149"/>
      <c r="U22" s="149"/>
      <c r="V22" s="149"/>
      <c r="W22" s="149"/>
      <c r="AA22" s="17"/>
      <c r="AB22" s="17"/>
      <c r="AC22" s="17"/>
    </row>
    <row r="23" spans="2:29" ht="14.4" hidden="1" customHeight="1" x14ac:dyDescent="0.25">
      <c r="B23" s="64" t="s">
        <v>134</v>
      </c>
      <c r="C23" s="12"/>
      <c r="D23" s="12"/>
      <c r="E23" s="39"/>
      <c r="F23" s="69">
        <v>1</v>
      </c>
      <c r="G23" s="39"/>
      <c r="H23" s="7"/>
      <c r="I23" s="39"/>
      <c r="J23" s="69"/>
      <c r="K23" s="118"/>
      <c r="L23" s="146"/>
      <c r="M23" s="7"/>
      <c r="N23" s="382"/>
      <c r="O23" s="43"/>
      <c r="AA23" s="17"/>
      <c r="AB23" s="17"/>
      <c r="AC23" s="17"/>
    </row>
    <row r="24" spans="2:29" ht="14.4" customHeight="1" x14ac:dyDescent="0.25">
      <c r="B24" s="16" t="s">
        <v>16</v>
      </c>
      <c r="C24" s="11"/>
      <c r="D24" s="11"/>
      <c r="E24" s="156"/>
      <c r="F24" s="8">
        <f>F253</f>
        <v>5</v>
      </c>
      <c r="G24" s="105"/>
      <c r="H24" s="8">
        <f>G253</f>
        <v>5</v>
      </c>
      <c r="I24" s="105"/>
      <c r="J24" s="8">
        <v>1</v>
      </c>
      <c r="K24" s="114"/>
      <c r="L24" s="8">
        <v>0</v>
      </c>
      <c r="M24" s="8"/>
      <c r="N24" s="379"/>
      <c r="O24" s="43"/>
    </row>
    <row r="25" spans="2:29" ht="14.4" hidden="1" customHeight="1" x14ac:dyDescent="0.25">
      <c r="B25" s="62" t="s">
        <v>107</v>
      </c>
      <c r="C25" s="11"/>
      <c r="D25" s="11"/>
      <c r="E25" s="105"/>
      <c r="F25" s="119"/>
      <c r="G25" s="105"/>
      <c r="H25" s="8"/>
      <c r="I25" s="105"/>
      <c r="J25" s="67">
        <v>1</v>
      </c>
      <c r="K25" s="114"/>
      <c r="L25" s="63"/>
      <c r="M25" s="8"/>
      <c r="N25" s="379"/>
      <c r="O25" s="43"/>
      <c r="AA25" s="17"/>
      <c r="AB25" s="17"/>
      <c r="AC25" s="17"/>
    </row>
    <row r="26" spans="2:29" ht="14.4" hidden="1" customHeight="1" x14ac:dyDescent="0.25">
      <c r="B26" s="62" t="s">
        <v>135</v>
      </c>
      <c r="C26" s="11"/>
      <c r="D26" s="11"/>
      <c r="E26" s="105"/>
      <c r="F26" s="68">
        <v>1</v>
      </c>
      <c r="G26" s="105"/>
      <c r="H26" s="8"/>
      <c r="I26" s="105"/>
      <c r="J26" s="68"/>
      <c r="K26" s="114"/>
      <c r="L26" s="63"/>
      <c r="M26" s="8"/>
      <c r="N26" s="379"/>
      <c r="O26" s="43"/>
      <c r="P26" s="106"/>
      <c r="Q26" s="106"/>
      <c r="R26" s="106"/>
      <c r="S26" s="106"/>
      <c r="T26" s="106"/>
      <c r="U26" s="106"/>
      <c r="V26" s="106"/>
      <c r="W26" s="106"/>
      <c r="AA26" s="17"/>
      <c r="AB26" s="17"/>
      <c r="AC26" s="17"/>
    </row>
    <row r="27" spans="2:29" ht="14.4" hidden="1" customHeight="1" x14ac:dyDescent="0.25">
      <c r="B27" s="62" t="s">
        <v>182</v>
      </c>
      <c r="C27" s="11"/>
      <c r="D27" s="11"/>
      <c r="E27" s="174"/>
      <c r="F27" s="68">
        <v>1</v>
      </c>
      <c r="G27" s="174"/>
      <c r="H27" s="8"/>
      <c r="I27" s="174"/>
      <c r="J27" s="68"/>
      <c r="K27" s="174"/>
      <c r="L27" s="63"/>
      <c r="M27" s="8"/>
      <c r="N27" s="379"/>
      <c r="O27" s="43"/>
      <c r="P27" s="175"/>
      <c r="Q27" s="175"/>
      <c r="R27" s="175"/>
      <c r="S27" s="175"/>
      <c r="T27" s="175"/>
      <c r="U27" s="175"/>
      <c r="V27" s="175"/>
      <c r="W27" s="175"/>
      <c r="AA27" s="17"/>
      <c r="AB27" s="17"/>
      <c r="AC27" s="17"/>
    </row>
    <row r="28" spans="2:29" ht="14.4" hidden="1" customHeight="1" x14ac:dyDescent="0.25">
      <c r="B28" s="62" t="s">
        <v>136</v>
      </c>
      <c r="C28" s="11"/>
      <c r="D28" s="11"/>
      <c r="E28" s="105"/>
      <c r="F28" s="68">
        <v>1</v>
      </c>
      <c r="G28" s="105"/>
      <c r="H28" s="8"/>
      <c r="I28" s="105"/>
      <c r="J28" s="68"/>
      <c r="K28" s="114"/>
      <c r="L28" s="63"/>
      <c r="M28" s="8"/>
      <c r="N28" s="379"/>
      <c r="O28" s="43"/>
      <c r="P28" s="106"/>
      <c r="Q28" s="106"/>
      <c r="R28" s="106"/>
      <c r="S28" s="106"/>
      <c r="T28" s="106"/>
      <c r="U28" s="106"/>
      <c r="V28" s="106"/>
      <c r="W28" s="106"/>
      <c r="AA28" s="17"/>
      <c r="AB28" s="17"/>
      <c r="AC28" s="17"/>
    </row>
    <row r="29" spans="2:29" ht="14.4" hidden="1" customHeight="1" x14ac:dyDescent="0.25">
      <c r="B29" s="62" t="s">
        <v>183</v>
      </c>
      <c r="C29" s="11"/>
      <c r="D29" s="11"/>
      <c r="E29" s="174"/>
      <c r="F29" s="68">
        <v>1</v>
      </c>
      <c r="G29" s="174"/>
      <c r="H29" s="8"/>
      <c r="I29" s="174"/>
      <c r="J29" s="68"/>
      <c r="K29" s="174"/>
      <c r="L29" s="63"/>
      <c r="M29" s="8"/>
      <c r="N29" s="379"/>
      <c r="O29" s="43"/>
      <c r="P29" s="175"/>
      <c r="Q29" s="175"/>
      <c r="R29" s="175"/>
      <c r="S29" s="175"/>
      <c r="T29" s="175"/>
      <c r="U29" s="175"/>
      <c r="V29" s="175"/>
      <c r="W29" s="175"/>
      <c r="AA29" s="17"/>
      <c r="AB29" s="17"/>
      <c r="AC29" s="17"/>
    </row>
    <row r="30" spans="2:29" ht="14.4" hidden="1" customHeight="1" x14ac:dyDescent="0.25">
      <c r="B30" s="62" t="s">
        <v>145</v>
      </c>
      <c r="C30" s="11"/>
      <c r="D30" s="11"/>
      <c r="E30" s="114"/>
      <c r="F30" s="69">
        <v>1</v>
      </c>
      <c r="G30" s="114"/>
      <c r="H30" s="8"/>
      <c r="I30" s="114"/>
      <c r="J30" s="69"/>
      <c r="K30" s="114"/>
      <c r="L30" s="63"/>
      <c r="M30" s="8"/>
      <c r="N30" s="379"/>
      <c r="O30" s="43"/>
      <c r="P30" s="110"/>
      <c r="Q30" s="110"/>
      <c r="R30" s="110"/>
      <c r="S30" s="110"/>
      <c r="T30" s="110"/>
      <c r="U30" s="110"/>
      <c r="V30" s="110"/>
      <c r="W30" s="110"/>
      <c r="AA30" s="17"/>
      <c r="AB30" s="17"/>
      <c r="AC30" s="17"/>
    </row>
    <row r="31" spans="2:29" ht="14.4" customHeight="1" x14ac:dyDescent="0.25">
      <c r="B31" s="15" t="s">
        <v>17</v>
      </c>
      <c r="C31" s="12"/>
      <c r="D31" s="12"/>
      <c r="E31" s="95"/>
      <c r="F31" s="7">
        <v>3</v>
      </c>
      <c r="G31" s="39"/>
      <c r="H31" s="7">
        <v>6</v>
      </c>
      <c r="I31" s="39"/>
      <c r="J31" s="7">
        <f>E240</f>
        <v>1</v>
      </c>
      <c r="K31" s="118"/>
      <c r="L31" s="7">
        <v>1</v>
      </c>
      <c r="M31" s="7"/>
      <c r="N31" s="382"/>
      <c r="O31" s="43"/>
    </row>
    <row r="32" spans="2:29" ht="14.4" hidden="1" customHeight="1" x14ac:dyDescent="0.25">
      <c r="B32" s="64" t="s">
        <v>163</v>
      </c>
      <c r="C32" s="65"/>
      <c r="D32" s="65"/>
      <c r="E32" s="97"/>
      <c r="F32" s="67"/>
      <c r="G32" s="97"/>
      <c r="H32" s="66"/>
      <c r="I32" s="97"/>
      <c r="J32" s="67">
        <v>1</v>
      </c>
      <c r="K32" s="143"/>
      <c r="L32" s="67"/>
      <c r="M32" s="144"/>
      <c r="N32" s="143"/>
      <c r="O32" s="205"/>
      <c r="AA32" s="17"/>
      <c r="AB32" s="17"/>
      <c r="AC32" s="17"/>
    </row>
    <row r="33" spans="2:29" ht="14.4" hidden="1" customHeight="1" x14ac:dyDescent="0.25">
      <c r="B33" s="64" t="s">
        <v>177</v>
      </c>
      <c r="C33" s="65"/>
      <c r="D33" s="65"/>
      <c r="E33" s="97"/>
      <c r="F33" s="68">
        <v>1</v>
      </c>
      <c r="G33" s="97"/>
      <c r="H33" s="66"/>
      <c r="I33" s="97"/>
      <c r="J33" s="68"/>
      <c r="K33" s="143"/>
      <c r="L33" s="68"/>
      <c r="M33" s="144"/>
      <c r="N33" s="143"/>
      <c r="O33" s="205"/>
      <c r="P33" s="175"/>
      <c r="Q33" s="175"/>
      <c r="R33" s="175"/>
      <c r="S33" s="175"/>
      <c r="T33" s="175"/>
      <c r="U33" s="175"/>
      <c r="V33" s="175"/>
      <c r="W33" s="175"/>
      <c r="AA33" s="17"/>
      <c r="AB33" s="17"/>
      <c r="AC33" s="17"/>
    </row>
    <row r="34" spans="2:29" ht="14.4" hidden="1" customHeight="1" x14ac:dyDescent="0.25">
      <c r="B34" s="64" t="s">
        <v>108</v>
      </c>
      <c r="C34" s="65"/>
      <c r="D34" s="65"/>
      <c r="E34" s="97"/>
      <c r="F34" s="68">
        <v>1</v>
      </c>
      <c r="G34" s="97"/>
      <c r="H34" s="66"/>
      <c r="I34" s="97"/>
      <c r="J34" s="68"/>
      <c r="K34" s="143"/>
      <c r="L34" s="68"/>
      <c r="M34" s="144"/>
      <c r="N34" s="143"/>
      <c r="O34" s="205"/>
      <c r="P34" s="106"/>
      <c r="Q34" s="106"/>
      <c r="R34" s="106"/>
      <c r="S34" s="106"/>
      <c r="T34" s="106"/>
      <c r="U34" s="106"/>
      <c r="V34" s="106"/>
      <c r="W34" s="106"/>
      <c r="AA34" s="17"/>
      <c r="AB34" s="17"/>
      <c r="AC34" s="17"/>
    </row>
    <row r="35" spans="2:29" ht="14.4" hidden="1" customHeight="1" x14ac:dyDescent="0.25">
      <c r="B35" s="64" t="s">
        <v>181</v>
      </c>
      <c r="C35" s="65"/>
      <c r="D35" s="65"/>
      <c r="E35" s="97"/>
      <c r="F35" s="68"/>
      <c r="G35" s="97"/>
      <c r="H35" s="66"/>
      <c r="I35" s="97"/>
      <c r="J35" s="68"/>
      <c r="K35" s="143"/>
      <c r="L35" s="68">
        <v>1</v>
      </c>
      <c r="M35" s="144"/>
      <c r="N35" s="143"/>
      <c r="O35" s="205"/>
      <c r="P35" s="175"/>
      <c r="Q35" s="175"/>
      <c r="R35" s="175"/>
      <c r="S35" s="175"/>
      <c r="T35" s="175"/>
      <c r="U35" s="175"/>
      <c r="V35" s="175"/>
      <c r="W35" s="175"/>
      <c r="AA35" s="17"/>
      <c r="AB35" s="17"/>
      <c r="AC35" s="17"/>
    </row>
    <row r="36" spans="2:29" ht="14.4" hidden="1" customHeight="1" x14ac:dyDescent="0.25">
      <c r="B36" s="122" t="s">
        <v>137</v>
      </c>
      <c r="C36" s="65"/>
      <c r="D36" s="65"/>
      <c r="E36" s="97"/>
      <c r="F36" s="69">
        <v>1</v>
      </c>
      <c r="G36" s="97"/>
      <c r="H36" s="66"/>
      <c r="I36" s="97"/>
      <c r="J36" s="69"/>
      <c r="K36" s="143"/>
      <c r="L36" s="69"/>
      <c r="M36" s="144"/>
      <c r="N36" s="143"/>
      <c r="O36" s="205"/>
      <c r="AA36" s="17"/>
      <c r="AB36" s="17"/>
      <c r="AC36" s="17"/>
    </row>
    <row r="37" spans="2:29" ht="14.4" customHeight="1" x14ac:dyDescent="0.25">
      <c r="B37" s="16" t="s">
        <v>19</v>
      </c>
      <c r="C37" s="11"/>
      <c r="D37" s="11"/>
      <c r="E37" s="156"/>
      <c r="F37" s="8">
        <v>10</v>
      </c>
      <c r="G37" s="105"/>
      <c r="H37" s="8">
        <v>9</v>
      </c>
      <c r="I37" s="105"/>
      <c r="J37" s="8">
        <v>5</v>
      </c>
      <c r="K37" s="114"/>
      <c r="L37" s="8">
        <v>3</v>
      </c>
      <c r="M37" s="8"/>
      <c r="N37" s="379"/>
      <c r="O37" s="43"/>
    </row>
    <row r="38" spans="2:29" ht="14.4" hidden="1" customHeight="1" x14ac:dyDescent="0.25">
      <c r="B38" s="62" t="s">
        <v>164</v>
      </c>
      <c r="C38" s="70"/>
      <c r="D38" s="70"/>
      <c r="E38" s="98"/>
      <c r="F38" s="67"/>
      <c r="G38" s="98"/>
      <c r="H38" s="63"/>
      <c r="I38" s="98"/>
      <c r="J38" s="67"/>
      <c r="K38" s="98"/>
      <c r="L38" s="63"/>
      <c r="M38" s="63"/>
      <c r="N38" s="98"/>
      <c r="O38" s="205"/>
      <c r="P38" s="106"/>
      <c r="Q38" s="106"/>
      <c r="R38" s="106"/>
      <c r="S38" s="106"/>
      <c r="T38" s="106"/>
      <c r="U38" s="106"/>
      <c r="V38" s="106"/>
      <c r="W38" s="106"/>
      <c r="AA38" s="17"/>
      <c r="AB38" s="17"/>
      <c r="AC38" s="17"/>
    </row>
    <row r="39" spans="2:29" ht="14.4" hidden="1" customHeight="1" x14ac:dyDescent="0.25">
      <c r="B39" s="62" t="s">
        <v>138</v>
      </c>
      <c r="C39" s="70"/>
      <c r="D39" s="70"/>
      <c r="E39" s="98"/>
      <c r="F39" s="67"/>
      <c r="G39" s="98"/>
      <c r="H39" s="63"/>
      <c r="I39" s="98"/>
      <c r="J39" s="67">
        <v>1</v>
      </c>
      <c r="K39" s="98"/>
      <c r="L39" s="67"/>
      <c r="M39" s="63"/>
      <c r="N39" s="98"/>
      <c r="O39" s="205"/>
      <c r="P39" s="149"/>
      <c r="Q39" s="149"/>
      <c r="R39" s="149"/>
      <c r="S39" s="149"/>
      <c r="T39" s="149"/>
      <c r="U39" s="149"/>
      <c r="V39" s="149"/>
      <c r="W39" s="149"/>
      <c r="AA39" s="17"/>
      <c r="AB39" s="17"/>
      <c r="AC39" s="17"/>
    </row>
    <row r="40" spans="2:29" ht="14.4" hidden="1" customHeight="1" x14ac:dyDescent="0.25">
      <c r="B40" s="62" t="s">
        <v>146</v>
      </c>
      <c r="C40" s="70"/>
      <c r="D40" s="70"/>
      <c r="E40" s="98"/>
      <c r="F40" s="68">
        <v>1</v>
      </c>
      <c r="G40" s="98"/>
      <c r="H40" s="63"/>
      <c r="I40" s="98"/>
      <c r="J40" s="68"/>
      <c r="K40" s="98"/>
      <c r="L40" s="68"/>
      <c r="M40" s="63"/>
      <c r="N40" s="98"/>
      <c r="O40" s="205"/>
      <c r="P40" s="110"/>
      <c r="Q40" s="110"/>
      <c r="R40" s="110"/>
      <c r="S40" s="110"/>
      <c r="T40" s="110"/>
      <c r="U40" s="110"/>
      <c r="V40" s="110"/>
      <c r="W40" s="110"/>
      <c r="AA40" s="17"/>
      <c r="AB40" s="17"/>
      <c r="AC40" s="17"/>
    </row>
    <row r="41" spans="2:29" ht="14.4" hidden="1" customHeight="1" x14ac:dyDescent="0.25">
      <c r="B41" s="62" t="s">
        <v>187</v>
      </c>
      <c r="C41" s="70"/>
      <c r="D41" s="70"/>
      <c r="E41" s="98"/>
      <c r="F41" s="68">
        <v>1</v>
      </c>
      <c r="G41" s="98"/>
      <c r="H41" s="63"/>
      <c r="I41" s="98"/>
      <c r="J41" s="68"/>
      <c r="K41" s="98"/>
      <c r="L41" s="68"/>
      <c r="M41" s="63"/>
      <c r="N41" s="98"/>
      <c r="O41" s="205"/>
      <c r="P41" s="175"/>
      <c r="Q41" s="175"/>
      <c r="R41" s="175"/>
      <c r="S41" s="175"/>
      <c r="T41" s="175"/>
      <c r="U41" s="175"/>
      <c r="V41" s="175"/>
      <c r="W41" s="175"/>
      <c r="AA41" s="17"/>
      <c r="AB41" s="17"/>
      <c r="AC41" s="17"/>
    </row>
    <row r="42" spans="2:29" ht="14.4" hidden="1" customHeight="1" x14ac:dyDescent="0.25">
      <c r="B42" s="62" t="s">
        <v>188</v>
      </c>
      <c r="C42" s="70"/>
      <c r="D42" s="70"/>
      <c r="E42" s="98"/>
      <c r="F42" s="68">
        <v>1</v>
      </c>
      <c r="G42" s="98"/>
      <c r="H42" s="63"/>
      <c r="I42" s="98"/>
      <c r="J42" s="68"/>
      <c r="K42" s="98"/>
      <c r="L42" s="68"/>
      <c r="M42" s="63"/>
      <c r="N42" s="98"/>
      <c r="O42" s="205"/>
      <c r="P42" s="175"/>
      <c r="Q42" s="175"/>
      <c r="R42" s="175"/>
      <c r="S42" s="175"/>
      <c r="T42" s="175"/>
      <c r="U42" s="175"/>
      <c r="V42" s="175"/>
      <c r="W42" s="175"/>
      <c r="AA42" s="17"/>
      <c r="AB42" s="17"/>
      <c r="AC42" s="17"/>
    </row>
    <row r="43" spans="2:29" ht="14.4" hidden="1" customHeight="1" x14ac:dyDescent="0.25">
      <c r="B43" s="62" t="s">
        <v>165</v>
      </c>
      <c r="C43" s="70"/>
      <c r="D43" s="70"/>
      <c r="E43" s="98"/>
      <c r="F43" s="68"/>
      <c r="G43" s="98"/>
      <c r="H43" s="63"/>
      <c r="I43" s="98"/>
      <c r="J43" s="68"/>
      <c r="K43" s="98"/>
      <c r="L43" s="68"/>
      <c r="M43" s="63"/>
      <c r="N43" s="98"/>
      <c r="O43" s="205"/>
      <c r="P43" s="149"/>
      <c r="Q43" s="149"/>
      <c r="R43" s="149"/>
      <c r="S43" s="149"/>
      <c r="T43" s="149"/>
      <c r="U43" s="149"/>
      <c r="V43" s="149"/>
      <c r="W43" s="149"/>
      <c r="AA43" s="17"/>
      <c r="AB43" s="17"/>
      <c r="AC43" s="17"/>
    </row>
    <row r="44" spans="2:29" ht="14.4" hidden="1" customHeight="1" x14ac:dyDescent="0.25">
      <c r="B44" s="62" t="s">
        <v>190</v>
      </c>
      <c r="C44" s="70"/>
      <c r="D44" s="70"/>
      <c r="E44" s="98"/>
      <c r="F44" s="68">
        <v>1</v>
      </c>
      <c r="G44" s="98"/>
      <c r="H44" s="63"/>
      <c r="I44" s="98"/>
      <c r="J44" s="68"/>
      <c r="K44" s="98"/>
      <c r="L44" s="68"/>
      <c r="M44" s="63"/>
      <c r="N44" s="98"/>
      <c r="O44" s="205"/>
      <c r="P44" s="149"/>
      <c r="Q44" s="149"/>
      <c r="R44" s="149"/>
      <c r="S44" s="149"/>
      <c r="T44" s="149"/>
      <c r="U44" s="149"/>
      <c r="V44" s="149"/>
      <c r="W44" s="149"/>
      <c r="AA44" s="17"/>
      <c r="AB44" s="17"/>
      <c r="AC44" s="17"/>
    </row>
    <row r="45" spans="2:29" ht="14.4" hidden="1" customHeight="1" x14ac:dyDescent="0.25">
      <c r="B45" s="62" t="s">
        <v>166</v>
      </c>
      <c r="C45" s="70"/>
      <c r="D45" s="70"/>
      <c r="E45" s="98"/>
      <c r="F45" s="68"/>
      <c r="G45" s="98"/>
      <c r="H45" s="63"/>
      <c r="I45" s="98"/>
      <c r="J45" s="68"/>
      <c r="K45" s="98"/>
      <c r="L45" s="68">
        <v>1</v>
      </c>
      <c r="M45" s="63"/>
      <c r="N45" s="98"/>
      <c r="O45" s="205"/>
      <c r="P45" s="175"/>
      <c r="Q45" s="175"/>
      <c r="R45" s="175"/>
      <c r="S45" s="175"/>
      <c r="T45" s="175"/>
      <c r="U45" s="175"/>
      <c r="V45" s="175"/>
      <c r="W45" s="175"/>
      <c r="AA45" s="17"/>
      <c r="AB45" s="17"/>
      <c r="AC45" s="17"/>
    </row>
    <row r="46" spans="2:29" ht="14.4" hidden="1" customHeight="1" x14ac:dyDescent="0.25">
      <c r="B46" s="62" t="s">
        <v>194</v>
      </c>
      <c r="C46" s="70"/>
      <c r="D46" s="70"/>
      <c r="E46" s="98"/>
      <c r="F46" s="68"/>
      <c r="G46" s="98"/>
      <c r="H46" s="63"/>
      <c r="I46" s="98"/>
      <c r="J46" s="68"/>
      <c r="K46" s="98"/>
      <c r="L46" s="68">
        <v>1</v>
      </c>
      <c r="M46" s="63"/>
      <c r="N46" s="98"/>
      <c r="O46" s="205"/>
      <c r="P46" s="175"/>
      <c r="Q46" s="175"/>
      <c r="R46" s="175"/>
      <c r="S46" s="175"/>
      <c r="T46" s="175"/>
      <c r="U46" s="175"/>
      <c r="V46" s="175"/>
      <c r="W46" s="175"/>
      <c r="AA46" s="17"/>
      <c r="AB46" s="17"/>
      <c r="AC46" s="17"/>
    </row>
    <row r="47" spans="2:29" ht="14.4" hidden="1" customHeight="1" x14ac:dyDescent="0.25">
      <c r="B47" s="62" t="s">
        <v>109</v>
      </c>
      <c r="C47" s="70"/>
      <c r="D47" s="70"/>
      <c r="E47" s="98"/>
      <c r="F47" s="68"/>
      <c r="G47" s="98"/>
      <c r="H47" s="63"/>
      <c r="I47" s="98"/>
      <c r="J47" s="68"/>
      <c r="K47" s="98"/>
      <c r="L47" s="68">
        <v>1</v>
      </c>
      <c r="M47" s="63"/>
      <c r="N47" s="98"/>
      <c r="O47" s="205"/>
      <c r="AA47" s="17"/>
      <c r="AB47" s="17"/>
      <c r="AC47" s="17"/>
    </row>
    <row r="48" spans="2:29" ht="14.4" hidden="1" customHeight="1" x14ac:dyDescent="0.25">
      <c r="B48" s="62" t="s">
        <v>193</v>
      </c>
      <c r="C48" s="70"/>
      <c r="D48" s="70"/>
      <c r="E48" s="98"/>
      <c r="F48" s="68">
        <v>1</v>
      </c>
      <c r="G48" s="98"/>
      <c r="H48" s="63"/>
      <c r="I48" s="98"/>
      <c r="J48" s="68"/>
      <c r="K48" s="98"/>
      <c r="L48" s="68"/>
      <c r="M48" s="63"/>
      <c r="N48" s="98"/>
      <c r="O48" s="205"/>
      <c r="P48" s="175"/>
      <c r="Q48" s="175"/>
      <c r="R48" s="175"/>
      <c r="S48" s="175"/>
      <c r="T48" s="175"/>
      <c r="U48" s="175"/>
      <c r="V48" s="175"/>
      <c r="W48" s="175"/>
      <c r="AA48" s="17"/>
      <c r="AB48" s="17"/>
      <c r="AC48" s="17"/>
    </row>
    <row r="49" spans="2:29" ht="14.4" hidden="1" customHeight="1" x14ac:dyDescent="0.25">
      <c r="B49" s="62" t="s">
        <v>140</v>
      </c>
      <c r="C49" s="70"/>
      <c r="D49" s="70"/>
      <c r="E49" s="98"/>
      <c r="F49" s="68"/>
      <c r="G49" s="98"/>
      <c r="H49" s="63"/>
      <c r="I49" s="98"/>
      <c r="J49" s="68">
        <v>1</v>
      </c>
      <c r="K49" s="98"/>
      <c r="L49" s="68"/>
      <c r="M49" s="63"/>
      <c r="N49" s="98"/>
      <c r="O49" s="205"/>
      <c r="P49" s="106"/>
      <c r="Q49" s="106"/>
      <c r="R49" s="106"/>
      <c r="S49" s="106"/>
      <c r="T49" s="106"/>
      <c r="U49" s="106"/>
      <c r="V49" s="106"/>
      <c r="W49" s="106"/>
      <c r="AA49" s="17"/>
      <c r="AB49" s="17"/>
      <c r="AC49" s="17"/>
    </row>
    <row r="50" spans="2:29" ht="14.4" hidden="1" customHeight="1" x14ac:dyDescent="0.25">
      <c r="B50" s="62" t="s">
        <v>110</v>
      </c>
      <c r="C50" s="70"/>
      <c r="D50" s="70"/>
      <c r="E50" s="98"/>
      <c r="F50" s="68">
        <v>1</v>
      </c>
      <c r="G50" s="98"/>
      <c r="H50" s="63"/>
      <c r="I50" s="98"/>
      <c r="J50" s="68"/>
      <c r="K50" s="98"/>
      <c r="L50" s="68"/>
      <c r="M50" s="63"/>
      <c r="N50" s="98"/>
      <c r="O50" s="205"/>
      <c r="AA50" s="17"/>
      <c r="AB50" s="17"/>
      <c r="AC50" s="17"/>
    </row>
    <row r="51" spans="2:29" ht="14.4" hidden="1" customHeight="1" x14ac:dyDescent="0.25">
      <c r="B51" s="62" t="s">
        <v>195</v>
      </c>
      <c r="C51" s="70"/>
      <c r="D51" s="70"/>
      <c r="E51" s="98"/>
      <c r="F51" s="68">
        <v>1</v>
      </c>
      <c r="G51" s="98"/>
      <c r="H51" s="63"/>
      <c r="I51" s="98"/>
      <c r="J51" s="68"/>
      <c r="K51" s="98"/>
      <c r="L51" s="68"/>
      <c r="M51" s="63"/>
      <c r="N51" s="98"/>
      <c r="O51" s="205"/>
      <c r="P51" s="175"/>
      <c r="Q51" s="175"/>
      <c r="R51" s="175"/>
      <c r="S51" s="175"/>
      <c r="T51" s="175"/>
      <c r="U51" s="175"/>
      <c r="V51" s="175"/>
      <c r="W51" s="175"/>
      <c r="AA51" s="17"/>
      <c r="AB51" s="17"/>
      <c r="AC51" s="17"/>
    </row>
    <row r="52" spans="2:29" ht="14.4" hidden="1" customHeight="1" x14ac:dyDescent="0.25">
      <c r="B52" s="62" t="s">
        <v>111</v>
      </c>
      <c r="C52" s="70"/>
      <c r="D52" s="70"/>
      <c r="E52" s="98"/>
      <c r="F52" s="68">
        <v>1</v>
      </c>
      <c r="G52" s="98"/>
      <c r="H52" s="63"/>
      <c r="I52" s="98"/>
      <c r="J52" s="68"/>
      <c r="K52" s="98"/>
      <c r="L52" s="68"/>
      <c r="M52" s="63"/>
      <c r="N52" s="98"/>
      <c r="O52" s="205"/>
      <c r="AA52" s="17"/>
      <c r="AB52" s="17"/>
      <c r="AC52" s="17"/>
    </row>
    <row r="53" spans="2:29" ht="14.4" hidden="1" customHeight="1" x14ac:dyDescent="0.25">
      <c r="B53" s="62" t="s">
        <v>112</v>
      </c>
      <c r="C53" s="70"/>
      <c r="D53" s="70"/>
      <c r="E53" s="98"/>
      <c r="F53" s="68"/>
      <c r="G53" s="98"/>
      <c r="H53" s="63"/>
      <c r="I53" s="98"/>
      <c r="J53" s="68">
        <v>1</v>
      </c>
      <c r="K53" s="98"/>
      <c r="L53" s="68"/>
      <c r="M53" s="63"/>
      <c r="N53" s="98"/>
      <c r="O53" s="205"/>
      <c r="AA53" s="17"/>
      <c r="AB53" s="17"/>
      <c r="AC53" s="17"/>
    </row>
    <row r="54" spans="2:29" ht="14.4" hidden="1" customHeight="1" x14ac:dyDescent="0.25">
      <c r="B54" s="62" t="s">
        <v>167</v>
      </c>
      <c r="C54" s="70"/>
      <c r="D54" s="70"/>
      <c r="E54" s="98"/>
      <c r="F54" s="68"/>
      <c r="G54" s="98"/>
      <c r="H54" s="63"/>
      <c r="I54" s="98"/>
      <c r="J54" s="68"/>
      <c r="K54" s="98"/>
      <c r="L54" s="68"/>
      <c r="M54" s="63"/>
      <c r="N54" s="98"/>
      <c r="O54" s="205"/>
      <c r="P54" s="106"/>
      <c r="Q54" s="106"/>
      <c r="R54" s="106"/>
      <c r="S54" s="106"/>
      <c r="T54" s="106"/>
      <c r="U54" s="106"/>
      <c r="V54" s="106"/>
      <c r="W54" s="106"/>
      <c r="AA54" s="17"/>
      <c r="AB54" s="17"/>
      <c r="AC54" s="17"/>
    </row>
    <row r="55" spans="2:29" ht="14.4" hidden="1" customHeight="1" x14ac:dyDescent="0.25">
      <c r="B55" s="62" t="s">
        <v>196</v>
      </c>
      <c r="C55" s="70"/>
      <c r="D55" s="70"/>
      <c r="E55" s="98"/>
      <c r="F55" s="68"/>
      <c r="G55" s="98"/>
      <c r="H55" s="63"/>
      <c r="I55" s="98"/>
      <c r="J55" s="68">
        <v>1</v>
      </c>
      <c r="K55" s="98"/>
      <c r="L55" s="68"/>
      <c r="M55" s="63"/>
      <c r="N55" s="98"/>
      <c r="O55" s="205"/>
      <c r="P55" s="175"/>
      <c r="Q55" s="175"/>
      <c r="R55" s="175"/>
      <c r="S55" s="175"/>
      <c r="T55" s="175"/>
      <c r="U55" s="175"/>
      <c r="V55" s="175"/>
      <c r="W55" s="175"/>
      <c r="AA55" s="17"/>
      <c r="AB55" s="17"/>
      <c r="AC55" s="17"/>
    </row>
    <row r="56" spans="2:29" ht="14.4" hidden="1" customHeight="1" x14ac:dyDescent="0.25">
      <c r="B56" s="62" t="s">
        <v>139</v>
      </c>
      <c r="C56" s="70"/>
      <c r="D56" s="70"/>
      <c r="E56" s="98"/>
      <c r="F56" s="68">
        <v>1</v>
      </c>
      <c r="G56" s="98"/>
      <c r="H56" s="63"/>
      <c r="I56" s="98"/>
      <c r="J56" s="68"/>
      <c r="K56" s="98"/>
      <c r="L56" s="68"/>
      <c r="M56" s="63"/>
      <c r="N56" s="98"/>
      <c r="O56" s="205"/>
      <c r="AA56" s="17"/>
      <c r="AB56" s="17"/>
      <c r="AC56" s="17"/>
    </row>
    <row r="57" spans="2:29" ht="14.4" hidden="1" customHeight="1" x14ac:dyDescent="0.25">
      <c r="B57" s="62" t="s">
        <v>113</v>
      </c>
      <c r="C57" s="70"/>
      <c r="D57" s="70"/>
      <c r="E57" s="98"/>
      <c r="F57" s="68"/>
      <c r="G57" s="98"/>
      <c r="H57" s="63"/>
      <c r="I57" s="98"/>
      <c r="J57" s="68">
        <v>1</v>
      </c>
      <c r="K57" s="98"/>
      <c r="L57" s="68"/>
      <c r="M57" s="63"/>
      <c r="N57" s="98"/>
      <c r="O57" s="205"/>
      <c r="AA57" s="17"/>
      <c r="AB57" s="17"/>
      <c r="AC57" s="17"/>
    </row>
    <row r="58" spans="2:29" ht="14.4" hidden="1" customHeight="1" x14ac:dyDescent="0.25">
      <c r="B58" s="62" t="s">
        <v>197</v>
      </c>
      <c r="C58" s="70"/>
      <c r="D58" s="70"/>
      <c r="E58" s="98"/>
      <c r="F58" s="68">
        <v>1</v>
      </c>
      <c r="G58" s="98"/>
      <c r="H58" s="63"/>
      <c r="I58" s="98"/>
      <c r="J58" s="68"/>
      <c r="K58" s="98"/>
      <c r="L58" s="68"/>
      <c r="M58" s="63"/>
      <c r="N58" s="98"/>
      <c r="O58" s="205"/>
      <c r="P58" s="175"/>
      <c r="Q58" s="175"/>
      <c r="R58" s="175"/>
      <c r="S58" s="175"/>
      <c r="T58" s="175"/>
      <c r="U58" s="175"/>
      <c r="V58" s="175"/>
      <c r="W58" s="175"/>
      <c r="AA58" s="17"/>
      <c r="AB58" s="17"/>
      <c r="AC58" s="17"/>
    </row>
    <row r="59" spans="2:29" ht="14.4" hidden="1" customHeight="1" x14ac:dyDescent="0.25">
      <c r="B59" s="62" t="s">
        <v>114</v>
      </c>
      <c r="C59" s="70"/>
      <c r="D59" s="70"/>
      <c r="E59" s="98"/>
      <c r="F59" s="69"/>
      <c r="G59" s="98"/>
      <c r="H59" s="63"/>
      <c r="I59" s="98"/>
      <c r="J59" s="69"/>
      <c r="K59" s="98"/>
      <c r="L59" s="69"/>
      <c r="M59" s="63"/>
      <c r="N59" s="98"/>
      <c r="O59" s="205"/>
      <c r="AA59" s="17"/>
      <c r="AB59" s="17"/>
      <c r="AC59" s="17"/>
    </row>
    <row r="60" spans="2:29" ht="14.4" customHeight="1" x14ac:dyDescent="0.25">
      <c r="B60" s="15" t="s">
        <v>18</v>
      </c>
      <c r="C60" s="12"/>
      <c r="D60" s="12"/>
      <c r="E60" s="95"/>
      <c r="F60" s="7">
        <f>F265</f>
        <v>2</v>
      </c>
      <c r="G60" s="39"/>
      <c r="H60" s="7">
        <v>2</v>
      </c>
      <c r="I60" s="39"/>
      <c r="J60" s="7">
        <f>E265</f>
        <v>2</v>
      </c>
      <c r="K60" s="118"/>
      <c r="L60" s="7">
        <v>0</v>
      </c>
      <c r="M60" s="7"/>
      <c r="N60" s="382"/>
      <c r="O60" s="43"/>
    </row>
    <row r="61" spans="2:29" ht="14.4" hidden="1" customHeight="1" x14ac:dyDescent="0.25">
      <c r="B61" s="64" t="s">
        <v>168</v>
      </c>
      <c r="C61" s="12"/>
      <c r="D61" s="12"/>
      <c r="E61" s="39"/>
      <c r="F61" s="67">
        <v>1</v>
      </c>
      <c r="G61" s="39"/>
      <c r="H61" s="7"/>
      <c r="I61" s="39"/>
      <c r="J61" s="67"/>
      <c r="K61" s="118"/>
      <c r="L61" s="144"/>
      <c r="M61" s="7"/>
      <c r="N61" s="382"/>
      <c r="O61" s="43"/>
      <c r="P61" s="106"/>
      <c r="Q61" s="106"/>
      <c r="R61" s="106"/>
      <c r="S61" s="106"/>
      <c r="T61" s="106"/>
      <c r="U61" s="106"/>
      <c r="V61" s="106"/>
      <c r="W61" s="106"/>
      <c r="AA61" s="17"/>
      <c r="AB61" s="17"/>
      <c r="AC61" s="17"/>
    </row>
    <row r="62" spans="2:29" ht="14.4" hidden="1" customHeight="1" x14ac:dyDescent="0.25">
      <c r="B62" s="64" t="s">
        <v>115</v>
      </c>
      <c r="C62" s="12"/>
      <c r="D62" s="12"/>
      <c r="E62" s="118"/>
      <c r="F62" s="68"/>
      <c r="G62" s="118"/>
      <c r="H62" s="7"/>
      <c r="I62" s="118"/>
      <c r="J62" s="68">
        <v>1</v>
      </c>
      <c r="K62" s="118"/>
      <c r="L62" s="144"/>
      <c r="M62" s="7"/>
      <c r="N62" s="382"/>
      <c r="O62" s="43"/>
      <c r="P62" s="149"/>
      <c r="Q62" s="149"/>
      <c r="R62" s="149"/>
      <c r="S62" s="149"/>
      <c r="T62" s="149"/>
      <c r="U62" s="149"/>
      <c r="V62" s="149"/>
      <c r="W62" s="149"/>
      <c r="AA62" s="17"/>
      <c r="AB62" s="17"/>
      <c r="AC62" s="17"/>
    </row>
    <row r="63" spans="2:29" ht="14.4" hidden="1" customHeight="1" x14ac:dyDescent="0.25">
      <c r="B63" s="64" t="s">
        <v>141</v>
      </c>
      <c r="C63" s="12"/>
      <c r="D63" s="12"/>
      <c r="E63" s="39"/>
      <c r="F63" s="68"/>
      <c r="G63" s="39"/>
      <c r="H63" s="7"/>
      <c r="I63" s="39"/>
      <c r="J63" s="68"/>
      <c r="K63" s="118"/>
      <c r="L63" s="144"/>
      <c r="M63" s="7"/>
      <c r="N63" s="382"/>
      <c r="O63" s="43"/>
      <c r="P63" s="106"/>
      <c r="Q63" s="106"/>
      <c r="R63" s="106"/>
      <c r="S63" s="106"/>
      <c r="T63" s="106"/>
      <c r="U63" s="106"/>
      <c r="V63" s="106"/>
      <c r="W63" s="106"/>
      <c r="AA63" s="17"/>
      <c r="AB63" s="17"/>
      <c r="AC63" s="17"/>
    </row>
    <row r="64" spans="2:29" ht="14.4" hidden="1" customHeight="1" x14ac:dyDescent="0.25">
      <c r="B64" s="64" t="s">
        <v>186</v>
      </c>
      <c r="C64" s="12"/>
      <c r="D64" s="12"/>
      <c r="E64" s="118"/>
      <c r="F64" s="68">
        <v>1</v>
      </c>
      <c r="G64" s="118"/>
      <c r="H64" s="7"/>
      <c r="I64" s="118"/>
      <c r="J64" s="68"/>
      <c r="K64" s="118"/>
      <c r="L64" s="144"/>
      <c r="M64" s="7"/>
      <c r="N64" s="382"/>
      <c r="O64" s="43"/>
      <c r="P64" s="175"/>
      <c r="Q64" s="175"/>
      <c r="R64" s="175"/>
      <c r="S64" s="175"/>
      <c r="T64" s="175"/>
      <c r="U64" s="175"/>
      <c r="V64" s="175"/>
      <c r="W64" s="175"/>
      <c r="AA64" s="17"/>
      <c r="AB64" s="17"/>
      <c r="AC64" s="17"/>
    </row>
    <row r="65" spans="2:29" ht="14.4" hidden="1" customHeight="1" x14ac:dyDescent="0.25">
      <c r="B65" s="64" t="s">
        <v>116</v>
      </c>
      <c r="C65" s="12"/>
      <c r="D65" s="12"/>
      <c r="E65" s="39"/>
      <c r="F65" s="69"/>
      <c r="G65" s="39"/>
      <c r="H65" s="7"/>
      <c r="I65" s="39"/>
      <c r="J65" s="69">
        <v>1</v>
      </c>
      <c r="K65" s="118"/>
      <c r="L65" s="144"/>
      <c r="M65" s="7"/>
      <c r="N65" s="382"/>
      <c r="O65" s="43"/>
      <c r="AA65" s="17"/>
      <c r="AB65" s="17"/>
      <c r="AC65" s="17"/>
    </row>
    <row r="66" spans="2:29" ht="14.4" customHeight="1" x14ac:dyDescent="0.25">
      <c r="B66" s="16" t="s">
        <v>0</v>
      </c>
      <c r="C66" s="11"/>
      <c r="D66" s="11"/>
      <c r="E66" s="156"/>
      <c r="F66" s="8">
        <v>2</v>
      </c>
      <c r="G66" s="105"/>
      <c r="H66" s="8">
        <v>2</v>
      </c>
      <c r="I66" s="105"/>
      <c r="J66" s="8">
        <v>3</v>
      </c>
      <c r="K66" s="114"/>
      <c r="L66" s="8">
        <v>0</v>
      </c>
      <c r="M66" s="8"/>
      <c r="N66" s="379"/>
      <c r="O66" s="43"/>
    </row>
    <row r="67" spans="2:29" ht="14.4" hidden="1" customHeight="1" x14ac:dyDescent="0.25">
      <c r="B67" s="71" t="s">
        <v>117</v>
      </c>
      <c r="C67" s="70"/>
      <c r="D67" s="11"/>
      <c r="E67" s="105"/>
      <c r="F67" s="67">
        <v>1</v>
      </c>
      <c r="G67" s="105"/>
      <c r="H67" s="8"/>
      <c r="I67" s="105"/>
      <c r="J67" s="119"/>
      <c r="K67" s="114"/>
      <c r="L67" s="8"/>
      <c r="M67" s="8"/>
      <c r="N67" s="379"/>
      <c r="O67" s="43"/>
      <c r="AA67" s="17"/>
      <c r="AB67" s="17"/>
      <c r="AC67" s="17"/>
    </row>
    <row r="68" spans="2:29" ht="14.4" hidden="1" customHeight="1" x14ac:dyDescent="0.25">
      <c r="B68" s="71" t="s">
        <v>169</v>
      </c>
      <c r="C68" s="70"/>
      <c r="D68" s="11"/>
      <c r="E68" s="148"/>
      <c r="F68" s="68">
        <v>1</v>
      </c>
      <c r="G68" s="148"/>
      <c r="H68" s="8"/>
      <c r="I68" s="148"/>
      <c r="J68" s="164"/>
      <c r="K68" s="148"/>
      <c r="L68" s="8"/>
      <c r="M68" s="8"/>
      <c r="N68" s="379"/>
      <c r="O68" s="43"/>
      <c r="P68" s="149"/>
      <c r="Q68" s="149"/>
      <c r="R68" s="149"/>
      <c r="S68" s="149"/>
      <c r="T68" s="149"/>
      <c r="U68" s="149"/>
      <c r="V68" s="149"/>
      <c r="W68" s="149"/>
      <c r="AA68" s="17"/>
      <c r="AB68" s="17"/>
      <c r="AC68" s="17"/>
    </row>
    <row r="69" spans="2:29" ht="14.4" hidden="1" customHeight="1" x14ac:dyDescent="0.25">
      <c r="B69" s="71" t="s">
        <v>118</v>
      </c>
      <c r="C69" s="70"/>
      <c r="D69" s="11"/>
      <c r="E69" s="105"/>
      <c r="F69" s="68"/>
      <c r="G69" s="105"/>
      <c r="H69" s="8"/>
      <c r="I69" s="105"/>
      <c r="J69" s="68">
        <v>1</v>
      </c>
      <c r="K69" s="114"/>
      <c r="L69" s="63"/>
      <c r="M69" s="8"/>
      <c r="N69" s="379"/>
      <c r="O69" s="43"/>
      <c r="AA69" s="17"/>
      <c r="AB69" s="17"/>
      <c r="AC69" s="17"/>
    </row>
    <row r="70" spans="2:29" ht="14.4" hidden="1" customHeight="1" x14ac:dyDescent="0.25">
      <c r="B70" s="71" t="s">
        <v>119</v>
      </c>
      <c r="C70" s="70"/>
      <c r="D70" s="11"/>
      <c r="E70" s="105"/>
      <c r="F70" s="68"/>
      <c r="G70" s="105"/>
      <c r="H70" s="8"/>
      <c r="I70" s="105"/>
      <c r="J70" s="68">
        <v>1</v>
      </c>
      <c r="K70" s="114"/>
      <c r="L70" s="63"/>
      <c r="M70" s="8"/>
      <c r="N70" s="379"/>
      <c r="O70" s="43"/>
      <c r="AA70" s="17"/>
      <c r="AB70" s="17"/>
      <c r="AC70" s="17"/>
    </row>
    <row r="71" spans="2:29" ht="14.4" hidden="1" customHeight="1" x14ac:dyDescent="0.25">
      <c r="B71" s="71" t="s">
        <v>120</v>
      </c>
      <c r="C71" s="70"/>
      <c r="D71" s="11"/>
      <c r="E71" s="105"/>
      <c r="F71" s="69"/>
      <c r="G71" s="105"/>
      <c r="H71" s="8"/>
      <c r="I71" s="105"/>
      <c r="J71" s="69">
        <v>1</v>
      </c>
      <c r="K71" s="114"/>
      <c r="L71" s="63"/>
      <c r="M71" s="8"/>
      <c r="N71" s="379"/>
      <c r="O71" s="43"/>
      <c r="AA71" s="17"/>
      <c r="AB71" s="17"/>
      <c r="AC71" s="17"/>
    </row>
    <row r="72" spans="2:29" ht="14.4" hidden="1" customHeight="1" x14ac:dyDescent="0.25">
      <c r="B72" s="71" t="s">
        <v>121</v>
      </c>
      <c r="C72" s="70"/>
      <c r="D72" s="11"/>
      <c r="E72" s="105"/>
      <c r="F72" s="69"/>
      <c r="G72" s="105"/>
      <c r="H72" s="8"/>
      <c r="I72" s="105"/>
      <c r="J72" s="69"/>
      <c r="K72" s="114"/>
      <c r="L72" s="63"/>
      <c r="M72" s="8"/>
      <c r="N72" s="379"/>
      <c r="O72" s="43"/>
      <c r="AA72" s="17"/>
      <c r="AB72" s="17"/>
      <c r="AC72" s="17"/>
    </row>
    <row r="73" spans="2:29" ht="14.4" customHeight="1" x14ac:dyDescent="0.25">
      <c r="B73" s="72" t="s">
        <v>94</v>
      </c>
      <c r="C73" s="59"/>
      <c r="D73" s="59"/>
      <c r="E73" s="165"/>
      <c r="F73" s="23">
        <v>1</v>
      </c>
      <c r="G73" s="99"/>
      <c r="H73" s="23">
        <f>G309</f>
        <v>0</v>
      </c>
      <c r="I73" s="99"/>
      <c r="J73" s="23">
        <v>0</v>
      </c>
      <c r="K73" s="123"/>
      <c r="L73" s="23">
        <f>I309</f>
        <v>0</v>
      </c>
      <c r="M73" s="163"/>
      <c r="N73" s="56"/>
      <c r="O73" s="209"/>
      <c r="AA73" s="17"/>
      <c r="AB73" s="17"/>
      <c r="AC73" s="17"/>
    </row>
    <row r="74" spans="2:29" ht="9.6" customHeight="1" x14ac:dyDescent="0.25">
      <c r="B74" s="12"/>
      <c r="C74" s="12"/>
      <c r="D74" s="12"/>
      <c r="E74" s="39"/>
      <c r="F74" s="39"/>
      <c r="G74" s="39"/>
      <c r="H74" s="39"/>
      <c r="I74" s="39"/>
      <c r="J74" s="39"/>
      <c r="K74" s="39"/>
      <c r="L74" s="39"/>
      <c r="M74" s="118"/>
      <c r="N74" s="382"/>
      <c r="AA74" s="17"/>
      <c r="AB74" s="17"/>
      <c r="AC74" s="17"/>
    </row>
    <row r="75" spans="2:29" ht="17.399999999999999" customHeight="1" x14ac:dyDescent="0.25">
      <c r="B75" s="10" t="s">
        <v>200</v>
      </c>
      <c r="C75" s="12"/>
      <c r="D75" s="12"/>
      <c r="E75" s="39"/>
      <c r="F75" s="39"/>
      <c r="G75" s="39"/>
      <c r="H75" s="39"/>
      <c r="I75" s="39"/>
      <c r="J75" s="39"/>
      <c r="K75" s="39"/>
      <c r="L75" s="39"/>
      <c r="M75" s="118"/>
      <c r="N75" s="382"/>
      <c r="R75" s="86"/>
      <c r="AA75" s="17"/>
      <c r="AB75" s="17"/>
      <c r="AC75" s="17"/>
    </row>
    <row r="76" spans="2:29" ht="10.8" customHeight="1" x14ac:dyDescent="0.25">
      <c r="C76" s="12"/>
      <c r="D76" s="12"/>
      <c r="E76" s="39"/>
      <c r="F76" s="39"/>
      <c r="G76" s="39"/>
      <c r="H76" s="39"/>
      <c r="I76" s="39"/>
      <c r="J76" s="39"/>
      <c r="K76" s="39"/>
      <c r="L76" s="39"/>
      <c r="M76" s="118"/>
      <c r="N76" s="382"/>
      <c r="R76" s="86"/>
      <c r="AA76" s="17"/>
      <c r="AB76" s="17"/>
      <c r="AC76" s="17"/>
    </row>
    <row r="77" spans="2:29" ht="26.4" customHeight="1" x14ac:dyDescent="0.25">
      <c r="B77" s="434" t="s">
        <v>95</v>
      </c>
      <c r="C77" s="435"/>
      <c r="D77" s="436"/>
      <c r="E77" s="462" t="s">
        <v>155</v>
      </c>
      <c r="F77" s="463"/>
      <c r="G77" s="467" t="s">
        <v>142</v>
      </c>
      <c r="H77" s="468"/>
      <c r="I77" s="469"/>
      <c r="J77" s="140"/>
      <c r="K77" s="140"/>
      <c r="L77" s="140"/>
      <c r="M77" s="140"/>
      <c r="N77" s="140"/>
      <c r="R77" s="86"/>
      <c r="AA77" s="17"/>
      <c r="AB77" s="17"/>
      <c r="AC77" s="17"/>
    </row>
    <row r="78" spans="2:29" ht="28.2" customHeight="1" x14ac:dyDescent="0.25">
      <c r="B78" s="473"/>
      <c r="C78" s="474"/>
      <c r="D78" s="475"/>
      <c r="E78" s="428" t="s">
        <v>132</v>
      </c>
      <c r="F78" s="428" t="s">
        <v>97</v>
      </c>
      <c r="G78" s="412" t="s">
        <v>189</v>
      </c>
      <c r="H78" s="479" t="s">
        <v>201</v>
      </c>
      <c r="I78" s="472" t="s">
        <v>192</v>
      </c>
      <c r="K78" s="414"/>
      <c r="L78" s="414"/>
      <c r="M78" s="173"/>
      <c r="N78" s="374"/>
      <c r="O78" s="106"/>
      <c r="P78" s="106"/>
      <c r="Q78" s="106"/>
      <c r="R78" s="106"/>
      <c r="S78" s="106"/>
      <c r="T78" s="106"/>
      <c r="U78" s="106"/>
      <c r="AA78" s="17"/>
      <c r="AB78" s="17"/>
      <c r="AC78" s="17"/>
    </row>
    <row r="79" spans="2:29" ht="48.6" customHeight="1" x14ac:dyDescent="0.25">
      <c r="B79" s="476"/>
      <c r="C79" s="477"/>
      <c r="D79" s="478"/>
      <c r="E79" s="429"/>
      <c r="F79" s="429"/>
      <c r="G79" s="413"/>
      <c r="H79" s="480"/>
      <c r="I79" s="413"/>
      <c r="K79" s="414"/>
      <c r="L79" s="414"/>
      <c r="M79" s="173"/>
      <c r="N79" s="374"/>
      <c r="O79" s="106"/>
      <c r="P79" s="106"/>
      <c r="Q79" s="106"/>
      <c r="R79" s="106"/>
      <c r="S79" s="106"/>
      <c r="T79" s="106"/>
      <c r="U79" s="106"/>
      <c r="V79" s="106"/>
      <c r="W79" s="106"/>
      <c r="AA79" s="17"/>
      <c r="AB79" s="17"/>
      <c r="AC79" s="17"/>
    </row>
    <row r="80" spans="2:29" ht="13.2" customHeight="1" x14ac:dyDescent="0.25">
      <c r="B80" s="135"/>
      <c r="C80" s="136"/>
      <c r="D80" s="136"/>
      <c r="E80" s="137"/>
      <c r="F80" s="136"/>
      <c r="G80" s="135"/>
      <c r="H80" s="137"/>
      <c r="I80" s="151"/>
      <c r="K80" s="139"/>
      <c r="L80" s="139"/>
      <c r="M80" s="139"/>
      <c r="N80" s="139"/>
      <c r="O80" s="106"/>
      <c r="P80" s="106"/>
      <c r="Q80" s="106"/>
      <c r="R80" s="106"/>
      <c r="S80" s="106"/>
      <c r="T80" s="106"/>
      <c r="U80" s="106"/>
      <c r="V80" s="106"/>
      <c r="W80" s="106"/>
      <c r="AA80" s="17"/>
      <c r="AB80" s="17"/>
      <c r="AC80" s="17"/>
    </row>
    <row r="81" spans="2:37" ht="13.2" customHeight="1" x14ac:dyDescent="0.25">
      <c r="B81" s="73" t="s">
        <v>8</v>
      </c>
      <c r="C81" s="74"/>
      <c r="D81" s="75"/>
      <c r="E81" s="157">
        <f>E83+E86</f>
        <v>4</v>
      </c>
      <c r="F81" s="218">
        <f>F83+F86</f>
        <v>5</v>
      </c>
      <c r="G81" s="76">
        <f t="shared" ref="G81:I81" si="0">G83+G86</f>
        <v>2</v>
      </c>
      <c r="H81" s="218">
        <f t="shared" si="0"/>
        <v>2</v>
      </c>
      <c r="I81" s="218">
        <f t="shared" si="0"/>
        <v>1</v>
      </c>
      <c r="J81" s="110"/>
      <c r="K81" s="139"/>
      <c r="L81" s="139"/>
      <c r="M81" s="139"/>
      <c r="N81" s="139"/>
      <c r="O81" s="110"/>
      <c r="P81" s="110"/>
      <c r="Q81" s="110"/>
      <c r="R81" s="110"/>
      <c r="S81" s="110"/>
      <c r="T81" s="110"/>
      <c r="U81" s="110"/>
      <c r="V81" s="110"/>
      <c r="W81" s="110"/>
      <c r="AA81" s="17"/>
      <c r="AB81" s="17"/>
      <c r="AC81" s="17"/>
    </row>
    <row r="82" spans="2:37" ht="13.2" customHeight="1" x14ac:dyDescent="0.25">
      <c r="B82" s="135"/>
      <c r="C82" s="136"/>
      <c r="D82" s="151"/>
      <c r="E82" s="142"/>
      <c r="F82" s="139"/>
      <c r="G82" s="211"/>
      <c r="H82" s="142"/>
      <c r="I82" s="214"/>
      <c r="J82" s="110"/>
      <c r="K82" s="139"/>
      <c r="L82" s="139" t="s">
        <v>7</v>
      </c>
      <c r="M82" s="139"/>
      <c r="N82" s="139"/>
      <c r="O82" s="110"/>
      <c r="P82" s="110"/>
      <c r="Q82" s="110"/>
      <c r="R82" s="110"/>
      <c r="S82" s="110"/>
      <c r="T82" s="110"/>
      <c r="U82" s="110"/>
      <c r="V82" s="110"/>
      <c r="W82" s="110"/>
      <c r="AA82" s="17"/>
      <c r="AB82" s="17"/>
      <c r="AC82" s="17"/>
    </row>
    <row r="83" spans="2:37" ht="13.2" customHeight="1" x14ac:dyDescent="0.25">
      <c r="B83" s="58" t="s">
        <v>96</v>
      </c>
      <c r="C83" s="91"/>
      <c r="D83" s="126"/>
      <c r="E83" s="92">
        <v>1</v>
      </c>
      <c r="F83" s="52">
        <f>SUM(F84)</f>
        <v>1</v>
      </c>
      <c r="G83" s="129">
        <f>SUM(G84)</f>
        <v>1</v>
      </c>
      <c r="H83" s="92"/>
      <c r="I83" s="126"/>
      <c r="K83" s="52"/>
      <c r="L83" s="52"/>
      <c r="M83" s="52"/>
      <c r="N83" s="381"/>
      <c r="O83" s="110"/>
      <c r="P83" s="110"/>
      <c r="Q83" s="110"/>
      <c r="R83" s="110"/>
      <c r="S83" s="110"/>
      <c r="T83" s="110"/>
      <c r="U83" s="110"/>
      <c r="V83" s="110"/>
      <c r="W83" s="110"/>
      <c r="AA83" s="17"/>
      <c r="AB83" s="17"/>
      <c r="AC83" s="17"/>
    </row>
    <row r="84" spans="2:37" ht="13.2" customHeight="1" x14ac:dyDescent="0.25">
      <c r="B84" s="57" t="s">
        <v>41</v>
      </c>
      <c r="C84" s="49"/>
      <c r="D84" s="130"/>
      <c r="E84" s="22"/>
      <c r="F84" s="124">
        <f>SUM(G84:I84)</f>
        <v>1</v>
      </c>
      <c r="G84" s="212">
        <v>1</v>
      </c>
      <c r="H84" s="85"/>
      <c r="I84" s="215"/>
      <c r="K84" s="110"/>
      <c r="L84" s="110"/>
      <c r="O84" s="110"/>
      <c r="P84" s="110"/>
      <c r="Q84" s="110"/>
      <c r="R84" s="110"/>
      <c r="S84" s="110"/>
      <c r="T84" s="110"/>
      <c r="U84" s="110"/>
      <c r="V84" s="110"/>
      <c r="W84" s="110"/>
      <c r="AA84" s="17"/>
      <c r="AB84" s="17"/>
      <c r="AC84" s="17"/>
    </row>
    <row r="85" spans="2:37" ht="13.2" customHeight="1" x14ac:dyDescent="0.25">
      <c r="B85" s="57"/>
      <c r="C85" s="12"/>
      <c r="D85" s="152"/>
      <c r="E85" s="7"/>
      <c r="F85" s="118"/>
      <c r="G85" s="113"/>
      <c r="H85" s="6"/>
      <c r="I85" s="216"/>
      <c r="K85" s="110"/>
      <c r="L85" s="110"/>
      <c r="O85" s="110"/>
      <c r="P85" s="110"/>
      <c r="Q85" s="110"/>
      <c r="R85" s="110"/>
      <c r="S85" s="110"/>
      <c r="T85" s="110"/>
      <c r="U85" s="110"/>
      <c r="V85" s="110"/>
      <c r="W85" s="110"/>
      <c r="AA85" s="17"/>
      <c r="AB85" s="17"/>
      <c r="AC85" s="17"/>
    </row>
    <row r="86" spans="2:37" ht="13.2" customHeight="1" x14ac:dyDescent="0.25">
      <c r="B86" s="58" t="s">
        <v>101</v>
      </c>
      <c r="C86" s="12"/>
      <c r="D86" s="152"/>
      <c r="E86" s="141">
        <v>3</v>
      </c>
      <c r="F86" s="95">
        <f>SUM(F87:F90)</f>
        <v>4</v>
      </c>
      <c r="G86" s="213">
        <f>SUM(G87:G90)</f>
        <v>1</v>
      </c>
      <c r="H86" s="141">
        <f>SUM(H87:H90)</f>
        <v>2</v>
      </c>
      <c r="I86" s="217">
        <f>SUM(I87:I90)</f>
        <v>1</v>
      </c>
      <c r="K86" s="110"/>
      <c r="L86" s="110"/>
      <c r="O86" s="110"/>
      <c r="P86" s="110"/>
      <c r="Q86" s="110"/>
      <c r="R86" s="110"/>
      <c r="S86" s="110"/>
      <c r="T86" s="110"/>
      <c r="U86" s="110"/>
      <c r="V86" s="110"/>
      <c r="W86" s="110"/>
      <c r="AA86" s="17"/>
      <c r="AB86" s="17"/>
      <c r="AC86" s="17"/>
    </row>
    <row r="87" spans="2:37" ht="13.2" customHeight="1" x14ac:dyDescent="0.25">
      <c r="B87" s="57" t="s">
        <v>66</v>
      </c>
      <c r="C87" s="12"/>
      <c r="D87" s="152"/>
      <c r="E87" s="113"/>
      <c r="F87" s="82">
        <f>SUM(G87:I87)</f>
        <v>1</v>
      </c>
      <c r="G87" s="102"/>
      <c r="H87" s="82">
        <v>1</v>
      </c>
      <c r="I87" s="131"/>
      <c r="J87" s="147"/>
      <c r="K87" s="147"/>
      <c r="L87" s="147"/>
      <c r="O87" s="147"/>
      <c r="P87" s="147"/>
      <c r="Q87" s="147"/>
      <c r="R87" s="147"/>
      <c r="S87" s="147"/>
      <c r="T87" s="147"/>
      <c r="U87" s="147"/>
      <c r="V87" s="147"/>
      <c r="W87" s="147"/>
      <c r="AA87" s="17"/>
      <c r="AB87" s="17"/>
      <c r="AC87" s="17"/>
    </row>
    <row r="88" spans="2:37" ht="13.2" customHeight="1" x14ac:dyDescent="0.25">
      <c r="B88" s="57" t="s">
        <v>153</v>
      </c>
      <c r="C88" s="12"/>
      <c r="D88" s="152"/>
      <c r="E88" s="113"/>
      <c r="F88" s="83">
        <f>SUM(G88:I88)</f>
        <v>1</v>
      </c>
      <c r="G88" s="101">
        <v>1</v>
      </c>
      <c r="H88" s="83"/>
      <c r="I88" s="103"/>
      <c r="J88" s="175"/>
      <c r="K88" s="175"/>
      <c r="L88" s="175"/>
      <c r="O88" s="175"/>
      <c r="P88" s="175"/>
      <c r="Q88" s="175"/>
      <c r="R88" s="175"/>
      <c r="S88" s="175"/>
      <c r="T88" s="175"/>
      <c r="U88" s="175"/>
      <c r="V88" s="175"/>
      <c r="W88" s="175"/>
      <c r="AA88" s="17"/>
      <c r="AB88" s="17"/>
      <c r="AC88" s="17"/>
    </row>
    <row r="89" spans="2:37" ht="13.2" customHeight="1" x14ac:dyDescent="0.25">
      <c r="B89" s="57" t="s">
        <v>191</v>
      </c>
      <c r="C89" s="12"/>
      <c r="D89" s="152"/>
      <c r="E89" s="113"/>
      <c r="F89" s="84">
        <f>SUM(G89:I89)</f>
        <v>2</v>
      </c>
      <c r="G89" s="104"/>
      <c r="H89" s="84">
        <v>1</v>
      </c>
      <c r="I89" s="182">
        <v>1</v>
      </c>
      <c r="J89" s="175"/>
      <c r="K89" s="175"/>
      <c r="L89" s="175"/>
      <c r="O89" s="175"/>
      <c r="P89" s="175"/>
      <c r="Q89" s="175"/>
      <c r="R89" s="175"/>
      <c r="S89" s="175"/>
      <c r="T89" s="175"/>
      <c r="U89" s="175"/>
      <c r="V89" s="175"/>
      <c r="W89" s="175"/>
      <c r="AA89" s="17"/>
      <c r="AB89" s="17"/>
      <c r="AC89" s="17"/>
    </row>
    <row r="90" spans="2:37" ht="13.2" customHeight="1" x14ac:dyDescent="0.25">
      <c r="B90" s="61"/>
      <c r="C90" s="134"/>
      <c r="D90" s="153"/>
      <c r="E90" s="138"/>
      <c r="F90" s="185"/>
      <c r="G90" s="223"/>
      <c r="H90" s="224"/>
      <c r="I90" s="225"/>
      <c r="K90" s="139"/>
      <c r="L90" s="139"/>
      <c r="M90" s="139"/>
      <c r="N90" s="139"/>
      <c r="O90" s="106"/>
      <c r="P90" s="106"/>
      <c r="Q90" s="106"/>
      <c r="R90" s="106"/>
      <c r="S90" s="106"/>
      <c r="T90" s="106"/>
      <c r="U90" s="106"/>
      <c r="V90" s="106"/>
      <c r="W90" s="106"/>
      <c r="AA90" s="17"/>
      <c r="AB90" s="17"/>
      <c r="AC90" s="17"/>
    </row>
    <row r="91" spans="2:37" ht="6" customHeight="1" x14ac:dyDescent="0.25">
      <c r="B91" s="446"/>
      <c r="C91" s="446"/>
      <c r="D91" s="446"/>
      <c r="E91" s="446"/>
      <c r="F91" s="446"/>
      <c r="G91" s="446"/>
      <c r="H91" s="446"/>
      <c r="I91" s="446"/>
      <c r="J91" s="446"/>
      <c r="K91" s="446"/>
      <c r="L91" s="446"/>
      <c r="M91" s="177"/>
      <c r="N91" s="376"/>
      <c r="O91" s="106"/>
      <c r="P91" s="106"/>
      <c r="Q91" s="106"/>
      <c r="R91" s="106"/>
      <c r="S91" s="106"/>
      <c r="T91" s="106"/>
      <c r="U91" s="106"/>
      <c r="V91" s="106"/>
      <c r="W91" s="106"/>
      <c r="AA91" s="17"/>
      <c r="AB91" s="17"/>
      <c r="AC91" s="17"/>
    </row>
    <row r="92" spans="2:37" ht="16.2" customHeight="1" x14ac:dyDescent="0.25">
      <c r="B92" s="10" t="s">
        <v>494</v>
      </c>
      <c r="C92" s="117"/>
      <c r="D92" s="117"/>
      <c r="E92" s="117"/>
      <c r="F92" s="117"/>
      <c r="G92" s="117"/>
      <c r="H92" s="117"/>
      <c r="I92" s="117"/>
      <c r="J92" s="117"/>
      <c r="K92" s="117"/>
      <c r="L92" s="117"/>
      <c r="M92" s="177"/>
      <c r="N92" s="376"/>
      <c r="O92" s="106"/>
      <c r="P92" s="106"/>
      <c r="Q92" s="106"/>
      <c r="R92" s="106"/>
      <c r="S92" s="106"/>
      <c r="T92" s="106"/>
      <c r="U92" s="106"/>
      <c r="V92" s="106"/>
      <c r="W92" s="106"/>
      <c r="AA92" s="17"/>
      <c r="AB92" s="17"/>
      <c r="AC92" s="17"/>
    </row>
    <row r="93" spans="2:37" ht="8.4" customHeight="1" x14ac:dyDescent="0.25">
      <c r="B93" s="10"/>
      <c r="C93" s="12"/>
      <c r="D93" s="12"/>
      <c r="E93" s="39"/>
      <c r="F93" s="39"/>
      <c r="G93" s="39"/>
      <c r="H93" s="39"/>
      <c r="I93" s="39"/>
      <c r="J93" s="39"/>
      <c r="K93" s="39"/>
      <c r="L93" s="39"/>
      <c r="M93" s="118"/>
      <c r="N93" s="382"/>
      <c r="R93" s="86"/>
      <c r="X93" s="39"/>
      <c r="Y93" s="39"/>
      <c r="Z93" s="39"/>
      <c r="AA93" s="39"/>
      <c r="AB93" s="39"/>
      <c r="AC93" s="39"/>
      <c r="AD93" s="56"/>
      <c r="AE93" s="56"/>
      <c r="AF93" s="56"/>
      <c r="AG93" s="56"/>
      <c r="AH93" s="56"/>
      <c r="AI93" s="56"/>
      <c r="AJ93" s="56"/>
      <c r="AK93" s="56"/>
    </row>
    <row r="94" spans="2:37" ht="38.4" customHeight="1" x14ac:dyDescent="0.25">
      <c r="B94" s="434" t="s">
        <v>95</v>
      </c>
      <c r="C94" s="435"/>
      <c r="D94" s="436"/>
      <c r="E94" s="462" t="s">
        <v>174</v>
      </c>
      <c r="F94" s="463"/>
      <c r="G94" s="425" t="s">
        <v>126</v>
      </c>
      <c r="H94" s="426"/>
      <c r="I94" s="426"/>
      <c r="J94" s="426"/>
      <c r="K94" s="426"/>
      <c r="L94" s="426"/>
      <c r="M94" s="178"/>
      <c r="N94" s="375"/>
      <c r="O94" s="167"/>
      <c r="P94" s="107"/>
      <c r="Q94" s="107"/>
      <c r="R94" s="107"/>
      <c r="S94" s="107"/>
      <c r="T94" s="107"/>
      <c r="U94" s="107"/>
      <c r="V94" s="107"/>
      <c r="W94" s="107"/>
      <c r="X94" s="107"/>
      <c r="Y94" s="107"/>
      <c r="Z94" s="107"/>
      <c r="AA94" s="107"/>
      <c r="AB94" s="49"/>
      <c r="AC94" s="49"/>
      <c r="AD94" s="49"/>
      <c r="AE94" s="49"/>
      <c r="AF94" s="56"/>
      <c r="AG94" s="56"/>
      <c r="AH94" s="56"/>
      <c r="AI94" s="56"/>
      <c r="AJ94" s="56"/>
      <c r="AK94" s="56"/>
    </row>
    <row r="95" spans="2:37" ht="32.4" customHeight="1" x14ac:dyDescent="0.25">
      <c r="B95" s="473"/>
      <c r="C95" s="474"/>
      <c r="D95" s="475"/>
      <c r="E95" s="428" t="s">
        <v>132</v>
      </c>
      <c r="F95" s="412" t="s">
        <v>97</v>
      </c>
      <c r="G95" s="464" t="s">
        <v>176</v>
      </c>
      <c r="H95" s="465"/>
      <c r="I95" s="466"/>
      <c r="J95" s="472" t="s">
        <v>204</v>
      </c>
      <c r="K95" s="412" t="s">
        <v>180</v>
      </c>
      <c r="L95" s="412" t="s">
        <v>199</v>
      </c>
      <c r="M95" s="472" t="s">
        <v>205</v>
      </c>
      <c r="N95" s="412" t="s">
        <v>483</v>
      </c>
      <c r="O95" s="412" t="s">
        <v>179</v>
      </c>
      <c r="P95" s="414" t="s">
        <v>7</v>
      </c>
      <c r="Q95" s="414" t="s">
        <v>7</v>
      </c>
      <c r="R95" s="414"/>
      <c r="S95" s="414"/>
      <c r="T95" s="414"/>
      <c r="U95" s="414"/>
      <c r="V95" s="414"/>
      <c r="W95" s="414"/>
      <c r="X95" s="414"/>
      <c r="Y95" s="414"/>
      <c r="Z95" s="414"/>
      <c r="AA95" s="414"/>
      <c r="AB95" s="34"/>
      <c r="AC95" s="86"/>
    </row>
    <row r="96" spans="2:37" ht="103.2" customHeight="1" x14ac:dyDescent="0.25">
      <c r="B96" s="476"/>
      <c r="C96" s="477"/>
      <c r="D96" s="478"/>
      <c r="E96" s="429"/>
      <c r="F96" s="413"/>
      <c r="G96" s="204" t="s">
        <v>175</v>
      </c>
      <c r="H96" s="172" t="s">
        <v>203</v>
      </c>
      <c r="I96" s="172" t="s">
        <v>202</v>
      </c>
      <c r="J96" s="413"/>
      <c r="K96" s="413"/>
      <c r="L96" s="413"/>
      <c r="M96" s="413"/>
      <c r="N96" s="413"/>
      <c r="O96" s="413"/>
      <c r="P96" s="414"/>
      <c r="Q96" s="414"/>
      <c r="R96" s="414"/>
      <c r="S96" s="414"/>
      <c r="T96" s="414"/>
      <c r="U96" s="414"/>
      <c r="V96" s="414"/>
      <c r="W96" s="414"/>
      <c r="X96" s="414"/>
      <c r="Y96" s="414"/>
      <c r="Z96" s="414"/>
      <c r="AA96" s="414"/>
      <c r="AB96" s="34"/>
      <c r="AC96" s="86"/>
    </row>
    <row r="97" spans="2:29" s="48" customFormat="1" ht="9" customHeight="1" x14ac:dyDescent="0.25">
      <c r="B97" s="57"/>
      <c r="C97" s="49"/>
      <c r="D97" s="52"/>
      <c r="E97" s="21"/>
      <c r="F97" s="86"/>
      <c r="G97" s="89"/>
      <c r="H97" s="86"/>
      <c r="I97" s="87"/>
      <c r="J97" s="86"/>
      <c r="K97" s="87"/>
      <c r="L97" s="160"/>
      <c r="M97" s="160"/>
      <c r="N97" s="160"/>
      <c r="O97" s="168"/>
      <c r="P97" s="34"/>
      <c r="Q97" s="34"/>
      <c r="R97" s="34"/>
      <c r="S97" s="34"/>
      <c r="T97" s="34"/>
      <c r="U97" s="34"/>
      <c r="V97" s="34"/>
      <c r="W97" s="86"/>
      <c r="X97" s="86"/>
      <c r="Y97" s="86"/>
      <c r="Z97" s="86"/>
      <c r="AA97" s="86"/>
      <c r="AB97" s="86"/>
      <c r="AC97" s="86"/>
    </row>
    <row r="98" spans="2:29" x14ac:dyDescent="0.25">
      <c r="B98" s="73" t="s">
        <v>8</v>
      </c>
      <c r="C98" s="74"/>
      <c r="D98" s="75"/>
      <c r="E98" s="166">
        <f>E106+E113+E126+E139+E146+E175+E100</f>
        <v>28</v>
      </c>
      <c r="F98" s="76">
        <f>F106+F113+F126+F139+F146+F175+F184+F100</f>
        <v>36</v>
      </c>
      <c r="G98" s="77">
        <f t="shared" ref="G98:O98" si="1">G106+G113+G126+G139+G146+G175+G100</f>
        <v>5</v>
      </c>
      <c r="H98" s="77">
        <f t="shared" si="1"/>
        <v>1</v>
      </c>
      <c r="I98" s="77">
        <f t="shared" si="1"/>
        <v>2</v>
      </c>
      <c r="J98" s="77">
        <f t="shared" si="1"/>
        <v>2</v>
      </c>
      <c r="K98" s="77">
        <f t="shared" si="1"/>
        <v>2</v>
      </c>
      <c r="L98" s="77">
        <f t="shared" si="1"/>
        <v>7</v>
      </c>
      <c r="M98" s="77">
        <f t="shared" ref="M98:N98" si="2">M106+M113+M126+M139+M146+M175+M100</f>
        <v>8</v>
      </c>
      <c r="N98" s="77">
        <f t="shared" si="2"/>
        <v>2</v>
      </c>
      <c r="O98" s="77">
        <f t="shared" si="1"/>
        <v>7</v>
      </c>
      <c r="R98" s="86"/>
      <c r="W98" s="52"/>
      <c r="X98" s="52"/>
      <c r="Y98" s="52"/>
      <c r="Z98" s="52"/>
      <c r="AA98" s="52"/>
      <c r="AB98" s="86"/>
      <c r="AC98" s="86"/>
    </row>
    <row r="99" spans="2:29" s="48" customFormat="1" x14ac:dyDescent="0.25">
      <c r="B99" s="132" t="s">
        <v>7</v>
      </c>
      <c r="C99" s="170"/>
      <c r="D99" s="171"/>
      <c r="E99" s="21"/>
      <c r="F99" s="125"/>
      <c r="G99" s="89"/>
      <c r="H99" s="125"/>
      <c r="I99" s="21"/>
      <c r="J99" s="125"/>
      <c r="K99" s="21"/>
      <c r="L99" s="161"/>
      <c r="M99" s="21"/>
      <c r="N99" s="21"/>
      <c r="O99" s="21"/>
      <c r="P99" s="86"/>
      <c r="Q99" s="414"/>
      <c r="R99" s="86"/>
      <c r="S99" s="86"/>
      <c r="T99" s="86"/>
      <c r="U99" s="86"/>
      <c r="V99" s="86"/>
      <c r="W99" s="86"/>
      <c r="X99" s="86"/>
      <c r="Y99" s="86"/>
      <c r="Z99" s="86"/>
      <c r="AA99" s="86"/>
      <c r="AB99" s="86"/>
      <c r="AC99" s="86"/>
    </row>
    <row r="100" spans="2:29" s="93" customFormat="1" x14ac:dyDescent="0.25">
      <c r="B100" s="58" t="s">
        <v>122</v>
      </c>
      <c r="C100" s="91"/>
      <c r="D100" s="52"/>
      <c r="E100" s="133">
        <v>4</v>
      </c>
      <c r="F100" s="52">
        <f>SUM(F101:F104)</f>
        <v>7</v>
      </c>
      <c r="G100" s="92">
        <f>SUM(G101:G104)</f>
        <v>4</v>
      </c>
      <c r="H100" s="52">
        <f t="shared" ref="H100:O100" si="3">SUM(H101:H104)</f>
        <v>1</v>
      </c>
      <c r="I100" s="92">
        <f t="shared" si="3"/>
        <v>2</v>
      </c>
      <c r="J100" s="52">
        <f t="shared" si="3"/>
        <v>0</v>
      </c>
      <c r="K100" s="92">
        <f t="shared" si="3"/>
        <v>0</v>
      </c>
      <c r="L100" s="92">
        <f t="shared" si="3"/>
        <v>0</v>
      </c>
      <c r="M100" s="92">
        <f t="shared" ref="M100:N100" si="4">SUM(M101:M104)</f>
        <v>0</v>
      </c>
      <c r="N100" s="92">
        <f t="shared" si="4"/>
        <v>0</v>
      </c>
      <c r="O100" s="92">
        <f t="shared" si="3"/>
        <v>0</v>
      </c>
      <c r="P100" s="86"/>
      <c r="Q100" s="414"/>
      <c r="R100" s="86"/>
      <c r="S100" s="86"/>
      <c r="T100" s="86"/>
      <c r="U100" s="86"/>
      <c r="V100" s="86"/>
      <c r="W100" s="52"/>
      <c r="X100" s="52"/>
      <c r="Y100" s="52"/>
      <c r="Z100" s="52"/>
      <c r="AA100" s="52"/>
      <c r="AB100" s="52"/>
      <c r="AC100" s="52"/>
    </row>
    <row r="101" spans="2:29" ht="13.2" customHeight="1" x14ac:dyDescent="0.25">
      <c r="B101" s="54" t="s">
        <v>124</v>
      </c>
      <c r="C101" s="56"/>
      <c r="D101" s="47"/>
      <c r="E101" s="22"/>
      <c r="F101" s="199">
        <f>SUM(G101:O101)</f>
        <v>3</v>
      </c>
      <c r="G101" s="186">
        <v>1</v>
      </c>
      <c r="H101" s="189">
        <v>1</v>
      </c>
      <c r="I101" s="186">
        <v>1</v>
      </c>
      <c r="J101" s="189"/>
      <c r="K101" s="186"/>
      <c r="L101" s="190"/>
      <c r="M101" s="186"/>
      <c r="N101" s="186"/>
      <c r="O101" s="186"/>
      <c r="R101" s="86"/>
      <c r="X101" s="86"/>
      <c r="Y101" s="86"/>
      <c r="Z101" s="86"/>
      <c r="AA101" s="86"/>
      <c r="AB101" s="86"/>
      <c r="AC101" s="86"/>
    </row>
    <row r="102" spans="2:29" ht="13.2" customHeight="1" x14ac:dyDescent="0.25">
      <c r="B102" s="54" t="s">
        <v>6</v>
      </c>
      <c r="C102" s="56"/>
      <c r="D102" s="47"/>
      <c r="E102" s="22"/>
      <c r="F102" s="200">
        <f>SUM(G102:O102)</f>
        <v>2</v>
      </c>
      <c r="G102" s="187">
        <v>1</v>
      </c>
      <c r="H102" s="191"/>
      <c r="I102" s="187">
        <v>1</v>
      </c>
      <c r="J102" s="191"/>
      <c r="K102" s="187"/>
      <c r="L102" s="192"/>
      <c r="M102" s="187"/>
      <c r="N102" s="187"/>
      <c r="O102" s="187"/>
      <c r="R102" s="86"/>
      <c r="X102" s="86"/>
      <c r="Y102" s="86"/>
      <c r="Z102" s="86"/>
      <c r="AA102" s="86"/>
      <c r="AB102" s="86"/>
      <c r="AC102" s="86"/>
    </row>
    <row r="103" spans="2:29" ht="13.2" customHeight="1" x14ac:dyDescent="0.25">
      <c r="B103" s="54" t="s">
        <v>3</v>
      </c>
      <c r="C103" s="56"/>
      <c r="D103" s="47"/>
      <c r="E103" s="22"/>
      <c r="F103" s="200">
        <f>SUM(G103:O103)</f>
        <v>1</v>
      </c>
      <c r="G103" s="187">
        <v>1</v>
      </c>
      <c r="H103" s="191"/>
      <c r="I103" s="187"/>
      <c r="J103" s="191"/>
      <c r="K103" s="187"/>
      <c r="L103" s="192"/>
      <c r="M103" s="187"/>
      <c r="N103" s="187"/>
      <c r="O103" s="187"/>
      <c r="R103" s="86"/>
      <c r="X103" s="86"/>
      <c r="Y103" s="86"/>
      <c r="Z103" s="86"/>
      <c r="AA103" s="86"/>
      <c r="AB103" s="86"/>
      <c r="AC103" s="86"/>
    </row>
    <row r="104" spans="2:29" ht="13.2" customHeight="1" x14ac:dyDescent="0.25">
      <c r="B104" s="54" t="s">
        <v>23</v>
      </c>
      <c r="C104" s="56"/>
      <c r="D104" s="47"/>
      <c r="E104" s="22"/>
      <c r="F104" s="201">
        <f>SUM(G104:O104)</f>
        <v>1</v>
      </c>
      <c r="G104" s="188">
        <v>1</v>
      </c>
      <c r="H104" s="193"/>
      <c r="I104" s="188"/>
      <c r="J104" s="193"/>
      <c r="K104" s="188"/>
      <c r="L104" s="194"/>
      <c r="M104" s="188"/>
      <c r="N104" s="188"/>
      <c r="O104" s="188"/>
      <c r="P104" s="86" t="s">
        <v>7</v>
      </c>
      <c r="R104" s="86"/>
      <c r="X104" s="86"/>
      <c r="Y104" s="86"/>
      <c r="Z104" s="86"/>
      <c r="AA104" s="86"/>
      <c r="AB104" s="86"/>
      <c r="AC104" s="86"/>
    </row>
    <row r="105" spans="2:29" s="48" customFormat="1" ht="13.2" customHeight="1" x14ac:dyDescent="0.25">
      <c r="B105" s="57" t="s">
        <v>7</v>
      </c>
      <c r="C105" s="49"/>
      <c r="D105" s="52"/>
      <c r="E105" s="22"/>
      <c r="F105" s="154"/>
      <c r="G105" s="90"/>
      <c r="H105" s="154"/>
      <c r="I105" s="22"/>
      <c r="J105" s="154"/>
      <c r="K105" s="22"/>
      <c r="L105" s="81"/>
      <c r="M105" s="22"/>
      <c r="N105" s="22"/>
      <c r="O105" s="22"/>
      <c r="P105" s="86"/>
      <c r="Q105" s="86"/>
      <c r="R105" s="86"/>
      <c r="S105" s="86"/>
      <c r="T105" s="86"/>
      <c r="U105" s="86"/>
      <c r="V105" s="86"/>
      <c r="W105" s="86"/>
      <c r="X105" s="86"/>
      <c r="Y105" s="86"/>
      <c r="Z105" s="86"/>
      <c r="AA105" s="86"/>
      <c r="AB105" s="86"/>
      <c r="AC105" s="86"/>
    </row>
    <row r="106" spans="2:29" s="93" customFormat="1" x14ac:dyDescent="0.25">
      <c r="B106" s="58" t="s">
        <v>27</v>
      </c>
      <c r="C106" s="91"/>
      <c r="D106" s="52"/>
      <c r="E106" s="133"/>
      <c r="F106" s="52">
        <f>SUM(F107:F111)</f>
        <v>0</v>
      </c>
      <c r="G106" s="92">
        <f>SUM(G107:G111)</f>
        <v>0</v>
      </c>
      <c r="H106" s="52">
        <f t="shared" ref="H106:O106" si="5">SUM(H107:H111)</f>
        <v>0</v>
      </c>
      <c r="I106" s="92">
        <f t="shared" si="5"/>
        <v>0</v>
      </c>
      <c r="J106" s="52">
        <f t="shared" si="5"/>
        <v>0</v>
      </c>
      <c r="K106" s="92">
        <f t="shared" si="5"/>
        <v>0</v>
      </c>
      <c r="L106" s="126">
        <f t="shared" si="5"/>
        <v>0</v>
      </c>
      <c r="M106" s="92">
        <f t="shared" ref="M106:N106" si="6">SUM(M107:M111)</f>
        <v>0</v>
      </c>
      <c r="N106" s="92">
        <f t="shared" si="6"/>
        <v>0</v>
      </c>
      <c r="O106" s="92">
        <f t="shared" si="5"/>
        <v>0</v>
      </c>
      <c r="P106" s="86"/>
      <c r="Q106" s="86"/>
      <c r="R106" s="86"/>
      <c r="S106" s="86"/>
      <c r="T106" s="86"/>
      <c r="U106" s="86"/>
      <c r="V106" s="86"/>
      <c r="W106" s="52"/>
      <c r="X106" s="52"/>
      <c r="Y106" s="52"/>
      <c r="Z106" s="52"/>
      <c r="AA106" s="52"/>
      <c r="AB106" s="52"/>
      <c r="AC106" s="52"/>
    </row>
    <row r="107" spans="2:29" s="93" customFormat="1" ht="13.2" hidden="1" customHeight="1" x14ac:dyDescent="0.25">
      <c r="B107" s="57" t="s">
        <v>1</v>
      </c>
      <c r="C107" s="91"/>
      <c r="D107" s="52"/>
      <c r="E107" s="92"/>
      <c r="F107" s="179">
        <f>SUM(G107:I107)</f>
        <v>0</v>
      </c>
      <c r="G107" s="82"/>
      <c r="H107" s="158"/>
      <c r="I107" s="108"/>
      <c r="J107" s="158"/>
      <c r="K107" s="108"/>
      <c r="L107" s="183"/>
      <c r="M107" s="186"/>
      <c r="N107" s="186"/>
      <c r="O107" s="186"/>
      <c r="P107" s="86"/>
      <c r="Q107" s="86"/>
      <c r="R107" s="86"/>
      <c r="S107" s="86"/>
      <c r="T107" s="86"/>
      <c r="U107" s="86"/>
      <c r="V107" s="86"/>
      <c r="W107" s="52"/>
      <c r="X107" s="52"/>
      <c r="Y107" s="52"/>
      <c r="Z107" s="52"/>
      <c r="AA107" s="52"/>
      <c r="AB107" s="52"/>
      <c r="AC107" s="52"/>
    </row>
    <row r="108" spans="2:29" s="93" customFormat="1" ht="13.2" hidden="1" customHeight="1" x14ac:dyDescent="0.25">
      <c r="B108" s="57" t="s">
        <v>2</v>
      </c>
      <c r="C108" s="91"/>
      <c r="D108" s="52"/>
      <c r="E108" s="92"/>
      <c r="F108" s="180">
        <f>SUM(G108:L108)</f>
        <v>0</v>
      </c>
      <c r="G108" s="83"/>
      <c r="H108" s="155"/>
      <c r="I108" s="109"/>
      <c r="J108" s="155"/>
      <c r="K108" s="109"/>
      <c r="L108" s="184"/>
      <c r="M108" s="187"/>
      <c r="N108" s="187"/>
      <c r="O108" s="187"/>
      <c r="P108" s="86"/>
      <c r="Q108" s="86"/>
      <c r="R108" s="86"/>
      <c r="S108" s="86"/>
      <c r="T108" s="86"/>
      <c r="U108" s="86"/>
      <c r="V108" s="86"/>
      <c r="W108" s="52"/>
      <c r="X108" s="52"/>
      <c r="Y108" s="52"/>
      <c r="Z108" s="52"/>
      <c r="AA108" s="52"/>
      <c r="AB108" s="52"/>
      <c r="AC108" s="52"/>
    </row>
    <row r="109" spans="2:29" s="93" customFormat="1" ht="13.2" hidden="1" customHeight="1" x14ac:dyDescent="0.25">
      <c r="B109" s="57" t="s">
        <v>24</v>
      </c>
      <c r="C109" s="91"/>
      <c r="D109" s="52"/>
      <c r="E109" s="92"/>
      <c r="F109" s="180">
        <f>SUM(G109:L109)</f>
        <v>0</v>
      </c>
      <c r="G109" s="83"/>
      <c r="H109" s="101"/>
      <c r="I109" s="109"/>
      <c r="J109" s="155"/>
      <c r="K109" s="109"/>
      <c r="L109" s="103"/>
      <c r="M109" s="187"/>
      <c r="N109" s="187"/>
      <c r="O109" s="187"/>
      <c r="P109" s="86"/>
      <c r="Q109" s="86"/>
      <c r="R109" s="86"/>
      <c r="S109" s="86"/>
      <c r="T109" s="86"/>
      <c r="U109" s="86"/>
      <c r="V109" s="86"/>
      <c r="W109" s="52"/>
      <c r="X109" s="52"/>
      <c r="Y109" s="52"/>
      <c r="Z109" s="52"/>
      <c r="AA109" s="52"/>
      <c r="AB109" s="52"/>
      <c r="AC109" s="52"/>
    </row>
    <row r="110" spans="2:29" ht="13.2" hidden="1" customHeight="1" x14ac:dyDescent="0.25">
      <c r="B110" s="57" t="s">
        <v>24</v>
      </c>
      <c r="C110" s="49"/>
      <c r="D110" s="49"/>
      <c r="E110" s="22"/>
      <c r="F110" s="180">
        <f>SUM(G110:L110)</f>
        <v>0</v>
      </c>
      <c r="G110" s="83"/>
      <c r="H110" s="101"/>
      <c r="I110" s="83"/>
      <c r="J110" s="101"/>
      <c r="K110" s="83"/>
      <c r="L110" s="103"/>
      <c r="M110" s="187"/>
      <c r="N110" s="187"/>
      <c r="O110" s="187"/>
      <c r="R110" s="86"/>
      <c r="X110" s="86"/>
      <c r="Y110" s="86"/>
      <c r="Z110" s="86"/>
      <c r="AA110" s="86"/>
      <c r="AB110" s="86"/>
      <c r="AC110" s="86"/>
    </row>
    <row r="111" spans="2:29" s="48" customFormat="1" ht="13.2" hidden="1" customHeight="1" x14ac:dyDescent="0.25">
      <c r="B111" s="57" t="s">
        <v>25</v>
      </c>
      <c r="C111" s="49"/>
      <c r="D111" s="49"/>
      <c r="E111" s="22" t="s">
        <v>7</v>
      </c>
      <c r="F111" s="181">
        <f>SUM(G111:L111)</f>
        <v>0</v>
      </c>
      <c r="G111" s="88"/>
      <c r="H111" s="104"/>
      <c r="I111" s="84"/>
      <c r="J111" s="104"/>
      <c r="K111" s="84"/>
      <c r="L111" s="182"/>
      <c r="M111" s="188"/>
      <c r="N111" s="188"/>
      <c r="O111" s="188"/>
      <c r="P111" s="86"/>
      <c r="Q111" s="86"/>
      <c r="R111" s="86"/>
      <c r="S111" s="86"/>
      <c r="T111" s="86"/>
      <c r="U111" s="86"/>
      <c r="V111" s="86"/>
      <c r="W111" s="86"/>
      <c r="X111" s="86"/>
      <c r="Y111" s="86"/>
      <c r="Z111" s="86"/>
      <c r="AA111" s="86"/>
      <c r="AB111" s="86"/>
      <c r="AC111" s="86"/>
    </row>
    <row r="112" spans="2:29" s="48" customFormat="1" x14ac:dyDescent="0.25">
      <c r="B112" s="57"/>
      <c r="C112" s="49"/>
      <c r="D112" s="49"/>
      <c r="E112" s="22"/>
      <c r="F112" s="154"/>
      <c r="G112" s="90"/>
      <c r="H112" s="154"/>
      <c r="I112" s="22"/>
      <c r="J112" s="154"/>
      <c r="K112" s="22"/>
      <c r="L112" s="90"/>
      <c r="M112" s="22"/>
      <c r="N112" s="22"/>
      <c r="O112" s="22"/>
      <c r="P112" s="86" t="s">
        <v>7</v>
      </c>
      <c r="Q112" s="86"/>
      <c r="R112" s="86"/>
      <c r="S112" s="86"/>
      <c r="T112" s="86"/>
      <c r="U112" s="86"/>
      <c r="V112" s="86"/>
      <c r="W112" s="86"/>
      <c r="X112" s="86"/>
      <c r="Y112" s="86"/>
      <c r="Z112" s="86"/>
      <c r="AA112" s="86"/>
      <c r="AB112" s="86"/>
      <c r="AC112" s="86"/>
    </row>
    <row r="113" spans="2:29" s="93" customFormat="1" x14ac:dyDescent="0.25">
      <c r="B113" s="58" t="s">
        <v>96</v>
      </c>
      <c r="C113" s="91"/>
      <c r="D113" s="52"/>
      <c r="E113" s="92">
        <v>6</v>
      </c>
      <c r="F113" s="52">
        <f t="shared" ref="F113:O113" si="7">SUM(F114:F124)</f>
        <v>7</v>
      </c>
      <c r="G113" s="94">
        <f t="shared" si="7"/>
        <v>1</v>
      </c>
      <c r="H113" s="52">
        <f t="shared" si="7"/>
        <v>0</v>
      </c>
      <c r="I113" s="94">
        <f t="shared" si="7"/>
        <v>0</v>
      </c>
      <c r="J113" s="159">
        <f t="shared" si="7"/>
        <v>0</v>
      </c>
      <c r="K113" s="94">
        <f t="shared" si="7"/>
        <v>1</v>
      </c>
      <c r="L113" s="94">
        <f t="shared" si="7"/>
        <v>1</v>
      </c>
      <c r="M113" s="94">
        <f t="shared" ref="M113:N113" si="8">SUM(M114:M124)</f>
        <v>2</v>
      </c>
      <c r="N113" s="94">
        <f t="shared" si="8"/>
        <v>1</v>
      </c>
      <c r="O113" s="94">
        <f t="shared" si="7"/>
        <v>1</v>
      </c>
      <c r="P113" s="86"/>
      <c r="Q113" s="86"/>
      <c r="R113" s="86"/>
      <c r="S113" s="86"/>
      <c r="T113" s="86"/>
      <c r="U113" s="86"/>
      <c r="V113" s="86"/>
      <c r="W113" s="52"/>
      <c r="X113" s="52"/>
      <c r="Y113" s="52"/>
      <c r="Z113" s="52"/>
      <c r="AA113" s="52"/>
      <c r="AB113" s="52"/>
      <c r="AC113" s="52"/>
    </row>
    <row r="114" spans="2:29" s="48" customFormat="1" hidden="1" x14ac:dyDescent="0.25">
      <c r="B114" s="57" t="s">
        <v>33</v>
      </c>
      <c r="C114" s="49"/>
      <c r="D114" s="49"/>
      <c r="E114" s="22"/>
      <c r="F114" s="131">
        <f t="shared" ref="F114:F123" si="9">SUM(G114:L114)</f>
        <v>0</v>
      </c>
      <c r="G114" s="82"/>
      <c r="H114" s="102"/>
      <c r="I114" s="82"/>
      <c r="J114" s="102"/>
      <c r="K114" s="82"/>
      <c r="L114" s="82"/>
      <c r="M114" s="22"/>
      <c r="N114" s="22"/>
      <c r="O114" s="22"/>
      <c r="P114" s="86"/>
      <c r="Q114" s="86"/>
      <c r="R114" s="86"/>
      <c r="S114" s="86"/>
      <c r="T114" s="86"/>
      <c r="U114" s="86"/>
      <c r="V114" s="86"/>
      <c r="W114" s="86"/>
      <c r="X114" s="86"/>
      <c r="Y114" s="86"/>
      <c r="Z114" s="86"/>
      <c r="AA114" s="86"/>
      <c r="AB114" s="86"/>
      <c r="AC114" s="86"/>
    </row>
    <row r="115" spans="2:29" s="48" customFormat="1" x14ac:dyDescent="0.25">
      <c r="B115" s="57" t="s">
        <v>34</v>
      </c>
      <c r="C115" s="49"/>
      <c r="D115" s="49"/>
      <c r="E115" s="22"/>
      <c r="F115" s="199">
        <f t="shared" ref="F115:F122" si="10">SUM(G115:O115)</f>
        <v>2</v>
      </c>
      <c r="G115" s="186">
        <v>1</v>
      </c>
      <c r="H115" s="189"/>
      <c r="I115" s="186"/>
      <c r="J115" s="189"/>
      <c r="K115" s="186"/>
      <c r="L115" s="186"/>
      <c r="M115" s="186">
        <v>1</v>
      </c>
      <c r="N115" s="186"/>
      <c r="O115" s="186"/>
      <c r="P115" s="86"/>
      <c r="Q115" s="86"/>
      <c r="R115" s="86"/>
      <c r="S115" s="86"/>
      <c r="T115" s="86"/>
      <c r="U115" s="86"/>
      <c r="V115" s="86"/>
      <c r="W115" s="86"/>
      <c r="X115" s="86"/>
      <c r="Y115" s="86"/>
      <c r="Z115" s="86"/>
      <c r="AA115" s="86"/>
      <c r="AB115" s="86"/>
      <c r="AC115" s="86"/>
    </row>
    <row r="116" spans="2:29" s="48" customFormat="1" ht="13.2" hidden="1" customHeight="1" x14ac:dyDescent="0.25">
      <c r="B116" s="57" t="s">
        <v>35</v>
      </c>
      <c r="C116" s="49"/>
      <c r="D116" s="49"/>
      <c r="E116" s="22"/>
      <c r="F116" s="200">
        <f t="shared" si="10"/>
        <v>0</v>
      </c>
      <c r="G116" s="187"/>
      <c r="H116" s="191"/>
      <c r="I116" s="187"/>
      <c r="J116" s="191"/>
      <c r="K116" s="187"/>
      <c r="L116" s="187"/>
      <c r="M116" s="187"/>
      <c r="N116" s="187"/>
      <c r="O116" s="187"/>
      <c r="P116" s="86"/>
      <c r="Q116" s="86"/>
      <c r="R116" s="86"/>
      <c r="S116" s="86"/>
      <c r="T116" s="86"/>
      <c r="U116" s="86"/>
      <c r="V116" s="86"/>
      <c r="W116" s="86"/>
      <c r="X116" s="86"/>
      <c r="Y116" s="86"/>
      <c r="Z116" s="86"/>
      <c r="AA116" s="86"/>
      <c r="AB116" s="86"/>
      <c r="AC116" s="86"/>
    </row>
    <row r="117" spans="2:29" s="48" customFormat="1" ht="13.2" customHeight="1" x14ac:dyDescent="0.25">
      <c r="B117" s="57" t="s">
        <v>36</v>
      </c>
      <c r="C117" s="49"/>
      <c r="D117" s="49"/>
      <c r="E117" s="22"/>
      <c r="F117" s="200">
        <f t="shared" si="10"/>
        <v>1</v>
      </c>
      <c r="G117" s="187"/>
      <c r="H117" s="191"/>
      <c r="I117" s="187"/>
      <c r="J117" s="191"/>
      <c r="K117" s="187"/>
      <c r="L117" s="187"/>
      <c r="M117" s="187"/>
      <c r="N117" s="187">
        <v>1</v>
      </c>
      <c r="O117" s="187"/>
      <c r="P117" s="86"/>
      <c r="Q117" s="86"/>
      <c r="R117" s="86"/>
      <c r="S117" s="86"/>
      <c r="T117" s="86"/>
      <c r="U117" s="86"/>
      <c r="V117" s="86"/>
      <c r="W117" s="86"/>
      <c r="X117" s="86"/>
      <c r="Y117" s="86"/>
      <c r="Z117" s="86"/>
      <c r="AA117" s="86"/>
      <c r="AB117" s="86"/>
      <c r="AC117" s="86"/>
    </row>
    <row r="118" spans="2:29" s="48" customFormat="1" ht="13.2" customHeight="1" x14ac:dyDescent="0.25">
      <c r="B118" s="57" t="s">
        <v>154</v>
      </c>
      <c r="C118" s="49"/>
      <c r="D118" s="49"/>
      <c r="E118" s="22"/>
      <c r="F118" s="200">
        <f t="shared" si="10"/>
        <v>1</v>
      </c>
      <c r="G118" s="187"/>
      <c r="H118" s="191"/>
      <c r="I118" s="187"/>
      <c r="J118" s="191"/>
      <c r="K118" s="187"/>
      <c r="L118" s="187"/>
      <c r="M118" s="187"/>
      <c r="N118" s="187"/>
      <c r="O118" s="187">
        <v>1</v>
      </c>
      <c r="P118" s="149"/>
      <c r="Q118" s="149"/>
      <c r="R118" s="149"/>
      <c r="S118" s="149"/>
      <c r="T118" s="149"/>
      <c r="U118" s="149"/>
      <c r="V118" s="149"/>
      <c r="W118" s="149"/>
      <c r="X118" s="149"/>
      <c r="Y118" s="149"/>
      <c r="Z118" s="149"/>
      <c r="AA118" s="149"/>
      <c r="AB118" s="149"/>
      <c r="AC118" s="149"/>
    </row>
    <row r="119" spans="2:29" s="48" customFormat="1" x14ac:dyDescent="0.25">
      <c r="B119" s="57" t="s">
        <v>38</v>
      </c>
      <c r="C119" s="49"/>
      <c r="D119" s="49"/>
      <c r="E119" s="22"/>
      <c r="F119" s="200">
        <f t="shared" si="10"/>
        <v>2</v>
      </c>
      <c r="G119" s="187"/>
      <c r="H119" s="191"/>
      <c r="I119" s="187"/>
      <c r="J119" s="191"/>
      <c r="K119" s="187">
        <v>1</v>
      </c>
      <c r="L119" s="187">
        <v>1</v>
      </c>
      <c r="M119" s="187"/>
      <c r="N119" s="187"/>
      <c r="O119" s="187"/>
      <c r="P119" s="86"/>
      <c r="Q119" s="86"/>
      <c r="R119" s="86"/>
      <c r="S119" s="86"/>
      <c r="T119" s="86"/>
      <c r="U119" s="86"/>
      <c r="V119" s="86"/>
      <c r="W119" s="86"/>
      <c r="X119" s="86"/>
      <c r="Y119" s="86"/>
      <c r="Z119" s="86"/>
      <c r="AA119" s="86"/>
      <c r="AB119" s="86"/>
      <c r="AC119" s="86"/>
    </row>
    <row r="120" spans="2:29" s="48" customFormat="1" x14ac:dyDescent="0.25">
      <c r="B120" s="57" t="s">
        <v>39</v>
      </c>
      <c r="C120" s="49" t="s">
        <v>7</v>
      </c>
      <c r="D120" s="49"/>
      <c r="E120" s="22"/>
      <c r="F120" s="200">
        <f t="shared" si="10"/>
        <v>1</v>
      </c>
      <c r="G120" s="187"/>
      <c r="H120" s="191"/>
      <c r="I120" s="187"/>
      <c r="J120" s="191"/>
      <c r="K120" s="187"/>
      <c r="L120" s="187"/>
      <c r="M120" s="187">
        <v>1</v>
      </c>
      <c r="N120" s="187"/>
      <c r="O120" s="187"/>
      <c r="P120" s="86"/>
      <c r="Q120" s="86"/>
      <c r="R120" s="86"/>
      <c r="S120" s="86"/>
      <c r="T120" s="86"/>
      <c r="U120" s="86"/>
      <c r="V120" s="86"/>
      <c r="W120" s="86"/>
      <c r="X120" s="86"/>
      <c r="Y120" s="86"/>
      <c r="Z120" s="86"/>
      <c r="AA120" s="86"/>
      <c r="AB120" s="86"/>
      <c r="AC120" s="86"/>
    </row>
    <row r="121" spans="2:29" s="48" customFormat="1" hidden="1" x14ac:dyDescent="0.25">
      <c r="B121" s="57" t="s">
        <v>143</v>
      </c>
      <c r="C121" s="49"/>
      <c r="D121" s="49"/>
      <c r="E121" s="22"/>
      <c r="F121" s="200">
        <f t="shared" si="10"/>
        <v>0</v>
      </c>
      <c r="G121" s="187"/>
      <c r="H121" s="191"/>
      <c r="I121" s="187"/>
      <c r="J121" s="191"/>
      <c r="K121" s="187"/>
      <c r="L121" s="187"/>
      <c r="M121" s="187"/>
      <c r="N121" s="187"/>
      <c r="O121" s="187"/>
      <c r="P121" s="106"/>
      <c r="Q121" s="106"/>
      <c r="R121" s="106"/>
      <c r="S121" s="106"/>
      <c r="T121" s="106"/>
      <c r="U121" s="106"/>
      <c r="V121" s="106"/>
      <c r="W121" s="106"/>
      <c r="X121" s="106"/>
      <c r="Y121" s="106"/>
      <c r="Z121" s="106"/>
      <c r="AA121" s="106"/>
      <c r="AB121" s="106"/>
      <c r="AC121" s="106"/>
    </row>
    <row r="122" spans="2:29" s="48" customFormat="1" ht="13.2" customHeight="1" x14ac:dyDescent="0.25">
      <c r="B122" s="57" t="s">
        <v>41</v>
      </c>
      <c r="C122" s="49"/>
      <c r="D122" s="49"/>
      <c r="E122" s="22"/>
      <c r="F122" s="201">
        <f t="shared" si="10"/>
        <v>0</v>
      </c>
      <c r="G122" s="188"/>
      <c r="H122" s="193"/>
      <c r="I122" s="188"/>
      <c r="J122" s="193"/>
      <c r="K122" s="188"/>
      <c r="L122" s="188"/>
      <c r="M122" s="188"/>
      <c r="N122" s="188"/>
      <c r="O122" s="188"/>
      <c r="P122" s="86"/>
      <c r="Q122" s="86"/>
      <c r="R122" s="86"/>
      <c r="S122" s="86"/>
      <c r="T122" s="86"/>
      <c r="U122" s="86"/>
      <c r="V122" s="86"/>
      <c r="W122" s="86"/>
      <c r="X122" s="86"/>
      <c r="Y122" s="86"/>
      <c r="Z122" s="86"/>
      <c r="AA122" s="86"/>
      <c r="AB122" s="86"/>
      <c r="AC122" s="86"/>
    </row>
    <row r="123" spans="2:29" s="48" customFormat="1" hidden="1" x14ac:dyDescent="0.25">
      <c r="B123" s="57" t="s">
        <v>99</v>
      </c>
      <c r="C123" s="49"/>
      <c r="D123" s="49"/>
      <c r="E123" s="22"/>
      <c r="F123" s="191">
        <f t="shared" si="9"/>
        <v>0</v>
      </c>
      <c r="G123" s="187"/>
      <c r="H123" s="191"/>
      <c r="I123" s="187"/>
      <c r="J123" s="191"/>
      <c r="K123" s="187"/>
      <c r="L123" s="187"/>
      <c r="M123" s="187"/>
      <c r="N123" s="187"/>
      <c r="O123" s="187"/>
      <c r="P123" s="86"/>
      <c r="Q123" s="86"/>
      <c r="R123" s="86"/>
      <c r="S123" s="86"/>
      <c r="T123" s="86"/>
      <c r="U123" s="86"/>
      <c r="V123" s="86"/>
      <c r="W123" s="86"/>
      <c r="X123" s="86"/>
      <c r="Y123" s="86"/>
      <c r="Z123" s="86"/>
      <c r="AA123" s="86"/>
      <c r="AB123" s="86"/>
      <c r="AC123" s="86"/>
    </row>
    <row r="124" spans="2:29" s="48" customFormat="1" ht="13.2" hidden="1" customHeight="1" x14ac:dyDescent="0.25">
      <c r="B124" s="57" t="s">
        <v>128</v>
      </c>
      <c r="C124" s="49"/>
      <c r="D124" s="49"/>
      <c r="E124" s="22"/>
      <c r="F124" s="193">
        <f>SUM(G124:O124)</f>
        <v>0</v>
      </c>
      <c r="G124" s="188"/>
      <c r="H124" s="193"/>
      <c r="I124" s="188"/>
      <c r="J124" s="193"/>
      <c r="K124" s="188"/>
      <c r="L124" s="188"/>
      <c r="M124" s="188"/>
      <c r="N124" s="188"/>
      <c r="O124" s="188"/>
      <c r="P124" s="86"/>
      <c r="Q124" s="86"/>
      <c r="R124" s="86"/>
      <c r="S124" s="86"/>
      <c r="T124" s="86"/>
      <c r="U124" s="86"/>
      <c r="V124" s="86"/>
      <c r="W124" s="86"/>
      <c r="X124" s="86"/>
      <c r="Y124" s="86"/>
      <c r="Z124" s="86"/>
      <c r="AA124" s="86"/>
      <c r="AB124" s="86"/>
      <c r="AC124" s="86"/>
    </row>
    <row r="125" spans="2:29" s="48" customFormat="1" x14ac:dyDescent="0.25">
      <c r="B125" s="57" t="s">
        <v>7</v>
      </c>
      <c r="C125" s="49"/>
      <c r="D125" s="49"/>
      <c r="E125" s="22"/>
      <c r="F125" s="81"/>
      <c r="G125" s="90"/>
      <c r="H125" s="154"/>
      <c r="I125" s="22"/>
      <c r="J125" s="154"/>
      <c r="K125" s="22"/>
      <c r="L125" s="22"/>
      <c r="M125" s="22"/>
      <c r="N125" s="22"/>
      <c r="O125" s="22"/>
      <c r="P125" s="86"/>
      <c r="Q125" s="86"/>
      <c r="R125" s="86"/>
      <c r="S125" s="86"/>
      <c r="T125" s="86"/>
      <c r="U125" s="86"/>
      <c r="V125" s="86"/>
      <c r="W125" s="86"/>
      <c r="X125" s="86"/>
      <c r="Y125" s="86"/>
      <c r="Z125" s="86"/>
      <c r="AA125" s="86"/>
      <c r="AB125" s="86"/>
      <c r="AC125" s="86"/>
    </row>
    <row r="126" spans="2:29" s="93" customFormat="1" x14ac:dyDescent="0.25">
      <c r="B126" s="58" t="s">
        <v>125</v>
      </c>
      <c r="C126" s="91"/>
      <c r="D126" s="52"/>
      <c r="E126" s="92">
        <v>5</v>
      </c>
      <c r="F126" s="126">
        <f>SUM(F127:F137)</f>
        <v>6</v>
      </c>
      <c r="G126" s="92">
        <f>SUM(G127:G137)</f>
        <v>0</v>
      </c>
      <c r="H126" s="52">
        <f>SUM(H127:H137)</f>
        <v>0</v>
      </c>
      <c r="I126" s="92">
        <f t="shared" ref="I126:L126" si="11">SUM(I127:I137)</f>
        <v>0</v>
      </c>
      <c r="J126" s="52">
        <f t="shared" si="11"/>
        <v>0</v>
      </c>
      <c r="K126" s="92">
        <f>SUM(K127:K137)</f>
        <v>1</v>
      </c>
      <c r="L126" s="92">
        <f t="shared" si="11"/>
        <v>1</v>
      </c>
      <c r="M126" s="92">
        <f>SUM(M127:M137)</f>
        <v>1</v>
      </c>
      <c r="N126" s="92">
        <f>SUM(N127:N137)</f>
        <v>0</v>
      </c>
      <c r="O126" s="92">
        <f>SUM(O127:O137)</f>
        <v>3</v>
      </c>
      <c r="P126" s="86"/>
      <c r="Q126" s="86"/>
      <c r="R126" s="86"/>
      <c r="S126" s="86"/>
      <c r="T126" s="86"/>
      <c r="U126" s="86"/>
      <c r="V126" s="86"/>
      <c r="W126" s="52"/>
      <c r="X126" s="52"/>
      <c r="Y126" s="52"/>
      <c r="Z126" s="52"/>
      <c r="AA126" s="52"/>
      <c r="AB126" s="52"/>
      <c r="AC126" s="52"/>
    </row>
    <row r="127" spans="2:29" s="48" customFormat="1" ht="13.2" hidden="1" customHeight="1" x14ac:dyDescent="0.25">
      <c r="B127" s="57" t="s">
        <v>98</v>
      </c>
      <c r="C127" s="49"/>
      <c r="D127" s="49"/>
      <c r="E127" s="22"/>
      <c r="F127" s="186">
        <f t="shared" ref="F127:F130" si="12">SUM(G127:L127)</f>
        <v>0</v>
      </c>
      <c r="G127" s="202"/>
      <c r="H127" s="189"/>
      <c r="I127" s="186"/>
      <c r="J127" s="189"/>
      <c r="K127" s="186"/>
      <c r="L127" s="186"/>
      <c r="M127" s="186"/>
      <c r="N127" s="186"/>
      <c r="O127" s="186"/>
      <c r="P127" s="86"/>
      <c r="Q127" s="86"/>
      <c r="R127" s="86"/>
      <c r="S127" s="86"/>
      <c r="T127" s="86"/>
      <c r="U127" s="86"/>
      <c r="V127" s="86"/>
      <c r="W127" s="86"/>
      <c r="X127" s="86"/>
      <c r="Y127" s="86"/>
      <c r="Z127" s="86"/>
      <c r="AA127" s="86"/>
      <c r="AB127" s="86"/>
      <c r="AC127" s="86"/>
    </row>
    <row r="128" spans="2:29" s="48" customFormat="1" ht="13.2" hidden="1" customHeight="1" x14ac:dyDescent="0.25">
      <c r="B128" s="57" t="s">
        <v>43</v>
      </c>
      <c r="C128" s="49"/>
      <c r="D128" s="49"/>
      <c r="E128" s="22"/>
      <c r="F128" s="199">
        <f>SUM(G128:O128)</f>
        <v>0</v>
      </c>
      <c r="G128" s="186"/>
      <c r="H128" s="189"/>
      <c r="I128" s="186"/>
      <c r="J128" s="189"/>
      <c r="K128" s="186"/>
      <c r="L128" s="186"/>
      <c r="M128" s="186"/>
      <c r="N128" s="186"/>
      <c r="O128" s="186"/>
      <c r="P128" s="86"/>
      <c r="Q128" s="86"/>
      <c r="R128" s="86"/>
      <c r="S128" s="86"/>
      <c r="T128" s="86"/>
      <c r="U128" s="86"/>
      <c r="V128" s="86"/>
      <c r="W128" s="86"/>
      <c r="X128" s="86"/>
      <c r="Y128" s="86"/>
      <c r="Z128" s="86"/>
      <c r="AA128" s="86"/>
      <c r="AB128" s="86"/>
      <c r="AC128" s="86"/>
    </row>
    <row r="129" spans="2:29" s="48" customFormat="1" ht="13.2" hidden="1" customHeight="1" x14ac:dyDescent="0.25">
      <c r="B129" s="57" t="s">
        <v>129</v>
      </c>
      <c r="C129" s="49"/>
      <c r="D129" s="49"/>
      <c r="E129" s="22" t="s">
        <v>7</v>
      </c>
      <c r="F129" s="187">
        <f t="shared" si="12"/>
        <v>0</v>
      </c>
      <c r="G129" s="187"/>
      <c r="H129" s="191"/>
      <c r="I129" s="187"/>
      <c r="J129" s="191"/>
      <c r="K129" s="187"/>
      <c r="L129" s="187"/>
      <c r="M129" s="187"/>
      <c r="N129" s="187"/>
      <c r="O129" s="187"/>
      <c r="P129" s="86"/>
      <c r="Q129" s="86"/>
      <c r="R129" s="86"/>
      <c r="S129" s="86"/>
      <c r="T129" s="86"/>
      <c r="U129" s="86"/>
      <c r="V129" s="86"/>
      <c r="W129" s="86"/>
      <c r="X129" s="86"/>
      <c r="Y129" s="86"/>
      <c r="Z129" s="86"/>
      <c r="AA129" s="86"/>
      <c r="AB129" s="86"/>
      <c r="AC129" s="86"/>
    </row>
    <row r="130" spans="2:29" s="48" customFormat="1" ht="13.2" hidden="1" customHeight="1" x14ac:dyDescent="0.25">
      <c r="B130" s="57" t="s">
        <v>45</v>
      </c>
      <c r="C130" s="49"/>
      <c r="D130" s="49"/>
      <c r="E130" s="22"/>
      <c r="F130" s="187">
        <f t="shared" si="12"/>
        <v>0</v>
      </c>
      <c r="G130" s="195"/>
      <c r="H130" s="191"/>
      <c r="I130" s="187"/>
      <c r="J130" s="191"/>
      <c r="K130" s="187"/>
      <c r="L130" s="187"/>
      <c r="M130" s="187"/>
      <c r="N130" s="187"/>
      <c r="O130" s="187"/>
      <c r="P130" s="86"/>
      <c r="Q130" s="86"/>
      <c r="R130" s="86"/>
      <c r="S130" s="86"/>
      <c r="T130" s="86"/>
      <c r="U130" s="86"/>
      <c r="V130" s="86"/>
      <c r="W130" s="86"/>
      <c r="X130" s="86"/>
      <c r="Y130" s="86"/>
      <c r="Z130" s="86"/>
      <c r="AA130" s="86"/>
      <c r="AB130" s="86"/>
      <c r="AC130" s="86"/>
    </row>
    <row r="131" spans="2:29" s="48" customFormat="1" hidden="1" x14ac:dyDescent="0.25">
      <c r="B131" s="57" t="s">
        <v>46</v>
      </c>
      <c r="C131" s="49"/>
      <c r="D131" s="49"/>
      <c r="E131" s="22"/>
      <c r="F131" s="200">
        <f t="shared" ref="F131:F137" si="13">SUM(G131:O131)</f>
        <v>0</v>
      </c>
      <c r="G131" s="187"/>
      <c r="H131" s="191"/>
      <c r="I131" s="187"/>
      <c r="J131" s="191"/>
      <c r="K131" s="187"/>
      <c r="L131" s="187"/>
      <c r="M131" s="187"/>
      <c r="N131" s="187"/>
      <c r="O131" s="187"/>
      <c r="P131" s="86"/>
      <c r="Q131" s="86"/>
      <c r="R131" s="86"/>
      <c r="S131" s="86"/>
      <c r="T131" s="86"/>
      <c r="U131" s="86"/>
      <c r="V131" s="86"/>
      <c r="W131" s="86"/>
      <c r="X131" s="86"/>
      <c r="Y131" s="86"/>
      <c r="Z131" s="86"/>
      <c r="AA131" s="86"/>
      <c r="AB131" s="86"/>
      <c r="AC131" s="86"/>
    </row>
    <row r="132" spans="2:29" s="48" customFormat="1" ht="13.2" customHeight="1" x14ac:dyDescent="0.25">
      <c r="B132" s="57" t="s">
        <v>47</v>
      </c>
      <c r="C132" s="49"/>
      <c r="D132" s="49"/>
      <c r="E132" s="22"/>
      <c r="F132" s="199">
        <f t="shared" si="13"/>
        <v>1</v>
      </c>
      <c r="G132" s="202"/>
      <c r="H132" s="189"/>
      <c r="I132" s="186"/>
      <c r="J132" s="189"/>
      <c r="K132" s="186"/>
      <c r="L132" s="186"/>
      <c r="M132" s="186">
        <v>1</v>
      </c>
      <c r="N132" s="186"/>
      <c r="O132" s="186"/>
      <c r="P132" s="86"/>
      <c r="Q132" s="86"/>
      <c r="R132" s="86"/>
      <c r="S132" s="86"/>
      <c r="T132" s="86"/>
      <c r="U132" s="86"/>
      <c r="V132" s="86"/>
      <c r="W132" s="86"/>
      <c r="X132" s="86"/>
      <c r="Y132" s="86"/>
      <c r="Z132" s="86"/>
      <c r="AA132" s="86"/>
      <c r="AB132" s="86"/>
      <c r="AC132" s="86"/>
    </row>
    <row r="133" spans="2:29" s="48" customFormat="1" x14ac:dyDescent="0.25">
      <c r="B133" s="57" t="s">
        <v>48</v>
      </c>
      <c r="C133" s="49"/>
      <c r="D133" s="49"/>
      <c r="E133" s="22"/>
      <c r="F133" s="200">
        <f t="shared" si="13"/>
        <v>2</v>
      </c>
      <c r="G133" s="187"/>
      <c r="H133" s="191"/>
      <c r="I133" s="187"/>
      <c r="J133" s="191"/>
      <c r="K133" s="187"/>
      <c r="L133" s="187"/>
      <c r="M133" s="187"/>
      <c r="N133" s="187"/>
      <c r="O133" s="187">
        <v>2</v>
      </c>
      <c r="P133" s="86"/>
      <c r="Q133" s="86"/>
      <c r="R133" s="86"/>
      <c r="S133" s="86"/>
      <c r="T133" s="86"/>
      <c r="U133" s="86"/>
      <c r="V133" s="86"/>
      <c r="W133" s="86"/>
      <c r="X133" s="86"/>
      <c r="Y133" s="86"/>
      <c r="Z133" s="86"/>
      <c r="AA133" s="86"/>
      <c r="AB133" s="86"/>
      <c r="AC133" s="86"/>
    </row>
    <row r="134" spans="2:29" s="48" customFormat="1" hidden="1" x14ac:dyDescent="0.25">
      <c r="B134" s="57" t="s">
        <v>49</v>
      </c>
      <c r="C134" s="49"/>
      <c r="D134" s="49"/>
      <c r="E134" s="22"/>
      <c r="F134" s="200">
        <f t="shared" si="13"/>
        <v>0</v>
      </c>
      <c r="G134" s="187"/>
      <c r="H134" s="191"/>
      <c r="I134" s="187"/>
      <c r="J134" s="191"/>
      <c r="K134" s="187"/>
      <c r="L134" s="187"/>
      <c r="M134" s="187"/>
      <c r="N134" s="187"/>
      <c r="O134" s="187"/>
      <c r="P134" s="86"/>
      <c r="Q134" s="86"/>
      <c r="R134" s="86"/>
      <c r="S134" s="86"/>
      <c r="T134" s="86"/>
      <c r="U134" s="86"/>
      <c r="V134" s="86"/>
      <c r="W134" s="86"/>
      <c r="X134" s="86"/>
      <c r="Y134" s="86"/>
      <c r="Z134" s="86"/>
      <c r="AA134" s="86"/>
      <c r="AB134" s="86"/>
      <c r="AC134" s="86"/>
    </row>
    <row r="135" spans="2:29" s="48" customFormat="1" ht="13.2" customHeight="1" x14ac:dyDescent="0.25">
      <c r="B135" s="57" t="s">
        <v>123</v>
      </c>
      <c r="C135" s="49"/>
      <c r="D135" s="49" t="s">
        <v>7</v>
      </c>
      <c r="E135" s="22"/>
      <c r="F135" s="200">
        <f t="shared" si="13"/>
        <v>1</v>
      </c>
      <c r="G135" s="187"/>
      <c r="H135" s="191"/>
      <c r="I135" s="187"/>
      <c r="J135" s="191"/>
      <c r="K135" s="187"/>
      <c r="L135" s="187"/>
      <c r="M135" s="187"/>
      <c r="N135" s="187"/>
      <c r="O135" s="187">
        <v>1</v>
      </c>
      <c r="P135" s="86"/>
      <c r="Q135" s="86"/>
      <c r="R135" s="86"/>
      <c r="S135" s="86"/>
      <c r="T135" s="86"/>
      <c r="U135" s="86"/>
      <c r="V135" s="86"/>
      <c r="W135" s="86"/>
      <c r="X135" s="86"/>
      <c r="Y135" s="86"/>
      <c r="Z135" s="86"/>
      <c r="AA135" s="86"/>
      <c r="AB135" s="86"/>
      <c r="AC135" s="86"/>
    </row>
    <row r="136" spans="2:29" s="48" customFormat="1" x14ac:dyDescent="0.25">
      <c r="B136" s="57" t="s">
        <v>51</v>
      </c>
      <c r="C136" s="49"/>
      <c r="D136" s="49"/>
      <c r="E136" s="22"/>
      <c r="F136" s="200">
        <f t="shared" si="13"/>
        <v>1</v>
      </c>
      <c r="G136" s="187"/>
      <c r="H136" s="191"/>
      <c r="I136" s="187"/>
      <c r="J136" s="191"/>
      <c r="K136" s="187">
        <v>1</v>
      </c>
      <c r="L136" s="187"/>
      <c r="M136" s="187"/>
      <c r="N136" s="187"/>
      <c r="O136" s="187"/>
      <c r="P136" s="86"/>
      <c r="Q136" s="86"/>
      <c r="R136" s="86"/>
      <c r="S136" s="86"/>
      <c r="T136" s="86"/>
      <c r="U136" s="86"/>
      <c r="V136" s="86"/>
      <c r="W136" s="86"/>
      <c r="X136" s="86"/>
      <c r="Y136" s="86"/>
      <c r="Z136" s="86"/>
      <c r="AA136" s="86"/>
      <c r="AB136" s="86"/>
      <c r="AC136" s="86"/>
    </row>
    <row r="137" spans="2:29" s="48" customFormat="1" ht="13.2" customHeight="1" x14ac:dyDescent="0.25">
      <c r="B137" s="57" t="s">
        <v>52</v>
      </c>
      <c r="C137" s="49"/>
      <c r="D137" s="49"/>
      <c r="E137" s="22"/>
      <c r="F137" s="201">
        <f t="shared" si="13"/>
        <v>1</v>
      </c>
      <c r="G137" s="196"/>
      <c r="H137" s="193"/>
      <c r="I137" s="188"/>
      <c r="J137" s="193"/>
      <c r="K137" s="188"/>
      <c r="L137" s="188">
        <v>1</v>
      </c>
      <c r="M137" s="188"/>
      <c r="N137" s="188"/>
      <c r="O137" s="188"/>
      <c r="P137" s="86"/>
      <c r="Q137" s="86"/>
      <c r="R137" s="86"/>
      <c r="S137" s="86"/>
      <c r="T137" s="86"/>
      <c r="U137" s="86"/>
      <c r="V137" s="86"/>
      <c r="W137" s="86"/>
      <c r="X137" s="86"/>
      <c r="Y137" s="86"/>
      <c r="Z137" s="86"/>
      <c r="AA137" s="86"/>
      <c r="AB137" s="86"/>
      <c r="AC137" s="86"/>
    </row>
    <row r="138" spans="2:29" s="48" customFormat="1" x14ac:dyDescent="0.25">
      <c r="B138" s="57"/>
      <c r="C138" s="49"/>
      <c r="D138" s="49"/>
      <c r="E138" s="22"/>
      <c r="F138" s="154"/>
      <c r="G138" s="57"/>
      <c r="H138" s="22"/>
      <c r="I138" s="154"/>
      <c r="J138" s="22"/>
      <c r="K138" s="154"/>
      <c r="L138" s="22"/>
      <c r="M138" s="21"/>
      <c r="N138" s="21"/>
      <c r="O138" s="21"/>
      <c r="P138" s="86"/>
      <c r="Q138" s="86"/>
      <c r="R138" s="86"/>
      <c r="S138" s="86"/>
      <c r="T138" s="86"/>
      <c r="U138" s="86"/>
      <c r="V138" s="86"/>
      <c r="W138" s="86"/>
      <c r="X138" s="86"/>
      <c r="Y138" s="86"/>
      <c r="Z138" s="86"/>
      <c r="AA138" s="86"/>
      <c r="AB138" s="86"/>
      <c r="AC138" s="86"/>
    </row>
    <row r="139" spans="2:29" s="93" customFormat="1" x14ac:dyDescent="0.25">
      <c r="B139" s="58" t="s">
        <v>10</v>
      </c>
      <c r="C139" s="91"/>
      <c r="D139" s="52"/>
      <c r="E139" s="92">
        <v>2</v>
      </c>
      <c r="F139" s="52">
        <f t="shared" ref="F139:L139" si="14">SUM(F140:F144)</f>
        <v>3</v>
      </c>
      <c r="G139" s="129">
        <f t="shared" si="14"/>
        <v>0</v>
      </c>
      <c r="H139" s="92">
        <f t="shared" si="14"/>
        <v>0</v>
      </c>
      <c r="I139" s="52">
        <f t="shared" si="14"/>
        <v>0</v>
      </c>
      <c r="J139" s="92">
        <f t="shared" si="14"/>
        <v>0</v>
      </c>
      <c r="K139" s="52">
        <f>SUM(K140:K144)</f>
        <v>0</v>
      </c>
      <c r="L139" s="92">
        <f t="shared" si="14"/>
        <v>0</v>
      </c>
      <c r="M139" s="92">
        <f>SUM(M140:M144)</f>
        <v>2</v>
      </c>
      <c r="N139" s="92">
        <f>SUM(N140:N144)</f>
        <v>0</v>
      </c>
      <c r="O139" s="92">
        <f>SUM(O140:O144)</f>
        <v>1</v>
      </c>
      <c r="P139" s="86"/>
      <c r="Q139" s="86"/>
      <c r="R139" s="86"/>
      <c r="S139" s="86"/>
      <c r="T139" s="86"/>
      <c r="U139" s="86"/>
      <c r="V139" s="86"/>
      <c r="W139" s="52"/>
      <c r="X139" s="52"/>
      <c r="Y139" s="52"/>
      <c r="Z139" s="52"/>
      <c r="AA139" s="52"/>
      <c r="AB139" s="52"/>
      <c r="AC139" s="52"/>
    </row>
    <row r="140" spans="2:29" s="48" customFormat="1" x14ac:dyDescent="0.25">
      <c r="B140" s="57" t="s">
        <v>53</v>
      </c>
      <c r="C140" s="49"/>
      <c r="D140" s="49"/>
      <c r="E140" s="22"/>
      <c r="F140" s="199">
        <f>SUM(G140:O140)</f>
        <v>2</v>
      </c>
      <c r="G140" s="186"/>
      <c r="H140" s="189"/>
      <c r="I140" s="186"/>
      <c r="J140" s="189"/>
      <c r="K140" s="186"/>
      <c r="L140" s="189"/>
      <c r="M140" s="186">
        <v>1</v>
      </c>
      <c r="N140" s="186"/>
      <c r="O140" s="186">
        <v>1</v>
      </c>
      <c r="P140" s="86"/>
      <c r="Q140" s="86"/>
      <c r="R140" s="86"/>
      <c r="S140" s="86"/>
      <c r="T140" s="86"/>
      <c r="U140" s="86"/>
      <c r="V140" s="86"/>
      <c r="W140" s="86"/>
      <c r="X140" s="86"/>
      <c r="Y140" s="86"/>
      <c r="Z140" s="86"/>
      <c r="AA140" s="86"/>
      <c r="AB140" s="86"/>
      <c r="AC140" s="86"/>
    </row>
    <row r="141" spans="2:29" s="48" customFormat="1" ht="13.2" hidden="1" customHeight="1" x14ac:dyDescent="0.25">
      <c r="B141" s="57" t="s">
        <v>54</v>
      </c>
      <c r="C141" s="49"/>
      <c r="D141" s="49"/>
      <c r="E141" s="22"/>
      <c r="F141" s="200">
        <f>SUM(G141:O141)</f>
        <v>0</v>
      </c>
      <c r="G141" s="195"/>
      <c r="H141" s="191"/>
      <c r="I141" s="187"/>
      <c r="J141" s="191"/>
      <c r="K141" s="187"/>
      <c r="L141" s="191"/>
      <c r="M141" s="187"/>
      <c r="N141" s="187"/>
      <c r="O141" s="187"/>
      <c r="P141" s="86"/>
      <c r="Q141" s="86"/>
      <c r="R141" s="86"/>
      <c r="S141" s="86"/>
      <c r="T141" s="86"/>
      <c r="U141" s="86"/>
      <c r="V141" s="86"/>
      <c r="W141" s="86"/>
      <c r="X141" s="86"/>
      <c r="Y141" s="86"/>
      <c r="Z141" s="86"/>
      <c r="AA141" s="86"/>
      <c r="AB141" s="86"/>
      <c r="AC141" s="86"/>
    </row>
    <row r="142" spans="2:29" s="48" customFormat="1" ht="13.2" hidden="1" customHeight="1" x14ac:dyDescent="0.25">
      <c r="B142" s="57" t="s">
        <v>55</v>
      </c>
      <c r="C142" s="49"/>
      <c r="D142" s="49"/>
      <c r="E142" s="22"/>
      <c r="F142" s="200">
        <f>SUM(G142:O142)</f>
        <v>0</v>
      </c>
      <c r="G142" s="195"/>
      <c r="H142" s="191"/>
      <c r="I142" s="187"/>
      <c r="J142" s="191"/>
      <c r="K142" s="187"/>
      <c r="L142" s="191"/>
      <c r="M142" s="187"/>
      <c r="N142" s="187"/>
      <c r="O142" s="187"/>
      <c r="P142" s="86"/>
      <c r="Q142" s="86"/>
      <c r="R142" s="86"/>
      <c r="S142" s="86"/>
      <c r="T142" s="86"/>
      <c r="U142" s="86"/>
      <c r="V142" s="86"/>
      <c r="W142" s="86"/>
      <c r="X142" s="86"/>
      <c r="Y142" s="86"/>
      <c r="Z142" s="86"/>
      <c r="AA142" s="86"/>
      <c r="AB142" s="86"/>
      <c r="AC142" s="86"/>
    </row>
    <row r="143" spans="2:29" s="48" customFormat="1" ht="13.2" customHeight="1" x14ac:dyDescent="0.25">
      <c r="B143" s="57" t="s">
        <v>100</v>
      </c>
      <c r="C143" s="49"/>
      <c r="D143" s="49"/>
      <c r="E143" s="22"/>
      <c r="F143" s="201">
        <f>SUM(G143:O143)</f>
        <v>1</v>
      </c>
      <c r="G143" s="196"/>
      <c r="H143" s="193"/>
      <c r="I143" s="188"/>
      <c r="J143" s="193"/>
      <c r="K143" s="188"/>
      <c r="L143" s="193"/>
      <c r="M143" s="188">
        <v>1</v>
      </c>
      <c r="N143" s="188"/>
      <c r="O143" s="188"/>
      <c r="P143" s="86"/>
      <c r="Q143" s="86"/>
      <c r="R143" s="86"/>
      <c r="S143" s="86"/>
      <c r="T143" s="86"/>
      <c r="U143" s="86"/>
      <c r="V143" s="86"/>
      <c r="W143" s="86"/>
      <c r="X143" s="86"/>
      <c r="Y143" s="86"/>
      <c r="Z143" s="86"/>
      <c r="AA143" s="86"/>
      <c r="AB143" s="86"/>
      <c r="AC143" s="86"/>
    </row>
    <row r="144" spans="2:29" s="48" customFormat="1" hidden="1" x14ac:dyDescent="0.25">
      <c r="B144" s="57" t="s">
        <v>57</v>
      </c>
      <c r="C144" s="49"/>
      <c r="D144" s="49"/>
      <c r="E144" s="22" t="s">
        <v>7</v>
      </c>
      <c r="F144" s="201">
        <f>SUM(G144:O144)</f>
        <v>0</v>
      </c>
      <c r="G144" s="188"/>
      <c r="H144" s="193"/>
      <c r="I144" s="188"/>
      <c r="J144" s="193"/>
      <c r="K144" s="188"/>
      <c r="L144" s="193"/>
      <c r="M144" s="188"/>
      <c r="N144" s="188"/>
      <c r="O144" s="188"/>
      <c r="P144" s="86"/>
      <c r="Q144" s="86"/>
      <c r="R144" s="86"/>
      <c r="S144" s="86"/>
      <c r="T144" s="86"/>
      <c r="U144" s="86"/>
      <c r="V144" s="86"/>
      <c r="W144" s="86"/>
      <c r="X144" s="86"/>
      <c r="Y144" s="86"/>
      <c r="Z144" s="86"/>
      <c r="AA144" s="86"/>
      <c r="AB144" s="86"/>
      <c r="AC144" s="86"/>
    </row>
    <row r="145" spans="2:29" s="48" customFormat="1" x14ac:dyDescent="0.25">
      <c r="B145" s="57"/>
      <c r="C145" s="49"/>
      <c r="D145" s="49"/>
      <c r="E145" s="22"/>
      <c r="F145" s="154"/>
      <c r="G145" s="90"/>
      <c r="H145" s="154"/>
      <c r="I145" s="22"/>
      <c r="J145" s="154"/>
      <c r="K145" s="22"/>
      <c r="L145" s="22"/>
      <c r="M145" s="22"/>
      <c r="N145" s="22"/>
      <c r="O145" s="22"/>
      <c r="P145" s="86"/>
      <c r="Q145" s="86"/>
      <c r="R145" s="86"/>
      <c r="S145" s="86"/>
      <c r="T145" s="86"/>
      <c r="U145" s="86"/>
      <c r="V145" s="86"/>
      <c r="W145" s="86"/>
      <c r="X145" s="86"/>
      <c r="Y145" s="86"/>
      <c r="Z145" s="86"/>
      <c r="AA145" s="86"/>
      <c r="AB145" s="86"/>
      <c r="AC145" s="86"/>
    </row>
    <row r="146" spans="2:29" s="93" customFormat="1" x14ac:dyDescent="0.25">
      <c r="B146" s="58" t="s">
        <v>101</v>
      </c>
      <c r="C146" s="91"/>
      <c r="D146" s="52"/>
      <c r="E146" s="92">
        <v>9</v>
      </c>
      <c r="F146" s="52">
        <f t="shared" ref="F146:L146" si="15">SUM(F147:F173)</f>
        <v>11</v>
      </c>
      <c r="G146" s="92">
        <f t="shared" si="15"/>
        <v>0</v>
      </c>
      <c r="H146" s="52">
        <f t="shared" si="15"/>
        <v>0</v>
      </c>
      <c r="I146" s="92">
        <f t="shared" si="15"/>
        <v>0</v>
      </c>
      <c r="J146" s="52">
        <f t="shared" si="15"/>
        <v>2</v>
      </c>
      <c r="K146" s="92">
        <f>SUM(K147:K173)</f>
        <v>0</v>
      </c>
      <c r="L146" s="92">
        <f t="shared" si="15"/>
        <v>5</v>
      </c>
      <c r="M146" s="92">
        <f>SUM(M147:M173)</f>
        <v>1</v>
      </c>
      <c r="N146" s="92">
        <f>SUM(N147:N173)</f>
        <v>1</v>
      </c>
      <c r="O146" s="92">
        <f>SUM(O147:O173)</f>
        <v>2</v>
      </c>
      <c r="P146" s="86"/>
      <c r="Q146" s="86"/>
      <c r="R146" s="86"/>
      <c r="S146" s="86"/>
      <c r="T146" s="86"/>
      <c r="U146" s="86"/>
      <c r="V146" s="86"/>
      <c r="W146" s="52"/>
      <c r="X146" s="52"/>
      <c r="Y146" s="52"/>
      <c r="Z146" s="52"/>
      <c r="AA146" s="52"/>
      <c r="AB146" s="52"/>
      <c r="AC146" s="52"/>
    </row>
    <row r="147" spans="2:29" s="48" customFormat="1" ht="13.2" customHeight="1" x14ac:dyDescent="0.25">
      <c r="B147" s="57" t="s">
        <v>59</v>
      </c>
      <c r="C147" s="49"/>
      <c r="D147" s="49"/>
      <c r="E147" s="22"/>
      <c r="F147" s="186">
        <f>SUM(G147:O147)</f>
        <v>2</v>
      </c>
      <c r="G147" s="219"/>
      <c r="H147" s="186"/>
      <c r="I147" s="189"/>
      <c r="J147" s="186"/>
      <c r="K147" s="189"/>
      <c r="L147" s="186">
        <v>1</v>
      </c>
      <c r="M147" s="189">
        <v>1</v>
      </c>
      <c r="N147" s="186"/>
      <c r="O147" s="186"/>
      <c r="P147" s="86"/>
      <c r="Q147" s="86"/>
      <c r="R147" s="86"/>
      <c r="S147" s="86"/>
      <c r="T147" s="86"/>
      <c r="U147" s="86"/>
      <c r="V147" s="86"/>
      <c r="W147" s="86"/>
      <c r="X147" s="86"/>
      <c r="Y147" s="86"/>
      <c r="Z147" s="86"/>
      <c r="AA147" s="86"/>
      <c r="AB147" s="86"/>
      <c r="AC147" s="86"/>
    </row>
    <row r="148" spans="2:29" s="48" customFormat="1" ht="13.2" customHeight="1" x14ac:dyDescent="0.25">
      <c r="B148" s="57" t="s">
        <v>60</v>
      </c>
      <c r="C148" s="49"/>
      <c r="D148" s="49"/>
      <c r="E148" s="22"/>
      <c r="F148" s="187">
        <f>SUM(G148:O148)</f>
        <v>2</v>
      </c>
      <c r="G148" s="191"/>
      <c r="H148" s="187"/>
      <c r="I148" s="191"/>
      <c r="J148" s="187">
        <v>1</v>
      </c>
      <c r="K148" s="191"/>
      <c r="L148" s="187"/>
      <c r="M148" s="191"/>
      <c r="N148" s="187">
        <v>1</v>
      </c>
      <c r="O148" s="187"/>
      <c r="P148" s="86"/>
      <c r="Q148" s="86"/>
      <c r="R148" s="86"/>
      <c r="S148" s="86"/>
      <c r="T148" s="86"/>
      <c r="U148" s="86"/>
      <c r="V148" s="86"/>
      <c r="W148" s="86"/>
      <c r="X148" s="86"/>
      <c r="Y148" s="86"/>
      <c r="Z148" s="86"/>
      <c r="AA148" s="86"/>
      <c r="AB148" s="86"/>
      <c r="AC148" s="86"/>
    </row>
    <row r="149" spans="2:29" s="48" customFormat="1" ht="13.2" hidden="1" customHeight="1" x14ac:dyDescent="0.25">
      <c r="B149" s="57" t="s">
        <v>61</v>
      </c>
      <c r="C149" s="49"/>
      <c r="D149" s="49"/>
      <c r="E149" s="22"/>
      <c r="F149" s="187">
        <f t="shared" ref="F149:F150" si="16">SUM(G149:L149)</f>
        <v>0</v>
      </c>
      <c r="G149" s="203"/>
      <c r="H149" s="187"/>
      <c r="I149" s="191"/>
      <c r="J149" s="187"/>
      <c r="K149" s="191"/>
      <c r="L149" s="187"/>
      <c r="M149" s="191"/>
      <c r="N149" s="187"/>
      <c r="O149" s="187"/>
      <c r="P149" s="86"/>
      <c r="Q149" s="86"/>
      <c r="R149" s="86"/>
      <c r="S149" s="86"/>
      <c r="T149" s="86"/>
      <c r="U149" s="86"/>
      <c r="V149" s="86"/>
      <c r="W149" s="86"/>
      <c r="X149" s="86"/>
      <c r="Y149" s="86"/>
      <c r="Z149" s="86"/>
      <c r="AA149" s="86"/>
      <c r="AB149" s="86"/>
      <c r="AC149" s="86"/>
    </row>
    <row r="150" spans="2:29" s="48" customFormat="1" hidden="1" x14ac:dyDescent="0.25">
      <c r="B150" s="57" t="s">
        <v>62</v>
      </c>
      <c r="C150" s="49"/>
      <c r="D150" s="49"/>
      <c r="E150" s="22"/>
      <c r="F150" s="187">
        <f t="shared" si="16"/>
        <v>0</v>
      </c>
      <c r="G150" s="203"/>
      <c r="H150" s="187"/>
      <c r="I150" s="191"/>
      <c r="J150" s="187"/>
      <c r="K150" s="191"/>
      <c r="L150" s="187"/>
      <c r="M150" s="191"/>
      <c r="N150" s="187"/>
      <c r="O150" s="187"/>
      <c r="P150" s="86"/>
      <c r="Q150" s="86"/>
      <c r="R150" s="86"/>
      <c r="S150" s="86"/>
      <c r="T150" s="86"/>
      <c r="U150" s="86"/>
      <c r="V150" s="86"/>
      <c r="W150" s="86"/>
      <c r="X150" s="86"/>
      <c r="Y150" s="86"/>
      <c r="Z150" s="86"/>
      <c r="AA150" s="86"/>
      <c r="AB150" s="86"/>
      <c r="AC150" s="86"/>
    </row>
    <row r="151" spans="2:29" s="48" customFormat="1" hidden="1" x14ac:dyDescent="0.25">
      <c r="B151" s="57" t="s">
        <v>63</v>
      </c>
      <c r="C151" s="49"/>
      <c r="D151" s="49"/>
      <c r="E151" s="22"/>
      <c r="F151" s="187">
        <f t="shared" ref="F151:F173" si="17">SUM(G151:O151)</f>
        <v>0</v>
      </c>
      <c r="G151" s="191"/>
      <c r="H151" s="187"/>
      <c r="I151" s="191"/>
      <c r="J151" s="187"/>
      <c r="K151" s="191"/>
      <c r="L151" s="187"/>
      <c r="M151" s="191"/>
      <c r="N151" s="187"/>
      <c r="O151" s="187"/>
      <c r="P151" s="86"/>
      <c r="Q151" s="86"/>
      <c r="R151" s="86"/>
      <c r="S151" s="86"/>
      <c r="T151" s="86"/>
      <c r="U151" s="86"/>
      <c r="V151" s="86"/>
      <c r="W151" s="86"/>
      <c r="X151" s="86"/>
      <c r="Y151" s="86"/>
      <c r="Z151" s="86"/>
      <c r="AA151" s="86"/>
      <c r="AB151" s="86"/>
      <c r="AC151" s="86"/>
    </row>
    <row r="152" spans="2:29" s="48" customFormat="1" hidden="1" x14ac:dyDescent="0.25">
      <c r="B152" s="57" t="s">
        <v>64</v>
      </c>
      <c r="C152" s="49"/>
      <c r="D152" s="49"/>
      <c r="E152" s="22"/>
      <c r="F152" s="187">
        <f t="shared" si="17"/>
        <v>0</v>
      </c>
      <c r="G152" s="191"/>
      <c r="H152" s="187"/>
      <c r="I152" s="191"/>
      <c r="J152" s="187"/>
      <c r="K152" s="191"/>
      <c r="L152" s="187"/>
      <c r="M152" s="191"/>
      <c r="N152" s="187"/>
      <c r="O152" s="187"/>
      <c r="P152" s="86"/>
      <c r="Q152" s="86"/>
      <c r="R152" s="86"/>
      <c r="S152" s="86"/>
      <c r="T152" s="86"/>
      <c r="U152" s="86"/>
      <c r="V152" s="86"/>
      <c r="W152" s="86"/>
      <c r="X152" s="86"/>
      <c r="Y152" s="86"/>
      <c r="Z152" s="86"/>
      <c r="AA152" s="86"/>
      <c r="AB152" s="86"/>
      <c r="AC152" s="86"/>
    </row>
    <row r="153" spans="2:29" s="48" customFormat="1" ht="13.2" customHeight="1" x14ac:dyDescent="0.25">
      <c r="B153" s="57" t="s">
        <v>65</v>
      </c>
      <c r="C153" s="49"/>
      <c r="D153" s="49"/>
      <c r="E153" s="22"/>
      <c r="F153" s="187">
        <f t="shared" si="17"/>
        <v>1</v>
      </c>
      <c r="G153" s="203"/>
      <c r="H153" s="187"/>
      <c r="I153" s="191"/>
      <c r="J153" s="187"/>
      <c r="K153" s="191"/>
      <c r="L153" s="187">
        <v>1</v>
      </c>
      <c r="M153" s="191"/>
      <c r="N153" s="187"/>
      <c r="O153" s="187"/>
      <c r="P153" s="86"/>
      <c r="Q153" s="86"/>
      <c r="R153" s="86"/>
      <c r="S153" s="86"/>
      <c r="T153" s="86"/>
      <c r="U153" s="86"/>
      <c r="V153" s="86"/>
      <c r="W153" s="86"/>
      <c r="X153" s="86"/>
      <c r="Y153" s="86"/>
      <c r="Z153" s="86"/>
      <c r="AA153" s="86"/>
      <c r="AB153" s="86"/>
      <c r="AC153" s="86"/>
    </row>
    <row r="154" spans="2:29" s="48" customFormat="1" hidden="1" x14ac:dyDescent="0.25">
      <c r="B154" s="57" t="s">
        <v>66</v>
      </c>
      <c r="C154" s="49"/>
      <c r="D154" s="49"/>
      <c r="E154" s="22"/>
      <c r="F154" s="187">
        <f t="shared" si="17"/>
        <v>0</v>
      </c>
      <c r="G154" s="203"/>
      <c r="H154" s="187"/>
      <c r="I154" s="191"/>
      <c r="J154" s="187"/>
      <c r="K154" s="191"/>
      <c r="L154" s="187"/>
      <c r="M154" s="191"/>
      <c r="N154" s="187"/>
      <c r="O154" s="187"/>
      <c r="P154" s="86"/>
      <c r="Q154" s="86"/>
      <c r="R154" s="86"/>
      <c r="S154" s="86"/>
      <c r="T154" s="86"/>
      <c r="U154" s="86"/>
      <c r="V154" s="86"/>
      <c r="W154" s="86"/>
      <c r="X154" s="86"/>
      <c r="Y154" s="86"/>
      <c r="Z154" s="86"/>
      <c r="AA154" s="86"/>
      <c r="AB154" s="86"/>
      <c r="AC154" s="86"/>
    </row>
    <row r="155" spans="2:29" s="48" customFormat="1" hidden="1" x14ac:dyDescent="0.25">
      <c r="B155" s="57" t="s">
        <v>67</v>
      </c>
      <c r="C155" s="49"/>
      <c r="D155" s="49"/>
      <c r="E155" s="22"/>
      <c r="F155" s="187">
        <f t="shared" si="17"/>
        <v>0</v>
      </c>
      <c r="G155" s="203"/>
      <c r="H155" s="187"/>
      <c r="I155" s="191"/>
      <c r="J155" s="187"/>
      <c r="K155" s="191"/>
      <c r="L155" s="187"/>
      <c r="M155" s="191"/>
      <c r="N155" s="187"/>
      <c r="O155" s="187"/>
      <c r="P155" s="86"/>
      <c r="Q155" s="86"/>
      <c r="R155" s="86"/>
      <c r="S155" s="86"/>
      <c r="T155" s="86"/>
      <c r="U155" s="86"/>
      <c r="V155" s="86"/>
      <c r="W155" s="86"/>
      <c r="X155" s="86"/>
      <c r="Y155" s="86"/>
      <c r="Z155" s="86"/>
      <c r="AA155" s="86"/>
      <c r="AB155" s="86"/>
      <c r="AC155" s="86"/>
    </row>
    <row r="156" spans="2:29" s="48" customFormat="1" hidden="1" x14ac:dyDescent="0.25">
      <c r="B156" s="57" t="s">
        <v>144</v>
      </c>
      <c r="C156" s="49"/>
      <c r="D156" s="49"/>
      <c r="E156" s="22"/>
      <c r="F156" s="187">
        <f t="shared" si="17"/>
        <v>0</v>
      </c>
      <c r="G156" s="203"/>
      <c r="H156" s="187"/>
      <c r="I156" s="191"/>
      <c r="J156" s="187"/>
      <c r="K156" s="191"/>
      <c r="L156" s="187"/>
      <c r="M156" s="191"/>
      <c r="N156" s="187"/>
      <c r="O156" s="187"/>
      <c r="P156" s="110"/>
      <c r="Q156" s="110"/>
      <c r="R156" s="110"/>
      <c r="S156" s="110"/>
      <c r="T156" s="110"/>
      <c r="U156" s="110"/>
      <c r="V156" s="110"/>
      <c r="W156" s="110"/>
      <c r="X156" s="110"/>
      <c r="Y156" s="110"/>
      <c r="Z156" s="110"/>
      <c r="AA156" s="110"/>
      <c r="AB156" s="110"/>
      <c r="AC156" s="110"/>
    </row>
    <row r="157" spans="2:29" s="48" customFormat="1" hidden="1" x14ac:dyDescent="0.25">
      <c r="B157" s="57" t="s">
        <v>69</v>
      </c>
      <c r="C157" s="49"/>
      <c r="D157" s="49"/>
      <c r="E157" s="22"/>
      <c r="F157" s="187">
        <f t="shared" si="17"/>
        <v>0</v>
      </c>
      <c r="G157" s="203"/>
      <c r="H157" s="187"/>
      <c r="I157" s="191"/>
      <c r="J157" s="187"/>
      <c r="K157" s="191"/>
      <c r="L157" s="187"/>
      <c r="M157" s="191"/>
      <c r="N157" s="187"/>
      <c r="O157" s="187"/>
      <c r="P157" s="86"/>
      <c r="Q157" s="86"/>
      <c r="R157" s="86"/>
      <c r="S157" s="86"/>
      <c r="T157" s="86"/>
      <c r="U157" s="86"/>
      <c r="V157" s="86"/>
      <c r="W157" s="86"/>
      <c r="X157" s="86"/>
      <c r="Y157" s="86"/>
      <c r="Z157" s="86"/>
      <c r="AA157" s="86"/>
      <c r="AB157" s="86"/>
      <c r="AC157" s="86"/>
    </row>
    <row r="158" spans="2:29" s="48" customFormat="1" ht="13.2" hidden="1" customHeight="1" x14ac:dyDescent="0.25">
      <c r="B158" s="57" t="s">
        <v>70</v>
      </c>
      <c r="C158" s="49"/>
      <c r="D158" s="49"/>
      <c r="E158" s="22"/>
      <c r="F158" s="187">
        <f t="shared" si="17"/>
        <v>0</v>
      </c>
      <c r="G158" s="191"/>
      <c r="H158" s="187"/>
      <c r="I158" s="191"/>
      <c r="J158" s="187"/>
      <c r="K158" s="191"/>
      <c r="L158" s="187"/>
      <c r="M158" s="191"/>
      <c r="N158" s="187"/>
      <c r="O158" s="187"/>
      <c r="P158" s="86"/>
      <c r="Q158" s="86"/>
      <c r="R158" s="86"/>
      <c r="S158" s="86"/>
      <c r="T158" s="86"/>
      <c r="U158" s="86"/>
      <c r="V158" s="86"/>
      <c r="W158" s="86"/>
      <c r="X158" s="86"/>
      <c r="Y158" s="86"/>
      <c r="Z158" s="86"/>
      <c r="AA158" s="86"/>
      <c r="AB158" s="86"/>
      <c r="AC158" s="86"/>
    </row>
    <row r="159" spans="2:29" s="48" customFormat="1" ht="13.2" hidden="1" customHeight="1" x14ac:dyDescent="0.25">
      <c r="B159" s="57" t="s">
        <v>71</v>
      </c>
      <c r="C159" s="49"/>
      <c r="D159" s="49"/>
      <c r="E159" s="22"/>
      <c r="F159" s="187">
        <f t="shared" si="17"/>
        <v>0</v>
      </c>
      <c r="G159" s="203"/>
      <c r="H159" s="187"/>
      <c r="I159" s="191"/>
      <c r="J159" s="187"/>
      <c r="K159" s="191"/>
      <c r="L159" s="187"/>
      <c r="M159" s="191"/>
      <c r="N159" s="187"/>
      <c r="O159" s="187"/>
      <c r="P159" s="86" t="s">
        <v>7</v>
      </c>
      <c r="Q159" s="86"/>
      <c r="R159" s="86"/>
      <c r="S159" s="86"/>
      <c r="T159" s="86"/>
      <c r="U159" s="86"/>
      <c r="V159" s="86"/>
      <c r="W159" s="86"/>
      <c r="X159" s="86"/>
      <c r="Y159" s="86"/>
      <c r="Z159" s="86"/>
      <c r="AA159" s="86"/>
      <c r="AB159" s="86"/>
      <c r="AC159" s="86"/>
    </row>
    <row r="160" spans="2:29" s="48" customFormat="1" ht="13.2" customHeight="1" x14ac:dyDescent="0.25">
      <c r="B160" s="57" t="s">
        <v>72</v>
      </c>
      <c r="C160" s="49"/>
      <c r="D160" s="49"/>
      <c r="E160" s="22"/>
      <c r="F160" s="187">
        <f t="shared" si="17"/>
        <v>1</v>
      </c>
      <c r="G160" s="203"/>
      <c r="H160" s="187"/>
      <c r="I160" s="191"/>
      <c r="J160" s="187"/>
      <c r="K160" s="191"/>
      <c r="L160" s="187">
        <v>1</v>
      </c>
      <c r="M160" s="191"/>
      <c r="N160" s="187"/>
      <c r="O160" s="187"/>
      <c r="P160" s="86"/>
      <c r="Q160" s="86"/>
      <c r="R160" s="86"/>
      <c r="S160" s="86"/>
      <c r="T160" s="86"/>
      <c r="U160" s="86"/>
      <c r="V160" s="86"/>
      <c r="W160" s="86"/>
      <c r="X160" s="86"/>
      <c r="Y160" s="86"/>
      <c r="Z160" s="86"/>
      <c r="AA160" s="86"/>
      <c r="AB160" s="86"/>
      <c r="AC160" s="86"/>
    </row>
    <row r="161" spans="2:29" s="48" customFormat="1" hidden="1" x14ac:dyDescent="0.25">
      <c r="B161" s="57" t="s">
        <v>130</v>
      </c>
      <c r="C161" s="49"/>
      <c r="D161" s="49"/>
      <c r="E161" s="22"/>
      <c r="F161" s="187">
        <f t="shared" si="17"/>
        <v>0</v>
      </c>
      <c r="G161" s="203"/>
      <c r="H161" s="187"/>
      <c r="I161" s="191"/>
      <c r="J161" s="187"/>
      <c r="K161" s="191"/>
      <c r="L161" s="187"/>
      <c r="M161" s="191"/>
      <c r="N161" s="187"/>
      <c r="O161" s="187"/>
      <c r="P161" s="86"/>
      <c r="Q161" s="86"/>
      <c r="R161" s="86"/>
      <c r="S161" s="86"/>
      <c r="T161" s="86"/>
      <c r="U161" s="86"/>
      <c r="V161" s="86"/>
      <c r="W161" s="86"/>
      <c r="X161" s="86"/>
      <c r="Y161" s="86"/>
      <c r="Z161" s="86"/>
      <c r="AA161" s="86"/>
      <c r="AB161" s="86"/>
      <c r="AC161" s="86"/>
    </row>
    <row r="162" spans="2:29" s="48" customFormat="1" ht="13.2" hidden="1" customHeight="1" x14ac:dyDescent="0.25">
      <c r="B162" s="57" t="s">
        <v>102</v>
      </c>
      <c r="C162" s="49"/>
      <c r="D162" s="49"/>
      <c r="E162" s="22"/>
      <c r="F162" s="187">
        <f t="shared" si="17"/>
        <v>0</v>
      </c>
      <c r="G162" s="191"/>
      <c r="H162" s="187"/>
      <c r="I162" s="191"/>
      <c r="J162" s="187"/>
      <c r="K162" s="191"/>
      <c r="L162" s="187"/>
      <c r="M162" s="191"/>
      <c r="N162" s="187"/>
      <c r="O162" s="187"/>
      <c r="P162" s="86"/>
      <c r="Q162" s="86"/>
      <c r="R162" s="86"/>
      <c r="S162" s="86"/>
      <c r="T162" s="86"/>
      <c r="U162" s="86"/>
      <c r="V162" s="86"/>
      <c r="W162" s="86"/>
      <c r="X162" s="86"/>
      <c r="Y162" s="86"/>
      <c r="Z162" s="86"/>
      <c r="AA162" s="86"/>
      <c r="AB162" s="86"/>
      <c r="AC162" s="86"/>
    </row>
    <row r="163" spans="2:29" s="48" customFormat="1" ht="13.2" customHeight="1" x14ac:dyDescent="0.25">
      <c r="B163" s="57" t="s">
        <v>103</v>
      </c>
      <c r="C163" s="49"/>
      <c r="D163" s="49"/>
      <c r="E163" s="22"/>
      <c r="F163" s="187">
        <f t="shared" si="17"/>
        <v>1</v>
      </c>
      <c r="G163" s="203"/>
      <c r="H163" s="187"/>
      <c r="I163" s="191"/>
      <c r="J163" s="187">
        <v>1</v>
      </c>
      <c r="K163" s="191"/>
      <c r="L163" s="187"/>
      <c r="M163" s="191"/>
      <c r="N163" s="187"/>
      <c r="O163" s="187"/>
      <c r="P163" s="86"/>
      <c r="Q163" s="86"/>
      <c r="R163" s="86"/>
      <c r="S163" s="86"/>
      <c r="T163" s="86"/>
      <c r="U163" s="86"/>
      <c r="V163" s="86"/>
      <c r="W163" s="86"/>
      <c r="X163" s="86"/>
      <c r="Y163" s="86"/>
      <c r="Z163" s="86"/>
      <c r="AA163" s="86"/>
      <c r="AB163" s="86"/>
      <c r="AC163" s="86"/>
    </row>
    <row r="164" spans="2:29" s="48" customFormat="1" hidden="1" x14ac:dyDescent="0.25">
      <c r="B164" s="57" t="s">
        <v>91</v>
      </c>
      <c r="C164" s="49"/>
      <c r="D164" s="49"/>
      <c r="E164" s="22"/>
      <c r="F164" s="187">
        <f t="shared" si="17"/>
        <v>0</v>
      </c>
      <c r="G164" s="203"/>
      <c r="H164" s="187"/>
      <c r="I164" s="191"/>
      <c r="J164" s="187"/>
      <c r="K164" s="191"/>
      <c r="L164" s="187"/>
      <c r="M164" s="191"/>
      <c r="N164" s="187"/>
      <c r="O164" s="187"/>
      <c r="P164" s="86"/>
      <c r="Q164" s="86"/>
      <c r="R164" s="86"/>
      <c r="S164" s="86"/>
      <c r="T164" s="86"/>
      <c r="U164" s="86"/>
      <c r="V164" s="86"/>
      <c r="W164" s="86"/>
      <c r="X164" s="86"/>
      <c r="Y164" s="86"/>
      <c r="Z164" s="86"/>
      <c r="AA164" s="86"/>
      <c r="AB164" s="86"/>
      <c r="AC164" s="86"/>
    </row>
    <row r="165" spans="2:29" s="48" customFormat="1" ht="13.2" hidden="1" customHeight="1" x14ac:dyDescent="0.25">
      <c r="B165" s="57" t="s">
        <v>73</v>
      </c>
      <c r="C165" s="49"/>
      <c r="D165" s="49"/>
      <c r="E165" s="22"/>
      <c r="F165" s="187">
        <f t="shared" si="17"/>
        <v>0</v>
      </c>
      <c r="G165" s="203"/>
      <c r="H165" s="187"/>
      <c r="I165" s="191"/>
      <c r="J165" s="187"/>
      <c r="K165" s="191"/>
      <c r="L165" s="187"/>
      <c r="M165" s="191"/>
      <c r="N165" s="187"/>
      <c r="O165" s="187"/>
      <c r="P165" s="86"/>
      <c r="Q165" s="86"/>
      <c r="R165" s="86"/>
      <c r="S165" s="86"/>
      <c r="T165" s="86"/>
      <c r="U165" s="86"/>
      <c r="V165" s="86"/>
      <c r="W165" s="86"/>
      <c r="X165" s="86"/>
      <c r="Y165" s="86"/>
      <c r="Z165" s="86"/>
      <c r="AA165" s="86"/>
      <c r="AB165" s="86"/>
      <c r="AC165" s="86"/>
    </row>
    <row r="166" spans="2:29" s="48" customFormat="1" x14ac:dyDescent="0.25">
      <c r="B166" s="57" t="s">
        <v>74</v>
      </c>
      <c r="C166" s="49"/>
      <c r="D166" s="49"/>
      <c r="E166" s="22"/>
      <c r="F166" s="187">
        <f t="shared" si="17"/>
        <v>1</v>
      </c>
      <c r="G166" s="203"/>
      <c r="H166" s="187"/>
      <c r="I166" s="191"/>
      <c r="J166" s="187"/>
      <c r="K166" s="191"/>
      <c r="L166" s="187"/>
      <c r="M166" s="191"/>
      <c r="N166" s="187"/>
      <c r="O166" s="187">
        <v>1</v>
      </c>
      <c r="P166" s="86"/>
      <c r="Q166" s="86"/>
      <c r="R166" s="86"/>
      <c r="S166" s="86"/>
      <c r="T166" s="86"/>
      <c r="U166" s="86"/>
      <c r="V166" s="86"/>
      <c r="W166" s="86"/>
      <c r="X166" s="86"/>
      <c r="Y166" s="86"/>
      <c r="Z166" s="86"/>
      <c r="AA166" s="86"/>
      <c r="AB166" s="86"/>
      <c r="AC166" s="86"/>
    </row>
    <row r="167" spans="2:29" s="48" customFormat="1" ht="13.2" hidden="1" customHeight="1" x14ac:dyDescent="0.25">
      <c r="B167" s="57" t="s">
        <v>104</v>
      </c>
      <c r="C167" s="49"/>
      <c r="D167" s="49"/>
      <c r="E167" s="22"/>
      <c r="F167" s="187">
        <f t="shared" si="17"/>
        <v>0</v>
      </c>
      <c r="G167" s="191"/>
      <c r="H167" s="187"/>
      <c r="I167" s="191"/>
      <c r="J167" s="187"/>
      <c r="K167" s="191"/>
      <c r="L167" s="187"/>
      <c r="M167" s="191"/>
      <c r="N167" s="187"/>
      <c r="O167" s="187"/>
      <c r="P167" s="86"/>
      <c r="Q167" s="86"/>
      <c r="R167" s="86"/>
      <c r="S167" s="86"/>
      <c r="T167" s="86"/>
      <c r="U167" s="86"/>
      <c r="V167" s="86"/>
      <c r="W167" s="86"/>
      <c r="X167" s="86"/>
      <c r="Y167" s="86"/>
      <c r="Z167" s="86"/>
      <c r="AA167" s="86"/>
      <c r="AB167" s="86"/>
      <c r="AC167" s="86"/>
    </row>
    <row r="168" spans="2:29" s="48" customFormat="1" ht="13.2" hidden="1" customHeight="1" x14ac:dyDescent="0.25">
      <c r="B168" s="57" t="s">
        <v>75</v>
      </c>
      <c r="C168" s="49"/>
      <c r="D168" s="49"/>
      <c r="E168" s="22"/>
      <c r="F168" s="187">
        <f t="shared" si="17"/>
        <v>0</v>
      </c>
      <c r="G168" s="203"/>
      <c r="H168" s="187"/>
      <c r="I168" s="191"/>
      <c r="J168" s="187"/>
      <c r="K168" s="191"/>
      <c r="L168" s="187"/>
      <c r="M168" s="191"/>
      <c r="N168" s="187"/>
      <c r="O168" s="187"/>
      <c r="P168" s="86"/>
      <c r="Q168" s="86"/>
      <c r="R168" s="86"/>
      <c r="S168" s="86"/>
      <c r="T168" s="86"/>
      <c r="U168" s="86"/>
      <c r="V168" s="86"/>
      <c r="W168" s="86"/>
      <c r="X168" s="86"/>
      <c r="Y168" s="86"/>
      <c r="Z168" s="86"/>
      <c r="AA168" s="86"/>
      <c r="AB168" s="86"/>
      <c r="AC168" s="86"/>
    </row>
    <row r="169" spans="2:29" s="48" customFormat="1" hidden="1" x14ac:dyDescent="0.25">
      <c r="B169" s="57" t="s">
        <v>131</v>
      </c>
      <c r="C169" s="49"/>
      <c r="D169" s="49"/>
      <c r="E169" s="22"/>
      <c r="F169" s="187">
        <f t="shared" si="17"/>
        <v>0</v>
      </c>
      <c r="G169" s="203"/>
      <c r="H169" s="187"/>
      <c r="I169" s="191"/>
      <c r="J169" s="187"/>
      <c r="K169" s="191"/>
      <c r="L169" s="187"/>
      <c r="M169" s="191"/>
      <c r="N169" s="187"/>
      <c r="O169" s="187"/>
      <c r="P169" s="86"/>
      <c r="Q169" s="86"/>
      <c r="R169" s="86"/>
      <c r="S169" s="86"/>
      <c r="T169" s="86"/>
      <c r="U169" s="86"/>
      <c r="V169" s="86"/>
      <c r="W169" s="86"/>
      <c r="X169" s="86"/>
      <c r="Y169" s="86"/>
      <c r="Z169" s="86"/>
      <c r="AA169" s="86"/>
      <c r="AB169" s="86"/>
      <c r="AC169" s="86"/>
    </row>
    <row r="170" spans="2:29" s="48" customFormat="1" ht="13.2" customHeight="1" x14ac:dyDescent="0.25">
      <c r="B170" s="57" t="s">
        <v>77</v>
      </c>
      <c r="C170" s="49"/>
      <c r="D170" s="49"/>
      <c r="E170" s="22"/>
      <c r="F170" s="187">
        <f t="shared" si="17"/>
        <v>1</v>
      </c>
      <c r="G170" s="191"/>
      <c r="H170" s="187"/>
      <c r="I170" s="191"/>
      <c r="J170" s="187"/>
      <c r="K170" s="191"/>
      <c r="L170" s="187"/>
      <c r="M170" s="191"/>
      <c r="N170" s="187"/>
      <c r="O170" s="187">
        <v>1</v>
      </c>
      <c r="P170" s="86" t="s">
        <v>7</v>
      </c>
      <c r="Q170" s="86"/>
      <c r="R170" s="86"/>
      <c r="S170" s="86"/>
      <c r="T170" s="86"/>
      <c r="U170" s="86"/>
      <c r="V170" s="86"/>
      <c r="W170" s="86"/>
      <c r="X170" s="86"/>
      <c r="Y170" s="86"/>
      <c r="Z170" s="86"/>
      <c r="AA170" s="86"/>
      <c r="AB170" s="86"/>
      <c r="AC170" s="86"/>
    </row>
    <row r="171" spans="2:29" s="48" customFormat="1" hidden="1" x14ac:dyDescent="0.25">
      <c r="B171" s="57" t="s">
        <v>78</v>
      </c>
      <c r="C171" s="49"/>
      <c r="D171" s="49"/>
      <c r="E171" s="22"/>
      <c r="F171" s="187">
        <f t="shared" si="17"/>
        <v>0</v>
      </c>
      <c r="G171" s="191"/>
      <c r="H171" s="187"/>
      <c r="I171" s="191"/>
      <c r="J171" s="187"/>
      <c r="K171" s="191"/>
      <c r="L171" s="187"/>
      <c r="M171" s="191"/>
      <c r="N171" s="187"/>
      <c r="O171" s="187"/>
      <c r="P171" s="86"/>
      <c r="Q171" s="86"/>
      <c r="R171" s="86"/>
      <c r="S171" s="86"/>
      <c r="T171" s="86"/>
      <c r="U171" s="86"/>
      <c r="V171" s="86"/>
      <c r="W171" s="86"/>
      <c r="X171" s="86"/>
      <c r="Y171" s="86"/>
      <c r="Z171" s="86"/>
      <c r="AA171" s="86"/>
      <c r="AB171" s="86"/>
      <c r="AC171" s="86"/>
    </row>
    <row r="172" spans="2:29" s="48" customFormat="1" x14ac:dyDescent="0.25">
      <c r="B172" s="57" t="s">
        <v>79</v>
      </c>
      <c r="C172" s="49"/>
      <c r="D172" s="49"/>
      <c r="E172" s="22"/>
      <c r="F172" s="187">
        <f t="shared" si="17"/>
        <v>1</v>
      </c>
      <c r="G172" s="191"/>
      <c r="H172" s="187"/>
      <c r="I172" s="191"/>
      <c r="J172" s="187"/>
      <c r="K172" s="191"/>
      <c r="L172" s="187">
        <v>1</v>
      </c>
      <c r="M172" s="191"/>
      <c r="N172" s="187"/>
      <c r="O172" s="187"/>
      <c r="P172" s="175"/>
      <c r="Q172" s="175"/>
      <c r="R172" s="175"/>
      <c r="S172" s="175"/>
      <c r="T172" s="175"/>
      <c r="U172" s="175"/>
      <c r="V172" s="175"/>
      <c r="W172" s="175"/>
      <c r="X172" s="175"/>
      <c r="Y172" s="175"/>
      <c r="Z172" s="175"/>
      <c r="AA172" s="175"/>
      <c r="AB172" s="175"/>
      <c r="AC172" s="175"/>
    </row>
    <row r="173" spans="2:29" s="48" customFormat="1" x14ac:dyDescent="0.25">
      <c r="B173" s="57" t="s">
        <v>198</v>
      </c>
      <c r="C173" s="49"/>
      <c r="D173" s="49"/>
      <c r="E173" s="22"/>
      <c r="F173" s="188">
        <f t="shared" si="17"/>
        <v>1</v>
      </c>
      <c r="G173" s="193"/>
      <c r="H173" s="188"/>
      <c r="I173" s="193"/>
      <c r="J173" s="188"/>
      <c r="K173" s="193"/>
      <c r="L173" s="188">
        <v>1</v>
      </c>
      <c r="M173" s="193"/>
      <c r="N173" s="188"/>
      <c r="O173" s="188"/>
      <c r="P173" s="86"/>
      <c r="Q173" s="86"/>
      <c r="R173" s="86"/>
      <c r="S173" s="86"/>
      <c r="T173" s="86"/>
      <c r="U173" s="86"/>
      <c r="V173" s="86"/>
      <c r="W173" s="86"/>
      <c r="X173" s="86"/>
      <c r="Y173" s="86"/>
      <c r="Z173" s="86"/>
      <c r="AA173" s="86"/>
      <c r="AB173" s="86"/>
      <c r="AC173" s="86"/>
    </row>
    <row r="174" spans="2:29" s="48" customFormat="1" x14ac:dyDescent="0.25">
      <c r="B174" s="57"/>
      <c r="C174" s="49"/>
      <c r="D174" s="49"/>
      <c r="E174" s="22"/>
      <c r="F174" s="22"/>
      <c r="G174" s="49"/>
      <c r="H174" s="21"/>
      <c r="I174" s="175"/>
      <c r="J174" s="21"/>
      <c r="K174" s="175"/>
      <c r="L174" s="89"/>
      <c r="M174" s="175"/>
      <c r="N174" s="21"/>
      <c r="O174" s="21"/>
      <c r="P174" s="86"/>
      <c r="Q174" s="86"/>
      <c r="R174" s="86"/>
      <c r="S174" s="86"/>
      <c r="T174" s="86"/>
      <c r="U174" s="86"/>
      <c r="V174" s="86"/>
      <c r="W174" s="86"/>
      <c r="X174" s="86"/>
      <c r="Y174" s="86"/>
      <c r="Z174" s="86"/>
      <c r="AA174" s="86"/>
      <c r="AB174" s="86"/>
      <c r="AC174" s="86"/>
    </row>
    <row r="175" spans="2:29" s="93" customFormat="1" x14ac:dyDescent="0.25">
      <c r="B175" s="58" t="s">
        <v>0</v>
      </c>
      <c r="C175" s="91"/>
      <c r="D175" s="52"/>
      <c r="E175" s="133">
        <v>2</v>
      </c>
      <c r="F175" s="92">
        <f>SUM(F177:F182)</f>
        <v>2</v>
      </c>
      <c r="G175" s="159">
        <f>SUM(G177:G182)</f>
        <v>0</v>
      </c>
      <c r="H175" s="94">
        <f t="shared" ref="H175:O175" si="18">SUM(H177:H182)</f>
        <v>0</v>
      </c>
      <c r="I175" s="159">
        <f t="shared" si="18"/>
        <v>0</v>
      </c>
      <c r="J175" s="94">
        <f t="shared" si="18"/>
        <v>0</v>
      </c>
      <c r="K175" s="159">
        <f t="shared" si="18"/>
        <v>0</v>
      </c>
      <c r="L175" s="94">
        <f t="shared" si="18"/>
        <v>0</v>
      </c>
      <c r="M175" s="159">
        <f t="shared" si="18"/>
        <v>2</v>
      </c>
      <c r="N175" s="94">
        <f t="shared" ref="N175" si="19">SUM(N177:N182)</f>
        <v>0</v>
      </c>
      <c r="O175" s="94">
        <f t="shared" si="18"/>
        <v>0</v>
      </c>
      <c r="P175" s="86"/>
      <c r="Q175" s="86"/>
      <c r="R175" s="86"/>
      <c r="S175" s="86"/>
      <c r="T175" s="86"/>
      <c r="U175" s="86"/>
      <c r="V175" s="86"/>
      <c r="W175" s="52"/>
      <c r="X175" s="52"/>
      <c r="Y175" s="52"/>
      <c r="Z175" s="52"/>
      <c r="AA175" s="52"/>
      <c r="AB175" s="52"/>
      <c r="AC175" s="52"/>
    </row>
    <row r="176" spans="2:29" s="48" customFormat="1" ht="13.2" hidden="1" customHeight="1" x14ac:dyDescent="0.25">
      <c r="B176" s="57" t="s">
        <v>127</v>
      </c>
      <c r="C176" s="49"/>
      <c r="D176" s="49"/>
      <c r="E176" s="169"/>
      <c r="F176" s="186">
        <f t="shared" ref="F176:F182" si="20">SUM(G176:O176)</f>
        <v>0</v>
      </c>
      <c r="G176" s="219"/>
      <c r="H176" s="186"/>
      <c r="I176" s="189"/>
      <c r="J176" s="186"/>
      <c r="K176" s="189"/>
      <c r="L176" s="202"/>
      <c r="M176" s="219"/>
      <c r="N176" s="202"/>
      <c r="O176" s="186"/>
      <c r="P176" s="86"/>
      <c r="Q176" s="86"/>
      <c r="R176" s="86"/>
      <c r="S176" s="86"/>
      <c r="T176" s="86"/>
      <c r="U176" s="86"/>
      <c r="V176" s="86"/>
      <c r="W176" s="86"/>
      <c r="X176" s="86"/>
      <c r="Y176" s="86"/>
      <c r="Z176" s="86"/>
      <c r="AA176" s="86"/>
      <c r="AB176" s="86"/>
      <c r="AC176" s="86"/>
    </row>
    <row r="177" spans="2:29" s="48" customFormat="1" ht="13.2" customHeight="1" x14ac:dyDescent="0.25">
      <c r="B177" s="57" t="s">
        <v>81</v>
      </c>
      <c r="C177" s="49"/>
      <c r="D177" s="49"/>
      <c r="E177" s="169"/>
      <c r="F177" s="186">
        <f t="shared" si="20"/>
        <v>1</v>
      </c>
      <c r="G177" s="219"/>
      <c r="H177" s="186"/>
      <c r="I177" s="189"/>
      <c r="J177" s="186"/>
      <c r="K177" s="189"/>
      <c r="L177" s="202"/>
      <c r="M177" s="189">
        <v>1</v>
      </c>
      <c r="N177" s="186"/>
      <c r="O177" s="186"/>
      <c r="P177" s="86"/>
      <c r="Q177" s="86"/>
      <c r="R177" s="86"/>
      <c r="S177" s="86"/>
      <c r="T177" s="86"/>
      <c r="U177" s="86"/>
      <c r="V177" s="86"/>
      <c r="W177" s="86"/>
      <c r="X177" s="86"/>
      <c r="Y177" s="86"/>
      <c r="Z177" s="86"/>
      <c r="AA177" s="86"/>
      <c r="AB177" s="86"/>
      <c r="AC177" s="86"/>
    </row>
    <row r="178" spans="2:29" s="48" customFormat="1" ht="13.2" hidden="1" customHeight="1" x14ac:dyDescent="0.25">
      <c r="B178" s="57" t="s">
        <v>82</v>
      </c>
      <c r="C178" s="49"/>
      <c r="D178" s="49"/>
      <c r="E178" s="169"/>
      <c r="F178" s="187">
        <f t="shared" si="20"/>
        <v>0</v>
      </c>
      <c r="G178" s="203"/>
      <c r="H178" s="187"/>
      <c r="I178" s="191"/>
      <c r="J178" s="187"/>
      <c r="K178" s="191"/>
      <c r="L178" s="195"/>
      <c r="M178" s="191"/>
      <c r="N178" s="187"/>
      <c r="O178" s="187"/>
      <c r="P178" s="86"/>
      <c r="Q178" s="86"/>
      <c r="R178" s="86"/>
      <c r="S178" s="86"/>
      <c r="T178" s="86"/>
      <c r="U178" s="86"/>
      <c r="V178" s="86"/>
      <c r="W178" s="86"/>
      <c r="X178" s="86"/>
      <c r="Y178" s="86"/>
      <c r="Z178" s="86"/>
      <c r="AA178" s="86"/>
      <c r="AB178" s="86"/>
      <c r="AC178" s="86"/>
    </row>
    <row r="179" spans="2:29" s="48" customFormat="1" ht="13.2" hidden="1" customHeight="1" x14ac:dyDescent="0.25">
      <c r="B179" s="57" t="s">
        <v>83</v>
      </c>
      <c r="C179" s="49"/>
      <c r="D179" s="49"/>
      <c r="E179" s="169"/>
      <c r="F179" s="187">
        <f t="shared" si="20"/>
        <v>0</v>
      </c>
      <c r="G179" s="203"/>
      <c r="H179" s="187"/>
      <c r="I179" s="191"/>
      <c r="J179" s="187"/>
      <c r="K179" s="191"/>
      <c r="L179" s="195"/>
      <c r="M179" s="191"/>
      <c r="N179" s="187"/>
      <c r="O179" s="187"/>
      <c r="P179" s="86"/>
      <c r="Q179" s="86"/>
      <c r="R179" s="86"/>
      <c r="S179" s="86"/>
      <c r="T179" s="86"/>
      <c r="U179" s="86"/>
      <c r="V179" s="86"/>
      <c r="W179" s="86"/>
      <c r="X179" s="86"/>
      <c r="Y179" s="86"/>
      <c r="Z179" s="86"/>
      <c r="AA179" s="86"/>
      <c r="AB179" s="86"/>
      <c r="AC179" s="86"/>
    </row>
    <row r="180" spans="2:29" s="48" customFormat="1" ht="13.2" hidden="1" customHeight="1" x14ac:dyDescent="0.25">
      <c r="B180" s="57" t="s">
        <v>84</v>
      </c>
      <c r="C180" s="49"/>
      <c r="D180" s="49"/>
      <c r="E180" s="169"/>
      <c r="F180" s="187">
        <f t="shared" si="20"/>
        <v>0</v>
      </c>
      <c r="G180" s="203"/>
      <c r="H180" s="187"/>
      <c r="I180" s="191"/>
      <c r="J180" s="187"/>
      <c r="K180" s="191"/>
      <c r="L180" s="195"/>
      <c r="M180" s="191"/>
      <c r="N180" s="187"/>
      <c r="O180" s="187"/>
      <c r="P180" s="86"/>
      <c r="Q180" s="86"/>
      <c r="R180" s="86"/>
      <c r="S180" s="86"/>
      <c r="T180" s="86"/>
      <c r="U180" s="86"/>
      <c r="V180" s="86"/>
      <c r="W180" s="86"/>
      <c r="X180" s="86"/>
      <c r="Y180" s="86"/>
      <c r="Z180" s="86"/>
      <c r="AA180" s="86"/>
      <c r="AB180" s="86"/>
      <c r="AC180" s="86"/>
    </row>
    <row r="181" spans="2:29" s="48" customFormat="1" ht="13.2" hidden="1" customHeight="1" x14ac:dyDescent="0.25">
      <c r="B181" s="57" t="s">
        <v>85</v>
      </c>
      <c r="C181" s="49"/>
      <c r="D181" s="49"/>
      <c r="E181" s="169"/>
      <c r="F181" s="187">
        <f t="shared" si="20"/>
        <v>0</v>
      </c>
      <c r="G181" s="203"/>
      <c r="H181" s="187"/>
      <c r="I181" s="191"/>
      <c r="J181" s="187"/>
      <c r="K181" s="191"/>
      <c r="L181" s="195"/>
      <c r="M181" s="191"/>
      <c r="N181" s="187"/>
      <c r="O181" s="187"/>
      <c r="P181" s="86"/>
      <c r="Q181" s="86"/>
      <c r="R181" s="86"/>
      <c r="S181" s="86"/>
      <c r="T181" s="86"/>
      <c r="U181" s="86"/>
      <c r="V181" s="86"/>
      <c r="W181" s="86"/>
      <c r="X181" s="86"/>
      <c r="Y181" s="86"/>
      <c r="Z181" s="86"/>
      <c r="AA181" s="86"/>
      <c r="AB181" s="86"/>
      <c r="AC181" s="86"/>
    </row>
    <row r="182" spans="2:29" s="48" customFormat="1" ht="13.2" customHeight="1" x14ac:dyDescent="0.25">
      <c r="B182" s="57" t="s">
        <v>87</v>
      </c>
      <c r="C182" s="49"/>
      <c r="D182" s="49"/>
      <c r="E182" s="169"/>
      <c r="F182" s="188">
        <f t="shared" si="20"/>
        <v>1</v>
      </c>
      <c r="G182" s="220"/>
      <c r="H182" s="188"/>
      <c r="I182" s="193"/>
      <c r="J182" s="188"/>
      <c r="K182" s="193"/>
      <c r="L182" s="196"/>
      <c r="M182" s="193">
        <v>1</v>
      </c>
      <c r="N182" s="188"/>
      <c r="O182" s="188"/>
      <c r="P182" s="86"/>
      <c r="Q182" s="86"/>
      <c r="R182" s="86"/>
      <c r="S182" s="86"/>
      <c r="T182" s="86"/>
      <c r="U182" s="86"/>
      <c r="V182" s="86"/>
      <c r="W182" s="86"/>
      <c r="X182" s="86"/>
      <c r="Y182" s="86"/>
      <c r="Z182" s="86"/>
      <c r="AA182" s="86"/>
      <c r="AB182" s="86"/>
      <c r="AC182" s="86"/>
    </row>
    <row r="183" spans="2:29" s="48" customFormat="1" x14ac:dyDescent="0.25">
      <c r="B183" s="61"/>
      <c r="C183" s="55"/>
      <c r="D183" s="55"/>
      <c r="E183" s="226"/>
      <c r="F183" s="23"/>
      <c r="G183" s="55"/>
      <c r="H183" s="23"/>
      <c r="I183" s="99"/>
      <c r="J183" s="23"/>
      <c r="K183" s="99"/>
      <c r="L183" s="127"/>
      <c r="M183" s="55"/>
      <c r="N183" s="127"/>
      <c r="O183" s="23"/>
      <c r="P183" s="86"/>
      <c r="Q183" s="86"/>
      <c r="R183" s="86"/>
      <c r="S183" s="86"/>
      <c r="T183" s="86"/>
      <c r="U183" s="86"/>
      <c r="V183" s="86"/>
      <c r="W183" s="86"/>
      <c r="X183" s="86"/>
      <c r="Y183" s="86"/>
      <c r="Z183" s="86"/>
      <c r="AA183" s="86"/>
      <c r="AB183" s="86"/>
      <c r="AC183" s="86"/>
    </row>
    <row r="184" spans="2:29" s="48" customFormat="1" hidden="1" x14ac:dyDescent="0.25">
      <c r="B184" s="58" t="s">
        <v>94</v>
      </c>
      <c r="C184" s="49"/>
      <c r="D184" s="49"/>
      <c r="E184" s="133">
        <v>0</v>
      </c>
      <c r="F184" s="22"/>
      <c r="G184" s="49"/>
      <c r="H184" s="22"/>
      <c r="I184" s="154"/>
      <c r="J184" s="22"/>
      <c r="K184" s="175"/>
      <c r="L184" s="90"/>
      <c r="M184" s="49"/>
      <c r="N184" s="49"/>
      <c r="O184" s="22"/>
      <c r="P184" s="86"/>
      <c r="Q184" s="86"/>
      <c r="R184" s="86"/>
      <c r="S184" s="86"/>
      <c r="T184" s="86"/>
      <c r="U184" s="86"/>
      <c r="V184" s="86"/>
      <c r="W184" s="86"/>
      <c r="X184" s="86"/>
      <c r="Y184" s="86"/>
      <c r="Z184" s="86"/>
      <c r="AA184" s="86"/>
      <c r="AB184" s="86"/>
      <c r="AC184" s="86"/>
    </row>
    <row r="185" spans="2:29" s="48" customFormat="1" ht="13.2" hidden="1" customHeight="1" x14ac:dyDescent="0.25">
      <c r="B185" s="61" t="s">
        <v>86</v>
      </c>
      <c r="C185" s="55"/>
      <c r="D185" s="55"/>
      <c r="E185" s="23"/>
      <c r="F185" s="197">
        <f>SUM(G185:O185)</f>
        <v>0</v>
      </c>
      <c r="G185" s="221"/>
      <c r="H185" s="197"/>
      <c r="I185" s="198"/>
      <c r="J185" s="197"/>
      <c r="K185" s="198"/>
      <c r="L185" s="222"/>
      <c r="M185" s="221"/>
      <c r="N185" s="221"/>
      <c r="O185" s="197"/>
      <c r="P185" s="86"/>
      <c r="Q185" s="86"/>
      <c r="R185" s="86"/>
      <c r="S185" s="86"/>
      <c r="T185" s="86"/>
      <c r="U185" s="86"/>
      <c r="V185" s="86"/>
      <c r="W185" s="86"/>
      <c r="X185" s="86"/>
      <c r="Y185" s="86"/>
      <c r="Z185" s="86"/>
      <c r="AA185" s="86"/>
      <c r="AB185" s="86"/>
      <c r="AC185" s="86"/>
    </row>
    <row r="186" spans="2:29" s="48" customFormat="1" x14ac:dyDescent="0.25">
      <c r="B186" s="51"/>
      <c r="C186" s="38"/>
      <c r="D186" s="38"/>
      <c r="E186" s="18"/>
      <c r="F186" s="18"/>
      <c r="G186" s="18"/>
      <c r="H186" s="18"/>
      <c r="I186" s="18"/>
      <c r="J186" s="18"/>
      <c r="K186" s="106"/>
      <c r="O186" s="86"/>
      <c r="P186" s="86"/>
      <c r="Q186" s="86"/>
      <c r="R186" s="86"/>
      <c r="S186" s="86"/>
      <c r="T186" s="86"/>
      <c r="U186" s="86"/>
      <c r="V186" s="86"/>
      <c r="W186" s="86"/>
      <c r="X186" s="50"/>
      <c r="Y186" s="50"/>
      <c r="Z186" s="50"/>
      <c r="AA186" s="50"/>
      <c r="AB186" s="50"/>
      <c r="AC186" s="50"/>
    </row>
    <row r="187" spans="2:29" s="48" customFormat="1" x14ac:dyDescent="0.25">
      <c r="B187" s="79" t="s">
        <v>156</v>
      </c>
      <c r="C187" s="38"/>
      <c r="D187" s="38"/>
      <c r="E187" s="78"/>
      <c r="F187" s="78"/>
      <c r="G187" s="78"/>
      <c r="H187" s="78"/>
      <c r="I187" s="78"/>
      <c r="J187" s="78"/>
      <c r="K187" s="78"/>
      <c r="O187" s="86"/>
      <c r="P187" s="86"/>
      <c r="Q187" s="86"/>
      <c r="R187" s="86"/>
      <c r="S187" s="86"/>
      <c r="T187" s="86"/>
      <c r="U187" s="86"/>
      <c r="V187" s="86"/>
      <c r="W187" s="86"/>
      <c r="X187" s="50"/>
      <c r="Y187" s="50"/>
      <c r="Z187" s="50"/>
      <c r="AA187" s="50"/>
      <c r="AB187" s="50"/>
      <c r="AC187" s="50"/>
    </row>
    <row r="188" spans="2:29" s="48" customFormat="1" x14ac:dyDescent="0.25">
      <c r="B188" s="51" t="s">
        <v>185</v>
      </c>
      <c r="C188" s="38"/>
      <c r="D188" s="38"/>
      <c r="E188" s="18"/>
      <c r="F188" s="18"/>
      <c r="G188" s="18"/>
      <c r="H188" s="18"/>
      <c r="I188" s="18"/>
      <c r="J188" s="18"/>
      <c r="K188" s="18"/>
      <c r="O188" s="86"/>
      <c r="P188" s="86"/>
      <c r="Q188" s="86"/>
      <c r="R188" s="86"/>
      <c r="S188" s="86"/>
      <c r="T188" s="86"/>
      <c r="U188" s="86"/>
      <c r="V188" s="86"/>
      <c r="W188" s="86"/>
      <c r="X188" s="50"/>
      <c r="Y188" s="50"/>
      <c r="Z188" s="50"/>
      <c r="AA188" s="50"/>
      <c r="AB188" s="50"/>
      <c r="AC188" s="50"/>
    </row>
    <row r="189" spans="2:29" s="48" customFormat="1" x14ac:dyDescent="0.25">
      <c r="B189" s="51" t="s">
        <v>184</v>
      </c>
      <c r="C189" s="38"/>
      <c r="D189" s="38"/>
      <c r="E189" s="175"/>
      <c r="F189" s="175"/>
      <c r="G189" s="175"/>
      <c r="H189" s="175"/>
      <c r="I189" s="175"/>
      <c r="J189" s="175"/>
      <c r="K189" s="175"/>
      <c r="O189" s="175"/>
      <c r="P189" s="175"/>
      <c r="Q189" s="175"/>
      <c r="R189" s="175"/>
      <c r="S189" s="175"/>
      <c r="T189" s="175"/>
      <c r="U189" s="175"/>
      <c r="V189" s="175"/>
      <c r="W189" s="175"/>
      <c r="X189" s="50"/>
      <c r="Y189" s="50"/>
      <c r="Z189" s="50"/>
      <c r="AA189" s="50"/>
      <c r="AB189" s="50"/>
      <c r="AC189" s="50"/>
    </row>
    <row r="190" spans="2:29" x14ac:dyDescent="0.25">
      <c r="B190" s="51" t="s">
        <v>157</v>
      </c>
      <c r="C190" s="38"/>
      <c r="D190" s="38"/>
      <c r="E190" s="18"/>
      <c r="F190" s="18"/>
      <c r="G190" s="43"/>
      <c r="H190" s="43"/>
      <c r="I190" s="43"/>
      <c r="J190" s="39"/>
      <c r="K190" s="39"/>
      <c r="L190" s="1"/>
      <c r="M190" s="1"/>
      <c r="N190" s="1"/>
      <c r="R190" s="86"/>
      <c r="AA190" s="17"/>
      <c r="AB190" s="17"/>
      <c r="AC190" s="17"/>
    </row>
    <row r="191" spans="2:29" x14ac:dyDescent="0.25">
      <c r="B191" s="51" t="s">
        <v>482</v>
      </c>
      <c r="C191" s="38"/>
      <c r="D191" s="38"/>
      <c r="E191" s="18"/>
      <c r="F191" s="18"/>
      <c r="G191" s="39"/>
      <c r="H191" s="39"/>
      <c r="I191" s="39"/>
      <c r="J191" s="39"/>
      <c r="K191" s="39"/>
      <c r="L191" s="1"/>
      <c r="M191" s="1"/>
      <c r="N191" s="1"/>
      <c r="R191" s="86"/>
      <c r="AA191" s="17"/>
      <c r="AB191" s="17"/>
      <c r="AC191" s="17"/>
    </row>
    <row r="192" spans="2:29" x14ac:dyDescent="0.25">
      <c r="B192" s="51"/>
      <c r="C192" s="38"/>
      <c r="D192" s="38"/>
      <c r="E192" s="18"/>
      <c r="F192" s="18"/>
      <c r="G192" s="39"/>
      <c r="H192" s="39"/>
      <c r="I192" s="39"/>
      <c r="J192" s="39"/>
      <c r="K192" s="39"/>
      <c r="L192" s="1"/>
      <c r="M192" s="1"/>
      <c r="N192" s="1"/>
      <c r="R192" s="86"/>
      <c r="AA192" s="17"/>
      <c r="AB192" s="17"/>
      <c r="AC192" s="17"/>
    </row>
    <row r="193" spans="2:29" x14ac:dyDescent="0.25">
      <c r="B193" s="51"/>
      <c r="C193" s="38"/>
      <c r="D193" s="38"/>
      <c r="E193" s="18"/>
      <c r="F193" s="18"/>
      <c r="G193" s="39"/>
      <c r="H193" s="39"/>
      <c r="I193" s="39"/>
      <c r="J193" s="39"/>
      <c r="K193" s="39"/>
      <c r="L193" s="1"/>
      <c r="M193" s="1"/>
      <c r="N193" s="1"/>
      <c r="R193" s="86"/>
      <c r="AA193" s="17"/>
      <c r="AB193" s="17"/>
      <c r="AC193" s="17"/>
    </row>
    <row r="194" spans="2:29" x14ac:dyDescent="0.25">
      <c r="B194" s="51"/>
      <c r="C194" s="38"/>
      <c r="D194" s="38"/>
      <c r="E194" s="18"/>
      <c r="F194" s="18"/>
      <c r="G194" s="39"/>
      <c r="H194" s="39"/>
      <c r="I194" s="39"/>
      <c r="J194" s="39"/>
      <c r="K194" s="39"/>
      <c r="L194" s="1"/>
      <c r="M194" s="1"/>
      <c r="N194" s="1"/>
      <c r="R194" s="86"/>
      <c r="AA194" s="17"/>
      <c r="AB194" s="17"/>
      <c r="AC194" s="17"/>
    </row>
    <row r="195" spans="2:29" x14ac:dyDescent="0.25">
      <c r="B195" s="51"/>
      <c r="C195" s="38"/>
      <c r="D195" s="38"/>
      <c r="E195" s="18"/>
      <c r="F195" s="18"/>
      <c r="G195" s="39"/>
      <c r="H195" s="39"/>
      <c r="I195" s="39"/>
      <c r="J195" s="39"/>
      <c r="K195" s="39"/>
      <c r="L195" s="1"/>
      <c r="M195" s="1"/>
      <c r="N195" s="1"/>
      <c r="R195" s="86"/>
      <c r="AA195" s="17"/>
      <c r="AB195" s="17"/>
      <c r="AC195" s="17"/>
    </row>
    <row r="196" spans="2:29" x14ac:dyDescent="0.25">
      <c r="B196" s="51"/>
      <c r="C196" s="38"/>
      <c r="D196" s="38"/>
      <c r="E196" s="18"/>
      <c r="F196" s="18"/>
      <c r="G196" s="39"/>
      <c r="H196" s="39"/>
      <c r="I196" s="39"/>
      <c r="J196" s="39"/>
      <c r="K196" s="39"/>
      <c r="L196" s="1"/>
      <c r="M196" s="1"/>
      <c r="N196" s="1"/>
      <c r="R196" s="86"/>
      <c r="AA196" s="17"/>
      <c r="AB196" s="17"/>
      <c r="AC196" s="17"/>
    </row>
    <row r="197" spans="2:29" x14ac:dyDescent="0.25">
      <c r="B197" s="51"/>
      <c r="C197" s="38"/>
      <c r="D197" s="38"/>
      <c r="E197" s="18"/>
      <c r="F197" s="18"/>
      <c r="G197" s="39"/>
      <c r="H197" s="39"/>
      <c r="I197" s="39"/>
      <c r="J197" s="39"/>
      <c r="K197" s="39"/>
      <c r="L197" s="1"/>
      <c r="M197" s="1"/>
      <c r="N197" s="1"/>
      <c r="R197" s="86"/>
      <c r="AA197" s="17"/>
      <c r="AB197" s="17"/>
      <c r="AC197" s="17"/>
    </row>
    <row r="198" spans="2:29" x14ac:dyDescent="0.25">
      <c r="B198" s="51"/>
      <c r="C198" s="38"/>
      <c r="D198" s="38"/>
      <c r="E198" s="18"/>
      <c r="F198" s="18"/>
      <c r="G198" s="39"/>
      <c r="H198" s="39"/>
      <c r="I198" s="39"/>
      <c r="J198" s="39"/>
      <c r="K198" s="39"/>
      <c r="L198" s="1"/>
      <c r="M198" s="1"/>
      <c r="N198" s="1"/>
      <c r="R198" s="86"/>
      <c r="AA198" s="17"/>
      <c r="AB198" s="17"/>
      <c r="AC198" s="17"/>
    </row>
    <row r="199" spans="2:29" x14ac:dyDescent="0.25">
      <c r="B199" s="51"/>
      <c r="C199" s="38"/>
      <c r="D199" s="38"/>
      <c r="E199" s="18"/>
      <c r="F199" s="18"/>
      <c r="G199" s="39"/>
      <c r="H199" s="39"/>
      <c r="I199" s="39"/>
      <c r="J199" s="39"/>
      <c r="K199" s="39"/>
      <c r="L199" s="1"/>
      <c r="M199" s="1"/>
      <c r="N199" s="1"/>
      <c r="R199" s="86"/>
      <c r="AA199" s="17"/>
      <c r="AB199" s="17"/>
      <c r="AC199" s="17"/>
    </row>
    <row r="200" spans="2:29" x14ac:dyDescent="0.25">
      <c r="B200" s="51"/>
      <c r="C200" s="38"/>
      <c r="D200" s="38"/>
      <c r="E200" s="18"/>
      <c r="F200" s="18"/>
      <c r="G200" s="39"/>
      <c r="H200" s="39"/>
      <c r="I200" s="39"/>
      <c r="J200" s="39"/>
      <c r="K200" s="39"/>
      <c r="L200" s="1"/>
      <c r="M200" s="1"/>
      <c r="N200" s="1"/>
      <c r="R200" s="86"/>
      <c r="AA200" s="17"/>
      <c r="AB200" s="17"/>
      <c r="AC200" s="17"/>
    </row>
    <row r="201" spans="2:29" x14ac:dyDescent="0.25">
      <c r="B201" s="10"/>
      <c r="C201" s="12"/>
      <c r="D201" s="12"/>
      <c r="E201" s="39"/>
      <c r="F201" s="39"/>
      <c r="G201" s="39"/>
      <c r="H201" s="39"/>
      <c r="I201" s="39"/>
      <c r="J201" s="39"/>
      <c r="K201" s="39"/>
      <c r="L201" s="1"/>
      <c r="M201" s="1"/>
      <c r="N201" s="1"/>
      <c r="R201" s="86"/>
      <c r="AA201" s="17"/>
      <c r="AB201" s="17"/>
      <c r="AC201" s="17"/>
    </row>
    <row r="202" spans="2:29" x14ac:dyDescent="0.25">
      <c r="B202" s="10"/>
      <c r="C202" s="12"/>
      <c r="D202" s="12"/>
      <c r="E202" s="39"/>
      <c r="F202" s="39"/>
      <c r="G202" s="39"/>
      <c r="H202" s="39"/>
      <c r="I202" s="39"/>
      <c r="J202" s="39"/>
      <c r="K202" s="39"/>
      <c r="L202" s="1"/>
      <c r="M202" s="1"/>
      <c r="N202" s="1"/>
      <c r="R202" s="86"/>
      <c r="AA202" s="17"/>
      <c r="AB202" s="17"/>
      <c r="AC202" s="17"/>
    </row>
    <row r="203" spans="2:29" x14ac:dyDescent="0.25">
      <c r="B203" s="10"/>
      <c r="C203" s="12"/>
      <c r="D203" s="12"/>
      <c r="E203" s="39"/>
      <c r="F203" s="39"/>
      <c r="G203" s="39"/>
      <c r="H203" s="39"/>
      <c r="I203" s="39"/>
      <c r="J203" s="39"/>
      <c r="K203" s="39"/>
      <c r="L203" s="1"/>
      <c r="M203" s="1"/>
      <c r="N203" s="1"/>
      <c r="R203" s="86"/>
      <c r="AA203" s="17"/>
      <c r="AB203" s="17"/>
      <c r="AC203" s="17"/>
    </row>
    <row r="204" spans="2:29" x14ac:dyDescent="0.25">
      <c r="B204" s="10"/>
      <c r="C204" s="12"/>
      <c r="D204" s="12"/>
      <c r="E204" s="39"/>
      <c r="F204" s="39"/>
      <c r="G204" s="39"/>
      <c r="H204" s="39"/>
      <c r="I204" s="39"/>
      <c r="J204" s="39"/>
      <c r="K204" s="39"/>
      <c r="L204" s="1"/>
      <c r="M204" s="1"/>
      <c r="N204" s="1"/>
      <c r="R204" s="86"/>
      <c r="AA204" s="17"/>
      <c r="AB204" s="17"/>
      <c r="AC204" s="17"/>
    </row>
    <row r="205" spans="2:29" x14ac:dyDescent="0.25">
      <c r="B205" s="10"/>
      <c r="C205" s="12"/>
      <c r="D205" s="12"/>
      <c r="E205" s="39"/>
      <c r="F205" s="39"/>
      <c r="G205" s="39"/>
      <c r="H205" s="39"/>
      <c r="I205" s="39"/>
      <c r="J205" s="39"/>
      <c r="K205" s="39"/>
      <c r="L205" s="1"/>
      <c r="M205" s="1"/>
      <c r="N205" s="1"/>
      <c r="R205" s="86"/>
      <c r="AA205" s="17"/>
      <c r="AB205" s="17"/>
      <c r="AC205" s="17"/>
    </row>
    <row r="206" spans="2:29" x14ac:dyDescent="0.25">
      <c r="B206" s="10"/>
      <c r="C206" s="12"/>
      <c r="D206" s="12"/>
      <c r="E206" s="39"/>
      <c r="F206" s="39"/>
      <c r="G206" s="39"/>
      <c r="H206" s="39"/>
      <c r="I206" s="39"/>
      <c r="J206" s="39"/>
      <c r="K206" s="39"/>
      <c r="L206" s="1"/>
      <c r="M206" s="1"/>
      <c r="N206" s="1"/>
      <c r="R206" s="86"/>
      <c r="AA206" s="17"/>
      <c r="AB206" s="17"/>
      <c r="AC206" s="17"/>
    </row>
    <row r="207" spans="2:29" x14ac:dyDescent="0.25">
      <c r="B207" s="10"/>
      <c r="C207" s="12"/>
      <c r="D207" s="12"/>
      <c r="E207" s="39"/>
      <c r="F207" s="39"/>
      <c r="G207" s="39"/>
      <c r="H207" s="39"/>
      <c r="I207" s="39"/>
      <c r="J207" s="39"/>
      <c r="K207" s="39"/>
      <c r="L207" s="39"/>
      <c r="M207" s="118"/>
      <c r="N207" s="382"/>
      <c r="R207" s="86"/>
      <c r="AA207" s="17"/>
      <c r="AB207" s="17"/>
      <c r="AC207" s="17"/>
    </row>
    <row r="208" spans="2:29" x14ac:dyDescent="0.25">
      <c r="B208" s="10"/>
      <c r="C208" s="12"/>
      <c r="D208" s="12"/>
      <c r="E208" s="39"/>
      <c r="F208" s="39"/>
      <c r="G208" s="39"/>
      <c r="H208" s="39"/>
      <c r="I208" s="39"/>
      <c r="J208" s="39"/>
      <c r="K208" s="39"/>
      <c r="L208" s="39"/>
      <c r="M208" s="118"/>
      <c r="N208" s="382"/>
      <c r="AA208" s="17"/>
      <c r="AB208" s="17"/>
      <c r="AC208" s="17"/>
    </row>
    <row r="209" spans="2:29" x14ac:dyDescent="0.25">
      <c r="B209" s="10"/>
      <c r="C209" s="12"/>
      <c r="D209" s="12"/>
      <c r="E209" s="39"/>
      <c r="F209" s="39"/>
      <c r="G209" s="39"/>
      <c r="H209" s="39"/>
      <c r="I209" s="39"/>
      <c r="J209" s="39"/>
      <c r="K209" s="39"/>
      <c r="L209" s="39"/>
      <c r="M209" s="118"/>
      <c r="N209" s="382"/>
      <c r="AA209" s="17"/>
      <c r="AB209" s="17"/>
      <c r="AC209" s="17"/>
    </row>
    <row r="210" spans="2:29" x14ac:dyDescent="0.25">
      <c r="B210" s="10"/>
      <c r="C210" s="12"/>
      <c r="D210" s="12"/>
      <c r="E210" s="39"/>
      <c r="F210" s="39"/>
      <c r="G210" s="39"/>
      <c r="H210" s="39"/>
      <c r="I210" s="39"/>
      <c r="J210" s="39"/>
      <c r="K210" s="39"/>
      <c r="L210" s="39"/>
      <c r="M210" s="118"/>
      <c r="N210" s="382"/>
      <c r="AA210" s="17"/>
      <c r="AB210" s="17"/>
      <c r="AC210" s="17"/>
    </row>
    <row r="211" spans="2:29" x14ac:dyDescent="0.25">
      <c r="B211" s="10"/>
      <c r="C211" s="12"/>
      <c r="D211" s="12"/>
      <c r="E211" s="39"/>
      <c r="F211" s="39"/>
      <c r="G211" s="39"/>
      <c r="H211" s="39"/>
      <c r="I211" s="39"/>
      <c r="J211" s="39"/>
      <c r="K211" s="39"/>
      <c r="L211" s="39"/>
      <c r="M211" s="118"/>
      <c r="N211" s="382"/>
      <c r="AA211" s="17"/>
      <c r="AB211" s="17"/>
      <c r="AC211" s="17"/>
    </row>
    <row r="212" spans="2:29" x14ac:dyDescent="0.25">
      <c r="B212" s="10"/>
      <c r="C212" s="12"/>
      <c r="D212" s="12"/>
      <c r="E212" s="39"/>
      <c r="F212" s="39"/>
      <c r="G212" s="39"/>
      <c r="H212" s="39"/>
      <c r="I212" s="39"/>
      <c r="J212" s="39"/>
      <c r="K212" s="39"/>
      <c r="L212" s="39"/>
      <c r="M212" s="118"/>
      <c r="N212" s="382"/>
      <c r="AA212" s="17"/>
      <c r="AB212" s="17"/>
      <c r="AC212" s="17"/>
    </row>
    <row r="213" spans="2:29" x14ac:dyDescent="0.25">
      <c r="B213" s="10"/>
      <c r="C213" s="12"/>
      <c r="D213" s="12"/>
      <c r="E213" s="39"/>
      <c r="F213" s="39"/>
      <c r="G213" s="39"/>
      <c r="H213" s="39"/>
      <c r="I213" s="39"/>
      <c r="J213" s="39"/>
      <c r="K213" s="39"/>
      <c r="L213" s="39"/>
      <c r="M213" s="118"/>
      <c r="N213" s="382"/>
      <c r="AA213" s="17"/>
      <c r="AB213" s="17"/>
      <c r="AC213" s="17"/>
    </row>
    <row r="214" spans="2:29" x14ac:dyDescent="0.25">
      <c r="B214" s="10"/>
      <c r="C214" s="12"/>
      <c r="D214" s="12"/>
      <c r="E214" s="39"/>
      <c r="F214" s="39"/>
      <c r="G214" s="39"/>
      <c r="H214" s="39"/>
      <c r="I214" s="39"/>
      <c r="J214" s="39"/>
      <c r="K214" s="39"/>
      <c r="L214" s="39"/>
      <c r="M214" s="118"/>
      <c r="N214" s="382"/>
      <c r="AA214" s="17"/>
      <c r="AB214" s="17"/>
      <c r="AC214" s="17"/>
    </row>
    <row r="215" spans="2:29" ht="18" customHeight="1" x14ac:dyDescent="0.25">
      <c r="B215" s="10"/>
      <c r="C215" s="12"/>
      <c r="D215" s="12"/>
      <c r="E215" s="39"/>
      <c r="F215" s="39"/>
      <c r="G215" s="39"/>
      <c r="H215" s="39"/>
      <c r="I215" s="39"/>
      <c r="J215" s="39"/>
      <c r="K215" s="39"/>
      <c r="L215" s="39"/>
      <c r="M215" s="118"/>
      <c r="N215" s="382"/>
      <c r="AA215" s="17"/>
      <c r="AB215" s="17"/>
      <c r="AC215" s="17"/>
    </row>
    <row r="216" spans="2:29" x14ac:dyDescent="0.25">
      <c r="B216" s="10"/>
      <c r="C216" s="12"/>
      <c r="D216" s="12"/>
      <c r="E216" s="39"/>
      <c r="F216" s="39"/>
      <c r="G216" s="39"/>
      <c r="H216" s="39"/>
      <c r="I216" s="39"/>
      <c r="J216" s="39"/>
      <c r="K216" s="39"/>
      <c r="L216" s="39"/>
      <c r="M216" s="118"/>
      <c r="N216" s="382"/>
      <c r="AA216" s="17"/>
      <c r="AB216" s="17"/>
      <c r="AC216" s="17"/>
    </row>
    <row r="217" spans="2:29" x14ac:dyDescent="0.25">
      <c r="B217" s="10"/>
      <c r="C217" s="12"/>
      <c r="D217" s="12"/>
      <c r="E217" s="39"/>
      <c r="F217" s="39"/>
      <c r="G217" s="39"/>
      <c r="H217" s="39"/>
      <c r="I217" s="39"/>
      <c r="J217" s="39"/>
      <c r="K217" s="39"/>
      <c r="L217" s="39"/>
      <c r="M217" s="118"/>
      <c r="N217" s="382"/>
      <c r="AA217" s="17"/>
      <c r="AB217" s="17"/>
      <c r="AC217" s="17"/>
    </row>
    <row r="218" spans="2:29" x14ac:dyDescent="0.25">
      <c r="B218" s="10"/>
      <c r="C218" s="12"/>
      <c r="D218" s="12"/>
      <c r="E218" s="39"/>
      <c r="F218" s="39"/>
      <c r="G218" s="39"/>
      <c r="H218" s="39"/>
      <c r="I218" s="39"/>
      <c r="J218" s="39"/>
      <c r="K218" s="39"/>
      <c r="L218" s="39"/>
      <c r="M218" s="118"/>
      <c r="N218" s="382"/>
      <c r="AA218" s="17"/>
      <c r="AB218" s="17"/>
      <c r="AC218" s="17"/>
    </row>
    <row r="219" spans="2:29" x14ac:dyDescent="0.25">
      <c r="B219" s="10"/>
      <c r="C219" s="12"/>
      <c r="D219" s="12"/>
      <c r="E219" s="39"/>
      <c r="F219" s="39"/>
      <c r="G219" s="39"/>
      <c r="H219" s="39"/>
      <c r="I219" s="39"/>
      <c r="J219" s="39"/>
      <c r="K219" s="39"/>
      <c r="L219" s="39"/>
      <c r="M219" s="118"/>
      <c r="N219" s="382"/>
      <c r="AA219" s="17"/>
      <c r="AB219" s="17"/>
      <c r="AC219" s="17"/>
    </row>
    <row r="220" spans="2:29" hidden="1" x14ac:dyDescent="0.25">
      <c r="B220" s="10"/>
      <c r="C220" s="12"/>
      <c r="D220" s="12"/>
      <c r="E220" s="39"/>
      <c r="F220" s="39"/>
      <c r="G220" s="39"/>
      <c r="H220" s="39"/>
      <c r="I220" s="39"/>
      <c r="J220" s="39"/>
      <c r="K220" s="39"/>
      <c r="L220" s="39"/>
      <c r="M220" s="118"/>
      <c r="N220" s="382"/>
      <c r="AA220" s="17"/>
      <c r="AB220" s="17"/>
      <c r="AC220" s="17"/>
    </row>
    <row r="221" spans="2:29" hidden="1" x14ac:dyDescent="0.25">
      <c r="B221" s="10"/>
      <c r="C221" s="12"/>
      <c r="D221" s="12"/>
      <c r="E221" s="39"/>
      <c r="F221" s="39"/>
      <c r="G221" s="39"/>
      <c r="H221" s="39"/>
      <c r="I221" s="39"/>
      <c r="J221" s="39"/>
      <c r="K221" s="39"/>
      <c r="L221" s="39"/>
      <c r="M221" s="118"/>
      <c r="N221" s="382"/>
      <c r="AA221" s="17"/>
      <c r="AB221" s="17"/>
      <c r="AC221" s="17"/>
    </row>
    <row r="222" spans="2:29" hidden="1" x14ac:dyDescent="0.25">
      <c r="B222" s="12"/>
      <c r="C222" s="12"/>
      <c r="D222" s="12"/>
      <c r="E222" s="39"/>
      <c r="F222" s="39"/>
      <c r="G222" s="39"/>
      <c r="H222" s="39"/>
      <c r="I222" s="39"/>
      <c r="J222" s="39"/>
      <c r="K222" s="39"/>
      <c r="L222" s="39"/>
      <c r="M222" s="118"/>
      <c r="N222" s="382"/>
      <c r="AA222" s="17"/>
      <c r="AB222" s="17"/>
      <c r="AC222" s="17"/>
    </row>
    <row r="223" spans="2:29" hidden="1" x14ac:dyDescent="0.25">
      <c r="B223" s="12"/>
      <c r="C223" s="12"/>
      <c r="D223" s="12"/>
      <c r="E223" s="39"/>
      <c r="F223" s="39"/>
      <c r="G223" s="39"/>
      <c r="H223" s="39"/>
      <c r="I223" s="39"/>
      <c r="J223" s="39"/>
      <c r="K223" s="39"/>
      <c r="AA223" s="17"/>
      <c r="AB223" s="17"/>
      <c r="AC223" s="17"/>
    </row>
    <row r="224" spans="2:29" ht="96" hidden="1" customHeight="1" x14ac:dyDescent="0.25">
      <c r="E224" s="33" t="s">
        <v>21</v>
      </c>
      <c r="F224" s="33" t="s">
        <v>32</v>
      </c>
      <c r="G224" s="33" t="s">
        <v>26</v>
      </c>
      <c r="H224" s="33" t="s">
        <v>31</v>
      </c>
      <c r="I224" s="34" t="s">
        <v>151</v>
      </c>
      <c r="J224" s="481" t="s">
        <v>148</v>
      </c>
      <c r="K224" s="481"/>
      <c r="L224" s="116" t="s">
        <v>149</v>
      </c>
      <c r="M224" s="176"/>
      <c r="N224" s="378"/>
      <c r="O224" s="34" t="s">
        <v>150</v>
      </c>
      <c r="P224" s="34" t="s">
        <v>152</v>
      </c>
      <c r="Q224" s="34"/>
      <c r="R224" s="34"/>
      <c r="S224" s="34"/>
      <c r="T224" s="34"/>
      <c r="U224" s="34"/>
      <c r="V224" s="34"/>
      <c r="W224" s="34"/>
      <c r="X224" s="34"/>
      <c r="Y224" s="34"/>
      <c r="Z224" s="34"/>
      <c r="AA224" s="34" t="s">
        <v>28</v>
      </c>
      <c r="AB224" s="34" t="s">
        <v>30</v>
      </c>
      <c r="AC224" s="34" t="s">
        <v>29</v>
      </c>
    </row>
    <row r="225" spans="2:29" hidden="1" x14ac:dyDescent="0.25">
      <c r="B225" s="1" t="s">
        <v>8</v>
      </c>
      <c r="D225" s="27">
        <f>SUM(D227+D233+D240+D253+D265+D272+D301+D309)</f>
        <v>71</v>
      </c>
      <c r="E225" s="28">
        <f>E227+E233+E240+E253+E265+E272+E301+E309</f>
        <v>23</v>
      </c>
      <c r="F225" s="28">
        <f>F227+F233+F240+F253+F265+F272+F301+F309</f>
        <v>20</v>
      </c>
      <c r="G225" s="28">
        <f>G227+G233+G240+G253+G265+G272+G301+G309</f>
        <v>22</v>
      </c>
      <c r="H225" s="28">
        <f>H227+H233+H240+H253+H265+H272+H301+H309</f>
        <v>6</v>
      </c>
    </row>
    <row r="226" spans="2:29" hidden="1" x14ac:dyDescent="0.25">
      <c r="F226" s="18"/>
      <c r="G226" s="18"/>
    </row>
    <row r="227" spans="2:29" hidden="1" x14ac:dyDescent="0.25">
      <c r="B227" s="3" t="s">
        <v>22</v>
      </c>
      <c r="D227" s="27">
        <f>SUM(E227:G227)</f>
        <v>4</v>
      </c>
      <c r="E227" s="2">
        <f>SUM(E228:E231)</f>
        <v>4</v>
      </c>
      <c r="F227" s="17">
        <f t="shared" ref="F227:H227" si="21">SUM(F228:F231)</f>
        <v>0</v>
      </c>
      <c r="G227" s="17">
        <f>SUM(G228:G231)</f>
        <v>0</v>
      </c>
      <c r="H227" s="17">
        <f t="shared" si="21"/>
        <v>0</v>
      </c>
    </row>
    <row r="228" spans="2:29" s="41" customFormat="1" hidden="1" x14ac:dyDescent="0.25">
      <c r="B228" s="42" t="s">
        <v>4</v>
      </c>
      <c r="E228" s="29">
        <v>1</v>
      </c>
      <c r="F228" s="20"/>
      <c r="G228" s="32"/>
      <c r="H228" s="20"/>
      <c r="I228" s="35"/>
      <c r="J228" s="470"/>
      <c r="K228" s="470"/>
      <c r="L228" s="114"/>
      <c r="M228" s="174"/>
      <c r="N228" s="379"/>
      <c r="O228" s="35"/>
      <c r="P228" s="35"/>
      <c r="Q228" s="35"/>
      <c r="R228" s="35"/>
      <c r="S228" s="35"/>
      <c r="T228" s="35"/>
      <c r="U228" s="35"/>
      <c r="V228" s="35"/>
      <c r="W228" s="35"/>
      <c r="X228" s="40"/>
      <c r="Y228" s="40"/>
      <c r="Z228" s="40"/>
      <c r="AA228" s="40"/>
      <c r="AB228" s="40"/>
      <c r="AC228" s="40"/>
    </row>
    <row r="229" spans="2:29" s="48" customFormat="1" hidden="1" x14ac:dyDescent="0.25">
      <c r="B229" s="93" t="s">
        <v>6</v>
      </c>
      <c r="E229" s="26">
        <v>1</v>
      </c>
      <c r="F229" s="22"/>
      <c r="G229" s="81"/>
      <c r="H229" s="22"/>
      <c r="I229" s="110"/>
      <c r="J229" s="471"/>
      <c r="K229" s="471"/>
      <c r="L229" s="110"/>
      <c r="M229" s="175"/>
      <c r="N229" s="380"/>
      <c r="O229" s="110"/>
      <c r="P229" s="110"/>
      <c r="Q229" s="110"/>
      <c r="R229" s="110"/>
      <c r="S229" s="110"/>
      <c r="T229" s="110"/>
      <c r="U229" s="110"/>
      <c r="V229" s="110"/>
      <c r="W229" s="110"/>
      <c r="X229" s="50"/>
      <c r="Y229" s="50"/>
      <c r="Z229" s="50"/>
      <c r="AA229" s="50"/>
      <c r="AB229" s="50"/>
      <c r="AC229" s="50"/>
    </row>
    <row r="230" spans="2:29" s="41" customFormat="1" hidden="1" x14ac:dyDescent="0.25">
      <c r="B230" s="42" t="s">
        <v>3</v>
      </c>
      <c r="E230" s="30">
        <v>1</v>
      </c>
      <c r="F230" s="8"/>
      <c r="G230" s="4"/>
      <c r="H230" s="8"/>
      <c r="I230" s="35"/>
      <c r="J230" s="470"/>
      <c r="K230" s="470"/>
      <c r="L230" s="114"/>
      <c r="M230" s="174"/>
      <c r="N230" s="379"/>
      <c r="O230" s="35"/>
      <c r="P230" s="35"/>
      <c r="Q230" s="35"/>
      <c r="R230" s="35"/>
      <c r="S230" s="35"/>
      <c r="T230" s="35"/>
      <c r="U230" s="35"/>
      <c r="V230" s="35"/>
      <c r="W230" s="35"/>
      <c r="X230" s="40"/>
      <c r="Y230" s="40"/>
      <c r="Z230" s="40"/>
      <c r="AA230" s="40"/>
      <c r="AB230" s="40"/>
      <c r="AC230" s="40"/>
    </row>
    <row r="231" spans="2:29" s="48" customFormat="1" hidden="1" x14ac:dyDescent="0.25">
      <c r="B231" s="93" t="s">
        <v>23</v>
      </c>
      <c r="E231" s="111">
        <v>1</v>
      </c>
      <c r="F231" s="23"/>
      <c r="G231" s="112"/>
      <c r="H231" s="23"/>
      <c r="I231" s="110"/>
      <c r="J231" s="471"/>
      <c r="K231" s="471"/>
      <c r="L231" s="110"/>
      <c r="M231" s="175"/>
      <c r="N231" s="380"/>
      <c r="O231" s="110"/>
      <c r="P231" s="110"/>
      <c r="Q231" s="110"/>
      <c r="R231" s="110"/>
      <c r="S231" s="110"/>
      <c r="T231" s="110"/>
      <c r="U231" s="110"/>
      <c r="V231" s="110"/>
      <c r="W231" s="110"/>
      <c r="X231" s="50"/>
      <c r="Y231" s="50"/>
      <c r="Z231" s="50"/>
      <c r="AA231" s="50"/>
      <c r="AB231" s="50"/>
      <c r="AC231" s="50"/>
    </row>
    <row r="232" spans="2:29" s="41" customFormat="1" hidden="1" x14ac:dyDescent="0.25">
      <c r="E232" s="40"/>
      <c r="F232" s="35"/>
      <c r="G232" s="35"/>
      <c r="H232" s="35"/>
      <c r="I232" s="35"/>
      <c r="J232" s="470"/>
      <c r="K232" s="470"/>
      <c r="L232" s="114"/>
      <c r="M232" s="174"/>
      <c r="N232" s="379"/>
      <c r="O232" s="35"/>
      <c r="P232" s="35"/>
      <c r="Q232" s="35"/>
      <c r="R232" s="35"/>
      <c r="S232" s="35"/>
      <c r="T232" s="35"/>
      <c r="U232" s="35"/>
      <c r="V232" s="35"/>
      <c r="W232" s="35"/>
      <c r="X232" s="40"/>
      <c r="Y232" s="40"/>
      <c r="Z232" s="40"/>
      <c r="AA232" s="40"/>
      <c r="AB232" s="40"/>
      <c r="AC232" s="40"/>
    </row>
    <row r="233" spans="2:29" s="48" customFormat="1" hidden="1" x14ac:dyDescent="0.25">
      <c r="B233" s="93" t="s">
        <v>27</v>
      </c>
      <c r="D233" s="128">
        <f>SUM(E233:G233)</f>
        <v>5</v>
      </c>
      <c r="E233" s="50">
        <f>SUM(E234:E238)</f>
        <v>3</v>
      </c>
      <c r="F233" s="50">
        <f>SUM(F234:F238)</f>
        <v>2</v>
      </c>
      <c r="G233" s="50">
        <f>SUM(G234:G238)</f>
        <v>0</v>
      </c>
      <c r="H233" s="50">
        <f>SUM(H234:H238)</f>
        <v>0</v>
      </c>
      <c r="I233" s="110"/>
      <c r="J233" s="471"/>
      <c r="K233" s="471"/>
      <c r="L233" s="110"/>
      <c r="M233" s="175"/>
      <c r="N233" s="380"/>
      <c r="O233" s="110"/>
      <c r="P233" s="110"/>
      <c r="Q233" s="110"/>
      <c r="R233" s="110"/>
      <c r="S233" s="110"/>
      <c r="T233" s="110"/>
      <c r="U233" s="110"/>
      <c r="V233" s="110"/>
      <c r="W233" s="110"/>
      <c r="X233" s="50"/>
      <c r="Y233" s="50"/>
      <c r="Z233" s="50"/>
      <c r="AA233" s="50"/>
      <c r="AB233" s="50"/>
      <c r="AC233" s="50"/>
    </row>
    <row r="234" spans="2:29" s="41" customFormat="1" hidden="1" x14ac:dyDescent="0.25">
      <c r="B234" s="41" t="s">
        <v>1</v>
      </c>
      <c r="E234" s="20">
        <v>1</v>
      </c>
      <c r="F234" s="29"/>
      <c r="G234" s="20"/>
      <c r="H234" s="20"/>
      <c r="I234" s="35"/>
      <c r="J234" s="470"/>
      <c r="K234" s="470"/>
      <c r="L234" s="114"/>
      <c r="M234" s="174"/>
      <c r="N234" s="379"/>
      <c r="O234" s="35"/>
      <c r="P234" s="35"/>
      <c r="Q234" s="35"/>
      <c r="R234" s="35"/>
      <c r="S234" s="35"/>
      <c r="T234" s="35"/>
      <c r="U234" s="35"/>
      <c r="V234" s="35"/>
      <c r="W234" s="35"/>
      <c r="X234" s="40"/>
      <c r="Y234" s="40"/>
      <c r="Z234" s="40"/>
      <c r="AA234" s="40"/>
      <c r="AB234" s="40"/>
      <c r="AC234" s="40"/>
    </row>
    <row r="235" spans="2:29" s="48" customFormat="1" hidden="1" x14ac:dyDescent="0.25">
      <c r="B235" s="48" t="s">
        <v>5</v>
      </c>
      <c r="E235" s="22">
        <v>1</v>
      </c>
      <c r="F235" s="26"/>
      <c r="G235" s="22"/>
      <c r="H235" s="22"/>
      <c r="I235" s="110"/>
      <c r="J235" s="471"/>
      <c r="K235" s="471"/>
      <c r="L235" s="110"/>
      <c r="M235" s="175"/>
      <c r="N235" s="380"/>
      <c r="O235" s="110"/>
      <c r="P235" s="110"/>
      <c r="Q235" s="110"/>
      <c r="R235" s="110"/>
      <c r="S235" s="110"/>
      <c r="T235" s="110"/>
      <c r="U235" s="110"/>
      <c r="V235" s="110"/>
      <c r="W235" s="110"/>
      <c r="X235" s="50"/>
      <c r="Y235" s="50"/>
      <c r="Z235" s="50"/>
      <c r="AA235" s="50"/>
      <c r="AB235" s="50"/>
      <c r="AC235" s="50"/>
    </row>
    <row r="236" spans="2:29" s="41" customFormat="1" hidden="1" x14ac:dyDescent="0.25">
      <c r="B236" s="41" t="s">
        <v>2</v>
      </c>
      <c r="E236" s="8">
        <v>1</v>
      </c>
      <c r="F236" s="30"/>
      <c r="G236" s="8"/>
      <c r="H236" s="8"/>
      <c r="I236" s="35"/>
      <c r="J236" s="470"/>
      <c r="K236" s="470"/>
      <c r="L236" s="114"/>
      <c r="M236" s="174"/>
      <c r="N236" s="379"/>
      <c r="O236" s="35"/>
      <c r="P236" s="35"/>
      <c r="Q236" s="35"/>
      <c r="R236" s="35"/>
      <c r="S236" s="35"/>
      <c r="T236" s="35"/>
      <c r="U236" s="35"/>
      <c r="V236" s="35"/>
      <c r="W236" s="35"/>
      <c r="X236" s="40"/>
      <c r="Y236" s="40"/>
      <c r="Z236" s="40"/>
      <c r="AA236" s="40"/>
      <c r="AB236" s="40"/>
      <c r="AC236" s="40"/>
    </row>
    <row r="237" spans="2:29" s="48" customFormat="1" hidden="1" x14ac:dyDescent="0.25">
      <c r="B237" s="48" t="s">
        <v>24</v>
      </c>
      <c r="E237" s="22"/>
      <c r="F237" s="26">
        <v>1</v>
      </c>
      <c r="G237" s="22"/>
      <c r="H237" s="22"/>
      <c r="I237" s="110"/>
      <c r="J237" s="471"/>
      <c r="K237" s="471"/>
      <c r="L237" s="110"/>
      <c r="M237" s="175"/>
      <c r="N237" s="380"/>
      <c r="O237" s="110"/>
      <c r="P237" s="110"/>
      <c r="Q237" s="110"/>
      <c r="R237" s="110"/>
      <c r="S237" s="110"/>
      <c r="T237" s="110"/>
      <c r="U237" s="110"/>
      <c r="V237" s="110"/>
      <c r="W237" s="110"/>
      <c r="X237" s="50"/>
      <c r="Y237" s="50"/>
      <c r="Z237" s="50"/>
      <c r="AA237" s="50"/>
      <c r="AB237" s="50"/>
      <c r="AC237" s="50"/>
    </row>
    <row r="238" spans="2:29" s="41" customFormat="1" hidden="1" x14ac:dyDescent="0.25">
      <c r="B238" s="41" t="s">
        <v>25</v>
      </c>
      <c r="E238" s="19"/>
      <c r="F238" s="31">
        <v>1</v>
      </c>
      <c r="G238" s="19"/>
      <c r="H238" s="19"/>
      <c r="I238" s="35"/>
      <c r="J238" s="470"/>
      <c r="K238" s="470"/>
      <c r="L238" s="114"/>
      <c r="M238" s="174"/>
      <c r="N238" s="379"/>
      <c r="O238" s="35"/>
      <c r="P238" s="35"/>
      <c r="Q238" s="35"/>
      <c r="R238" s="35"/>
      <c r="S238" s="35"/>
      <c r="T238" s="35"/>
      <c r="U238" s="35"/>
      <c r="V238" s="35"/>
      <c r="W238" s="35"/>
      <c r="X238" s="40"/>
      <c r="Y238" s="40"/>
      <c r="Z238" s="40"/>
      <c r="AA238" s="40"/>
      <c r="AB238" s="40"/>
      <c r="AC238" s="40"/>
    </row>
    <row r="239" spans="2:29" s="48" customFormat="1" hidden="1" x14ac:dyDescent="0.25">
      <c r="E239" s="50"/>
      <c r="F239" s="110"/>
      <c r="G239" s="110"/>
      <c r="H239" s="110"/>
      <c r="I239" s="110"/>
      <c r="J239" s="471"/>
      <c r="K239" s="471"/>
      <c r="L239" s="110"/>
      <c r="M239" s="175"/>
      <c r="N239" s="380"/>
      <c r="O239" s="110"/>
      <c r="P239" s="110"/>
      <c r="Q239" s="110"/>
      <c r="R239" s="110"/>
      <c r="S239" s="110"/>
      <c r="T239" s="110"/>
      <c r="U239" s="110"/>
      <c r="V239" s="110"/>
      <c r="W239" s="110"/>
      <c r="X239" s="50"/>
      <c r="Y239" s="50"/>
      <c r="Z239" s="50"/>
      <c r="AA239" s="50"/>
      <c r="AB239" s="50"/>
      <c r="AC239" s="50"/>
    </row>
    <row r="240" spans="2:29" hidden="1" x14ac:dyDescent="0.25">
      <c r="B240" s="3" t="s">
        <v>147</v>
      </c>
      <c r="D240" s="27">
        <f>SUM(E240:H240)</f>
        <v>11</v>
      </c>
      <c r="E240" s="2">
        <f>SUM(E241:E251)</f>
        <v>1</v>
      </c>
      <c r="F240" s="17">
        <f t="shared" ref="F240" si="22">SUM(F241:F251)</f>
        <v>2</v>
      </c>
      <c r="G240" s="17">
        <f>SUM(G241:G251)</f>
        <v>7</v>
      </c>
      <c r="H240" s="17">
        <f>SUM(H241:H251)</f>
        <v>1</v>
      </c>
      <c r="J240" s="471"/>
      <c r="K240" s="471"/>
      <c r="L240" s="110"/>
    </row>
    <row r="241" spans="2:29" s="41" customFormat="1" hidden="1" x14ac:dyDescent="0.25">
      <c r="B241" s="41" t="s">
        <v>33</v>
      </c>
      <c r="E241" s="20">
        <v>1</v>
      </c>
      <c r="F241" s="29"/>
      <c r="G241" s="20"/>
      <c r="H241" s="20"/>
      <c r="I241" s="35"/>
      <c r="J241" s="470"/>
      <c r="K241" s="470"/>
      <c r="L241" s="114"/>
      <c r="M241" s="174"/>
      <c r="N241" s="379"/>
      <c r="O241" s="35"/>
      <c r="P241" s="35"/>
      <c r="Q241" s="35"/>
      <c r="R241" s="35"/>
      <c r="S241" s="35"/>
      <c r="T241" s="35"/>
      <c r="U241" s="35"/>
      <c r="V241" s="35"/>
      <c r="W241" s="35"/>
      <c r="X241" s="40"/>
      <c r="Y241" s="40"/>
      <c r="Z241" s="40"/>
      <c r="AA241" s="40"/>
      <c r="AB241" s="40"/>
      <c r="AC241" s="40"/>
    </row>
    <row r="242" spans="2:29" s="48" customFormat="1" hidden="1" x14ac:dyDescent="0.25">
      <c r="B242" s="48" t="s">
        <v>34</v>
      </c>
      <c r="E242" s="22"/>
      <c r="F242" s="26"/>
      <c r="G242" s="22">
        <v>1</v>
      </c>
      <c r="H242" s="22"/>
      <c r="I242" s="110">
        <v>1</v>
      </c>
      <c r="J242" s="471"/>
      <c r="K242" s="471"/>
      <c r="L242" s="110"/>
      <c r="M242" s="175"/>
      <c r="N242" s="380"/>
      <c r="O242" s="110"/>
      <c r="P242" s="110"/>
      <c r="Q242" s="110"/>
      <c r="R242" s="110"/>
      <c r="S242" s="110"/>
      <c r="T242" s="110"/>
      <c r="U242" s="110"/>
      <c r="V242" s="110"/>
      <c r="W242" s="110"/>
      <c r="X242" s="50"/>
      <c r="Y242" s="50"/>
      <c r="Z242" s="50"/>
      <c r="AA242" s="50"/>
      <c r="AB242" s="50"/>
      <c r="AC242" s="50"/>
    </row>
    <row r="243" spans="2:29" s="41" customFormat="1" hidden="1" x14ac:dyDescent="0.25">
      <c r="B243" s="41" t="s">
        <v>35</v>
      </c>
      <c r="E243" s="8"/>
      <c r="F243" s="30"/>
      <c r="G243" s="8">
        <v>1</v>
      </c>
      <c r="H243" s="8"/>
      <c r="I243" s="35"/>
      <c r="J243" s="470">
        <v>1</v>
      </c>
      <c r="K243" s="470"/>
      <c r="L243" s="114"/>
      <c r="M243" s="174"/>
      <c r="N243" s="379"/>
      <c r="O243" s="35"/>
      <c r="P243" s="35"/>
      <c r="Q243" s="35"/>
      <c r="R243" s="35"/>
      <c r="S243" s="35"/>
      <c r="T243" s="35"/>
      <c r="U243" s="35"/>
      <c r="V243" s="35"/>
      <c r="W243" s="35"/>
      <c r="X243" s="40"/>
      <c r="Y243" s="40"/>
      <c r="Z243" s="40"/>
      <c r="AA243" s="40"/>
      <c r="AB243" s="40"/>
      <c r="AC243" s="40"/>
    </row>
    <row r="244" spans="2:29" s="48" customFormat="1" hidden="1" x14ac:dyDescent="0.25">
      <c r="B244" s="48" t="s">
        <v>36</v>
      </c>
      <c r="E244" s="22"/>
      <c r="F244" s="26"/>
      <c r="G244" s="22"/>
      <c r="H244" s="150">
        <v>1</v>
      </c>
      <c r="I244" s="110"/>
      <c r="J244" s="471"/>
      <c r="K244" s="471"/>
      <c r="L244" s="110"/>
      <c r="M244" s="175"/>
      <c r="N244" s="380"/>
      <c r="O244" s="110"/>
      <c r="P244" s="110"/>
      <c r="Q244" s="110"/>
      <c r="R244" s="110"/>
      <c r="S244" s="110"/>
      <c r="T244" s="110"/>
      <c r="U244" s="110"/>
      <c r="V244" s="110"/>
      <c r="W244" s="110"/>
      <c r="X244" s="50"/>
      <c r="Y244" s="50"/>
      <c r="Z244" s="50"/>
      <c r="AA244" s="50"/>
      <c r="AB244" s="50"/>
      <c r="AC244" s="50"/>
    </row>
    <row r="245" spans="2:29" s="41" customFormat="1" hidden="1" x14ac:dyDescent="0.25">
      <c r="B245" s="41" t="s">
        <v>37</v>
      </c>
      <c r="E245" s="8"/>
      <c r="F245" s="30"/>
      <c r="G245" s="8">
        <v>1</v>
      </c>
      <c r="H245" s="8"/>
      <c r="I245" s="35"/>
      <c r="J245" s="470"/>
      <c r="K245" s="470"/>
      <c r="L245" s="114">
        <v>1</v>
      </c>
      <c r="M245" s="174"/>
      <c r="N245" s="379"/>
      <c r="O245" s="35"/>
      <c r="P245" s="35"/>
      <c r="Q245" s="35"/>
      <c r="R245" s="35"/>
      <c r="S245" s="35"/>
      <c r="T245" s="35"/>
      <c r="U245" s="35"/>
      <c r="V245" s="35"/>
      <c r="W245" s="35"/>
      <c r="X245" s="40"/>
      <c r="Y245" s="40"/>
      <c r="Z245" s="40"/>
      <c r="AA245" s="40"/>
      <c r="AB245" s="40"/>
      <c r="AC245" s="40"/>
    </row>
    <row r="246" spans="2:29" s="48" customFormat="1" hidden="1" x14ac:dyDescent="0.25">
      <c r="B246" s="48" t="s">
        <v>38</v>
      </c>
      <c r="E246" s="22"/>
      <c r="F246" s="26"/>
      <c r="G246" s="22">
        <v>1</v>
      </c>
      <c r="H246" s="22"/>
      <c r="I246" s="110"/>
      <c r="J246" s="471"/>
      <c r="K246" s="471"/>
      <c r="L246" s="110"/>
      <c r="M246" s="175"/>
      <c r="N246" s="380"/>
      <c r="O246" s="110"/>
      <c r="P246" s="110"/>
      <c r="Q246" s="110"/>
      <c r="R246" s="110"/>
      <c r="S246" s="110"/>
      <c r="T246" s="110"/>
      <c r="U246" s="110"/>
      <c r="V246" s="110"/>
      <c r="W246" s="110"/>
      <c r="X246" s="50"/>
      <c r="Y246" s="50"/>
      <c r="Z246" s="50"/>
      <c r="AA246" s="50"/>
      <c r="AB246" s="50"/>
      <c r="AC246" s="50"/>
    </row>
    <row r="247" spans="2:29" s="41" customFormat="1" hidden="1" x14ac:dyDescent="0.25">
      <c r="B247" s="41" t="s">
        <v>39</v>
      </c>
      <c r="E247" s="8"/>
      <c r="F247" s="30"/>
      <c r="G247" s="8">
        <v>1</v>
      </c>
      <c r="H247" s="8"/>
      <c r="I247" s="35"/>
      <c r="J247" s="470"/>
      <c r="K247" s="470"/>
      <c r="L247" s="114"/>
      <c r="M247" s="174"/>
      <c r="N247" s="379"/>
      <c r="O247" s="35">
        <v>1</v>
      </c>
      <c r="P247" s="35"/>
      <c r="Q247" s="35"/>
      <c r="R247" s="35"/>
      <c r="S247" s="35"/>
      <c r="T247" s="35"/>
      <c r="U247" s="35"/>
      <c r="V247" s="35"/>
      <c r="W247" s="35"/>
      <c r="X247" s="40"/>
      <c r="Y247" s="40"/>
      <c r="Z247" s="40"/>
      <c r="AA247" s="40"/>
      <c r="AB247" s="40"/>
      <c r="AC247" s="40"/>
    </row>
    <row r="248" spans="2:29" s="48" customFormat="1" hidden="1" x14ac:dyDescent="0.25">
      <c r="B248" s="48" t="s">
        <v>40</v>
      </c>
      <c r="E248" s="22"/>
      <c r="F248" s="26">
        <v>1</v>
      </c>
      <c r="G248" s="22"/>
      <c r="H248" s="22"/>
      <c r="I248" s="110"/>
      <c r="J248" s="471"/>
      <c r="K248" s="471"/>
      <c r="L248" s="110"/>
      <c r="M248" s="175"/>
      <c r="N248" s="380"/>
      <c r="O248" s="110"/>
      <c r="P248" s="110"/>
      <c r="Q248" s="110"/>
      <c r="R248" s="110"/>
      <c r="S248" s="110"/>
      <c r="T248" s="110"/>
      <c r="U248" s="110"/>
      <c r="V248" s="110"/>
      <c r="W248" s="110"/>
      <c r="X248" s="50"/>
      <c r="Y248" s="50"/>
      <c r="Z248" s="50"/>
      <c r="AA248" s="50"/>
      <c r="AB248" s="50"/>
      <c r="AC248" s="50"/>
    </row>
    <row r="249" spans="2:29" s="41" customFormat="1" hidden="1" x14ac:dyDescent="0.25">
      <c r="B249" s="41" t="s">
        <v>41</v>
      </c>
      <c r="E249" s="8"/>
      <c r="F249" s="30"/>
      <c r="G249" s="8">
        <v>1</v>
      </c>
      <c r="H249" s="8"/>
      <c r="I249" s="35">
        <v>1</v>
      </c>
      <c r="J249" s="470"/>
      <c r="K249" s="470"/>
      <c r="L249" s="114"/>
      <c r="M249" s="174"/>
      <c r="N249" s="379"/>
      <c r="O249" s="35">
        <v>1</v>
      </c>
      <c r="P249" s="35"/>
      <c r="Q249" s="35"/>
      <c r="R249" s="35"/>
      <c r="S249" s="35"/>
      <c r="T249" s="35"/>
      <c r="U249" s="35"/>
      <c r="V249" s="35"/>
      <c r="W249" s="35"/>
      <c r="X249" s="40"/>
      <c r="Y249" s="40"/>
      <c r="Z249" s="40"/>
      <c r="AA249" s="40"/>
      <c r="AB249" s="40"/>
      <c r="AC249" s="40"/>
    </row>
    <row r="250" spans="2:29" s="48" customFormat="1" hidden="1" x14ac:dyDescent="0.25">
      <c r="B250" s="48" t="s">
        <v>42</v>
      </c>
      <c r="E250" s="22"/>
      <c r="F250" s="26">
        <v>1</v>
      </c>
      <c r="G250" s="22"/>
      <c r="H250" s="22"/>
      <c r="I250" s="110"/>
      <c r="J250" s="471"/>
      <c r="K250" s="471"/>
      <c r="L250" s="110"/>
      <c r="M250" s="175"/>
      <c r="N250" s="380"/>
      <c r="O250" s="110"/>
      <c r="P250" s="110"/>
      <c r="Q250" s="110"/>
      <c r="R250" s="110"/>
      <c r="S250" s="110"/>
      <c r="T250" s="110"/>
      <c r="U250" s="110"/>
      <c r="V250" s="110"/>
      <c r="W250" s="110"/>
      <c r="X250" s="50"/>
      <c r="Y250" s="50"/>
      <c r="Z250" s="50"/>
      <c r="AA250" s="50"/>
      <c r="AB250" s="50"/>
      <c r="AC250" s="50"/>
    </row>
    <row r="251" spans="2:29" s="41" customFormat="1" hidden="1" x14ac:dyDescent="0.25">
      <c r="B251" s="41" t="s">
        <v>88</v>
      </c>
      <c r="E251" s="19"/>
      <c r="F251" s="31"/>
      <c r="G251" s="19">
        <v>1</v>
      </c>
      <c r="H251" s="19"/>
      <c r="I251" s="35">
        <v>1</v>
      </c>
      <c r="J251" s="470"/>
      <c r="K251" s="470"/>
      <c r="L251" s="114"/>
      <c r="M251" s="174"/>
      <c r="N251" s="379"/>
      <c r="O251" s="35"/>
      <c r="P251" s="35"/>
      <c r="Q251" s="35"/>
      <c r="R251" s="35"/>
      <c r="S251" s="35"/>
      <c r="T251" s="35"/>
      <c r="U251" s="35"/>
      <c r="V251" s="35"/>
      <c r="W251" s="35"/>
      <c r="X251" s="40"/>
      <c r="Y251" s="40"/>
      <c r="Z251" s="40"/>
      <c r="AA251" s="40"/>
      <c r="AB251" s="40"/>
      <c r="AC251" s="40"/>
    </row>
    <row r="252" spans="2:29" s="48" customFormat="1" hidden="1" x14ac:dyDescent="0.25">
      <c r="B252" s="48" t="s">
        <v>7</v>
      </c>
      <c r="E252" s="50" t="s">
        <v>7</v>
      </c>
      <c r="F252" s="110"/>
      <c r="G252" s="110"/>
      <c r="H252" s="110"/>
      <c r="I252" s="110"/>
      <c r="J252" s="471"/>
      <c r="K252" s="471"/>
      <c r="L252" s="110"/>
      <c r="M252" s="175"/>
      <c r="N252" s="380"/>
      <c r="O252" s="110"/>
      <c r="P252" s="110"/>
      <c r="Q252" s="110"/>
      <c r="R252" s="110"/>
      <c r="S252" s="110"/>
      <c r="T252" s="110"/>
      <c r="U252" s="110"/>
      <c r="V252" s="110"/>
      <c r="W252" s="110"/>
      <c r="X252" s="50"/>
      <c r="Y252" s="50"/>
      <c r="Z252" s="50"/>
      <c r="AA252" s="50"/>
      <c r="AB252" s="50"/>
      <c r="AC252" s="50"/>
    </row>
    <row r="253" spans="2:29" hidden="1" x14ac:dyDescent="0.25">
      <c r="B253" s="3" t="s">
        <v>11</v>
      </c>
      <c r="D253" s="27">
        <f>SUM(E253:G253)</f>
        <v>11</v>
      </c>
      <c r="E253" s="2">
        <f>SUM(E254:E264)</f>
        <v>1</v>
      </c>
      <c r="F253" s="17">
        <f t="shared" ref="F253:H253" si="23">SUM(F254:F264)</f>
        <v>5</v>
      </c>
      <c r="G253" s="17">
        <f>SUM(G254:G264)</f>
        <v>5</v>
      </c>
      <c r="H253" s="17">
        <f t="shared" si="23"/>
        <v>0</v>
      </c>
      <c r="J253" s="471"/>
      <c r="K253" s="471"/>
      <c r="L253" s="110"/>
    </row>
    <row r="254" spans="2:29" s="41" customFormat="1" hidden="1" x14ac:dyDescent="0.25">
      <c r="B254" s="41" t="s">
        <v>98</v>
      </c>
      <c r="E254" s="20"/>
      <c r="F254" s="29">
        <v>1</v>
      </c>
      <c r="G254" s="20"/>
      <c r="H254" s="20"/>
      <c r="I254" s="35"/>
      <c r="J254" s="470"/>
      <c r="K254" s="470"/>
      <c r="L254" s="114"/>
      <c r="M254" s="174"/>
      <c r="N254" s="379"/>
      <c r="O254" s="35"/>
      <c r="P254" s="35"/>
      <c r="Q254" s="35"/>
      <c r="R254" s="35"/>
      <c r="S254" s="35"/>
      <c r="T254" s="35"/>
      <c r="U254" s="35"/>
      <c r="V254" s="35"/>
      <c r="W254" s="35"/>
      <c r="X254" s="40"/>
      <c r="Y254" s="40"/>
      <c r="Z254" s="40"/>
      <c r="AA254" s="40"/>
      <c r="AB254" s="40"/>
      <c r="AC254" s="40"/>
    </row>
    <row r="255" spans="2:29" s="48" customFormat="1" hidden="1" x14ac:dyDescent="0.25">
      <c r="B255" s="48" t="s">
        <v>43</v>
      </c>
      <c r="E255" s="22"/>
      <c r="F255" s="26"/>
      <c r="G255" s="22">
        <v>1</v>
      </c>
      <c r="H255" s="22"/>
      <c r="I255" s="110"/>
      <c r="J255" s="471"/>
      <c r="K255" s="471"/>
      <c r="L255" s="110">
        <v>1</v>
      </c>
      <c r="M255" s="175"/>
      <c r="N255" s="380"/>
      <c r="O255" s="110"/>
      <c r="P255" s="110"/>
      <c r="Q255" s="110"/>
      <c r="R255" s="110"/>
      <c r="S255" s="110"/>
      <c r="T255" s="110"/>
      <c r="U255" s="110"/>
      <c r="V255" s="110"/>
      <c r="W255" s="110"/>
      <c r="X255" s="50"/>
      <c r="Y255" s="50"/>
      <c r="Z255" s="50"/>
      <c r="AA255" s="50"/>
      <c r="AB255" s="50"/>
      <c r="AC255" s="50"/>
    </row>
    <row r="256" spans="2:29" s="41" customFormat="1" hidden="1" x14ac:dyDescent="0.25">
      <c r="B256" s="41" t="s">
        <v>44</v>
      </c>
      <c r="E256" s="8">
        <v>1</v>
      </c>
      <c r="F256" s="30"/>
      <c r="G256" s="8"/>
      <c r="H256" s="8"/>
      <c r="I256" s="35">
        <v>1</v>
      </c>
      <c r="J256" s="470"/>
      <c r="K256" s="470"/>
      <c r="L256" s="114"/>
      <c r="M256" s="174"/>
      <c r="N256" s="379"/>
      <c r="O256" s="35"/>
      <c r="P256" s="35"/>
      <c r="Q256" s="35"/>
      <c r="R256" s="35"/>
      <c r="S256" s="35"/>
      <c r="T256" s="35"/>
      <c r="U256" s="35"/>
      <c r="V256" s="35"/>
      <c r="W256" s="35"/>
      <c r="X256" s="40"/>
      <c r="Y256" s="40"/>
      <c r="Z256" s="40"/>
      <c r="AA256" s="40"/>
      <c r="AB256" s="40"/>
      <c r="AC256" s="40"/>
    </row>
    <row r="257" spans="2:29" s="48" customFormat="1" hidden="1" x14ac:dyDescent="0.25">
      <c r="B257" s="48" t="s">
        <v>45</v>
      </c>
      <c r="E257" s="22"/>
      <c r="F257" s="26">
        <v>1</v>
      </c>
      <c r="G257" s="22"/>
      <c r="H257" s="22"/>
      <c r="I257" s="110"/>
      <c r="J257" s="471"/>
      <c r="K257" s="471"/>
      <c r="L257" s="110"/>
      <c r="M257" s="175"/>
      <c r="N257" s="380"/>
      <c r="O257" s="110"/>
      <c r="P257" s="110"/>
      <c r="Q257" s="110"/>
      <c r="R257" s="110"/>
      <c r="S257" s="110"/>
      <c r="T257" s="110"/>
      <c r="U257" s="110"/>
      <c r="V257" s="110"/>
      <c r="W257" s="110"/>
      <c r="X257" s="50"/>
      <c r="Y257" s="50"/>
      <c r="Z257" s="50"/>
      <c r="AA257" s="50"/>
      <c r="AB257" s="50"/>
      <c r="AC257" s="50"/>
    </row>
    <row r="258" spans="2:29" s="41" customFormat="1" hidden="1" x14ac:dyDescent="0.25">
      <c r="B258" s="41" t="s">
        <v>46</v>
      </c>
      <c r="E258" s="8"/>
      <c r="F258" s="30"/>
      <c r="G258" s="8">
        <v>1</v>
      </c>
      <c r="H258" s="8"/>
      <c r="I258" s="35"/>
      <c r="J258" s="470"/>
      <c r="K258" s="470"/>
      <c r="L258" s="114"/>
      <c r="M258" s="174"/>
      <c r="N258" s="379"/>
      <c r="O258" s="35"/>
      <c r="P258" s="35"/>
      <c r="Q258" s="35"/>
      <c r="R258" s="35"/>
      <c r="S258" s="35"/>
      <c r="T258" s="35"/>
      <c r="U258" s="35"/>
      <c r="V258" s="35"/>
      <c r="W258" s="35"/>
      <c r="X258" s="40"/>
      <c r="Y258" s="40"/>
      <c r="Z258" s="40"/>
      <c r="AA258" s="40"/>
      <c r="AB258" s="40"/>
      <c r="AC258" s="40"/>
    </row>
    <row r="259" spans="2:29" s="48" customFormat="1" hidden="1" x14ac:dyDescent="0.25">
      <c r="B259" s="48" t="s">
        <v>47</v>
      </c>
      <c r="E259" s="22"/>
      <c r="F259" s="26">
        <v>1</v>
      </c>
      <c r="G259" s="22"/>
      <c r="H259" s="22"/>
      <c r="I259" s="110"/>
      <c r="J259" s="471"/>
      <c r="K259" s="471"/>
      <c r="L259" s="110"/>
      <c r="M259" s="175"/>
      <c r="N259" s="380"/>
      <c r="O259" s="110"/>
      <c r="P259" s="110"/>
      <c r="Q259" s="110"/>
      <c r="R259" s="110"/>
      <c r="S259" s="110"/>
      <c r="T259" s="110"/>
      <c r="U259" s="110"/>
      <c r="V259" s="110"/>
      <c r="W259" s="110"/>
      <c r="X259" s="50"/>
      <c r="Y259" s="50"/>
      <c r="Z259" s="50"/>
      <c r="AA259" s="50"/>
      <c r="AB259" s="50"/>
      <c r="AC259" s="50"/>
    </row>
    <row r="260" spans="2:29" s="41" customFormat="1" hidden="1" x14ac:dyDescent="0.25">
      <c r="B260" s="41" t="s">
        <v>48</v>
      </c>
      <c r="E260" s="8"/>
      <c r="F260" s="30"/>
      <c r="G260" s="8">
        <v>1</v>
      </c>
      <c r="H260" s="8"/>
      <c r="I260" s="35"/>
      <c r="J260" s="470"/>
      <c r="K260" s="470"/>
      <c r="L260" s="114">
        <v>1</v>
      </c>
      <c r="M260" s="174"/>
      <c r="N260" s="379"/>
      <c r="O260" s="35"/>
      <c r="P260" s="35"/>
      <c r="Q260" s="35"/>
      <c r="R260" s="35"/>
      <c r="S260" s="35"/>
      <c r="T260" s="35"/>
      <c r="U260" s="35"/>
      <c r="V260" s="35"/>
      <c r="W260" s="35"/>
      <c r="X260" s="40"/>
      <c r="Y260" s="40"/>
      <c r="Z260" s="40"/>
      <c r="AA260" s="40"/>
      <c r="AB260" s="40"/>
      <c r="AC260" s="40"/>
    </row>
    <row r="261" spans="2:29" s="48" customFormat="1" hidden="1" x14ac:dyDescent="0.25">
      <c r="B261" s="48" t="s">
        <v>49</v>
      </c>
      <c r="E261" s="22"/>
      <c r="F261" s="26">
        <v>1</v>
      </c>
      <c r="G261" s="22"/>
      <c r="H261" s="22"/>
      <c r="I261" s="110"/>
      <c r="J261" s="471"/>
      <c r="K261" s="471"/>
      <c r="L261" s="110"/>
      <c r="M261" s="175"/>
      <c r="N261" s="380"/>
      <c r="O261" s="110"/>
      <c r="P261" s="110"/>
      <c r="Q261" s="110"/>
      <c r="R261" s="110"/>
      <c r="S261" s="110"/>
      <c r="T261" s="110"/>
      <c r="U261" s="110"/>
      <c r="V261" s="110"/>
      <c r="W261" s="110"/>
      <c r="X261" s="50"/>
      <c r="Y261" s="50"/>
      <c r="Z261" s="50"/>
      <c r="AA261" s="50"/>
      <c r="AB261" s="50"/>
      <c r="AC261" s="50"/>
    </row>
    <row r="262" spans="2:29" s="41" customFormat="1" hidden="1" x14ac:dyDescent="0.25">
      <c r="B262" s="41" t="s">
        <v>50</v>
      </c>
      <c r="E262" s="8"/>
      <c r="F262" s="30">
        <v>1</v>
      </c>
      <c r="G262" s="8"/>
      <c r="H262" s="8"/>
      <c r="I262" s="35"/>
      <c r="J262" s="470"/>
      <c r="K262" s="470"/>
      <c r="L262" s="114"/>
      <c r="M262" s="174"/>
      <c r="N262" s="379"/>
      <c r="O262" s="35"/>
      <c r="P262" s="35"/>
      <c r="Q262" s="35"/>
      <c r="R262" s="35"/>
      <c r="S262" s="35"/>
      <c r="T262" s="35"/>
      <c r="U262" s="35"/>
      <c r="V262" s="35"/>
      <c r="W262" s="35"/>
      <c r="X262" s="40"/>
      <c r="Y262" s="40"/>
      <c r="Z262" s="40"/>
      <c r="AA262" s="40"/>
      <c r="AB262" s="40"/>
      <c r="AC262" s="40"/>
    </row>
    <row r="263" spans="2:29" s="48" customFormat="1" hidden="1" x14ac:dyDescent="0.25">
      <c r="B263" s="48" t="s">
        <v>51</v>
      </c>
      <c r="E263" s="22"/>
      <c r="F263" s="26"/>
      <c r="G263" s="22">
        <v>1</v>
      </c>
      <c r="H263" s="22"/>
      <c r="I263" s="110"/>
      <c r="J263" s="471"/>
      <c r="K263" s="471"/>
      <c r="L263" s="110"/>
      <c r="M263" s="175"/>
      <c r="N263" s="380"/>
      <c r="O263" s="110"/>
      <c r="P263" s="110">
        <v>1</v>
      </c>
      <c r="Q263" s="110"/>
      <c r="R263" s="110"/>
      <c r="S263" s="110"/>
      <c r="T263" s="110"/>
      <c r="U263" s="110"/>
      <c r="V263" s="110"/>
      <c r="W263" s="110"/>
      <c r="X263" s="50"/>
      <c r="Y263" s="50"/>
      <c r="Z263" s="50"/>
      <c r="AA263" s="50"/>
      <c r="AB263" s="50"/>
      <c r="AC263" s="50"/>
    </row>
    <row r="264" spans="2:29" s="41" customFormat="1" hidden="1" x14ac:dyDescent="0.25">
      <c r="B264" s="41" t="s">
        <v>52</v>
      </c>
      <c r="E264" s="19"/>
      <c r="F264" s="31"/>
      <c r="G264" s="19">
        <v>1</v>
      </c>
      <c r="H264" s="19"/>
      <c r="I264" s="35"/>
      <c r="J264" s="470"/>
      <c r="K264" s="470"/>
      <c r="L264" s="114"/>
      <c r="M264" s="174"/>
      <c r="N264" s="379"/>
      <c r="O264" s="35"/>
      <c r="P264" s="35">
        <v>1</v>
      </c>
      <c r="Q264" s="35"/>
      <c r="R264" s="35"/>
      <c r="S264" s="35"/>
      <c r="T264" s="35"/>
      <c r="U264" s="35"/>
      <c r="V264" s="35"/>
      <c r="W264" s="35"/>
      <c r="X264" s="40"/>
      <c r="Y264" s="40"/>
      <c r="Z264" s="40"/>
      <c r="AA264" s="40"/>
      <c r="AB264" s="40"/>
      <c r="AC264" s="40"/>
    </row>
    <row r="265" spans="2:29" s="48" customFormat="1" hidden="1" x14ac:dyDescent="0.25">
      <c r="B265" s="93" t="s">
        <v>10</v>
      </c>
      <c r="D265" s="128">
        <v>6</v>
      </c>
      <c r="E265" s="50">
        <f>SUM(E266:E271)</f>
        <v>2</v>
      </c>
      <c r="F265" s="50">
        <f t="shared" ref="F265:H265" si="24">SUM(F266:F271)</f>
        <v>2</v>
      </c>
      <c r="G265" s="50">
        <f>SUM(G266:G271)</f>
        <v>1</v>
      </c>
      <c r="H265" s="50">
        <f t="shared" si="24"/>
        <v>1</v>
      </c>
      <c r="I265" s="110"/>
      <c r="J265" s="471"/>
      <c r="K265" s="471"/>
      <c r="L265" s="110"/>
      <c r="M265" s="175"/>
      <c r="N265" s="380"/>
      <c r="O265" s="110"/>
      <c r="P265" s="110"/>
      <c r="Q265" s="110"/>
      <c r="R265" s="110"/>
      <c r="S265" s="110"/>
      <c r="T265" s="110"/>
      <c r="U265" s="110"/>
      <c r="V265" s="110"/>
      <c r="W265" s="110"/>
      <c r="X265" s="50"/>
      <c r="Y265" s="50"/>
      <c r="Z265" s="50"/>
      <c r="AA265" s="50"/>
      <c r="AB265" s="50"/>
      <c r="AC265" s="50"/>
    </row>
    <row r="266" spans="2:29" s="41" customFormat="1" hidden="1" x14ac:dyDescent="0.25">
      <c r="B266" s="41" t="s">
        <v>53</v>
      </c>
      <c r="E266" s="20"/>
      <c r="F266" s="29"/>
      <c r="G266" s="20"/>
      <c r="H266" s="20">
        <v>1</v>
      </c>
      <c r="I266" s="35"/>
      <c r="J266" s="470"/>
      <c r="K266" s="470"/>
      <c r="L266" s="114"/>
      <c r="M266" s="174"/>
      <c r="N266" s="379"/>
      <c r="O266" s="35"/>
      <c r="P266" s="35"/>
      <c r="Q266" s="35"/>
      <c r="R266" s="35"/>
      <c r="S266" s="35"/>
      <c r="T266" s="35"/>
      <c r="U266" s="35"/>
      <c r="V266" s="35"/>
      <c r="W266" s="35"/>
      <c r="X266" s="40"/>
      <c r="Y266" s="40"/>
      <c r="Z266" s="40"/>
      <c r="AA266" s="40"/>
      <c r="AB266" s="40"/>
      <c r="AC266" s="40"/>
    </row>
    <row r="267" spans="2:29" s="48" customFormat="1" hidden="1" x14ac:dyDescent="0.25">
      <c r="B267" s="48" t="s">
        <v>54</v>
      </c>
      <c r="E267" s="22"/>
      <c r="F267" s="26">
        <v>1</v>
      </c>
      <c r="G267" s="22"/>
      <c r="H267" s="22"/>
      <c r="I267" s="110"/>
      <c r="J267" s="471"/>
      <c r="K267" s="471"/>
      <c r="L267" s="110"/>
      <c r="M267" s="175"/>
      <c r="N267" s="380"/>
      <c r="O267" s="110"/>
      <c r="P267" s="110"/>
      <c r="Q267" s="110"/>
      <c r="R267" s="110"/>
      <c r="S267" s="110"/>
      <c r="T267" s="110"/>
      <c r="U267" s="110"/>
      <c r="V267" s="110"/>
      <c r="W267" s="110"/>
      <c r="X267" s="50"/>
      <c r="Y267" s="50"/>
      <c r="Z267" s="50"/>
      <c r="AA267" s="50"/>
      <c r="AB267" s="50"/>
      <c r="AC267" s="50"/>
    </row>
    <row r="268" spans="2:29" s="41" customFormat="1" hidden="1" x14ac:dyDescent="0.25">
      <c r="B268" s="41" t="s">
        <v>55</v>
      </c>
      <c r="E268" s="8">
        <v>1</v>
      </c>
      <c r="F268" s="30"/>
      <c r="G268" s="8"/>
      <c r="H268" s="8"/>
      <c r="I268" s="35"/>
      <c r="J268" s="470"/>
      <c r="K268" s="470"/>
      <c r="L268" s="114"/>
      <c r="M268" s="174"/>
      <c r="N268" s="379"/>
      <c r="O268" s="35"/>
      <c r="P268" s="35"/>
      <c r="Q268" s="35"/>
      <c r="R268" s="35"/>
      <c r="S268" s="35"/>
      <c r="T268" s="35"/>
      <c r="U268" s="35"/>
      <c r="V268" s="35"/>
      <c r="W268" s="35"/>
      <c r="X268" s="40"/>
      <c r="Y268" s="40"/>
      <c r="Z268" s="40"/>
      <c r="AA268" s="40"/>
      <c r="AB268" s="40"/>
      <c r="AC268" s="40"/>
    </row>
    <row r="269" spans="2:29" s="48" customFormat="1" hidden="1" x14ac:dyDescent="0.25">
      <c r="B269" s="48" t="s">
        <v>56</v>
      </c>
      <c r="E269" s="22"/>
      <c r="F269" s="26">
        <v>1</v>
      </c>
      <c r="G269" s="22"/>
      <c r="H269" s="22"/>
      <c r="I269" s="110"/>
      <c r="J269" s="471"/>
      <c r="K269" s="471"/>
      <c r="L269" s="110"/>
      <c r="M269" s="175"/>
      <c r="N269" s="380"/>
      <c r="O269" s="110"/>
      <c r="P269" s="110"/>
      <c r="Q269" s="110"/>
      <c r="R269" s="110"/>
      <c r="S269" s="110"/>
      <c r="T269" s="110"/>
      <c r="U269" s="110"/>
      <c r="V269" s="110"/>
      <c r="W269" s="110"/>
      <c r="X269" s="50"/>
      <c r="Y269" s="50"/>
      <c r="Z269" s="50"/>
      <c r="AA269" s="50"/>
      <c r="AB269" s="50"/>
      <c r="AC269" s="50"/>
    </row>
    <row r="270" spans="2:29" s="41" customFormat="1" hidden="1" x14ac:dyDescent="0.25">
      <c r="B270" s="41" t="s">
        <v>57</v>
      </c>
      <c r="E270" s="8"/>
      <c r="F270" s="30"/>
      <c r="G270" s="8">
        <v>1</v>
      </c>
      <c r="H270" s="8"/>
      <c r="I270" s="35">
        <v>1</v>
      </c>
      <c r="J270" s="470"/>
      <c r="K270" s="470"/>
      <c r="L270" s="114"/>
      <c r="M270" s="174"/>
      <c r="N270" s="379"/>
      <c r="O270" s="35">
        <v>1</v>
      </c>
      <c r="P270" s="35"/>
      <c r="Q270" s="35"/>
      <c r="R270" s="35"/>
      <c r="S270" s="35"/>
      <c r="T270" s="35"/>
      <c r="U270" s="35"/>
      <c r="V270" s="35"/>
      <c r="W270" s="35"/>
      <c r="X270" s="40"/>
      <c r="Y270" s="40"/>
      <c r="Z270" s="40"/>
      <c r="AA270" s="40"/>
      <c r="AB270" s="40"/>
      <c r="AC270" s="40"/>
    </row>
    <row r="271" spans="2:29" s="48" customFormat="1" hidden="1" x14ac:dyDescent="0.25">
      <c r="B271" s="48" t="s">
        <v>58</v>
      </c>
      <c r="E271" s="23">
        <v>1</v>
      </c>
      <c r="F271" s="111"/>
      <c r="G271" s="23"/>
      <c r="H271" s="23"/>
      <c r="I271" s="110"/>
      <c r="J271" s="471"/>
      <c r="K271" s="471"/>
      <c r="L271" s="110"/>
      <c r="M271" s="175"/>
      <c r="N271" s="380"/>
      <c r="O271" s="110"/>
      <c r="P271" s="110"/>
      <c r="Q271" s="110"/>
      <c r="R271" s="110"/>
      <c r="S271" s="110"/>
      <c r="T271" s="110"/>
      <c r="U271" s="110"/>
      <c r="V271" s="110"/>
      <c r="W271" s="110"/>
      <c r="X271" s="50"/>
      <c r="Y271" s="50"/>
      <c r="Z271" s="50"/>
      <c r="AA271" s="50"/>
      <c r="AB271" s="50"/>
      <c r="AC271" s="50"/>
    </row>
    <row r="272" spans="2:29" s="48" customFormat="1" hidden="1" x14ac:dyDescent="0.25">
      <c r="B272" s="93" t="s">
        <v>9</v>
      </c>
      <c r="D272" s="128">
        <f>SUM(E272:H272)</f>
        <v>27</v>
      </c>
      <c r="E272" s="50">
        <f>SUM(E273:E300)</f>
        <v>8</v>
      </c>
      <c r="F272" s="50">
        <f>SUM(F273:F300)</f>
        <v>6</v>
      </c>
      <c r="G272" s="50">
        <f>SUM(G273:G300)</f>
        <v>9</v>
      </c>
      <c r="H272" s="50">
        <f>SUM(H273:H300)</f>
        <v>4</v>
      </c>
      <c r="I272" s="110"/>
      <c r="J272" s="471"/>
      <c r="K272" s="471"/>
      <c r="L272" s="110"/>
      <c r="M272" s="175"/>
      <c r="N272" s="380"/>
      <c r="O272" s="110"/>
      <c r="P272" s="110"/>
      <c r="Q272" s="110"/>
      <c r="R272" s="110"/>
      <c r="S272" s="110"/>
      <c r="T272" s="110"/>
      <c r="U272" s="110"/>
      <c r="V272" s="110"/>
      <c r="W272" s="110"/>
      <c r="X272" s="50"/>
      <c r="Y272" s="50"/>
      <c r="Z272" s="50"/>
      <c r="AA272" s="50"/>
      <c r="AB272" s="50"/>
      <c r="AC272" s="50"/>
    </row>
    <row r="273" spans="2:29" hidden="1" x14ac:dyDescent="0.25">
      <c r="E273" s="20"/>
      <c r="F273" s="25"/>
      <c r="G273" s="20"/>
      <c r="H273" s="21"/>
      <c r="J273" s="471"/>
      <c r="K273" s="471"/>
      <c r="L273" s="110"/>
    </row>
    <row r="274" spans="2:29" s="41" customFormat="1" hidden="1" x14ac:dyDescent="0.25">
      <c r="B274" s="41" t="s">
        <v>59</v>
      </c>
      <c r="E274" s="8">
        <v>1</v>
      </c>
      <c r="F274" s="30"/>
      <c r="G274" s="8"/>
      <c r="H274" s="8"/>
      <c r="I274" s="35"/>
      <c r="J274" s="470"/>
      <c r="K274" s="470"/>
      <c r="L274" s="114"/>
      <c r="M274" s="174"/>
      <c r="N274" s="379"/>
      <c r="O274" s="35"/>
      <c r="P274" s="35"/>
      <c r="Q274" s="35"/>
      <c r="R274" s="35"/>
      <c r="S274" s="35"/>
      <c r="T274" s="35"/>
      <c r="U274" s="35"/>
      <c r="V274" s="35"/>
      <c r="W274" s="35"/>
      <c r="X274" s="40"/>
      <c r="Y274" s="40"/>
      <c r="Z274" s="40"/>
      <c r="AA274" s="40"/>
      <c r="AB274" s="40"/>
      <c r="AC274" s="40"/>
    </row>
    <row r="275" spans="2:29" s="48" customFormat="1" hidden="1" x14ac:dyDescent="0.25">
      <c r="B275" s="48" t="s">
        <v>60</v>
      </c>
      <c r="E275" s="22"/>
      <c r="F275" s="26"/>
      <c r="G275" s="22"/>
      <c r="H275" s="22">
        <v>1</v>
      </c>
      <c r="I275" s="110"/>
      <c r="J275" s="471"/>
      <c r="K275" s="471"/>
      <c r="L275" s="110"/>
      <c r="M275" s="175"/>
      <c r="N275" s="380"/>
      <c r="O275" s="110"/>
      <c r="P275" s="110"/>
      <c r="Q275" s="110"/>
      <c r="R275" s="110"/>
      <c r="S275" s="110"/>
      <c r="T275" s="110"/>
      <c r="U275" s="110"/>
      <c r="V275" s="110"/>
      <c r="W275" s="110"/>
      <c r="X275" s="50"/>
      <c r="Y275" s="50"/>
      <c r="Z275" s="50"/>
      <c r="AA275" s="50"/>
      <c r="AB275" s="50"/>
      <c r="AC275" s="50"/>
    </row>
    <row r="276" spans="2:29" s="41" customFormat="1" hidden="1" x14ac:dyDescent="0.25">
      <c r="B276" s="41" t="s">
        <v>61</v>
      </c>
      <c r="E276" s="8"/>
      <c r="F276" s="30">
        <v>1</v>
      </c>
      <c r="G276" s="8"/>
      <c r="H276" s="8"/>
      <c r="I276" s="35"/>
      <c r="J276" s="470"/>
      <c r="K276" s="470"/>
      <c r="L276" s="114"/>
      <c r="M276" s="174"/>
      <c r="N276" s="379"/>
      <c r="O276" s="35"/>
      <c r="P276" s="35"/>
      <c r="Q276" s="35"/>
      <c r="R276" s="35"/>
      <c r="S276" s="35"/>
      <c r="T276" s="35"/>
      <c r="U276" s="35"/>
      <c r="V276" s="35"/>
      <c r="W276" s="35"/>
      <c r="X276" s="40"/>
      <c r="Y276" s="40"/>
      <c r="Z276" s="40"/>
      <c r="AA276" s="40"/>
      <c r="AB276" s="40"/>
      <c r="AC276" s="40"/>
    </row>
    <row r="277" spans="2:29" s="48" customFormat="1" hidden="1" x14ac:dyDescent="0.25">
      <c r="B277" s="48" t="s">
        <v>62</v>
      </c>
      <c r="E277" s="22">
        <v>1</v>
      </c>
      <c r="F277" s="26"/>
      <c r="G277" s="22"/>
      <c r="H277" s="22"/>
      <c r="I277" s="110"/>
      <c r="J277" s="471"/>
      <c r="K277" s="471"/>
      <c r="L277" s="110"/>
      <c r="M277" s="175"/>
      <c r="N277" s="380"/>
      <c r="O277" s="110"/>
      <c r="P277" s="110"/>
      <c r="Q277" s="110"/>
      <c r="R277" s="110"/>
      <c r="S277" s="110"/>
      <c r="T277" s="110"/>
      <c r="U277" s="110"/>
      <c r="V277" s="110"/>
      <c r="W277" s="110"/>
      <c r="X277" s="50"/>
      <c r="Y277" s="50"/>
      <c r="Z277" s="50"/>
      <c r="AA277" s="50"/>
      <c r="AB277" s="50"/>
      <c r="AC277" s="50"/>
    </row>
    <row r="278" spans="2:29" s="41" customFormat="1" hidden="1" x14ac:dyDescent="0.25">
      <c r="B278" s="41" t="s">
        <v>63</v>
      </c>
      <c r="E278" s="8"/>
      <c r="F278" s="30"/>
      <c r="G278" s="8">
        <v>1</v>
      </c>
      <c r="H278" s="8"/>
      <c r="I278" s="35">
        <v>1</v>
      </c>
      <c r="J278" s="470"/>
      <c r="K278" s="470"/>
      <c r="L278" s="114"/>
      <c r="M278" s="174"/>
      <c r="N278" s="379"/>
      <c r="O278" s="35"/>
      <c r="P278" s="35"/>
      <c r="Q278" s="35"/>
      <c r="R278" s="35"/>
      <c r="S278" s="35"/>
      <c r="T278" s="35"/>
      <c r="U278" s="35"/>
      <c r="V278" s="35"/>
      <c r="W278" s="35"/>
      <c r="X278" s="40"/>
      <c r="Y278" s="40"/>
      <c r="Z278" s="40"/>
      <c r="AA278" s="40"/>
      <c r="AB278" s="40"/>
      <c r="AC278" s="40"/>
    </row>
    <row r="279" spans="2:29" s="48" customFormat="1" hidden="1" x14ac:dyDescent="0.25">
      <c r="B279" s="48" t="s">
        <v>64</v>
      </c>
      <c r="E279" s="22"/>
      <c r="F279" s="26"/>
      <c r="G279" s="22">
        <v>1</v>
      </c>
      <c r="H279" s="22"/>
      <c r="I279" s="110">
        <v>1</v>
      </c>
      <c r="J279" s="471"/>
      <c r="K279" s="471"/>
      <c r="L279" s="110"/>
      <c r="M279" s="175"/>
      <c r="N279" s="380"/>
      <c r="O279" s="110"/>
      <c r="P279" s="110"/>
      <c r="Q279" s="110"/>
      <c r="R279" s="110"/>
      <c r="S279" s="110"/>
      <c r="T279" s="110"/>
      <c r="U279" s="110"/>
      <c r="V279" s="110"/>
      <c r="W279" s="110"/>
      <c r="X279" s="50"/>
      <c r="Y279" s="50"/>
      <c r="Z279" s="50"/>
      <c r="AA279" s="50"/>
      <c r="AB279" s="50"/>
      <c r="AC279" s="50"/>
    </row>
    <row r="280" spans="2:29" s="41" customFormat="1" hidden="1" x14ac:dyDescent="0.25">
      <c r="B280" s="41" t="s">
        <v>65</v>
      </c>
      <c r="E280" s="8">
        <v>1</v>
      </c>
      <c r="F280" s="30"/>
      <c r="G280" s="8"/>
      <c r="H280" s="8"/>
      <c r="I280" s="35"/>
      <c r="J280" s="470"/>
      <c r="K280" s="470"/>
      <c r="L280" s="114"/>
      <c r="M280" s="174"/>
      <c r="N280" s="379"/>
      <c r="O280" s="35"/>
      <c r="P280" s="35"/>
      <c r="Q280" s="35"/>
      <c r="R280" s="35"/>
      <c r="S280" s="35"/>
      <c r="T280" s="35"/>
      <c r="U280" s="35"/>
      <c r="V280" s="35"/>
      <c r="W280" s="35"/>
      <c r="X280" s="40"/>
      <c r="Y280" s="40"/>
      <c r="Z280" s="40"/>
      <c r="AA280" s="40"/>
      <c r="AB280" s="40"/>
      <c r="AC280" s="40"/>
    </row>
    <row r="281" spans="2:29" s="48" customFormat="1" hidden="1" x14ac:dyDescent="0.25">
      <c r="B281" s="48" t="s">
        <v>66</v>
      </c>
      <c r="E281" s="22">
        <v>1</v>
      </c>
      <c r="F281" s="26"/>
      <c r="G281" s="22"/>
      <c r="H281" s="22"/>
      <c r="I281" s="110"/>
      <c r="J281" s="471"/>
      <c r="K281" s="471"/>
      <c r="L281" s="110"/>
      <c r="M281" s="175"/>
      <c r="N281" s="380"/>
      <c r="O281" s="110"/>
      <c r="P281" s="110"/>
      <c r="Q281" s="110"/>
      <c r="R281" s="110"/>
      <c r="S281" s="110"/>
      <c r="T281" s="110"/>
      <c r="U281" s="110"/>
      <c r="V281" s="110"/>
      <c r="W281" s="110"/>
      <c r="X281" s="50"/>
      <c r="Y281" s="50"/>
      <c r="Z281" s="50"/>
      <c r="AA281" s="50"/>
      <c r="AB281" s="50"/>
      <c r="AC281" s="50"/>
    </row>
    <row r="282" spans="2:29" s="41" customFormat="1" hidden="1" x14ac:dyDescent="0.25">
      <c r="B282" s="41" t="s">
        <v>67</v>
      </c>
      <c r="E282" s="8"/>
      <c r="F282" s="30"/>
      <c r="G282" s="8">
        <v>1</v>
      </c>
      <c r="H282" s="8"/>
      <c r="I282" s="35"/>
      <c r="J282" s="470"/>
      <c r="K282" s="470"/>
      <c r="L282" s="114"/>
      <c r="M282" s="174"/>
      <c r="N282" s="379"/>
      <c r="O282" s="35">
        <v>1</v>
      </c>
      <c r="P282" s="35"/>
      <c r="Q282" s="35"/>
      <c r="R282" s="35"/>
      <c r="S282" s="35"/>
      <c r="T282" s="35"/>
      <c r="U282" s="35"/>
      <c r="V282" s="35"/>
      <c r="W282" s="35"/>
      <c r="X282" s="40"/>
      <c r="Y282" s="40"/>
      <c r="Z282" s="40"/>
      <c r="AA282" s="40"/>
      <c r="AB282" s="40"/>
      <c r="AC282" s="40"/>
    </row>
    <row r="283" spans="2:29" s="48" customFormat="1" hidden="1" x14ac:dyDescent="0.25">
      <c r="B283" s="48" t="s">
        <v>68</v>
      </c>
      <c r="E283" s="22"/>
      <c r="F283" s="26"/>
      <c r="G283" s="22"/>
      <c r="H283" s="22">
        <v>1</v>
      </c>
      <c r="I283" s="110"/>
      <c r="J283" s="471"/>
      <c r="K283" s="471"/>
      <c r="L283" s="110"/>
      <c r="M283" s="175"/>
      <c r="N283" s="380"/>
      <c r="O283" s="110"/>
      <c r="P283" s="110"/>
      <c r="Q283" s="110"/>
      <c r="R283" s="110"/>
      <c r="S283" s="110"/>
      <c r="T283" s="110"/>
      <c r="U283" s="110"/>
      <c r="V283" s="110"/>
      <c r="W283" s="110"/>
      <c r="X283" s="50"/>
      <c r="Y283" s="50"/>
      <c r="Z283" s="50"/>
      <c r="AA283" s="50"/>
      <c r="AB283" s="50"/>
      <c r="AC283" s="50"/>
    </row>
    <row r="284" spans="2:29" s="41" customFormat="1" hidden="1" x14ac:dyDescent="0.25">
      <c r="B284" s="41" t="s">
        <v>69</v>
      </c>
      <c r="E284" s="8"/>
      <c r="F284" s="30">
        <v>1</v>
      </c>
      <c r="G284" s="8"/>
      <c r="H284" s="8"/>
      <c r="I284" s="35"/>
      <c r="J284" s="470"/>
      <c r="K284" s="470"/>
      <c r="L284" s="114"/>
      <c r="M284" s="174"/>
      <c r="N284" s="379"/>
      <c r="O284" s="35"/>
      <c r="P284" s="35"/>
      <c r="Q284" s="35"/>
      <c r="R284" s="35"/>
      <c r="S284" s="35"/>
      <c r="T284" s="35"/>
      <c r="U284" s="35"/>
      <c r="V284" s="35"/>
      <c r="W284" s="35"/>
      <c r="X284" s="40"/>
      <c r="Y284" s="40"/>
      <c r="Z284" s="40"/>
      <c r="AA284" s="40"/>
      <c r="AB284" s="40"/>
      <c r="AC284" s="40"/>
    </row>
    <row r="285" spans="2:29" s="48" customFormat="1" hidden="1" x14ac:dyDescent="0.25">
      <c r="B285" s="48" t="s">
        <v>70</v>
      </c>
      <c r="E285" s="22"/>
      <c r="F285" s="26"/>
      <c r="G285" s="22">
        <v>1</v>
      </c>
      <c r="H285" s="22"/>
      <c r="I285" s="110">
        <v>1</v>
      </c>
      <c r="J285" s="471"/>
      <c r="K285" s="471"/>
      <c r="L285" s="110"/>
      <c r="M285" s="175"/>
      <c r="N285" s="380"/>
      <c r="O285" s="110"/>
      <c r="P285" s="110"/>
      <c r="Q285" s="110"/>
      <c r="R285" s="110"/>
      <c r="S285" s="110"/>
      <c r="T285" s="110"/>
      <c r="U285" s="110"/>
      <c r="V285" s="110"/>
      <c r="W285" s="110"/>
      <c r="X285" s="50"/>
      <c r="Y285" s="50"/>
      <c r="Z285" s="50"/>
      <c r="AA285" s="50"/>
      <c r="AB285" s="50"/>
      <c r="AC285" s="50"/>
    </row>
    <row r="286" spans="2:29" s="41" customFormat="1" hidden="1" x14ac:dyDescent="0.25">
      <c r="B286" s="41" t="s">
        <v>71</v>
      </c>
      <c r="E286" s="8">
        <v>1</v>
      </c>
      <c r="F286" s="30"/>
      <c r="G286" s="8"/>
      <c r="H286" s="8"/>
      <c r="I286" s="35"/>
      <c r="J286" s="470"/>
      <c r="K286" s="470"/>
      <c r="L286" s="114"/>
      <c r="M286" s="174"/>
      <c r="N286" s="379"/>
      <c r="O286" s="35"/>
      <c r="P286" s="35"/>
      <c r="Q286" s="35"/>
      <c r="R286" s="35"/>
      <c r="S286" s="35"/>
      <c r="T286" s="35"/>
      <c r="U286" s="35"/>
      <c r="V286" s="35"/>
      <c r="W286" s="35"/>
      <c r="X286" s="40"/>
      <c r="Y286" s="40"/>
      <c r="Z286" s="40"/>
      <c r="AA286" s="40"/>
      <c r="AB286" s="40"/>
      <c r="AC286" s="40"/>
    </row>
    <row r="287" spans="2:29" s="48" customFormat="1" hidden="1" x14ac:dyDescent="0.25">
      <c r="B287" s="48" t="s">
        <v>72</v>
      </c>
      <c r="E287" s="22"/>
      <c r="F287" s="26"/>
      <c r="G287" s="22">
        <v>1</v>
      </c>
      <c r="H287" s="22"/>
      <c r="I287" s="110"/>
      <c r="J287" s="471"/>
      <c r="K287" s="471"/>
      <c r="L287" s="110"/>
      <c r="M287" s="175"/>
      <c r="N287" s="380"/>
      <c r="O287" s="110"/>
      <c r="P287" s="110">
        <v>1</v>
      </c>
      <c r="Q287" s="110"/>
      <c r="R287" s="110"/>
      <c r="S287" s="110"/>
      <c r="T287" s="110"/>
      <c r="U287" s="110"/>
      <c r="V287" s="110"/>
      <c r="W287" s="110"/>
      <c r="X287" s="50"/>
      <c r="Y287" s="50"/>
      <c r="Z287" s="50"/>
      <c r="AA287" s="50"/>
      <c r="AB287" s="50">
        <v>1</v>
      </c>
      <c r="AC287" s="50"/>
    </row>
    <row r="288" spans="2:29" s="41" customFormat="1" hidden="1" x14ac:dyDescent="0.25">
      <c r="B288" s="41" t="s">
        <v>93</v>
      </c>
      <c r="E288" s="8"/>
      <c r="F288" s="30">
        <v>1</v>
      </c>
      <c r="G288" s="8"/>
      <c r="H288" s="8"/>
      <c r="I288" s="35"/>
      <c r="J288" s="470"/>
      <c r="K288" s="470"/>
      <c r="L288" s="114"/>
      <c r="M288" s="174"/>
      <c r="N288" s="379"/>
      <c r="O288" s="35"/>
      <c r="P288" s="35"/>
      <c r="Q288" s="35"/>
      <c r="R288" s="35"/>
      <c r="S288" s="35"/>
      <c r="T288" s="35"/>
      <c r="U288" s="35"/>
      <c r="V288" s="35"/>
      <c r="W288" s="35"/>
      <c r="X288" s="40"/>
      <c r="Y288" s="40"/>
      <c r="Z288" s="40"/>
      <c r="AA288" s="40"/>
      <c r="AB288" s="40"/>
      <c r="AC288" s="40"/>
    </row>
    <row r="289" spans="2:29" s="48" customFormat="1" hidden="1" x14ac:dyDescent="0.25">
      <c r="B289" s="48" t="s">
        <v>89</v>
      </c>
      <c r="E289" s="22"/>
      <c r="F289" s="26"/>
      <c r="G289" s="22">
        <v>1</v>
      </c>
      <c r="H289" s="22"/>
      <c r="I289" s="110">
        <v>1</v>
      </c>
      <c r="J289" s="471"/>
      <c r="K289" s="471"/>
      <c r="L289" s="110"/>
      <c r="M289" s="175"/>
      <c r="N289" s="380"/>
      <c r="O289" s="110"/>
      <c r="P289" s="110"/>
      <c r="Q289" s="110"/>
      <c r="R289" s="110"/>
      <c r="S289" s="110"/>
      <c r="T289" s="110"/>
      <c r="U289" s="110"/>
      <c r="V289" s="110"/>
      <c r="W289" s="110"/>
      <c r="X289" s="50"/>
      <c r="Y289" s="50"/>
      <c r="Z289" s="50"/>
      <c r="AA289" s="50"/>
      <c r="AB289" s="50"/>
      <c r="AC289" s="50"/>
    </row>
    <row r="290" spans="2:29" s="41" customFormat="1" hidden="1" x14ac:dyDescent="0.25">
      <c r="B290" s="41" t="s">
        <v>90</v>
      </c>
      <c r="E290" s="8"/>
      <c r="F290" s="30"/>
      <c r="G290" s="8"/>
      <c r="H290" s="8">
        <v>1</v>
      </c>
      <c r="I290" s="35"/>
      <c r="J290" s="470"/>
      <c r="K290" s="470"/>
      <c r="L290" s="114"/>
      <c r="M290" s="174"/>
      <c r="N290" s="379"/>
      <c r="O290" s="35"/>
      <c r="P290" s="35"/>
      <c r="Q290" s="35"/>
      <c r="R290" s="35"/>
      <c r="S290" s="35"/>
      <c r="T290" s="35"/>
      <c r="U290" s="35"/>
      <c r="V290" s="35"/>
      <c r="W290" s="35"/>
      <c r="X290" s="40"/>
      <c r="Y290" s="40"/>
      <c r="Z290" s="40"/>
      <c r="AA290" s="40"/>
      <c r="AB290" s="40"/>
      <c r="AC290" s="40"/>
    </row>
    <row r="291" spans="2:29" s="48" customFormat="1" hidden="1" x14ac:dyDescent="0.25">
      <c r="B291" s="48" t="s">
        <v>91</v>
      </c>
      <c r="E291" s="22"/>
      <c r="F291" s="26">
        <v>1</v>
      </c>
      <c r="G291" s="22"/>
      <c r="H291" s="22"/>
      <c r="I291" s="110"/>
      <c r="J291" s="471"/>
      <c r="K291" s="471"/>
      <c r="L291" s="110"/>
      <c r="M291" s="175"/>
      <c r="N291" s="380"/>
      <c r="O291" s="110"/>
      <c r="P291" s="110"/>
      <c r="Q291" s="110"/>
      <c r="R291" s="110"/>
      <c r="S291" s="110"/>
      <c r="T291" s="110"/>
      <c r="U291" s="110"/>
      <c r="V291" s="110"/>
      <c r="W291" s="110"/>
      <c r="X291" s="50"/>
      <c r="Y291" s="50"/>
      <c r="Z291" s="50"/>
      <c r="AA291" s="50"/>
      <c r="AB291" s="50"/>
      <c r="AC291" s="50"/>
    </row>
    <row r="292" spans="2:29" s="41" customFormat="1" hidden="1" x14ac:dyDescent="0.25">
      <c r="B292" s="41" t="s">
        <v>73</v>
      </c>
      <c r="E292" s="8">
        <v>1</v>
      </c>
      <c r="F292" s="30"/>
      <c r="G292" s="8"/>
      <c r="H292" s="8"/>
      <c r="I292" s="35"/>
      <c r="J292" s="470"/>
      <c r="K292" s="470"/>
      <c r="L292" s="114"/>
      <c r="M292" s="174"/>
      <c r="N292" s="379"/>
      <c r="O292" s="35"/>
      <c r="P292" s="35"/>
      <c r="Q292" s="35"/>
      <c r="R292" s="35"/>
      <c r="S292" s="35"/>
      <c r="T292" s="35"/>
      <c r="U292" s="35"/>
      <c r="V292" s="35"/>
      <c r="W292" s="35"/>
      <c r="X292" s="40"/>
      <c r="Y292" s="40"/>
      <c r="Z292" s="40"/>
      <c r="AA292" s="40"/>
      <c r="AB292" s="40"/>
      <c r="AC292" s="40"/>
    </row>
    <row r="293" spans="2:29" s="48" customFormat="1" hidden="1" x14ac:dyDescent="0.25">
      <c r="B293" s="48" t="s">
        <v>74</v>
      </c>
      <c r="E293" s="22"/>
      <c r="F293" s="26">
        <v>1</v>
      </c>
      <c r="G293" s="22"/>
      <c r="H293" s="22"/>
      <c r="I293" s="110"/>
      <c r="J293" s="471"/>
      <c r="K293" s="471"/>
      <c r="L293" s="110"/>
      <c r="M293" s="175"/>
      <c r="N293" s="380"/>
      <c r="O293" s="110"/>
      <c r="P293" s="110"/>
      <c r="Q293" s="110"/>
      <c r="R293" s="110"/>
      <c r="S293" s="110"/>
      <c r="T293" s="110"/>
      <c r="U293" s="110"/>
      <c r="V293" s="110"/>
      <c r="W293" s="110"/>
      <c r="X293" s="50"/>
      <c r="Y293" s="50"/>
      <c r="Z293" s="50"/>
      <c r="AA293" s="50"/>
      <c r="AB293" s="50"/>
      <c r="AC293" s="50"/>
    </row>
    <row r="294" spans="2:29" s="41" customFormat="1" hidden="1" x14ac:dyDescent="0.25">
      <c r="B294" s="41" t="s">
        <v>92</v>
      </c>
      <c r="E294" s="8"/>
      <c r="F294" s="30"/>
      <c r="G294" s="8">
        <v>1</v>
      </c>
      <c r="H294" s="8"/>
      <c r="I294" s="35">
        <v>1</v>
      </c>
      <c r="J294" s="470"/>
      <c r="K294" s="470"/>
      <c r="L294" s="114"/>
      <c r="M294" s="174"/>
      <c r="N294" s="379"/>
      <c r="O294" s="35"/>
      <c r="P294" s="35"/>
      <c r="Q294" s="35"/>
      <c r="R294" s="35"/>
      <c r="S294" s="35"/>
      <c r="T294" s="35"/>
      <c r="U294" s="35"/>
      <c r="V294" s="35"/>
      <c r="W294" s="35"/>
      <c r="X294" s="40"/>
      <c r="Y294" s="40"/>
      <c r="Z294" s="40"/>
      <c r="AA294" s="40"/>
      <c r="AB294" s="40"/>
      <c r="AC294" s="40"/>
    </row>
    <row r="295" spans="2:29" s="48" customFormat="1" hidden="1" x14ac:dyDescent="0.25">
      <c r="B295" s="48" t="s">
        <v>75</v>
      </c>
      <c r="E295" s="22"/>
      <c r="F295" s="26">
        <v>1</v>
      </c>
      <c r="G295" s="22"/>
      <c r="H295" s="22"/>
      <c r="I295" s="110"/>
      <c r="J295" s="471"/>
      <c r="K295" s="471"/>
      <c r="L295" s="110"/>
      <c r="M295" s="175"/>
      <c r="N295" s="380"/>
      <c r="O295" s="110"/>
      <c r="P295" s="110"/>
      <c r="Q295" s="110"/>
      <c r="R295" s="110"/>
      <c r="S295" s="110"/>
      <c r="T295" s="110"/>
      <c r="U295" s="110"/>
      <c r="V295" s="110"/>
      <c r="W295" s="110"/>
      <c r="X295" s="50"/>
      <c r="Y295" s="50"/>
      <c r="Z295" s="50"/>
      <c r="AA295" s="50"/>
      <c r="AB295" s="50"/>
      <c r="AC295" s="50"/>
    </row>
    <row r="296" spans="2:29" s="41" customFormat="1" hidden="1" x14ac:dyDescent="0.25">
      <c r="B296" s="41" t="s">
        <v>76</v>
      </c>
      <c r="E296" s="8">
        <v>1</v>
      </c>
      <c r="F296" s="30"/>
      <c r="G296" s="8"/>
      <c r="H296" s="8"/>
      <c r="I296" s="35"/>
      <c r="J296" s="470"/>
      <c r="K296" s="470"/>
      <c r="L296" s="114"/>
      <c r="M296" s="174"/>
      <c r="N296" s="379"/>
      <c r="O296" s="35"/>
      <c r="P296" s="35"/>
      <c r="Q296" s="35"/>
      <c r="R296" s="35"/>
      <c r="S296" s="35"/>
      <c r="T296" s="35"/>
      <c r="U296" s="35"/>
      <c r="V296" s="35"/>
      <c r="W296" s="35"/>
      <c r="X296" s="40"/>
      <c r="Y296" s="40"/>
      <c r="Z296" s="40"/>
      <c r="AA296" s="40"/>
      <c r="AB296" s="40"/>
      <c r="AC296" s="40"/>
    </row>
    <row r="297" spans="2:29" s="48" customFormat="1" hidden="1" x14ac:dyDescent="0.25">
      <c r="B297" s="48" t="s">
        <v>77</v>
      </c>
      <c r="E297" s="22"/>
      <c r="F297" s="26"/>
      <c r="G297" s="22">
        <v>1</v>
      </c>
      <c r="H297" s="22"/>
      <c r="I297" s="110"/>
      <c r="J297" s="471"/>
      <c r="K297" s="471"/>
      <c r="L297" s="110"/>
      <c r="M297" s="175"/>
      <c r="N297" s="380"/>
      <c r="O297" s="110">
        <v>1</v>
      </c>
      <c r="P297" s="110"/>
      <c r="Q297" s="110"/>
      <c r="R297" s="110"/>
      <c r="S297" s="110"/>
      <c r="T297" s="110"/>
      <c r="U297" s="110"/>
      <c r="V297" s="110"/>
      <c r="W297" s="110"/>
      <c r="X297" s="50"/>
      <c r="Y297" s="50"/>
      <c r="Z297" s="50"/>
      <c r="AA297" s="50"/>
      <c r="AB297" s="50"/>
      <c r="AC297" s="50"/>
    </row>
    <row r="298" spans="2:29" s="41" customFormat="1" hidden="1" x14ac:dyDescent="0.25">
      <c r="B298" s="41" t="s">
        <v>78</v>
      </c>
      <c r="E298" s="8"/>
      <c r="F298" s="30"/>
      <c r="G298" s="8">
        <v>1</v>
      </c>
      <c r="H298" s="8"/>
      <c r="I298" s="35"/>
      <c r="J298" s="470"/>
      <c r="K298" s="470"/>
      <c r="L298" s="114"/>
      <c r="M298" s="174"/>
      <c r="N298" s="379"/>
      <c r="O298" s="35">
        <v>1</v>
      </c>
      <c r="P298" s="35"/>
      <c r="Q298" s="35"/>
      <c r="R298" s="35"/>
      <c r="S298" s="35"/>
      <c r="T298" s="35"/>
      <c r="U298" s="35"/>
      <c r="V298" s="35"/>
      <c r="W298" s="35"/>
      <c r="X298" s="40"/>
      <c r="Y298" s="40"/>
      <c r="Z298" s="40"/>
      <c r="AA298" s="40"/>
      <c r="AB298" s="40"/>
      <c r="AC298" s="40"/>
    </row>
    <row r="299" spans="2:29" s="48" customFormat="1" hidden="1" x14ac:dyDescent="0.25">
      <c r="B299" s="48" t="s">
        <v>79</v>
      </c>
      <c r="E299" s="22"/>
      <c r="F299" s="26"/>
      <c r="G299" s="22"/>
      <c r="H299" s="22">
        <v>1</v>
      </c>
      <c r="I299" s="110"/>
      <c r="J299" s="471"/>
      <c r="K299" s="471"/>
      <c r="L299" s="110"/>
      <c r="M299" s="175"/>
      <c r="N299" s="380"/>
      <c r="O299" s="110"/>
      <c r="P299" s="110"/>
      <c r="Q299" s="110"/>
      <c r="R299" s="110"/>
      <c r="S299" s="110"/>
      <c r="T299" s="110"/>
      <c r="U299" s="110"/>
      <c r="V299" s="110"/>
      <c r="W299" s="110"/>
      <c r="X299" s="50"/>
      <c r="Y299" s="50"/>
      <c r="Z299" s="50"/>
      <c r="AA299" s="50"/>
      <c r="AB299" s="50"/>
      <c r="AC299" s="50"/>
    </row>
    <row r="300" spans="2:29" s="41" customFormat="1" hidden="1" x14ac:dyDescent="0.25">
      <c r="B300" s="41" t="s">
        <v>80</v>
      </c>
      <c r="E300" s="19">
        <v>1</v>
      </c>
      <c r="F300" s="31"/>
      <c r="G300" s="19"/>
      <c r="H300" s="19"/>
      <c r="I300" s="35"/>
      <c r="J300" s="470"/>
      <c r="K300" s="470"/>
      <c r="L300" s="114"/>
      <c r="M300" s="174"/>
      <c r="N300" s="379"/>
      <c r="O300" s="35"/>
      <c r="P300" s="35"/>
      <c r="Q300" s="35"/>
      <c r="R300" s="35"/>
      <c r="S300" s="35"/>
      <c r="T300" s="35"/>
      <c r="U300" s="35"/>
      <c r="V300" s="35"/>
      <c r="W300" s="35"/>
      <c r="X300" s="40"/>
      <c r="Y300" s="40"/>
      <c r="Z300" s="40"/>
      <c r="AA300" s="40"/>
      <c r="AB300" s="40"/>
      <c r="AC300" s="40"/>
    </row>
    <row r="301" spans="2:29" s="48" customFormat="1" hidden="1" x14ac:dyDescent="0.25">
      <c r="B301" s="93" t="s">
        <v>0</v>
      </c>
      <c r="D301" s="128">
        <f>SUM(E301:G301)</f>
        <v>7</v>
      </c>
      <c r="E301" s="50">
        <f>SUM(E302:E308)</f>
        <v>4</v>
      </c>
      <c r="F301" s="50">
        <f>SUM(F302:F308)</f>
        <v>3</v>
      </c>
      <c r="G301" s="50">
        <f>SUM(G302:G308)</f>
        <v>0</v>
      </c>
      <c r="H301" s="50">
        <f>SUM(H302:H308)</f>
        <v>0</v>
      </c>
      <c r="I301" s="110"/>
      <c r="J301" s="471"/>
      <c r="K301" s="471"/>
      <c r="L301" s="110"/>
      <c r="M301" s="175"/>
      <c r="N301" s="380"/>
      <c r="O301" s="110"/>
      <c r="P301" s="110"/>
      <c r="Q301" s="110"/>
      <c r="R301" s="110"/>
      <c r="S301" s="110"/>
      <c r="T301" s="110"/>
      <c r="U301" s="110"/>
      <c r="V301" s="110"/>
      <c r="W301" s="110"/>
      <c r="X301" s="50"/>
      <c r="Y301" s="50"/>
      <c r="Z301" s="50"/>
      <c r="AA301" s="50"/>
      <c r="AB301" s="50"/>
      <c r="AC301" s="50"/>
    </row>
    <row r="302" spans="2:29" s="41" customFormat="1" hidden="1" x14ac:dyDescent="0.25">
      <c r="B302" s="41" t="s">
        <v>127</v>
      </c>
      <c r="E302" s="29"/>
      <c r="F302" s="20">
        <v>1</v>
      </c>
      <c r="G302" s="36"/>
      <c r="H302" s="20"/>
      <c r="I302" s="35"/>
      <c r="J302" s="470"/>
      <c r="K302" s="470"/>
      <c r="L302" s="114"/>
      <c r="M302" s="174"/>
      <c r="N302" s="379"/>
      <c r="O302" s="35"/>
      <c r="P302" s="35"/>
      <c r="Q302" s="35"/>
      <c r="R302" s="35"/>
      <c r="S302" s="35"/>
      <c r="T302" s="35"/>
      <c r="U302" s="35"/>
      <c r="V302" s="35"/>
      <c r="W302" s="35"/>
      <c r="X302" s="40"/>
      <c r="Y302" s="40"/>
      <c r="Z302" s="40"/>
      <c r="AA302" s="40"/>
      <c r="AB302" s="40"/>
      <c r="AC302" s="40"/>
    </row>
    <row r="303" spans="2:29" s="48" customFormat="1" hidden="1" x14ac:dyDescent="0.25">
      <c r="B303" s="48" t="s">
        <v>81</v>
      </c>
      <c r="E303" s="26"/>
      <c r="F303" s="22">
        <v>1</v>
      </c>
      <c r="G303" s="110"/>
      <c r="H303" s="22"/>
      <c r="I303" s="110"/>
      <c r="J303" s="471"/>
      <c r="K303" s="471"/>
      <c r="L303" s="110"/>
      <c r="M303" s="175"/>
      <c r="N303" s="380"/>
      <c r="O303" s="110"/>
      <c r="P303" s="110"/>
      <c r="Q303" s="110"/>
      <c r="R303" s="110"/>
      <c r="S303" s="110"/>
      <c r="T303" s="110"/>
      <c r="U303" s="110"/>
      <c r="V303" s="110"/>
      <c r="W303" s="110"/>
      <c r="X303" s="50"/>
      <c r="Y303" s="50"/>
      <c r="Z303" s="50"/>
      <c r="AA303" s="50"/>
      <c r="AB303" s="50"/>
      <c r="AC303" s="50"/>
    </row>
    <row r="304" spans="2:29" s="41" customFormat="1" hidden="1" x14ac:dyDescent="0.25">
      <c r="B304" s="41" t="s">
        <v>82</v>
      </c>
      <c r="E304" s="30"/>
      <c r="F304" s="8">
        <v>1</v>
      </c>
      <c r="G304" s="35"/>
      <c r="H304" s="8"/>
      <c r="I304" s="35"/>
      <c r="J304" s="470"/>
      <c r="K304" s="470"/>
      <c r="L304" s="114"/>
      <c r="M304" s="174"/>
      <c r="N304" s="379"/>
      <c r="O304" s="35"/>
      <c r="P304" s="35"/>
      <c r="Q304" s="35"/>
      <c r="R304" s="35"/>
      <c r="S304" s="35"/>
      <c r="T304" s="35"/>
      <c r="U304" s="35"/>
      <c r="V304" s="35"/>
      <c r="W304" s="35"/>
      <c r="X304" s="40"/>
      <c r="Y304" s="40"/>
      <c r="Z304" s="40"/>
      <c r="AA304" s="40"/>
      <c r="AB304" s="40"/>
      <c r="AC304" s="40"/>
    </row>
    <row r="305" spans="2:29" s="48" customFormat="1" hidden="1" x14ac:dyDescent="0.25">
      <c r="B305" s="48" t="s">
        <v>83</v>
      </c>
      <c r="E305" s="26">
        <v>1</v>
      </c>
      <c r="F305" s="22"/>
      <c r="G305" s="110"/>
      <c r="H305" s="22"/>
      <c r="I305" s="110"/>
      <c r="J305" s="471"/>
      <c r="K305" s="471"/>
      <c r="L305" s="110"/>
      <c r="M305" s="175"/>
      <c r="N305" s="380"/>
      <c r="O305" s="110"/>
      <c r="P305" s="110"/>
      <c r="Q305" s="110"/>
      <c r="R305" s="110"/>
      <c r="S305" s="110"/>
      <c r="T305" s="110"/>
      <c r="U305" s="110"/>
      <c r="V305" s="110"/>
      <c r="W305" s="110"/>
      <c r="X305" s="50"/>
      <c r="Y305" s="50"/>
      <c r="Z305" s="50"/>
      <c r="AA305" s="50"/>
      <c r="AB305" s="50"/>
      <c r="AC305" s="50"/>
    </row>
    <row r="306" spans="2:29" s="41" customFormat="1" hidden="1" x14ac:dyDescent="0.25">
      <c r="B306" s="41" t="s">
        <v>84</v>
      </c>
      <c r="E306" s="30">
        <v>1</v>
      </c>
      <c r="F306" s="8"/>
      <c r="G306" s="35"/>
      <c r="H306" s="8"/>
      <c r="I306" s="35"/>
      <c r="J306" s="470"/>
      <c r="K306" s="470"/>
      <c r="L306" s="114"/>
      <c r="M306" s="174"/>
      <c r="N306" s="379"/>
      <c r="O306" s="35"/>
      <c r="P306" s="35"/>
      <c r="Q306" s="35"/>
      <c r="R306" s="35"/>
      <c r="S306" s="35"/>
      <c r="T306" s="35"/>
      <c r="U306" s="35"/>
      <c r="V306" s="35"/>
      <c r="W306" s="35"/>
      <c r="X306" s="40"/>
      <c r="Y306" s="40"/>
      <c r="Z306" s="40"/>
      <c r="AA306" s="40"/>
      <c r="AB306" s="40"/>
      <c r="AC306" s="40"/>
    </row>
    <row r="307" spans="2:29" s="48" customFormat="1" hidden="1" x14ac:dyDescent="0.25">
      <c r="B307" s="48" t="s">
        <v>85</v>
      </c>
      <c r="E307" s="26">
        <v>1</v>
      </c>
      <c r="F307" s="22"/>
      <c r="G307" s="110"/>
      <c r="H307" s="22"/>
      <c r="I307" s="110"/>
      <c r="J307" s="471"/>
      <c r="K307" s="471"/>
      <c r="L307" s="110"/>
      <c r="M307" s="175"/>
      <c r="N307" s="380"/>
      <c r="O307" s="110"/>
      <c r="P307" s="110"/>
      <c r="Q307" s="110"/>
      <c r="R307" s="110"/>
      <c r="S307" s="110"/>
      <c r="T307" s="110"/>
      <c r="U307" s="110"/>
      <c r="V307" s="110"/>
      <c r="W307" s="110"/>
      <c r="X307" s="50"/>
      <c r="Y307" s="50"/>
      <c r="Z307" s="50"/>
      <c r="AA307" s="50"/>
      <c r="AB307" s="50"/>
      <c r="AC307" s="50"/>
    </row>
    <row r="308" spans="2:29" s="41" customFormat="1" hidden="1" x14ac:dyDescent="0.25">
      <c r="B308" s="41" t="s">
        <v>87</v>
      </c>
      <c r="E308" s="31">
        <v>1</v>
      </c>
      <c r="F308" s="19"/>
      <c r="G308" s="37"/>
      <c r="H308" s="19"/>
      <c r="I308" s="35"/>
      <c r="J308" s="470"/>
      <c r="K308" s="470"/>
      <c r="L308" s="114"/>
      <c r="M308" s="174"/>
      <c r="N308" s="379"/>
      <c r="O308" s="35"/>
      <c r="P308" s="35"/>
      <c r="Q308" s="35"/>
      <c r="R308" s="35"/>
      <c r="S308" s="35"/>
      <c r="T308" s="35"/>
      <c r="U308" s="35"/>
      <c r="V308" s="35"/>
      <c r="W308" s="35"/>
      <c r="X308" s="40"/>
      <c r="Y308" s="40"/>
      <c r="Z308" s="40"/>
      <c r="AA308" s="40"/>
      <c r="AB308" s="40"/>
      <c r="AC308" s="40"/>
    </row>
    <row r="309" spans="2:29" s="48" customFormat="1" hidden="1" x14ac:dyDescent="0.25">
      <c r="B309" s="93" t="s">
        <v>94</v>
      </c>
      <c r="D309" s="128">
        <f>SUM(E309:G309)</f>
        <v>0</v>
      </c>
      <c r="E309" s="110"/>
      <c r="F309" s="110">
        <f>SUM(F310)</f>
        <v>0</v>
      </c>
      <c r="G309" s="110"/>
      <c r="H309" s="110"/>
      <c r="I309" s="110"/>
      <c r="J309" s="471"/>
      <c r="K309" s="471"/>
      <c r="L309" s="110"/>
      <c r="M309" s="175"/>
      <c r="N309" s="380"/>
      <c r="O309" s="110"/>
      <c r="P309" s="110"/>
      <c r="Q309" s="110"/>
      <c r="R309" s="110"/>
      <c r="S309" s="110"/>
      <c r="T309" s="110"/>
      <c r="U309" s="110"/>
      <c r="V309" s="110"/>
      <c r="W309" s="110"/>
      <c r="X309" s="50"/>
      <c r="Y309" s="50"/>
      <c r="Z309" s="50"/>
      <c r="AA309" s="50"/>
      <c r="AB309" s="50"/>
      <c r="AC309" s="50"/>
    </row>
    <row r="310" spans="2:29" s="41" customFormat="1" hidden="1" x14ac:dyDescent="0.25">
      <c r="B310" s="41" t="s">
        <v>86</v>
      </c>
      <c r="E310" s="44">
        <v>1</v>
      </c>
      <c r="F310" s="45"/>
      <c r="G310" s="45"/>
      <c r="H310" s="46"/>
      <c r="I310" s="35"/>
      <c r="J310" s="470"/>
      <c r="K310" s="470"/>
      <c r="L310" s="114"/>
      <c r="M310" s="174"/>
      <c r="N310" s="379"/>
      <c r="O310" s="35"/>
      <c r="P310" s="35"/>
      <c r="Q310" s="35"/>
      <c r="R310" s="35"/>
      <c r="S310" s="35"/>
      <c r="T310" s="35"/>
      <c r="U310" s="35"/>
      <c r="V310" s="35"/>
      <c r="W310" s="35"/>
      <c r="X310" s="40"/>
      <c r="Y310" s="40"/>
      <c r="Z310" s="40"/>
      <c r="AA310" s="40"/>
      <c r="AB310" s="40"/>
      <c r="AC310" s="40"/>
    </row>
    <row r="311" spans="2:29" hidden="1" x14ac:dyDescent="0.25">
      <c r="B311" s="1" t="s">
        <v>7</v>
      </c>
      <c r="F311" s="17"/>
      <c r="G311" s="18"/>
    </row>
    <row r="312" spans="2:29" hidden="1" x14ac:dyDescent="0.25">
      <c r="F312" s="17"/>
      <c r="G312" s="18"/>
    </row>
    <row r="313" spans="2:29" hidden="1" x14ac:dyDescent="0.25">
      <c r="E313" s="2" t="s">
        <v>7</v>
      </c>
      <c r="F313" s="17"/>
      <c r="G313" s="18"/>
    </row>
    <row r="314" spans="2:29" hidden="1" x14ac:dyDescent="0.25">
      <c r="C314" s="1" t="s">
        <v>7</v>
      </c>
      <c r="F314" s="17"/>
      <c r="G314" s="18"/>
    </row>
    <row r="315" spans="2:29" hidden="1" x14ac:dyDescent="0.25">
      <c r="F315" s="17"/>
      <c r="G315" s="18"/>
    </row>
    <row r="316" spans="2:29" hidden="1" x14ac:dyDescent="0.25">
      <c r="F316" s="17"/>
      <c r="G316" s="18"/>
    </row>
    <row r="317" spans="2:29" hidden="1" x14ac:dyDescent="0.25">
      <c r="F317" s="17"/>
      <c r="G317" s="18"/>
    </row>
    <row r="318" spans="2:29" hidden="1" x14ac:dyDescent="0.25">
      <c r="F318" s="17"/>
      <c r="G318" s="18"/>
    </row>
    <row r="319" spans="2:29" hidden="1" x14ac:dyDescent="0.25">
      <c r="F319" s="17"/>
      <c r="G319" s="18"/>
    </row>
    <row r="320" spans="2:29" hidden="1" x14ac:dyDescent="0.25">
      <c r="F320" s="17"/>
      <c r="G320" s="18"/>
    </row>
    <row r="321" spans="6:7" hidden="1" x14ac:dyDescent="0.25">
      <c r="F321" s="17"/>
      <c r="G321" s="18"/>
    </row>
    <row r="322" spans="6:7" hidden="1" x14ac:dyDescent="0.25">
      <c r="F322" s="17"/>
      <c r="G322" s="18"/>
    </row>
    <row r="323" spans="6:7" hidden="1" x14ac:dyDescent="0.25">
      <c r="F323" s="17"/>
      <c r="G323" s="18"/>
    </row>
    <row r="324" spans="6:7" hidden="1" x14ac:dyDescent="0.25">
      <c r="F324" s="17"/>
      <c r="G324" s="18"/>
    </row>
    <row r="325" spans="6:7" hidden="1" x14ac:dyDescent="0.25">
      <c r="F325" s="17"/>
      <c r="G325" s="18"/>
    </row>
    <row r="326" spans="6:7" hidden="1" x14ac:dyDescent="0.25">
      <c r="F326" s="17"/>
      <c r="G326" s="18"/>
    </row>
    <row r="327" spans="6:7" hidden="1" x14ac:dyDescent="0.25">
      <c r="F327" s="17"/>
      <c r="G327" s="18"/>
    </row>
    <row r="328" spans="6:7" hidden="1" x14ac:dyDescent="0.25">
      <c r="F328" s="17"/>
      <c r="G328" s="18"/>
    </row>
    <row r="329" spans="6:7" hidden="1" x14ac:dyDescent="0.25">
      <c r="F329" s="17"/>
      <c r="G329" s="18"/>
    </row>
    <row r="330" spans="6:7" hidden="1" x14ac:dyDescent="0.25">
      <c r="F330" s="17"/>
      <c r="G330" s="18"/>
    </row>
    <row r="331" spans="6:7" hidden="1" x14ac:dyDescent="0.25">
      <c r="F331" s="17"/>
      <c r="G331" s="18"/>
    </row>
    <row r="332" spans="6:7" hidden="1" x14ac:dyDescent="0.25">
      <c r="F332" s="17"/>
      <c r="G332" s="18"/>
    </row>
    <row r="333" spans="6:7" hidden="1" x14ac:dyDescent="0.25">
      <c r="F333" s="17"/>
      <c r="G333" s="18"/>
    </row>
    <row r="334" spans="6:7" hidden="1" x14ac:dyDescent="0.25">
      <c r="F334" s="17"/>
      <c r="G334" s="18"/>
    </row>
    <row r="335" spans="6:7" hidden="1" x14ac:dyDescent="0.25">
      <c r="F335" s="17"/>
      <c r="G335" s="18"/>
    </row>
    <row r="336" spans="6:7" hidden="1" x14ac:dyDescent="0.25">
      <c r="F336" s="17"/>
      <c r="G336" s="18"/>
    </row>
    <row r="337" spans="6:7" hidden="1" x14ac:dyDescent="0.25">
      <c r="F337" s="17"/>
      <c r="G337" s="18"/>
    </row>
    <row r="338" spans="6:7" hidden="1" x14ac:dyDescent="0.25">
      <c r="F338" s="17"/>
      <c r="G338" s="18"/>
    </row>
    <row r="339" spans="6:7" hidden="1" x14ac:dyDescent="0.25">
      <c r="F339" s="17"/>
      <c r="G339" s="18"/>
    </row>
    <row r="340" spans="6:7" hidden="1" x14ac:dyDescent="0.25">
      <c r="F340" s="17"/>
      <c r="G340" s="18"/>
    </row>
    <row r="341" spans="6:7" x14ac:dyDescent="0.25">
      <c r="F341" s="17"/>
      <c r="G341" s="18"/>
    </row>
    <row r="342" spans="6:7" x14ac:dyDescent="0.25">
      <c r="F342" s="17"/>
      <c r="G342" s="18"/>
    </row>
    <row r="343" spans="6:7" x14ac:dyDescent="0.25">
      <c r="F343" s="17"/>
      <c r="G343" s="18"/>
    </row>
    <row r="344" spans="6:7" x14ac:dyDescent="0.25">
      <c r="F344" s="17"/>
      <c r="G344" s="18"/>
    </row>
    <row r="345" spans="6:7" x14ac:dyDescent="0.25">
      <c r="F345" s="17"/>
      <c r="G345" s="18"/>
    </row>
    <row r="346" spans="6:7" x14ac:dyDescent="0.25">
      <c r="F346" s="17"/>
      <c r="G346" s="18"/>
    </row>
    <row r="347" spans="6:7" x14ac:dyDescent="0.25">
      <c r="F347" s="17"/>
      <c r="G347" s="18"/>
    </row>
    <row r="348" spans="6:7" x14ac:dyDescent="0.25">
      <c r="F348" s="17"/>
      <c r="G348" s="18"/>
    </row>
    <row r="349" spans="6:7" x14ac:dyDescent="0.25">
      <c r="F349" s="17"/>
      <c r="G349" s="18"/>
    </row>
    <row r="350" spans="6:7" x14ac:dyDescent="0.25">
      <c r="F350" s="17"/>
      <c r="G350" s="18"/>
    </row>
    <row r="351" spans="6:7" x14ac:dyDescent="0.25">
      <c r="F351" s="17"/>
      <c r="G351" s="18"/>
    </row>
    <row r="352" spans="6:7" x14ac:dyDescent="0.25">
      <c r="F352" s="17"/>
      <c r="G352" s="18"/>
    </row>
    <row r="353" spans="6:7" x14ac:dyDescent="0.25">
      <c r="F353" s="17"/>
      <c r="G353" s="18"/>
    </row>
    <row r="354" spans="6:7" x14ac:dyDescent="0.25">
      <c r="F354" s="17"/>
      <c r="G354" s="18"/>
    </row>
    <row r="355" spans="6:7" x14ac:dyDescent="0.25">
      <c r="F355" s="17"/>
      <c r="G355" s="18"/>
    </row>
    <row r="356" spans="6:7" x14ac:dyDescent="0.25">
      <c r="F356" s="17"/>
      <c r="G356" s="18"/>
    </row>
    <row r="357" spans="6:7" x14ac:dyDescent="0.25">
      <c r="F357" s="17"/>
      <c r="G357" s="18"/>
    </row>
    <row r="358" spans="6:7" x14ac:dyDescent="0.25">
      <c r="F358" s="17"/>
      <c r="G358" s="18"/>
    </row>
    <row r="359" spans="6:7" x14ac:dyDescent="0.25">
      <c r="F359" s="17"/>
      <c r="G359" s="18"/>
    </row>
    <row r="360" spans="6:7" x14ac:dyDescent="0.25">
      <c r="G360" s="18"/>
    </row>
    <row r="361" spans="6:7" x14ac:dyDescent="0.25">
      <c r="G361" s="18"/>
    </row>
    <row r="362" spans="6:7" x14ac:dyDescent="0.25">
      <c r="G362" s="18"/>
    </row>
    <row r="363" spans="6:7" x14ac:dyDescent="0.25">
      <c r="G363" s="18"/>
    </row>
    <row r="364" spans="6:7" x14ac:dyDescent="0.25">
      <c r="G364" s="18"/>
    </row>
    <row r="365" spans="6:7" x14ac:dyDescent="0.25">
      <c r="G365" s="18"/>
    </row>
    <row r="366" spans="6:7" x14ac:dyDescent="0.25">
      <c r="G366" s="18"/>
    </row>
    <row r="367" spans="6:7" x14ac:dyDescent="0.25">
      <c r="G367" s="18"/>
    </row>
    <row r="368" spans="6:7" x14ac:dyDescent="0.25">
      <c r="G368" s="18"/>
    </row>
    <row r="369" spans="7:7" x14ac:dyDescent="0.25">
      <c r="G369" s="18"/>
    </row>
    <row r="370" spans="7:7" x14ac:dyDescent="0.25">
      <c r="G370" s="18"/>
    </row>
    <row r="371" spans="7:7" x14ac:dyDescent="0.25">
      <c r="G371" s="18"/>
    </row>
    <row r="372" spans="7:7" x14ac:dyDescent="0.25">
      <c r="G372" s="18"/>
    </row>
    <row r="373" spans="7:7" x14ac:dyDescent="0.25">
      <c r="G373" s="18"/>
    </row>
    <row r="374" spans="7:7" x14ac:dyDescent="0.25">
      <c r="G374" s="18"/>
    </row>
    <row r="375" spans="7:7" x14ac:dyDescent="0.25">
      <c r="G375" s="18"/>
    </row>
    <row r="376" spans="7:7" x14ac:dyDescent="0.25">
      <c r="G376" s="18"/>
    </row>
    <row r="377" spans="7:7" x14ac:dyDescent="0.25">
      <c r="G377" s="18"/>
    </row>
    <row r="378" spans="7:7" x14ac:dyDescent="0.25">
      <c r="G378" s="18"/>
    </row>
    <row r="379" spans="7:7" x14ac:dyDescent="0.25">
      <c r="G379" s="18"/>
    </row>
  </sheetData>
  <mergeCells count="128">
    <mergeCell ref="J285:K285"/>
    <mergeCell ref="J286:K286"/>
    <mergeCell ref="J287:K287"/>
    <mergeCell ref="J288:K288"/>
    <mergeCell ref="J289:K289"/>
    <mergeCell ref="J272:K272"/>
    <mergeCell ref="J273:K273"/>
    <mergeCell ref="J274:K274"/>
    <mergeCell ref="J275:K275"/>
    <mergeCell ref="J276:K276"/>
    <mergeCell ref="J277:K277"/>
    <mergeCell ref="J278:K278"/>
    <mergeCell ref="J307:K307"/>
    <mergeCell ref="J308:K308"/>
    <mergeCell ref="J309:K309"/>
    <mergeCell ref="J310:K310"/>
    <mergeCell ref="J297:K297"/>
    <mergeCell ref="J298:K298"/>
    <mergeCell ref="J299:K299"/>
    <mergeCell ref="J300:K300"/>
    <mergeCell ref="J301:K301"/>
    <mergeCell ref="J302:K302"/>
    <mergeCell ref="J303:K303"/>
    <mergeCell ref="J304:K304"/>
    <mergeCell ref="J305:K305"/>
    <mergeCell ref="J306:K306"/>
    <mergeCell ref="J296:K296"/>
    <mergeCell ref="J279:K279"/>
    <mergeCell ref="J280:K280"/>
    <mergeCell ref="J261:K261"/>
    <mergeCell ref="J262:K262"/>
    <mergeCell ref="J263:K263"/>
    <mergeCell ref="J264:K264"/>
    <mergeCell ref="J265:K265"/>
    <mergeCell ref="J266:K266"/>
    <mergeCell ref="J267:K267"/>
    <mergeCell ref="J268:K268"/>
    <mergeCell ref="J269:K269"/>
    <mergeCell ref="J290:K290"/>
    <mergeCell ref="J291:K291"/>
    <mergeCell ref="J292:K292"/>
    <mergeCell ref="J293:K293"/>
    <mergeCell ref="J294:K294"/>
    <mergeCell ref="J295:K295"/>
    <mergeCell ref="J270:K270"/>
    <mergeCell ref="J271:K271"/>
    <mergeCell ref="J281:K281"/>
    <mergeCell ref="J282:K282"/>
    <mergeCell ref="J283:K283"/>
    <mergeCell ref="J284:K284"/>
    <mergeCell ref="J252:K252"/>
    <mergeCell ref="J253:K253"/>
    <mergeCell ref="J254:K254"/>
    <mergeCell ref="J255:K255"/>
    <mergeCell ref="J256:K256"/>
    <mergeCell ref="J257:K257"/>
    <mergeCell ref="J258:K258"/>
    <mergeCell ref="J259:K259"/>
    <mergeCell ref="J260:K260"/>
    <mergeCell ref="J243:K243"/>
    <mergeCell ref="J244:K244"/>
    <mergeCell ref="J245:K245"/>
    <mergeCell ref="J246:K246"/>
    <mergeCell ref="J247:K247"/>
    <mergeCell ref="J248:K248"/>
    <mergeCell ref="J249:K249"/>
    <mergeCell ref="J250:K250"/>
    <mergeCell ref="J251:K251"/>
    <mergeCell ref="J234:K234"/>
    <mergeCell ref="J235:K235"/>
    <mergeCell ref="J236:K236"/>
    <mergeCell ref="J237:K237"/>
    <mergeCell ref="J238:K238"/>
    <mergeCell ref="J239:K239"/>
    <mergeCell ref="J240:K240"/>
    <mergeCell ref="J241:K241"/>
    <mergeCell ref="J242:K242"/>
    <mergeCell ref="J232:K232"/>
    <mergeCell ref="J233:K233"/>
    <mergeCell ref="B2:C2"/>
    <mergeCell ref="F8:G8"/>
    <mergeCell ref="H8:I8"/>
    <mergeCell ref="J8:K8"/>
    <mergeCell ref="B94:D96"/>
    <mergeCell ref="B91:L91"/>
    <mergeCell ref="J95:J96"/>
    <mergeCell ref="K95:K96"/>
    <mergeCell ref="L95:L96"/>
    <mergeCell ref="G94:L94"/>
    <mergeCell ref="B77:D79"/>
    <mergeCell ref="E77:F77"/>
    <mergeCell ref="E78:E79"/>
    <mergeCell ref="F78:F79"/>
    <mergeCell ref="L8:M8"/>
    <mergeCell ref="H78:H79"/>
    <mergeCell ref="G78:G79"/>
    <mergeCell ref="I78:I79"/>
    <mergeCell ref="K78:K79"/>
    <mergeCell ref="J224:K224"/>
    <mergeCell ref="B8:E8"/>
    <mergeCell ref="B9:E9"/>
    <mergeCell ref="J228:K228"/>
    <mergeCell ref="J229:K229"/>
    <mergeCell ref="J230:K230"/>
    <mergeCell ref="J231:K231"/>
    <mergeCell ref="N95:N96"/>
    <mergeCell ref="M95:M96"/>
    <mergeCell ref="Q99:Q100"/>
    <mergeCell ref="P95:P96"/>
    <mergeCell ref="Q95:Q96"/>
    <mergeCell ref="O95:O96"/>
    <mergeCell ref="B6:M6"/>
    <mergeCell ref="Z95:Z96"/>
    <mergeCell ref="AA95:AA96"/>
    <mergeCell ref="W95:W96"/>
    <mergeCell ref="V95:V96"/>
    <mergeCell ref="T95:T96"/>
    <mergeCell ref="U95:U96"/>
    <mergeCell ref="X95:X96"/>
    <mergeCell ref="E94:F94"/>
    <mergeCell ref="Y95:Y96"/>
    <mergeCell ref="E95:E96"/>
    <mergeCell ref="F95:F96"/>
    <mergeCell ref="R95:R96"/>
    <mergeCell ref="S95:S96"/>
    <mergeCell ref="G95:I95"/>
    <mergeCell ref="L78:L79"/>
    <mergeCell ref="G77:I77"/>
  </mergeCells>
  <pageMargins left="0.2" right="0.2" top="0.25" bottom="0.25" header="0.3" footer="0.3"/>
  <pageSetup paperSize="8" scale="80" orientation="landscape" r:id="rId1"/>
  <rowBreaks count="2" manualBreakCount="2">
    <brk id="91" max="16383" man="1"/>
    <brk id="222" max="16383" man="1"/>
  </rowBreaks>
  <ignoredErrors>
    <ignoredError sqref="G11:H11 I11:J11 F128 L11 F98"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D9DC-2D30-45F4-91EE-0D47546EE78C}">
  <dimension ref="A1:Y224"/>
  <sheetViews>
    <sheetView showGridLines="0" workbookViewId="0">
      <selection activeCell="E2" sqref="E2"/>
    </sheetView>
  </sheetViews>
  <sheetFormatPr defaultRowHeight="13.2" x14ac:dyDescent="0.25"/>
  <cols>
    <col min="1" max="1" width="1.44140625" style="1" customWidth="1"/>
    <col min="2" max="2" width="8.88671875" style="1"/>
    <col min="3" max="3" width="22.44140625" style="1" customWidth="1"/>
    <col min="4" max="4" width="8" style="1" customWidth="1"/>
    <col min="5" max="5" width="8.109375" style="17" customWidth="1"/>
    <col min="6" max="6" width="9.33203125" style="17" customWidth="1"/>
    <col min="7" max="7" width="7.5546875" style="17" customWidth="1"/>
    <col min="8" max="8" width="9.44140625" style="17" customWidth="1"/>
    <col min="9" max="9" width="9" style="17" customWidth="1"/>
    <col min="10" max="10" width="8.6640625" style="17" customWidth="1"/>
    <col min="11" max="11" width="7.88671875" style="17" customWidth="1"/>
    <col min="12" max="12" width="7.44140625" style="17" customWidth="1"/>
    <col min="13" max="13" width="8.109375" style="17" customWidth="1"/>
    <col min="14" max="14" width="8.6640625" style="17" customWidth="1"/>
    <col min="15" max="15" width="8" style="17" customWidth="1"/>
    <col min="16" max="16" width="8.77734375" style="17" customWidth="1"/>
    <col min="17" max="17" width="7.5546875" style="17" customWidth="1"/>
    <col min="18" max="18" width="8.33203125" style="17" customWidth="1"/>
    <col min="19" max="19" width="8.88671875" style="17"/>
    <col min="20" max="20" width="13.6640625" style="17" customWidth="1"/>
    <col min="21" max="21" width="8.6640625" style="17" customWidth="1"/>
    <col min="22" max="22" width="7.33203125" style="17" customWidth="1"/>
    <col min="23" max="25" width="8.88671875" style="17"/>
    <col min="26" max="16384" width="8.88671875" style="1"/>
  </cols>
  <sheetData>
    <row r="1" spans="2:16" x14ac:dyDescent="0.25">
      <c r="E1" s="17" t="s">
        <v>7</v>
      </c>
    </row>
    <row r="2" spans="2:16" ht="19.2" customHeight="1" x14ac:dyDescent="0.25">
      <c r="B2" s="431" t="s">
        <v>353</v>
      </c>
      <c r="C2" s="432"/>
      <c r="E2" s="1"/>
    </row>
    <row r="3" spans="2:16" ht="21.6" customHeight="1" x14ac:dyDescent="0.3">
      <c r="B3" s="5" t="s">
        <v>206</v>
      </c>
      <c r="D3" s="3"/>
      <c r="E3" s="1"/>
    </row>
    <row r="4" spans="2:16" ht="4.2" customHeight="1" x14ac:dyDescent="0.25">
      <c r="C4" s="3"/>
      <c r="D4" s="3"/>
      <c r="E4" s="1"/>
    </row>
    <row r="5" spans="2:16" ht="17.399999999999999" customHeight="1" x14ac:dyDescent="0.25">
      <c r="B5" s="100" t="s">
        <v>207</v>
      </c>
      <c r="E5" s="1"/>
      <c r="H5" s="234"/>
      <c r="I5" s="234"/>
      <c r="J5" s="234"/>
      <c r="K5" s="234"/>
      <c r="L5" s="234"/>
      <c r="M5" s="234"/>
      <c r="N5" s="234"/>
    </row>
    <row r="6" spans="2:16" ht="29.4" customHeight="1" x14ac:dyDescent="0.25">
      <c r="B6" s="533" t="s">
        <v>208</v>
      </c>
      <c r="C6" s="533"/>
      <c r="D6" s="533"/>
      <c r="E6" s="533"/>
      <c r="F6" s="533"/>
      <c r="G6" s="533"/>
      <c r="H6" s="533"/>
      <c r="I6" s="533"/>
      <c r="J6" s="533"/>
      <c r="K6" s="533"/>
      <c r="L6" s="533"/>
      <c r="M6" s="533"/>
      <c r="N6" s="238"/>
    </row>
    <row r="7" spans="2:16" x14ac:dyDescent="0.25">
      <c r="E7" s="1"/>
    </row>
    <row r="8" spans="2:16" ht="53.4" customHeight="1" x14ac:dyDescent="0.25">
      <c r="B8" s="534" t="s">
        <v>12</v>
      </c>
      <c r="C8" s="535"/>
      <c r="D8" s="535"/>
      <c r="E8" s="536"/>
      <c r="F8" s="440" t="s">
        <v>209</v>
      </c>
      <c r="G8" s="520"/>
      <c r="H8" s="439" t="s">
        <v>210</v>
      </c>
      <c r="I8" s="441"/>
      <c r="J8" s="439" t="s">
        <v>211</v>
      </c>
      <c r="K8" s="441"/>
      <c r="L8" s="439" t="s">
        <v>212</v>
      </c>
      <c r="M8" s="441"/>
    </row>
    <row r="9" spans="2:16" x14ac:dyDescent="0.25">
      <c r="B9" s="443" t="s">
        <v>432</v>
      </c>
      <c r="C9" s="444"/>
      <c r="D9" s="444"/>
      <c r="E9" s="445"/>
      <c r="F9" s="60" t="s">
        <v>13</v>
      </c>
      <c r="G9" s="60" t="s">
        <v>14</v>
      </c>
      <c r="H9" s="239" t="s">
        <v>13</v>
      </c>
      <c r="I9" s="60" t="s">
        <v>14</v>
      </c>
      <c r="J9" s="60" t="s">
        <v>13</v>
      </c>
      <c r="K9" s="60" t="s">
        <v>14</v>
      </c>
      <c r="L9" s="60" t="s">
        <v>13</v>
      </c>
      <c r="M9" s="60" t="s">
        <v>14</v>
      </c>
    </row>
    <row r="10" spans="2:16" x14ac:dyDescent="0.25">
      <c r="B10" s="13"/>
      <c r="C10" s="9"/>
      <c r="D10" s="9"/>
      <c r="E10" s="240"/>
      <c r="F10" s="6"/>
      <c r="G10" s="120"/>
      <c r="H10" s="6"/>
      <c r="I10" s="120"/>
      <c r="J10" s="6"/>
      <c r="K10" s="120"/>
      <c r="L10" s="6"/>
      <c r="M10" s="6"/>
    </row>
    <row r="11" spans="2:16" ht="14.4" customHeight="1" x14ac:dyDescent="0.25">
      <c r="B11" s="14" t="s">
        <v>15</v>
      </c>
      <c r="C11" s="10"/>
      <c r="D11" s="10"/>
      <c r="E11" s="217">
        <f>F11+H11+J11+L11</f>
        <v>72</v>
      </c>
      <c r="F11" s="7">
        <f>SUM(F13+F18+F21+F27+F33+F49+F54+F62)</f>
        <v>27</v>
      </c>
      <c r="G11" s="121">
        <f>F11/72</f>
        <v>0.375</v>
      </c>
      <c r="H11" s="53">
        <f>SUM(H13+H18+H21+H27+H33+H49+H54+H62)</f>
        <v>31</v>
      </c>
      <c r="I11" s="121">
        <f>H11/72</f>
        <v>0.43055555555555558</v>
      </c>
      <c r="J11" s="7">
        <f>SUM(J13+J18+J21+J27+J33+J49+J54+J62)</f>
        <v>13</v>
      </c>
      <c r="K11" s="121">
        <f>J11/72</f>
        <v>0.18055555555555555</v>
      </c>
      <c r="L11" s="145">
        <f>SUM(L13+L18+L21+L27+L33+L49+L54+L62)</f>
        <v>1</v>
      </c>
      <c r="M11" s="162">
        <f>L11/72</f>
        <v>1.3888888888888888E-2</v>
      </c>
      <c r="O11" s="241"/>
      <c r="P11" s="241"/>
    </row>
    <row r="12" spans="2:16" x14ac:dyDescent="0.25">
      <c r="B12" s="15"/>
      <c r="C12" s="12"/>
      <c r="D12" s="12"/>
      <c r="E12" s="242"/>
      <c r="F12" s="7"/>
      <c r="G12" s="118"/>
      <c r="H12" s="7"/>
      <c r="I12" s="118"/>
      <c r="J12" s="7"/>
      <c r="K12" s="118"/>
      <c r="L12" s="7"/>
      <c r="M12" s="7"/>
    </row>
    <row r="13" spans="2:16" ht="14.4" customHeight="1" x14ac:dyDescent="0.25">
      <c r="B13" s="16" t="s">
        <v>122</v>
      </c>
      <c r="C13" s="11"/>
      <c r="D13" s="11"/>
      <c r="E13" s="243"/>
      <c r="F13" s="8">
        <v>2</v>
      </c>
      <c r="G13" s="233"/>
      <c r="H13" s="8">
        <v>1</v>
      </c>
      <c r="I13" s="233"/>
      <c r="J13" s="8">
        <v>1</v>
      </c>
      <c r="K13" s="233"/>
      <c r="L13" s="8"/>
      <c r="M13" s="8"/>
    </row>
    <row r="14" spans="2:16" ht="14.4" hidden="1" customHeight="1" x14ac:dyDescent="0.25">
      <c r="B14" s="62" t="s">
        <v>133</v>
      </c>
      <c r="C14" s="11"/>
      <c r="D14" s="11"/>
      <c r="E14" s="243"/>
      <c r="F14" s="67">
        <v>1</v>
      </c>
      <c r="G14" s="233"/>
      <c r="H14" s="164"/>
      <c r="I14" s="233"/>
      <c r="J14" s="67"/>
      <c r="K14" s="233"/>
      <c r="L14" s="8"/>
      <c r="M14" s="8"/>
    </row>
    <row r="15" spans="2:16" ht="14.4" hidden="1" customHeight="1" x14ac:dyDescent="0.25">
      <c r="B15" s="62" t="s">
        <v>105</v>
      </c>
      <c r="C15" s="11"/>
      <c r="D15" s="11"/>
      <c r="E15" s="243"/>
      <c r="F15" s="68">
        <v>1</v>
      </c>
      <c r="G15" s="233"/>
      <c r="H15" s="164"/>
      <c r="I15" s="233"/>
      <c r="J15" s="68"/>
      <c r="K15" s="233"/>
      <c r="L15" s="8"/>
      <c r="M15" s="8"/>
    </row>
    <row r="16" spans="2:16" ht="14.4" hidden="1" customHeight="1" x14ac:dyDescent="0.25">
      <c r="B16" s="62" t="s">
        <v>158</v>
      </c>
      <c r="C16" s="11"/>
      <c r="D16" s="11"/>
      <c r="E16" s="243"/>
      <c r="F16" s="68"/>
      <c r="G16" s="233"/>
      <c r="H16" s="68">
        <v>1</v>
      </c>
      <c r="I16" s="233"/>
      <c r="J16" s="68"/>
      <c r="K16" s="233"/>
      <c r="L16" s="8"/>
      <c r="M16" s="8"/>
    </row>
    <row r="17" spans="2:16" ht="14.4" hidden="1" customHeight="1" x14ac:dyDescent="0.25">
      <c r="B17" s="62" t="s">
        <v>159</v>
      </c>
      <c r="C17" s="11"/>
      <c r="D17" s="11"/>
      <c r="E17" s="243"/>
      <c r="F17" s="69"/>
      <c r="G17" s="233"/>
      <c r="H17" s="164"/>
      <c r="I17" s="233"/>
      <c r="J17" s="69">
        <v>1</v>
      </c>
      <c r="K17" s="233"/>
      <c r="L17" s="8"/>
      <c r="M17" s="8"/>
    </row>
    <row r="18" spans="2:16" ht="14.4" customHeight="1" x14ac:dyDescent="0.25">
      <c r="B18" s="15" t="s">
        <v>20</v>
      </c>
      <c r="C18" s="12"/>
      <c r="D18" s="12"/>
      <c r="E18" s="217"/>
      <c r="F18" s="7">
        <v>1</v>
      </c>
      <c r="G18" s="118"/>
      <c r="H18" s="7">
        <v>3</v>
      </c>
      <c r="I18" s="118"/>
      <c r="J18" s="7">
        <v>1</v>
      </c>
      <c r="K18" s="118"/>
      <c r="L18" s="7"/>
      <c r="M18" s="7"/>
    </row>
    <row r="19" spans="2:16" ht="14.4" hidden="1" customHeight="1" x14ac:dyDescent="0.25">
      <c r="B19" s="15" t="s">
        <v>134</v>
      </c>
      <c r="C19" s="12"/>
      <c r="D19" s="12"/>
      <c r="E19" s="217"/>
      <c r="F19" s="67">
        <v>1</v>
      </c>
      <c r="G19" s="118"/>
      <c r="H19" s="244"/>
      <c r="I19" s="118"/>
      <c r="J19" s="67"/>
      <c r="K19" s="118"/>
      <c r="L19" s="7"/>
      <c r="M19" s="7"/>
    </row>
    <row r="20" spans="2:16" ht="14.4" hidden="1" customHeight="1" x14ac:dyDescent="0.25">
      <c r="B20" s="15" t="s">
        <v>106</v>
      </c>
      <c r="C20" s="12"/>
      <c r="D20" s="12"/>
      <c r="E20" s="217"/>
      <c r="F20" s="69"/>
      <c r="G20" s="118"/>
      <c r="H20" s="244"/>
      <c r="I20" s="118"/>
      <c r="J20" s="69">
        <v>1</v>
      </c>
      <c r="K20" s="118"/>
      <c r="L20" s="7"/>
      <c r="M20" s="7"/>
    </row>
    <row r="21" spans="2:16" ht="14.4" customHeight="1" x14ac:dyDescent="0.25">
      <c r="B21" s="16" t="s">
        <v>16</v>
      </c>
      <c r="C21" s="11"/>
      <c r="D21" s="11"/>
      <c r="E21" s="243"/>
      <c r="F21" s="8">
        <v>4</v>
      </c>
      <c r="G21" s="233"/>
      <c r="H21" s="8">
        <v>6</v>
      </c>
      <c r="I21" s="233"/>
      <c r="J21" s="8">
        <v>1</v>
      </c>
      <c r="K21" s="233"/>
      <c r="L21" s="8"/>
      <c r="M21" s="8"/>
    </row>
    <row r="22" spans="2:16" ht="14.4" hidden="1" customHeight="1" x14ac:dyDescent="0.25">
      <c r="B22" s="16" t="s">
        <v>135</v>
      </c>
      <c r="C22" s="11"/>
      <c r="D22" s="11"/>
      <c r="E22" s="243"/>
      <c r="F22" s="67">
        <v>1</v>
      </c>
      <c r="G22" s="233"/>
      <c r="H22" s="8"/>
      <c r="I22" s="233"/>
      <c r="J22" s="67"/>
      <c r="K22" s="233"/>
      <c r="L22" s="8"/>
      <c r="M22" s="8"/>
    </row>
    <row r="23" spans="2:16" ht="14.4" hidden="1" customHeight="1" x14ac:dyDescent="0.25">
      <c r="B23" s="16" t="s">
        <v>107</v>
      </c>
      <c r="C23" s="11"/>
      <c r="D23" s="11"/>
      <c r="E23" s="243"/>
      <c r="F23" s="68"/>
      <c r="G23" s="233"/>
      <c r="H23" s="8"/>
      <c r="I23" s="233"/>
      <c r="J23" s="68">
        <v>1</v>
      </c>
      <c r="K23" s="233"/>
      <c r="L23" s="8"/>
      <c r="M23" s="8"/>
    </row>
    <row r="24" spans="2:16" ht="14.4" hidden="1" customHeight="1" x14ac:dyDescent="0.25">
      <c r="B24" s="16" t="s">
        <v>136</v>
      </c>
      <c r="C24" s="11"/>
      <c r="D24" s="11"/>
      <c r="E24" s="243"/>
      <c r="F24" s="68">
        <v>1</v>
      </c>
      <c r="G24" s="233"/>
      <c r="H24" s="8"/>
      <c r="I24" s="233"/>
      <c r="J24" s="68"/>
      <c r="K24" s="233"/>
      <c r="L24" s="8"/>
      <c r="M24" s="8"/>
    </row>
    <row r="25" spans="2:16" ht="14.4" hidden="1" customHeight="1" x14ac:dyDescent="0.25">
      <c r="B25" s="16" t="s">
        <v>145</v>
      </c>
      <c r="C25" s="11"/>
      <c r="D25" s="11"/>
      <c r="E25" s="243"/>
      <c r="F25" s="68">
        <v>1</v>
      </c>
      <c r="G25" s="233"/>
      <c r="H25" s="8"/>
      <c r="I25" s="233"/>
      <c r="J25" s="68"/>
      <c r="K25" s="233"/>
      <c r="L25" s="8"/>
      <c r="M25" s="8"/>
    </row>
    <row r="26" spans="2:16" ht="14.4" hidden="1" customHeight="1" x14ac:dyDescent="0.25">
      <c r="B26" s="16" t="s">
        <v>213</v>
      </c>
      <c r="C26" s="11"/>
      <c r="D26" s="11"/>
      <c r="E26" s="243"/>
      <c r="F26" s="69">
        <v>1</v>
      </c>
      <c r="G26" s="233"/>
      <c r="H26" s="8"/>
      <c r="I26" s="233"/>
      <c r="J26" s="69"/>
      <c r="K26" s="233"/>
      <c r="L26" s="8"/>
      <c r="M26" s="8"/>
    </row>
    <row r="27" spans="2:16" ht="14.4" customHeight="1" x14ac:dyDescent="0.25">
      <c r="B27" s="15" t="s">
        <v>17</v>
      </c>
      <c r="C27" s="12"/>
      <c r="D27" s="12"/>
      <c r="E27" s="217"/>
      <c r="F27" s="7">
        <v>4</v>
      </c>
      <c r="G27" s="118"/>
      <c r="H27" s="7">
        <v>6</v>
      </c>
      <c r="I27" s="118"/>
      <c r="J27" s="7">
        <v>0</v>
      </c>
      <c r="K27" s="118"/>
      <c r="L27" s="7">
        <v>1</v>
      </c>
      <c r="M27" s="7"/>
      <c r="P27" s="17" t="s">
        <v>7</v>
      </c>
    </row>
    <row r="28" spans="2:16" ht="14.4" hidden="1" customHeight="1" x14ac:dyDescent="0.25">
      <c r="B28" s="15" t="s">
        <v>214</v>
      </c>
      <c r="C28" s="12"/>
      <c r="D28" s="12"/>
      <c r="E28" s="217"/>
      <c r="F28" s="67"/>
      <c r="G28" s="118"/>
      <c r="H28" s="7"/>
      <c r="I28" s="118"/>
      <c r="J28" s="66"/>
      <c r="K28" s="118"/>
      <c r="L28" s="67">
        <v>1</v>
      </c>
      <c r="M28" s="7"/>
    </row>
    <row r="29" spans="2:16" ht="14.4" hidden="1" customHeight="1" x14ac:dyDescent="0.25">
      <c r="B29" s="15" t="s">
        <v>215</v>
      </c>
      <c r="C29" s="12"/>
      <c r="D29" s="12"/>
      <c r="E29" s="217"/>
      <c r="F29" s="68">
        <v>1</v>
      </c>
      <c r="G29" s="118"/>
      <c r="H29" s="7"/>
      <c r="I29" s="118"/>
      <c r="J29" s="7"/>
      <c r="K29" s="118"/>
      <c r="L29" s="164"/>
      <c r="M29" s="7"/>
    </row>
    <row r="30" spans="2:16" ht="14.4" hidden="1" customHeight="1" x14ac:dyDescent="0.25">
      <c r="B30" s="15" t="s">
        <v>216</v>
      </c>
      <c r="C30" s="12"/>
      <c r="D30" s="12"/>
      <c r="E30" s="217"/>
      <c r="F30" s="68">
        <v>1</v>
      </c>
      <c r="G30" s="118"/>
      <c r="H30" s="7"/>
      <c r="I30" s="118"/>
      <c r="J30" s="7"/>
      <c r="K30" s="118"/>
      <c r="L30" s="164"/>
      <c r="M30" s="7"/>
    </row>
    <row r="31" spans="2:16" ht="14.4" hidden="1" customHeight="1" x14ac:dyDescent="0.25">
      <c r="B31" s="15" t="s">
        <v>108</v>
      </c>
      <c r="C31" s="12"/>
      <c r="D31" s="12"/>
      <c r="E31" s="217"/>
      <c r="F31" s="68">
        <v>1</v>
      </c>
      <c r="G31" s="118"/>
      <c r="H31" s="7"/>
      <c r="I31" s="118"/>
      <c r="J31" s="7"/>
      <c r="K31" s="118"/>
      <c r="L31" s="164"/>
      <c r="M31" s="7"/>
    </row>
    <row r="32" spans="2:16" ht="14.4" hidden="1" customHeight="1" x14ac:dyDescent="0.25">
      <c r="B32" s="15" t="s">
        <v>217</v>
      </c>
      <c r="C32" s="12"/>
      <c r="D32" s="12"/>
      <c r="E32" s="217"/>
      <c r="F32" s="69">
        <v>1</v>
      </c>
      <c r="G32" s="118"/>
      <c r="H32" s="7"/>
      <c r="I32" s="118"/>
      <c r="J32" s="7"/>
      <c r="K32" s="118"/>
      <c r="L32" s="245"/>
      <c r="M32" s="7"/>
    </row>
    <row r="33" spans="2:13" ht="14.4" customHeight="1" x14ac:dyDescent="0.25">
      <c r="B33" s="16" t="s">
        <v>19</v>
      </c>
      <c r="C33" s="11"/>
      <c r="D33" s="11"/>
      <c r="E33" s="243"/>
      <c r="F33" s="8">
        <v>11</v>
      </c>
      <c r="G33" s="233"/>
      <c r="H33" s="8">
        <v>12</v>
      </c>
      <c r="I33" s="233"/>
      <c r="J33" s="8">
        <v>4</v>
      </c>
      <c r="K33" s="233"/>
      <c r="L33" s="8"/>
      <c r="M33" s="8"/>
    </row>
    <row r="34" spans="2:13" ht="14.4" hidden="1" customHeight="1" x14ac:dyDescent="0.25">
      <c r="B34" s="16" t="s">
        <v>218</v>
      </c>
      <c r="C34" s="11"/>
      <c r="D34" s="11"/>
      <c r="E34" s="243"/>
      <c r="F34" s="67">
        <v>1</v>
      </c>
      <c r="G34" s="233"/>
      <c r="H34" s="8"/>
      <c r="I34" s="233"/>
      <c r="J34" s="67"/>
      <c r="K34" s="233"/>
      <c r="L34" s="8"/>
      <c r="M34" s="8"/>
    </row>
    <row r="35" spans="2:13" ht="14.4" hidden="1" customHeight="1" x14ac:dyDescent="0.25">
      <c r="B35" s="16" t="s">
        <v>187</v>
      </c>
      <c r="C35" s="11"/>
      <c r="D35" s="11"/>
      <c r="E35" s="243"/>
      <c r="F35" s="68">
        <v>1</v>
      </c>
      <c r="G35" s="233"/>
      <c r="H35" s="8"/>
      <c r="I35" s="233"/>
      <c r="J35" s="68"/>
      <c r="K35" s="233"/>
      <c r="L35" s="8"/>
      <c r="M35" s="8"/>
    </row>
    <row r="36" spans="2:13" ht="14.4" hidden="1" customHeight="1" x14ac:dyDescent="0.25">
      <c r="B36" s="16" t="s">
        <v>188</v>
      </c>
      <c r="C36" s="11"/>
      <c r="D36" s="11"/>
      <c r="E36" s="243"/>
      <c r="F36" s="68">
        <v>1</v>
      </c>
      <c r="G36" s="233"/>
      <c r="H36" s="8"/>
      <c r="I36" s="233"/>
      <c r="J36" s="68"/>
      <c r="K36" s="233"/>
      <c r="L36" s="8"/>
      <c r="M36" s="8"/>
    </row>
    <row r="37" spans="2:13" ht="14.4" hidden="1" customHeight="1" x14ac:dyDescent="0.25">
      <c r="B37" s="16" t="s">
        <v>219</v>
      </c>
      <c r="C37" s="11"/>
      <c r="D37" s="11"/>
      <c r="E37" s="243"/>
      <c r="F37" s="68">
        <v>1</v>
      </c>
      <c r="G37" s="233"/>
      <c r="H37" s="8"/>
      <c r="I37" s="233"/>
      <c r="J37" s="68"/>
      <c r="K37" s="233"/>
      <c r="L37" s="8"/>
      <c r="M37" s="8"/>
    </row>
    <row r="38" spans="2:13" ht="14.4" hidden="1" customHeight="1" x14ac:dyDescent="0.25">
      <c r="B38" s="16" t="s">
        <v>194</v>
      </c>
      <c r="C38" s="11"/>
      <c r="D38" s="11"/>
      <c r="E38" s="243"/>
      <c r="F38" s="68">
        <v>1</v>
      </c>
      <c r="G38" s="233"/>
      <c r="H38" s="8"/>
      <c r="I38" s="233"/>
      <c r="J38" s="68"/>
      <c r="K38" s="233"/>
      <c r="L38" s="8"/>
      <c r="M38" s="8"/>
    </row>
    <row r="39" spans="2:13" ht="14.4" hidden="1" customHeight="1" x14ac:dyDescent="0.25">
      <c r="B39" s="16" t="s">
        <v>220</v>
      </c>
      <c r="C39" s="11"/>
      <c r="D39" s="11"/>
      <c r="E39" s="243"/>
      <c r="F39" s="68">
        <v>1</v>
      </c>
      <c r="G39" s="233"/>
      <c r="H39" s="8"/>
      <c r="I39" s="233"/>
      <c r="J39" s="68"/>
      <c r="K39" s="233"/>
      <c r="L39" s="8"/>
      <c r="M39" s="8"/>
    </row>
    <row r="40" spans="2:13" ht="14.4" hidden="1" customHeight="1" x14ac:dyDescent="0.25">
      <c r="B40" s="16" t="s">
        <v>221</v>
      </c>
      <c r="C40" s="11"/>
      <c r="D40" s="11"/>
      <c r="E40" s="243"/>
      <c r="F40" s="68"/>
      <c r="G40" s="233"/>
      <c r="H40" s="8"/>
      <c r="I40" s="233"/>
      <c r="J40" s="68">
        <v>1</v>
      </c>
      <c r="K40" s="233"/>
      <c r="L40" s="8"/>
      <c r="M40" s="8"/>
    </row>
    <row r="41" spans="2:13" ht="14.4" hidden="1" customHeight="1" x14ac:dyDescent="0.25">
      <c r="B41" s="16" t="s">
        <v>222</v>
      </c>
      <c r="C41" s="11"/>
      <c r="D41" s="11"/>
      <c r="E41" s="243"/>
      <c r="F41" s="68">
        <v>1</v>
      </c>
      <c r="G41" s="233"/>
      <c r="H41" s="8"/>
      <c r="I41" s="233"/>
      <c r="J41" s="68"/>
      <c r="K41" s="233"/>
      <c r="L41" s="8"/>
      <c r="M41" s="8"/>
    </row>
    <row r="42" spans="2:13" ht="14.4" hidden="1" customHeight="1" x14ac:dyDescent="0.25">
      <c r="B42" s="16" t="s">
        <v>223</v>
      </c>
      <c r="C42" s="11"/>
      <c r="D42" s="11"/>
      <c r="E42" s="243"/>
      <c r="F42" s="68">
        <v>1</v>
      </c>
      <c r="G42" s="233"/>
      <c r="H42" s="8"/>
      <c r="I42" s="233"/>
      <c r="J42" s="68"/>
      <c r="K42" s="233"/>
      <c r="L42" s="8"/>
      <c r="M42" s="8"/>
    </row>
    <row r="43" spans="2:13" ht="14.4" hidden="1" customHeight="1" x14ac:dyDescent="0.25">
      <c r="B43" s="16" t="s">
        <v>224</v>
      </c>
      <c r="C43" s="11"/>
      <c r="D43" s="11"/>
      <c r="E43" s="243"/>
      <c r="F43" s="68">
        <v>1</v>
      </c>
      <c r="G43" s="233"/>
      <c r="H43" s="8"/>
      <c r="I43" s="233"/>
      <c r="J43" s="68"/>
      <c r="K43" s="233"/>
      <c r="L43" s="8"/>
      <c r="M43" s="8"/>
    </row>
    <row r="44" spans="2:13" ht="14.4" hidden="1" customHeight="1" x14ac:dyDescent="0.25">
      <c r="B44" s="16" t="s">
        <v>225</v>
      </c>
      <c r="C44" s="11"/>
      <c r="D44" s="11"/>
      <c r="E44" s="243"/>
      <c r="F44" s="68">
        <v>1</v>
      </c>
      <c r="G44" s="233"/>
      <c r="H44" s="8"/>
      <c r="I44" s="233"/>
      <c r="J44" s="68"/>
      <c r="K44" s="233"/>
      <c r="L44" s="8"/>
      <c r="M44" s="8"/>
    </row>
    <row r="45" spans="2:13" ht="14.4" hidden="1" customHeight="1" x14ac:dyDescent="0.25">
      <c r="B45" s="16" t="s">
        <v>226</v>
      </c>
      <c r="C45" s="11"/>
      <c r="D45" s="11"/>
      <c r="E45" s="243"/>
      <c r="F45" s="68"/>
      <c r="G45" s="233"/>
      <c r="H45" s="8"/>
      <c r="I45" s="233"/>
      <c r="J45" s="68">
        <v>1</v>
      </c>
      <c r="K45" s="233"/>
      <c r="L45" s="8"/>
      <c r="M45" s="8"/>
    </row>
    <row r="46" spans="2:13" ht="14.4" hidden="1" customHeight="1" x14ac:dyDescent="0.25">
      <c r="B46" s="16" t="s">
        <v>227</v>
      </c>
      <c r="C46" s="11"/>
      <c r="D46" s="11"/>
      <c r="E46" s="243"/>
      <c r="F46" s="68"/>
      <c r="G46" s="233"/>
      <c r="H46" s="8"/>
      <c r="I46" s="233"/>
      <c r="J46" s="68">
        <v>1</v>
      </c>
      <c r="K46" s="233"/>
      <c r="L46" s="8"/>
      <c r="M46" s="8"/>
    </row>
    <row r="47" spans="2:13" ht="14.4" hidden="1" customHeight="1" x14ac:dyDescent="0.25">
      <c r="B47" s="16" t="s">
        <v>228</v>
      </c>
      <c r="C47" s="11"/>
      <c r="D47" s="11"/>
      <c r="E47" s="243"/>
      <c r="F47" s="68">
        <v>1</v>
      </c>
      <c r="G47" s="233"/>
      <c r="H47" s="8"/>
      <c r="I47" s="233"/>
      <c r="J47" s="68"/>
      <c r="K47" s="233"/>
      <c r="L47" s="8"/>
      <c r="M47" s="8"/>
    </row>
    <row r="48" spans="2:13" ht="14.4" hidden="1" customHeight="1" x14ac:dyDescent="0.25">
      <c r="B48" s="16" t="s">
        <v>229</v>
      </c>
      <c r="C48" s="11"/>
      <c r="D48" s="11"/>
      <c r="E48" s="243"/>
      <c r="F48" s="69"/>
      <c r="G48" s="233"/>
      <c r="H48" s="8"/>
      <c r="I48" s="233"/>
      <c r="J48" s="69">
        <v>1</v>
      </c>
      <c r="K48" s="233"/>
      <c r="L48" s="8"/>
      <c r="M48" s="8"/>
    </row>
    <row r="49" spans="2:25" ht="14.4" customHeight="1" x14ac:dyDescent="0.25">
      <c r="B49" s="15" t="s">
        <v>18</v>
      </c>
      <c r="C49" s="12"/>
      <c r="D49" s="12"/>
      <c r="E49" s="217"/>
      <c r="F49" s="7">
        <v>2</v>
      </c>
      <c r="G49" s="118"/>
      <c r="H49" s="7">
        <v>2</v>
      </c>
      <c r="I49" s="118"/>
      <c r="J49" s="7">
        <v>2</v>
      </c>
      <c r="K49" s="118"/>
      <c r="L49" s="7"/>
      <c r="M49" s="7"/>
    </row>
    <row r="50" spans="2:25" ht="14.4" hidden="1" customHeight="1" x14ac:dyDescent="0.25">
      <c r="B50" s="15" t="s">
        <v>168</v>
      </c>
      <c r="C50" s="12"/>
      <c r="D50" s="12"/>
      <c r="E50" s="217"/>
      <c r="F50" s="67">
        <v>1</v>
      </c>
      <c r="G50" s="118"/>
      <c r="H50" s="7"/>
      <c r="I50" s="118"/>
      <c r="J50" s="67"/>
      <c r="K50" s="118"/>
      <c r="L50" s="7"/>
      <c r="M50" s="7"/>
    </row>
    <row r="51" spans="2:25" ht="14.4" hidden="1" customHeight="1" x14ac:dyDescent="0.25">
      <c r="B51" s="15" t="s">
        <v>115</v>
      </c>
      <c r="C51" s="12"/>
      <c r="D51" s="12"/>
      <c r="E51" s="217"/>
      <c r="F51" s="68"/>
      <c r="G51" s="118"/>
      <c r="H51" s="7"/>
      <c r="I51" s="118"/>
      <c r="J51" s="68">
        <v>1</v>
      </c>
      <c r="K51" s="118"/>
      <c r="L51" s="7"/>
      <c r="M51" s="7"/>
    </row>
    <row r="52" spans="2:25" ht="14.4" hidden="1" customHeight="1" x14ac:dyDescent="0.25">
      <c r="B52" s="15" t="s">
        <v>230</v>
      </c>
      <c r="C52" s="12"/>
      <c r="D52" s="12"/>
      <c r="E52" s="217"/>
      <c r="F52" s="68">
        <v>1</v>
      </c>
      <c r="G52" s="118"/>
      <c r="H52" s="7"/>
      <c r="I52" s="118"/>
      <c r="J52" s="68"/>
      <c r="K52" s="118"/>
      <c r="L52" s="7"/>
      <c r="M52" s="7"/>
    </row>
    <row r="53" spans="2:25" ht="14.4" hidden="1" customHeight="1" x14ac:dyDescent="0.25">
      <c r="B53" s="15" t="s">
        <v>116</v>
      </c>
      <c r="C53" s="12"/>
      <c r="D53" s="12"/>
      <c r="E53" s="217"/>
      <c r="F53" s="69"/>
      <c r="G53" s="118"/>
      <c r="H53" s="7"/>
      <c r="I53" s="118"/>
      <c r="J53" s="69">
        <v>1</v>
      </c>
      <c r="K53" s="118"/>
      <c r="L53" s="7"/>
      <c r="M53" s="7"/>
    </row>
    <row r="54" spans="2:25" ht="14.4" customHeight="1" x14ac:dyDescent="0.25">
      <c r="B54" s="16" t="s">
        <v>0</v>
      </c>
      <c r="C54" s="11"/>
      <c r="D54" s="11"/>
      <c r="E54" s="243"/>
      <c r="F54" s="8">
        <v>3</v>
      </c>
      <c r="G54" s="233"/>
      <c r="H54" s="8"/>
      <c r="I54" s="233"/>
      <c r="J54" s="8">
        <v>4</v>
      </c>
      <c r="K54" s="233"/>
      <c r="L54" s="8"/>
      <c r="M54" s="8"/>
    </row>
    <row r="55" spans="2:25" ht="14.4" hidden="1" customHeight="1" x14ac:dyDescent="0.25">
      <c r="B55" s="246" t="s">
        <v>117</v>
      </c>
      <c r="C55" s="11"/>
      <c r="D55" s="11"/>
      <c r="E55" s="243"/>
      <c r="F55" s="67">
        <v>1</v>
      </c>
      <c r="G55" s="233"/>
      <c r="H55" s="8"/>
      <c r="I55" s="233"/>
      <c r="J55" s="67"/>
      <c r="K55" s="233"/>
      <c r="L55" s="8"/>
      <c r="M55" s="8"/>
    </row>
    <row r="56" spans="2:25" ht="14.4" hidden="1" customHeight="1" x14ac:dyDescent="0.25">
      <c r="B56" s="246" t="s">
        <v>231</v>
      </c>
      <c r="C56" s="11"/>
      <c r="D56" s="11"/>
      <c r="E56" s="243"/>
      <c r="F56" s="68">
        <v>1</v>
      </c>
      <c r="G56" s="233"/>
      <c r="H56" s="8"/>
      <c r="I56" s="233"/>
      <c r="J56" s="68"/>
      <c r="K56" s="233"/>
      <c r="L56" s="8"/>
      <c r="M56" s="8"/>
    </row>
    <row r="57" spans="2:25" ht="14.4" hidden="1" customHeight="1" x14ac:dyDescent="0.25">
      <c r="B57" s="246" t="s">
        <v>169</v>
      </c>
      <c r="C57" s="11"/>
      <c r="D57" s="11"/>
      <c r="E57" s="243"/>
      <c r="F57" s="68">
        <v>1</v>
      </c>
      <c r="G57" s="233"/>
      <c r="H57" s="8"/>
      <c r="I57" s="233"/>
      <c r="J57" s="68"/>
      <c r="K57" s="233"/>
      <c r="L57" s="8"/>
      <c r="M57" s="8"/>
    </row>
    <row r="58" spans="2:25" ht="14.4" hidden="1" customHeight="1" x14ac:dyDescent="0.25">
      <c r="B58" s="246" t="s">
        <v>118</v>
      </c>
      <c r="C58" s="11"/>
      <c r="D58" s="11"/>
      <c r="E58" s="243"/>
      <c r="F58" s="68"/>
      <c r="G58" s="233"/>
      <c r="H58" s="8"/>
      <c r="I58" s="233"/>
      <c r="J58" s="68">
        <v>1</v>
      </c>
      <c r="K58" s="233"/>
      <c r="L58" s="8"/>
      <c r="M58" s="8"/>
    </row>
    <row r="59" spans="2:25" ht="14.4" hidden="1" customHeight="1" x14ac:dyDescent="0.25">
      <c r="B59" s="246" t="s">
        <v>119</v>
      </c>
      <c r="C59" s="11"/>
      <c r="D59" s="11"/>
      <c r="E59" s="243"/>
      <c r="F59" s="68"/>
      <c r="G59" s="233"/>
      <c r="H59" s="8"/>
      <c r="I59" s="233"/>
      <c r="J59" s="68">
        <v>1</v>
      </c>
      <c r="K59" s="233"/>
      <c r="L59" s="8"/>
      <c r="M59" s="8"/>
    </row>
    <row r="60" spans="2:25" ht="14.4" hidden="1" customHeight="1" x14ac:dyDescent="0.25">
      <c r="B60" s="246" t="s">
        <v>120</v>
      </c>
      <c r="C60" s="11"/>
      <c r="D60" s="11"/>
      <c r="E60" s="243"/>
      <c r="F60" s="68"/>
      <c r="G60" s="233"/>
      <c r="H60" s="8"/>
      <c r="I60" s="233"/>
      <c r="J60" s="68">
        <v>1</v>
      </c>
      <c r="K60" s="233"/>
      <c r="L60" s="8"/>
      <c r="M60" s="8"/>
    </row>
    <row r="61" spans="2:25" ht="14.4" hidden="1" customHeight="1" x14ac:dyDescent="0.25">
      <c r="B61" s="246" t="s">
        <v>121</v>
      </c>
      <c r="C61" s="11"/>
      <c r="D61" s="11"/>
      <c r="E61" s="243"/>
      <c r="F61" s="69"/>
      <c r="G61" s="233"/>
      <c r="H61" s="8"/>
      <c r="I61" s="233"/>
      <c r="J61" s="69">
        <v>1</v>
      </c>
      <c r="K61" s="233"/>
      <c r="L61" s="8"/>
      <c r="M61" s="8"/>
    </row>
    <row r="62" spans="2:25" s="48" customFormat="1" ht="14.4" customHeight="1" x14ac:dyDescent="0.25">
      <c r="B62" s="247" t="s">
        <v>94</v>
      </c>
      <c r="C62" s="38"/>
      <c r="D62" s="38"/>
      <c r="E62" s="217"/>
      <c r="F62" s="22">
        <v>0</v>
      </c>
      <c r="G62" s="234"/>
      <c r="H62" s="22">
        <v>1</v>
      </c>
      <c r="I62" s="234"/>
      <c r="J62" s="22">
        <v>0</v>
      </c>
      <c r="K62" s="234"/>
      <c r="L62" s="22"/>
      <c r="M62" s="22"/>
      <c r="N62" s="50"/>
      <c r="O62" s="50"/>
      <c r="P62" s="50"/>
      <c r="Q62" s="50"/>
      <c r="R62" s="50"/>
      <c r="S62" s="50"/>
      <c r="T62" s="50"/>
      <c r="U62" s="50"/>
      <c r="V62" s="50"/>
      <c r="W62" s="50"/>
      <c r="X62" s="50"/>
      <c r="Y62" s="50"/>
    </row>
    <row r="63" spans="2:25" x14ac:dyDescent="0.25">
      <c r="B63" s="248"/>
      <c r="C63" s="249"/>
      <c r="D63" s="249"/>
      <c r="E63" s="250"/>
      <c r="F63" s="251"/>
      <c r="G63" s="252"/>
      <c r="H63" s="251"/>
      <c r="I63" s="252"/>
      <c r="J63" s="251"/>
      <c r="K63" s="252"/>
      <c r="L63" s="251"/>
      <c r="M63" s="251"/>
    </row>
    <row r="64" spans="2:25" ht="5.4" customHeight="1" x14ac:dyDescent="0.25"/>
    <row r="65" spans="2:25" x14ac:dyDescent="0.25">
      <c r="B65" s="3" t="s">
        <v>232</v>
      </c>
    </row>
    <row r="66" spans="2:25" x14ac:dyDescent="0.25">
      <c r="B66" s="1" t="s">
        <v>233</v>
      </c>
    </row>
    <row r="67" spans="2:25" x14ac:dyDescent="0.25">
      <c r="B67" s="253" t="s">
        <v>234</v>
      </c>
    </row>
    <row r="68" spans="2:25" ht="43.2" customHeight="1" x14ac:dyDescent="0.25">
      <c r="B68" s="521" t="s">
        <v>235</v>
      </c>
      <c r="C68" s="521"/>
      <c r="D68" s="521"/>
      <c r="E68" s="521"/>
      <c r="F68" s="521"/>
      <c r="G68" s="521"/>
      <c r="H68" s="521"/>
      <c r="I68" s="521"/>
      <c r="J68" s="521"/>
      <c r="K68" s="521"/>
      <c r="L68" s="521"/>
      <c r="M68" s="521"/>
      <c r="N68" s="521"/>
    </row>
    <row r="69" spans="2:25" ht="6" customHeight="1" x14ac:dyDescent="0.25"/>
    <row r="70" spans="2:25" x14ac:dyDescent="0.25">
      <c r="B70" s="3" t="s">
        <v>236</v>
      </c>
    </row>
    <row r="71" spans="2:25" ht="6" customHeight="1" x14ac:dyDescent="0.25"/>
    <row r="72" spans="2:25" ht="22.2" customHeight="1" x14ac:dyDescent="0.25">
      <c r="B72" s="522" t="s">
        <v>12</v>
      </c>
      <c r="C72" s="523"/>
      <c r="D72" s="526" t="s">
        <v>237</v>
      </c>
      <c r="E72" s="528" t="s">
        <v>238</v>
      </c>
      <c r="F72" s="421" t="s">
        <v>239</v>
      </c>
      <c r="G72" s="422"/>
      <c r="H72" s="530" t="s">
        <v>240</v>
      </c>
      <c r="I72" s="531"/>
      <c r="J72" s="531"/>
      <c r="K72" s="531"/>
      <c r="L72" s="531"/>
      <c r="M72" s="531"/>
      <c r="N72" s="530" t="s">
        <v>241</v>
      </c>
      <c r="O72" s="531"/>
      <c r="P72" s="531"/>
      <c r="Q72" s="531"/>
      <c r="R72" s="531"/>
      <c r="S72" s="532"/>
      <c r="T72" s="516" t="s">
        <v>242</v>
      </c>
      <c r="U72" s="518" t="s">
        <v>243</v>
      </c>
      <c r="V72" s="422"/>
    </row>
    <row r="73" spans="2:25" ht="52.8" customHeight="1" x14ac:dyDescent="0.25">
      <c r="B73" s="524"/>
      <c r="C73" s="525"/>
      <c r="D73" s="527"/>
      <c r="E73" s="529"/>
      <c r="F73" s="423"/>
      <c r="G73" s="424"/>
      <c r="H73" s="439" t="s">
        <v>244</v>
      </c>
      <c r="I73" s="520"/>
      <c r="J73" s="439" t="s">
        <v>245</v>
      </c>
      <c r="K73" s="441"/>
      <c r="L73" s="439" t="s">
        <v>246</v>
      </c>
      <c r="M73" s="440"/>
      <c r="N73" s="439" t="s">
        <v>247</v>
      </c>
      <c r="O73" s="441"/>
      <c r="P73" s="439" t="s">
        <v>248</v>
      </c>
      <c r="Q73" s="441"/>
      <c r="R73" s="439" t="s">
        <v>249</v>
      </c>
      <c r="S73" s="441"/>
      <c r="T73" s="517"/>
      <c r="U73" s="519"/>
      <c r="V73" s="424"/>
    </row>
    <row r="74" spans="2:25" x14ac:dyDescent="0.25">
      <c r="B74" s="254"/>
      <c r="C74" s="255"/>
      <c r="D74" s="256"/>
      <c r="E74" s="120"/>
      <c r="F74" s="514"/>
      <c r="G74" s="515"/>
      <c r="H74" s="508"/>
      <c r="I74" s="509"/>
      <c r="J74" s="514"/>
      <c r="K74" s="515"/>
      <c r="L74" s="509"/>
      <c r="M74" s="509"/>
      <c r="N74" s="514"/>
      <c r="O74" s="515"/>
      <c r="P74" s="509"/>
      <c r="Q74" s="510"/>
      <c r="R74" s="508"/>
      <c r="S74" s="509"/>
      <c r="T74" s="6"/>
      <c r="U74" s="509"/>
      <c r="V74" s="510"/>
    </row>
    <row r="75" spans="2:25" x14ac:dyDescent="0.25">
      <c r="B75" s="257" t="s">
        <v>15</v>
      </c>
      <c r="C75" s="74"/>
      <c r="D75" s="258">
        <f>SUM(D77:D121)</f>
        <v>31</v>
      </c>
      <c r="E75" s="75">
        <f>SUM(E77+E80+E85+E93+E101+E115+E121)</f>
        <v>54</v>
      </c>
      <c r="F75" s="511">
        <f>SUM(F77+F80+F85+F93+F101+F115+F119)</f>
        <v>3</v>
      </c>
      <c r="G75" s="512"/>
      <c r="H75" s="513">
        <f>SUM(H77+H80+H85+H93+H101+H115+H119)</f>
        <v>9</v>
      </c>
      <c r="I75" s="513"/>
      <c r="J75" s="511">
        <f>SUM(J77+J80+J85+J93+J101+J115+J119)</f>
        <v>7</v>
      </c>
      <c r="K75" s="512"/>
      <c r="L75" s="513">
        <f>SUM(L77+L80+L85+L93+L101+L115+L119)</f>
        <v>5</v>
      </c>
      <c r="M75" s="513"/>
      <c r="N75" s="511">
        <f>SUM(N77+N80+N85+N93+N101+N115+N119)</f>
        <v>7</v>
      </c>
      <c r="O75" s="512"/>
      <c r="P75" s="513">
        <f>SUM(P77+P80+P85+P93+P101+P115+P119)</f>
        <v>5</v>
      </c>
      <c r="Q75" s="512"/>
      <c r="R75" s="513">
        <f>SUM(R77+R80+R85+R93+R101+R115+R119)</f>
        <v>3</v>
      </c>
      <c r="S75" s="513"/>
      <c r="T75" s="77">
        <f>SUM(T77+T80+T85+T93+T101+T115+T121)</f>
        <v>7</v>
      </c>
      <c r="U75" s="513">
        <f>SUM(U77+U80+U85+U93+U101+U115+U119+U121)</f>
        <v>8</v>
      </c>
      <c r="V75" s="512"/>
    </row>
    <row r="76" spans="2:25" x14ac:dyDescent="0.25">
      <c r="B76" s="54"/>
      <c r="C76" s="56"/>
      <c r="D76" s="259"/>
      <c r="E76" s="118"/>
      <c r="F76" s="113"/>
      <c r="G76" s="260"/>
      <c r="H76" s="118"/>
      <c r="I76" s="118"/>
      <c r="J76" s="113"/>
      <c r="K76" s="260"/>
      <c r="L76" s="118"/>
      <c r="M76" s="118"/>
      <c r="N76" s="113"/>
      <c r="O76" s="260"/>
      <c r="P76" s="118"/>
      <c r="Q76" s="260"/>
      <c r="R76" s="118"/>
      <c r="S76" s="118"/>
      <c r="T76" s="7"/>
      <c r="U76" s="118"/>
      <c r="V76" s="260"/>
    </row>
    <row r="77" spans="2:25" s="49" customFormat="1" x14ac:dyDescent="0.25">
      <c r="B77" s="261" t="s">
        <v>122</v>
      </c>
      <c r="C77" s="38"/>
      <c r="D77" s="22">
        <v>1</v>
      </c>
      <c r="E77" s="52">
        <f>SUM(F77+H77+J77+L77+N77+P77+R77+U77+T77)</f>
        <v>2</v>
      </c>
      <c r="F77" s="488">
        <v>1</v>
      </c>
      <c r="G77" s="489"/>
      <c r="H77" s="503"/>
      <c r="I77" s="503"/>
      <c r="J77" s="488"/>
      <c r="K77" s="489"/>
      <c r="L77" s="503"/>
      <c r="M77" s="503"/>
      <c r="N77" s="488"/>
      <c r="O77" s="489"/>
      <c r="P77" s="503"/>
      <c r="Q77" s="489"/>
      <c r="R77" s="490">
        <v>1</v>
      </c>
      <c r="S77" s="490"/>
      <c r="T77" s="92"/>
      <c r="U77" s="503">
        <v>0</v>
      </c>
      <c r="V77" s="489"/>
      <c r="W77" s="234"/>
      <c r="X77" s="234"/>
      <c r="Y77" s="234"/>
    </row>
    <row r="78" spans="2:25" s="49" customFormat="1" x14ac:dyDescent="0.25">
      <c r="B78" s="247" t="s">
        <v>158</v>
      </c>
      <c r="C78" s="38"/>
      <c r="D78" s="22"/>
      <c r="E78" s="44">
        <f>SUM(F78:V78)</f>
        <v>2</v>
      </c>
      <c r="F78" s="507">
        <v>1</v>
      </c>
      <c r="G78" s="497"/>
      <c r="H78" s="262"/>
      <c r="I78" s="262"/>
      <c r="J78" s="44"/>
      <c r="K78" s="46"/>
      <c r="L78" s="496"/>
      <c r="M78" s="496"/>
      <c r="N78" s="507"/>
      <c r="O78" s="497"/>
      <c r="P78" s="496"/>
      <c r="Q78" s="496"/>
      <c r="R78" s="507">
        <v>1</v>
      </c>
      <c r="S78" s="496"/>
      <c r="T78" s="45"/>
      <c r="U78" s="496"/>
      <c r="V78" s="497"/>
      <c r="W78" s="234"/>
      <c r="X78" s="234"/>
      <c r="Y78" s="234"/>
    </row>
    <row r="79" spans="2:25" s="49" customFormat="1" x14ac:dyDescent="0.25">
      <c r="B79" s="247"/>
      <c r="C79" s="38"/>
      <c r="D79" s="22"/>
      <c r="E79" s="43"/>
      <c r="F79" s="263"/>
      <c r="G79" s="264"/>
      <c r="H79" s="43"/>
      <c r="I79" s="43"/>
      <c r="J79" s="263"/>
      <c r="K79" s="264"/>
      <c r="L79" s="43"/>
      <c r="M79" s="43"/>
      <c r="N79" s="263"/>
      <c r="O79" s="264"/>
      <c r="P79" s="43"/>
      <c r="Q79" s="43"/>
      <c r="R79" s="263"/>
      <c r="S79" s="43"/>
      <c r="T79" s="244"/>
      <c r="U79" s="43"/>
      <c r="V79" s="264"/>
      <c r="W79" s="234"/>
      <c r="X79" s="234"/>
      <c r="Y79" s="234"/>
    </row>
    <row r="80" spans="2:25" s="49" customFormat="1" x14ac:dyDescent="0.25">
      <c r="B80" s="261" t="s">
        <v>250</v>
      </c>
      <c r="C80" s="38"/>
      <c r="D80" s="22">
        <v>3</v>
      </c>
      <c r="E80" s="52">
        <f>SUM(F80+H80+J80+L80+N80+P80+R80+U80+T80)</f>
        <v>4</v>
      </c>
      <c r="F80" s="488">
        <v>2</v>
      </c>
      <c r="G80" s="489"/>
      <c r="H80" s="52"/>
      <c r="I80" s="52"/>
      <c r="J80" s="129"/>
      <c r="K80" s="126"/>
      <c r="L80" s="52"/>
      <c r="M80" s="52"/>
      <c r="N80" s="129"/>
      <c r="O80" s="126"/>
      <c r="P80" s="52"/>
      <c r="Q80" s="52"/>
      <c r="R80" s="129"/>
      <c r="S80" s="52"/>
      <c r="T80" s="92">
        <f>SUM(T81:T83)</f>
        <v>1</v>
      </c>
      <c r="U80" s="503">
        <v>1</v>
      </c>
      <c r="V80" s="489"/>
      <c r="W80" s="234"/>
      <c r="X80" s="234"/>
      <c r="Y80" s="234"/>
    </row>
    <row r="81" spans="2:25" s="49" customFormat="1" x14ac:dyDescent="0.25">
      <c r="B81" s="247" t="s">
        <v>160</v>
      </c>
      <c r="C81" s="38"/>
      <c r="D81" s="22"/>
      <c r="E81" s="29">
        <f>SUM(F81:V81)</f>
        <v>1</v>
      </c>
      <c r="F81" s="504">
        <v>1</v>
      </c>
      <c r="G81" s="505"/>
      <c r="H81" s="36"/>
      <c r="I81" s="36"/>
      <c r="J81" s="29"/>
      <c r="K81" s="32"/>
      <c r="L81" s="36"/>
      <c r="M81" s="36"/>
      <c r="N81" s="29"/>
      <c r="O81" s="32"/>
      <c r="P81" s="36"/>
      <c r="Q81" s="36"/>
      <c r="R81" s="504"/>
      <c r="S81" s="506"/>
      <c r="T81" s="20"/>
      <c r="U81" s="36"/>
      <c r="V81" s="32"/>
      <c r="W81" s="234"/>
      <c r="X81" s="234"/>
      <c r="Y81" s="234"/>
    </row>
    <row r="82" spans="2:25" s="49" customFormat="1" x14ac:dyDescent="0.25">
      <c r="B82" s="247" t="s">
        <v>161</v>
      </c>
      <c r="C82" s="38"/>
      <c r="D82" s="22"/>
      <c r="E82" s="30">
        <f>SUM(F82:V82)</f>
        <v>1</v>
      </c>
      <c r="F82" s="498">
        <v>1</v>
      </c>
      <c r="G82" s="499"/>
      <c r="H82" s="233"/>
      <c r="I82" s="233"/>
      <c r="J82" s="30"/>
      <c r="K82" s="4"/>
      <c r="L82" s="233"/>
      <c r="M82" s="233"/>
      <c r="N82" s="30"/>
      <c r="O82" s="4"/>
      <c r="P82" s="233"/>
      <c r="Q82" s="233"/>
      <c r="R82" s="30"/>
      <c r="S82" s="233"/>
      <c r="T82" s="8"/>
      <c r="U82" s="233"/>
      <c r="V82" s="4"/>
      <c r="W82" s="234"/>
      <c r="X82" s="234"/>
      <c r="Y82" s="234"/>
    </row>
    <row r="83" spans="2:25" s="49" customFormat="1" x14ac:dyDescent="0.25">
      <c r="B83" s="247" t="s">
        <v>162</v>
      </c>
      <c r="C83" s="38"/>
      <c r="D83" s="22"/>
      <c r="E83" s="31">
        <f>SUM(F83:V83)</f>
        <v>2</v>
      </c>
      <c r="F83" s="31"/>
      <c r="G83" s="265"/>
      <c r="H83" s="37"/>
      <c r="I83" s="37"/>
      <c r="J83" s="31"/>
      <c r="K83" s="265"/>
      <c r="L83" s="37"/>
      <c r="M83" s="37"/>
      <c r="N83" s="31"/>
      <c r="O83" s="265"/>
      <c r="P83" s="37"/>
      <c r="Q83" s="37"/>
      <c r="R83" s="31"/>
      <c r="S83" s="37"/>
      <c r="T83" s="19">
        <v>1</v>
      </c>
      <c r="U83" s="502">
        <v>1</v>
      </c>
      <c r="V83" s="501"/>
      <c r="W83" s="234"/>
      <c r="X83" s="234"/>
      <c r="Y83" s="234"/>
    </row>
    <row r="84" spans="2:25" s="49" customFormat="1" x14ac:dyDescent="0.25">
      <c r="B84" s="247"/>
      <c r="C84" s="38"/>
      <c r="D84" s="22"/>
      <c r="E84" s="43"/>
      <c r="F84" s="263"/>
      <c r="G84" s="264"/>
      <c r="H84" s="43"/>
      <c r="I84" s="43"/>
      <c r="J84" s="263"/>
      <c r="K84" s="264"/>
      <c r="L84" s="43"/>
      <c r="M84" s="43"/>
      <c r="N84" s="263"/>
      <c r="O84" s="264"/>
      <c r="P84" s="43"/>
      <c r="Q84" s="43"/>
      <c r="R84" s="263"/>
      <c r="S84" s="43"/>
      <c r="T84" s="244"/>
      <c r="U84" s="43"/>
      <c r="V84" s="264"/>
      <c r="W84" s="234"/>
      <c r="X84" s="234"/>
      <c r="Y84" s="234"/>
    </row>
    <row r="85" spans="2:25" s="49" customFormat="1" x14ac:dyDescent="0.25">
      <c r="B85" s="261" t="s">
        <v>16</v>
      </c>
      <c r="C85" s="38"/>
      <c r="D85" s="22">
        <v>6</v>
      </c>
      <c r="E85" s="52">
        <f>SUM(F85+H85+J85+L85+N85+P85+R85+U85+T85)</f>
        <v>13</v>
      </c>
      <c r="F85" s="488"/>
      <c r="G85" s="489"/>
      <c r="H85" s="488">
        <v>4</v>
      </c>
      <c r="I85" s="489"/>
      <c r="J85" s="488">
        <v>2</v>
      </c>
      <c r="K85" s="489"/>
      <c r="L85" s="488">
        <v>1</v>
      </c>
      <c r="M85" s="489"/>
      <c r="N85" s="488">
        <v>1</v>
      </c>
      <c r="O85" s="489"/>
      <c r="P85" s="503">
        <v>2</v>
      </c>
      <c r="Q85" s="503"/>
      <c r="R85" s="488">
        <v>1</v>
      </c>
      <c r="S85" s="503"/>
      <c r="T85" s="94">
        <f>SUM(T86:T91)</f>
        <v>1</v>
      </c>
      <c r="U85" s="503">
        <v>1</v>
      </c>
      <c r="V85" s="489"/>
      <c r="W85" s="234"/>
      <c r="X85" s="234"/>
      <c r="Y85" s="234"/>
    </row>
    <row r="86" spans="2:25" s="49" customFormat="1" x14ac:dyDescent="0.25">
      <c r="B86" s="247" t="s">
        <v>251</v>
      </c>
      <c r="C86" s="38"/>
      <c r="D86" s="22"/>
      <c r="E86" s="29">
        <f>SUM(F86:V86)</f>
        <v>3</v>
      </c>
      <c r="F86" s="29"/>
      <c r="G86" s="32"/>
      <c r="H86" s="504">
        <v>1</v>
      </c>
      <c r="I86" s="505"/>
      <c r="J86" s="504">
        <v>1</v>
      </c>
      <c r="K86" s="505"/>
      <c r="L86" s="504">
        <v>1</v>
      </c>
      <c r="M86" s="505"/>
      <c r="N86" s="29"/>
      <c r="O86" s="32"/>
      <c r="P86" s="29"/>
      <c r="Q86" s="32"/>
      <c r="R86" s="504"/>
      <c r="S86" s="505"/>
      <c r="T86" s="20"/>
      <c r="U86" s="36"/>
      <c r="V86" s="32"/>
      <c r="W86" s="234"/>
      <c r="X86" s="234"/>
      <c r="Y86" s="234"/>
    </row>
    <row r="87" spans="2:25" s="49" customFormat="1" x14ac:dyDescent="0.25">
      <c r="B87" s="247" t="s">
        <v>182</v>
      </c>
      <c r="C87" s="38"/>
      <c r="D87" s="22"/>
      <c r="E87" s="30">
        <f t="shared" ref="E87:E89" si="0">SUM(F87:V87)</f>
        <v>3</v>
      </c>
      <c r="F87" s="30"/>
      <c r="G87" s="4"/>
      <c r="H87" s="30"/>
      <c r="I87" s="4"/>
      <c r="J87" s="498">
        <v>1</v>
      </c>
      <c r="K87" s="499"/>
      <c r="L87" s="233"/>
      <c r="M87" s="233"/>
      <c r="N87" s="498">
        <v>1</v>
      </c>
      <c r="O87" s="499"/>
      <c r="P87" s="30"/>
      <c r="Q87" s="4"/>
      <c r="R87" s="498"/>
      <c r="S87" s="499"/>
      <c r="T87" s="8">
        <v>1</v>
      </c>
      <c r="U87" s="233"/>
      <c r="V87" s="4"/>
      <c r="W87" s="234"/>
      <c r="X87" s="234"/>
      <c r="Y87" s="234"/>
    </row>
    <row r="88" spans="2:25" s="49" customFormat="1" x14ac:dyDescent="0.25">
      <c r="B88" s="247" t="s">
        <v>183</v>
      </c>
      <c r="C88" s="38"/>
      <c r="D88" s="22"/>
      <c r="E88" s="30">
        <f>SUM(F88:V88)</f>
        <v>2</v>
      </c>
      <c r="F88" s="30"/>
      <c r="G88" s="4"/>
      <c r="H88" s="498">
        <v>1</v>
      </c>
      <c r="I88" s="499"/>
      <c r="J88" s="30"/>
      <c r="K88" s="4"/>
      <c r="L88" s="233"/>
      <c r="M88" s="233"/>
      <c r="N88" s="30"/>
      <c r="O88" s="4"/>
      <c r="P88" s="30"/>
      <c r="Q88" s="4"/>
      <c r="R88" s="470">
        <v>1</v>
      </c>
      <c r="S88" s="470"/>
      <c r="T88" s="8"/>
      <c r="U88" s="233"/>
      <c r="V88" s="4"/>
      <c r="W88" s="234"/>
      <c r="X88" s="234"/>
      <c r="Y88" s="234"/>
    </row>
    <row r="89" spans="2:25" s="49" customFormat="1" x14ac:dyDescent="0.25">
      <c r="B89" s="247" t="s">
        <v>252</v>
      </c>
      <c r="C89" s="38"/>
      <c r="D89" s="22" t="s">
        <v>7</v>
      </c>
      <c r="E89" s="30">
        <f t="shared" si="0"/>
        <v>1</v>
      </c>
      <c r="F89" s="30"/>
      <c r="G89" s="4"/>
      <c r="H89" s="233"/>
      <c r="I89" s="233"/>
      <c r="J89" s="30"/>
      <c r="K89" s="4"/>
      <c r="L89" s="233"/>
      <c r="M89" s="233"/>
      <c r="N89" s="30"/>
      <c r="O89" s="4"/>
      <c r="P89" s="498">
        <v>1</v>
      </c>
      <c r="Q89" s="499"/>
      <c r="R89" s="233"/>
      <c r="S89" s="233"/>
      <c r="T89" s="8"/>
      <c r="U89" s="233"/>
      <c r="V89" s="4"/>
      <c r="W89" s="234"/>
      <c r="X89" s="234"/>
      <c r="Y89" s="234"/>
    </row>
    <row r="90" spans="2:25" s="49" customFormat="1" x14ac:dyDescent="0.25">
      <c r="B90" s="247" t="s">
        <v>253</v>
      </c>
      <c r="C90" s="38"/>
      <c r="D90" s="22"/>
      <c r="E90" s="30">
        <f>SUM(F90:V90)</f>
        <v>3</v>
      </c>
      <c r="F90" s="30"/>
      <c r="G90" s="4"/>
      <c r="H90" s="498">
        <v>1</v>
      </c>
      <c r="I90" s="499"/>
      <c r="J90" s="30"/>
      <c r="K90" s="4"/>
      <c r="L90" s="233"/>
      <c r="M90" s="233"/>
      <c r="N90" s="30"/>
      <c r="O90" s="4"/>
      <c r="P90" s="498">
        <v>1</v>
      </c>
      <c r="Q90" s="499"/>
      <c r="R90" s="233"/>
      <c r="S90" s="233"/>
      <c r="T90" s="8"/>
      <c r="U90" s="470">
        <v>1</v>
      </c>
      <c r="V90" s="499"/>
      <c r="W90" s="234"/>
      <c r="X90" s="234"/>
      <c r="Y90" s="234"/>
    </row>
    <row r="91" spans="2:25" s="49" customFormat="1" x14ac:dyDescent="0.25">
      <c r="B91" s="247" t="s">
        <v>254</v>
      </c>
      <c r="C91" s="38"/>
      <c r="D91" s="22"/>
      <c r="E91" s="31">
        <f>SUM(F91:V91)</f>
        <v>1</v>
      </c>
      <c r="F91" s="31"/>
      <c r="G91" s="265"/>
      <c r="H91" s="500">
        <v>1</v>
      </c>
      <c r="I91" s="501"/>
      <c r="J91" s="31"/>
      <c r="K91" s="265"/>
      <c r="L91" s="37"/>
      <c r="M91" s="37"/>
      <c r="N91" s="31"/>
      <c r="O91" s="265"/>
      <c r="P91" s="31"/>
      <c r="Q91" s="265"/>
      <c r="R91" s="37"/>
      <c r="S91" s="37"/>
      <c r="T91" s="19"/>
      <c r="U91" s="37"/>
      <c r="V91" s="265"/>
      <c r="W91" s="234"/>
      <c r="X91" s="234"/>
      <c r="Y91" s="234"/>
    </row>
    <row r="92" spans="2:25" s="49" customFormat="1" x14ac:dyDescent="0.25">
      <c r="B92" s="247"/>
      <c r="C92" s="38"/>
      <c r="D92" s="22"/>
      <c r="E92" s="43"/>
      <c r="F92" s="263"/>
      <c r="G92" s="264"/>
      <c r="H92" s="43"/>
      <c r="I92" s="43"/>
      <c r="J92" s="263"/>
      <c r="K92" s="264"/>
      <c r="L92" s="43"/>
      <c r="M92" s="43"/>
      <c r="N92" s="263"/>
      <c r="O92" s="264"/>
      <c r="P92" s="263"/>
      <c r="Q92" s="264"/>
      <c r="R92" s="43"/>
      <c r="S92" s="43"/>
      <c r="T92" s="244"/>
      <c r="U92" s="43"/>
      <c r="V92" s="264"/>
      <c r="W92" s="234"/>
      <c r="X92" s="234"/>
      <c r="Y92" s="234"/>
    </row>
    <row r="93" spans="2:25" s="49" customFormat="1" x14ac:dyDescent="0.25">
      <c r="B93" s="261" t="s">
        <v>255</v>
      </c>
      <c r="C93" s="38"/>
      <c r="D93" s="22">
        <v>6</v>
      </c>
      <c r="E93" s="52">
        <f>SUM(F93+H93+J93+L93+N93+P93+R93+U93+T93)</f>
        <v>12</v>
      </c>
      <c r="F93" s="129"/>
      <c r="G93" s="126"/>
      <c r="H93" s="488">
        <v>1</v>
      </c>
      <c r="I93" s="489"/>
      <c r="J93" s="488">
        <v>1</v>
      </c>
      <c r="K93" s="489"/>
      <c r="L93" s="488">
        <v>3</v>
      </c>
      <c r="M93" s="503"/>
      <c r="N93" s="488">
        <v>3</v>
      </c>
      <c r="O93" s="489"/>
      <c r="P93" s="488">
        <v>1</v>
      </c>
      <c r="Q93" s="489"/>
      <c r="R93" s="52"/>
      <c r="S93" s="52"/>
      <c r="T93" s="92">
        <f>SUM(T94:T99)</f>
        <v>2</v>
      </c>
      <c r="U93" s="503">
        <v>1</v>
      </c>
      <c r="V93" s="489"/>
      <c r="W93" s="234"/>
      <c r="X93" s="234"/>
      <c r="Y93" s="234"/>
    </row>
    <row r="94" spans="2:25" s="49" customFormat="1" x14ac:dyDescent="0.25">
      <c r="B94" s="247" t="s">
        <v>256</v>
      </c>
      <c r="C94" s="38"/>
      <c r="D94" s="22"/>
      <c r="E94" s="29">
        <f>SUM(F94:V94)</f>
        <v>3</v>
      </c>
      <c r="F94" s="29"/>
      <c r="G94" s="32"/>
      <c r="H94" s="36"/>
      <c r="I94" s="36"/>
      <c r="J94" s="29"/>
      <c r="K94" s="32"/>
      <c r="L94" s="504">
        <v>1</v>
      </c>
      <c r="M94" s="506"/>
      <c r="N94" s="504">
        <v>1</v>
      </c>
      <c r="O94" s="505"/>
      <c r="P94" s="506">
        <v>1</v>
      </c>
      <c r="Q94" s="505"/>
      <c r="R94" s="29"/>
      <c r="S94" s="36"/>
      <c r="T94" s="20"/>
      <c r="U94" s="36"/>
      <c r="V94" s="32"/>
      <c r="W94" s="234"/>
      <c r="X94" s="234"/>
      <c r="Y94" s="234"/>
    </row>
    <row r="95" spans="2:25" s="49" customFormat="1" x14ac:dyDescent="0.25">
      <c r="B95" s="247" t="s">
        <v>177</v>
      </c>
      <c r="C95" s="38"/>
      <c r="D95" s="22"/>
      <c r="E95" s="30">
        <f t="shared" ref="E95:E98" si="1">SUM(F95:V95)</f>
        <v>3</v>
      </c>
      <c r="F95" s="30"/>
      <c r="G95" s="4"/>
      <c r="H95" s="498">
        <v>1</v>
      </c>
      <c r="I95" s="499"/>
      <c r="J95" s="30"/>
      <c r="K95" s="4"/>
      <c r="L95" s="498">
        <v>1</v>
      </c>
      <c r="M95" s="470"/>
      <c r="N95" s="498">
        <v>1</v>
      </c>
      <c r="O95" s="499"/>
      <c r="P95" s="233"/>
      <c r="Q95" s="4"/>
      <c r="R95" s="30"/>
      <c r="S95" s="233"/>
      <c r="T95" s="8"/>
      <c r="U95" s="233"/>
      <c r="V95" s="4"/>
      <c r="W95" s="234"/>
      <c r="X95" s="234"/>
      <c r="Y95" s="234"/>
    </row>
    <row r="96" spans="2:25" s="49" customFormat="1" x14ac:dyDescent="0.25">
      <c r="B96" s="247" t="s">
        <v>257</v>
      </c>
      <c r="C96" s="38"/>
      <c r="D96" s="22"/>
      <c r="E96" s="30">
        <f t="shared" si="1"/>
        <v>2</v>
      </c>
      <c r="F96" s="30"/>
      <c r="G96" s="4"/>
      <c r="H96" s="233"/>
      <c r="I96" s="233"/>
      <c r="J96" s="30"/>
      <c r="K96" s="4"/>
      <c r="L96" s="498">
        <v>1</v>
      </c>
      <c r="M96" s="470"/>
      <c r="N96" s="498"/>
      <c r="O96" s="499"/>
      <c r="P96" s="233"/>
      <c r="Q96" s="4"/>
      <c r="R96" s="30"/>
      <c r="S96" s="233"/>
      <c r="T96" s="8">
        <v>1</v>
      </c>
      <c r="U96" s="233"/>
      <c r="V96" s="4"/>
      <c r="W96" s="234"/>
      <c r="X96" s="234"/>
      <c r="Y96" s="234"/>
    </row>
    <row r="97" spans="2:25" s="49" customFormat="1" x14ac:dyDescent="0.25">
      <c r="B97" s="247" t="s">
        <v>181</v>
      </c>
      <c r="C97" s="38"/>
      <c r="D97" s="22"/>
      <c r="E97" s="30">
        <f t="shared" si="1"/>
        <v>1</v>
      </c>
      <c r="F97" s="30"/>
      <c r="G97" s="4"/>
      <c r="H97" s="233"/>
      <c r="I97" s="233"/>
      <c r="J97" s="30"/>
      <c r="K97" s="4"/>
      <c r="L97" s="233"/>
      <c r="M97" s="233"/>
      <c r="N97" s="498">
        <v>1</v>
      </c>
      <c r="O97" s="499"/>
      <c r="P97" s="233"/>
      <c r="Q97" s="4"/>
      <c r="R97" s="30"/>
      <c r="S97" s="233"/>
      <c r="T97" s="8"/>
      <c r="U97" s="233"/>
      <c r="V97" s="4"/>
      <c r="W97" s="234"/>
      <c r="X97" s="234"/>
      <c r="Y97" s="234"/>
    </row>
    <row r="98" spans="2:25" s="49" customFormat="1" x14ac:dyDescent="0.25">
      <c r="B98" s="247" t="s">
        <v>258</v>
      </c>
      <c r="C98" s="38"/>
      <c r="D98" s="22"/>
      <c r="E98" s="30">
        <f t="shared" si="1"/>
        <v>1</v>
      </c>
      <c r="F98" s="30"/>
      <c r="G98" s="4"/>
      <c r="H98" s="233"/>
      <c r="I98" s="233"/>
      <c r="J98" s="30"/>
      <c r="K98" s="4"/>
      <c r="L98" s="233"/>
      <c r="M98" s="233"/>
      <c r="N98" s="30"/>
      <c r="O98" s="4"/>
      <c r="P98" s="233"/>
      <c r="Q98" s="4"/>
      <c r="R98" s="30"/>
      <c r="S98" s="233"/>
      <c r="T98" s="8">
        <v>1</v>
      </c>
      <c r="U98" s="233"/>
      <c r="V98" s="4"/>
      <c r="W98" s="234"/>
      <c r="X98" s="234"/>
      <c r="Y98" s="234"/>
    </row>
    <row r="99" spans="2:25" s="49" customFormat="1" x14ac:dyDescent="0.25">
      <c r="B99" s="247" t="s">
        <v>259</v>
      </c>
      <c r="C99" s="38"/>
      <c r="D99" s="22"/>
      <c r="E99" s="31">
        <f>SUM(F99:V99)</f>
        <v>2</v>
      </c>
      <c r="F99" s="31"/>
      <c r="G99" s="265"/>
      <c r="H99" s="37"/>
      <c r="I99" s="37"/>
      <c r="J99" s="500">
        <v>1</v>
      </c>
      <c r="K99" s="501"/>
      <c r="L99" s="37"/>
      <c r="M99" s="37"/>
      <c r="N99" s="31"/>
      <c r="O99" s="265"/>
      <c r="P99" s="37"/>
      <c r="Q99" s="265"/>
      <c r="R99" s="31"/>
      <c r="S99" s="37"/>
      <c r="T99" s="19"/>
      <c r="U99" s="502">
        <v>1</v>
      </c>
      <c r="V99" s="501"/>
      <c r="W99" s="234"/>
      <c r="X99" s="234"/>
      <c r="Y99" s="234"/>
    </row>
    <row r="100" spans="2:25" s="49" customFormat="1" x14ac:dyDescent="0.25">
      <c r="B100" s="247"/>
      <c r="C100" s="38"/>
      <c r="D100" s="22"/>
      <c r="E100" s="43"/>
      <c r="F100" s="263"/>
      <c r="G100" s="264"/>
      <c r="H100" s="43"/>
      <c r="I100" s="43"/>
      <c r="J100" s="263"/>
      <c r="K100" s="264"/>
      <c r="L100" s="43"/>
      <c r="M100" s="43"/>
      <c r="N100" s="263"/>
      <c r="O100" s="264"/>
      <c r="P100" s="43"/>
      <c r="Q100" s="264"/>
      <c r="R100" s="43"/>
      <c r="S100" s="43"/>
      <c r="T100" s="244"/>
      <c r="U100" s="43"/>
      <c r="V100" s="264"/>
      <c r="W100" s="234"/>
      <c r="X100" s="234"/>
      <c r="Y100" s="234"/>
    </row>
    <row r="101" spans="2:25" s="49" customFormat="1" x14ac:dyDescent="0.25">
      <c r="B101" s="261" t="s">
        <v>19</v>
      </c>
      <c r="C101" s="38"/>
      <c r="D101" s="22">
        <v>12</v>
      </c>
      <c r="E101" s="52">
        <f>SUM(F101+H101+J101+L101+N101+P101+R101+U101+T101)</f>
        <v>20</v>
      </c>
      <c r="F101" s="129"/>
      <c r="G101" s="126"/>
      <c r="H101" s="488">
        <v>4</v>
      </c>
      <c r="I101" s="489"/>
      <c r="J101" s="488">
        <v>4</v>
      </c>
      <c r="K101" s="489"/>
      <c r="L101" s="488">
        <v>1</v>
      </c>
      <c r="M101" s="503"/>
      <c r="N101" s="488">
        <v>3</v>
      </c>
      <c r="O101" s="489"/>
      <c r="P101" s="503">
        <v>2</v>
      </c>
      <c r="Q101" s="489"/>
      <c r="R101" s="488">
        <v>1</v>
      </c>
      <c r="S101" s="489"/>
      <c r="T101" s="92">
        <v>1</v>
      </c>
      <c r="U101" s="503">
        <v>4</v>
      </c>
      <c r="V101" s="489"/>
      <c r="W101" s="234"/>
      <c r="X101" s="234"/>
      <c r="Y101" s="234"/>
    </row>
    <row r="102" spans="2:25" s="49" customFormat="1" x14ac:dyDescent="0.25">
      <c r="B102" s="247" t="s">
        <v>260</v>
      </c>
      <c r="C102" s="38"/>
      <c r="D102" s="22"/>
      <c r="E102" s="29">
        <f>SUM(F102:V102)</f>
        <v>1</v>
      </c>
      <c r="F102" s="29"/>
      <c r="G102" s="32"/>
      <c r="H102" s="36"/>
      <c r="I102" s="36"/>
      <c r="J102" s="29"/>
      <c r="K102" s="32"/>
      <c r="L102" s="36"/>
      <c r="M102" s="36"/>
      <c r="N102" s="504">
        <v>1</v>
      </c>
      <c r="O102" s="505"/>
      <c r="P102" s="36"/>
      <c r="Q102" s="32"/>
      <c r="R102" s="36"/>
      <c r="S102" s="36"/>
      <c r="T102" s="20"/>
      <c r="U102" s="36"/>
      <c r="V102" s="32"/>
      <c r="W102" s="234"/>
      <c r="X102" s="234"/>
      <c r="Y102" s="234"/>
    </row>
    <row r="103" spans="2:25" s="49" customFormat="1" x14ac:dyDescent="0.25">
      <c r="B103" s="247" t="s">
        <v>138</v>
      </c>
      <c r="C103" s="38"/>
      <c r="D103" s="22"/>
      <c r="E103" s="30">
        <f t="shared" ref="E103:E112" si="2">SUM(F103:V103)</f>
        <v>1</v>
      </c>
      <c r="F103" s="30"/>
      <c r="G103" s="4"/>
      <c r="H103" s="498">
        <v>1</v>
      </c>
      <c r="I103" s="499"/>
      <c r="J103" s="30"/>
      <c r="K103" s="4"/>
      <c r="L103" s="233"/>
      <c r="M103" s="233"/>
      <c r="N103" s="30"/>
      <c r="O103" s="4"/>
      <c r="P103" s="233"/>
      <c r="Q103" s="4"/>
      <c r="R103" s="233"/>
      <c r="S103" s="233"/>
      <c r="T103" s="8"/>
      <c r="U103" s="233"/>
      <c r="V103" s="4"/>
      <c r="W103" s="234"/>
      <c r="X103" s="234"/>
      <c r="Y103" s="234"/>
    </row>
    <row r="104" spans="2:25" s="49" customFormat="1" x14ac:dyDescent="0.25">
      <c r="B104" s="247" t="s">
        <v>261</v>
      </c>
      <c r="C104" s="38"/>
      <c r="D104" s="22"/>
      <c r="E104" s="30">
        <f t="shared" si="2"/>
        <v>3</v>
      </c>
      <c r="F104" s="30"/>
      <c r="G104" s="4"/>
      <c r="H104" s="498">
        <v>1</v>
      </c>
      <c r="I104" s="499"/>
      <c r="J104" s="30"/>
      <c r="K104" s="4"/>
      <c r="L104" s="233"/>
      <c r="M104" s="233"/>
      <c r="N104" s="30"/>
      <c r="O104" s="4"/>
      <c r="P104" s="470">
        <v>1</v>
      </c>
      <c r="Q104" s="499"/>
      <c r="R104" s="498">
        <v>1</v>
      </c>
      <c r="S104" s="499"/>
      <c r="T104" s="8"/>
      <c r="U104" s="233"/>
      <c r="V104" s="4"/>
      <c r="W104" s="234"/>
      <c r="X104" s="234"/>
      <c r="Y104" s="234"/>
    </row>
    <row r="105" spans="2:25" s="49" customFormat="1" x14ac:dyDescent="0.25">
      <c r="B105" s="247" t="s">
        <v>165</v>
      </c>
      <c r="C105" s="38"/>
      <c r="D105" s="22"/>
      <c r="E105" s="30">
        <f t="shared" si="2"/>
        <v>1</v>
      </c>
      <c r="F105" s="30"/>
      <c r="G105" s="4"/>
      <c r="H105" s="233"/>
      <c r="I105" s="233"/>
      <c r="J105" s="498">
        <v>1</v>
      </c>
      <c r="K105" s="499"/>
      <c r="L105" s="233"/>
      <c r="M105" s="233"/>
      <c r="N105" s="30"/>
      <c r="O105" s="4"/>
      <c r="P105" s="233"/>
      <c r="Q105" s="4"/>
      <c r="R105" s="233"/>
      <c r="S105" s="233"/>
      <c r="T105" s="8"/>
      <c r="U105" s="233"/>
      <c r="V105" s="4"/>
      <c r="W105" s="234"/>
      <c r="X105" s="234"/>
      <c r="Y105" s="234"/>
    </row>
    <row r="106" spans="2:25" s="49" customFormat="1" x14ac:dyDescent="0.25">
      <c r="B106" s="266" t="s">
        <v>262</v>
      </c>
      <c r="C106" s="38"/>
      <c r="D106" s="22"/>
      <c r="E106" s="30">
        <f t="shared" si="2"/>
        <v>1</v>
      </c>
      <c r="F106" s="30"/>
      <c r="G106" s="4"/>
      <c r="H106" s="233"/>
      <c r="I106" s="233"/>
      <c r="J106" s="30"/>
      <c r="K106" s="4"/>
      <c r="L106" s="233"/>
      <c r="M106" s="233"/>
      <c r="N106" s="30"/>
      <c r="O106" s="4"/>
      <c r="P106" s="233"/>
      <c r="Q106" s="4"/>
      <c r="R106" s="233"/>
      <c r="S106" s="233"/>
      <c r="T106" s="8"/>
      <c r="U106" s="470">
        <v>1</v>
      </c>
      <c r="V106" s="499"/>
      <c r="W106" s="234"/>
      <c r="X106" s="234"/>
      <c r="Y106" s="234"/>
    </row>
    <row r="107" spans="2:25" s="49" customFormat="1" x14ac:dyDescent="0.25">
      <c r="B107" s="247" t="s">
        <v>193</v>
      </c>
      <c r="C107" s="38"/>
      <c r="D107" s="22"/>
      <c r="E107" s="30">
        <f t="shared" si="2"/>
        <v>2</v>
      </c>
      <c r="F107" s="30"/>
      <c r="G107" s="4"/>
      <c r="H107" s="498">
        <v>1</v>
      </c>
      <c r="I107" s="499"/>
      <c r="J107" s="498">
        <v>1</v>
      </c>
      <c r="K107" s="499"/>
      <c r="L107" s="233"/>
      <c r="M107" s="233"/>
      <c r="N107" s="30"/>
      <c r="O107" s="4"/>
      <c r="P107" s="233"/>
      <c r="Q107" s="4"/>
      <c r="R107" s="233"/>
      <c r="S107" s="233"/>
      <c r="T107" s="8"/>
      <c r="U107" s="233"/>
      <c r="V107" s="4"/>
      <c r="W107" s="234"/>
      <c r="X107" s="234"/>
      <c r="Y107" s="234"/>
    </row>
    <row r="108" spans="2:25" s="49" customFormat="1" x14ac:dyDescent="0.25">
      <c r="B108" s="247" t="s">
        <v>263</v>
      </c>
      <c r="C108" s="38"/>
      <c r="D108" s="22"/>
      <c r="E108" s="30">
        <f t="shared" si="2"/>
        <v>3</v>
      </c>
      <c r="F108" s="30"/>
      <c r="G108" s="4"/>
      <c r="H108" s="498">
        <v>1</v>
      </c>
      <c r="I108" s="499"/>
      <c r="J108" s="498">
        <v>1</v>
      </c>
      <c r="K108" s="499"/>
      <c r="L108" s="498">
        <v>1</v>
      </c>
      <c r="M108" s="470"/>
      <c r="N108" s="30"/>
      <c r="O108" s="4"/>
      <c r="P108" s="233"/>
      <c r="Q108" s="4"/>
      <c r="R108" s="233"/>
      <c r="S108" s="233"/>
      <c r="T108" s="8"/>
      <c r="U108" s="233"/>
      <c r="V108" s="4"/>
      <c r="W108" s="234"/>
      <c r="X108" s="234"/>
      <c r="Y108" s="234"/>
    </row>
    <row r="109" spans="2:25" s="49" customFormat="1" x14ac:dyDescent="0.25">
      <c r="B109" s="247" t="s">
        <v>167</v>
      </c>
      <c r="C109" s="38"/>
      <c r="D109" s="22"/>
      <c r="E109" s="30">
        <f t="shared" si="2"/>
        <v>1</v>
      </c>
      <c r="F109" s="30"/>
      <c r="G109" s="4"/>
      <c r="H109" s="233"/>
      <c r="I109" s="233"/>
      <c r="J109" s="30"/>
      <c r="K109" s="4"/>
      <c r="L109" s="233"/>
      <c r="M109" s="233"/>
      <c r="N109" s="498">
        <v>1</v>
      </c>
      <c r="O109" s="499"/>
      <c r="P109" s="233"/>
      <c r="Q109" s="4"/>
      <c r="R109" s="233"/>
      <c r="S109" s="233"/>
      <c r="T109" s="8"/>
      <c r="U109" s="233"/>
      <c r="V109" s="4"/>
      <c r="W109" s="234"/>
      <c r="X109" s="234"/>
      <c r="Y109" s="234"/>
    </row>
    <row r="110" spans="2:25" s="49" customFormat="1" x14ac:dyDescent="0.25">
      <c r="B110" s="247" t="s">
        <v>264</v>
      </c>
      <c r="C110" s="38"/>
      <c r="D110" s="22"/>
      <c r="E110" s="30">
        <f t="shared" si="2"/>
        <v>1</v>
      </c>
      <c r="F110" s="30"/>
      <c r="G110" s="4"/>
      <c r="H110" s="233"/>
      <c r="I110" s="233"/>
      <c r="J110" s="30"/>
      <c r="K110" s="4"/>
      <c r="L110" s="233"/>
      <c r="M110" s="233"/>
      <c r="N110" s="498">
        <v>1</v>
      </c>
      <c r="O110" s="499"/>
      <c r="P110" s="233"/>
      <c r="Q110" s="4"/>
      <c r="R110" s="233"/>
      <c r="S110" s="233"/>
      <c r="T110" s="8"/>
      <c r="U110" s="233"/>
      <c r="V110" s="4"/>
      <c r="W110" s="234"/>
      <c r="X110" s="234"/>
      <c r="Y110" s="234"/>
    </row>
    <row r="111" spans="2:25" s="49" customFormat="1" x14ac:dyDescent="0.25">
      <c r="B111" s="247" t="s">
        <v>265</v>
      </c>
      <c r="C111" s="38"/>
      <c r="D111" s="22"/>
      <c r="E111" s="30">
        <f t="shared" si="2"/>
        <v>1</v>
      </c>
      <c r="F111" s="30"/>
      <c r="G111" s="4"/>
      <c r="H111" s="233"/>
      <c r="I111" s="233"/>
      <c r="J111" s="30"/>
      <c r="K111" s="4"/>
      <c r="L111" s="233"/>
      <c r="M111" s="233"/>
      <c r="N111" s="30"/>
      <c r="O111" s="4"/>
      <c r="P111" s="233"/>
      <c r="Q111" s="4"/>
      <c r="R111" s="233"/>
      <c r="S111" s="233"/>
      <c r="T111" s="8"/>
      <c r="U111" s="470">
        <v>1</v>
      </c>
      <c r="V111" s="499"/>
      <c r="W111" s="234"/>
      <c r="X111" s="234"/>
      <c r="Y111" s="234"/>
    </row>
    <row r="112" spans="2:25" s="49" customFormat="1" x14ac:dyDescent="0.25">
      <c r="B112" s="247" t="s">
        <v>197</v>
      </c>
      <c r="C112" s="38"/>
      <c r="D112" s="22"/>
      <c r="E112" s="30">
        <f t="shared" si="2"/>
        <v>2</v>
      </c>
      <c r="F112" s="30"/>
      <c r="G112" s="4"/>
      <c r="H112" s="233"/>
      <c r="I112" s="233"/>
      <c r="J112" s="30"/>
      <c r="K112" s="4"/>
      <c r="L112" s="233"/>
      <c r="M112" s="233"/>
      <c r="N112" s="30"/>
      <c r="O112" s="4"/>
      <c r="P112" s="233"/>
      <c r="Q112" s="4"/>
      <c r="R112" s="233"/>
      <c r="S112" s="233"/>
      <c r="T112" s="8">
        <v>1</v>
      </c>
      <c r="U112" s="470">
        <v>1</v>
      </c>
      <c r="V112" s="499"/>
      <c r="W112" s="234"/>
      <c r="X112" s="234"/>
      <c r="Y112" s="234"/>
    </row>
    <row r="113" spans="1:25" s="49" customFormat="1" x14ac:dyDescent="0.25">
      <c r="B113" s="247" t="s">
        <v>266</v>
      </c>
      <c r="C113" s="38" t="s">
        <v>7</v>
      </c>
      <c r="D113" s="22"/>
      <c r="E113" s="31">
        <f>SUM(F113:V113)</f>
        <v>3</v>
      </c>
      <c r="F113" s="31"/>
      <c r="G113" s="265"/>
      <c r="H113" s="37"/>
      <c r="I113" s="37"/>
      <c r="J113" s="500">
        <v>1</v>
      </c>
      <c r="K113" s="501"/>
      <c r="L113" s="37"/>
      <c r="M113" s="37"/>
      <c r="N113" s="31"/>
      <c r="O113" s="265"/>
      <c r="P113" s="502">
        <v>1</v>
      </c>
      <c r="Q113" s="501"/>
      <c r="R113" s="37"/>
      <c r="S113" s="37"/>
      <c r="T113" s="19"/>
      <c r="U113" s="502">
        <v>1</v>
      </c>
      <c r="V113" s="501"/>
      <c r="W113" s="234"/>
      <c r="X113" s="234"/>
      <c r="Y113" s="234"/>
    </row>
    <row r="114" spans="1:25" s="49" customFormat="1" x14ac:dyDescent="0.25">
      <c r="B114" s="247"/>
      <c r="C114" s="38"/>
      <c r="D114" s="22"/>
      <c r="E114" s="43"/>
      <c r="F114" s="263"/>
      <c r="G114" s="264"/>
      <c r="H114" s="43"/>
      <c r="I114" s="43"/>
      <c r="J114" s="263"/>
      <c r="K114" s="264"/>
      <c r="L114" s="43"/>
      <c r="M114" s="43"/>
      <c r="N114" s="263"/>
      <c r="O114" s="264"/>
      <c r="P114" s="43"/>
      <c r="Q114" s="264"/>
      <c r="R114" s="43"/>
      <c r="S114" s="43"/>
      <c r="T114" s="244"/>
      <c r="U114" s="43"/>
      <c r="V114" s="264"/>
      <c r="W114" s="234"/>
      <c r="X114" s="234"/>
      <c r="Y114" s="234"/>
    </row>
    <row r="115" spans="1:25" s="49" customFormat="1" x14ac:dyDescent="0.25">
      <c r="B115" s="261" t="s">
        <v>18</v>
      </c>
      <c r="C115" s="38"/>
      <c r="D115" s="22">
        <v>2</v>
      </c>
      <c r="E115" s="52">
        <f>SUM(F115+H115+J115+L115+N115+P115+R115+U115+T115)</f>
        <v>2</v>
      </c>
      <c r="F115" s="129"/>
      <c r="G115" s="126"/>
      <c r="H115" s="52"/>
      <c r="I115" s="52"/>
      <c r="J115" s="129"/>
      <c r="K115" s="126"/>
      <c r="L115" s="488"/>
      <c r="M115" s="489"/>
      <c r="N115" s="129"/>
      <c r="O115" s="126"/>
      <c r="P115" s="52"/>
      <c r="Q115" s="126"/>
      <c r="R115" s="52"/>
      <c r="S115" s="52"/>
      <c r="T115" s="92">
        <f>SUM(T116:T117)</f>
        <v>2</v>
      </c>
      <c r="U115" s="490"/>
      <c r="V115" s="491"/>
      <c r="W115" s="234"/>
      <c r="X115" s="234"/>
      <c r="Y115" s="234"/>
    </row>
    <row r="116" spans="1:25" s="49" customFormat="1" x14ac:dyDescent="0.25">
      <c r="B116" s="247" t="s">
        <v>267</v>
      </c>
      <c r="C116" s="38"/>
      <c r="D116" s="22"/>
      <c r="E116" s="29">
        <f>SUM(F116:V116)</f>
        <v>1</v>
      </c>
      <c r="F116" s="267"/>
      <c r="G116" s="268"/>
      <c r="H116" s="269"/>
      <c r="I116" s="269"/>
      <c r="J116" s="267"/>
      <c r="K116" s="268"/>
      <c r="L116" s="269"/>
      <c r="M116" s="269"/>
      <c r="N116" s="267"/>
      <c r="O116" s="268"/>
      <c r="P116" s="269"/>
      <c r="Q116" s="268"/>
      <c r="R116" s="269"/>
      <c r="S116" s="269"/>
      <c r="T116" s="270">
        <v>1</v>
      </c>
      <c r="U116" s="492"/>
      <c r="V116" s="493"/>
      <c r="W116" s="234"/>
      <c r="X116" s="234"/>
      <c r="Y116" s="234"/>
    </row>
    <row r="117" spans="1:25" s="49" customFormat="1" x14ac:dyDescent="0.25">
      <c r="B117" s="247" t="s">
        <v>268</v>
      </c>
      <c r="C117" s="38"/>
      <c r="D117" s="22"/>
      <c r="E117" s="31">
        <f>SUM(F117:V117)</f>
        <v>1</v>
      </c>
      <c r="F117" s="271"/>
      <c r="G117" s="272"/>
      <c r="H117" s="273"/>
      <c r="I117" s="273"/>
      <c r="J117" s="271"/>
      <c r="K117" s="272"/>
      <c r="L117" s="494"/>
      <c r="M117" s="495"/>
      <c r="N117" s="271"/>
      <c r="O117" s="272"/>
      <c r="P117" s="273"/>
      <c r="Q117" s="272"/>
      <c r="R117" s="273"/>
      <c r="S117" s="273"/>
      <c r="T117" s="274">
        <v>1</v>
      </c>
      <c r="U117" s="273"/>
      <c r="V117" s="272"/>
      <c r="W117" s="234"/>
      <c r="X117" s="234"/>
      <c r="Y117" s="234"/>
    </row>
    <row r="118" spans="1:25" s="49" customFormat="1" x14ac:dyDescent="0.25">
      <c r="B118" s="247"/>
      <c r="C118" s="38"/>
      <c r="D118" s="22"/>
      <c r="E118" s="234"/>
      <c r="F118" s="26"/>
      <c r="G118" s="81"/>
      <c r="H118" s="234"/>
      <c r="I118" s="234"/>
      <c r="J118" s="26"/>
      <c r="K118" s="81"/>
      <c r="L118" s="234"/>
      <c r="M118" s="234"/>
      <c r="N118" s="26"/>
      <c r="O118" s="81"/>
      <c r="P118" s="234"/>
      <c r="Q118" s="81"/>
      <c r="R118" s="234"/>
      <c r="S118" s="234"/>
      <c r="T118" s="22"/>
      <c r="U118" s="234"/>
      <c r="V118" s="81"/>
      <c r="W118" s="234"/>
      <c r="X118" s="234"/>
      <c r="Y118" s="234"/>
    </row>
    <row r="119" spans="1:25" s="49" customFormat="1" x14ac:dyDescent="0.25">
      <c r="B119" s="261" t="s">
        <v>0</v>
      </c>
      <c r="C119" s="38"/>
      <c r="D119" s="22">
        <v>0</v>
      </c>
      <c r="E119" s="52">
        <f>SUM(F119+H119+J119+L119+N119+P119+R119+U119)</f>
        <v>0</v>
      </c>
      <c r="F119" s="26"/>
      <c r="G119" s="81"/>
      <c r="H119" s="234"/>
      <c r="I119" s="234"/>
      <c r="J119" s="26"/>
      <c r="K119" s="81"/>
      <c r="L119" s="234"/>
      <c r="M119" s="234"/>
      <c r="N119" s="26"/>
      <c r="O119" s="81"/>
      <c r="P119" s="234"/>
      <c r="Q119" s="81"/>
      <c r="R119" s="234"/>
      <c r="S119" s="234"/>
      <c r="T119" s="22"/>
      <c r="U119" s="234"/>
      <c r="V119" s="81"/>
      <c r="W119" s="234"/>
      <c r="X119" s="234"/>
      <c r="Y119" s="234"/>
    </row>
    <row r="120" spans="1:25" s="49" customFormat="1" x14ac:dyDescent="0.25">
      <c r="B120" s="247"/>
      <c r="C120" s="38"/>
      <c r="D120" s="22"/>
      <c r="E120" s="234"/>
      <c r="F120" s="26"/>
      <c r="G120" s="81"/>
      <c r="H120" s="234"/>
      <c r="I120" s="234"/>
      <c r="J120" s="26"/>
      <c r="K120" s="81"/>
      <c r="L120" s="234"/>
      <c r="M120" s="234"/>
      <c r="N120" s="26"/>
      <c r="O120" s="81"/>
      <c r="P120" s="234"/>
      <c r="Q120" s="81"/>
      <c r="R120" s="234"/>
      <c r="S120" s="234"/>
      <c r="T120" s="22"/>
      <c r="U120" s="234"/>
      <c r="V120" s="81"/>
      <c r="W120" s="234"/>
      <c r="X120" s="234"/>
      <c r="Y120" s="234"/>
    </row>
    <row r="121" spans="1:25" s="49" customFormat="1" x14ac:dyDescent="0.25">
      <c r="B121" s="261" t="s">
        <v>94</v>
      </c>
      <c r="C121" s="38"/>
      <c r="D121" s="22">
        <v>1</v>
      </c>
      <c r="E121" s="52">
        <f>SUM(F121+H121+J121+L121+N121+P121+R121+U121+T121)</f>
        <v>1</v>
      </c>
      <c r="F121" s="26"/>
      <c r="G121" s="81"/>
      <c r="H121" s="234"/>
      <c r="I121" s="234"/>
      <c r="J121" s="26"/>
      <c r="K121" s="81"/>
      <c r="L121" s="234"/>
      <c r="M121" s="234"/>
      <c r="N121" s="26"/>
      <c r="O121" s="81"/>
      <c r="P121" s="234"/>
      <c r="Q121" s="81"/>
      <c r="R121" s="234"/>
      <c r="S121" s="234"/>
      <c r="T121" s="22"/>
      <c r="U121" s="490">
        <v>1</v>
      </c>
      <c r="V121" s="491"/>
      <c r="W121" s="234"/>
      <c r="X121" s="234"/>
      <c r="Y121" s="234"/>
    </row>
    <row r="122" spans="1:25" s="49" customFormat="1" x14ac:dyDescent="0.25">
      <c r="A122" s="49" t="s">
        <v>7</v>
      </c>
      <c r="B122" s="247" t="s">
        <v>269</v>
      </c>
      <c r="D122" s="22"/>
      <c r="E122" s="44">
        <f>SUM(F122:V122)</f>
        <v>1</v>
      </c>
      <c r="F122" s="44"/>
      <c r="G122" s="46"/>
      <c r="H122" s="262"/>
      <c r="I122" s="262"/>
      <c r="J122" s="44"/>
      <c r="K122" s="46"/>
      <c r="L122" s="262"/>
      <c r="M122" s="262"/>
      <c r="N122" s="44"/>
      <c r="O122" s="46"/>
      <c r="P122" s="262"/>
      <c r="Q122" s="46"/>
      <c r="R122" s="262"/>
      <c r="S122" s="262"/>
      <c r="T122" s="45"/>
      <c r="U122" s="496">
        <v>1</v>
      </c>
      <c r="V122" s="497"/>
      <c r="W122" s="234"/>
      <c r="X122" s="234"/>
      <c r="Y122" s="234"/>
    </row>
    <row r="123" spans="1:25" s="49" customFormat="1" x14ac:dyDescent="0.25">
      <c r="B123" s="61"/>
      <c r="C123" s="55"/>
      <c r="D123" s="127"/>
      <c r="E123" s="99"/>
      <c r="F123" s="111"/>
      <c r="G123" s="112"/>
      <c r="H123" s="99"/>
      <c r="I123" s="99"/>
      <c r="J123" s="111"/>
      <c r="K123" s="112" t="s">
        <v>7</v>
      </c>
      <c r="L123" s="99"/>
      <c r="M123" s="99"/>
      <c r="N123" s="111"/>
      <c r="O123" s="112"/>
      <c r="P123" s="99"/>
      <c r="Q123" s="112"/>
      <c r="R123" s="482"/>
      <c r="S123" s="482"/>
      <c r="T123" s="23"/>
      <c r="U123" s="99"/>
      <c r="V123" s="112"/>
      <c r="W123" s="234"/>
      <c r="X123" s="234"/>
      <c r="Y123" s="234"/>
    </row>
    <row r="124" spans="1:25" s="49" customFormat="1" x14ac:dyDescent="0.25">
      <c r="E124" s="234"/>
      <c r="F124" s="234"/>
      <c r="G124" s="234"/>
      <c r="H124" s="234"/>
      <c r="I124" s="234"/>
      <c r="J124" s="234"/>
      <c r="K124" s="234"/>
      <c r="L124" s="234"/>
      <c r="M124" s="234"/>
      <c r="N124" s="234"/>
      <c r="O124" s="234"/>
      <c r="P124" s="234"/>
      <c r="Q124" s="234"/>
      <c r="R124" s="234"/>
      <c r="S124" s="234"/>
      <c r="T124" s="234"/>
      <c r="U124" s="234"/>
      <c r="V124" s="234"/>
      <c r="W124" s="234"/>
      <c r="X124" s="234"/>
      <c r="Y124" s="234"/>
    </row>
    <row r="125" spans="1:25" s="49" customFormat="1" x14ac:dyDescent="0.25">
      <c r="E125" s="234"/>
      <c r="F125" s="234" t="s">
        <v>7</v>
      </c>
      <c r="G125" s="234"/>
      <c r="H125" s="234"/>
      <c r="I125" s="234"/>
      <c r="J125" s="234"/>
      <c r="K125" s="234"/>
      <c r="L125" s="234"/>
      <c r="M125" s="234"/>
      <c r="N125" s="234"/>
      <c r="O125" s="234"/>
      <c r="P125" s="234"/>
      <c r="Q125" s="234"/>
      <c r="R125" s="234"/>
      <c r="S125" s="234"/>
      <c r="T125" s="234"/>
      <c r="U125" s="234"/>
      <c r="V125" s="234"/>
      <c r="W125" s="234"/>
      <c r="X125" s="234"/>
      <c r="Y125" s="234"/>
    </row>
    <row r="126" spans="1:25" s="56" customFormat="1" x14ac:dyDescent="0.25">
      <c r="E126" s="118"/>
      <c r="F126" s="118"/>
      <c r="G126" s="118" t="s">
        <v>7</v>
      </c>
      <c r="H126" s="118"/>
      <c r="I126" s="118"/>
      <c r="J126" s="118"/>
      <c r="K126" s="118"/>
      <c r="L126" s="118"/>
      <c r="M126" s="118"/>
      <c r="N126" s="118"/>
      <c r="O126" s="118"/>
      <c r="P126" s="118"/>
      <c r="Q126" s="118"/>
      <c r="R126" s="118"/>
      <c r="S126" s="118"/>
      <c r="T126" s="118"/>
      <c r="U126" s="118"/>
      <c r="V126" s="118"/>
      <c r="W126" s="118"/>
      <c r="X126" s="118"/>
      <c r="Y126" s="118"/>
    </row>
    <row r="127" spans="1:25" hidden="1" x14ac:dyDescent="0.25">
      <c r="K127" s="17" t="s">
        <v>7</v>
      </c>
    </row>
    <row r="128" spans="1:25" ht="13.8" hidden="1" customHeight="1" x14ac:dyDescent="0.25">
      <c r="H128" s="17" t="s">
        <v>7</v>
      </c>
    </row>
    <row r="129" spans="2:18" hidden="1" x14ac:dyDescent="0.25"/>
    <row r="130" spans="2:18" hidden="1" x14ac:dyDescent="0.25"/>
    <row r="131" spans="2:18" ht="28.8" hidden="1" customHeight="1" x14ac:dyDescent="0.25">
      <c r="G131" s="483" t="s">
        <v>270</v>
      </c>
      <c r="H131" s="484" t="s">
        <v>26</v>
      </c>
      <c r="I131" s="484"/>
      <c r="J131" s="484"/>
      <c r="K131" s="484"/>
      <c r="L131" s="484"/>
      <c r="M131" s="484"/>
      <c r="N131" s="484"/>
      <c r="O131" s="484"/>
      <c r="P131" s="484"/>
      <c r="Q131" s="485"/>
      <c r="R131" s="486" t="s">
        <v>31</v>
      </c>
    </row>
    <row r="132" spans="2:18" ht="132" hidden="1" x14ac:dyDescent="0.25">
      <c r="E132" s="275" t="s">
        <v>271</v>
      </c>
      <c r="F132" s="276" t="s">
        <v>32</v>
      </c>
      <c r="G132" s="483"/>
      <c r="H132" s="275" t="s">
        <v>272</v>
      </c>
      <c r="I132" s="275" t="s">
        <v>273</v>
      </c>
      <c r="J132" s="275" t="s">
        <v>274</v>
      </c>
      <c r="K132" s="275" t="s">
        <v>275</v>
      </c>
      <c r="L132" s="275" t="s">
        <v>276</v>
      </c>
      <c r="M132" s="275" t="s">
        <v>277</v>
      </c>
      <c r="N132" s="275" t="s">
        <v>278</v>
      </c>
      <c r="O132" s="275" t="s">
        <v>279</v>
      </c>
      <c r="P132" s="275" t="s">
        <v>280</v>
      </c>
      <c r="Q132" s="275" t="s">
        <v>281</v>
      </c>
      <c r="R132" s="487"/>
    </row>
    <row r="133" spans="2:18" hidden="1" x14ac:dyDescent="0.25">
      <c r="G133" s="277"/>
      <c r="R133" s="278"/>
    </row>
    <row r="134" spans="2:18" hidden="1" x14ac:dyDescent="0.25">
      <c r="B134" s="1" t="s">
        <v>8</v>
      </c>
      <c r="D134" s="1">
        <f>SUM(E134:G134)</f>
        <v>71</v>
      </c>
      <c r="E134" s="17">
        <f>E137+E148+E161+E174+E182+E212+E221</f>
        <v>14</v>
      </c>
      <c r="F134" s="17">
        <f>F137+F148+F161+F174+F182+F212</f>
        <v>29</v>
      </c>
      <c r="G134" s="17">
        <f>G137+G148+G161+G174+G182+G212+G221</f>
        <v>28</v>
      </c>
      <c r="H134" s="17">
        <f t="shared" ref="H134:R134" si="3">H137+H148+H161+H174+H182+H212</f>
        <v>2</v>
      </c>
      <c r="I134" s="17">
        <f t="shared" si="3"/>
        <v>4</v>
      </c>
      <c r="J134" s="17">
        <f t="shared" si="3"/>
        <v>1</v>
      </c>
      <c r="K134" s="17">
        <f t="shared" si="3"/>
        <v>6</v>
      </c>
      <c r="L134" s="17">
        <f t="shared" si="3"/>
        <v>7</v>
      </c>
      <c r="M134" s="17">
        <f t="shared" si="3"/>
        <v>4</v>
      </c>
      <c r="N134" s="17">
        <f t="shared" si="3"/>
        <v>7</v>
      </c>
      <c r="O134" s="17">
        <f t="shared" si="3"/>
        <v>3</v>
      </c>
      <c r="P134" s="17">
        <f t="shared" si="3"/>
        <v>9</v>
      </c>
      <c r="Q134" s="17">
        <f t="shared" si="3"/>
        <v>3</v>
      </c>
      <c r="R134" s="278">
        <f t="shared" si="3"/>
        <v>1</v>
      </c>
    </row>
    <row r="135" spans="2:18" hidden="1" x14ac:dyDescent="0.25">
      <c r="G135" s="277"/>
      <c r="R135" s="278"/>
    </row>
    <row r="136" spans="2:18" hidden="1" x14ac:dyDescent="0.25">
      <c r="G136" s="277"/>
      <c r="R136" s="278"/>
    </row>
    <row r="137" spans="2:18" hidden="1" x14ac:dyDescent="0.25">
      <c r="B137" s="3" t="s">
        <v>282</v>
      </c>
      <c r="E137" s="17">
        <f>SUM(E138:E146)</f>
        <v>2</v>
      </c>
      <c r="F137" s="17">
        <f t="shared" ref="F137:R137" si="4">SUM(F138:F146)</f>
        <v>3</v>
      </c>
      <c r="G137" s="279">
        <v>4</v>
      </c>
      <c r="H137" s="17">
        <f t="shared" si="4"/>
        <v>2</v>
      </c>
      <c r="I137" s="17">
        <f t="shared" si="4"/>
        <v>1</v>
      </c>
      <c r="J137" s="17">
        <f t="shared" si="4"/>
        <v>0</v>
      </c>
      <c r="K137" s="17">
        <f t="shared" si="4"/>
        <v>0</v>
      </c>
      <c r="L137" s="17">
        <f t="shared" si="4"/>
        <v>0</v>
      </c>
      <c r="M137" s="17">
        <f t="shared" si="4"/>
        <v>0</v>
      </c>
      <c r="N137" s="17">
        <f t="shared" si="4"/>
        <v>0</v>
      </c>
      <c r="O137" s="17">
        <f t="shared" si="4"/>
        <v>1</v>
      </c>
      <c r="P137" s="17">
        <f t="shared" si="4"/>
        <v>0</v>
      </c>
      <c r="Q137" s="17">
        <f t="shared" si="4"/>
        <v>0</v>
      </c>
      <c r="R137" s="278">
        <f t="shared" si="4"/>
        <v>0</v>
      </c>
    </row>
    <row r="138" spans="2:18" hidden="1" x14ac:dyDescent="0.25">
      <c r="B138" s="3" t="s">
        <v>4</v>
      </c>
      <c r="C138" s="3"/>
      <c r="D138" s="3"/>
      <c r="E138" s="280"/>
      <c r="F138" s="281">
        <v>1</v>
      </c>
      <c r="G138" s="36"/>
      <c r="H138" s="36"/>
      <c r="I138" s="36"/>
      <c r="J138" s="36"/>
      <c r="K138" s="36"/>
      <c r="L138" s="36"/>
      <c r="M138" s="36"/>
      <c r="N138" s="36"/>
      <c r="O138" s="36"/>
      <c r="P138" s="36"/>
      <c r="Q138" s="36"/>
      <c r="R138" s="282"/>
    </row>
    <row r="139" spans="2:18" hidden="1" x14ac:dyDescent="0.25">
      <c r="B139" s="1" t="s">
        <v>1</v>
      </c>
      <c r="E139" s="30"/>
      <c r="F139" s="233"/>
      <c r="G139" s="233"/>
      <c r="H139" s="191">
        <v>1</v>
      </c>
      <c r="I139" s="191"/>
      <c r="J139" s="191"/>
      <c r="K139" s="191"/>
      <c r="L139" s="191"/>
      <c r="M139" s="191"/>
      <c r="N139" s="191"/>
      <c r="O139" s="191"/>
      <c r="P139" s="191"/>
      <c r="Q139" s="191"/>
      <c r="R139" s="283"/>
    </row>
    <row r="140" spans="2:18" hidden="1" x14ac:dyDescent="0.25">
      <c r="B140" s="1" t="s">
        <v>5</v>
      </c>
      <c r="E140" s="30">
        <v>1</v>
      </c>
      <c r="F140" s="233"/>
      <c r="G140" s="233"/>
      <c r="H140" s="233"/>
      <c r="I140" s="233"/>
      <c r="J140" s="233"/>
      <c r="K140" s="233"/>
      <c r="L140" s="233"/>
      <c r="M140" s="233"/>
      <c r="N140" s="233"/>
      <c r="O140" s="233"/>
      <c r="P140" s="233"/>
      <c r="Q140" s="233"/>
      <c r="R140" s="283"/>
    </row>
    <row r="141" spans="2:18" hidden="1" x14ac:dyDescent="0.25">
      <c r="B141" s="1" t="s">
        <v>2</v>
      </c>
      <c r="E141" s="30"/>
      <c r="F141" s="233"/>
      <c r="G141" s="233"/>
      <c r="H141" s="191">
        <v>1</v>
      </c>
      <c r="I141" s="191"/>
      <c r="J141" s="191"/>
      <c r="K141" s="191"/>
      <c r="L141" s="191"/>
      <c r="M141" s="191"/>
      <c r="N141" s="191"/>
      <c r="O141" s="191"/>
      <c r="P141" s="191"/>
      <c r="Q141" s="191"/>
      <c r="R141" s="283"/>
    </row>
    <row r="142" spans="2:18" hidden="1" x14ac:dyDescent="0.25">
      <c r="B142" s="3" t="s">
        <v>6</v>
      </c>
      <c r="C142" s="3"/>
      <c r="D142" s="3"/>
      <c r="E142" s="284"/>
      <c r="F142" s="156">
        <v>1</v>
      </c>
      <c r="G142" s="233"/>
      <c r="H142" s="233"/>
      <c r="I142" s="233"/>
      <c r="J142" s="233"/>
      <c r="K142" s="233"/>
      <c r="L142" s="233"/>
      <c r="M142" s="233"/>
      <c r="N142" s="233"/>
      <c r="O142" s="233"/>
      <c r="P142" s="233"/>
      <c r="Q142" s="233"/>
      <c r="R142" s="283"/>
    </row>
    <row r="143" spans="2:18" hidden="1" x14ac:dyDescent="0.25">
      <c r="B143" s="3" t="s">
        <v>3</v>
      </c>
      <c r="E143" s="30"/>
      <c r="F143" s="233"/>
      <c r="G143" s="233"/>
      <c r="H143" s="191"/>
      <c r="I143" s="191"/>
      <c r="J143" s="191"/>
      <c r="K143" s="191"/>
      <c r="L143" s="191"/>
      <c r="M143" s="191"/>
      <c r="N143" s="191"/>
      <c r="O143" s="285">
        <v>1</v>
      </c>
      <c r="P143" s="191"/>
      <c r="Q143" s="191"/>
      <c r="R143" s="283"/>
    </row>
    <row r="144" spans="2:18" hidden="1" x14ac:dyDescent="0.25">
      <c r="B144" s="3" t="s">
        <v>23</v>
      </c>
      <c r="E144" s="30">
        <v>1</v>
      </c>
      <c r="F144" s="233"/>
      <c r="G144" s="233"/>
      <c r="H144" s="191"/>
      <c r="I144" s="191"/>
      <c r="J144" s="191"/>
      <c r="K144" s="191"/>
      <c r="L144" s="191"/>
      <c r="M144" s="191"/>
      <c r="N144" s="191"/>
      <c r="O144" s="285"/>
      <c r="P144" s="191"/>
      <c r="Q144" s="191"/>
      <c r="R144" s="283"/>
    </row>
    <row r="145" spans="2:18" hidden="1" x14ac:dyDescent="0.25">
      <c r="B145" s="1" t="s">
        <v>24</v>
      </c>
      <c r="E145" s="30"/>
      <c r="F145" s="233"/>
      <c r="G145" s="233"/>
      <c r="H145" s="233"/>
      <c r="I145" s="233">
        <v>1</v>
      </c>
      <c r="J145" s="233"/>
      <c r="K145" s="233"/>
      <c r="L145" s="233"/>
      <c r="M145" s="233"/>
      <c r="N145" s="233"/>
      <c r="O145" s="233"/>
      <c r="P145" s="233"/>
      <c r="Q145" s="233"/>
      <c r="R145" s="283"/>
    </row>
    <row r="146" spans="2:18" hidden="1" x14ac:dyDescent="0.25">
      <c r="B146" s="1" t="s">
        <v>25</v>
      </c>
      <c r="E146" s="31"/>
      <c r="F146" s="37">
        <v>1</v>
      </c>
      <c r="G146" s="37"/>
      <c r="H146" s="193"/>
      <c r="I146" s="193"/>
      <c r="J146" s="193"/>
      <c r="K146" s="193"/>
      <c r="L146" s="193"/>
      <c r="M146" s="193"/>
      <c r="N146" s="193"/>
      <c r="O146" s="193"/>
      <c r="P146" s="193"/>
      <c r="Q146" s="193"/>
      <c r="R146" s="286"/>
    </row>
    <row r="147" spans="2:18" hidden="1" x14ac:dyDescent="0.25">
      <c r="R147" s="278"/>
    </row>
    <row r="148" spans="2:18" hidden="1" x14ac:dyDescent="0.25">
      <c r="B148" s="3" t="s">
        <v>283</v>
      </c>
      <c r="E148" s="17">
        <f>SUM(E149:E159)</f>
        <v>0</v>
      </c>
      <c r="F148" s="17">
        <f t="shared" ref="F148:R148" si="5">SUM(F149:F159)</f>
        <v>5</v>
      </c>
      <c r="G148" s="279">
        <v>5</v>
      </c>
      <c r="H148" s="17">
        <f t="shared" si="5"/>
        <v>0</v>
      </c>
      <c r="I148" s="17">
        <f t="shared" si="5"/>
        <v>0</v>
      </c>
      <c r="J148" s="17">
        <f t="shared" si="5"/>
        <v>0</v>
      </c>
      <c r="K148" s="17">
        <f t="shared" si="5"/>
        <v>3</v>
      </c>
      <c r="L148" s="17">
        <f t="shared" si="5"/>
        <v>3</v>
      </c>
      <c r="M148" s="17">
        <f t="shared" si="5"/>
        <v>0</v>
      </c>
      <c r="N148" s="17">
        <f t="shared" si="5"/>
        <v>1</v>
      </c>
      <c r="O148" s="17">
        <f t="shared" si="5"/>
        <v>0</v>
      </c>
      <c r="P148" s="17">
        <f t="shared" si="5"/>
        <v>1</v>
      </c>
      <c r="Q148" s="17">
        <f t="shared" si="5"/>
        <v>1</v>
      </c>
      <c r="R148" s="278">
        <f t="shared" si="5"/>
        <v>1</v>
      </c>
    </row>
    <row r="149" spans="2:18" hidden="1" x14ac:dyDescent="0.25">
      <c r="B149" s="1" t="s">
        <v>33</v>
      </c>
      <c r="E149" s="29"/>
      <c r="F149" s="36"/>
      <c r="G149" s="36"/>
      <c r="H149" s="36"/>
      <c r="I149" s="36"/>
      <c r="J149" s="36"/>
      <c r="K149" s="36"/>
      <c r="L149" s="36"/>
      <c r="M149" s="36"/>
      <c r="N149" s="36"/>
      <c r="O149" s="36"/>
      <c r="P149" s="36"/>
      <c r="Q149" s="36"/>
      <c r="R149" s="282">
        <v>1</v>
      </c>
    </row>
    <row r="150" spans="2:18" hidden="1" x14ac:dyDescent="0.25">
      <c r="B150" s="1" t="s">
        <v>34</v>
      </c>
      <c r="E150" s="30"/>
      <c r="F150" s="233"/>
      <c r="G150" s="233"/>
      <c r="H150" s="191"/>
      <c r="I150" s="191"/>
      <c r="J150" s="191"/>
      <c r="K150" s="191">
        <v>1</v>
      </c>
      <c r="L150" s="191">
        <v>1</v>
      </c>
      <c r="M150" s="191"/>
      <c r="N150" s="191"/>
      <c r="O150" s="191"/>
      <c r="P150" s="191"/>
      <c r="Q150" s="191"/>
      <c r="R150" s="283"/>
    </row>
    <row r="151" spans="2:18" hidden="1" x14ac:dyDescent="0.25">
      <c r="B151" s="1" t="s">
        <v>35</v>
      </c>
      <c r="E151" s="30"/>
      <c r="F151" s="233"/>
      <c r="G151" s="233"/>
      <c r="H151" s="233"/>
      <c r="I151" s="233"/>
      <c r="J151" s="233"/>
      <c r="K151" s="233">
        <v>1</v>
      </c>
      <c r="L151" s="233">
        <v>1</v>
      </c>
      <c r="M151" s="233"/>
      <c r="N151" s="233"/>
      <c r="O151" s="233"/>
      <c r="P151" s="233">
        <v>1</v>
      </c>
      <c r="Q151" s="233"/>
      <c r="R151" s="283"/>
    </row>
    <row r="152" spans="2:18" hidden="1" x14ac:dyDescent="0.25">
      <c r="B152" s="1" t="s">
        <v>36</v>
      </c>
      <c r="E152" s="30"/>
      <c r="F152" s="233">
        <v>1</v>
      </c>
      <c r="G152" s="233"/>
      <c r="H152" s="191"/>
      <c r="I152" s="191"/>
      <c r="J152" s="191"/>
      <c r="K152" s="191"/>
      <c r="L152" s="191"/>
      <c r="M152" s="191"/>
      <c r="N152" s="191"/>
      <c r="O152" s="191"/>
      <c r="P152" s="191"/>
      <c r="Q152" s="191"/>
      <c r="R152" s="283"/>
    </row>
    <row r="153" spans="2:18" hidden="1" x14ac:dyDescent="0.25">
      <c r="B153" s="1" t="s">
        <v>37</v>
      </c>
      <c r="E153" s="30"/>
      <c r="F153" s="233">
        <v>1</v>
      </c>
      <c r="G153" s="233"/>
      <c r="H153" s="233"/>
      <c r="I153" s="233"/>
      <c r="J153" s="233"/>
      <c r="K153" s="233"/>
      <c r="L153" s="233"/>
      <c r="M153" s="233"/>
      <c r="N153" s="233"/>
      <c r="O153" s="233"/>
      <c r="P153" s="233"/>
      <c r="Q153" s="233"/>
      <c r="R153" s="283"/>
    </row>
    <row r="154" spans="2:18" hidden="1" x14ac:dyDescent="0.25">
      <c r="B154" s="1" t="s">
        <v>38</v>
      </c>
      <c r="E154" s="30"/>
      <c r="F154" s="233"/>
      <c r="G154" s="233"/>
      <c r="H154" s="191"/>
      <c r="I154" s="191"/>
      <c r="J154" s="191"/>
      <c r="K154" s="191"/>
      <c r="L154" s="191"/>
      <c r="M154" s="191"/>
      <c r="N154" s="191">
        <v>1</v>
      </c>
      <c r="O154" s="191"/>
      <c r="P154" s="191"/>
      <c r="Q154" s="191">
        <v>1</v>
      </c>
      <c r="R154" s="283"/>
    </row>
    <row r="155" spans="2:18" hidden="1" x14ac:dyDescent="0.25">
      <c r="B155" s="1" t="s">
        <v>39</v>
      </c>
      <c r="E155" s="30"/>
      <c r="F155" s="233"/>
      <c r="G155" s="233"/>
      <c r="H155" s="233"/>
      <c r="I155" s="233"/>
      <c r="J155" s="233"/>
      <c r="K155" s="233">
        <v>1</v>
      </c>
      <c r="L155" s="233"/>
      <c r="M155" s="233"/>
      <c r="N155" s="233"/>
      <c r="O155" s="233"/>
      <c r="P155" s="233"/>
      <c r="Q155" s="233"/>
      <c r="R155" s="283"/>
    </row>
    <row r="156" spans="2:18" hidden="1" x14ac:dyDescent="0.25">
      <c r="B156" s="1" t="s">
        <v>40</v>
      </c>
      <c r="E156" s="30"/>
      <c r="F156" s="233">
        <v>1</v>
      </c>
      <c r="G156" s="233"/>
      <c r="H156" s="191"/>
      <c r="I156" s="191"/>
      <c r="J156" s="191"/>
      <c r="K156" s="191"/>
      <c r="L156" s="191"/>
      <c r="M156" s="191"/>
      <c r="N156" s="191"/>
      <c r="O156" s="191"/>
      <c r="P156" s="191"/>
      <c r="Q156" s="191"/>
      <c r="R156" s="283"/>
    </row>
    <row r="157" spans="2:18" hidden="1" x14ac:dyDescent="0.25">
      <c r="B157" s="1" t="s">
        <v>41</v>
      </c>
      <c r="E157" s="30"/>
      <c r="F157" s="233"/>
      <c r="G157" s="233"/>
      <c r="H157" s="233"/>
      <c r="I157" s="233"/>
      <c r="J157" s="233"/>
      <c r="K157" s="233"/>
      <c r="L157" s="233">
        <v>1</v>
      </c>
      <c r="M157" s="233"/>
      <c r="N157" s="233"/>
      <c r="O157" s="233"/>
      <c r="P157" s="233"/>
      <c r="Q157" s="233"/>
      <c r="R157" s="283"/>
    </row>
    <row r="158" spans="2:18" hidden="1" x14ac:dyDescent="0.25">
      <c r="B158" s="1" t="s">
        <v>42</v>
      </c>
      <c r="E158" s="30"/>
      <c r="F158" s="233">
        <v>1</v>
      </c>
      <c r="G158" s="233"/>
      <c r="H158" s="191"/>
      <c r="I158" s="191"/>
      <c r="J158" s="191"/>
      <c r="K158" s="191"/>
      <c r="L158" s="191"/>
      <c r="M158" s="191"/>
      <c r="N158" s="191"/>
      <c r="O158" s="191"/>
      <c r="P158" s="191"/>
      <c r="Q158" s="191"/>
      <c r="R158" s="283"/>
    </row>
    <row r="159" spans="2:18" hidden="1" x14ac:dyDescent="0.25">
      <c r="B159" s="1" t="s">
        <v>88</v>
      </c>
      <c r="E159" s="31"/>
      <c r="F159" s="37">
        <v>1</v>
      </c>
      <c r="G159" s="37"/>
      <c r="H159" s="37"/>
      <c r="I159" s="37"/>
      <c r="J159" s="37"/>
      <c r="K159" s="37"/>
      <c r="L159" s="37"/>
      <c r="M159" s="37"/>
      <c r="N159" s="37"/>
      <c r="O159" s="37"/>
      <c r="P159" s="37"/>
      <c r="Q159" s="37"/>
      <c r="R159" s="286"/>
    </row>
    <row r="160" spans="2:18" hidden="1" x14ac:dyDescent="0.25">
      <c r="B160" s="1" t="s">
        <v>7</v>
      </c>
      <c r="E160" s="17" t="s">
        <v>7</v>
      </c>
    </row>
    <row r="161" spans="2:18" hidden="1" x14ac:dyDescent="0.25">
      <c r="B161" s="3" t="s">
        <v>11</v>
      </c>
      <c r="E161" s="17">
        <f>SUM(E162:E172)</f>
        <v>1</v>
      </c>
      <c r="F161" s="17">
        <f t="shared" ref="F161:R161" si="6">SUM(F162:F172)</f>
        <v>5</v>
      </c>
      <c r="G161" s="279">
        <v>5</v>
      </c>
      <c r="H161" s="17">
        <f t="shared" si="6"/>
        <v>0</v>
      </c>
      <c r="I161" s="17">
        <f t="shared" si="6"/>
        <v>0</v>
      </c>
      <c r="J161" s="17">
        <f t="shared" si="6"/>
        <v>1</v>
      </c>
      <c r="K161" s="17">
        <f t="shared" si="6"/>
        <v>1</v>
      </c>
      <c r="L161" s="17">
        <f t="shared" si="6"/>
        <v>1</v>
      </c>
      <c r="M161" s="17">
        <f t="shared" si="6"/>
        <v>2</v>
      </c>
      <c r="N161" s="17">
        <f t="shared" si="6"/>
        <v>2</v>
      </c>
      <c r="O161" s="17">
        <f t="shared" si="6"/>
        <v>1</v>
      </c>
      <c r="P161" s="17">
        <f t="shared" si="6"/>
        <v>4</v>
      </c>
      <c r="Q161" s="17">
        <f t="shared" si="6"/>
        <v>0</v>
      </c>
      <c r="R161" s="17">
        <f t="shared" si="6"/>
        <v>0</v>
      </c>
    </row>
    <row r="162" spans="2:18" hidden="1" x14ac:dyDescent="0.25">
      <c r="B162" s="1" t="s">
        <v>284</v>
      </c>
      <c r="E162" s="29"/>
      <c r="F162" s="36">
        <v>1</v>
      </c>
      <c r="G162" s="36"/>
      <c r="H162" s="36"/>
      <c r="I162" s="36"/>
      <c r="J162" s="36"/>
      <c r="K162" s="36"/>
      <c r="L162" s="36"/>
      <c r="M162" s="36"/>
      <c r="N162" s="36"/>
      <c r="O162" s="36"/>
      <c r="P162" s="36"/>
      <c r="Q162" s="36"/>
      <c r="R162" s="32"/>
    </row>
    <row r="163" spans="2:18" hidden="1" x14ac:dyDescent="0.25">
      <c r="B163" s="1" t="s">
        <v>43</v>
      </c>
      <c r="E163" s="30"/>
      <c r="F163" s="233"/>
      <c r="G163" s="233"/>
      <c r="H163" s="233"/>
      <c r="I163" s="233"/>
      <c r="J163" s="233"/>
      <c r="K163" s="233"/>
      <c r="L163" s="233">
        <v>1</v>
      </c>
      <c r="M163" s="233"/>
      <c r="N163" s="233">
        <v>1</v>
      </c>
      <c r="O163" s="233"/>
      <c r="P163" s="233"/>
      <c r="Q163" s="233"/>
      <c r="R163" s="4"/>
    </row>
    <row r="164" spans="2:18" hidden="1" x14ac:dyDescent="0.25">
      <c r="B164" s="1" t="s">
        <v>44</v>
      </c>
      <c r="E164" s="30">
        <v>1</v>
      </c>
      <c r="F164" s="233"/>
      <c r="G164" s="233"/>
      <c r="H164" s="233"/>
      <c r="I164" s="233"/>
      <c r="J164" s="233"/>
      <c r="K164" s="233"/>
      <c r="L164" s="233"/>
      <c r="M164" s="233"/>
      <c r="N164" s="233"/>
      <c r="O164" s="233"/>
      <c r="P164" s="233"/>
      <c r="Q164" s="233"/>
      <c r="R164" s="4"/>
    </row>
    <row r="165" spans="2:18" hidden="1" x14ac:dyDescent="0.25">
      <c r="B165" s="1" t="s">
        <v>45</v>
      </c>
      <c r="E165" s="30"/>
      <c r="F165" s="233">
        <v>1</v>
      </c>
      <c r="G165" s="233"/>
      <c r="H165" s="233"/>
      <c r="I165" s="233"/>
      <c r="J165" s="233"/>
      <c r="K165" s="233"/>
      <c r="L165" s="233"/>
      <c r="M165" s="233"/>
      <c r="N165" s="233"/>
      <c r="O165" s="233"/>
      <c r="P165" s="233"/>
      <c r="Q165" s="233"/>
      <c r="R165" s="4"/>
    </row>
    <row r="166" spans="2:18" hidden="1" x14ac:dyDescent="0.25">
      <c r="B166" s="1" t="s">
        <v>46</v>
      </c>
      <c r="E166" s="30"/>
      <c r="F166" s="233"/>
      <c r="G166" s="233"/>
      <c r="H166" s="233"/>
      <c r="I166" s="233"/>
      <c r="J166" s="233"/>
      <c r="K166" s="233"/>
      <c r="L166" s="233"/>
      <c r="M166" s="233"/>
      <c r="N166" s="233"/>
      <c r="O166" s="233">
        <v>1</v>
      </c>
      <c r="P166" s="233">
        <v>1</v>
      </c>
      <c r="Q166" s="233"/>
      <c r="R166" s="4"/>
    </row>
    <row r="167" spans="2:18" hidden="1" x14ac:dyDescent="0.25">
      <c r="B167" s="1" t="s">
        <v>47</v>
      </c>
      <c r="E167" s="30"/>
      <c r="F167" s="233"/>
      <c r="G167" s="233"/>
      <c r="H167" s="233"/>
      <c r="I167" s="233"/>
      <c r="J167" s="233"/>
      <c r="K167" s="233"/>
      <c r="L167" s="233"/>
      <c r="M167" s="233">
        <v>1</v>
      </c>
      <c r="N167" s="233"/>
      <c r="O167" s="233"/>
      <c r="P167" s="233"/>
      <c r="Q167" s="233"/>
      <c r="R167" s="4"/>
    </row>
    <row r="168" spans="2:18" hidden="1" x14ac:dyDescent="0.25">
      <c r="B168" s="1" t="s">
        <v>48</v>
      </c>
      <c r="E168" s="30"/>
      <c r="F168" s="233"/>
      <c r="G168" s="233"/>
      <c r="H168" s="233"/>
      <c r="I168" s="233"/>
      <c r="J168" s="233"/>
      <c r="K168" s="233">
        <v>1</v>
      </c>
      <c r="L168" s="233"/>
      <c r="M168" s="233"/>
      <c r="N168" s="233">
        <v>1</v>
      </c>
      <c r="O168" s="233"/>
      <c r="P168" s="233">
        <v>1</v>
      </c>
      <c r="Q168" s="233"/>
      <c r="R168" s="4"/>
    </row>
    <row r="169" spans="2:18" hidden="1" x14ac:dyDescent="0.25">
      <c r="B169" s="1" t="s">
        <v>49</v>
      </c>
      <c r="E169" s="30"/>
      <c r="F169" s="233">
        <v>1</v>
      </c>
      <c r="G169" s="233"/>
      <c r="H169" s="233"/>
      <c r="I169" s="233"/>
      <c r="J169" s="233"/>
      <c r="K169" s="233"/>
      <c r="L169" s="233"/>
      <c r="M169" s="233"/>
      <c r="N169" s="233"/>
      <c r="O169" s="233"/>
      <c r="P169" s="233"/>
      <c r="Q169" s="233"/>
      <c r="R169" s="4"/>
    </row>
    <row r="170" spans="2:18" hidden="1" x14ac:dyDescent="0.25">
      <c r="B170" s="1" t="s">
        <v>50</v>
      </c>
      <c r="E170" s="30"/>
      <c r="F170" s="233">
        <v>1</v>
      </c>
      <c r="G170" s="233"/>
      <c r="H170" s="233"/>
      <c r="I170" s="233"/>
      <c r="J170" s="233"/>
      <c r="K170" s="233"/>
      <c r="L170" s="233"/>
      <c r="M170" s="233"/>
      <c r="N170" s="233"/>
      <c r="O170" s="233"/>
      <c r="P170" s="233"/>
      <c r="Q170" s="233"/>
      <c r="R170" s="4"/>
    </row>
    <row r="171" spans="2:18" hidden="1" x14ac:dyDescent="0.25">
      <c r="B171" s="1" t="s">
        <v>51</v>
      </c>
      <c r="E171" s="30"/>
      <c r="F171" s="233"/>
      <c r="G171" s="233"/>
      <c r="H171" s="233"/>
      <c r="I171" s="233"/>
      <c r="J171" s="233">
        <v>1</v>
      </c>
      <c r="K171" s="233"/>
      <c r="L171" s="233"/>
      <c r="M171" s="233">
        <v>1</v>
      </c>
      <c r="N171" s="233"/>
      <c r="O171" s="233"/>
      <c r="P171" s="233">
        <v>1</v>
      </c>
      <c r="Q171" s="233"/>
      <c r="R171" s="4"/>
    </row>
    <row r="172" spans="2:18" hidden="1" x14ac:dyDescent="0.25">
      <c r="B172" s="1" t="s">
        <v>52</v>
      </c>
      <c r="E172" s="31"/>
      <c r="F172" s="37">
        <v>1</v>
      </c>
      <c r="G172" s="37"/>
      <c r="H172" s="37"/>
      <c r="I172" s="37"/>
      <c r="J172" s="37"/>
      <c r="K172" s="37"/>
      <c r="L172" s="37"/>
      <c r="M172" s="37"/>
      <c r="N172" s="37"/>
      <c r="O172" s="37"/>
      <c r="P172" s="37">
        <v>1</v>
      </c>
      <c r="Q172" s="37"/>
      <c r="R172" s="265"/>
    </row>
    <row r="173" spans="2:18" hidden="1" x14ac:dyDescent="0.25"/>
    <row r="174" spans="2:18" hidden="1" x14ac:dyDescent="0.25">
      <c r="B174" s="3" t="s">
        <v>10</v>
      </c>
      <c r="E174" s="17">
        <f>SUM(E175:E180)</f>
        <v>2</v>
      </c>
      <c r="F174" s="17">
        <f t="shared" ref="F174:R174" si="7">SUM(F175:F180)</f>
        <v>2</v>
      </c>
      <c r="G174" s="279">
        <v>2</v>
      </c>
      <c r="H174" s="17">
        <f t="shared" si="7"/>
        <v>0</v>
      </c>
      <c r="I174" s="17">
        <f t="shared" si="7"/>
        <v>1</v>
      </c>
      <c r="J174" s="17">
        <f t="shared" si="7"/>
        <v>0</v>
      </c>
      <c r="K174" s="17">
        <f t="shared" si="7"/>
        <v>1</v>
      </c>
      <c r="L174" s="17">
        <f t="shared" si="7"/>
        <v>0</v>
      </c>
      <c r="M174" s="17">
        <f t="shared" si="7"/>
        <v>0</v>
      </c>
      <c r="N174" s="17">
        <f t="shared" si="7"/>
        <v>0</v>
      </c>
      <c r="O174" s="17">
        <f t="shared" si="7"/>
        <v>0</v>
      </c>
      <c r="P174" s="17">
        <f t="shared" si="7"/>
        <v>0</v>
      </c>
      <c r="Q174" s="17">
        <f t="shared" si="7"/>
        <v>0</v>
      </c>
      <c r="R174" s="17">
        <f t="shared" si="7"/>
        <v>0</v>
      </c>
    </row>
    <row r="175" spans="2:18" hidden="1" x14ac:dyDescent="0.25">
      <c r="B175" s="1" t="s">
        <v>53</v>
      </c>
      <c r="E175" s="29"/>
      <c r="F175" s="36"/>
      <c r="G175" s="36"/>
      <c r="H175" s="36"/>
      <c r="I175" s="36">
        <v>1</v>
      </c>
      <c r="J175" s="36"/>
      <c r="K175" s="36"/>
      <c r="L175" s="36"/>
      <c r="M175" s="36"/>
      <c r="N175" s="36"/>
      <c r="O175" s="36"/>
      <c r="P175" s="36"/>
      <c r="Q175" s="36"/>
      <c r="R175" s="32"/>
    </row>
    <row r="176" spans="2:18" hidden="1" x14ac:dyDescent="0.25">
      <c r="B176" s="1" t="s">
        <v>54</v>
      </c>
      <c r="E176" s="30"/>
      <c r="F176" s="233">
        <v>1</v>
      </c>
      <c r="G176" s="233"/>
      <c r="H176" s="233"/>
      <c r="I176" s="233"/>
      <c r="J176" s="233"/>
      <c r="K176" s="233"/>
      <c r="L176" s="233"/>
      <c r="M176" s="233"/>
      <c r="N176" s="233"/>
      <c r="O176" s="233"/>
      <c r="P176" s="233"/>
      <c r="Q176" s="233"/>
      <c r="R176" s="4"/>
    </row>
    <row r="177" spans="2:18" hidden="1" x14ac:dyDescent="0.25">
      <c r="B177" s="1" t="s">
        <v>55</v>
      </c>
      <c r="E177" s="30">
        <v>1</v>
      </c>
      <c r="F177" s="233"/>
      <c r="G177" s="233"/>
      <c r="H177" s="233"/>
      <c r="I177" s="233"/>
      <c r="J177" s="233"/>
      <c r="K177" s="233"/>
      <c r="L177" s="233"/>
      <c r="M177" s="233"/>
      <c r="N177" s="233"/>
      <c r="O177" s="233"/>
      <c r="P177" s="233"/>
      <c r="Q177" s="233"/>
      <c r="R177" s="4"/>
    </row>
    <row r="178" spans="2:18" hidden="1" x14ac:dyDescent="0.25">
      <c r="B178" s="1" t="s">
        <v>56</v>
      </c>
      <c r="E178" s="30"/>
      <c r="F178" s="233">
        <v>1</v>
      </c>
      <c r="G178" s="233"/>
      <c r="H178" s="233"/>
      <c r="I178" s="233"/>
      <c r="J178" s="233"/>
      <c r="K178" s="233"/>
      <c r="L178" s="233"/>
      <c r="M178" s="233"/>
      <c r="N178" s="233"/>
      <c r="O178" s="233"/>
      <c r="P178" s="233"/>
      <c r="Q178" s="233"/>
      <c r="R178" s="4"/>
    </row>
    <row r="179" spans="2:18" hidden="1" x14ac:dyDescent="0.25">
      <c r="B179" s="1" t="s">
        <v>57</v>
      </c>
      <c r="E179" s="30"/>
      <c r="F179" s="233"/>
      <c r="G179" s="233"/>
      <c r="H179" s="233"/>
      <c r="I179" s="233"/>
      <c r="J179" s="233"/>
      <c r="K179" s="233">
        <v>1</v>
      </c>
      <c r="L179" s="233"/>
      <c r="M179" s="233"/>
      <c r="N179" s="233"/>
      <c r="O179" s="233"/>
      <c r="P179" s="233"/>
      <c r="Q179" s="233"/>
      <c r="R179" s="4"/>
    </row>
    <row r="180" spans="2:18" hidden="1" x14ac:dyDescent="0.25">
      <c r="B180" s="1" t="s">
        <v>58</v>
      </c>
      <c r="E180" s="31">
        <v>1</v>
      </c>
      <c r="F180" s="37"/>
      <c r="G180" s="37"/>
      <c r="H180" s="37"/>
      <c r="I180" s="37"/>
      <c r="J180" s="37"/>
      <c r="K180" s="37"/>
      <c r="L180" s="37"/>
      <c r="M180" s="37"/>
      <c r="N180" s="37"/>
      <c r="O180" s="37"/>
      <c r="P180" s="37"/>
      <c r="Q180" s="37"/>
      <c r="R180" s="265"/>
    </row>
    <row r="181" spans="2:18" hidden="1" x14ac:dyDescent="0.25"/>
    <row r="182" spans="2:18" hidden="1" x14ac:dyDescent="0.25">
      <c r="B182" s="3" t="s">
        <v>9</v>
      </c>
      <c r="E182" s="17">
        <f>SUM(E183:E210)</f>
        <v>4</v>
      </c>
      <c r="F182" s="17">
        <f t="shared" ref="F182:R182" si="8">SUM(F183:F210)</f>
        <v>11</v>
      </c>
      <c r="G182" s="279">
        <v>12</v>
      </c>
      <c r="H182" s="17">
        <f t="shared" si="8"/>
        <v>0</v>
      </c>
      <c r="I182" s="17">
        <f t="shared" si="8"/>
        <v>2</v>
      </c>
      <c r="J182" s="17">
        <f t="shared" si="8"/>
        <v>0</v>
      </c>
      <c r="K182" s="17">
        <f t="shared" si="8"/>
        <v>1</v>
      </c>
      <c r="L182" s="17">
        <f t="shared" si="8"/>
        <v>3</v>
      </c>
      <c r="M182" s="17">
        <f t="shared" si="8"/>
        <v>2</v>
      </c>
      <c r="N182" s="17">
        <f t="shared" si="8"/>
        <v>4</v>
      </c>
      <c r="O182" s="17">
        <f t="shared" si="8"/>
        <v>1</v>
      </c>
      <c r="P182" s="17">
        <f t="shared" si="8"/>
        <v>4</v>
      </c>
      <c r="Q182" s="17">
        <f t="shared" si="8"/>
        <v>2</v>
      </c>
      <c r="R182" s="17">
        <f t="shared" si="8"/>
        <v>0</v>
      </c>
    </row>
    <row r="183" spans="2:18" hidden="1" x14ac:dyDescent="0.25">
      <c r="E183" s="29"/>
      <c r="F183" s="36"/>
      <c r="G183" s="36"/>
      <c r="H183" s="36"/>
      <c r="I183" s="36"/>
      <c r="J183" s="36"/>
      <c r="K183" s="36"/>
      <c r="L183" s="36"/>
      <c r="M183" s="36"/>
      <c r="N183" s="36"/>
      <c r="O183" s="36"/>
      <c r="P183" s="36"/>
      <c r="Q183" s="36"/>
      <c r="R183" s="32"/>
    </row>
    <row r="184" spans="2:18" hidden="1" x14ac:dyDescent="0.25">
      <c r="B184" s="1" t="s">
        <v>59</v>
      </c>
      <c r="E184" s="30"/>
      <c r="F184" s="233"/>
      <c r="G184" s="233"/>
      <c r="H184" s="233"/>
      <c r="I184" s="233"/>
      <c r="J184" s="233"/>
      <c r="K184" s="233"/>
      <c r="L184" s="233">
        <v>1</v>
      </c>
      <c r="M184" s="233"/>
      <c r="N184" s="233"/>
      <c r="O184" s="233"/>
      <c r="P184" s="233"/>
      <c r="Q184" s="233"/>
      <c r="R184" s="4"/>
    </row>
    <row r="185" spans="2:18" hidden="1" x14ac:dyDescent="0.25">
      <c r="B185" s="1" t="s">
        <v>60</v>
      </c>
      <c r="E185" s="30"/>
      <c r="F185" s="233">
        <v>1</v>
      </c>
      <c r="G185" s="233"/>
      <c r="H185" s="233"/>
      <c r="I185" s="233"/>
      <c r="J185" s="233"/>
      <c r="K185" s="233"/>
      <c r="L185" s="233"/>
      <c r="M185" s="233"/>
      <c r="N185" s="233"/>
      <c r="O185" s="233"/>
      <c r="P185" s="233"/>
      <c r="Q185" s="233"/>
      <c r="R185" s="4"/>
    </row>
    <row r="186" spans="2:18" hidden="1" x14ac:dyDescent="0.25">
      <c r="B186" s="1" t="s">
        <v>61</v>
      </c>
      <c r="E186" s="30"/>
      <c r="F186" s="233"/>
      <c r="G186" s="233"/>
      <c r="H186" s="233"/>
      <c r="I186" s="233"/>
      <c r="J186" s="233"/>
      <c r="K186" s="233"/>
      <c r="L186" s="233"/>
      <c r="M186" s="233"/>
      <c r="N186" s="233"/>
      <c r="O186" s="233"/>
      <c r="P186" s="233">
        <v>1</v>
      </c>
      <c r="Q186" s="233"/>
      <c r="R186" s="4"/>
    </row>
    <row r="187" spans="2:18" hidden="1" x14ac:dyDescent="0.25">
      <c r="B187" s="1" t="s">
        <v>62</v>
      </c>
      <c r="E187" s="30"/>
      <c r="F187" s="233"/>
      <c r="G187" s="233"/>
      <c r="H187" s="233"/>
      <c r="I187" s="233"/>
      <c r="J187" s="233"/>
      <c r="K187" s="233"/>
      <c r="L187" s="233"/>
      <c r="M187" s="233">
        <v>1</v>
      </c>
      <c r="N187" s="233"/>
      <c r="O187" s="233">
        <v>1</v>
      </c>
      <c r="P187" s="233">
        <v>1</v>
      </c>
      <c r="Q187" s="233"/>
      <c r="R187" s="4"/>
    </row>
    <row r="188" spans="2:18" hidden="1" x14ac:dyDescent="0.25">
      <c r="B188" s="1" t="s">
        <v>63</v>
      </c>
      <c r="E188" s="30"/>
      <c r="F188" s="233">
        <v>1</v>
      </c>
      <c r="G188" s="233"/>
      <c r="H188" s="233"/>
      <c r="I188" s="233"/>
      <c r="J188" s="233"/>
      <c r="K188" s="233"/>
      <c r="L188" s="233"/>
      <c r="M188" s="233"/>
      <c r="N188" s="233"/>
      <c r="O188" s="233"/>
      <c r="P188" s="233"/>
      <c r="Q188" s="233"/>
      <c r="R188" s="4"/>
    </row>
    <row r="189" spans="2:18" hidden="1" x14ac:dyDescent="0.25">
      <c r="B189" s="1" t="s">
        <v>64</v>
      </c>
      <c r="E189" s="30"/>
      <c r="F189" s="233">
        <v>1</v>
      </c>
      <c r="G189" s="233"/>
      <c r="H189" s="233"/>
      <c r="I189" s="233"/>
      <c r="J189" s="233"/>
      <c r="K189" s="233"/>
      <c r="L189" s="233"/>
      <c r="M189" s="233"/>
      <c r="N189" s="233"/>
      <c r="O189" s="233"/>
      <c r="P189" s="233"/>
      <c r="Q189" s="233"/>
      <c r="R189" s="4"/>
    </row>
    <row r="190" spans="2:18" hidden="1" x14ac:dyDescent="0.25">
      <c r="B190" s="1" t="s">
        <v>65</v>
      </c>
      <c r="E190" s="30"/>
      <c r="F190" s="233"/>
      <c r="G190" s="233"/>
      <c r="H190" s="233"/>
      <c r="I190" s="233"/>
      <c r="J190" s="233"/>
      <c r="K190" s="233"/>
      <c r="L190" s="233"/>
      <c r="M190" s="233"/>
      <c r="N190" s="233">
        <v>1</v>
      </c>
      <c r="O190" s="233"/>
      <c r="P190" s="233"/>
      <c r="Q190" s="233"/>
      <c r="R190" s="4"/>
    </row>
    <row r="191" spans="2:18" hidden="1" x14ac:dyDescent="0.25">
      <c r="B191" s="1" t="s">
        <v>285</v>
      </c>
      <c r="E191" s="30"/>
      <c r="F191" s="233">
        <v>1</v>
      </c>
      <c r="G191" s="233"/>
      <c r="H191" s="233"/>
      <c r="I191" s="233"/>
      <c r="J191" s="233"/>
      <c r="K191" s="233"/>
      <c r="L191" s="233"/>
      <c r="M191" s="233"/>
      <c r="N191" s="233"/>
      <c r="O191" s="233"/>
      <c r="P191" s="233"/>
      <c r="Q191" s="233"/>
      <c r="R191" s="4"/>
    </row>
    <row r="192" spans="2:18" hidden="1" x14ac:dyDescent="0.25">
      <c r="B192" s="1" t="s">
        <v>286</v>
      </c>
      <c r="E192" s="30"/>
      <c r="F192" s="233"/>
      <c r="G192" s="233"/>
      <c r="H192" s="233"/>
      <c r="I192" s="233"/>
      <c r="J192" s="233"/>
      <c r="K192" s="233"/>
      <c r="L192" s="233"/>
      <c r="M192" s="233"/>
      <c r="N192" s="233"/>
      <c r="O192" s="233"/>
      <c r="P192" s="233"/>
      <c r="Q192" s="233">
        <v>1</v>
      </c>
      <c r="R192" s="4"/>
    </row>
    <row r="193" spans="2:18" hidden="1" x14ac:dyDescent="0.25">
      <c r="B193" s="1" t="s">
        <v>287</v>
      </c>
      <c r="E193" s="30"/>
      <c r="F193" s="233">
        <v>1</v>
      </c>
      <c r="G193" s="233"/>
      <c r="H193" s="233"/>
      <c r="I193" s="233"/>
      <c r="J193" s="233"/>
      <c r="K193" s="233"/>
      <c r="L193" s="233"/>
      <c r="M193" s="233"/>
      <c r="N193" s="233"/>
      <c r="O193" s="233"/>
      <c r="P193" s="233"/>
      <c r="Q193" s="233"/>
      <c r="R193" s="4"/>
    </row>
    <row r="194" spans="2:18" hidden="1" x14ac:dyDescent="0.25">
      <c r="B194" s="1" t="s">
        <v>69</v>
      </c>
      <c r="E194" s="30"/>
      <c r="F194" s="233">
        <v>1</v>
      </c>
      <c r="G194" s="233"/>
      <c r="H194" s="233"/>
      <c r="I194" s="233"/>
      <c r="J194" s="233"/>
      <c r="K194" s="233"/>
      <c r="L194" s="233"/>
      <c r="M194" s="233"/>
      <c r="N194" s="233"/>
      <c r="O194" s="233"/>
      <c r="P194" s="233"/>
      <c r="Q194" s="233"/>
      <c r="R194" s="4"/>
    </row>
    <row r="195" spans="2:18" hidden="1" x14ac:dyDescent="0.25">
      <c r="B195" s="1" t="s">
        <v>70</v>
      </c>
      <c r="E195" s="30"/>
      <c r="F195" s="233"/>
      <c r="G195" s="233"/>
      <c r="H195" s="233"/>
      <c r="I195" s="233"/>
      <c r="J195" s="233"/>
      <c r="K195" s="233"/>
      <c r="L195" s="233"/>
      <c r="M195" s="233"/>
      <c r="N195" s="233">
        <v>1</v>
      </c>
      <c r="O195" s="233"/>
      <c r="P195" s="233">
        <v>1</v>
      </c>
      <c r="Q195" s="233"/>
      <c r="R195" s="4"/>
    </row>
    <row r="196" spans="2:18" hidden="1" x14ac:dyDescent="0.25">
      <c r="B196" s="1" t="s">
        <v>288</v>
      </c>
      <c r="E196" s="30">
        <v>1</v>
      </c>
      <c r="F196" s="233"/>
      <c r="G196" s="233"/>
      <c r="H196" s="233"/>
      <c r="I196" s="233"/>
      <c r="J196" s="233"/>
      <c r="K196" s="233"/>
      <c r="L196" s="233"/>
      <c r="M196" s="233"/>
      <c r="N196" s="233"/>
      <c r="O196" s="233"/>
      <c r="P196" s="233"/>
      <c r="Q196" s="233"/>
      <c r="R196" s="4"/>
    </row>
    <row r="197" spans="2:18" hidden="1" x14ac:dyDescent="0.25">
      <c r="B197" s="1" t="s">
        <v>72</v>
      </c>
      <c r="E197" s="30"/>
      <c r="F197" s="233"/>
      <c r="G197" s="233"/>
      <c r="H197" s="233"/>
      <c r="I197" s="233"/>
      <c r="J197" s="233"/>
      <c r="K197" s="233">
        <v>1</v>
      </c>
      <c r="L197" s="233"/>
      <c r="M197" s="233"/>
      <c r="N197" s="233">
        <v>1</v>
      </c>
      <c r="O197" s="233"/>
      <c r="P197" s="233">
        <v>1</v>
      </c>
      <c r="Q197" s="233"/>
      <c r="R197" s="4"/>
    </row>
    <row r="198" spans="2:18" hidden="1" x14ac:dyDescent="0.25">
      <c r="B198" s="1" t="s">
        <v>289</v>
      </c>
      <c r="E198" s="30"/>
      <c r="F198" s="233">
        <v>1</v>
      </c>
      <c r="G198" s="233"/>
      <c r="H198" s="233"/>
      <c r="I198" s="233"/>
      <c r="J198" s="233"/>
      <c r="K198" s="233"/>
      <c r="L198" s="233"/>
      <c r="M198" s="233"/>
      <c r="N198" s="233"/>
      <c r="O198" s="233"/>
      <c r="P198" s="233"/>
      <c r="Q198" s="233"/>
      <c r="R198" s="4"/>
    </row>
    <row r="199" spans="2:18" hidden="1" x14ac:dyDescent="0.25">
      <c r="B199" s="1" t="s">
        <v>290</v>
      </c>
      <c r="E199" s="30"/>
      <c r="F199" s="233">
        <v>1</v>
      </c>
      <c r="G199" s="233"/>
      <c r="H199" s="233"/>
      <c r="I199" s="233"/>
      <c r="J199" s="233"/>
      <c r="K199" s="233"/>
      <c r="L199" s="233"/>
      <c r="M199" s="233"/>
      <c r="N199" s="233"/>
      <c r="O199" s="233"/>
      <c r="P199" s="233"/>
      <c r="Q199" s="233"/>
      <c r="R199" s="4"/>
    </row>
    <row r="200" spans="2:18" hidden="1" x14ac:dyDescent="0.25">
      <c r="B200" s="1" t="s">
        <v>291</v>
      </c>
      <c r="E200" s="30"/>
      <c r="F200" s="233">
        <v>1</v>
      </c>
      <c r="G200" s="233"/>
      <c r="H200" s="233"/>
      <c r="I200" s="233"/>
      <c r="J200" s="233"/>
      <c r="K200" s="233"/>
      <c r="L200" s="233"/>
      <c r="M200" s="233"/>
      <c r="N200" s="233"/>
      <c r="O200" s="233"/>
      <c r="P200" s="233"/>
      <c r="Q200" s="233"/>
      <c r="R200" s="4"/>
    </row>
    <row r="201" spans="2:18" hidden="1" x14ac:dyDescent="0.25">
      <c r="B201" s="1" t="s">
        <v>292</v>
      </c>
      <c r="E201" s="30"/>
      <c r="F201" s="233">
        <v>1</v>
      </c>
      <c r="G201" s="233"/>
      <c r="H201" s="233"/>
      <c r="I201" s="233"/>
      <c r="J201" s="233"/>
      <c r="K201" s="233"/>
      <c r="L201" s="233"/>
      <c r="M201" s="233"/>
      <c r="N201" s="233"/>
      <c r="O201" s="233"/>
      <c r="P201" s="233"/>
      <c r="Q201" s="233"/>
      <c r="R201" s="4"/>
    </row>
    <row r="202" spans="2:18" hidden="1" x14ac:dyDescent="0.25">
      <c r="B202" s="1" t="s">
        <v>73</v>
      </c>
      <c r="E202" s="30">
        <v>1</v>
      </c>
      <c r="F202" s="233"/>
      <c r="G202" s="233"/>
      <c r="H202" s="233"/>
      <c r="I202" s="233"/>
      <c r="J202" s="233"/>
      <c r="K202" s="233"/>
      <c r="L202" s="233"/>
      <c r="M202" s="233"/>
      <c r="N202" s="233"/>
      <c r="O202" s="233"/>
      <c r="P202" s="233"/>
      <c r="Q202" s="233"/>
      <c r="R202" s="4"/>
    </row>
    <row r="203" spans="2:18" hidden="1" x14ac:dyDescent="0.25">
      <c r="B203" s="1" t="s">
        <v>74</v>
      </c>
      <c r="E203" s="30"/>
      <c r="F203" s="233"/>
      <c r="G203" s="233"/>
      <c r="H203" s="233"/>
      <c r="I203" s="233"/>
      <c r="J203" s="233"/>
      <c r="K203" s="233"/>
      <c r="L203" s="233">
        <v>1</v>
      </c>
      <c r="M203" s="233"/>
      <c r="N203" s="233"/>
      <c r="O203" s="233"/>
      <c r="P203" s="233"/>
      <c r="Q203" s="233"/>
      <c r="R203" s="4"/>
    </row>
    <row r="204" spans="2:18" hidden="1" x14ac:dyDescent="0.25">
      <c r="B204" s="1" t="s">
        <v>293</v>
      </c>
      <c r="E204" s="30">
        <v>1</v>
      </c>
      <c r="F204" s="233"/>
      <c r="G204" s="233"/>
      <c r="H204" s="233"/>
      <c r="I204" s="233"/>
      <c r="J204" s="233"/>
      <c r="K204" s="233"/>
      <c r="L204" s="233"/>
      <c r="M204" s="233"/>
      <c r="N204" s="233"/>
      <c r="O204" s="233"/>
      <c r="P204" s="233"/>
      <c r="Q204" s="233"/>
      <c r="R204" s="4"/>
    </row>
    <row r="205" spans="2:18" hidden="1" x14ac:dyDescent="0.25">
      <c r="B205" s="1" t="s">
        <v>75</v>
      </c>
      <c r="E205" s="30"/>
      <c r="F205" s="233">
        <v>1</v>
      </c>
      <c r="G205" s="233"/>
      <c r="H205" s="233"/>
      <c r="I205" s="233"/>
      <c r="J205" s="233"/>
      <c r="K205" s="233"/>
      <c r="L205" s="233"/>
      <c r="M205" s="233"/>
      <c r="N205" s="233"/>
      <c r="O205" s="233"/>
      <c r="P205" s="233"/>
      <c r="Q205" s="233"/>
      <c r="R205" s="4"/>
    </row>
    <row r="206" spans="2:18" hidden="1" x14ac:dyDescent="0.25">
      <c r="B206" s="1" t="s">
        <v>76</v>
      </c>
      <c r="E206" s="30"/>
      <c r="F206" s="233"/>
      <c r="G206" s="233"/>
      <c r="H206" s="233"/>
      <c r="I206" s="233"/>
      <c r="J206" s="233"/>
      <c r="K206" s="233"/>
      <c r="L206" s="233">
        <v>1</v>
      </c>
      <c r="M206" s="233"/>
      <c r="N206" s="233"/>
      <c r="O206" s="233"/>
      <c r="P206" s="233"/>
      <c r="Q206" s="233"/>
      <c r="R206" s="4"/>
    </row>
    <row r="207" spans="2:18" hidden="1" x14ac:dyDescent="0.25">
      <c r="B207" s="1" t="s">
        <v>77</v>
      </c>
      <c r="E207" s="30"/>
      <c r="F207" s="233"/>
      <c r="G207" s="233"/>
      <c r="H207" s="233"/>
      <c r="I207" s="233">
        <v>1</v>
      </c>
      <c r="J207" s="233"/>
      <c r="K207" s="233"/>
      <c r="L207" s="233"/>
      <c r="M207" s="233"/>
      <c r="N207" s="233"/>
      <c r="O207" s="233"/>
      <c r="P207" s="233"/>
      <c r="Q207" s="233"/>
      <c r="R207" s="4"/>
    </row>
    <row r="208" spans="2:18" hidden="1" x14ac:dyDescent="0.25">
      <c r="B208" s="1" t="s">
        <v>78</v>
      </c>
      <c r="E208" s="30"/>
      <c r="F208" s="233"/>
      <c r="G208" s="233"/>
      <c r="H208" s="233"/>
      <c r="I208" s="233">
        <v>1</v>
      </c>
      <c r="J208" s="233"/>
      <c r="K208" s="233"/>
      <c r="L208" s="233"/>
      <c r="M208" s="233"/>
      <c r="N208" s="233"/>
      <c r="O208" s="233"/>
      <c r="P208" s="233"/>
      <c r="Q208" s="233"/>
      <c r="R208" s="4"/>
    </row>
    <row r="209" spans="2:18" hidden="1" x14ac:dyDescent="0.25">
      <c r="B209" s="1" t="s">
        <v>79</v>
      </c>
      <c r="E209" s="30"/>
      <c r="F209" s="233"/>
      <c r="G209" s="233"/>
      <c r="H209" s="233"/>
      <c r="I209" s="233"/>
      <c r="J209" s="233"/>
      <c r="K209" s="233"/>
      <c r="L209" s="233"/>
      <c r="M209" s="233">
        <v>1</v>
      </c>
      <c r="N209" s="233">
        <v>1</v>
      </c>
      <c r="O209" s="233"/>
      <c r="P209" s="233"/>
      <c r="Q209" s="233">
        <v>1</v>
      </c>
      <c r="R209" s="4"/>
    </row>
    <row r="210" spans="2:18" hidden="1" x14ac:dyDescent="0.25">
      <c r="B210" s="1" t="s">
        <v>80</v>
      </c>
      <c r="E210" s="31">
        <v>1</v>
      </c>
      <c r="F210" s="37"/>
      <c r="G210" s="37"/>
      <c r="H210" s="37"/>
      <c r="I210" s="37"/>
      <c r="J210" s="37"/>
      <c r="K210" s="37"/>
      <c r="L210" s="37"/>
      <c r="M210" s="37"/>
      <c r="N210" s="37"/>
      <c r="O210" s="37"/>
      <c r="P210" s="37"/>
      <c r="Q210" s="37"/>
      <c r="R210" s="265"/>
    </row>
    <row r="211" spans="2:18" hidden="1" x14ac:dyDescent="0.25"/>
    <row r="212" spans="2:18" hidden="1" x14ac:dyDescent="0.25">
      <c r="B212" s="3" t="s">
        <v>0</v>
      </c>
      <c r="E212" s="17">
        <f>SUM(E213:E219)</f>
        <v>4</v>
      </c>
      <c r="F212" s="17">
        <f t="shared" ref="F212:R212" si="9">SUM(F213:F219)</f>
        <v>3</v>
      </c>
      <c r="G212" s="279">
        <v>0</v>
      </c>
      <c r="H212" s="17">
        <f t="shared" si="9"/>
        <v>0</v>
      </c>
      <c r="I212" s="17">
        <f t="shared" si="9"/>
        <v>0</v>
      </c>
      <c r="J212" s="17">
        <f t="shared" si="9"/>
        <v>0</v>
      </c>
      <c r="K212" s="17">
        <f t="shared" si="9"/>
        <v>0</v>
      </c>
      <c r="L212" s="17">
        <f t="shared" si="9"/>
        <v>0</v>
      </c>
      <c r="M212" s="17">
        <f t="shared" si="9"/>
        <v>0</v>
      </c>
      <c r="N212" s="17">
        <f t="shared" si="9"/>
        <v>0</v>
      </c>
      <c r="O212" s="17">
        <f t="shared" si="9"/>
        <v>0</v>
      </c>
      <c r="P212" s="17">
        <f t="shared" si="9"/>
        <v>0</v>
      </c>
      <c r="Q212" s="17">
        <f t="shared" si="9"/>
        <v>0</v>
      </c>
      <c r="R212" s="17">
        <f t="shared" si="9"/>
        <v>0</v>
      </c>
    </row>
    <row r="213" spans="2:18" hidden="1" x14ac:dyDescent="0.25">
      <c r="B213" s="1" t="s">
        <v>294</v>
      </c>
      <c r="E213" s="29"/>
      <c r="F213" s="36">
        <v>1</v>
      </c>
      <c r="G213" s="36"/>
      <c r="H213" s="36"/>
      <c r="I213" s="36"/>
      <c r="J213" s="36"/>
      <c r="K213" s="36"/>
      <c r="L213" s="36"/>
      <c r="M213" s="36"/>
      <c r="N213" s="36"/>
      <c r="O213" s="36"/>
      <c r="P213" s="36"/>
      <c r="Q213" s="36"/>
      <c r="R213" s="32"/>
    </row>
    <row r="214" spans="2:18" hidden="1" x14ac:dyDescent="0.25">
      <c r="B214" s="1" t="s">
        <v>81</v>
      </c>
      <c r="E214" s="30"/>
      <c r="F214" s="233">
        <v>1</v>
      </c>
      <c r="G214" s="233"/>
      <c r="H214" s="233"/>
      <c r="I214" s="233"/>
      <c r="J214" s="233"/>
      <c r="K214" s="233"/>
      <c r="L214" s="233"/>
      <c r="M214" s="233"/>
      <c r="N214" s="233"/>
      <c r="O214" s="233"/>
      <c r="P214" s="233"/>
      <c r="Q214" s="233"/>
      <c r="R214" s="4"/>
    </row>
    <row r="215" spans="2:18" hidden="1" x14ac:dyDescent="0.25">
      <c r="B215" s="1" t="s">
        <v>82</v>
      </c>
      <c r="E215" s="30"/>
      <c r="F215" s="233">
        <v>1</v>
      </c>
      <c r="G215" s="233"/>
      <c r="H215" s="233"/>
      <c r="I215" s="233"/>
      <c r="J215" s="233"/>
      <c r="K215" s="233"/>
      <c r="L215" s="233"/>
      <c r="M215" s="233"/>
      <c r="N215" s="233"/>
      <c r="O215" s="233"/>
      <c r="P215" s="233"/>
      <c r="Q215" s="233"/>
      <c r="R215" s="4"/>
    </row>
    <row r="216" spans="2:18" hidden="1" x14ac:dyDescent="0.25">
      <c r="B216" s="1" t="s">
        <v>83</v>
      </c>
      <c r="E216" s="30">
        <v>1</v>
      </c>
      <c r="F216" s="233"/>
      <c r="G216" s="233"/>
      <c r="H216" s="233"/>
      <c r="I216" s="233"/>
      <c r="J216" s="233"/>
      <c r="K216" s="233"/>
      <c r="L216" s="233"/>
      <c r="M216" s="233"/>
      <c r="N216" s="233"/>
      <c r="O216" s="233"/>
      <c r="P216" s="233"/>
      <c r="Q216" s="233"/>
      <c r="R216" s="4"/>
    </row>
    <row r="217" spans="2:18" hidden="1" x14ac:dyDescent="0.25">
      <c r="B217" s="1" t="s">
        <v>84</v>
      </c>
      <c r="E217" s="30">
        <v>1</v>
      </c>
      <c r="F217" s="233"/>
      <c r="G217" s="233"/>
      <c r="H217" s="233"/>
      <c r="I217" s="233"/>
      <c r="J217" s="233"/>
      <c r="K217" s="233"/>
      <c r="L217" s="233"/>
      <c r="M217" s="233"/>
      <c r="N217" s="233"/>
      <c r="O217" s="233"/>
      <c r="P217" s="233"/>
      <c r="Q217" s="233"/>
      <c r="R217" s="4"/>
    </row>
    <row r="218" spans="2:18" hidden="1" x14ac:dyDescent="0.25">
      <c r="B218" s="1" t="s">
        <v>85</v>
      </c>
      <c r="E218" s="30">
        <v>1</v>
      </c>
      <c r="F218" s="233"/>
      <c r="G218" s="233"/>
      <c r="H218" s="233"/>
      <c r="I218" s="233"/>
      <c r="J218" s="233"/>
      <c r="K218" s="233"/>
      <c r="L218" s="233"/>
      <c r="M218" s="233"/>
      <c r="N218" s="233"/>
      <c r="O218" s="233"/>
      <c r="P218" s="233"/>
      <c r="Q218" s="233"/>
      <c r="R218" s="4"/>
    </row>
    <row r="219" spans="2:18" hidden="1" x14ac:dyDescent="0.25">
      <c r="B219" s="1" t="s">
        <v>87</v>
      </c>
      <c r="E219" s="31">
        <v>1</v>
      </c>
      <c r="F219" s="37"/>
      <c r="G219" s="37"/>
      <c r="H219" s="37"/>
      <c r="I219" s="37"/>
      <c r="J219" s="37"/>
      <c r="K219" s="37"/>
      <c r="L219" s="37"/>
      <c r="M219" s="37"/>
      <c r="N219" s="37"/>
      <c r="O219" s="37"/>
      <c r="P219" s="37"/>
      <c r="Q219" s="37"/>
      <c r="R219" s="265"/>
    </row>
    <row r="220" spans="2:18" hidden="1" x14ac:dyDescent="0.25"/>
    <row r="221" spans="2:18" hidden="1" x14ac:dyDescent="0.25">
      <c r="B221" s="3" t="s">
        <v>295</v>
      </c>
      <c r="E221" s="17">
        <v>1</v>
      </c>
    </row>
    <row r="222" spans="2:18" hidden="1" x14ac:dyDescent="0.25">
      <c r="B222" s="1" t="s">
        <v>296</v>
      </c>
      <c r="E222" s="44"/>
      <c r="F222" s="262"/>
      <c r="G222" s="262"/>
      <c r="H222" s="262"/>
      <c r="I222" s="262"/>
      <c r="J222" s="262"/>
      <c r="K222" s="262"/>
      <c r="L222" s="262"/>
      <c r="M222" s="262"/>
      <c r="N222" s="262"/>
      <c r="O222" s="262"/>
      <c r="P222" s="262"/>
      <c r="Q222" s="262"/>
      <c r="R222" s="46"/>
    </row>
    <row r="223" spans="2:18" hidden="1" x14ac:dyDescent="0.25"/>
    <row r="224" spans="2:18" hidden="1" x14ac:dyDescent="0.25">
      <c r="E224" s="17" t="s">
        <v>7</v>
      </c>
    </row>
  </sheetData>
  <mergeCells count="134">
    <mergeCell ref="F85:G85"/>
    <mergeCell ref="B2:C2"/>
    <mergeCell ref="B6:M6"/>
    <mergeCell ref="F8:G8"/>
    <mergeCell ref="H8:I8"/>
    <mergeCell ref="J8:K8"/>
    <mergeCell ref="L8:M8"/>
    <mergeCell ref="B8:E8"/>
    <mergeCell ref="B9:E9"/>
    <mergeCell ref="F80:G80"/>
    <mergeCell ref="T72:T73"/>
    <mergeCell ref="U72:V73"/>
    <mergeCell ref="H73:I73"/>
    <mergeCell ref="J73:K73"/>
    <mergeCell ref="L73:M73"/>
    <mergeCell ref="N73:O73"/>
    <mergeCell ref="P73:Q73"/>
    <mergeCell ref="R73:S73"/>
    <mergeCell ref="B68:N68"/>
    <mergeCell ref="B72:C73"/>
    <mergeCell ref="D72:D73"/>
    <mergeCell ref="E72:E73"/>
    <mergeCell ref="F72:G73"/>
    <mergeCell ref="H72:M72"/>
    <mergeCell ref="N72:S72"/>
    <mergeCell ref="R74:S74"/>
    <mergeCell ref="U74:V74"/>
    <mergeCell ref="F75:G75"/>
    <mergeCell ref="H75:I75"/>
    <mergeCell ref="J75:K75"/>
    <mergeCell ref="L75:M75"/>
    <mergeCell ref="N75:O75"/>
    <mergeCell ref="P75:Q75"/>
    <mergeCell ref="R75:S75"/>
    <mergeCell ref="U75:V75"/>
    <mergeCell ref="F74:G74"/>
    <mergeCell ref="H74:I74"/>
    <mergeCell ref="J74:K74"/>
    <mergeCell ref="L74:M74"/>
    <mergeCell ref="N74:O74"/>
    <mergeCell ref="P74:Q74"/>
    <mergeCell ref="U80:V80"/>
    <mergeCell ref="F81:G81"/>
    <mergeCell ref="R81:S81"/>
    <mergeCell ref="F82:G82"/>
    <mergeCell ref="U83:V83"/>
    <mergeCell ref="R77:S77"/>
    <mergeCell ref="U77:V77"/>
    <mergeCell ref="F78:G78"/>
    <mergeCell ref="L78:M78"/>
    <mergeCell ref="N78:O78"/>
    <mergeCell ref="P78:Q78"/>
    <mergeCell ref="R78:S78"/>
    <mergeCell ref="U78:V78"/>
    <mergeCell ref="F77:G77"/>
    <mergeCell ref="H77:I77"/>
    <mergeCell ref="J77:K77"/>
    <mergeCell ref="L77:M77"/>
    <mergeCell ref="N77:O77"/>
    <mergeCell ref="P77:Q77"/>
    <mergeCell ref="H88:I88"/>
    <mergeCell ref="R88:S88"/>
    <mergeCell ref="P89:Q89"/>
    <mergeCell ref="H90:I90"/>
    <mergeCell ref="P90:Q90"/>
    <mergeCell ref="U90:V90"/>
    <mergeCell ref="U85:V85"/>
    <mergeCell ref="H86:I86"/>
    <mergeCell ref="J86:K86"/>
    <mergeCell ref="L86:M86"/>
    <mergeCell ref="R86:S86"/>
    <mergeCell ref="J87:K87"/>
    <mergeCell ref="N87:O87"/>
    <mergeCell ref="R87:S87"/>
    <mergeCell ref="H85:I85"/>
    <mergeCell ref="J85:K85"/>
    <mergeCell ref="L85:M85"/>
    <mergeCell ref="N85:O85"/>
    <mergeCell ref="P85:Q85"/>
    <mergeCell ref="R85:S85"/>
    <mergeCell ref="U93:V93"/>
    <mergeCell ref="L94:M94"/>
    <mergeCell ref="N94:O94"/>
    <mergeCell ref="P94:Q94"/>
    <mergeCell ref="H95:I95"/>
    <mergeCell ref="L95:M95"/>
    <mergeCell ref="N95:O95"/>
    <mergeCell ref="H91:I91"/>
    <mergeCell ref="H93:I93"/>
    <mergeCell ref="J93:K93"/>
    <mergeCell ref="L93:M93"/>
    <mergeCell ref="N93:O93"/>
    <mergeCell ref="P93:Q93"/>
    <mergeCell ref="L96:M96"/>
    <mergeCell ref="N96:O96"/>
    <mergeCell ref="N97:O97"/>
    <mergeCell ref="J99:K99"/>
    <mergeCell ref="U99:V99"/>
    <mergeCell ref="H101:I101"/>
    <mergeCell ref="J101:K101"/>
    <mergeCell ref="L101:M101"/>
    <mergeCell ref="N101:O101"/>
    <mergeCell ref="P101:Q101"/>
    <mergeCell ref="H107:I107"/>
    <mergeCell ref="J107:K107"/>
    <mergeCell ref="H108:I108"/>
    <mergeCell ref="J108:K108"/>
    <mergeCell ref="L108:M108"/>
    <mergeCell ref="R101:S101"/>
    <mergeCell ref="U101:V101"/>
    <mergeCell ref="N102:O102"/>
    <mergeCell ref="H103:I103"/>
    <mergeCell ref="H104:I104"/>
    <mergeCell ref="P104:Q104"/>
    <mergeCell ref="R104:S104"/>
    <mergeCell ref="N109:O109"/>
    <mergeCell ref="N110:O110"/>
    <mergeCell ref="U111:V111"/>
    <mergeCell ref="U112:V112"/>
    <mergeCell ref="J113:K113"/>
    <mergeCell ref="P113:Q113"/>
    <mergeCell ref="U113:V113"/>
    <mergeCell ref="J105:K105"/>
    <mergeCell ref="U106:V106"/>
    <mergeCell ref="R123:S123"/>
    <mergeCell ref="G131:G132"/>
    <mergeCell ref="H131:Q131"/>
    <mergeCell ref="R131:R132"/>
    <mergeCell ref="L115:M115"/>
    <mergeCell ref="U115:V115"/>
    <mergeCell ref="U116:V116"/>
    <mergeCell ref="L117:M117"/>
    <mergeCell ref="U121:V121"/>
    <mergeCell ref="U122:V122"/>
  </mergeCells>
  <pageMargins left="0.7" right="0.7" top="0.75" bottom="0.75" header="0.3" footer="0.3"/>
  <pageSetup orientation="portrait" verticalDpi="0" r:id="rId1"/>
  <ignoredErrors>
    <ignoredError sqref="G11:H11 I11:J11 K11:L11"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31AB-C5E1-4D37-B936-28500037D1BF}">
  <dimension ref="B2:BA330"/>
  <sheetViews>
    <sheetView showGridLines="0" workbookViewId="0">
      <selection activeCell="N10" sqref="N10"/>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1" style="17" customWidth="1"/>
    <col min="8" max="8" width="11.6640625" style="234" customWidth="1"/>
    <col min="9" max="9" width="11.33203125" style="234" customWidth="1"/>
    <col min="10" max="10" width="11" style="234" customWidth="1"/>
    <col min="11" max="11" width="10.88671875" style="234" customWidth="1"/>
    <col min="12" max="12" width="11.5546875" style="234" customWidth="1"/>
    <col min="13" max="13" width="11.21875" style="234" customWidth="1"/>
    <col min="14" max="14" width="12.6640625" style="234" customWidth="1"/>
    <col min="15" max="15" width="12.44140625" style="234" customWidth="1"/>
    <col min="16" max="16" width="12.5546875" style="234" customWidth="1"/>
    <col min="17" max="17" width="11.5546875" style="234" customWidth="1"/>
    <col min="18" max="18" width="12.5546875" style="234" customWidth="1"/>
    <col min="19" max="21" width="11.21875" style="234" customWidth="1"/>
    <col min="22" max="22" width="12.6640625" style="234" customWidth="1"/>
    <col min="23" max="23" width="13.77734375" style="234" customWidth="1"/>
    <col min="24" max="24" width="12.33203125" style="234" customWidth="1"/>
    <col min="25" max="26" width="12.6640625" style="234" customWidth="1"/>
    <col min="27" max="35" width="12.44140625" style="234" customWidth="1"/>
    <col min="36" max="36" width="10.21875" style="234" customWidth="1"/>
    <col min="37" max="37" width="9.6640625" style="234" customWidth="1"/>
    <col min="38" max="38" width="9" style="234" customWidth="1"/>
    <col min="39" max="39" width="1" style="234" customWidth="1"/>
    <col min="40" max="40" width="11.6640625" style="17" customWidth="1"/>
    <col min="41" max="41" width="10.5546875" style="17" customWidth="1"/>
    <col min="42" max="42" width="11.6640625" style="17" customWidth="1"/>
    <col min="43" max="43" width="10.6640625" style="17" customWidth="1"/>
    <col min="44" max="44" width="0.6640625" style="17" customWidth="1"/>
    <col min="45" max="45" width="12.44140625" style="17" customWidth="1"/>
    <col min="46" max="16384" width="8.88671875" style="1"/>
  </cols>
  <sheetData>
    <row r="2" spans="2:39" ht="18.600000000000001" customHeight="1" x14ac:dyDescent="0.25">
      <c r="B2" s="431" t="s">
        <v>393</v>
      </c>
      <c r="C2" s="432"/>
      <c r="E2" s="50"/>
    </row>
    <row r="3" spans="2:39" ht="20.399999999999999" customHeight="1" x14ac:dyDescent="0.3">
      <c r="B3" s="5" t="s">
        <v>297</v>
      </c>
      <c r="E3" s="1"/>
    </row>
    <row r="4" spans="2:39" ht="9" customHeight="1" x14ac:dyDescent="0.3">
      <c r="B4" s="5"/>
      <c r="E4" s="1"/>
    </row>
    <row r="5" spans="2:39" x14ac:dyDescent="0.25">
      <c r="B5" s="100" t="s">
        <v>298</v>
      </c>
      <c r="E5" s="1"/>
    </row>
    <row r="6" spans="2:39" ht="46.2" customHeight="1" x14ac:dyDescent="0.25">
      <c r="B6" s="546" t="s">
        <v>299</v>
      </c>
      <c r="C6" s="546"/>
      <c r="D6" s="546"/>
      <c r="E6" s="546"/>
      <c r="F6" s="546"/>
      <c r="G6" s="546"/>
      <c r="H6" s="546"/>
      <c r="I6" s="546"/>
      <c r="J6" s="546"/>
      <c r="K6" s="546"/>
      <c r="L6" s="546"/>
      <c r="M6" s="546"/>
      <c r="N6" s="546"/>
      <c r="O6" s="546"/>
      <c r="P6" s="287"/>
      <c r="Q6" s="287"/>
      <c r="R6" s="287"/>
      <c r="S6" s="287"/>
      <c r="T6" s="287"/>
      <c r="U6" s="287"/>
      <c r="V6" s="288"/>
    </row>
    <row r="7" spans="2:39" x14ac:dyDescent="0.25">
      <c r="E7" s="1"/>
    </row>
    <row r="8" spans="2:39" ht="53.4" customHeight="1" x14ac:dyDescent="0.25">
      <c r="B8" s="434" t="s">
        <v>12</v>
      </c>
      <c r="C8" s="435"/>
      <c r="D8" s="435"/>
      <c r="E8" s="436"/>
      <c r="F8" s="437" t="s">
        <v>300</v>
      </c>
      <c r="G8" s="438"/>
      <c r="H8" s="437" t="s">
        <v>301</v>
      </c>
      <c r="I8" s="438"/>
      <c r="J8" s="439" t="s">
        <v>302</v>
      </c>
      <c r="K8" s="441"/>
      <c r="L8" s="547"/>
      <c r="M8" s="547"/>
      <c r="N8" s="289"/>
      <c r="O8" s="289"/>
      <c r="P8" s="289"/>
      <c r="Q8" s="289"/>
      <c r="R8" s="289"/>
      <c r="S8" s="289"/>
      <c r="T8" s="289"/>
      <c r="U8" s="289"/>
    </row>
    <row r="9" spans="2:39" ht="14.4" customHeight="1" x14ac:dyDescent="0.25">
      <c r="B9" s="540" t="s">
        <v>303</v>
      </c>
      <c r="C9" s="541"/>
      <c r="D9" s="541"/>
      <c r="E9" s="542"/>
      <c r="F9" s="60" t="s">
        <v>13</v>
      </c>
      <c r="G9" s="60" t="s">
        <v>14</v>
      </c>
      <c r="H9" s="60" t="s">
        <v>13</v>
      </c>
      <c r="I9" s="60" t="s">
        <v>14</v>
      </c>
      <c r="J9" s="115" t="s">
        <v>13</v>
      </c>
      <c r="K9" s="60" t="s">
        <v>14</v>
      </c>
      <c r="L9" s="290"/>
      <c r="M9" s="290"/>
      <c r="N9" s="290"/>
      <c r="O9" s="290"/>
      <c r="P9" s="290"/>
      <c r="Q9" s="290"/>
      <c r="R9" s="290"/>
      <c r="S9" s="290"/>
      <c r="T9" s="290"/>
      <c r="U9" s="290"/>
    </row>
    <row r="10" spans="2:39" x14ac:dyDescent="0.25">
      <c r="B10" s="13"/>
      <c r="C10" s="9"/>
      <c r="D10" s="9"/>
      <c r="E10" s="9"/>
      <c r="F10" s="397"/>
      <c r="G10" s="6"/>
      <c r="H10" s="120"/>
      <c r="I10" s="6"/>
      <c r="J10" s="120"/>
      <c r="K10" s="6"/>
      <c r="W10" s="24">
        <f>G11+I11+K11+M11</f>
        <v>1</v>
      </c>
    </row>
    <row r="11" spans="2:39" ht="14.4" customHeight="1" x14ac:dyDescent="0.25">
      <c r="B11" s="14" t="s">
        <v>15</v>
      </c>
      <c r="C11" s="10"/>
      <c r="D11" s="10"/>
      <c r="E11" s="95">
        <f>F11+H11+J11+L11</f>
        <v>72</v>
      </c>
      <c r="F11" s="395">
        <f>F12+F16+F19+F22+F25+F36+F38+F45</f>
        <v>13</v>
      </c>
      <c r="G11" s="162">
        <f>F11/72</f>
        <v>0.18055555555555555</v>
      </c>
      <c r="H11" s="405">
        <f>SUM(H12+H16+H19+H22+H25+H36+H38+H45)</f>
        <v>47</v>
      </c>
      <c r="I11" s="162">
        <f>H11/72</f>
        <v>0.65277777777777779</v>
      </c>
      <c r="J11" s="396">
        <f>SUM(J12+J16+J19+J22+J25+J36+J38+J45)</f>
        <v>12</v>
      </c>
      <c r="K11" s="162">
        <f>J11/72</f>
        <v>0.16666666666666666</v>
      </c>
      <c r="L11" s="292"/>
      <c r="M11" s="293"/>
      <c r="N11" s="293"/>
      <c r="O11" s="293"/>
      <c r="P11" s="293"/>
      <c r="Q11" s="293"/>
      <c r="R11" s="293"/>
      <c r="S11" s="293"/>
      <c r="T11" s="293"/>
      <c r="U11" s="293"/>
      <c r="W11" s="24"/>
      <c r="X11" s="24"/>
      <c r="Y11" s="24"/>
      <c r="Z11" s="24"/>
      <c r="AA11" s="24"/>
      <c r="AB11" s="24"/>
      <c r="AC11" s="24"/>
      <c r="AD11" s="24"/>
      <c r="AE11" s="24"/>
      <c r="AF11" s="24"/>
      <c r="AG11" s="24"/>
      <c r="AH11" s="24"/>
      <c r="AI11" s="24"/>
      <c r="AJ11" s="24"/>
      <c r="AK11" s="24"/>
      <c r="AL11" s="24"/>
      <c r="AM11" s="24"/>
    </row>
    <row r="12" spans="2:39" x14ac:dyDescent="0.25">
      <c r="B12" s="16" t="s">
        <v>22</v>
      </c>
      <c r="C12" s="11"/>
      <c r="D12" s="11"/>
      <c r="E12" s="233"/>
      <c r="F12" s="394">
        <f>F178</f>
        <v>2</v>
      </c>
      <c r="G12" s="8"/>
      <c r="H12" s="391">
        <v>1</v>
      </c>
      <c r="I12" s="8"/>
      <c r="J12" s="391">
        <f>SUM(J13:J15)</f>
        <v>1</v>
      </c>
      <c r="K12" s="8"/>
    </row>
    <row r="13" spans="2:39" ht="13.2" hidden="1" customHeight="1" x14ac:dyDescent="0.25">
      <c r="B13" s="62" t="s">
        <v>105</v>
      </c>
      <c r="C13" s="11"/>
      <c r="D13" s="11"/>
      <c r="E13" s="96"/>
      <c r="F13" s="399">
        <v>1</v>
      </c>
      <c r="G13" s="8"/>
      <c r="H13" s="391"/>
      <c r="I13" s="8"/>
      <c r="J13" s="406"/>
      <c r="K13" s="8"/>
    </row>
    <row r="14" spans="2:39" ht="13.2" hidden="1" customHeight="1" x14ac:dyDescent="0.25">
      <c r="B14" s="62" t="s">
        <v>158</v>
      </c>
      <c r="C14" s="11"/>
      <c r="D14" s="11"/>
      <c r="E14" s="96"/>
      <c r="F14" s="400">
        <v>1</v>
      </c>
      <c r="G14" s="8"/>
      <c r="H14" s="391"/>
      <c r="I14" s="8"/>
      <c r="J14" s="407"/>
      <c r="K14" s="8"/>
    </row>
    <row r="15" spans="2:39" ht="13.2" hidden="1" customHeight="1" x14ac:dyDescent="0.25">
      <c r="B15" s="62" t="s">
        <v>159</v>
      </c>
      <c r="C15" s="11"/>
      <c r="D15" s="11"/>
      <c r="E15" s="96"/>
      <c r="F15" s="401"/>
      <c r="G15" s="8"/>
      <c r="H15" s="391"/>
      <c r="I15" s="8"/>
      <c r="J15" s="408">
        <v>1</v>
      </c>
      <c r="K15" s="8"/>
      <c r="L15" s="143"/>
    </row>
    <row r="16" spans="2:39" ht="14.4" customHeight="1" x14ac:dyDescent="0.25">
      <c r="B16" s="15" t="s">
        <v>20</v>
      </c>
      <c r="C16" s="12"/>
      <c r="D16" s="12"/>
      <c r="E16" s="118"/>
      <c r="F16" s="395"/>
      <c r="G16" s="7"/>
      <c r="H16" s="396">
        <v>4</v>
      </c>
      <c r="I16" s="7"/>
      <c r="J16" s="396">
        <v>1</v>
      </c>
      <c r="K16" s="7"/>
    </row>
    <row r="17" spans="2:21" hidden="1" x14ac:dyDescent="0.25">
      <c r="F17" s="395"/>
      <c r="G17" s="7"/>
      <c r="H17" s="392"/>
      <c r="I17" s="22"/>
      <c r="J17" s="392"/>
      <c r="K17" s="22"/>
    </row>
    <row r="18" spans="2:21" ht="14.4" hidden="1" customHeight="1" x14ac:dyDescent="0.25">
      <c r="B18" s="64" t="s">
        <v>106</v>
      </c>
      <c r="C18" s="12"/>
      <c r="D18" s="12"/>
      <c r="E18" s="118"/>
      <c r="F18" s="402"/>
      <c r="G18" s="7"/>
      <c r="H18" s="396"/>
      <c r="I18" s="7"/>
      <c r="J18" s="409">
        <v>1</v>
      </c>
      <c r="K18" s="7"/>
      <c r="L18" s="143"/>
    </row>
    <row r="19" spans="2:21" ht="14.4" customHeight="1" x14ac:dyDescent="0.25">
      <c r="B19" s="16" t="s">
        <v>16</v>
      </c>
      <c r="C19" s="11"/>
      <c r="D19" s="11"/>
      <c r="E19" s="233"/>
      <c r="F19" s="394">
        <f>F204</f>
        <v>1</v>
      </c>
      <c r="G19" s="8"/>
      <c r="H19" s="391">
        <v>9</v>
      </c>
      <c r="I19" s="8"/>
      <c r="J19" s="391">
        <v>1</v>
      </c>
      <c r="K19" s="8"/>
    </row>
    <row r="20" spans="2:21" ht="14.4" hidden="1" customHeight="1" x14ac:dyDescent="0.25">
      <c r="B20" s="62" t="s">
        <v>107</v>
      </c>
      <c r="C20" s="11"/>
      <c r="D20" s="11"/>
      <c r="E20" s="233"/>
      <c r="F20" s="403"/>
      <c r="G20" s="8"/>
      <c r="H20" s="391"/>
      <c r="I20" s="8"/>
      <c r="J20" s="406">
        <v>1</v>
      </c>
      <c r="K20" s="8"/>
      <c r="L20" s="143"/>
    </row>
    <row r="21" spans="2:21" ht="14.4" hidden="1" customHeight="1" x14ac:dyDescent="0.25">
      <c r="B21" s="62" t="s">
        <v>136</v>
      </c>
      <c r="C21" s="11"/>
      <c r="D21" s="11"/>
      <c r="E21" s="233"/>
      <c r="F21" s="401">
        <v>1</v>
      </c>
      <c r="G21" s="8"/>
      <c r="H21" s="391"/>
      <c r="I21" s="8"/>
      <c r="J21" s="408"/>
      <c r="K21" s="8"/>
      <c r="L21" s="143"/>
    </row>
    <row r="22" spans="2:21" ht="14.4" customHeight="1" x14ac:dyDescent="0.25">
      <c r="B22" s="15" t="s">
        <v>17</v>
      </c>
      <c r="C22" s="12"/>
      <c r="D22" s="12"/>
      <c r="E22" s="118"/>
      <c r="F22" s="395">
        <f>F191</f>
        <v>1</v>
      </c>
      <c r="G22" s="7"/>
      <c r="H22" s="396">
        <f>G191</f>
        <v>9</v>
      </c>
      <c r="I22" s="7"/>
      <c r="J22" s="396">
        <f>E191</f>
        <v>1</v>
      </c>
      <c r="K22" s="7"/>
    </row>
    <row r="23" spans="2:21" ht="14.4" hidden="1" customHeight="1" x14ac:dyDescent="0.25">
      <c r="B23" s="64" t="s">
        <v>163</v>
      </c>
      <c r="C23" s="65"/>
      <c r="D23" s="65"/>
      <c r="E23" s="97"/>
      <c r="F23" s="399"/>
      <c r="G23" s="66"/>
      <c r="H23" s="97"/>
      <c r="I23" s="66"/>
      <c r="J23" s="406">
        <v>1</v>
      </c>
      <c r="K23" s="144"/>
      <c r="L23" s="143"/>
      <c r="M23" s="143"/>
      <c r="N23" s="143"/>
      <c r="O23" s="143"/>
      <c r="P23" s="143"/>
      <c r="Q23" s="143"/>
      <c r="R23" s="143"/>
      <c r="S23" s="143"/>
      <c r="T23" s="143"/>
      <c r="U23" s="143"/>
    </row>
    <row r="24" spans="2:21" ht="14.4" hidden="1" customHeight="1" x14ac:dyDescent="0.25">
      <c r="B24" s="122" t="s">
        <v>137</v>
      </c>
      <c r="C24" s="65"/>
      <c r="D24" s="65"/>
      <c r="E24" s="97"/>
      <c r="F24" s="401">
        <v>1</v>
      </c>
      <c r="G24" s="66"/>
      <c r="H24" s="97"/>
      <c r="I24" s="66"/>
      <c r="J24" s="408"/>
      <c r="K24" s="144"/>
      <c r="L24" s="143"/>
      <c r="M24" s="143"/>
      <c r="N24" s="143"/>
      <c r="O24" s="143"/>
      <c r="P24" s="143"/>
      <c r="Q24" s="143"/>
      <c r="R24" s="143"/>
      <c r="S24" s="143"/>
      <c r="T24" s="143"/>
      <c r="U24" s="143"/>
    </row>
    <row r="25" spans="2:21" ht="14.4" customHeight="1" x14ac:dyDescent="0.25">
      <c r="B25" s="16" t="s">
        <v>19</v>
      </c>
      <c r="C25" s="11"/>
      <c r="D25" s="11"/>
      <c r="E25" s="233"/>
      <c r="F25" s="394">
        <v>7</v>
      </c>
      <c r="G25" s="8"/>
      <c r="H25" s="391">
        <v>17</v>
      </c>
      <c r="I25" s="8"/>
      <c r="J25" s="391">
        <v>3</v>
      </c>
      <c r="K25" s="8"/>
    </row>
    <row r="26" spans="2:21" ht="14.4" hidden="1" customHeight="1" x14ac:dyDescent="0.25">
      <c r="B26" s="62" t="s">
        <v>188</v>
      </c>
      <c r="C26" s="70"/>
      <c r="D26" s="70"/>
      <c r="E26" s="98"/>
      <c r="F26" s="399">
        <v>1</v>
      </c>
      <c r="G26" s="63"/>
      <c r="H26" s="98"/>
      <c r="I26" s="63"/>
      <c r="J26" s="406"/>
      <c r="K26" s="63"/>
      <c r="L26" s="143"/>
      <c r="M26" s="143"/>
      <c r="N26" s="143"/>
      <c r="O26" s="143"/>
      <c r="P26" s="143"/>
      <c r="Q26" s="143"/>
      <c r="R26" s="143"/>
      <c r="S26" s="143"/>
      <c r="T26" s="143"/>
      <c r="U26" s="143"/>
    </row>
    <row r="27" spans="2:21" ht="14.4" hidden="1" customHeight="1" x14ac:dyDescent="0.25">
      <c r="B27" s="62" t="s">
        <v>304</v>
      </c>
      <c r="C27" s="70"/>
      <c r="D27" s="70"/>
      <c r="E27" s="98"/>
      <c r="F27" s="400">
        <v>1</v>
      </c>
      <c r="G27" s="63"/>
      <c r="H27" s="98"/>
      <c r="I27" s="63"/>
      <c r="J27" s="407"/>
      <c r="K27" s="63"/>
      <c r="L27" s="143"/>
      <c r="M27" s="143"/>
      <c r="N27" s="143"/>
      <c r="O27" s="143"/>
      <c r="P27" s="143"/>
      <c r="Q27" s="143"/>
      <c r="R27" s="143"/>
      <c r="S27" s="143"/>
      <c r="T27" s="143"/>
      <c r="U27" s="143"/>
    </row>
    <row r="28" spans="2:21" ht="14.4" hidden="1" customHeight="1" x14ac:dyDescent="0.25">
      <c r="B28" s="62" t="s">
        <v>109</v>
      </c>
      <c r="C28" s="70"/>
      <c r="D28" s="70"/>
      <c r="E28" s="98"/>
      <c r="F28" s="400">
        <v>1</v>
      </c>
      <c r="G28" s="63"/>
      <c r="H28" s="98"/>
      <c r="I28" s="63"/>
      <c r="J28" s="407"/>
      <c r="K28" s="63"/>
      <c r="L28" s="143"/>
      <c r="M28" s="143"/>
      <c r="N28" s="143"/>
      <c r="O28" s="143"/>
      <c r="P28" s="143"/>
      <c r="Q28" s="143"/>
      <c r="R28" s="143"/>
      <c r="S28" s="143"/>
      <c r="T28" s="143"/>
      <c r="U28" s="143"/>
    </row>
    <row r="29" spans="2:21" ht="14.4" hidden="1" customHeight="1" x14ac:dyDescent="0.25">
      <c r="B29" s="62" t="s">
        <v>193</v>
      </c>
      <c r="C29" s="70"/>
      <c r="D29" s="70"/>
      <c r="E29" s="98"/>
      <c r="F29" s="400">
        <v>1</v>
      </c>
      <c r="G29" s="63"/>
      <c r="H29" s="98"/>
      <c r="I29" s="63"/>
      <c r="J29" s="407"/>
      <c r="K29" s="63"/>
      <c r="L29" s="143"/>
      <c r="M29" s="143"/>
      <c r="N29" s="143"/>
      <c r="O29" s="143"/>
      <c r="P29" s="143"/>
      <c r="Q29" s="143"/>
      <c r="R29" s="143"/>
      <c r="S29" s="143"/>
      <c r="T29" s="143"/>
      <c r="U29" s="143"/>
    </row>
    <row r="30" spans="2:21" ht="14.4" hidden="1" customHeight="1" x14ac:dyDescent="0.25">
      <c r="B30" s="62" t="s">
        <v>140</v>
      </c>
      <c r="C30" s="70"/>
      <c r="D30" s="70"/>
      <c r="E30" s="98"/>
      <c r="F30" s="400"/>
      <c r="G30" s="63"/>
      <c r="H30" s="98"/>
      <c r="I30" s="63"/>
      <c r="J30" s="407">
        <v>1</v>
      </c>
      <c r="K30" s="63"/>
      <c r="L30" s="143"/>
      <c r="M30" s="143"/>
      <c r="N30" s="143"/>
      <c r="O30" s="143"/>
      <c r="P30" s="143"/>
      <c r="Q30" s="143"/>
      <c r="R30" s="143"/>
      <c r="S30" s="143"/>
      <c r="T30" s="143"/>
      <c r="U30" s="143"/>
    </row>
    <row r="31" spans="2:21" ht="14.4" hidden="1" customHeight="1" x14ac:dyDescent="0.25">
      <c r="B31" s="62" t="s">
        <v>195</v>
      </c>
      <c r="C31" s="70"/>
      <c r="D31" s="70"/>
      <c r="E31" s="98"/>
      <c r="F31" s="400">
        <v>1</v>
      </c>
      <c r="G31" s="63"/>
      <c r="H31" s="98"/>
      <c r="I31" s="63"/>
      <c r="J31" s="407"/>
      <c r="K31" s="63"/>
      <c r="L31" s="143"/>
      <c r="M31" s="143"/>
      <c r="N31" s="143"/>
      <c r="O31" s="143"/>
      <c r="P31" s="143"/>
      <c r="Q31" s="143"/>
      <c r="R31" s="143"/>
      <c r="S31" s="143"/>
      <c r="T31" s="143"/>
      <c r="U31" s="143"/>
    </row>
    <row r="32" spans="2:21" ht="14.4" hidden="1" customHeight="1" x14ac:dyDescent="0.25">
      <c r="B32" s="62" t="s">
        <v>111</v>
      </c>
      <c r="C32" s="70"/>
      <c r="D32" s="70"/>
      <c r="E32" s="98"/>
      <c r="F32" s="400">
        <v>1</v>
      </c>
      <c r="G32" s="63"/>
      <c r="H32" s="98"/>
      <c r="I32" s="63"/>
      <c r="J32" s="407"/>
      <c r="K32" s="63"/>
      <c r="L32" s="143"/>
      <c r="M32" s="143"/>
      <c r="N32" s="143"/>
      <c r="O32" s="143"/>
      <c r="P32" s="143"/>
      <c r="Q32" s="143"/>
      <c r="R32" s="143"/>
      <c r="S32" s="143"/>
      <c r="T32" s="143"/>
      <c r="U32" s="143"/>
    </row>
    <row r="33" spans="2:22" ht="14.4" hidden="1" customHeight="1" x14ac:dyDescent="0.25">
      <c r="B33" s="62" t="s">
        <v>112</v>
      </c>
      <c r="C33" s="70"/>
      <c r="D33" s="70"/>
      <c r="E33" s="98"/>
      <c r="F33" s="400"/>
      <c r="G33" s="63"/>
      <c r="H33" s="98"/>
      <c r="I33" s="63"/>
      <c r="J33" s="407">
        <v>1</v>
      </c>
      <c r="K33" s="63"/>
      <c r="L33" s="143"/>
      <c r="M33" s="143"/>
      <c r="N33" s="143"/>
      <c r="O33" s="143"/>
      <c r="P33" s="143"/>
      <c r="Q33" s="143"/>
      <c r="R33" s="143"/>
      <c r="S33" s="143"/>
      <c r="T33" s="143"/>
      <c r="U33" s="143"/>
    </row>
    <row r="34" spans="2:22" ht="14.4" hidden="1" customHeight="1" x14ac:dyDescent="0.25">
      <c r="B34" s="62" t="s">
        <v>196</v>
      </c>
      <c r="C34" s="70"/>
      <c r="D34" s="70"/>
      <c r="E34" s="98"/>
      <c r="F34" s="400">
        <v>1</v>
      </c>
      <c r="G34" s="63"/>
      <c r="H34" s="98"/>
      <c r="I34" s="63"/>
      <c r="J34" s="407"/>
      <c r="K34" s="63"/>
      <c r="L34" s="143"/>
      <c r="M34" s="143"/>
      <c r="N34" s="143"/>
      <c r="O34" s="143"/>
      <c r="P34" s="143"/>
      <c r="Q34" s="143"/>
      <c r="R34" s="143"/>
      <c r="S34" s="143"/>
      <c r="T34" s="143"/>
      <c r="U34" s="143"/>
    </row>
    <row r="35" spans="2:22" ht="14.4" hidden="1" customHeight="1" x14ac:dyDescent="0.25">
      <c r="B35" s="62" t="s">
        <v>114</v>
      </c>
      <c r="C35" s="70"/>
      <c r="D35" s="70"/>
      <c r="E35" s="98"/>
      <c r="F35" s="401"/>
      <c r="G35" s="63"/>
      <c r="H35" s="98"/>
      <c r="I35" s="63"/>
      <c r="J35" s="408">
        <v>1</v>
      </c>
      <c r="K35" s="63"/>
      <c r="L35" s="143"/>
      <c r="M35" s="143"/>
      <c r="N35" s="143"/>
      <c r="O35" s="143"/>
      <c r="P35" s="143"/>
      <c r="Q35" s="143"/>
      <c r="R35" s="143"/>
      <c r="S35" s="143"/>
      <c r="T35" s="143"/>
      <c r="U35" s="143"/>
    </row>
    <row r="36" spans="2:22" ht="14.4" customHeight="1" x14ac:dyDescent="0.25">
      <c r="B36" s="15" t="s">
        <v>18</v>
      </c>
      <c r="C36" s="12"/>
      <c r="D36" s="12"/>
      <c r="E36" s="118"/>
      <c r="F36" s="395">
        <f>F216</f>
        <v>0</v>
      </c>
      <c r="G36" s="7"/>
      <c r="H36" s="396">
        <v>5</v>
      </c>
      <c r="I36" s="7"/>
      <c r="J36" s="396">
        <f>E216</f>
        <v>1</v>
      </c>
      <c r="K36" s="7"/>
    </row>
    <row r="37" spans="2:22" ht="14.4" hidden="1" customHeight="1" x14ac:dyDescent="0.25">
      <c r="B37" s="64" t="s">
        <v>115</v>
      </c>
      <c r="C37" s="12"/>
      <c r="D37" s="12"/>
      <c r="E37" s="118"/>
      <c r="F37" s="404"/>
      <c r="G37" s="7"/>
      <c r="H37" s="396"/>
      <c r="I37" s="7"/>
      <c r="J37" s="409">
        <v>1</v>
      </c>
      <c r="K37" s="7"/>
      <c r="L37" s="143"/>
    </row>
    <row r="38" spans="2:22" ht="14.4" customHeight="1" x14ac:dyDescent="0.25">
      <c r="B38" s="16" t="s">
        <v>0</v>
      </c>
      <c r="C38" s="11"/>
      <c r="D38" s="11"/>
      <c r="E38" s="233"/>
      <c r="F38" s="394">
        <f>F252</f>
        <v>2</v>
      </c>
      <c r="G38" s="8"/>
      <c r="H38" s="391">
        <v>1</v>
      </c>
      <c r="I38" s="8"/>
      <c r="J38" s="391">
        <v>4</v>
      </c>
      <c r="K38" s="8"/>
    </row>
    <row r="39" spans="2:22" ht="14.4" hidden="1" customHeight="1" x14ac:dyDescent="0.25">
      <c r="B39" s="71" t="s">
        <v>117</v>
      </c>
      <c r="C39" s="70"/>
      <c r="D39" s="11"/>
      <c r="E39" s="233"/>
      <c r="F39" s="399">
        <v>1</v>
      </c>
      <c r="G39" s="8"/>
      <c r="H39" s="391"/>
      <c r="I39" s="8"/>
      <c r="J39" s="410"/>
      <c r="K39" s="8"/>
    </row>
    <row r="40" spans="2:22" ht="14.4" hidden="1" customHeight="1" x14ac:dyDescent="0.25">
      <c r="B40" s="71" t="s">
        <v>305</v>
      </c>
      <c r="C40" s="70"/>
      <c r="D40" s="11"/>
      <c r="E40" s="233"/>
      <c r="F40" s="400"/>
      <c r="G40" s="8"/>
      <c r="H40" s="391"/>
      <c r="I40" s="8"/>
      <c r="J40" s="411">
        <v>1</v>
      </c>
      <c r="K40" s="8"/>
    </row>
    <row r="41" spans="2:22" ht="14.4" hidden="1" customHeight="1" x14ac:dyDescent="0.25">
      <c r="B41" s="71" t="s">
        <v>169</v>
      </c>
      <c r="C41" s="70"/>
      <c r="D41" s="11"/>
      <c r="E41" s="233"/>
      <c r="F41" s="400">
        <v>1</v>
      </c>
      <c r="G41" s="8"/>
      <c r="H41" s="391"/>
      <c r="I41" s="8"/>
      <c r="J41" s="411"/>
      <c r="K41" s="8"/>
    </row>
    <row r="42" spans="2:22" ht="14.4" hidden="1" customHeight="1" x14ac:dyDescent="0.25">
      <c r="B42" s="71" t="s">
        <v>118</v>
      </c>
      <c r="C42" s="70"/>
      <c r="D42" s="11"/>
      <c r="E42" s="233"/>
      <c r="F42" s="400"/>
      <c r="G42" s="8"/>
      <c r="H42" s="391"/>
      <c r="I42" s="8"/>
      <c r="J42" s="407">
        <v>1</v>
      </c>
      <c r="K42" s="8"/>
      <c r="L42" s="143"/>
    </row>
    <row r="43" spans="2:22" ht="14.4" hidden="1" customHeight="1" x14ac:dyDescent="0.25">
      <c r="B43" s="71" t="s">
        <v>120</v>
      </c>
      <c r="C43" s="70"/>
      <c r="D43" s="11"/>
      <c r="E43" s="233"/>
      <c r="F43" s="400"/>
      <c r="G43" s="8"/>
      <c r="H43" s="391"/>
      <c r="I43" s="8"/>
      <c r="J43" s="407">
        <v>1</v>
      </c>
      <c r="K43" s="8"/>
      <c r="L43" s="143"/>
    </row>
    <row r="44" spans="2:22" ht="14.4" hidden="1" customHeight="1" x14ac:dyDescent="0.25">
      <c r="B44" s="71" t="s">
        <v>121</v>
      </c>
      <c r="C44" s="70"/>
      <c r="D44" s="11"/>
      <c r="E44" s="233"/>
      <c r="F44" s="401"/>
      <c r="G44" s="8"/>
      <c r="H44" s="391"/>
      <c r="I44" s="8"/>
      <c r="J44" s="408">
        <v>1</v>
      </c>
      <c r="K44" s="8"/>
      <c r="L44" s="143"/>
    </row>
    <row r="45" spans="2:22" ht="14.4" customHeight="1" x14ac:dyDescent="0.25">
      <c r="B45" s="72" t="s">
        <v>94</v>
      </c>
      <c r="C45" s="59"/>
      <c r="D45" s="59"/>
      <c r="E45" s="99"/>
      <c r="F45" s="111">
        <f>F260</f>
        <v>0</v>
      </c>
      <c r="G45" s="23"/>
      <c r="H45" s="393">
        <v>1</v>
      </c>
      <c r="I45" s="23"/>
      <c r="J45" s="393">
        <v>0</v>
      </c>
      <c r="K45" s="163"/>
      <c r="M45" s="49"/>
      <c r="N45" s="49"/>
      <c r="O45" s="49"/>
      <c r="P45" s="49"/>
      <c r="Q45" s="49"/>
      <c r="R45" s="49"/>
      <c r="S45" s="49"/>
      <c r="T45" s="49"/>
      <c r="U45" s="49"/>
    </row>
    <row r="46" spans="2:22" ht="9.6" customHeight="1" x14ac:dyDescent="0.25">
      <c r="B46" s="12"/>
      <c r="C46" s="12"/>
      <c r="D46" s="12"/>
      <c r="E46" s="118"/>
      <c r="F46" s="118"/>
      <c r="G46" s="118"/>
      <c r="H46" s="118"/>
      <c r="I46" s="118"/>
      <c r="J46" s="118"/>
      <c r="K46" s="118"/>
      <c r="L46" s="118"/>
      <c r="M46" s="118"/>
      <c r="N46" s="118"/>
      <c r="O46" s="118"/>
      <c r="P46" s="118"/>
      <c r="Q46" s="118"/>
      <c r="R46" s="118"/>
      <c r="S46" s="118"/>
      <c r="T46" s="118"/>
      <c r="U46" s="118"/>
    </row>
    <row r="47" spans="2:22" ht="6" customHeight="1" x14ac:dyDescent="0.25">
      <c r="B47" s="446"/>
      <c r="C47" s="446"/>
      <c r="D47" s="446"/>
      <c r="E47" s="446"/>
      <c r="F47" s="446"/>
      <c r="G47" s="446"/>
      <c r="H47" s="446"/>
      <c r="I47" s="446"/>
      <c r="J47" s="446"/>
      <c r="K47" s="446"/>
      <c r="L47" s="446"/>
      <c r="M47" s="446"/>
      <c r="N47" s="446"/>
      <c r="O47" s="446"/>
      <c r="P47" s="446"/>
      <c r="Q47" s="446"/>
      <c r="R47" s="446"/>
      <c r="S47" s="446"/>
      <c r="T47" s="446"/>
      <c r="U47" s="446"/>
      <c r="V47" s="446"/>
    </row>
    <row r="48" spans="2:22" ht="16.2" customHeight="1" x14ac:dyDescent="0.25">
      <c r="B48" s="10" t="s">
        <v>306</v>
      </c>
      <c r="C48" s="235"/>
      <c r="D48" s="235"/>
      <c r="E48" s="235"/>
      <c r="F48" s="235"/>
      <c r="G48" s="235"/>
      <c r="H48" s="235"/>
      <c r="I48" s="235"/>
      <c r="J48" s="235"/>
      <c r="K48" s="235"/>
      <c r="L48" s="235"/>
      <c r="M48" s="235"/>
      <c r="N48" s="235"/>
      <c r="O48" s="235"/>
      <c r="P48" s="235"/>
      <c r="Q48" s="235"/>
      <c r="R48" s="235"/>
      <c r="S48" s="235"/>
      <c r="T48" s="235"/>
      <c r="U48" s="235"/>
      <c r="V48" s="235"/>
    </row>
    <row r="49" spans="2:53" ht="8.4" customHeight="1" x14ac:dyDescent="0.25">
      <c r="B49" s="10"/>
      <c r="C49" s="12"/>
      <c r="D49" s="12"/>
      <c r="E49" s="118"/>
      <c r="F49" s="118"/>
      <c r="G49" s="118"/>
      <c r="H49" s="118"/>
      <c r="I49" s="118"/>
      <c r="J49" s="118"/>
      <c r="K49" s="118"/>
      <c r="L49" s="118"/>
      <c r="M49" s="118"/>
      <c r="N49" s="118"/>
      <c r="O49" s="118"/>
      <c r="P49" s="118"/>
      <c r="Q49" s="118"/>
      <c r="R49" s="118"/>
      <c r="S49" s="118"/>
      <c r="T49" s="118"/>
      <c r="U49" s="118"/>
      <c r="AN49" s="118"/>
      <c r="AO49" s="118"/>
      <c r="AP49" s="118"/>
      <c r="AQ49" s="118"/>
      <c r="AR49" s="118"/>
      <c r="AS49" s="118"/>
      <c r="AT49" s="56"/>
      <c r="AU49" s="56"/>
      <c r="AV49" s="56"/>
      <c r="AW49" s="56"/>
      <c r="AX49" s="56"/>
      <c r="AY49" s="56"/>
      <c r="AZ49" s="56"/>
      <c r="BA49" s="56"/>
    </row>
    <row r="50" spans="2:53" ht="45" customHeight="1" x14ac:dyDescent="0.25">
      <c r="B50" s="434" t="s">
        <v>95</v>
      </c>
      <c r="C50" s="435"/>
      <c r="D50" s="436"/>
      <c r="E50" s="462" t="s">
        <v>307</v>
      </c>
      <c r="F50" s="463"/>
      <c r="G50" s="425" t="s">
        <v>126</v>
      </c>
      <c r="H50" s="426"/>
      <c r="I50" s="426"/>
      <c r="J50" s="426"/>
      <c r="K50" s="426"/>
      <c r="L50" s="426"/>
      <c r="M50" s="426"/>
      <c r="N50" s="426"/>
      <c r="O50" s="426"/>
      <c r="P50" s="426"/>
      <c r="Q50" s="426"/>
      <c r="R50" s="426"/>
      <c r="S50" s="426"/>
      <c r="T50" s="426"/>
      <c r="U50" s="426"/>
      <c r="V50" s="42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49"/>
      <c r="AS50" s="49"/>
      <c r="AT50" s="49"/>
      <c r="AU50" s="49"/>
      <c r="AV50" s="56"/>
      <c r="AW50" s="56"/>
      <c r="AX50" s="56"/>
      <c r="AY50" s="56"/>
      <c r="AZ50" s="56"/>
      <c r="BA50" s="56"/>
    </row>
    <row r="51" spans="2:53" ht="21" customHeight="1" x14ac:dyDescent="0.25">
      <c r="B51" s="473"/>
      <c r="C51" s="474"/>
      <c r="D51" s="475"/>
      <c r="E51" s="428" t="s">
        <v>132</v>
      </c>
      <c r="F51" s="412" t="s">
        <v>97</v>
      </c>
      <c r="G51" s="543" t="s">
        <v>308</v>
      </c>
      <c r="H51" s="544"/>
      <c r="I51" s="544"/>
      <c r="J51" s="544"/>
      <c r="K51" s="545"/>
      <c r="L51" s="543" t="s">
        <v>309</v>
      </c>
      <c r="M51" s="545"/>
      <c r="N51" s="543" t="s">
        <v>310</v>
      </c>
      <c r="O51" s="545"/>
      <c r="P51" s="412" t="s">
        <v>311</v>
      </c>
      <c r="Q51" s="412" t="s">
        <v>312</v>
      </c>
      <c r="R51" s="412" t="s">
        <v>313</v>
      </c>
      <c r="S51" s="412" t="s">
        <v>314</v>
      </c>
      <c r="T51" s="412" t="s">
        <v>315</v>
      </c>
      <c r="U51" s="412" t="s">
        <v>179</v>
      </c>
      <c r="V51" s="412" t="s">
        <v>316</v>
      </c>
      <c r="W51" s="414"/>
      <c r="X51" s="414"/>
      <c r="Y51" s="414"/>
      <c r="Z51" s="227"/>
      <c r="AA51" s="414"/>
      <c r="AB51" s="227"/>
      <c r="AC51" s="227"/>
      <c r="AD51" s="414"/>
      <c r="AE51" s="227"/>
      <c r="AF51" s="227"/>
      <c r="AG51" s="227"/>
      <c r="AH51" s="227"/>
      <c r="AI51" s="227"/>
      <c r="AJ51" s="414"/>
      <c r="AK51" s="414"/>
      <c r="AL51" s="414"/>
      <c r="AM51" s="414"/>
      <c r="AN51" s="414"/>
      <c r="AO51" s="414"/>
      <c r="AP51" s="414"/>
      <c r="AQ51" s="414"/>
      <c r="AR51" s="232"/>
      <c r="AS51" s="234"/>
    </row>
    <row r="52" spans="2:53" ht="57.6" customHeight="1" x14ac:dyDescent="0.25">
      <c r="B52" s="476"/>
      <c r="C52" s="477"/>
      <c r="D52" s="478"/>
      <c r="E52" s="429"/>
      <c r="F52" s="413"/>
      <c r="G52" s="229" t="s">
        <v>317</v>
      </c>
      <c r="H52" s="229" t="s">
        <v>318</v>
      </c>
      <c r="I52" s="229" t="s">
        <v>319</v>
      </c>
      <c r="J52" s="229" t="s">
        <v>320</v>
      </c>
      <c r="K52" s="229" t="s">
        <v>321</v>
      </c>
      <c r="L52" s="229" t="s">
        <v>322</v>
      </c>
      <c r="M52" s="229" t="s">
        <v>323</v>
      </c>
      <c r="N52" s="228" t="s">
        <v>324</v>
      </c>
      <c r="O52" s="228" t="s">
        <v>325</v>
      </c>
      <c r="P52" s="413"/>
      <c r="Q52" s="413"/>
      <c r="R52" s="413"/>
      <c r="S52" s="413"/>
      <c r="T52" s="413"/>
      <c r="U52" s="413"/>
      <c r="V52" s="413"/>
      <c r="W52" s="414"/>
      <c r="X52" s="414"/>
      <c r="Y52" s="414"/>
      <c r="Z52" s="227"/>
      <c r="AA52" s="414"/>
      <c r="AB52" s="227"/>
      <c r="AC52" s="227"/>
      <c r="AD52" s="414"/>
      <c r="AE52" s="227"/>
      <c r="AF52" s="227"/>
      <c r="AG52" s="227"/>
      <c r="AH52" s="227"/>
      <c r="AI52" s="227"/>
      <c r="AJ52" s="414"/>
      <c r="AK52" s="414"/>
      <c r="AL52" s="414"/>
      <c r="AM52" s="414"/>
      <c r="AN52" s="414"/>
      <c r="AO52" s="414"/>
      <c r="AP52" s="414"/>
      <c r="AQ52" s="414"/>
      <c r="AR52" s="232"/>
      <c r="AS52" s="234"/>
    </row>
    <row r="53" spans="2:53" s="48" customFormat="1" ht="9" customHeight="1" x14ac:dyDescent="0.25">
      <c r="B53" s="57"/>
      <c r="C53" s="49"/>
      <c r="D53" s="52"/>
      <c r="E53" s="21"/>
      <c r="F53" s="234"/>
      <c r="G53" s="89"/>
      <c r="H53" s="234"/>
      <c r="I53" s="87"/>
      <c r="J53" s="234"/>
      <c r="K53" s="87"/>
      <c r="L53" s="296"/>
      <c r="M53" s="297"/>
      <c r="N53" s="298"/>
      <c r="O53" s="298"/>
      <c r="P53" s="298"/>
      <c r="Q53" s="299"/>
      <c r="R53" s="299"/>
      <c r="S53" s="299"/>
      <c r="T53" s="299"/>
      <c r="U53" s="299"/>
      <c r="V53" s="299"/>
      <c r="W53" s="232"/>
      <c r="X53" s="232"/>
      <c r="Y53" s="232"/>
      <c r="Z53" s="232"/>
      <c r="AA53" s="232"/>
      <c r="AB53" s="232"/>
      <c r="AC53" s="232"/>
      <c r="AD53" s="232"/>
      <c r="AE53" s="232"/>
      <c r="AF53" s="232"/>
      <c r="AG53" s="232"/>
      <c r="AH53" s="232"/>
      <c r="AI53" s="232"/>
      <c r="AJ53" s="232"/>
      <c r="AK53" s="232"/>
      <c r="AL53" s="232"/>
      <c r="AM53" s="234"/>
      <c r="AN53" s="234"/>
      <c r="AO53" s="234"/>
      <c r="AP53" s="234"/>
      <c r="AQ53" s="234"/>
      <c r="AR53" s="234"/>
      <c r="AS53" s="234"/>
    </row>
    <row r="54" spans="2:53" x14ac:dyDescent="0.25">
      <c r="B54" s="73" t="s">
        <v>8</v>
      </c>
      <c r="C54" s="74"/>
      <c r="D54" s="75"/>
      <c r="E54" s="166">
        <f>E61+E69+E83+E94+E102+E128+E56+E135</f>
        <v>47</v>
      </c>
      <c r="F54" s="76">
        <f>F61+F69+F83+F94+F102+F128+F56+F135</f>
        <v>87</v>
      </c>
      <c r="G54" s="77">
        <f t="shared" ref="G54:T54" si="0">G61+G69+G83+G94+G102+G128+G56</f>
        <v>6</v>
      </c>
      <c r="H54" s="77">
        <f t="shared" si="0"/>
        <v>5</v>
      </c>
      <c r="I54" s="77">
        <f t="shared" si="0"/>
        <v>6</v>
      </c>
      <c r="J54" s="77">
        <f t="shared" si="0"/>
        <v>3</v>
      </c>
      <c r="K54" s="77">
        <f t="shared" si="0"/>
        <v>8</v>
      </c>
      <c r="L54" s="77">
        <f t="shared" si="0"/>
        <v>7</v>
      </c>
      <c r="M54" s="300">
        <f t="shared" si="0"/>
        <v>8</v>
      </c>
      <c r="N54" s="77">
        <f t="shared" si="0"/>
        <v>16</v>
      </c>
      <c r="O54" s="77">
        <f t="shared" si="0"/>
        <v>2</v>
      </c>
      <c r="P54" s="77">
        <f t="shared" si="0"/>
        <v>3</v>
      </c>
      <c r="Q54" s="301">
        <f t="shared" si="0"/>
        <v>5</v>
      </c>
      <c r="R54" s="77">
        <f t="shared" si="0"/>
        <v>3</v>
      </c>
      <c r="S54" s="301">
        <f t="shared" si="0"/>
        <v>2</v>
      </c>
      <c r="T54" s="301">
        <f t="shared" si="0"/>
        <v>2</v>
      </c>
      <c r="U54" s="301">
        <f>U61+U69+U83+U94+U102+U128+U56+U135</f>
        <v>3</v>
      </c>
      <c r="V54" s="301">
        <f>V61+V69+V83+V94+V102+V128+V56</f>
        <v>8</v>
      </c>
      <c r="W54" s="234" t="s">
        <v>7</v>
      </c>
      <c r="AM54" s="52"/>
      <c r="AN54" s="52"/>
      <c r="AO54" s="52"/>
      <c r="AP54" s="52"/>
      <c r="AQ54" s="52"/>
      <c r="AR54" s="234"/>
      <c r="AS54" s="234"/>
    </row>
    <row r="55" spans="2:53" s="48" customFormat="1" x14ac:dyDescent="0.25">
      <c r="B55" s="57" t="s">
        <v>7</v>
      </c>
      <c r="C55" s="49"/>
      <c r="D55" s="52"/>
      <c r="E55" s="21"/>
      <c r="F55" s="125"/>
      <c r="G55" s="89"/>
      <c r="H55" s="125"/>
      <c r="I55" s="21"/>
      <c r="J55" s="25"/>
      <c r="K55" s="21"/>
      <c r="L55" s="302"/>
      <c r="M55" s="132"/>
      <c r="N55" s="89"/>
      <c r="O55" s="89"/>
      <c r="P55" s="89"/>
      <c r="Q55" s="303"/>
      <c r="R55" s="89"/>
      <c r="S55" s="303"/>
      <c r="T55" s="303"/>
      <c r="U55" s="303"/>
      <c r="V55" s="303"/>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row>
    <row r="56" spans="2:53" s="93" customFormat="1" x14ac:dyDescent="0.25">
      <c r="B56" s="58" t="s">
        <v>122</v>
      </c>
      <c r="C56" s="91"/>
      <c r="D56" s="52"/>
      <c r="E56" s="133">
        <v>1</v>
      </c>
      <c r="F56" s="52">
        <f t="shared" ref="F56:V56" si="1">SUM(F57:F59)</f>
        <v>1</v>
      </c>
      <c r="G56" s="92">
        <f t="shared" si="1"/>
        <v>1</v>
      </c>
      <c r="H56" s="92">
        <f t="shared" si="1"/>
        <v>0</v>
      </c>
      <c r="I56" s="92">
        <f t="shared" si="1"/>
        <v>0</v>
      </c>
      <c r="J56" s="92">
        <f t="shared" si="1"/>
        <v>0</v>
      </c>
      <c r="K56" s="92">
        <f t="shared" si="1"/>
        <v>0</v>
      </c>
      <c r="L56" s="92">
        <f t="shared" si="1"/>
        <v>0</v>
      </c>
      <c r="M56" s="129">
        <f t="shared" si="1"/>
        <v>0</v>
      </c>
      <c r="N56" s="92">
        <f t="shared" si="1"/>
        <v>0</v>
      </c>
      <c r="O56" s="92">
        <f t="shared" si="1"/>
        <v>0</v>
      </c>
      <c r="P56" s="92">
        <f t="shared" si="1"/>
        <v>0</v>
      </c>
      <c r="Q56" s="126">
        <f t="shared" si="1"/>
        <v>0</v>
      </c>
      <c r="R56" s="92">
        <f t="shared" si="1"/>
        <v>0</v>
      </c>
      <c r="S56" s="126">
        <f t="shared" si="1"/>
        <v>0</v>
      </c>
      <c r="T56" s="126">
        <f t="shared" si="1"/>
        <v>0</v>
      </c>
      <c r="U56" s="126">
        <f t="shared" si="1"/>
        <v>0</v>
      </c>
      <c r="V56" s="126">
        <f t="shared" si="1"/>
        <v>0</v>
      </c>
      <c r="W56" s="234"/>
      <c r="X56" s="234"/>
      <c r="Y56" s="234"/>
      <c r="Z56" s="234"/>
      <c r="AA56" s="234"/>
      <c r="AB56" s="234"/>
      <c r="AC56" s="234"/>
      <c r="AD56" s="234"/>
      <c r="AE56" s="234"/>
      <c r="AF56" s="234"/>
      <c r="AG56" s="234"/>
      <c r="AH56" s="234"/>
      <c r="AI56" s="234"/>
      <c r="AJ56" s="234"/>
      <c r="AK56" s="234"/>
      <c r="AL56" s="234"/>
      <c r="AM56" s="52"/>
      <c r="AN56" s="52"/>
      <c r="AO56" s="52"/>
      <c r="AP56" s="52"/>
      <c r="AQ56" s="52"/>
      <c r="AR56" s="52"/>
      <c r="AS56" s="52"/>
    </row>
    <row r="57" spans="2:53" ht="13.2" hidden="1" customHeight="1" x14ac:dyDescent="0.25">
      <c r="B57" s="54" t="s">
        <v>124</v>
      </c>
      <c r="C57" s="56"/>
      <c r="D57" s="47"/>
      <c r="E57" s="22"/>
      <c r="F57" s="82">
        <f>SUM(G57:V57)</f>
        <v>0</v>
      </c>
      <c r="G57" s="304"/>
      <c r="H57" s="102"/>
      <c r="I57" s="82"/>
      <c r="J57" s="82"/>
      <c r="K57" s="82"/>
      <c r="L57" s="82"/>
      <c r="M57" s="179"/>
      <c r="N57" s="82"/>
      <c r="O57" s="82"/>
      <c r="P57" s="82"/>
      <c r="Q57" s="131"/>
      <c r="R57" s="82"/>
      <c r="S57" s="131"/>
      <c r="T57" s="131"/>
      <c r="U57" s="131"/>
      <c r="V57" s="131"/>
      <c r="AN57" s="234"/>
      <c r="AO57" s="234"/>
      <c r="AP57" s="234"/>
      <c r="AQ57" s="234"/>
      <c r="AR57" s="234"/>
      <c r="AS57" s="234"/>
    </row>
    <row r="58" spans="2:53" ht="13.2" hidden="1" customHeight="1" x14ac:dyDescent="0.25">
      <c r="B58" s="54" t="s">
        <v>6</v>
      </c>
      <c r="C58" s="56"/>
      <c r="D58" s="47"/>
      <c r="E58" s="22"/>
      <c r="F58" s="83">
        <f>SUM(G58:V58)</f>
        <v>0</v>
      </c>
      <c r="G58" s="305"/>
      <c r="H58" s="101"/>
      <c r="I58" s="83"/>
      <c r="J58" s="83"/>
      <c r="K58" s="83"/>
      <c r="L58" s="83"/>
      <c r="M58" s="180"/>
      <c r="N58" s="83"/>
      <c r="O58" s="83"/>
      <c r="P58" s="83"/>
      <c r="Q58" s="103"/>
      <c r="R58" s="83"/>
      <c r="S58" s="103"/>
      <c r="T58" s="103"/>
      <c r="U58" s="103"/>
      <c r="V58" s="103"/>
      <c r="AN58" s="234"/>
      <c r="AO58" s="234"/>
      <c r="AP58" s="234"/>
      <c r="AQ58" s="234"/>
      <c r="AR58" s="234"/>
      <c r="AS58" s="234"/>
    </row>
    <row r="59" spans="2:53" ht="13.2" customHeight="1" x14ac:dyDescent="0.25">
      <c r="B59" s="54" t="s">
        <v>124</v>
      </c>
      <c r="C59" s="56"/>
      <c r="D59" s="47"/>
      <c r="E59" s="22"/>
      <c r="F59" s="85">
        <f>SUM(G59:V59)</f>
        <v>1</v>
      </c>
      <c r="G59" s="85">
        <v>1</v>
      </c>
      <c r="H59" s="124"/>
      <c r="I59" s="85"/>
      <c r="J59" s="85"/>
      <c r="K59" s="85"/>
      <c r="L59" s="85"/>
      <c r="M59" s="212"/>
      <c r="N59" s="85"/>
      <c r="O59" s="85"/>
      <c r="P59" s="85"/>
      <c r="Q59" s="215"/>
      <c r="R59" s="85"/>
      <c r="S59" s="215"/>
      <c r="T59" s="215"/>
      <c r="U59" s="215"/>
      <c r="V59" s="215"/>
      <c r="W59" s="234" t="s">
        <v>7</v>
      </c>
      <c r="AN59" s="234"/>
      <c r="AO59" s="234"/>
      <c r="AP59" s="234"/>
      <c r="AQ59" s="234"/>
      <c r="AR59" s="234"/>
      <c r="AS59" s="234"/>
    </row>
    <row r="60" spans="2:53" s="48" customFormat="1" ht="13.2" customHeight="1" x14ac:dyDescent="0.25">
      <c r="B60" s="57" t="s">
        <v>7</v>
      </c>
      <c r="C60" s="49"/>
      <c r="D60" s="52"/>
      <c r="E60" s="22"/>
      <c r="F60" s="234"/>
      <c r="G60" s="90"/>
      <c r="H60" s="234"/>
      <c r="I60" s="22"/>
      <c r="J60" s="22"/>
      <c r="K60" s="22"/>
      <c r="L60" s="22"/>
      <c r="M60" s="26"/>
      <c r="N60" s="22"/>
      <c r="O60" s="22"/>
      <c r="P60" s="22"/>
      <c r="Q60" s="81"/>
      <c r="R60" s="22"/>
      <c r="S60" s="81"/>
      <c r="T60" s="81"/>
      <c r="U60" s="81"/>
      <c r="V60" s="81"/>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row>
    <row r="61" spans="2:53" s="93" customFormat="1" x14ac:dyDescent="0.25">
      <c r="B61" s="58" t="s">
        <v>27</v>
      </c>
      <c r="C61" s="91"/>
      <c r="D61" s="52"/>
      <c r="E61" s="133">
        <v>4</v>
      </c>
      <c r="F61" s="52">
        <f>SUM(F62:F67)</f>
        <v>7</v>
      </c>
      <c r="G61" s="92">
        <f>SUM(G62:G67)</f>
        <v>0</v>
      </c>
      <c r="H61" s="92">
        <f t="shared" ref="H61:V61" si="2">SUM(H62:H67)</f>
        <v>0</v>
      </c>
      <c r="I61" s="92">
        <f t="shared" si="2"/>
        <v>0</v>
      </c>
      <c r="J61" s="92">
        <f t="shared" si="2"/>
        <v>0</v>
      </c>
      <c r="K61" s="92">
        <f t="shared" si="2"/>
        <v>0</v>
      </c>
      <c r="L61" s="92">
        <f t="shared" si="2"/>
        <v>1</v>
      </c>
      <c r="M61" s="129">
        <f t="shared" si="2"/>
        <v>0</v>
      </c>
      <c r="N61" s="92">
        <f t="shared" si="2"/>
        <v>0</v>
      </c>
      <c r="O61" s="92">
        <f t="shared" si="2"/>
        <v>0</v>
      </c>
      <c r="P61" s="92">
        <f t="shared" si="2"/>
        <v>2</v>
      </c>
      <c r="Q61" s="126">
        <f t="shared" si="2"/>
        <v>1</v>
      </c>
      <c r="R61" s="92">
        <f t="shared" si="2"/>
        <v>1</v>
      </c>
      <c r="S61" s="126">
        <f t="shared" si="2"/>
        <v>1</v>
      </c>
      <c r="T61" s="126">
        <f t="shared" si="2"/>
        <v>0</v>
      </c>
      <c r="U61" s="126">
        <f t="shared" si="2"/>
        <v>0</v>
      </c>
      <c r="V61" s="126">
        <f t="shared" si="2"/>
        <v>1</v>
      </c>
      <c r="W61" s="234"/>
      <c r="X61" s="234" t="s">
        <v>7</v>
      </c>
      <c r="Y61" s="234"/>
      <c r="Z61" s="234"/>
      <c r="AA61" s="234"/>
      <c r="AB61" s="234"/>
      <c r="AC61" s="234"/>
      <c r="AD61" s="234"/>
      <c r="AE61" s="234"/>
      <c r="AF61" s="234"/>
      <c r="AG61" s="234"/>
      <c r="AH61" s="234"/>
      <c r="AI61" s="234"/>
      <c r="AJ61" s="234"/>
      <c r="AK61" s="234"/>
      <c r="AL61" s="234"/>
      <c r="AM61" s="52"/>
      <c r="AN61" s="52"/>
      <c r="AO61" s="52"/>
      <c r="AP61" s="52"/>
      <c r="AQ61" s="52"/>
      <c r="AR61" s="52"/>
      <c r="AS61" s="52"/>
    </row>
    <row r="62" spans="2:53" s="93" customFormat="1" ht="13.2" customHeight="1" x14ac:dyDescent="0.25">
      <c r="B62" s="57" t="s">
        <v>1</v>
      </c>
      <c r="C62" s="91"/>
      <c r="D62" s="52"/>
      <c r="E62" s="92"/>
      <c r="F62" s="82">
        <f t="shared" ref="F62:F67" si="3">SUM(G62:V62)</f>
        <v>1</v>
      </c>
      <c r="G62" s="82"/>
      <c r="H62" s="108"/>
      <c r="I62" s="183"/>
      <c r="J62" s="183"/>
      <c r="K62" s="183"/>
      <c r="L62" s="183"/>
      <c r="M62" s="158"/>
      <c r="N62" s="108"/>
      <c r="O62" s="108"/>
      <c r="P62" s="108">
        <v>1</v>
      </c>
      <c r="Q62" s="183"/>
      <c r="R62" s="108"/>
      <c r="S62" s="183"/>
      <c r="T62" s="183"/>
      <c r="U62" s="183"/>
      <c r="V62" s="183"/>
      <c r="W62" s="234"/>
      <c r="X62" s="234"/>
      <c r="Y62" s="234"/>
      <c r="Z62" s="234"/>
      <c r="AA62" s="234"/>
      <c r="AB62" s="234"/>
      <c r="AC62" s="234"/>
      <c r="AD62" s="234"/>
      <c r="AE62" s="234"/>
      <c r="AF62" s="234"/>
      <c r="AG62" s="234"/>
      <c r="AH62" s="234"/>
      <c r="AI62" s="234"/>
      <c r="AJ62" s="234"/>
      <c r="AK62" s="234"/>
      <c r="AL62" s="234"/>
      <c r="AM62" s="52"/>
      <c r="AN62" s="52"/>
      <c r="AO62" s="52"/>
      <c r="AP62" s="52"/>
      <c r="AQ62" s="52"/>
      <c r="AR62" s="52"/>
      <c r="AS62" s="52"/>
    </row>
    <row r="63" spans="2:53" s="93" customFormat="1" ht="13.2" customHeight="1" x14ac:dyDescent="0.25">
      <c r="B63" s="57" t="s">
        <v>2</v>
      </c>
      <c r="C63" s="91"/>
      <c r="D63" s="52"/>
      <c r="E63" s="92"/>
      <c r="F63" s="83">
        <f t="shared" si="3"/>
        <v>4</v>
      </c>
      <c r="G63" s="83"/>
      <c r="H63" s="109"/>
      <c r="I63" s="184"/>
      <c r="J63" s="184"/>
      <c r="K63" s="184"/>
      <c r="L63" s="184">
        <v>1</v>
      </c>
      <c r="M63" s="155"/>
      <c r="N63" s="109"/>
      <c r="O63" s="109"/>
      <c r="P63" s="109">
        <v>1</v>
      </c>
      <c r="Q63" s="184"/>
      <c r="R63" s="109">
        <v>1</v>
      </c>
      <c r="S63" s="184"/>
      <c r="T63" s="184"/>
      <c r="U63" s="184"/>
      <c r="V63" s="184">
        <v>1</v>
      </c>
      <c r="W63" s="234"/>
      <c r="X63" s="234"/>
      <c r="Y63" s="234"/>
      <c r="Z63" s="234"/>
      <c r="AA63" s="234"/>
      <c r="AB63" s="234"/>
      <c r="AC63" s="234"/>
      <c r="AD63" s="234"/>
      <c r="AE63" s="234"/>
      <c r="AF63" s="234"/>
      <c r="AG63" s="234"/>
      <c r="AH63" s="234"/>
      <c r="AI63" s="234"/>
      <c r="AJ63" s="234"/>
      <c r="AK63" s="234"/>
      <c r="AL63" s="234"/>
      <c r="AM63" s="52"/>
      <c r="AN63" s="52"/>
      <c r="AO63" s="52"/>
      <c r="AP63" s="52"/>
      <c r="AQ63" s="52"/>
      <c r="AR63" s="52"/>
      <c r="AS63" s="52"/>
    </row>
    <row r="64" spans="2:53" s="93" customFormat="1" ht="13.2" customHeight="1" x14ac:dyDescent="0.25">
      <c r="B64" s="57" t="s">
        <v>24</v>
      </c>
      <c r="C64" s="91"/>
      <c r="D64" s="52"/>
      <c r="E64" s="92" t="s">
        <v>7</v>
      </c>
      <c r="F64" s="83">
        <f t="shared" si="3"/>
        <v>1</v>
      </c>
      <c r="G64" s="83"/>
      <c r="H64" s="109"/>
      <c r="I64" s="184"/>
      <c r="J64" s="184"/>
      <c r="K64" s="184"/>
      <c r="L64" s="184"/>
      <c r="M64" s="155"/>
      <c r="N64" s="109"/>
      <c r="O64" s="109"/>
      <c r="P64" s="109"/>
      <c r="Q64" s="184"/>
      <c r="R64" s="109"/>
      <c r="S64" s="184">
        <v>1</v>
      </c>
      <c r="T64" s="184"/>
      <c r="U64" s="184"/>
      <c r="V64" s="184"/>
      <c r="W64" s="234"/>
      <c r="X64" s="234"/>
      <c r="Y64" s="234"/>
      <c r="Z64" s="234"/>
      <c r="AA64" s="234"/>
      <c r="AB64" s="234"/>
      <c r="AC64" s="234"/>
      <c r="AD64" s="234"/>
      <c r="AE64" s="234"/>
      <c r="AF64" s="234"/>
      <c r="AG64" s="234"/>
      <c r="AH64" s="234"/>
      <c r="AI64" s="234"/>
      <c r="AJ64" s="234"/>
      <c r="AK64" s="234"/>
      <c r="AL64" s="234"/>
      <c r="AM64" s="52"/>
      <c r="AN64" s="52"/>
      <c r="AO64" s="52"/>
      <c r="AP64" s="52"/>
      <c r="AQ64" s="52"/>
      <c r="AR64" s="52"/>
      <c r="AS64" s="52"/>
    </row>
    <row r="65" spans="2:45" s="93" customFormat="1" ht="13.2" customHeight="1" x14ac:dyDescent="0.25">
      <c r="B65" s="57" t="s">
        <v>326</v>
      </c>
      <c r="C65" s="91"/>
      <c r="D65" s="52"/>
      <c r="E65" s="92"/>
      <c r="F65" s="84">
        <f t="shared" si="3"/>
        <v>1</v>
      </c>
      <c r="G65" s="84"/>
      <c r="H65" s="84"/>
      <c r="I65" s="306"/>
      <c r="J65" s="306"/>
      <c r="K65" s="306"/>
      <c r="L65" s="182"/>
      <c r="M65" s="307"/>
      <c r="N65" s="308"/>
      <c r="O65" s="308"/>
      <c r="P65" s="308"/>
      <c r="Q65" s="306">
        <v>1</v>
      </c>
      <c r="R65" s="308"/>
      <c r="S65" s="306"/>
      <c r="T65" s="306"/>
      <c r="U65" s="306"/>
      <c r="V65" s="306"/>
      <c r="W65" s="234"/>
      <c r="X65" s="234"/>
      <c r="Y65" s="234"/>
      <c r="Z65" s="234"/>
      <c r="AA65" s="234"/>
      <c r="AB65" s="234"/>
      <c r="AC65" s="234"/>
      <c r="AD65" s="234"/>
      <c r="AE65" s="234"/>
      <c r="AF65" s="234"/>
      <c r="AG65" s="234"/>
      <c r="AH65" s="234"/>
      <c r="AI65" s="234"/>
      <c r="AJ65" s="234"/>
      <c r="AK65" s="234"/>
      <c r="AL65" s="234"/>
      <c r="AM65" s="52"/>
      <c r="AN65" s="52"/>
      <c r="AO65" s="52"/>
      <c r="AP65" s="52"/>
      <c r="AQ65" s="52"/>
      <c r="AR65" s="52"/>
      <c r="AS65" s="52"/>
    </row>
    <row r="66" spans="2:45" ht="13.2" hidden="1" customHeight="1" x14ac:dyDescent="0.25">
      <c r="B66" s="57" t="s">
        <v>24</v>
      </c>
      <c r="C66" s="49"/>
      <c r="D66" s="49"/>
      <c r="E66" s="22"/>
      <c r="F66" s="83">
        <f t="shared" si="3"/>
        <v>0</v>
      </c>
      <c r="G66" s="83"/>
      <c r="H66" s="83"/>
      <c r="I66" s="103"/>
      <c r="J66" s="103"/>
      <c r="K66" s="103"/>
      <c r="L66" s="103"/>
      <c r="M66" s="101"/>
      <c r="N66" s="83"/>
      <c r="O66" s="83"/>
      <c r="P66" s="83"/>
      <c r="Q66" s="103"/>
      <c r="R66" s="83"/>
      <c r="S66" s="103"/>
      <c r="T66" s="103"/>
      <c r="U66" s="103"/>
      <c r="V66" s="103"/>
      <c r="AN66" s="234"/>
      <c r="AO66" s="234"/>
      <c r="AP66" s="234"/>
      <c r="AQ66" s="234"/>
      <c r="AR66" s="234"/>
      <c r="AS66" s="234"/>
    </row>
    <row r="67" spans="2:45" s="48" customFormat="1" ht="13.2" hidden="1" customHeight="1" x14ac:dyDescent="0.25">
      <c r="B67" s="57" t="s">
        <v>25</v>
      </c>
      <c r="C67" s="49"/>
      <c r="D67" s="49"/>
      <c r="E67" s="22" t="s">
        <v>7</v>
      </c>
      <c r="F67" s="84">
        <f t="shared" si="3"/>
        <v>0</v>
      </c>
      <c r="G67" s="88"/>
      <c r="H67" s="84"/>
      <c r="I67" s="182"/>
      <c r="J67" s="182"/>
      <c r="K67" s="182"/>
      <c r="L67" s="182"/>
      <c r="M67" s="104"/>
      <c r="N67" s="84"/>
      <c r="O67" s="84"/>
      <c r="P67" s="84"/>
      <c r="Q67" s="182"/>
      <c r="R67" s="84"/>
      <c r="S67" s="182"/>
      <c r="T67" s="182"/>
      <c r="U67" s="182"/>
      <c r="V67" s="182"/>
      <c r="W67" s="234"/>
      <c r="X67" s="234"/>
      <c r="Y67" s="234"/>
      <c r="Z67" s="234"/>
      <c r="AA67" s="234"/>
      <c r="AB67" s="234"/>
      <c r="AC67" s="234"/>
      <c r="AD67" s="234"/>
      <c r="AE67" s="234"/>
      <c r="AF67" s="234"/>
      <c r="AG67" s="234"/>
      <c r="AH67" s="234"/>
      <c r="AI67" s="234"/>
      <c r="AJ67" s="234"/>
      <c r="AK67" s="234"/>
      <c r="AL67" s="234"/>
      <c r="AM67" s="234"/>
      <c r="AN67" s="234"/>
      <c r="AO67" s="234"/>
      <c r="AP67" s="234"/>
      <c r="AQ67" s="234"/>
      <c r="AR67" s="234"/>
      <c r="AS67" s="234"/>
    </row>
    <row r="68" spans="2:45" s="48" customFormat="1" x14ac:dyDescent="0.25">
      <c r="B68" s="57"/>
      <c r="C68" s="49"/>
      <c r="D68" s="49"/>
      <c r="E68" s="22"/>
      <c r="F68" s="234"/>
      <c r="G68" s="90"/>
      <c r="H68" s="234"/>
      <c r="I68" s="22"/>
      <c r="J68" s="26"/>
      <c r="K68" s="22"/>
      <c r="L68" s="49"/>
      <c r="M68" s="57"/>
      <c r="N68" s="90"/>
      <c r="O68" s="90"/>
      <c r="P68" s="90"/>
      <c r="Q68" s="130"/>
      <c r="R68" s="90"/>
      <c r="S68" s="130"/>
      <c r="T68" s="130"/>
      <c r="U68" s="130"/>
      <c r="V68" s="130"/>
      <c r="W68" s="234"/>
      <c r="X68" s="234" t="s">
        <v>7</v>
      </c>
      <c r="Y68" s="234"/>
      <c r="Z68" s="234"/>
      <c r="AA68" s="234"/>
      <c r="AB68" s="234"/>
      <c r="AC68" s="234"/>
      <c r="AD68" s="234"/>
      <c r="AE68" s="234"/>
      <c r="AF68" s="234"/>
      <c r="AG68" s="234"/>
      <c r="AH68" s="234"/>
      <c r="AI68" s="234"/>
      <c r="AJ68" s="234"/>
      <c r="AK68" s="234"/>
      <c r="AL68" s="234"/>
      <c r="AM68" s="234"/>
      <c r="AN68" s="234"/>
      <c r="AO68" s="234"/>
      <c r="AP68" s="234"/>
      <c r="AQ68" s="234"/>
      <c r="AR68" s="234"/>
      <c r="AS68" s="234"/>
    </row>
    <row r="69" spans="2:45" s="93" customFormat="1" x14ac:dyDescent="0.25">
      <c r="B69" s="58" t="s">
        <v>96</v>
      </c>
      <c r="C69" s="91"/>
      <c r="D69" s="52"/>
      <c r="E69" s="92">
        <v>9</v>
      </c>
      <c r="F69" s="52">
        <f t="shared" ref="F69:V69" si="4">SUM(F70:F81)</f>
        <v>23</v>
      </c>
      <c r="G69" s="94">
        <f t="shared" si="4"/>
        <v>1</v>
      </c>
      <c r="H69" s="52">
        <f t="shared" si="4"/>
        <v>2</v>
      </c>
      <c r="I69" s="94">
        <f t="shared" si="4"/>
        <v>2</v>
      </c>
      <c r="J69" s="94">
        <f t="shared" si="4"/>
        <v>2</v>
      </c>
      <c r="K69" s="94">
        <f t="shared" si="4"/>
        <v>2</v>
      </c>
      <c r="L69" s="94">
        <f t="shared" si="4"/>
        <v>0</v>
      </c>
      <c r="M69" s="309">
        <f t="shared" si="4"/>
        <v>4</v>
      </c>
      <c r="N69" s="94">
        <f t="shared" si="4"/>
        <v>4</v>
      </c>
      <c r="O69" s="94">
        <f t="shared" si="4"/>
        <v>0</v>
      </c>
      <c r="P69" s="94">
        <f t="shared" si="4"/>
        <v>0</v>
      </c>
      <c r="Q69" s="310">
        <f t="shared" si="4"/>
        <v>0</v>
      </c>
      <c r="R69" s="94">
        <f t="shared" si="4"/>
        <v>1</v>
      </c>
      <c r="S69" s="310">
        <f t="shared" si="4"/>
        <v>0</v>
      </c>
      <c r="T69" s="310">
        <f t="shared" si="4"/>
        <v>1</v>
      </c>
      <c r="U69" s="310">
        <f t="shared" si="4"/>
        <v>2</v>
      </c>
      <c r="V69" s="310">
        <f t="shared" si="4"/>
        <v>2</v>
      </c>
      <c r="W69" s="234"/>
      <c r="X69" s="234"/>
      <c r="Y69" s="234"/>
      <c r="Z69" s="234"/>
      <c r="AA69" s="234"/>
      <c r="AB69" s="234"/>
      <c r="AC69" s="234"/>
      <c r="AD69" s="234"/>
      <c r="AE69" s="234"/>
      <c r="AF69" s="234"/>
      <c r="AG69" s="234"/>
      <c r="AH69" s="234"/>
      <c r="AI69" s="234"/>
      <c r="AJ69" s="234"/>
      <c r="AK69" s="234"/>
      <c r="AL69" s="234"/>
      <c r="AM69" s="52"/>
      <c r="AN69" s="52"/>
      <c r="AO69" s="52"/>
      <c r="AP69" s="52"/>
      <c r="AQ69" s="52"/>
      <c r="AR69" s="52"/>
      <c r="AS69" s="52"/>
    </row>
    <row r="70" spans="2:45" s="48" customFormat="1" ht="13.2" customHeight="1" x14ac:dyDescent="0.25">
      <c r="B70" s="57" t="s">
        <v>34</v>
      </c>
      <c r="C70" s="49"/>
      <c r="D70" s="49"/>
      <c r="E70" s="22"/>
      <c r="F70" s="82">
        <f t="shared" ref="F70:F81" si="5">SUM(G70:V70)</f>
        <v>2</v>
      </c>
      <c r="G70" s="102"/>
      <c r="H70" s="82"/>
      <c r="I70" s="102"/>
      <c r="J70" s="82"/>
      <c r="K70" s="102"/>
      <c r="L70" s="82"/>
      <c r="M70" s="102">
        <v>1</v>
      </c>
      <c r="N70" s="82"/>
      <c r="O70" s="82"/>
      <c r="P70" s="82"/>
      <c r="Q70" s="131"/>
      <c r="R70" s="82">
        <v>1</v>
      </c>
      <c r="S70" s="131"/>
      <c r="T70" s="131"/>
      <c r="U70" s="131"/>
      <c r="V70" s="131"/>
      <c r="W70" s="234"/>
      <c r="X70" s="234"/>
      <c r="Y70" s="234"/>
      <c r="Z70" s="234"/>
      <c r="AA70" s="234"/>
      <c r="AB70" s="234"/>
      <c r="AC70" s="234"/>
      <c r="AD70" s="234"/>
      <c r="AE70" s="234"/>
      <c r="AF70" s="234"/>
      <c r="AG70" s="234"/>
      <c r="AH70" s="234"/>
      <c r="AI70" s="234"/>
      <c r="AJ70" s="234"/>
      <c r="AK70" s="234"/>
      <c r="AL70" s="234"/>
      <c r="AM70" s="234"/>
      <c r="AN70" s="234"/>
      <c r="AO70" s="234"/>
      <c r="AP70" s="234"/>
      <c r="AQ70" s="234"/>
      <c r="AR70" s="234"/>
      <c r="AS70" s="234"/>
    </row>
    <row r="71" spans="2:45" s="48" customFormat="1" ht="13.2" customHeight="1" x14ac:dyDescent="0.25">
      <c r="B71" s="57" t="s">
        <v>35</v>
      </c>
      <c r="C71" s="49"/>
      <c r="D71" s="49"/>
      <c r="E71" s="22"/>
      <c r="F71" s="83">
        <f t="shared" si="5"/>
        <v>2</v>
      </c>
      <c r="G71" s="101"/>
      <c r="H71" s="83"/>
      <c r="I71" s="101"/>
      <c r="J71" s="83"/>
      <c r="K71" s="101">
        <v>1</v>
      </c>
      <c r="L71" s="83"/>
      <c r="M71" s="101"/>
      <c r="N71" s="83"/>
      <c r="O71" s="83"/>
      <c r="P71" s="83"/>
      <c r="Q71" s="103"/>
      <c r="R71" s="83"/>
      <c r="S71" s="103"/>
      <c r="T71" s="103"/>
      <c r="U71" s="103">
        <v>1</v>
      </c>
      <c r="V71" s="103"/>
      <c r="W71" s="234"/>
      <c r="X71" s="234"/>
      <c r="Y71" s="234"/>
      <c r="Z71" s="234"/>
      <c r="AA71" s="234"/>
      <c r="AB71" s="234"/>
      <c r="AC71" s="234"/>
      <c r="AD71" s="234"/>
      <c r="AE71" s="234"/>
      <c r="AF71" s="234"/>
      <c r="AG71" s="234"/>
      <c r="AH71" s="234"/>
      <c r="AI71" s="234"/>
      <c r="AJ71" s="234"/>
      <c r="AK71" s="234"/>
      <c r="AL71" s="234"/>
      <c r="AM71" s="234"/>
      <c r="AN71" s="234"/>
      <c r="AO71" s="234"/>
      <c r="AP71" s="234"/>
      <c r="AQ71" s="234"/>
      <c r="AR71" s="234"/>
      <c r="AS71" s="234"/>
    </row>
    <row r="72" spans="2:45" s="48" customFormat="1" ht="13.2" customHeight="1" x14ac:dyDescent="0.25">
      <c r="B72" s="57" t="s">
        <v>36</v>
      </c>
      <c r="C72" s="49"/>
      <c r="D72" s="49"/>
      <c r="E72" s="22"/>
      <c r="F72" s="83">
        <f t="shared" si="5"/>
        <v>1</v>
      </c>
      <c r="G72" s="101"/>
      <c r="H72" s="83"/>
      <c r="I72" s="101"/>
      <c r="J72" s="83"/>
      <c r="K72" s="101"/>
      <c r="L72" s="83"/>
      <c r="M72" s="101"/>
      <c r="N72" s="83">
        <v>1</v>
      </c>
      <c r="O72" s="83"/>
      <c r="P72" s="83"/>
      <c r="Q72" s="103"/>
      <c r="R72" s="83"/>
      <c r="S72" s="103"/>
      <c r="T72" s="103"/>
      <c r="U72" s="103"/>
      <c r="V72" s="103"/>
      <c r="W72" s="234"/>
      <c r="X72" s="234"/>
      <c r="Y72" s="234"/>
      <c r="Z72" s="234"/>
      <c r="AA72" s="234"/>
      <c r="AB72" s="234"/>
      <c r="AC72" s="234"/>
      <c r="AD72" s="234"/>
      <c r="AE72" s="234"/>
      <c r="AF72" s="234"/>
      <c r="AG72" s="234"/>
      <c r="AH72" s="234"/>
      <c r="AI72" s="234"/>
      <c r="AJ72" s="234"/>
      <c r="AK72" s="234"/>
      <c r="AL72" s="234"/>
      <c r="AM72" s="234"/>
      <c r="AN72" s="234"/>
      <c r="AO72" s="234"/>
      <c r="AP72" s="234"/>
      <c r="AQ72" s="234"/>
      <c r="AR72" s="234"/>
      <c r="AS72" s="234"/>
    </row>
    <row r="73" spans="2:45" s="48" customFormat="1" ht="13.2" customHeight="1" x14ac:dyDescent="0.25">
      <c r="B73" s="57" t="s">
        <v>37</v>
      </c>
      <c r="C73" s="49"/>
      <c r="D73" s="49"/>
      <c r="E73" s="22"/>
      <c r="F73" s="83">
        <f t="shared" si="5"/>
        <v>1</v>
      </c>
      <c r="G73" s="101"/>
      <c r="H73" s="83"/>
      <c r="I73" s="101" t="s">
        <v>7</v>
      </c>
      <c r="J73" s="83"/>
      <c r="K73" s="101"/>
      <c r="L73" s="83"/>
      <c r="M73" s="101"/>
      <c r="N73" s="83">
        <v>1</v>
      </c>
      <c r="O73" s="83"/>
      <c r="P73" s="83"/>
      <c r="Q73" s="103"/>
      <c r="R73" s="83"/>
      <c r="S73" s="103"/>
      <c r="T73" s="103"/>
      <c r="U73" s="103"/>
      <c r="V73" s="103"/>
      <c r="W73" s="234"/>
      <c r="X73" s="234"/>
      <c r="Y73" s="234"/>
      <c r="Z73" s="234"/>
      <c r="AA73" s="234"/>
      <c r="AB73" s="234"/>
      <c r="AC73" s="234"/>
      <c r="AD73" s="234"/>
      <c r="AE73" s="234"/>
      <c r="AF73" s="234"/>
      <c r="AG73" s="234"/>
      <c r="AH73" s="234"/>
      <c r="AI73" s="234"/>
      <c r="AJ73" s="234"/>
      <c r="AK73" s="234"/>
      <c r="AL73" s="234"/>
      <c r="AM73" s="234"/>
      <c r="AN73" s="234"/>
      <c r="AO73" s="234"/>
      <c r="AP73" s="234"/>
      <c r="AQ73" s="234"/>
      <c r="AR73" s="234"/>
      <c r="AS73" s="234"/>
    </row>
    <row r="74" spans="2:45" s="48" customFormat="1" x14ac:dyDescent="0.25">
      <c r="B74" s="57" t="s">
        <v>38</v>
      </c>
      <c r="C74" s="49"/>
      <c r="D74" s="49"/>
      <c r="E74" s="22"/>
      <c r="F74" s="83">
        <f t="shared" si="5"/>
        <v>5</v>
      </c>
      <c r="G74" s="101"/>
      <c r="H74" s="83">
        <v>1</v>
      </c>
      <c r="I74" s="101">
        <v>1</v>
      </c>
      <c r="J74" s="83">
        <v>1</v>
      </c>
      <c r="K74" s="101"/>
      <c r="L74" s="83"/>
      <c r="M74" s="101">
        <v>1</v>
      </c>
      <c r="N74" s="83"/>
      <c r="O74" s="83"/>
      <c r="P74" s="83"/>
      <c r="Q74" s="103"/>
      <c r="R74" s="83"/>
      <c r="S74" s="103"/>
      <c r="T74" s="103"/>
      <c r="U74" s="103"/>
      <c r="V74" s="103">
        <v>1</v>
      </c>
      <c r="W74" s="234"/>
      <c r="X74" s="234"/>
      <c r="Y74" s="234"/>
      <c r="Z74" s="234"/>
      <c r="AA74" s="234"/>
      <c r="AB74" s="234"/>
      <c r="AC74" s="234"/>
      <c r="AD74" s="234"/>
      <c r="AE74" s="234"/>
      <c r="AF74" s="234"/>
      <c r="AG74" s="234"/>
      <c r="AH74" s="234"/>
      <c r="AI74" s="234"/>
      <c r="AJ74" s="234"/>
      <c r="AK74" s="234"/>
      <c r="AL74" s="234"/>
      <c r="AM74" s="234"/>
      <c r="AN74" s="234"/>
      <c r="AO74" s="234"/>
      <c r="AP74" s="234"/>
      <c r="AQ74" s="234"/>
      <c r="AR74" s="234"/>
      <c r="AS74" s="234"/>
    </row>
    <row r="75" spans="2:45" s="48" customFormat="1" x14ac:dyDescent="0.25">
      <c r="B75" s="57" t="s">
        <v>39</v>
      </c>
      <c r="C75" s="49" t="s">
        <v>7</v>
      </c>
      <c r="D75" s="49"/>
      <c r="E75" s="22"/>
      <c r="F75" s="83">
        <f t="shared" si="5"/>
        <v>5</v>
      </c>
      <c r="G75" s="101"/>
      <c r="H75" s="83">
        <v>1</v>
      </c>
      <c r="I75" s="101">
        <v>1</v>
      </c>
      <c r="J75" s="83">
        <v>1</v>
      </c>
      <c r="K75" s="101"/>
      <c r="L75" s="83"/>
      <c r="M75" s="101">
        <v>1</v>
      </c>
      <c r="N75" s="83"/>
      <c r="O75" s="83"/>
      <c r="P75" s="83"/>
      <c r="Q75" s="103"/>
      <c r="R75" s="83"/>
      <c r="S75" s="103"/>
      <c r="T75" s="103"/>
      <c r="U75" s="103"/>
      <c r="V75" s="103">
        <v>1</v>
      </c>
      <c r="W75" s="234"/>
      <c r="X75" s="234"/>
      <c r="Y75" s="234"/>
      <c r="Z75" s="234"/>
      <c r="AA75" s="234"/>
      <c r="AB75" s="234"/>
      <c r="AC75" s="234"/>
      <c r="AD75" s="234"/>
      <c r="AE75" s="234"/>
      <c r="AF75" s="234"/>
      <c r="AG75" s="234"/>
      <c r="AH75" s="234"/>
      <c r="AI75" s="234"/>
      <c r="AJ75" s="234"/>
      <c r="AK75" s="234"/>
      <c r="AL75" s="234"/>
      <c r="AM75" s="234"/>
      <c r="AN75" s="234"/>
      <c r="AO75" s="234"/>
      <c r="AP75" s="234"/>
      <c r="AQ75" s="234"/>
      <c r="AR75" s="234"/>
      <c r="AS75" s="234"/>
    </row>
    <row r="76" spans="2:45" s="48" customFormat="1" hidden="1" x14ac:dyDescent="0.25">
      <c r="B76" s="57" t="s">
        <v>143</v>
      </c>
      <c r="C76" s="49"/>
      <c r="D76" s="49"/>
      <c r="E76" s="26"/>
      <c r="F76" s="83">
        <f t="shared" si="5"/>
        <v>0</v>
      </c>
      <c r="G76" s="101"/>
      <c r="H76" s="83"/>
      <c r="I76" s="101"/>
      <c r="J76" s="83"/>
      <c r="K76" s="101"/>
      <c r="L76" s="83"/>
      <c r="M76" s="101"/>
      <c r="N76" s="83"/>
      <c r="O76" s="83"/>
      <c r="P76" s="83"/>
      <c r="Q76" s="103"/>
      <c r="R76" s="83"/>
      <c r="S76" s="103"/>
      <c r="T76" s="103"/>
      <c r="U76" s="103"/>
      <c r="V76" s="103"/>
      <c r="W76" s="234"/>
      <c r="X76" s="234"/>
      <c r="Y76" s="234"/>
      <c r="Z76" s="234"/>
      <c r="AA76" s="234"/>
      <c r="AB76" s="234"/>
      <c r="AC76" s="234"/>
      <c r="AD76" s="234"/>
      <c r="AE76" s="234"/>
      <c r="AF76" s="234"/>
      <c r="AG76" s="234"/>
      <c r="AH76" s="234"/>
      <c r="AI76" s="234"/>
      <c r="AJ76" s="234"/>
      <c r="AK76" s="234"/>
      <c r="AL76" s="234"/>
      <c r="AM76" s="234"/>
      <c r="AN76" s="234"/>
      <c r="AO76" s="234"/>
      <c r="AP76" s="234"/>
      <c r="AQ76" s="234"/>
      <c r="AR76" s="234"/>
      <c r="AS76" s="234"/>
    </row>
    <row r="77" spans="2:45" s="48" customFormat="1" x14ac:dyDescent="0.25">
      <c r="B77" s="57" t="s">
        <v>143</v>
      </c>
      <c r="C77" s="49"/>
      <c r="D77" s="49"/>
      <c r="E77" s="26"/>
      <c r="F77" s="83">
        <f t="shared" si="5"/>
        <v>3</v>
      </c>
      <c r="G77" s="101">
        <v>1</v>
      </c>
      <c r="H77" s="83"/>
      <c r="I77" s="101"/>
      <c r="J77" s="83"/>
      <c r="K77" s="101"/>
      <c r="L77" s="83"/>
      <c r="M77" s="101">
        <v>1</v>
      </c>
      <c r="N77" s="83"/>
      <c r="O77" s="83"/>
      <c r="P77" s="83"/>
      <c r="Q77" s="103"/>
      <c r="R77" s="83"/>
      <c r="S77" s="103"/>
      <c r="T77" s="103"/>
      <c r="U77" s="103">
        <v>1</v>
      </c>
      <c r="V77" s="103"/>
      <c r="W77" s="234"/>
      <c r="X77" s="234"/>
      <c r="Y77" s="234"/>
      <c r="Z77" s="234"/>
      <c r="AA77" s="234"/>
      <c r="AB77" s="234"/>
      <c r="AC77" s="234"/>
      <c r="AD77" s="234"/>
      <c r="AE77" s="234"/>
      <c r="AF77" s="234"/>
      <c r="AG77" s="234"/>
      <c r="AH77" s="234"/>
      <c r="AI77" s="234"/>
      <c r="AJ77" s="234"/>
      <c r="AK77" s="234"/>
      <c r="AL77" s="234"/>
      <c r="AM77" s="234"/>
      <c r="AN77" s="234"/>
      <c r="AO77" s="234"/>
      <c r="AP77" s="234"/>
      <c r="AQ77" s="234"/>
      <c r="AR77" s="234"/>
      <c r="AS77" s="234"/>
    </row>
    <row r="78" spans="2:45" s="48" customFormat="1" x14ac:dyDescent="0.25">
      <c r="B78" s="57" t="s">
        <v>41</v>
      </c>
      <c r="C78" s="49"/>
      <c r="D78" s="49"/>
      <c r="E78" s="26"/>
      <c r="F78" s="83">
        <f t="shared" si="5"/>
        <v>2</v>
      </c>
      <c r="G78" s="101"/>
      <c r="H78" s="83"/>
      <c r="I78" s="101"/>
      <c r="J78" s="83"/>
      <c r="K78" s="101"/>
      <c r="L78" s="83"/>
      <c r="M78" s="101"/>
      <c r="N78" s="83">
        <v>1</v>
      </c>
      <c r="O78" s="83"/>
      <c r="P78" s="83"/>
      <c r="Q78" s="103"/>
      <c r="R78" s="83"/>
      <c r="S78" s="103"/>
      <c r="T78" s="103">
        <v>1</v>
      </c>
      <c r="U78" s="103"/>
      <c r="V78" s="103"/>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row>
    <row r="79" spans="2:45" s="48" customFormat="1" ht="13.2" customHeight="1" x14ac:dyDescent="0.25">
      <c r="B79" s="57" t="s">
        <v>327</v>
      </c>
      <c r="C79" s="49"/>
      <c r="D79" s="49"/>
      <c r="E79" s="26"/>
      <c r="F79" s="84">
        <f t="shared" si="5"/>
        <v>2</v>
      </c>
      <c r="G79" s="104"/>
      <c r="H79" s="84"/>
      <c r="I79" s="104"/>
      <c r="J79" s="84"/>
      <c r="K79" s="104">
        <v>1</v>
      </c>
      <c r="L79" s="84"/>
      <c r="M79" s="104"/>
      <c r="N79" s="84">
        <v>1</v>
      </c>
      <c r="O79" s="84"/>
      <c r="P79" s="84"/>
      <c r="Q79" s="182"/>
      <c r="R79" s="84"/>
      <c r="S79" s="182"/>
      <c r="T79" s="182"/>
      <c r="U79" s="182"/>
      <c r="V79" s="182"/>
      <c r="W79" s="234"/>
      <c r="X79" s="234"/>
      <c r="Y79" s="234"/>
      <c r="Z79" s="234"/>
      <c r="AA79" s="234"/>
      <c r="AB79" s="234"/>
      <c r="AC79" s="234"/>
      <c r="AD79" s="234"/>
      <c r="AE79" s="234"/>
      <c r="AF79" s="234"/>
      <c r="AG79" s="234"/>
      <c r="AH79" s="234"/>
      <c r="AI79" s="234"/>
      <c r="AJ79" s="234"/>
      <c r="AK79" s="234"/>
      <c r="AL79" s="234"/>
      <c r="AM79" s="234"/>
      <c r="AN79" s="234"/>
      <c r="AO79" s="234"/>
      <c r="AP79" s="234"/>
      <c r="AQ79" s="234"/>
      <c r="AR79" s="234"/>
      <c r="AS79" s="234"/>
    </row>
    <row r="80" spans="2:45" s="48" customFormat="1" hidden="1" x14ac:dyDescent="0.25">
      <c r="B80" s="57" t="s">
        <v>99</v>
      </c>
      <c r="C80" s="49"/>
      <c r="D80" s="49"/>
      <c r="E80" s="22"/>
      <c r="F80" s="83">
        <f t="shared" si="5"/>
        <v>0</v>
      </c>
      <c r="G80" s="180"/>
      <c r="H80" s="83"/>
      <c r="I80" s="101"/>
      <c r="J80" s="83"/>
      <c r="K80" s="101"/>
      <c r="L80" s="83"/>
      <c r="M80" s="101"/>
      <c r="N80" s="83"/>
      <c r="O80" s="83"/>
      <c r="P80" s="83"/>
      <c r="Q80" s="103"/>
      <c r="R80" s="83"/>
      <c r="S80" s="103"/>
      <c r="T80" s="103"/>
      <c r="U80" s="103"/>
      <c r="V80" s="103"/>
      <c r="W80" s="234"/>
      <c r="X80" s="234"/>
      <c r="Y80" s="234"/>
      <c r="Z80" s="234"/>
      <c r="AA80" s="234"/>
      <c r="AB80" s="234"/>
      <c r="AC80" s="234"/>
      <c r="AD80" s="234"/>
      <c r="AE80" s="234"/>
      <c r="AF80" s="234"/>
      <c r="AG80" s="234"/>
      <c r="AH80" s="234"/>
      <c r="AI80" s="234"/>
      <c r="AJ80" s="234"/>
      <c r="AK80" s="234"/>
      <c r="AL80" s="234"/>
      <c r="AM80" s="234"/>
      <c r="AN80" s="234"/>
      <c r="AO80" s="234"/>
      <c r="AP80" s="234"/>
      <c r="AQ80" s="234"/>
      <c r="AR80" s="234"/>
      <c r="AS80" s="234"/>
    </row>
    <row r="81" spans="2:45" s="48" customFormat="1" ht="13.2" hidden="1" customHeight="1" x14ac:dyDescent="0.25">
      <c r="B81" s="57" t="s">
        <v>128</v>
      </c>
      <c r="C81" s="49"/>
      <c r="D81" s="49"/>
      <c r="E81" s="22"/>
      <c r="F81" s="84">
        <f t="shared" si="5"/>
        <v>0</v>
      </c>
      <c r="G81" s="181"/>
      <c r="H81" s="84"/>
      <c r="I81" s="104"/>
      <c r="J81" s="84"/>
      <c r="K81" s="104"/>
      <c r="L81" s="84"/>
      <c r="M81" s="104"/>
      <c r="N81" s="84"/>
      <c r="O81" s="84"/>
      <c r="P81" s="84"/>
      <c r="Q81" s="182"/>
      <c r="R81" s="84"/>
      <c r="S81" s="182"/>
      <c r="T81" s="182"/>
      <c r="U81" s="182"/>
      <c r="V81" s="182"/>
      <c r="W81" s="234"/>
      <c r="X81" s="234"/>
      <c r="Y81" s="234"/>
      <c r="Z81" s="234"/>
      <c r="AA81" s="234"/>
      <c r="AB81" s="234"/>
      <c r="AC81" s="234"/>
      <c r="AD81" s="234"/>
      <c r="AE81" s="234"/>
      <c r="AF81" s="234"/>
      <c r="AG81" s="234"/>
      <c r="AH81" s="234"/>
      <c r="AI81" s="234"/>
      <c r="AJ81" s="234"/>
      <c r="AK81" s="234"/>
      <c r="AL81" s="234"/>
      <c r="AM81" s="234"/>
      <c r="AN81" s="234"/>
      <c r="AO81" s="234"/>
      <c r="AP81" s="234"/>
      <c r="AQ81" s="234"/>
      <c r="AR81" s="234"/>
      <c r="AS81" s="234"/>
    </row>
    <row r="82" spans="2:45" s="48" customFormat="1" x14ac:dyDescent="0.25">
      <c r="B82" s="57" t="s">
        <v>7</v>
      </c>
      <c r="C82" s="49"/>
      <c r="D82" s="49"/>
      <c r="E82" s="22"/>
      <c r="F82" s="234"/>
      <c r="G82" s="90"/>
      <c r="H82" s="234"/>
      <c r="I82" s="26"/>
      <c r="J82" s="22"/>
      <c r="K82" s="234"/>
      <c r="L82" s="22"/>
      <c r="M82" s="234"/>
      <c r="N82" s="22"/>
      <c r="O82" s="22"/>
      <c r="P82" s="22"/>
      <c r="Q82" s="81"/>
      <c r="R82" s="22"/>
      <c r="S82" s="81"/>
      <c r="T82" s="81"/>
      <c r="U82" s="81"/>
      <c r="V82" s="81"/>
      <c r="W82" s="234"/>
      <c r="X82" s="234"/>
      <c r="Y82" s="234"/>
      <c r="Z82" s="234"/>
      <c r="AA82" s="234"/>
      <c r="AB82" s="234"/>
      <c r="AC82" s="234"/>
      <c r="AD82" s="234"/>
      <c r="AE82" s="234"/>
      <c r="AF82" s="234"/>
      <c r="AG82" s="234"/>
      <c r="AH82" s="234"/>
      <c r="AI82" s="234"/>
      <c r="AJ82" s="234"/>
      <c r="AK82" s="234"/>
      <c r="AL82" s="234"/>
      <c r="AM82" s="234"/>
      <c r="AN82" s="234"/>
      <c r="AO82" s="234"/>
      <c r="AP82" s="234"/>
      <c r="AQ82" s="234"/>
      <c r="AR82" s="234"/>
      <c r="AS82" s="234"/>
    </row>
    <row r="83" spans="2:45" s="93" customFormat="1" x14ac:dyDescent="0.25">
      <c r="B83" s="58" t="s">
        <v>125</v>
      </c>
      <c r="C83" s="91"/>
      <c r="D83" s="52"/>
      <c r="E83" s="92">
        <v>9</v>
      </c>
      <c r="F83" s="52">
        <f t="shared" ref="F83:V83" si="6">SUM(F84:F92)</f>
        <v>20</v>
      </c>
      <c r="G83" s="92">
        <f t="shared" si="6"/>
        <v>2</v>
      </c>
      <c r="H83" s="52">
        <f t="shared" si="6"/>
        <v>3</v>
      </c>
      <c r="I83" s="129">
        <f t="shared" si="6"/>
        <v>1</v>
      </c>
      <c r="J83" s="92">
        <f t="shared" si="6"/>
        <v>0</v>
      </c>
      <c r="K83" s="52">
        <f t="shared" si="6"/>
        <v>3</v>
      </c>
      <c r="L83" s="92">
        <f t="shared" si="6"/>
        <v>1</v>
      </c>
      <c r="M83" s="52">
        <f t="shared" si="6"/>
        <v>2</v>
      </c>
      <c r="N83" s="92">
        <f t="shared" si="6"/>
        <v>3</v>
      </c>
      <c r="O83" s="92">
        <f t="shared" si="6"/>
        <v>1</v>
      </c>
      <c r="P83" s="92">
        <f t="shared" si="6"/>
        <v>1</v>
      </c>
      <c r="Q83" s="126">
        <f t="shared" si="6"/>
        <v>0</v>
      </c>
      <c r="R83" s="92">
        <f t="shared" si="6"/>
        <v>0</v>
      </c>
      <c r="S83" s="126">
        <f t="shared" si="6"/>
        <v>1</v>
      </c>
      <c r="T83" s="126">
        <f t="shared" si="6"/>
        <v>0</v>
      </c>
      <c r="U83" s="126">
        <f t="shared" si="6"/>
        <v>0</v>
      </c>
      <c r="V83" s="126">
        <f t="shared" si="6"/>
        <v>2</v>
      </c>
      <c r="W83" s="234"/>
      <c r="X83" s="234"/>
      <c r="Y83" s="234"/>
      <c r="Z83" s="234"/>
      <c r="AA83" s="234"/>
      <c r="AB83" s="234"/>
      <c r="AC83" s="234"/>
      <c r="AD83" s="234"/>
      <c r="AE83" s="234"/>
      <c r="AF83" s="234"/>
      <c r="AG83" s="234"/>
      <c r="AH83" s="234"/>
      <c r="AI83" s="234"/>
      <c r="AJ83" s="234"/>
      <c r="AK83" s="234"/>
      <c r="AL83" s="234"/>
      <c r="AM83" s="52"/>
      <c r="AN83" s="52"/>
      <c r="AO83" s="52"/>
      <c r="AP83" s="52"/>
      <c r="AQ83" s="52"/>
      <c r="AR83" s="52"/>
      <c r="AS83" s="52"/>
    </row>
    <row r="84" spans="2:45" s="48" customFormat="1" ht="13.2" customHeight="1" x14ac:dyDescent="0.25">
      <c r="B84" s="57" t="s">
        <v>98</v>
      </c>
      <c r="C84" s="49"/>
      <c r="D84" s="49"/>
      <c r="E84" s="26"/>
      <c r="F84" s="82">
        <f t="shared" ref="F84:F92" si="7">SUM(G84:V84)</f>
        <v>1</v>
      </c>
      <c r="G84" s="102">
        <v>1</v>
      </c>
      <c r="H84" s="82"/>
      <c r="I84" s="102"/>
      <c r="J84" s="82"/>
      <c r="K84" s="102"/>
      <c r="L84" s="82"/>
      <c r="M84" s="102"/>
      <c r="N84" s="82"/>
      <c r="O84" s="102"/>
      <c r="P84" s="82"/>
      <c r="Q84" s="102"/>
      <c r="R84" s="82"/>
      <c r="S84" s="102"/>
      <c r="T84" s="82"/>
      <c r="U84" s="102"/>
      <c r="V84" s="82"/>
      <c r="W84" s="234"/>
      <c r="X84" s="234"/>
      <c r="Y84" s="234"/>
      <c r="Z84" s="234"/>
      <c r="AA84" s="234"/>
      <c r="AB84" s="234"/>
      <c r="AC84" s="234"/>
      <c r="AD84" s="234"/>
      <c r="AE84" s="234"/>
      <c r="AF84" s="234"/>
      <c r="AG84" s="234"/>
      <c r="AH84" s="234"/>
      <c r="AI84" s="234"/>
      <c r="AJ84" s="234"/>
      <c r="AK84" s="234"/>
      <c r="AL84" s="234"/>
      <c r="AM84" s="234"/>
      <c r="AN84" s="234"/>
      <c r="AO84" s="234"/>
      <c r="AP84" s="234"/>
      <c r="AQ84" s="234"/>
      <c r="AR84" s="234"/>
      <c r="AS84" s="234"/>
    </row>
    <row r="85" spans="2:45" s="48" customFormat="1" ht="13.2" customHeight="1" x14ac:dyDescent="0.25">
      <c r="B85" s="57" t="s">
        <v>43</v>
      </c>
      <c r="C85" s="49"/>
      <c r="D85" s="49"/>
      <c r="E85" s="26"/>
      <c r="F85" s="83">
        <f t="shared" si="7"/>
        <v>1</v>
      </c>
      <c r="G85" s="101"/>
      <c r="H85" s="83"/>
      <c r="I85" s="101"/>
      <c r="J85" s="83"/>
      <c r="K85" s="101"/>
      <c r="L85" s="83"/>
      <c r="M85" s="101"/>
      <c r="N85" s="83"/>
      <c r="O85" s="101">
        <v>1</v>
      </c>
      <c r="P85" s="83"/>
      <c r="Q85" s="101"/>
      <c r="R85" s="83"/>
      <c r="S85" s="101"/>
      <c r="T85" s="83"/>
      <c r="U85" s="101"/>
      <c r="V85" s="83"/>
      <c r="W85" s="234"/>
      <c r="X85" s="234"/>
      <c r="Y85" s="234"/>
      <c r="Z85" s="234"/>
      <c r="AA85" s="234"/>
      <c r="AB85" s="234"/>
      <c r="AC85" s="234"/>
      <c r="AD85" s="234"/>
      <c r="AE85" s="234"/>
      <c r="AF85" s="234"/>
      <c r="AG85" s="234"/>
      <c r="AH85" s="234"/>
      <c r="AI85" s="234"/>
      <c r="AJ85" s="234"/>
      <c r="AK85" s="234"/>
      <c r="AL85" s="234"/>
      <c r="AM85" s="234"/>
      <c r="AN85" s="234"/>
      <c r="AO85" s="234"/>
      <c r="AP85" s="234"/>
      <c r="AQ85" s="234"/>
      <c r="AR85" s="234"/>
      <c r="AS85" s="234"/>
    </row>
    <row r="86" spans="2:45" s="48" customFormat="1" x14ac:dyDescent="0.25">
      <c r="B86" s="57" t="s">
        <v>46</v>
      </c>
      <c r="C86" s="49"/>
      <c r="D86" s="49"/>
      <c r="E86" s="26"/>
      <c r="F86" s="83">
        <f t="shared" si="7"/>
        <v>2</v>
      </c>
      <c r="G86" s="101"/>
      <c r="H86" s="83">
        <v>1</v>
      </c>
      <c r="I86" s="101"/>
      <c r="J86" s="83"/>
      <c r="K86" s="101"/>
      <c r="L86" s="83"/>
      <c r="M86" s="101"/>
      <c r="N86" s="83"/>
      <c r="O86" s="101"/>
      <c r="P86" s="83"/>
      <c r="Q86" s="101"/>
      <c r="R86" s="83"/>
      <c r="S86" s="101">
        <v>1</v>
      </c>
      <c r="T86" s="83"/>
      <c r="U86" s="101"/>
      <c r="V86" s="83"/>
      <c r="W86" s="234"/>
      <c r="X86" s="234"/>
      <c r="Y86" s="234"/>
      <c r="Z86" s="234"/>
      <c r="AA86" s="234"/>
      <c r="AB86" s="234"/>
      <c r="AC86" s="234"/>
      <c r="AD86" s="234"/>
      <c r="AE86" s="234"/>
      <c r="AF86" s="234"/>
      <c r="AG86" s="234"/>
      <c r="AH86" s="234"/>
      <c r="AI86" s="234"/>
      <c r="AJ86" s="234"/>
      <c r="AK86" s="234"/>
      <c r="AL86" s="234"/>
      <c r="AM86" s="234"/>
      <c r="AN86" s="234"/>
      <c r="AO86" s="234"/>
      <c r="AP86" s="234"/>
      <c r="AQ86" s="234"/>
      <c r="AR86" s="234"/>
      <c r="AS86" s="234"/>
    </row>
    <row r="87" spans="2:45" s="48" customFormat="1" ht="13.2" customHeight="1" x14ac:dyDescent="0.25">
      <c r="B87" s="57" t="s">
        <v>47</v>
      </c>
      <c r="C87" s="49"/>
      <c r="D87" s="49"/>
      <c r="E87" s="26"/>
      <c r="F87" s="83">
        <f t="shared" si="7"/>
        <v>4</v>
      </c>
      <c r="G87" s="101">
        <v>1</v>
      </c>
      <c r="H87" s="83"/>
      <c r="I87" s="101"/>
      <c r="J87" s="83"/>
      <c r="K87" s="101"/>
      <c r="L87" s="83"/>
      <c r="M87" s="101">
        <v>1</v>
      </c>
      <c r="N87" s="83"/>
      <c r="O87" s="101"/>
      <c r="P87" s="83">
        <v>1</v>
      </c>
      <c r="Q87" s="101"/>
      <c r="R87" s="83"/>
      <c r="S87" s="101"/>
      <c r="T87" s="83"/>
      <c r="U87" s="101"/>
      <c r="V87" s="83">
        <v>1</v>
      </c>
      <c r="W87" s="234"/>
      <c r="X87" s="234"/>
      <c r="Y87" s="234"/>
      <c r="Z87" s="234"/>
      <c r="AA87" s="234"/>
      <c r="AB87" s="234"/>
      <c r="AC87" s="234"/>
      <c r="AD87" s="234"/>
      <c r="AE87" s="234"/>
      <c r="AF87" s="234"/>
      <c r="AG87" s="234"/>
      <c r="AH87" s="234"/>
      <c r="AI87" s="234"/>
      <c r="AJ87" s="234"/>
      <c r="AK87" s="234"/>
      <c r="AL87" s="234"/>
      <c r="AM87" s="234"/>
      <c r="AN87" s="234"/>
      <c r="AO87" s="234"/>
      <c r="AP87" s="234"/>
      <c r="AQ87" s="234"/>
      <c r="AR87" s="234"/>
      <c r="AS87" s="234"/>
    </row>
    <row r="88" spans="2:45" s="48" customFormat="1" x14ac:dyDescent="0.25">
      <c r="B88" s="57" t="s">
        <v>48</v>
      </c>
      <c r="C88" s="49"/>
      <c r="D88" s="49"/>
      <c r="E88" s="26"/>
      <c r="F88" s="83">
        <f t="shared" si="7"/>
        <v>2</v>
      </c>
      <c r="G88" s="101"/>
      <c r="H88" s="83"/>
      <c r="I88" s="101"/>
      <c r="J88" s="83"/>
      <c r="K88" s="101">
        <v>1</v>
      </c>
      <c r="L88" s="83"/>
      <c r="M88" s="101"/>
      <c r="N88" s="83">
        <v>1</v>
      </c>
      <c r="O88" s="101"/>
      <c r="P88" s="83"/>
      <c r="Q88" s="101"/>
      <c r="R88" s="83"/>
      <c r="S88" s="101"/>
      <c r="T88" s="83"/>
      <c r="U88" s="101"/>
      <c r="V88" s="83"/>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row>
    <row r="89" spans="2:45" s="48" customFormat="1" x14ac:dyDescent="0.25">
      <c r="B89" s="57" t="s">
        <v>49</v>
      </c>
      <c r="C89" s="49"/>
      <c r="D89" s="49"/>
      <c r="E89" s="26"/>
      <c r="F89" s="83">
        <f t="shared" si="7"/>
        <v>4</v>
      </c>
      <c r="G89" s="101"/>
      <c r="H89" s="83">
        <v>1</v>
      </c>
      <c r="I89" s="101"/>
      <c r="J89" s="83"/>
      <c r="K89" s="101">
        <v>1</v>
      </c>
      <c r="L89" s="83">
        <v>1</v>
      </c>
      <c r="M89" s="101"/>
      <c r="N89" s="83"/>
      <c r="O89" s="101"/>
      <c r="P89" s="83"/>
      <c r="Q89" s="101"/>
      <c r="R89" s="83"/>
      <c r="S89" s="101"/>
      <c r="T89" s="83"/>
      <c r="U89" s="101"/>
      <c r="V89" s="83">
        <v>1</v>
      </c>
      <c r="W89" s="234"/>
      <c r="X89" s="234"/>
      <c r="Y89" s="234"/>
      <c r="Z89" s="234"/>
      <c r="AA89" s="234"/>
      <c r="AB89" s="234"/>
      <c r="AC89" s="234"/>
      <c r="AD89" s="234"/>
      <c r="AE89" s="234"/>
      <c r="AF89" s="234"/>
      <c r="AG89" s="234"/>
      <c r="AH89" s="234"/>
      <c r="AI89" s="234"/>
      <c r="AJ89" s="234"/>
      <c r="AK89" s="234"/>
      <c r="AL89" s="234"/>
      <c r="AM89" s="234"/>
      <c r="AN89" s="234"/>
      <c r="AO89" s="234"/>
      <c r="AP89" s="234"/>
      <c r="AQ89" s="234"/>
      <c r="AR89" s="234"/>
      <c r="AS89" s="234"/>
    </row>
    <row r="90" spans="2:45" s="48" customFormat="1" ht="13.2" customHeight="1" x14ac:dyDescent="0.25">
      <c r="B90" s="57" t="s">
        <v>123</v>
      </c>
      <c r="C90" s="49"/>
      <c r="D90" s="49"/>
      <c r="E90" s="26"/>
      <c r="F90" s="83">
        <f t="shared" si="7"/>
        <v>2</v>
      </c>
      <c r="G90" s="101"/>
      <c r="H90" s="83">
        <v>1</v>
      </c>
      <c r="I90" s="101"/>
      <c r="J90" s="83"/>
      <c r="K90" s="101">
        <v>1</v>
      </c>
      <c r="L90" s="83"/>
      <c r="M90" s="101"/>
      <c r="N90" s="83"/>
      <c r="O90" s="101"/>
      <c r="P90" s="83"/>
      <c r="Q90" s="101"/>
      <c r="R90" s="83"/>
      <c r="S90" s="101"/>
      <c r="T90" s="83"/>
      <c r="U90" s="101"/>
      <c r="V90" s="83"/>
      <c r="W90" s="234"/>
      <c r="X90" s="234"/>
      <c r="Y90" s="234"/>
      <c r="Z90" s="234"/>
      <c r="AA90" s="234"/>
      <c r="AB90" s="234"/>
      <c r="AC90" s="234"/>
      <c r="AD90" s="234"/>
      <c r="AE90" s="234"/>
      <c r="AF90" s="234"/>
      <c r="AG90" s="234"/>
      <c r="AH90" s="234"/>
      <c r="AI90" s="234"/>
      <c r="AJ90" s="234"/>
      <c r="AK90" s="234"/>
      <c r="AL90" s="234"/>
      <c r="AM90" s="234"/>
      <c r="AN90" s="234"/>
      <c r="AO90" s="234"/>
      <c r="AP90" s="234"/>
      <c r="AQ90" s="234"/>
      <c r="AR90" s="234"/>
      <c r="AS90" s="234"/>
    </row>
    <row r="91" spans="2:45" s="48" customFormat="1" x14ac:dyDescent="0.25">
      <c r="B91" s="57" t="s">
        <v>51</v>
      </c>
      <c r="C91" s="49"/>
      <c r="D91" s="49"/>
      <c r="E91" s="26"/>
      <c r="F91" s="83">
        <f t="shared" si="7"/>
        <v>3</v>
      </c>
      <c r="G91" s="101"/>
      <c r="H91" s="83"/>
      <c r="I91" s="101">
        <v>1</v>
      </c>
      <c r="J91" s="83"/>
      <c r="K91" s="101"/>
      <c r="L91" s="83"/>
      <c r="M91" s="101">
        <v>1</v>
      </c>
      <c r="N91" s="83">
        <v>1</v>
      </c>
      <c r="O91" s="101"/>
      <c r="P91" s="83"/>
      <c r="Q91" s="101"/>
      <c r="R91" s="83"/>
      <c r="S91" s="101"/>
      <c r="T91" s="83"/>
      <c r="U91" s="101"/>
      <c r="V91" s="83"/>
      <c r="W91" s="234"/>
      <c r="X91" s="234"/>
      <c r="Y91" s="234"/>
      <c r="Z91" s="234"/>
      <c r="AA91" s="234"/>
      <c r="AB91" s="234"/>
      <c r="AC91" s="234"/>
      <c r="AD91" s="234"/>
      <c r="AE91" s="234"/>
      <c r="AF91" s="234"/>
      <c r="AG91" s="234"/>
      <c r="AH91" s="234"/>
      <c r="AI91" s="234"/>
      <c r="AJ91" s="234"/>
      <c r="AK91" s="234"/>
      <c r="AL91" s="234"/>
      <c r="AM91" s="234"/>
      <c r="AN91" s="234"/>
      <c r="AO91" s="234"/>
      <c r="AP91" s="234"/>
      <c r="AQ91" s="234"/>
      <c r="AR91" s="234"/>
      <c r="AS91" s="234"/>
    </row>
    <row r="92" spans="2:45" s="48" customFormat="1" ht="13.2" customHeight="1" x14ac:dyDescent="0.25">
      <c r="B92" s="57" t="s">
        <v>52</v>
      </c>
      <c r="C92" s="49"/>
      <c r="D92" s="49"/>
      <c r="E92" s="26"/>
      <c r="F92" s="84">
        <f t="shared" si="7"/>
        <v>1</v>
      </c>
      <c r="G92" s="104"/>
      <c r="H92" s="84"/>
      <c r="I92" s="104"/>
      <c r="J92" s="84"/>
      <c r="K92" s="104"/>
      <c r="L92" s="84"/>
      <c r="M92" s="104"/>
      <c r="N92" s="84">
        <v>1</v>
      </c>
      <c r="O92" s="104"/>
      <c r="P92" s="84"/>
      <c r="Q92" s="104"/>
      <c r="R92" s="84"/>
      <c r="S92" s="104"/>
      <c r="T92" s="84"/>
      <c r="U92" s="104"/>
      <c r="V92" s="84"/>
      <c r="W92" s="234"/>
      <c r="X92" s="234"/>
      <c r="Y92" s="234"/>
      <c r="Z92" s="234"/>
      <c r="AA92" s="234"/>
      <c r="AB92" s="234"/>
      <c r="AC92" s="234"/>
      <c r="AD92" s="234"/>
      <c r="AE92" s="234"/>
      <c r="AF92" s="234"/>
      <c r="AG92" s="234"/>
      <c r="AH92" s="234"/>
      <c r="AI92" s="234"/>
      <c r="AJ92" s="234"/>
      <c r="AK92" s="234"/>
      <c r="AL92" s="234"/>
      <c r="AM92" s="234"/>
      <c r="AN92" s="234"/>
      <c r="AO92" s="234"/>
      <c r="AP92" s="234"/>
      <c r="AQ92" s="234"/>
      <c r="AR92" s="234"/>
      <c r="AS92" s="234"/>
    </row>
    <row r="93" spans="2:45" s="48" customFormat="1" x14ac:dyDescent="0.25">
      <c r="B93" s="57"/>
      <c r="C93" s="49"/>
      <c r="D93" s="49"/>
      <c r="E93" s="22"/>
      <c r="F93" s="234"/>
      <c r="G93" s="132"/>
      <c r="H93" s="22"/>
      <c r="I93" s="234"/>
      <c r="J93" s="22"/>
      <c r="K93" s="234"/>
      <c r="L93" s="22"/>
      <c r="M93" s="234"/>
      <c r="N93" s="22"/>
      <c r="O93" s="22"/>
      <c r="P93" s="22"/>
      <c r="Q93" s="81"/>
      <c r="R93" s="22"/>
      <c r="S93" s="81"/>
      <c r="T93" s="81"/>
      <c r="U93" s="81"/>
      <c r="V93" s="81"/>
      <c r="W93" s="234"/>
      <c r="X93" s="234"/>
      <c r="Y93" s="234"/>
      <c r="Z93" s="234"/>
      <c r="AA93" s="234"/>
      <c r="AB93" s="234"/>
      <c r="AC93" s="234"/>
      <c r="AD93" s="234"/>
      <c r="AE93" s="234"/>
      <c r="AF93" s="234"/>
      <c r="AG93" s="234"/>
      <c r="AH93" s="234"/>
      <c r="AI93" s="234"/>
      <c r="AJ93" s="234"/>
      <c r="AK93" s="234"/>
      <c r="AL93" s="234"/>
      <c r="AM93" s="234"/>
      <c r="AN93" s="234"/>
      <c r="AO93" s="234"/>
      <c r="AP93" s="234"/>
      <c r="AQ93" s="234"/>
      <c r="AR93" s="234"/>
      <c r="AS93" s="234"/>
    </row>
    <row r="94" spans="2:45" s="93" customFormat="1" x14ac:dyDescent="0.25">
      <c r="B94" s="58" t="s">
        <v>328</v>
      </c>
      <c r="C94" s="91"/>
      <c r="D94" s="52"/>
      <c r="E94" s="92">
        <v>5</v>
      </c>
      <c r="F94" s="52">
        <f>SUM(F95:F100)</f>
        <v>10</v>
      </c>
      <c r="G94" s="129">
        <f>SUM(G95:G100)</f>
        <v>0</v>
      </c>
      <c r="H94" s="92">
        <f>SUM(H95:H100)</f>
        <v>0</v>
      </c>
      <c r="I94" s="52">
        <f t="shared" ref="I94:V94" si="8">SUM(I95:I100)</f>
        <v>3</v>
      </c>
      <c r="J94" s="92">
        <f t="shared" si="8"/>
        <v>0</v>
      </c>
      <c r="K94" s="52">
        <f t="shared" si="8"/>
        <v>0</v>
      </c>
      <c r="L94" s="92">
        <f t="shared" si="8"/>
        <v>2</v>
      </c>
      <c r="M94" s="52">
        <f t="shared" si="8"/>
        <v>2</v>
      </c>
      <c r="N94" s="92">
        <f t="shared" si="8"/>
        <v>2</v>
      </c>
      <c r="O94" s="92">
        <f t="shared" si="8"/>
        <v>0</v>
      </c>
      <c r="P94" s="92">
        <f t="shared" si="8"/>
        <v>0</v>
      </c>
      <c r="Q94" s="126">
        <f t="shared" si="8"/>
        <v>0</v>
      </c>
      <c r="R94" s="92">
        <f t="shared" si="8"/>
        <v>0</v>
      </c>
      <c r="S94" s="126">
        <f t="shared" si="8"/>
        <v>0</v>
      </c>
      <c r="T94" s="126">
        <f t="shared" si="8"/>
        <v>0</v>
      </c>
      <c r="U94" s="126">
        <f t="shared" si="8"/>
        <v>0</v>
      </c>
      <c r="V94" s="126">
        <f t="shared" si="8"/>
        <v>1</v>
      </c>
      <c r="W94" s="234"/>
      <c r="X94" s="234"/>
      <c r="Y94" s="234"/>
      <c r="Z94" s="234"/>
      <c r="AA94" s="234"/>
      <c r="AB94" s="234"/>
      <c r="AC94" s="234"/>
      <c r="AD94" s="234"/>
      <c r="AE94" s="234"/>
      <c r="AF94" s="234"/>
      <c r="AG94" s="234"/>
      <c r="AH94" s="234"/>
      <c r="AI94" s="234"/>
      <c r="AJ94" s="234"/>
      <c r="AK94" s="234"/>
      <c r="AL94" s="234"/>
      <c r="AM94" s="52"/>
      <c r="AN94" s="52"/>
      <c r="AO94" s="52"/>
      <c r="AP94" s="52"/>
      <c r="AQ94" s="52"/>
      <c r="AR94" s="52"/>
      <c r="AS94" s="52"/>
    </row>
    <row r="95" spans="2:45" s="48" customFormat="1" x14ac:dyDescent="0.25">
      <c r="B95" s="57" t="s">
        <v>53</v>
      </c>
      <c r="C95" s="49"/>
      <c r="D95" s="49"/>
      <c r="E95" s="26"/>
      <c r="F95" s="179">
        <f t="shared" ref="F95:F100" si="9">SUM(G95:V95)</f>
        <v>3</v>
      </c>
      <c r="G95" s="82"/>
      <c r="H95" s="102"/>
      <c r="I95" s="82"/>
      <c r="J95" s="102"/>
      <c r="K95" s="82"/>
      <c r="L95" s="102">
        <v>1</v>
      </c>
      <c r="M95" s="82">
        <v>1</v>
      </c>
      <c r="N95" s="102"/>
      <c r="O95" s="82"/>
      <c r="P95" s="102"/>
      <c r="Q95" s="82"/>
      <c r="R95" s="82"/>
      <c r="S95" s="82"/>
      <c r="T95" s="102"/>
      <c r="U95" s="82"/>
      <c r="V95" s="131">
        <v>1</v>
      </c>
      <c r="W95" s="234"/>
      <c r="X95" s="234"/>
      <c r="Y95" s="234"/>
      <c r="Z95" s="234"/>
      <c r="AA95" s="234"/>
      <c r="AB95" s="234"/>
      <c r="AC95" s="234"/>
      <c r="AD95" s="234"/>
      <c r="AE95" s="234"/>
      <c r="AF95" s="234"/>
      <c r="AG95" s="234"/>
      <c r="AH95" s="234"/>
      <c r="AI95" s="234"/>
      <c r="AJ95" s="234"/>
      <c r="AK95" s="234"/>
      <c r="AL95" s="234"/>
      <c r="AM95" s="234"/>
      <c r="AN95" s="234"/>
      <c r="AO95" s="234"/>
      <c r="AP95" s="234"/>
      <c r="AQ95" s="234"/>
      <c r="AR95" s="234"/>
      <c r="AS95" s="234"/>
    </row>
    <row r="96" spans="2:45" s="48" customFormat="1" ht="13.2" customHeight="1" x14ac:dyDescent="0.25">
      <c r="B96" s="57" t="s">
        <v>54</v>
      </c>
      <c r="C96" s="49"/>
      <c r="D96" s="49"/>
      <c r="E96" s="26"/>
      <c r="F96" s="180">
        <f t="shared" si="9"/>
        <v>2</v>
      </c>
      <c r="G96" s="305"/>
      <c r="H96" s="101"/>
      <c r="I96" s="83">
        <v>1</v>
      </c>
      <c r="J96" s="101"/>
      <c r="K96" s="83"/>
      <c r="L96" s="101"/>
      <c r="M96" s="83">
        <v>1</v>
      </c>
      <c r="N96" s="101"/>
      <c r="O96" s="83"/>
      <c r="P96" s="101"/>
      <c r="Q96" s="83"/>
      <c r="R96" s="83"/>
      <c r="S96" s="83"/>
      <c r="T96" s="101"/>
      <c r="U96" s="83"/>
      <c r="V96" s="103"/>
      <c r="W96" s="234"/>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row>
    <row r="97" spans="2:45" s="48" customFormat="1" ht="13.2" hidden="1" customHeight="1" x14ac:dyDescent="0.25">
      <c r="B97" s="57" t="s">
        <v>55</v>
      </c>
      <c r="C97" s="49"/>
      <c r="D97" s="49"/>
      <c r="E97" s="26"/>
      <c r="F97" s="180">
        <f t="shared" si="9"/>
        <v>0</v>
      </c>
      <c r="G97" s="305"/>
      <c r="H97" s="101"/>
      <c r="I97" s="83"/>
      <c r="J97" s="101"/>
      <c r="K97" s="83"/>
      <c r="L97" s="101"/>
      <c r="M97" s="83"/>
      <c r="N97" s="101"/>
      <c r="O97" s="83"/>
      <c r="P97" s="101"/>
      <c r="Q97" s="83"/>
      <c r="R97" s="83"/>
      <c r="S97" s="83"/>
      <c r="T97" s="101"/>
      <c r="U97" s="83"/>
      <c r="V97" s="103"/>
      <c r="W97" s="234"/>
      <c r="X97" s="234"/>
      <c r="Y97" s="234"/>
      <c r="Z97" s="234"/>
      <c r="AA97" s="234"/>
      <c r="AB97" s="234"/>
      <c r="AC97" s="234"/>
      <c r="AD97" s="234"/>
      <c r="AE97" s="234"/>
      <c r="AF97" s="234"/>
      <c r="AG97" s="234"/>
      <c r="AH97" s="234"/>
      <c r="AI97" s="234"/>
      <c r="AJ97" s="234"/>
      <c r="AK97" s="234"/>
      <c r="AL97" s="234"/>
      <c r="AM97" s="234"/>
      <c r="AN97" s="234"/>
      <c r="AO97" s="234"/>
      <c r="AP97" s="234"/>
      <c r="AQ97" s="234"/>
      <c r="AR97" s="234"/>
      <c r="AS97" s="234"/>
    </row>
    <row r="98" spans="2:45" s="48" customFormat="1" ht="13.2" customHeight="1" x14ac:dyDescent="0.25">
      <c r="B98" s="57" t="s">
        <v>100</v>
      </c>
      <c r="C98" s="49"/>
      <c r="D98" s="49"/>
      <c r="E98" s="26"/>
      <c r="F98" s="180">
        <f t="shared" si="9"/>
        <v>1</v>
      </c>
      <c r="G98" s="305"/>
      <c r="H98" s="101"/>
      <c r="I98" s="83"/>
      <c r="J98" s="101"/>
      <c r="K98" s="83"/>
      <c r="L98" s="101"/>
      <c r="M98" s="83"/>
      <c r="N98" s="101">
        <v>1</v>
      </c>
      <c r="O98" s="83"/>
      <c r="P98" s="101"/>
      <c r="Q98" s="83"/>
      <c r="R98" s="83"/>
      <c r="S98" s="83"/>
      <c r="T98" s="101"/>
      <c r="U98" s="83"/>
      <c r="V98" s="103"/>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row>
    <row r="99" spans="2:45" s="48" customFormat="1" x14ac:dyDescent="0.25">
      <c r="B99" s="57" t="s">
        <v>57</v>
      </c>
      <c r="C99" s="49"/>
      <c r="D99" s="49"/>
      <c r="E99" s="26" t="s">
        <v>7</v>
      </c>
      <c r="F99" s="180">
        <f t="shared" si="9"/>
        <v>2</v>
      </c>
      <c r="G99" s="305"/>
      <c r="H99" s="101"/>
      <c r="I99" s="83">
        <v>1</v>
      </c>
      <c r="J99" s="101"/>
      <c r="K99" s="83"/>
      <c r="L99" s="101">
        <v>1</v>
      </c>
      <c r="M99" s="83"/>
      <c r="N99" s="101"/>
      <c r="O99" s="83"/>
      <c r="P99" s="101"/>
      <c r="Q99" s="83"/>
      <c r="R99" s="83"/>
      <c r="S99" s="83"/>
      <c r="T99" s="101"/>
      <c r="U99" s="83"/>
      <c r="V99" s="103"/>
      <c r="W99" s="234"/>
      <c r="X99" s="234"/>
      <c r="Y99" s="234"/>
      <c r="Z99" s="234"/>
      <c r="AA99" s="234"/>
      <c r="AB99" s="234"/>
      <c r="AC99" s="234"/>
      <c r="AD99" s="234"/>
      <c r="AE99" s="234"/>
      <c r="AF99" s="234"/>
      <c r="AG99" s="234"/>
      <c r="AH99" s="234"/>
      <c r="AI99" s="234"/>
      <c r="AJ99" s="234"/>
      <c r="AK99" s="234"/>
      <c r="AL99" s="234"/>
      <c r="AM99" s="234"/>
      <c r="AN99" s="234"/>
      <c r="AO99" s="234"/>
      <c r="AP99" s="234"/>
      <c r="AQ99" s="234"/>
      <c r="AR99" s="234"/>
      <c r="AS99" s="234"/>
    </row>
    <row r="100" spans="2:45" s="48" customFormat="1" ht="13.2" customHeight="1" x14ac:dyDescent="0.25">
      <c r="B100" s="57" t="s">
        <v>58</v>
      </c>
      <c r="C100" s="49"/>
      <c r="D100" s="49"/>
      <c r="E100" s="26"/>
      <c r="F100" s="181">
        <f t="shared" si="9"/>
        <v>2</v>
      </c>
      <c r="G100" s="88"/>
      <c r="H100" s="104"/>
      <c r="I100" s="84">
        <v>1</v>
      </c>
      <c r="J100" s="104"/>
      <c r="K100" s="84"/>
      <c r="L100" s="104"/>
      <c r="M100" s="84"/>
      <c r="N100" s="104">
        <v>1</v>
      </c>
      <c r="O100" s="84"/>
      <c r="P100" s="104"/>
      <c r="Q100" s="84"/>
      <c r="R100" s="84"/>
      <c r="S100" s="84"/>
      <c r="T100" s="104"/>
      <c r="U100" s="84"/>
      <c r="V100" s="182"/>
      <c r="W100" s="234"/>
      <c r="X100" s="234"/>
      <c r="Y100" s="234"/>
      <c r="Z100" s="234"/>
      <c r="AA100" s="234"/>
      <c r="AB100" s="234"/>
      <c r="AC100" s="234"/>
      <c r="AD100" s="234"/>
      <c r="AE100" s="234"/>
      <c r="AF100" s="234"/>
      <c r="AG100" s="234"/>
      <c r="AH100" s="234"/>
      <c r="AI100" s="234"/>
      <c r="AJ100" s="234"/>
      <c r="AK100" s="234"/>
      <c r="AL100" s="234"/>
      <c r="AM100" s="234"/>
      <c r="AN100" s="234"/>
      <c r="AO100" s="234"/>
      <c r="AP100" s="234"/>
      <c r="AQ100" s="234"/>
      <c r="AR100" s="234"/>
      <c r="AS100" s="234"/>
    </row>
    <row r="101" spans="2:45" s="48" customFormat="1" x14ac:dyDescent="0.25">
      <c r="B101" s="57"/>
      <c r="C101" s="49"/>
      <c r="D101" s="49"/>
      <c r="E101" s="26"/>
      <c r="F101" s="26"/>
      <c r="G101" s="90"/>
      <c r="H101" s="234"/>
      <c r="I101" s="22"/>
      <c r="J101" s="234"/>
      <c r="K101" s="22"/>
      <c r="L101" s="234"/>
      <c r="M101" s="26"/>
      <c r="N101" s="22"/>
      <c r="O101" s="22"/>
      <c r="P101" s="22"/>
      <c r="Q101" s="81"/>
      <c r="R101" s="22"/>
      <c r="S101" s="81"/>
      <c r="T101" s="81"/>
      <c r="U101" s="81"/>
      <c r="V101" s="81"/>
      <c r="W101" s="234"/>
      <c r="X101" s="234"/>
      <c r="Y101" s="234"/>
      <c r="Z101" s="234"/>
      <c r="AA101" s="234"/>
      <c r="AB101" s="234"/>
      <c r="AC101" s="234"/>
      <c r="AD101" s="234"/>
      <c r="AE101" s="234"/>
      <c r="AF101" s="234"/>
      <c r="AG101" s="234"/>
      <c r="AH101" s="234"/>
      <c r="AI101" s="234"/>
      <c r="AJ101" s="234"/>
      <c r="AK101" s="234"/>
      <c r="AL101" s="234"/>
      <c r="AM101" s="234"/>
      <c r="AN101" s="234"/>
      <c r="AO101" s="234"/>
      <c r="AP101" s="234"/>
      <c r="AQ101" s="234"/>
      <c r="AR101" s="234"/>
      <c r="AS101" s="234"/>
    </row>
    <row r="102" spans="2:45" s="93" customFormat="1" x14ac:dyDescent="0.25">
      <c r="B102" s="58" t="s">
        <v>101</v>
      </c>
      <c r="C102" s="91"/>
      <c r="D102" s="52"/>
      <c r="E102" s="129">
        <v>17</v>
      </c>
      <c r="F102" s="129">
        <f t="shared" ref="F102:V102" si="10">SUM(F103:F126)</f>
        <v>25</v>
      </c>
      <c r="G102" s="92">
        <f t="shared" si="10"/>
        <v>2</v>
      </c>
      <c r="H102" s="52">
        <f t="shared" si="10"/>
        <v>0</v>
      </c>
      <c r="I102" s="92">
        <f t="shared" si="10"/>
        <v>0</v>
      </c>
      <c r="J102" s="52">
        <f t="shared" si="10"/>
        <v>1</v>
      </c>
      <c r="K102" s="92">
        <f t="shared" si="10"/>
        <v>3</v>
      </c>
      <c r="L102" s="52">
        <f t="shared" si="10"/>
        <v>3</v>
      </c>
      <c r="M102" s="129">
        <f t="shared" si="10"/>
        <v>0</v>
      </c>
      <c r="N102" s="92">
        <f t="shared" si="10"/>
        <v>7</v>
      </c>
      <c r="O102" s="92">
        <f t="shared" si="10"/>
        <v>1</v>
      </c>
      <c r="P102" s="92">
        <f t="shared" si="10"/>
        <v>0</v>
      </c>
      <c r="Q102" s="126">
        <f t="shared" si="10"/>
        <v>4</v>
      </c>
      <c r="R102" s="92">
        <f t="shared" si="10"/>
        <v>1</v>
      </c>
      <c r="S102" s="126">
        <f t="shared" si="10"/>
        <v>0</v>
      </c>
      <c r="T102" s="126">
        <f t="shared" si="10"/>
        <v>1</v>
      </c>
      <c r="U102" s="126">
        <f t="shared" si="10"/>
        <v>0</v>
      </c>
      <c r="V102" s="126">
        <f t="shared" si="10"/>
        <v>2</v>
      </c>
      <c r="W102" s="234"/>
      <c r="X102" s="234"/>
      <c r="Y102" s="234"/>
      <c r="Z102" s="234"/>
      <c r="AA102" s="234"/>
      <c r="AB102" s="234"/>
      <c r="AC102" s="234"/>
      <c r="AD102" s="234"/>
      <c r="AE102" s="234"/>
      <c r="AF102" s="234"/>
      <c r="AG102" s="234"/>
      <c r="AH102" s="234"/>
      <c r="AI102" s="234"/>
      <c r="AJ102" s="234"/>
      <c r="AK102" s="234"/>
      <c r="AL102" s="234"/>
      <c r="AM102" s="52"/>
      <c r="AN102" s="52"/>
      <c r="AO102" s="52"/>
      <c r="AP102" s="52"/>
      <c r="AQ102" s="52"/>
      <c r="AR102" s="52"/>
      <c r="AS102" s="52"/>
    </row>
    <row r="103" spans="2:45" s="48" customFormat="1" ht="13.2" customHeight="1" x14ac:dyDescent="0.25">
      <c r="B103" s="57" t="s">
        <v>59</v>
      </c>
      <c r="C103" s="49"/>
      <c r="D103" s="49"/>
      <c r="E103" s="26"/>
      <c r="F103" s="179">
        <f t="shared" ref="F103:F126" si="11">SUM(G103:V103)</f>
        <v>2</v>
      </c>
      <c r="G103" s="82">
        <v>1</v>
      </c>
      <c r="H103" s="102"/>
      <c r="I103" s="82"/>
      <c r="J103" s="102"/>
      <c r="K103" s="82">
        <v>1</v>
      </c>
      <c r="L103" s="102"/>
      <c r="M103" s="179"/>
      <c r="N103" s="82"/>
      <c r="O103" s="82"/>
      <c r="P103" s="82"/>
      <c r="Q103" s="131"/>
      <c r="R103" s="82"/>
      <c r="S103" s="131"/>
      <c r="T103" s="131"/>
      <c r="U103" s="131"/>
      <c r="V103" s="131"/>
      <c r="W103" s="234"/>
      <c r="X103" s="234"/>
      <c r="Y103" s="234"/>
      <c r="Z103" s="234"/>
      <c r="AA103" s="234"/>
      <c r="AB103" s="234"/>
      <c r="AC103" s="234"/>
      <c r="AD103" s="234"/>
      <c r="AE103" s="234"/>
      <c r="AF103" s="234"/>
      <c r="AG103" s="234"/>
      <c r="AH103" s="234"/>
      <c r="AI103" s="234"/>
      <c r="AJ103" s="234"/>
      <c r="AK103" s="234"/>
      <c r="AL103" s="234"/>
      <c r="AM103" s="234"/>
      <c r="AN103" s="234"/>
      <c r="AO103" s="234"/>
      <c r="AP103" s="234"/>
      <c r="AQ103" s="234"/>
      <c r="AR103" s="234"/>
      <c r="AS103" s="234"/>
    </row>
    <row r="104" spans="2:45" s="48" customFormat="1" ht="13.2" customHeight="1" x14ac:dyDescent="0.25">
      <c r="B104" s="57" t="s">
        <v>60</v>
      </c>
      <c r="C104" s="49"/>
      <c r="D104" s="49"/>
      <c r="E104" s="26"/>
      <c r="F104" s="180">
        <f t="shared" si="11"/>
        <v>1</v>
      </c>
      <c r="G104" s="83"/>
      <c r="H104" s="101"/>
      <c r="I104" s="83"/>
      <c r="J104" s="101"/>
      <c r="K104" s="83"/>
      <c r="L104" s="101"/>
      <c r="M104" s="180"/>
      <c r="N104" s="83">
        <v>1</v>
      </c>
      <c r="O104" s="83"/>
      <c r="P104" s="83"/>
      <c r="Q104" s="103"/>
      <c r="R104" s="83"/>
      <c r="S104" s="103"/>
      <c r="T104" s="103"/>
      <c r="U104" s="103"/>
      <c r="V104" s="103"/>
      <c r="W104" s="234"/>
      <c r="X104" s="234"/>
      <c r="Y104" s="234"/>
      <c r="Z104" s="234"/>
      <c r="AA104" s="234"/>
      <c r="AB104" s="234"/>
      <c r="AC104" s="234"/>
      <c r="AD104" s="234"/>
      <c r="AE104" s="234"/>
      <c r="AF104" s="234"/>
      <c r="AG104" s="234"/>
      <c r="AH104" s="234"/>
      <c r="AI104" s="234"/>
      <c r="AJ104" s="234"/>
      <c r="AK104" s="234"/>
      <c r="AL104" s="234"/>
      <c r="AM104" s="234"/>
      <c r="AN104" s="234"/>
      <c r="AO104" s="234"/>
      <c r="AP104" s="234"/>
      <c r="AQ104" s="234"/>
      <c r="AR104" s="234"/>
      <c r="AS104" s="234"/>
    </row>
    <row r="105" spans="2:45" s="48" customFormat="1" ht="13.2" customHeight="1" x14ac:dyDescent="0.25">
      <c r="B105" s="57" t="s">
        <v>61</v>
      </c>
      <c r="C105" s="49"/>
      <c r="D105" s="49"/>
      <c r="E105" s="26"/>
      <c r="F105" s="180">
        <f t="shared" si="11"/>
        <v>1</v>
      </c>
      <c r="G105" s="83"/>
      <c r="H105" s="101"/>
      <c r="I105" s="83"/>
      <c r="J105" s="101"/>
      <c r="K105" s="83"/>
      <c r="L105" s="101">
        <v>1</v>
      </c>
      <c r="M105" s="180"/>
      <c r="N105" s="83"/>
      <c r="O105" s="83"/>
      <c r="P105" s="83"/>
      <c r="Q105" s="103"/>
      <c r="R105" s="83"/>
      <c r="S105" s="103"/>
      <c r="T105" s="103"/>
      <c r="U105" s="103"/>
      <c r="V105" s="103"/>
      <c r="W105" s="234"/>
      <c r="X105" s="234"/>
      <c r="Y105" s="234"/>
      <c r="Z105" s="234"/>
      <c r="AA105" s="234"/>
      <c r="AB105" s="234"/>
      <c r="AC105" s="234"/>
      <c r="AD105" s="234"/>
      <c r="AE105" s="234"/>
      <c r="AF105" s="234"/>
      <c r="AG105" s="234"/>
      <c r="AH105" s="234"/>
      <c r="AI105" s="234"/>
      <c r="AJ105" s="234"/>
      <c r="AK105" s="234"/>
      <c r="AL105" s="234"/>
      <c r="AM105" s="234"/>
      <c r="AN105" s="234"/>
      <c r="AO105" s="234"/>
      <c r="AP105" s="234"/>
      <c r="AQ105" s="234"/>
      <c r="AR105" s="234"/>
      <c r="AS105" s="234"/>
    </row>
    <row r="106" spans="2:45" s="48" customFormat="1" x14ac:dyDescent="0.25">
      <c r="B106" s="57" t="s">
        <v>62</v>
      </c>
      <c r="C106" s="49"/>
      <c r="D106" s="49"/>
      <c r="E106" s="26"/>
      <c r="F106" s="180">
        <f t="shared" si="11"/>
        <v>1</v>
      </c>
      <c r="G106" s="83"/>
      <c r="H106" s="101"/>
      <c r="I106" s="83"/>
      <c r="J106" s="101"/>
      <c r="K106" s="83"/>
      <c r="L106" s="101">
        <v>1</v>
      </c>
      <c r="M106" s="180"/>
      <c r="N106" s="83"/>
      <c r="O106" s="83"/>
      <c r="P106" s="83"/>
      <c r="Q106" s="103"/>
      <c r="R106" s="83"/>
      <c r="S106" s="103"/>
      <c r="T106" s="103"/>
      <c r="U106" s="103"/>
      <c r="V106" s="103"/>
      <c r="W106" s="234"/>
      <c r="X106" s="234"/>
      <c r="Y106" s="234"/>
      <c r="Z106" s="234"/>
      <c r="AA106" s="234"/>
      <c r="AB106" s="234"/>
      <c r="AC106" s="234"/>
      <c r="AD106" s="234"/>
      <c r="AE106" s="234"/>
      <c r="AF106" s="234"/>
      <c r="AG106" s="234"/>
      <c r="AH106" s="234"/>
      <c r="AI106" s="234"/>
      <c r="AJ106" s="234"/>
      <c r="AK106" s="234"/>
      <c r="AL106" s="234"/>
      <c r="AM106" s="234"/>
      <c r="AN106" s="234"/>
      <c r="AO106" s="234"/>
      <c r="AP106" s="234"/>
      <c r="AQ106" s="234"/>
      <c r="AR106" s="234"/>
      <c r="AS106" s="234"/>
    </row>
    <row r="107" spans="2:45" s="48" customFormat="1" x14ac:dyDescent="0.25">
      <c r="B107" s="57" t="s">
        <v>63</v>
      </c>
      <c r="C107" s="49"/>
      <c r="D107" s="49"/>
      <c r="E107" s="26"/>
      <c r="F107" s="180">
        <f t="shared" si="11"/>
        <v>1</v>
      </c>
      <c r="G107" s="83"/>
      <c r="H107" s="101"/>
      <c r="I107" s="83"/>
      <c r="J107" s="101"/>
      <c r="K107" s="83"/>
      <c r="L107" s="101"/>
      <c r="M107" s="180"/>
      <c r="N107" s="83"/>
      <c r="O107" s="83"/>
      <c r="P107" s="83"/>
      <c r="Q107" s="103">
        <v>1</v>
      </c>
      <c r="R107" s="83"/>
      <c r="S107" s="103"/>
      <c r="T107" s="103"/>
      <c r="U107" s="103"/>
      <c r="V107" s="103"/>
      <c r="W107" s="234"/>
      <c r="X107" s="234"/>
      <c r="Y107" s="234"/>
      <c r="Z107" s="234"/>
      <c r="AA107" s="234"/>
      <c r="AB107" s="234"/>
      <c r="AC107" s="234"/>
      <c r="AD107" s="234"/>
      <c r="AE107" s="234"/>
      <c r="AF107" s="234"/>
      <c r="AG107" s="234"/>
      <c r="AH107" s="234"/>
      <c r="AI107" s="234"/>
      <c r="AJ107" s="234"/>
      <c r="AK107" s="234"/>
      <c r="AL107" s="234"/>
      <c r="AM107" s="234"/>
      <c r="AN107" s="234"/>
      <c r="AO107" s="234"/>
      <c r="AP107" s="234"/>
      <c r="AQ107" s="234"/>
      <c r="AR107" s="234"/>
      <c r="AS107" s="234"/>
    </row>
    <row r="108" spans="2:45" s="48" customFormat="1" ht="13.2" customHeight="1" x14ac:dyDescent="0.25">
      <c r="B108" s="57" t="s">
        <v>65</v>
      </c>
      <c r="C108" s="49"/>
      <c r="D108" s="49"/>
      <c r="E108" s="26"/>
      <c r="F108" s="180">
        <f t="shared" si="11"/>
        <v>1</v>
      </c>
      <c r="G108" s="83"/>
      <c r="H108" s="101"/>
      <c r="I108" s="83"/>
      <c r="J108" s="101"/>
      <c r="K108" s="83"/>
      <c r="L108" s="101"/>
      <c r="M108" s="180"/>
      <c r="N108" s="83"/>
      <c r="O108" s="83"/>
      <c r="P108" s="83"/>
      <c r="Q108" s="103"/>
      <c r="R108" s="83"/>
      <c r="S108" s="103"/>
      <c r="T108" s="103">
        <v>1</v>
      </c>
      <c r="U108" s="103"/>
      <c r="V108" s="103"/>
      <c r="W108" s="234"/>
      <c r="X108" s="234"/>
      <c r="Y108" s="234"/>
      <c r="Z108" s="234"/>
      <c r="AA108" s="234"/>
      <c r="AB108" s="234"/>
      <c r="AC108" s="234"/>
      <c r="AD108" s="234"/>
      <c r="AE108" s="234"/>
      <c r="AF108" s="234"/>
      <c r="AG108" s="234"/>
      <c r="AH108" s="234"/>
      <c r="AI108" s="234"/>
      <c r="AJ108" s="234"/>
      <c r="AK108" s="234"/>
      <c r="AL108" s="234"/>
      <c r="AM108" s="234"/>
      <c r="AN108" s="234"/>
      <c r="AO108" s="234"/>
      <c r="AP108" s="234"/>
      <c r="AQ108" s="234"/>
      <c r="AR108" s="234"/>
      <c r="AS108" s="234"/>
    </row>
    <row r="109" spans="2:45" s="48" customFormat="1" x14ac:dyDescent="0.25">
      <c r="B109" s="57" t="s">
        <v>66</v>
      </c>
      <c r="C109" s="49"/>
      <c r="D109" s="49"/>
      <c r="E109" s="26"/>
      <c r="F109" s="180">
        <f t="shared" si="11"/>
        <v>1</v>
      </c>
      <c r="G109" s="83"/>
      <c r="H109" s="101"/>
      <c r="I109" s="83"/>
      <c r="J109" s="101"/>
      <c r="K109" s="83"/>
      <c r="L109" s="101"/>
      <c r="M109" s="180"/>
      <c r="N109" s="83">
        <v>1</v>
      </c>
      <c r="O109" s="83"/>
      <c r="P109" s="83"/>
      <c r="Q109" s="103"/>
      <c r="R109" s="83"/>
      <c r="S109" s="103"/>
      <c r="T109" s="103"/>
      <c r="U109" s="103"/>
      <c r="V109" s="103"/>
      <c r="W109" s="234"/>
      <c r="X109" s="234"/>
      <c r="Y109" s="234"/>
      <c r="Z109" s="234"/>
      <c r="AA109" s="234"/>
      <c r="AB109" s="234"/>
      <c r="AC109" s="234"/>
      <c r="AD109" s="234"/>
      <c r="AE109" s="234"/>
      <c r="AF109" s="234"/>
      <c r="AG109" s="234"/>
      <c r="AH109" s="234"/>
      <c r="AI109" s="234"/>
      <c r="AJ109" s="234"/>
      <c r="AK109" s="234"/>
      <c r="AL109" s="234"/>
      <c r="AM109" s="234"/>
      <c r="AN109" s="234"/>
      <c r="AO109" s="234"/>
      <c r="AP109" s="234"/>
      <c r="AQ109" s="234"/>
      <c r="AR109" s="234"/>
      <c r="AS109" s="234"/>
    </row>
    <row r="110" spans="2:45" s="48" customFormat="1" x14ac:dyDescent="0.25">
      <c r="B110" s="57" t="s">
        <v>144</v>
      </c>
      <c r="C110" s="49"/>
      <c r="D110" s="49"/>
      <c r="E110" s="26"/>
      <c r="F110" s="180">
        <f t="shared" si="11"/>
        <v>1</v>
      </c>
      <c r="G110" s="83"/>
      <c r="H110" s="101"/>
      <c r="I110" s="83"/>
      <c r="J110" s="101"/>
      <c r="K110" s="83"/>
      <c r="L110" s="101"/>
      <c r="M110" s="180"/>
      <c r="N110" s="83">
        <v>1</v>
      </c>
      <c r="O110" s="83"/>
      <c r="P110" s="83"/>
      <c r="Q110" s="103"/>
      <c r="R110" s="83"/>
      <c r="S110" s="103"/>
      <c r="T110" s="103"/>
      <c r="U110" s="103"/>
      <c r="V110" s="103"/>
      <c r="W110" s="234"/>
      <c r="X110" s="234"/>
      <c r="Y110" s="234"/>
      <c r="Z110" s="234"/>
      <c r="AA110" s="234"/>
      <c r="AB110" s="234"/>
      <c r="AC110" s="234"/>
      <c r="AD110" s="234"/>
      <c r="AE110" s="234"/>
      <c r="AF110" s="234"/>
      <c r="AG110" s="234"/>
      <c r="AH110" s="234"/>
      <c r="AI110" s="234"/>
      <c r="AJ110" s="234"/>
      <c r="AK110" s="234"/>
      <c r="AL110" s="234"/>
      <c r="AM110" s="234"/>
      <c r="AN110" s="234"/>
      <c r="AO110" s="234"/>
      <c r="AP110" s="234"/>
      <c r="AQ110" s="234"/>
      <c r="AR110" s="234"/>
      <c r="AS110" s="234"/>
    </row>
    <row r="111" spans="2:45" s="48" customFormat="1" hidden="1" x14ac:dyDescent="0.25">
      <c r="B111" s="57" t="s">
        <v>191</v>
      </c>
      <c r="C111" s="49"/>
      <c r="D111" s="49"/>
      <c r="E111" s="26"/>
      <c r="F111" s="180">
        <f t="shared" si="11"/>
        <v>0</v>
      </c>
      <c r="G111" s="83"/>
      <c r="H111" s="101"/>
      <c r="I111" s="83"/>
      <c r="J111" s="101"/>
      <c r="K111" s="83"/>
      <c r="L111" s="101"/>
      <c r="M111" s="180"/>
      <c r="N111" s="83"/>
      <c r="O111" s="83"/>
      <c r="P111" s="83"/>
      <c r="Q111" s="103"/>
      <c r="R111" s="83"/>
      <c r="S111" s="103"/>
      <c r="T111" s="103"/>
      <c r="U111" s="103"/>
      <c r="V111" s="103"/>
      <c r="W111" s="234"/>
      <c r="X111" s="234"/>
      <c r="Y111" s="234"/>
      <c r="Z111" s="234"/>
      <c r="AA111" s="234"/>
      <c r="AB111" s="234"/>
      <c r="AC111" s="234"/>
      <c r="AD111" s="234"/>
      <c r="AE111" s="234"/>
      <c r="AF111" s="234"/>
      <c r="AG111" s="234"/>
      <c r="AH111" s="234"/>
      <c r="AI111" s="234"/>
      <c r="AJ111" s="234"/>
      <c r="AK111" s="234"/>
      <c r="AL111" s="234"/>
      <c r="AM111" s="234"/>
      <c r="AN111" s="234"/>
      <c r="AO111" s="234"/>
      <c r="AP111" s="234"/>
      <c r="AQ111" s="234"/>
      <c r="AR111" s="234"/>
      <c r="AS111" s="234"/>
    </row>
    <row r="112" spans="2:45" s="48" customFormat="1" ht="13.2" hidden="1" customHeight="1" x14ac:dyDescent="0.25">
      <c r="B112" s="57" t="s">
        <v>70</v>
      </c>
      <c r="C112" s="49"/>
      <c r="D112" s="49"/>
      <c r="E112" s="26"/>
      <c r="F112" s="180">
        <f t="shared" si="11"/>
        <v>0</v>
      </c>
      <c r="G112" s="83"/>
      <c r="H112" s="101"/>
      <c r="I112" s="83"/>
      <c r="J112" s="101"/>
      <c r="K112" s="83"/>
      <c r="L112" s="101"/>
      <c r="M112" s="180"/>
      <c r="N112" s="83"/>
      <c r="O112" s="83"/>
      <c r="P112" s="83"/>
      <c r="Q112" s="103"/>
      <c r="R112" s="83"/>
      <c r="S112" s="103"/>
      <c r="T112" s="103"/>
      <c r="U112" s="103"/>
      <c r="V112" s="103"/>
      <c r="W112" s="234"/>
      <c r="X112" s="234"/>
      <c r="Y112" s="234"/>
      <c r="Z112" s="234"/>
      <c r="AA112" s="234"/>
      <c r="AB112" s="234"/>
      <c r="AC112" s="234"/>
      <c r="AD112" s="234"/>
      <c r="AE112" s="234"/>
      <c r="AF112" s="234"/>
      <c r="AG112" s="234"/>
      <c r="AH112" s="234"/>
      <c r="AI112" s="234"/>
      <c r="AJ112" s="234"/>
      <c r="AK112" s="234"/>
      <c r="AL112" s="234"/>
      <c r="AM112" s="234"/>
      <c r="AN112" s="234"/>
      <c r="AO112" s="234"/>
      <c r="AP112" s="234"/>
      <c r="AQ112" s="234"/>
      <c r="AR112" s="234"/>
      <c r="AS112" s="234"/>
    </row>
    <row r="113" spans="2:45" s="48" customFormat="1" ht="13.2" hidden="1" customHeight="1" x14ac:dyDescent="0.25">
      <c r="B113" s="57" t="s">
        <v>71</v>
      </c>
      <c r="C113" s="49"/>
      <c r="D113" s="49"/>
      <c r="E113" s="26"/>
      <c r="F113" s="180">
        <f t="shared" si="11"/>
        <v>0</v>
      </c>
      <c r="G113" s="83"/>
      <c r="H113" s="101"/>
      <c r="I113" s="83"/>
      <c r="J113" s="101"/>
      <c r="K113" s="83"/>
      <c r="L113" s="101"/>
      <c r="M113" s="180"/>
      <c r="N113" s="83"/>
      <c r="O113" s="83"/>
      <c r="P113" s="83"/>
      <c r="Q113" s="103"/>
      <c r="R113" s="83"/>
      <c r="S113" s="103"/>
      <c r="T113" s="103"/>
      <c r="U113" s="103"/>
      <c r="V113" s="103"/>
      <c r="W113" s="234"/>
      <c r="X113" s="234"/>
      <c r="Y113" s="234"/>
      <c r="Z113" s="234"/>
      <c r="AA113" s="234"/>
      <c r="AB113" s="234"/>
      <c r="AC113" s="234"/>
      <c r="AD113" s="234"/>
      <c r="AE113" s="234"/>
      <c r="AF113" s="234"/>
      <c r="AG113" s="234"/>
      <c r="AH113" s="234"/>
      <c r="AI113" s="234"/>
      <c r="AJ113" s="234"/>
      <c r="AK113" s="234"/>
      <c r="AL113" s="234"/>
      <c r="AM113" s="234"/>
      <c r="AN113" s="234"/>
      <c r="AO113" s="234"/>
      <c r="AP113" s="234"/>
      <c r="AQ113" s="234"/>
      <c r="AR113" s="234"/>
      <c r="AS113" s="234"/>
    </row>
    <row r="114" spans="2:45" s="48" customFormat="1" ht="13.2" customHeight="1" x14ac:dyDescent="0.25">
      <c r="B114" s="57" t="s">
        <v>72</v>
      </c>
      <c r="C114" s="49"/>
      <c r="D114" s="49"/>
      <c r="E114" s="26"/>
      <c r="F114" s="180">
        <f t="shared" si="11"/>
        <v>3</v>
      </c>
      <c r="G114" s="83"/>
      <c r="H114" s="101"/>
      <c r="I114" s="83"/>
      <c r="J114" s="101"/>
      <c r="K114" s="83"/>
      <c r="L114" s="101"/>
      <c r="M114" s="180"/>
      <c r="N114" s="83">
        <v>1</v>
      </c>
      <c r="O114" s="83"/>
      <c r="P114" s="83"/>
      <c r="Q114" s="103">
        <v>1</v>
      </c>
      <c r="R114" s="83"/>
      <c r="S114" s="103"/>
      <c r="T114" s="103"/>
      <c r="U114" s="103"/>
      <c r="V114" s="103">
        <v>1</v>
      </c>
      <c r="W114" s="234"/>
      <c r="X114" s="234"/>
      <c r="Y114" s="234"/>
      <c r="Z114" s="234"/>
      <c r="AA114" s="234"/>
      <c r="AB114" s="234"/>
      <c r="AC114" s="234"/>
      <c r="AD114" s="234"/>
      <c r="AE114" s="234"/>
      <c r="AF114" s="234"/>
      <c r="AG114" s="234"/>
      <c r="AH114" s="234"/>
      <c r="AI114" s="234"/>
      <c r="AJ114" s="234"/>
      <c r="AK114" s="234"/>
      <c r="AL114" s="234"/>
      <c r="AM114" s="234"/>
      <c r="AN114" s="234"/>
      <c r="AO114" s="234"/>
      <c r="AP114" s="234"/>
      <c r="AQ114" s="234"/>
      <c r="AR114" s="234"/>
      <c r="AS114" s="234"/>
    </row>
    <row r="115" spans="2:45" s="48" customFormat="1" x14ac:dyDescent="0.25">
      <c r="B115" s="57" t="s">
        <v>130</v>
      </c>
      <c r="C115" s="49"/>
      <c r="D115" s="49"/>
      <c r="E115" s="26"/>
      <c r="F115" s="180">
        <f t="shared" si="11"/>
        <v>1</v>
      </c>
      <c r="G115" s="83"/>
      <c r="H115" s="101"/>
      <c r="I115" s="83"/>
      <c r="J115" s="101"/>
      <c r="K115" s="83"/>
      <c r="L115" s="101">
        <v>1</v>
      </c>
      <c r="M115" s="180"/>
      <c r="N115" s="83"/>
      <c r="O115" s="83"/>
      <c r="P115" s="83"/>
      <c r="Q115" s="103"/>
      <c r="R115" s="83"/>
      <c r="S115" s="103"/>
      <c r="T115" s="103"/>
      <c r="U115" s="103"/>
      <c r="V115" s="103"/>
      <c r="W115" s="234"/>
      <c r="X115" s="234"/>
      <c r="Y115" s="234"/>
      <c r="Z115" s="234"/>
      <c r="AA115" s="234"/>
      <c r="AB115" s="234"/>
      <c r="AC115" s="234"/>
      <c r="AD115" s="234"/>
      <c r="AE115" s="234"/>
      <c r="AF115" s="234"/>
      <c r="AG115" s="234"/>
      <c r="AH115" s="234"/>
      <c r="AI115" s="234"/>
      <c r="AJ115" s="234"/>
      <c r="AK115" s="234"/>
      <c r="AL115" s="234"/>
      <c r="AM115" s="234"/>
      <c r="AN115" s="234"/>
      <c r="AO115" s="234"/>
      <c r="AP115" s="234"/>
      <c r="AQ115" s="234"/>
      <c r="AR115" s="234"/>
      <c r="AS115" s="234"/>
    </row>
    <row r="116" spans="2:45" s="48" customFormat="1" ht="13.2" hidden="1" customHeight="1" x14ac:dyDescent="0.25">
      <c r="B116" s="57" t="s">
        <v>102</v>
      </c>
      <c r="C116" s="49"/>
      <c r="D116" s="49"/>
      <c r="E116" s="26"/>
      <c r="F116" s="180">
        <f t="shared" si="11"/>
        <v>0</v>
      </c>
      <c r="G116" s="83"/>
      <c r="H116" s="101"/>
      <c r="I116" s="83"/>
      <c r="J116" s="101"/>
      <c r="K116" s="83"/>
      <c r="L116" s="101"/>
      <c r="M116" s="180"/>
      <c r="N116" s="83"/>
      <c r="O116" s="83"/>
      <c r="P116" s="83"/>
      <c r="Q116" s="103"/>
      <c r="R116" s="83"/>
      <c r="S116" s="103"/>
      <c r="T116" s="103"/>
      <c r="U116" s="103"/>
      <c r="V116" s="103"/>
      <c r="W116" s="234"/>
      <c r="X116" s="234"/>
      <c r="Y116" s="234"/>
      <c r="Z116" s="234"/>
      <c r="AA116" s="234"/>
      <c r="AB116" s="234"/>
      <c r="AC116" s="234"/>
      <c r="AD116" s="234"/>
      <c r="AE116" s="234"/>
      <c r="AF116" s="234"/>
      <c r="AG116" s="234"/>
      <c r="AH116" s="234"/>
      <c r="AI116" s="234"/>
      <c r="AJ116" s="234"/>
      <c r="AK116" s="234"/>
      <c r="AL116" s="234"/>
      <c r="AM116" s="234"/>
      <c r="AN116" s="234"/>
      <c r="AO116" s="234"/>
      <c r="AP116" s="234"/>
      <c r="AQ116" s="234"/>
      <c r="AR116" s="234"/>
      <c r="AS116" s="234"/>
    </row>
    <row r="117" spans="2:45" s="48" customFormat="1" ht="13.2" customHeight="1" x14ac:dyDescent="0.25">
      <c r="B117" s="57" t="s">
        <v>103</v>
      </c>
      <c r="C117" s="49"/>
      <c r="D117" s="49"/>
      <c r="E117" s="26"/>
      <c r="F117" s="180">
        <f t="shared" si="11"/>
        <v>2</v>
      </c>
      <c r="G117" s="83"/>
      <c r="H117" s="101"/>
      <c r="I117" s="83"/>
      <c r="J117" s="101"/>
      <c r="K117" s="83"/>
      <c r="L117" s="101"/>
      <c r="M117" s="180"/>
      <c r="N117" s="83">
        <v>1</v>
      </c>
      <c r="O117" s="83"/>
      <c r="P117" s="83"/>
      <c r="Q117" s="103">
        <v>1</v>
      </c>
      <c r="R117" s="83"/>
      <c r="S117" s="103"/>
      <c r="T117" s="103"/>
      <c r="U117" s="103"/>
      <c r="V117" s="103"/>
      <c r="W117" s="234"/>
      <c r="X117" s="234"/>
      <c r="Y117" s="234"/>
      <c r="Z117" s="234"/>
      <c r="AA117" s="234"/>
      <c r="AB117" s="234"/>
      <c r="AC117" s="234"/>
      <c r="AD117" s="234"/>
      <c r="AE117" s="234"/>
      <c r="AF117" s="234"/>
      <c r="AG117" s="234"/>
      <c r="AH117" s="234"/>
      <c r="AI117" s="234"/>
      <c r="AJ117" s="234"/>
      <c r="AK117" s="234"/>
      <c r="AL117" s="234"/>
      <c r="AM117" s="234"/>
      <c r="AN117" s="234"/>
      <c r="AO117" s="234"/>
      <c r="AP117" s="234"/>
      <c r="AQ117" s="234"/>
      <c r="AR117" s="234"/>
      <c r="AS117" s="234"/>
    </row>
    <row r="118" spans="2:45" s="48" customFormat="1" hidden="1" x14ac:dyDescent="0.25">
      <c r="B118" s="57" t="s">
        <v>91</v>
      </c>
      <c r="C118" s="49"/>
      <c r="D118" s="49"/>
      <c r="E118" s="26"/>
      <c r="F118" s="180">
        <f t="shared" si="11"/>
        <v>0</v>
      </c>
      <c r="G118" s="83"/>
      <c r="H118" s="101"/>
      <c r="I118" s="83"/>
      <c r="J118" s="101"/>
      <c r="K118" s="83"/>
      <c r="L118" s="101"/>
      <c r="M118" s="180"/>
      <c r="N118" s="83"/>
      <c r="O118" s="83"/>
      <c r="P118" s="83"/>
      <c r="Q118" s="103"/>
      <c r="R118" s="83"/>
      <c r="S118" s="103"/>
      <c r="T118" s="103"/>
      <c r="U118" s="103"/>
      <c r="V118" s="103"/>
      <c r="W118" s="234"/>
      <c r="X118" s="234"/>
      <c r="Y118" s="234"/>
      <c r="Z118" s="234"/>
      <c r="AA118" s="234"/>
      <c r="AB118" s="234"/>
      <c r="AC118" s="234"/>
      <c r="AD118" s="234"/>
      <c r="AE118" s="234"/>
      <c r="AF118" s="234"/>
      <c r="AG118" s="234"/>
      <c r="AH118" s="234"/>
      <c r="AI118" s="234"/>
      <c r="AJ118" s="234"/>
      <c r="AK118" s="234"/>
      <c r="AL118" s="234"/>
      <c r="AM118" s="234"/>
      <c r="AN118" s="234"/>
      <c r="AO118" s="234"/>
      <c r="AP118" s="234"/>
      <c r="AQ118" s="234"/>
      <c r="AR118" s="234"/>
      <c r="AS118" s="234"/>
    </row>
    <row r="119" spans="2:45" s="48" customFormat="1" ht="13.2" hidden="1" customHeight="1" x14ac:dyDescent="0.25">
      <c r="B119" s="57" t="s">
        <v>73</v>
      </c>
      <c r="C119" s="49"/>
      <c r="D119" s="49"/>
      <c r="E119" s="26"/>
      <c r="F119" s="180">
        <f t="shared" si="11"/>
        <v>0</v>
      </c>
      <c r="G119" s="83"/>
      <c r="H119" s="101"/>
      <c r="I119" s="83"/>
      <c r="J119" s="101"/>
      <c r="K119" s="83"/>
      <c r="L119" s="101"/>
      <c r="M119" s="180"/>
      <c r="N119" s="83"/>
      <c r="O119" s="83"/>
      <c r="P119" s="83"/>
      <c r="Q119" s="103"/>
      <c r="R119" s="83"/>
      <c r="S119" s="103"/>
      <c r="T119" s="103"/>
      <c r="U119" s="103"/>
      <c r="V119" s="103"/>
      <c r="W119" s="234"/>
      <c r="X119" s="234"/>
      <c r="Y119" s="234"/>
      <c r="Z119" s="234"/>
      <c r="AA119" s="234"/>
      <c r="AB119" s="234"/>
      <c r="AC119" s="234"/>
      <c r="AD119" s="234"/>
      <c r="AE119" s="234"/>
      <c r="AF119" s="234"/>
      <c r="AG119" s="234"/>
      <c r="AH119" s="234"/>
      <c r="AI119" s="234"/>
      <c r="AJ119" s="234"/>
      <c r="AK119" s="234"/>
      <c r="AL119" s="234"/>
      <c r="AM119" s="234"/>
      <c r="AN119" s="234"/>
      <c r="AO119" s="234"/>
      <c r="AP119" s="234"/>
      <c r="AQ119" s="234"/>
      <c r="AR119" s="234"/>
      <c r="AS119" s="234"/>
    </row>
    <row r="120" spans="2:45" s="48" customFormat="1" x14ac:dyDescent="0.25">
      <c r="B120" s="57" t="s">
        <v>74</v>
      </c>
      <c r="C120" s="49"/>
      <c r="D120" s="49"/>
      <c r="E120" s="26"/>
      <c r="F120" s="180">
        <f t="shared" si="11"/>
        <v>2</v>
      </c>
      <c r="G120" s="83">
        <v>1</v>
      </c>
      <c r="H120" s="101"/>
      <c r="I120" s="83"/>
      <c r="J120" s="101"/>
      <c r="K120" s="83"/>
      <c r="L120" s="101"/>
      <c r="M120" s="180"/>
      <c r="N120" s="83"/>
      <c r="O120" s="83"/>
      <c r="P120" s="83"/>
      <c r="Q120" s="103"/>
      <c r="R120" s="83">
        <v>1</v>
      </c>
      <c r="S120" s="103"/>
      <c r="T120" s="103"/>
      <c r="U120" s="103"/>
      <c r="V120" s="103"/>
      <c r="W120" s="234"/>
      <c r="X120" s="234"/>
      <c r="Y120" s="234"/>
      <c r="Z120" s="234"/>
      <c r="AA120" s="234"/>
      <c r="AB120" s="234"/>
      <c r="AC120" s="234"/>
      <c r="AD120" s="234"/>
      <c r="AE120" s="234"/>
      <c r="AF120" s="234"/>
      <c r="AG120" s="234"/>
      <c r="AH120" s="234"/>
      <c r="AI120" s="234"/>
      <c r="AJ120" s="234"/>
      <c r="AK120" s="234"/>
      <c r="AL120" s="234"/>
      <c r="AM120" s="234"/>
      <c r="AN120" s="234"/>
      <c r="AO120" s="234"/>
      <c r="AP120" s="234"/>
      <c r="AQ120" s="234"/>
      <c r="AR120" s="234"/>
      <c r="AS120" s="234"/>
    </row>
    <row r="121" spans="2:45" s="48" customFormat="1" ht="13.2" hidden="1" customHeight="1" x14ac:dyDescent="0.25">
      <c r="B121" s="57" t="s">
        <v>104</v>
      </c>
      <c r="C121" s="49"/>
      <c r="D121" s="49"/>
      <c r="E121" s="26"/>
      <c r="F121" s="180">
        <f t="shared" si="11"/>
        <v>0</v>
      </c>
      <c r="G121" s="83"/>
      <c r="H121" s="101"/>
      <c r="I121" s="83"/>
      <c r="J121" s="101"/>
      <c r="K121" s="83"/>
      <c r="L121" s="101"/>
      <c r="M121" s="180"/>
      <c r="N121" s="83"/>
      <c r="O121" s="83"/>
      <c r="P121" s="83"/>
      <c r="Q121" s="103"/>
      <c r="R121" s="83"/>
      <c r="S121" s="103"/>
      <c r="T121" s="103"/>
      <c r="U121" s="103"/>
      <c r="V121" s="103"/>
      <c r="W121" s="234"/>
      <c r="X121" s="234"/>
      <c r="Y121" s="234"/>
      <c r="Z121" s="234"/>
      <c r="AA121" s="234"/>
      <c r="AB121" s="234"/>
      <c r="AC121" s="234"/>
      <c r="AD121" s="234"/>
      <c r="AE121" s="234"/>
      <c r="AF121" s="234"/>
      <c r="AG121" s="234"/>
      <c r="AH121" s="234"/>
      <c r="AI121" s="234"/>
      <c r="AJ121" s="234"/>
      <c r="AK121" s="234"/>
      <c r="AL121" s="234"/>
      <c r="AM121" s="234"/>
      <c r="AN121" s="234"/>
      <c r="AO121" s="234"/>
      <c r="AP121" s="234"/>
      <c r="AQ121" s="234"/>
      <c r="AR121" s="234"/>
      <c r="AS121" s="234"/>
    </row>
    <row r="122" spans="2:45" s="48" customFormat="1" ht="13.2" customHeight="1" x14ac:dyDescent="0.25">
      <c r="B122" s="57" t="s">
        <v>75</v>
      </c>
      <c r="C122" s="49"/>
      <c r="D122" s="49"/>
      <c r="E122" s="26"/>
      <c r="F122" s="180">
        <f t="shared" si="11"/>
        <v>1</v>
      </c>
      <c r="G122" s="83"/>
      <c r="H122" s="101"/>
      <c r="I122" s="83"/>
      <c r="J122" s="101"/>
      <c r="K122" s="83"/>
      <c r="L122" s="101"/>
      <c r="M122" s="180"/>
      <c r="N122" s="83">
        <v>1</v>
      </c>
      <c r="O122" s="83"/>
      <c r="P122" s="83"/>
      <c r="Q122" s="103"/>
      <c r="R122" s="83"/>
      <c r="S122" s="103"/>
      <c r="T122" s="103"/>
      <c r="U122" s="103"/>
      <c r="V122" s="103"/>
      <c r="W122" s="234"/>
      <c r="X122" s="234"/>
      <c r="Y122" s="234"/>
      <c r="Z122" s="234"/>
      <c r="AA122" s="234"/>
      <c r="AB122" s="234"/>
      <c r="AC122" s="234"/>
      <c r="AD122" s="234"/>
      <c r="AE122" s="234"/>
      <c r="AF122" s="234"/>
      <c r="AG122" s="234"/>
      <c r="AH122" s="234"/>
      <c r="AI122" s="234"/>
      <c r="AJ122" s="234"/>
      <c r="AK122" s="234"/>
      <c r="AL122" s="234"/>
      <c r="AM122" s="234"/>
      <c r="AN122" s="234"/>
      <c r="AO122" s="234"/>
      <c r="AP122" s="234"/>
      <c r="AQ122" s="234"/>
      <c r="AR122" s="234"/>
      <c r="AS122" s="234"/>
    </row>
    <row r="123" spans="2:45" s="48" customFormat="1" x14ac:dyDescent="0.25">
      <c r="B123" s="57" t="s">
        <v>131</v>
      </c>
      <c r="C123" s="49"/>
      <c r="D123" s="49"/>
      <c r="E123" s="26"/>
      <c r="F123" s="180">
        <f t="shared" si="11"/>
        <v>2</v>
      </c>
      <c r="G123" s="83"/>
      <c r="H123" s="101"/>
      <c r="I123" s="83"/>
      <c r="J123" s="101"/>
      <c r="K123" s="83"/>
      <c r="L123" s="101"/>
      <c r="M123" s="180"/>
      <c r="N123" s="83"/>
      <c r="O123" s="83">
        <v>1</v>
      </c>
      <c r="P123" s="83"/>
      <c r="Q123" s="103"/>
      <c r="R123" s="83"/>
      <c r="S123" s="103"/>
      <c r="T123" s="103"/>
      <c r="U123" s="103"/>
      <c r="V123" s="103">
        <v>1</v>
      </c>
      <c r="W123" s="234"/>
      <c r="X123" s="234"/>
      <c r="Y123" s="234"/>
      <c r="Z123" s="234"/>
      <c r="AA123" s="234"/>
      <c r="AB123" s="234"/>
      <c r="AC123" s="234"/>
      <c r="AD123" s="234"/>
      <c r="AE123" s="234"/>
      <c r="AF123" s="234"/>
      <c r="AG123" s="234"/>
      <c r="AH123" s="234"/>
      <c r="AI123" s="234"/>
      <c r="AJ123" s="234"/>
      <c r="AK123" s="234"/>
      <c r="AL123" s="234"/>
      <c r="AM123" s="234"/>
      <c r="AN123" s="234"/>
      <c r="AO123" s="234"/>
      <c r="AP123" s="234"/>
      <c r="AQ123" s="234"/>
      <c r="AR123" s="234"/>
      <c r="AS123" s="234"/>
    </row>
    <row r="124" spans="2:45" s="48" customFormat="1" ht="13.2" customHeight="1" x14ac:dyDescent="0.25">
      <c r="B124" s="57" t="s">
        <v>77</v>
      </c>
      <c r="C124" s="49"/>
      <c r="D124" s="49"/>
      <c r="E124" s="26"/>
      <c r="F124" s="180">
        <f t="shared" si="11"/>
        <v>1</v>
      </c>
      <c r="G124" s="83"/>
      <c r="H124" s="101"/>
      <c r="I124" s="83"/>
      <c r="J124" s="101"/>
      <c r="K124" s="83">
        <v>1</v>
      </c>
      <c r="L124" s="101"/>
      <c r="M124" s="180"/>
      <c r="N124" s="83"/>
      <c r="O124" s="83"/>
      <c r="P124" s="83"/>
      <c r="Q124" s="103"/>
      <c r="R124" s="83"/>
      <c r="S124" s="103"/>
      <c r="T124" s="103"/>
      <c r="U124" s="103"/>
      <c r="V124" s="103"/>
      <c r="W124" s="234"/>
      <c r="X124" s="234"/>
      <c r="Y124" s="234"/>
      <c r="Z124" s="234"/>
      <c r="AA124" s="234"/>
      <c r="AB124" s="234"/>
      <c r="AC124" s="234"/>
      <c r="AD124" s="234"/>
      <c r="AE124" s="234"/>
      <c r="AF124" s="234"/>
      <c r="AG124" s="234"/>
      <c r="AH124" s="234"/>
      <c r="AI124" s="234"/>
      <c r="AJ124" s="234"/>
      <c r="AK124" s="234"/>
      <c r="AL124" s="234"/>
      <c r="AM124" s="234"/>
      <c r="AN124" s="234"/>
      <c r="AO124" s="234"/>
      <c r="AP124" s="234"/>
      <c r="AQ124" s="234"/>
      <c r="AR124" s="234"/>
      <c r="AS124" s="234"/>
    </row>
    <row r="125" spans="2:45" s="48" customFormat="1" x14ac:dyDescent="0.25">
      <c r="B125" s="57" t="s">
        <v>78</v>
      </c>
      <c r="C125" s="49"/>
      <c r="D125" s="49"/>
      <c r="E125" s="26"/>
      <c r="F125" s="180">
        <f t="shared" si="11"/>
        <v>3</v>
      </c>
      <c r="G125" s="83"/>
      <c r="H125" s="101"/>
      <c r="I125" s="83"/>
      <c r="J125" s="101">
        <v>1</v>
      </c>
      <c r="K125" s="83">
        <v>1</v>
      </c>
      <c r="L125" s="101"/>
      <c r="M125" s="180"/>
      <c r="N125" s="83">
        <v>1</v>
      </c>
      <c r="O125" s="83"/>
      <c r="P125" s="83"/>
      <c r="Q125" s="103"/>
      <c r="R125" s="83"/>
      <c r="S125" s="103"/>
      <c r="T125" s="103"/>
      <c r="U125" s="103"/>
      <c r="V125" s="103"/>
      <c r="W125" s="234"/>
      <c r="X125" s="234"/>
      <c r="Y125" s="234"/>
      <c r="Z125" s="234"/>
      <c r="AA125" s="234"/>
      <c r="AB125" s="234"/>
      <c r="AC125" s="234"/>
      <c r="AD125" s="234"/>
      <c r="AE125" s="234"/>
      <c r="AF125" s="234"/>
      <c r="AG125" s="234"/>
      <c r="AH125" s="234"/>
      <c r="AI125" s="234"/>
      <c r="AJ125" s="234"/>
      <c r="AK125" s="234"/>
      <c r="AL125" s="234"/>
      <c r="AM125" s="234"/>
      <c r="AN125" s="234"/>
      <c r="AO125" s="234"/>
      <c r="AP125" s="234"/>
      <c r="AQ125" s="234"/>
      <c r="AR125" s="234"/>
      <c r="AS125" s="234"/>
    </row>
    <row r="126" spans="2:45" s="48" customFormat="1" x14ac:dyDescent="0.25">
      <c r="B126" s="57" t="s">
        <v>79</v>
      </c>
      <c r="C126" s="49"/>
      <c r="D126" s="49"/>
      <c r="E126" s="26"/>
      <c r="F126" s="181">
        <f t="shared" si="11"/>
        <v>1</v>
      </c>
      <c r="G126" s="84"/>
      <c r="H126" s="104"/>
      <c r="I126" s="84"/>
      <c r="J126" s="104"/>
      <c r="K126" s="84"/>
      <c r="L126" s="104"/>
      <c r="M126" s="181"/>
      <c r="N126" s="84"/>
      <c r="O126" s="84"/>
      <c r="P126" s="84"/>
      <c r="Q126" s="182">
        <v>1</v>
      </c>
      <c r="R126" s="84"/>
      <c r="S126" s="182"/>
      <c r="T126" s="182"/>
      <c r="U126" s="182"/>
      <c r="V126" s="182"/>
      <c r="W126" s="234"/>
      <c r="X126" s="234"/>
      <c r="Y126" s="234"/>
      <c r="Z126" s="234"/>
      <c r="AA126" s="234"/>
      <c r="AB126" s="234"/>
      <c r="AC126" s="234"/>
      <c r="AD126" s="234"/>
      <c r="AE126" s="234"/>
      <c r="AF126" s="234"/>
      <c r="AG126" s="234"/>
      <c r="AH126" s="234"/>
      <c r="AI126" s="234"/>
      <c r="AJ126" s="234"/>
      <c r="AK126" s="234"/>
      <c r="AL126" s="234"/>
      <c r="AM126" s="234"/>
      <c r="AN126" s="234"/>
      <c r="AO126" s="234"/>
      <c r="AP126" s="234"/>
      <c r="AQ126" s="234"/>
      <c r="AR126" s="234"/>
      <c r="AS126" s="234"/>
    </row>
    <row r="127" spans="2:45" s="48" customFormat="1" x14ac:dyDescent="0.25">
      <c r="B127" s="57"/>
      <c r="C127" s="49"/>
      <c r="D127" s="49"/>
      <c r="E127" s="22"/>
      <c r="F127" s="234"/>
      <c r="G127" s="89"/>
      <c r="H127" s="21"/>
      <c r="I127" s="125"/>
      <c r="J127" s="21"/>
      <c r="K127" s="234"/>
      <c r="L127" s="89"/>
      <c r="M127" s="49"/>
      <c r="N127" s="90"/>
      <c r="O127" s="90"/>
      <c r="P127" s="90"/>
      <c r="Q127" s="303"/>
      <c r="R127" s="89"/>
      <c r="S127" s="303"/>
      <c r="T127" s="303"/>
      <c r="U127" s="303"/>
      <c r="V127" s="303"/>
      <c r="W127" s="234"/>
      <c r="X127" s="234"/>
      <c r="Y127" s="234"/>
      <c r="Z127" s="234"/>
      <c r="AA127" s="234"/>
      <c r="AB127" s="234"/>
      <c r="AC127" s="234"/>
      <c r="AD127" s="234"/>
      <c r="AE127" s="234"/>
      <c r="AF127" s="234"/>
      <c r="AG127" s="234"/>
      <c r="AH127" s="234"/>
      <c r="AI127" s="234"/>
      <c r="AJ127" s="234"/>
      <c r="AK127" s="234"/>
      <c r="AL127" s="234"/>
      <c r="AM127" s="234"/>
      <c r="AN127" s="234"/>
      <c r="AO127" s="234"/>
      <c r="AP127" s="234"/>
      <c r="AQ127" s="234"/>
      <c r="AR127" s="234"/>
      <c r="AS127" s="234"/>
    </row>
    <row r="128" spans="2:45" s="93" customFormat="1" x14ac:dyDescent="0.25">
      <c r="B128" s="58" t="s">
        <v>0</v>
      </c>
      <c r="C128" s="91"/>
      <c r="D128" s="52"/>
      <c r="E128" s="133">
        <v>1</v>
      </c>
      <c r="F128" s="52">
        <f t="shared" ref="F128:V128" si="12">SUM(F130:F130)</f>
        <v>0</v>
      </c>
      <c r="G128" s="94">
        <f t="shared" si="12"/>
        <v>0</v>
      </c>
      <c r="H128" s="94">
        <f t="shared" si="12"/>
        <v>0</v>
      </c>
      <c r="I128" s="52">
        <f t="shared" si="12"/>
        <v>0</v>
      </c>
      <c r="J128" s="94">
        <f t="shared" si="12"/>
        <v>0</v>
      </c>
      <c r="K128" s="52">
        <f t="shared" si="12"/>
        <v>0</v>
      </c>
      <c r="L128" s="94">
        <f t="shared" si="12"/>
        <v>0</v>
      </c>
      <c r="M128" s="52">
        <f t="shared" si="12"/>
        <v>0</v>
      </c>
      <c r="N128" s="92">
        <f t="shared" si="12"/>
        <v>0</v>
      </c>
      <c r="O128" s="92">
        <f t="shared" si="12"/>
        <v>0</v>
      </c>
      <c r="P128" s="92">
        <f t="shared" si="12"/>
        <v>0</v>
      </c>
      <c r="Q128" s="310">
        <f t="shared" si="12"/>
        <v>0</v>
      </c>
      <c r="R128" s="94">
        <f t="shared" si="12"/>
        <v>0</v>
      </c>
      <c r="S128" s="310">
        <f t="shared" si="12"/>
        <v>0</v>
      </c>
      <c r="T128" s="310">
        <f t="shared" si="12"/>
        <v>0</v>
      </c>
      <c r="U128" s="310">
        <f t="shared" si="12"/>
        <v>0</v>
      </c>
      <c r="V128" s="310">
        <f t="shared" si="12"/>
        <v>0</v>
      </c>
      <c r="W128" s="234"/>
      <c r="X128" s="234"/>
      <c r="Y128" s="234"/>
      <c r="Z128" s="234"/>
      <c r="AA128" s="234"/>
      <c r="AB128" s="234"/>
      <c r="AC128" s="234"/>
      <c r="AD128" s="234"/>
      <c r="AE128" s="234"/>
      <c r="AF128" s="234"/>
      <c r="AG128" s="234"/>
      <c r="AH128" s="234"/>
      <c r="AI128" s="234"/>
      <c r="AJ128" s="234"/>
      <c r="AK128" s="234"/>
      <c r="AL128" s="234"/>
      <c r="AM128" s="52"/>
      <c r="AN128" s="52"/>
      <c r="AO128" s="52"/>
      <c r="AP128" s="52"/>
      <c r="AQ128" s="52"/>
      <c r="AR128" s="52"/>
      <c r="AS128" s="52"/>
    </row>
    <row r="129" spans="2:45" s="48" customFormat="1" ht="13.2" hidden="1" customHeight="1" x14ac:dyDescent="0.25">
      <c r="B129" s="57" t="s">
        <v>127</v>
      </c>
      <c r="C129" s="49"/>
      <c r="D129" s="49"/>
      <c r="E129" s="169"/>
      <c r="F129" s="82">
        <f>SUM(G129:V129)</f>
        <v>0</v>
      </c>
      <c r="G129" s="304"/>
      <c r="H129" s="82"/>
      <c r="I129" s="131"/>
      <c r="J129" s="179"/>
      <c r="K129" s="82"/>
      <c r="L129" s="311"/>
      <c r="M129" s="312"/>
      <c r="N129" s="304"/>
      <c r="O129" s="304"/>
      <c r="P129" s="304"/>
      <c r="Q129" s="313"/>
      <c r="R129" s="304"/>
      <c r="S129" s="313"/>
      <c r="T129" s="313"/>
      <c r="U129" s="313"/>
      <c r="V129" s="313"/>
      <c r="W129" s="234"/>
      <c r="X129" s="234"/>
      <c r="Y129" s="234"/>
      <c r="Z129" s="234"/>
      <c r="AA129" s="234"/>
      <c r="AB129" s="234"/>
      <c r="AC129" s="234"/>
      <c r="AD129" s="234"/>
      <c r="AE129" s="234"/>
      <c r="AF129" s="234"/>
      <c r="AG129" s="234"/>
      <c r="AH129" s="234"/>
      <c r="AI129" s="234"/>
      <c r="AJ129" s="234"/>
      <c r="AK129" s="234"/>
      <c r="AL129" s="234"/>
      <c r="AM129" s="234"/>
      <c r="AN129" s="234"/>
      <c r="AO129" s="234"/>
      <c r="AP129" s="234"/>
      <c r="AQ129" s="234"/>
      <c r="AR129" s="234"/>
      <c r="AS129" s="234"/>
    </row>
    <row r="130" spans="2:45" s="48" customFormat="1" ht="13.2" hidden="1" customHeight="1" x14ac:dyDescent="0.25">
      <c r="B130" s="57" t="s">
        <v>81</v>
      </c>
      <c r="C130" s="49"/>
      <c r="D130" s="49"/>
      <c r="E130" s="169"/>
      <c r="F130" s="82">
        <f>SUM(G130:V130)</f>
        <v>0</v>
      </c>
      <c r="G130" s="304"/>
      <c r="H130" s="82"/>
      <c r="I130" s="131"/>
      <c r="J130" s="179"/>
      <c r="K130" s="82"/>
      <c r="L130" s="311"/>
      <c r="M130" s="312"/>
      <c r="N130" s="82"/>
      <c r="O130" s="304"/>
      <c r="P130" s="304"/>
      <c r="Q130" s="313"/>
      <c r="R130" s="304"/>
      <c r="S130" s="313"/>
      <c r="T130" s="313"/>
      <c r="U130" s="313"/>
      <c r="V130" s="313"/>
      <c r="W130" s="234"/>
      <c r="X130" s="234"/>
      <c r="Y130" s="234"/>
      <c r="Z130" s="234"/>
      <c r="AA130" s="234"/>
      <c r="AB130" s="234"/>
      <c r="AC130" s="234"/>
      <c r="AD130" s="234"/>
      <c r="AE130" s="234"/>
      <c r="AF130" s="234"/>
      <c r="AG130" s="234"/>
      <c r="AH130" s="234"/>
      <c r="AI130" s="234"/>
      <c r="AJ130" s="234"/>
      <c r="AK130" s="234"/>
      <c r="AL130" s="234"/>
      <c r="AM130" s="234"/>
      <c r="AN130" s="234"/>
      <c r="AO130" s="234"/>
      <c r="AP130" s="234"/>
      <c r="AQ130" s="234"/>
      <c r="AR130" s="234"/>
      <c r="AS130" s="234"/>
    </row>
    <row r="131" spans="2:45" s="48" customFormat="1" ht="13.2" customHeight="1" x14ac:dyDescent="0.25">
      <c r="B131" s="57" t="s">
        <v>84</v>
      </c>
      <c r="C131" s="49"/>
      <c r="D131" s="49"/>
      <c r="E131" s="169"/>
      <c r="F131" s="85">
        <f>SUM(G131:V131)</f>
        <v>1</v>
      </c>
      <c r="G131" s="314"/>
      <c r="H131" s="85"/>
      <c r="I131" s="215"/>
      <c r="J131" s="212"/>
      <c r="K131" s="85"/>
      <c r="L131" s="315"/>
      <c r="M131" s="316"/>
      <c r="N131" s="85">
        <v>1</v>
      </c>
      <c r="O131" s="314"/>
      <c r="P131" s="314"/>
      <c r="Q131" s="317"/>
      <c r="R131" s="314"/>
      <c r="S131" s="317"/>
      <c r="T131" s="317"/>
      <c r="U131" s="317"/>
      <c r="V131" s="317"/>
      <c r="W131" s="234"/>
      <c r="X131" s="234"/>
      <c r="Y131" s="234"/>
      <c r="Z131" s="234"/>
      <c r="AA131" s="234"/>
      <c r="AB131" s="234"/>
      <c r="AC131" s="234"/>
      <c r="AD131" s="234"/>
      <c r="AE131" s="234"/>
      <c r="AF131" s="234"/>
      <c r="AG131" s="234"/>
      <c r="AH131" s="234"/>
      <c r="AI131" s="234"/>
      <c r="AJ131" s="234"/>
      <c r="AK131" s="234"/>
      <c r="AL131" s="234"/>
      <c r="AM131" s="234"/>
      <c r="AN131" s="234"/>
      <c r="AO131" s="234"/>
      <c r="AP131" s="234"/>
      <c r="AQ131" s="234"/>
      <c r="AR131" s="234"/>
      <c r="AS131" s="234"/>
    </row>
    <row r="132" spans="2:45" s="48" customFormat="1" ht="13.2" hidden="1" customHeight="1" x14ac:dyDescent="0.25">
      <c r="B132" s="57" t="s">
        <v>85</v>
      </c>
      <c r="C132" s="49"/>
      <c r="D132" s="49"/>
      <c r="E132" s="169"/>
      <c r="F132" s="83">
        <f>SUM(G132:V132)</f>
        <v>0</v>
      </c>
      <c r="G132" s="305"/>
      <c r="H132" s="83"/>
      <c r="I132" s="103"/>
      <c r="J132" s="180"/>
      <c r="K132" s="83"/>
      <c r="L132" s="318"/>
      <c r="M132" s="319"/>
      <c r="N132" s="305"/>
      <c r="O132" s="305"/>
      <c r="P132" s="305"/>
      <c r="Q132" s="320"/>
      <c r="R132" s="305"/>
      <c r="S132" s="320"/>
      <c r="T132" s="320"/>
      <c r="U132" s="320"/>
      <c r="V132" s="320"/>
      <c r="W132" s="234"/>
      <c r="X132" s="234"/>
      <c r="Y132" s="234"/>
      <c r="Z132" s="234"/>
      <c r="AA132" s="234"/>
      <c r="AB132" s="234"/>
      <c r="AC132" s="234"/>
      <c r="AD132" s="234"/>
      <c r="AE132" s="234"/>
      <c r="AF132" s="234"/>
      <c r="AG132" s="234"/>
      <c r="AH132" s="234"/>
      <c r="AI132" s="234"/>
      <c r="AJ132" s="234"/>
      <c r="AK132" s="234"/>
      <c r="AL132" s="234"/>
      <c r="AM132" s="234"/>
      <c r="AN132" s="234"/>
      <c r="AO132" s="234"/>
      <c r="AP132" s="234"/>
      <c r="AQ132" s="234"/>
      <c r="AR132" s="234"/>
      <c r="AS132" s="234"/>
    </row>
    <row r="133" spans="2:45" s="48" customFormat="1" ht="13.2" hidden="1" customHeight="1" x14ac:dyDescent="0.25">
      <c r="B133" s="57" t="s">
        <v>87</v>
      </c>
      <c r="C133" s="49"/>
      <c r="D133" s="49"/>
      <c r="E133" s="169"/>
      <c r="F133" s="84">
        <f>SUM(G133:V133)</f>
        <v>0</v>
      </c>
      <c r="G133" s="88"/>
      <c r="H133" s="84"/>
      <c r="I133" s="182"/>
      <c r="J133" s="181"/>
      <c r="K133" s="84"/>
      <c r="L133" s="321"/>
      <c r="M133" s="322"/>
      <c r="N133" s="88"/>
      <c r="O133" s="88"/>
      <c r="P133" s="88"/>
      <c r="Q133" s="323"/>
      <c r="R133" s="88"/>
      <c r="S133" s="323"/>
      <c r="T133" s="323"/>
      <c r="U133" s="323"/>
      <c r="V133" s="323"/>
      <c r="W133" s="234"/>
      <c r="X133" s="234"/>
      <c r="Y133" s="234"/>
      <c r="Z133" s="234"/>
      <c r="AA133" s="234"/>
      <c r="AB133" s="234"/>
      <c r="AC133" s="234"/>
      <c r="AD133" s="234"/>
      <c r="AE133" s="234"/>
      <c r="AF133" s="234"/>
      <c r="AG133" s="234"/>
      <c r="AH133" s="234"/>
      <c r="AI133" s="234"/>
      <c r="AJ133" s="234"/>
      <c r="AK133" s="234"/>
      <c r="AL133" s="234"/>
      <c r="AM133" s="234"/>
      <c r="AN133" s="234"/>
      <c r="AO133" s="234"/>
      <c r="AP133" s="234"/>
      <c r="AQ133" s="234"/>
      <c r="AR133" s="234"/>
      <c r="AS133" s="234"/>
    </row>
    <row r="134" spans="2:45" s="48" customFormat="1" x14ac:dyDescent="0.25">
      <c r="B134" s="57"/>
      <c r="C134" s="49"/>
      <c r="D134" s="49"/>
      <c r="E134" s="324"/>
      <c r="F134" s="21"/>
      <c r="G134" s="303"/>
      <c r="H134" s="125"/>
      <c r="I134" s="21"/>
      <c r="J134" s="125"/>
      <c r="K134" s="21"/>
      <c r="L134" s="170"/>
      <c r="M134" s="89"/>
      <c r="N134" s="170"/>
      <c r="O134" s="89"/>
      <c r="P134" s="170"/>
      <c r="Q134" s="89"/>
      <c r="R134" s="89"/>
      <c r="S134" s="89"/>
      <c r="T134" s="170"/>
      <c r="U134" s="89"/>
      <c r="V134" s="303"/>
      <c r="W134" s="234"/>
      <c r="X134" s="234"/>
      <c r="Y134" s="234"/>
      <c r="Z134" s="234"/>
      <c r="AA134" s="234"/>
      <c r="AB134" s="234"/>
      <c r="AC134" s="234"/>
      <c r="AD134" s="234"/>
      <c r="AE134" s="234"/>
      <c r="AF134" s="234"/>
      <c r="AG134" s="234"/>
      <c r="AH134" s="234"/>
      <c r="AI134" s="234"/>
      <c r="AJ134" s="234"/>
      <c r="AK134" s="234"/>
      <c r="AL134" s="234"/>
      <c r="AM134" s="234"/>
      <c r="AN134" s="234"/>
      <c r="AO134" s="234"/>
      <c r="AP134" s="234"/>
      <c r="AQ134" s="234"/>
      <c r="AR134" s="234"/>
      <c r="AS134" s="234"/>
    </row>
    <row r="135" spans="2:45" s="48" customFormat="1" x14ac:dyDescent="0.25">
      <c r="B135" s="58" t="s">
        <v>94</v>
      </c>
      <c r="C135" s="49"/>
      <c r="D135" s="49"/>
      <c r="E135" s="133">
        <f>F135</f>
        <v>1</v>
      </c>
      <c r="F135" s="92">
        <f>SUM(F136)</f>
        <v>1</v>
      </c>
      <c r="G135" s="126">
        <f t="shared" ref="G135:U135" si="13">SUM(G136)</f>
        <v>0</v>
      </c>
      <c r="H135" s="126">
        <f t="shared" si="13"/>
        <v>0</v>
      </c>
      <c r="I135" s="126">
        <f t="shared" si="13"/>
        <v>0</v>
      </c>
      <c r="J135" s="126">
        <f t="shared" si="13"/>
        <v>0</v>
      </c>
      <c r="K135" s="126">
        <f t="shared" si="13"/>
        <v>0</v>
      </c>
      <c r="L135" s="126">
        <f t="shared" si="13"/>
        <v>0</v>
      </c>
      <c r="M135" s="126">
        <f t="shared" si="13"/>
        <v>0</v>
      </c>
      <c r="N135" s="126">
        <f t="shared" si="13"/>
        <v>0</v>
      </c>
      <c r="O135" s="126">
        <f t="shared" si="13"/>
        <v>0</v>
      </c>
      <c r="P135" s="126">
        <f t="shared" si="13"/>
        <v>0</v>
      </c>
      <c r="Q135" s="126">
        <f t="shared" si="13"/>
        <v>0</v>
      </c>
      <c r="R135" s="92">
        <f t="shared" si="13"/>
        <v>0</v>
      </c>
      <c r="S135" s="126">
        <f t="shared" si="13"/>
        <v>0</v>
      </c>
      <c r="T135" s="126">
        <f t="shared" si="13"/>
        <v>0</v>
      </c>
      <c r="U135" s="126">
        <f t="shared" si="13"/>
        <v>1</v>
      </c>
      <c r="V135" s="126">
        <f>SUM(V136)</f>
        <v>0</v>
      </c>
      <c r="W135" s="234"/>
      <c r="X135" s="234"/>
      <c r="Y135" s="234"/>
      <c r="Z135" s="234"/>
      <c r="AA135" s="234"/>
      <c r="AB135" s="234"/>
      <c r="AC135" s="234"/>
      <c r="AD135" s="234"/>
      <c r="AE135" s="234"/>
      <c r="AF135" s="234"/>
      <c r="AG135" s="234"/>
      <c r="AH135" s="234"/>
      <c r="AI135" s="234"/>
      <c r="AJ135" s="234"/>
      <c r="AK135" s="234"/>
      <c r="AL135" s="234"/>
      <c r="AM135" s="234"/>
      <c r="AN135" s="234"/>
      <c r="AO135" s="234"/>
      <c r="AP135" s="234"/>
      <c r="AQ135" s="234"/>
      <c r="AR135" s="234"/>
      <c r="AS135" s="234"/>
    </row>
    <row r="136" spans="2:45" s="48" customFormat="1" ht="13.2" customHeight="1" x14ac:dyDescent="0.25">
      <c r="B136" s="61" t="s">
        <v>86</v>
      </c>
      <c r="C136" s="55"/>
      <c r="D136" s="55"/>
      <c r="E136" s="23"/>
      <c r="F136" s="85">
        <f>SUM(G136:V136)</f>
        <v>1</v>
      </c>
      <c r="G136" s="317"/>
      <c r="H136" s="124"/>
      <c r="I136" s="85"/>
      <c r="J136" s="124"/>
      <c r="K136" s="85"/>
      <c r="L136" s="315"/>
      <c r="M136" s="314"/>
      <c r="N136" s="315"/>
      <c r="O136" s="314"/>
      <c r="P136" s="315"/>
      <c r="Q136" s="314"/>
      <c r="R136" s="314"/>
      <c r="S136" s="314"/>
      <c r="T136" s="315"/>
      <c r="U136" s="85">
        <v>1</v>
      </c>
      <c r="V136" s="317"/>
      <c r="W136" s="234"/>
      <c r="X136" s="234"/>
      <c r="Y136" s="234"/>
      <c r="Z136" s="234"/>
      <c r="AA136" s="234"/>
      <c r="AB136" s="234"/>
      <c r="AC136" s="234"/>
      <c r="AD136" s="234"/>
      <c r="AE136" s="234"/>
      <c r="AF136" s="234"/>
      <c r="AG136" s="234"/>
      <c r="AH136" s="234"/>
      <c r="AI136" s="234"/>
      <c r="AJ136" s="234"/>
      <c r="AK136" s="234"/>
      <c r="AL136" s="234"/>
      <c r="AM136" s="234"/>
      <c r="AN136" s="234"/>
      <c r="AO136" s="234"/>
      <c r="AP136" s="234"/>
      <c r="AQ136" s="234"/>
      <c r="AR136" s="234"/>
      <c r="AS136" s="234"/>
    </row>
    <row r="137" spans="2:45" s="48" customFormat="1" x14ac:dyDescent="0.25">
      <c r="B137" s="51"/>
      <c r="C137" s="38"/>
      <c r="D137" s="38"/>
      <c r="E137" s="234"/>
      <c r="F137" s="234"/>
      <c r="G137" s="234"/>
      <c r="H137" s="234"/>
      <c r="I137" s="234"/>
      <c r="J137" s="234"/>
      <c r="K137" s="234"/>
      <c r="M137" s="49"/>
      <c r="N137" s="49"/>
      <c r="O137" s="49"/>
      <c r="P137" s="49"/>
      <c r="Q137" s="49"/>
      <c r="R137" s="49"/>
      <c r="S137" s="49"/>
      <c r="T137" s="49"/>
      <c r="U137" s="49"/>
      <c r="V137" s="49"/>
      <c r="W137" s="234"/>
      <c r="X137" s="234"/>
      <c r="Y137" s="234"/>
      <c r="Z137" s="234"/>
      <c r="AA137" s="234"/>
      <c r="AB137" s="234"/>
      <c r="AC137" s="234"/>
      <c r="AD137" s="234"/>
      <c r="AE137" s="234"/>
      <c r="AF137" s="234"/>
      <c r="AG137" s="234"/>
      <c r="AH137" s="234"/>
      <c r="AI137" s="234"/>
      <c r="AJ137" s="234"/>
      <c r="AK137" s="234"/>
      <c r="AL137" s="234"/>
      <c r="AM137" s="234"/>
      <c r="AN137" s="50"/>
      <c r="AO137" s="50"/>
      <c r="AP137" s="50"/>
      <c r="AQ137" s="50"/>
      <c r="AR137" s="50"/>
      <c r="AS137" s="50"/>
    </row>
    <row r="138" spans="2:45" s="48" customFormat="1" x14ac:dyDescent="0.25">
      <c r="B138" s="538" t="s">
        <v>329</v>
      </c>
      <c r="C138" s="538"/>
      <c r="D138" s="538"/>
      <c r="E138" s="538"/>
      <c r="F138" s="538"/>
      <c r="G138" s="538"/>
      <c r="H138" s="538"/>
      <c r="I138" s="538"/>
      <c r="J138" s="538"/>
      <c r="K138" s="538"/>
      <c r="L138" s="538"/>
      <c r="M138" s="538"/>
      <c r="N138" s="538"/>
      <c r="O138" s="538"/>
      <c r="P138" s="325"/>
      <c r="Q138" s="49"/>
      <c r="R138" s="49"/>
      <c r="S138" s="49"/>
      <c r="T138" s="49"/>
      <c r="U138" s="49"/>
      <c r="V138" s="49"/>
      <c r="W138" s="234"/>
      <c r="X138" s="234"/>
      <c r="Y138" s="234"/>
      <c r="Z138" s="234"/>
      <c r="AA138" s="234"/>
      <c r="AB138" s="234"/>
      <c r="AC138" s="234"/>
      <c r="AD138" s="234"/>
      <c r="AE138" s="234"/>
      <c r="AF138" s="234"/>
      <c r="AG138" s="234"/>
      <c r="AH138" s="234"/>
      <c r="AI138" s="234"/>
      <c r="AJ138" s="234"/>
      <c r="AK138" s="234"/>
      <c r="AL138" s="234"/>
      <c r="AM138" s="234"/>
      <c r="AN138" s="50"/>
      <c r="AO138" s="50"/>
      <c r="AP138" s="50"/>
      <c r="AQ138" s="50"/>
      <c r="AR138" s="50"/>
      <c r="AS138" s="50"/>
    </row>
    <row r="139" spans="2:45" s="48" customFormat="1" x14ac:dyDescent="0.25">
      <c r="B139" s="538"/>
      <c r="C139" s="538"/>
      <c r="D139" s="538"/>
      <c r="E139" s="538"/>
      <c r="F139" s="538"/>
      <c r="G139" s="538"/>
      <c r="H139" s="538"/>
      <c r="I139" s="538"/>
      <c r="J139" s="538"/>
      <c r="K139" s="538"/>
      <c r="L139" s="538"/>
      <c r="M139" s="538"/>
      <c r="N139" s="538"/>
      <c r="O139" s="538"/>
      <c r="P139" s="325"/>
      <c r="Q139" s="49"/>
      <c r="R139" s="49"/>
      <c r="S139" s="49"/>
      <c r="T139" s="49"/>
      <c r="U139" s="49"/>
      <c r="V139" s="49"/>
      <c r="W139" s="234"/>
      <c r="X139" s="234"/>
      <c r="Y139" s="234"/>
      <c r="Z139" s="234"/>
      <c r="AA139" s="234"/>
      <c r="AB139" s="234"/>
      <c r="AC139" s="234"/>
      <c r="AD139" s="234"/>
      <c r="AE139" s="234"/>
      <c r="AF139" s="234"/>
      <c r="AG139" s="234"/>
      <c r="AH139" s="234"/>
      <c r="AI139" s="234"/>
      <c r="AJ139" s="234"/>
      <c r="AK139" s="234"/>
      <c r="AL139" s="234"/>
      <c r="AM139" s="234"/>
      <c r="AN139" s="50"/>
      <c r="AO139" s="50"/>
      <c r="AP139" s="50"/>
      <c r="AQ139" s="50"/>
      <c r="AR139" s="50"/>
      <c r="AS139" s="50"/>
    </row>
    <row r="140" spans="2:45" s="48" customFormat="1" x14ac:dyDescent="0.25">
      <c r="B140" s="51"/>
      <c r="C140" s="38"/>
      <c r="D140" s="38"/>
      <c r="E140" s="234"/>
      <c r="F140" s="234"/>
      <c r="G140" s="234"/>
      <c r="H140" s="234"/>
      <c r="I140" s="234"/>
      <c r="J140" s="234"/>
      <c r="K140" s="234"/>
      <c r="M140" s="49"/>
      <c r="N140" s="49"/>
      <c r="O140" s="49"/>
      <c r="P140" s="49"/>
      <c r="Q140" s="49"/>
      <c r="R140" s="49"/>
      <c r="S140" s="49"/>
      <c r="T140" s="49"/>
      <c r="U140" s="49"/>
      <c r="V140" s="49"/>
      <c r="W140" s="234"/>
      <c r="X140" s="234"/>
      <c r="Y140" s="234"/>
      <c r="Z140" s="234"/>
      <c r="AA140" s="234"/>
      <c r="AB140" s="234"/>
      <c r="AC140" s="234"/>
      <c r="AD140" s="234"/>
      <c r="AE140" s="234"/>
      <c r="AF140" s="234"/>
      <c r="AG140" s="234"/>
      <c r="AH140" s="234"/>
      <c r="AI140" s="234"/>
      <c r="AJ140" s="234"/>
      <c r="AK140" s="234"/>
      <c r="AL140" s="234"/>
      <c r="AM140" s="234"/>
      <c r="AN140" s="50"/>
      <c r="AO140" s="50"/>
      <c r="AP140" s="50"/>
      <c r="AQ140" s="50"/>
      <c r="AR140" s="50"/>
      <c r="AS140" s="50"/>
    </row>
    <row r="141" spans="2:45" x14ac:dyDescent="0.25">
      <c r="B141" s="51"/>
      <c r="C141" s="38"/>
      <c r="D141" s="38"/>
      <c r="E141" s="234"/>
      <c r="F141" s="234"/>
      <c r="G141" s="43"/>
      <c r="H141" s="43"/>
      <c r="I141" s="43"/>
      <c r="J141" s="118"/>
      <c r="K141" s="118"/>
      <c r="L141" s="1"/>
      <c r="M141" s="49"/>
      <c r="N141" s="49"/>
      <c r="O141" s="49"/>
      <c r="P141" s="49"/>
      <c r="Q141" s="49"/>
      <c r="R141" s="49"/>
      <c r="S141" s="49"/>
      <c r="T141" s="49"/>
      <c r="U141" s="49"/>
      <c r="V141" s="49"/>
    </row>
    <row r="142" spans="2:45" x14ac:dyDescent="0.25">
      <c r="B142" s="51"/>
      <c r="C142" s="38"/>
      <c r="D142" s="38"/>
      <c r="E142" s="234"/>
      <c r="F142" s="234"/>
      <c r="G142" s="118"/>
      <c r="H142" s="118"/>
      <c r="I142" s="118"/>
      <c r="J142" s="118"/>
      <c r="K142" s="118"/>
      <c r="L142" s="1"/>
      <c r="M142" s="49"/>
      <c r="N142" s="49"/>
      <c r="O142" s="49"/>
      <c r="P142" s="49"/>
      <c r="Q142" s="49"/>
      <c r="R142" s="49"/>
      <c r="S142" s="49"/>
      <c r="T142" s="49"/>
      <c r="U142" s="49"/>
      <c r="V142" s="49"/>
    </row>
    <row r="143" spans="2:45" x14ac:dyDescent="0.25">
      <c r="B143" s="51"/>
      <c r="C143" s="38"/>
      <c r="D143" s="38"/>
      <c r="E143" s="234"/>
      <c r="F143" s="234"/>
      <c r="G143" s="118"/>
      <c r="H143" s="118"/>
      <c r="I143" s="118"/>
      <c r="J143" s="118"/>
      <c r="K143" s="118"/>
      <c r="L143" s="1"/>
      <c r="M143" s="49"/>
      <c r="N143" s="49"/>
      <c r="O143" s="49"/>
      <c r="P143" s="49"/>
      <c r="Q143" s="49"/>
      <c r="R143" s="49"/>
      <c r="S143" s="49"/>
      <c r="T143" s="49"/>
      <c r="U143" s="49"/>
      <c r="V143" s="49"/>
    </row>
    <row r="144" spans="2:45" x14ac:dyDescent="0.25">
      <c r="B144" s="51"/>
      <c r="C144" s="38"/>
      <c r="D144" s="38"/>
      <c r="E144" s="234"/>
      <c r="F144" s="234"/>
      <c r="G144" s="118"/>
      <c r="H144" s="118"/>
      <c r="I144" s="118"/>
      <c r="J144" s="118"/>
      <c r="K144" s="118"/>
      <c r="L144" s="1"/>
      <c r="M144" s="49"/>
      <c r="N144" s="49"/>
      <c r="O144" s="49"/>
      <c r="P144" s="49"/>
      <c r="Q144" s="49"/>
      <c r="R144" s="49"/>
      <c r="S144" s="49"/>
      <c r="T144" s="49"/>
      <c r="U144" s="49"/>
      <c r="V144" s="49"/>
    </row>
    <row r="145" spans="2:22" x14ac:dyDescent="0.25">
      <c r="B145" s="51"/>
      <c r="C145" s="38"/>
      <c r="D145" s="38"/>
      <c r="E145" s="234"/>
      <c r="F145" s="234"/>
      <c r="G145" s="118"/>
      <c r="H145" s="118"/>
      <c r="I145" s="118"/>
      <c r="J145" s="118"/>
      <c r="K145" s="118"/>
      <c r="L145" s="1"/>
      <c r="M145" s="49"/>
      <c r="N145" s="49"/>
      <c r="O145" s="49"/>
      <c r="P145" s="49"/>
      <c r="Q145" s="49"/>
      <c r="R145" s="49"/>
      <c r="S145" s="49"/>
      <c r="T145" s="49"/>
      <c r="U145" s="49"/>
      <c r="V145" s="49"/>
    </row>
    <row r="146" spans="2:22" x14ac:dyDescent="0.25">
      <c r="B146" s="51"/>
      <c r="C146" s="38"/>
      <c r="D146" s="38"/>
      <c r="E146" s="234"/>
      <c r="F146" s="234"/>
      <c r="G146" s="118"/>
      <c r="H146" s="118"/>
      <c r="I146" s="118"/>
      <c r="J146" s="118"/>
      <c r="K146" s="118"/>
      <c r="L146" s="1"/>
      <c r="M146" s="49"/>
      <c r="N146" s="49"/>
      <c r="O146" s="49"/>
      <c r="P146" s="49"/>
      <c r="Q146" s="49"/>
      <c r="R146" s="49"/>
      <c r="S146" s="49"/>
      <c r="T146" s="49"/>
      <c r="U146" s="49"/>
      <c r="V146" s="49"/>
    </row>
    <row r="147" spans="2:22" x14ac:dyDescent="0.25">
      <c r="B147" s="51"/>
      <c r="C147" s="38"/>
      <c r="D147" s="38"/>
      <c r="E147" s="234"/>
      <c r="F147" s="234"/>
      <c r="G147" s="118"/>
      <c r="H147" s="118"/>
      <c r="I147" s="118"/>
      <c r="J147" s="118"/>
      <c r="K147" s="118"/>
      <c r="L147" s="1"/>
      <c r="M147" s="91"/>
      <c r="N147" s="91"/>
      <c r="O147" s="91"/>
      <c r="P147" s="91"/>
      <c r="Q147" s="91"/>
      <c r="R147" s="91"/>
      <c r="S147" s="91"/>
      <c r="T147" s="91"/>
      <c r="U147" s="91"/>
      <c r="V147" s="52"/>
    </row>
    <row r="148" spans="2:22" x14ac:dyDescent="0.25">
      <c r="B148" s="51"/>
      <c r="C148" s="38"/>
      <c r="D148" s="38"/>
      <c r="E148" s="234"/>
      <c r="F148" s="234"/>
      <c r="G148" s="118"/>
      <c r="H148" s="118"/>
      <c r="I148" s="118"/>
      <c r="J148" s="118"/>
      <c r="K148" s="118"/>
      <c r="L148" s="1"/>
      <c r="M148" s="49"/>
      <c r="N148" s="49"/>
      <c r="O148" s="49"/>
      <c r="P148" s="49"/>
      <c r="Q148" s="49"/>
      <c r="R148" s="49"/>
      <c r="S148" s="49"/>
      <c r="T148" s="49"/>
      <c r="U148" s="49"/>
      <c r="V148" s="49"/>
    </row>
    <row r="149" spans="2:22" x14ac:dyDescent="0.25">
      <c r="B149" s="51"/>
      <c r="C149" s="38"/>
      <c r="D149" s="38"/>
      <c r="E149" s="234"/>
      <c r="F149" s="234"/>
      <c r="G149" s="118"/>
      <c r="H149" s="118"/>
      <c r="I149" s="118"/>
      <c r="J149" s="118"/>
      <c r="K149" s="118"/>
      <c r="L149" s="1"/>
      <c r="M149" s="49"/>
      <c r="N149" s="49"/>
      <c r="O149" s="49"/>
      <c r="P149" s="49"/>
      <c r="Q149" s="49"/>
      <c r="R149" s="49"/>
      <c r="S149" s="49"/>
      <c r="T149" s="49"/>
      <c r="U149" s="49"/>
      <c r="V149" s="49"/>
    </row>
    <row r="150" spans="2:22" x14ac:dyDescent="0.25">
      <c r="B150" s="51"/>
      <c r="C150" s="38"/>
      <c r="D150" s="38"/>
      <c r="E150" s="234"/>
      <c r="F150" s="234"/>
      <c r="G150" s="118"/>
      <c r="H150" s="118"/>
      <c r="I150" s="118"/>
      <c r="J150" s="118"/>
      <c r="K150" s="118"/>
      <c r="L150" s="1"/>
      <c r="M150" s="49"/>
      <c r="N150" s="49"/>
      <c r="O150" s="49"/>
      <c r="P150" s="49"/>
      <c r="Q150" s="49"/>
      <c r="R150" s="49"/>
      <c r="S150" s="49"/>
      <c r="T150" s="49"/>
      <c r="U150" s="49"/>
      <c r="V150" s="49"/>
    </row>
    <row r="151" spans="2:22" x14ac:dyDescent="0.25">
      <c r="B151" s="51"/>
      <c r="C151" s="38"/>
      <c r="D151" s="38"/>
      <c r="E151" s="234"/>
      <c r="F151" s="234"/>
      <c r="G151" s="118"/>
      <c r="H151" s="118"/>
      <c r="I151" s="118"/>
      <c r="J151" s="118"/>
      <c r="K151" s="118"/>
      <c r="L151" s="1"/>
      <c r="M151" s="49"/>
      <c r="N151" s="49"/>
      <c r="O151" s="49"/>
      <c r="P151" s="49"/>
      <c r="Q151" s="49"/>
      <c r="R151" s="49"/>
      <c r="S151" s="49"/>
      <c r="T151" s="49"/>
      <c r="U151" s="49"/>
      <c r="V151" s="49"/>
    </row>
    <row r="152" spans="2:22" x14ac:dyDescent="0.25">
      <c r="B152" s="10"/>
      <c r="C152" s="12"/>
      <c r="D152" s="12"/>
      <c r="E152" s="118"/>
      <c r="F152" s="118"/>
      <c r="G152" s="118"/>
      <c r="H152" s="118"/>
      <c r="I152" s="118"/>
      <c r="J152" s="118"/>
      <c r="K152" s="118"/>
      <c r="L152" s="1"/>
      <c r="M152" s="49"/>
      <c r="N152" s="49"/>
      <c r="O152" s="49"/>
      <c r="P152" s="49"/>
      <c r="Q152" s="49"/>
      <c r="R152" s="49"/>
      <c r="S152" s="49"/>
      <c r="T152" s="49"/>
      <c r="U152" s="49"/>
      <c r="V152" s="49"/>
    </row>
    <row r="153" spans="2:22" x14ac:dyDescent="0.25">
      <c r="B153" s="10"/>
      <c r="C153" s="12"/>
      <c r="D153" s="12"/>
      <c r="E153" s="118"/>
      <c r="F153" s="118"/>
      <c r="G153" s="118"/>
      <c r="H153" s="118"/>
      <c r="I153" s="118"/>
      <c r="J153" s="118"/>
      <c r="K153" s="118"/>
      <c r="L153" s="1"/>
      <c r="M153" s="49"/>
      <c r="N153" s="49"/>
      <c r="O153" s="49"/>
      <c r="P153" s="49"/>
      <c r="Q153" s="49"/>
      <c r="R153" s="49"/>
      <c r="S153" s="49"/>
      <c r="T153" s="49"/>
      <c r="U153" s="49"/>
      <c r="V153" s="49"/>
    </row>
    <row r="154" spans="2:22" x14ac:dyDescent="0.25">
      <c r="B154" s="10"/>
      <c r="C154" s="12"/>
      <c r="D154" s="12"/>
      <c r="E154" s="118"/>
      <c r="F154" s="118"/>
      <c r="G154" s="118"/>
      <c r="H154" s="118"/>
      <c r="I154" s="118"/>
      <c r="J154" s="118"/>
      <c r="K154" s="118"/>
      <c r="L154" s="1"/>
      <c r="M154" s="49"/>
      <c r="N154" s="49"/>
      <c r="O154" s="49"/>
      <c r="P154" s="49"/>
      <c r="Q154" s="49"/>
      <c r="R154" s="49"/>
      <c r="S154" s="49"/>
      <c r="T154" s="49"/>
      <c r="U154" s="49"/>
      <c r="V154" s="49"/>
    </row>
    <row r="155" spans="2:22" x14ac:dyDescent="0.25">
      <c r="B155" s="10"/>
      <c r="C155" s="12"/>
      <c r="D155" s="12"/>
      <c r="E155" s="118"/>
      <c r="F155" s="118"/>
      <c r="G155" s="118"/>
      <c r="H155" s="118"/>
      <c r="I155" s="118"/>
      <c r="J155" s="118"/>
      <c r="K155" s="118"/>
      <c r="L155" s="1"/>
      <c r="M155" s="91"/>
      <c r="N155" s="91"/>
      <c r="O155" s="91"/>
      <c r="P155" s="91"/>
      <c r="Q155" s="91"/>
      <c r="R155" s="91"/>
      <c r="S155" s="91"/>
      <c r="T155" s="91"/>
      <c r="U155" s="91"/>
      <c r="V155" s="52"/>
    </row>
    <row r="156" spans="2:22" x14ac:dyDescent="0.25">
      <c r="B156" s="10"/>
      <c r="C156" s="12"/>
      <c r="D156" s="12"/>
      <c r="E156" s="118"/>
      <c r="F156" s="118"/>
      <c r="G156" s="118"/>
      <c r="H156" s="118"/>
      <c r="I156" s="118"/>
      <c r="J156" s="118"/>
      <c r="K156" s="118"/>
      <c r="L156" s="1"/>
      <c r="M156" s="49"/>
      <c r="N156" s="49"/>
      <c r="O156" s="49"/>
      <c r="P156" s="49"/>
      <c r="Q156" s="49"/>
      <c r="R156" s="49"/>
      <c r="S156" s="49"/>
      <c r="T156" s="49"/>
      <c r="U156" s="49"/>
      <c r="V156" s="49"/>
    </row>
    <row r="157" spans="2:22" x14ac:dyDescent="0.25">
      <c r="B157" s="10"/>
      <c r="C157" s="12"/>
      <c r="D157" s="12"/>
      <c r="E157" s="118"/>
      <c r="F157" s="118"/>
      <c r="G157" s="118"/>
      <c r="H157" s="118"/>
      <c r="I157" s="118"/>
      <c r="J157" s="118"/>
      <c r="K157" s="118"/>
      <c r="L157" s="1"/>
    </row>
    <row r="158" spans="2:22" x14ac:dyDescent="0.25">
      <c r="B158" s="10"/>
      <c r="C158" s="12"/>
      <c r="D158" s="12"/>
      <c r="E158" s="118"/>
      <c r="F158" s="118"/>
      <c r="G158" s="118"/>
      <c r="H158" s="118"/>
      <c r="I158" s="118"/>
      <c r="J158" s="118"/>
      <c r="K158" s="118"/>
      <c r="L158" s="118"/>
    </row>
    <row r="159" spans="2:22" x14ac:dyDescent="0.25">
      <c r="B159" s="10"/>
      <c r="C159" s="12"/>
      <c r="D159" s="12"/>
      <c r="E159" s="118"/>
      <c r="F159" s="118"/>
      <c r="G159" s="118"/>
      <c r="H159" s="118"/>
      <c r="I159" s="118"/>
      <c r="J159" s="118"/>
      <c r="K159" s="118"/>
      <c r="L159" s="118"/>
      <c r="M159" s="118"/>
      <c r="N159" s="118"/>
      <c r="O159" s="118"/>
      <c r="P159" s="118"/>
      <c r="Q159" s="118"/>
      <c r="R159" s="118"/>
      <c r="S159" s="118"/>
      <c r="T159" s="118"/>
      <c r="U159" s="118"/>
    </row>
    <row r="160" spans="2:22" x14ac:dyDescent="0.25">
      <c r="B160" s="10"/>
      <c r="C160" s="12"/>
      <c r="D160" s="12"/>
      <c r="E160" s="118"/>
      <c r="F160" s="118"/>
      <c r="G160" s="118"/>
      <c r="H160" s="118"/>
      <c r="I160" s="118"/>
      <c r="J160" s="118"/>
      <c r="K160" s="118"/>
      <c r="L160" s="118"/>
      <c r="M160" s="118"/>
      <c r="N160" s="118"/>
      <c r="O160" s="118"/>
      <c r="P160" s="118"/>
      <c r="Q160" s="118"/>
      <c r="R160" s="118"/>
      <c r="S160" s="118"/>
      <c r="T160" s="118"/>
      <c r="U160" s="118"/>
    </row>
    <row r="161" spans="2:45" x14ac:dyDescent="0.25">
      <c r="B161" s="10"/>
      <c r="C161" s="12"/>
      <c r="D161" s="12"/>
      <c r="E161" s="118"/>
      <c r="F161" s="118"/>
      <c r="G161" s="118"/>
      <c r="H161" s="118"/>
      <c r="I161" s="118"/>
      <c r="J161" s="118"/>
      <c r="K161" s="118"/>
      <c r="L161" s="118"/>
      <c r="M161" s="118"/>
      <c r="N161" s="118"/>
      <c r="O161" s="118"/>
      <c r="P161" s="118"/>
      <c r="Q161" s="118"/>
      <c r="R161" s="118"/>
      <c r="S161" s="118"/>
      <c r="T161" s="118"/>
      <c r="U161" s="118"/>
    </row>
    <row r="162" spans="2:45" x14ac:dyDescent="0.25">
      <c r="B162" s="10"/>
      <c r="C162" s="12"/>
      <c r="D162" s="12"/>
      <c r="E162" s="118"/>
      <c r="F162" s="118"/>
      <c r="G162" s="118"/>
      <c r="H162" s="118"/>
      <c r="I162" s="118"/>
      <c r="J162" s="118"/>
      <c r="K162" s="118"/>
      <c r="L162" s="118"/>
      <c r="M162" s="118"/>
      <c r="N162" s="118"/>
      <c r="O162" s="118"/>
      <c r="P162" s="118"/>
      <c r="Q162" s="118"/>
      <c r="R162" s="118"/>
      <c r="S162" s="118"/>
      <c r="T162" s="118"/>
      <c r="U162" s="118"/>
    </row>
    <row r="163" spans="2:45" x14ac:dyDescent="0.25">
      <c r="B163" s="10"/>
      <c r="C163" s="12"/>
      <c r="D163" s="12"/>
      <c r="E163" s="118"/>
      <c r="F163" s="118"/>
      <c r="G163" s="118"/>
      <c r="H163" s="118"/>
      <c r="I163" s="118"/>
      <c r="J163" s="118"/>
      <c r="K163" s="118"/>
      <c r="L163" s="118"/>
      <c r="M163" s="118"/>
      <c r="N163" s="118"/>
      <c r="O163" s="118"/>
      <c r="P163" s="118"/>
      <c r="Q163" s="118"/>
      <c r="R163" s="118"/>
      <c r="S163" s="118"/>
      <c r="T163" s="118"/>
      <c r="U163" s="118"/>
    </row>
    <row r="164" spans="2:45" x14ac:dyDescent="0.25">
      <c r="B164" s="10"/>
      <c r="C164" s="12"/>
      <c r="D164" s="12"/>
      <c r="E164" s="118"/>
      <c r="F164" s="118"/>
      <c r="G164" s="118"/>
      <c r="H164" s="118"/>
      <c r="I164" s="118"/>
      <c r="J164" s="118"/>
      <c r="K164" s="118"/>
      <c r="L164" s="118"/>
      <c r="M164" s="118"/>
      <c r="N164" s="118"/>
      <c r="O164" s="118"/>
      <c r="P164" s="118"/>
      <c r="Q164" s="118"/>
      <c r="R164" s="118"/>
      <c r="S164" s="118"/>
      <c r="T164" s="118"/>
      <c r="U164" s="118"/>
    </row>
    <row r="165" spans="2:45" x14ac:dyDescent="0.25">
      <c r="B165" s="10"/>
      <c r="C165" s="12"/>
      <c r="D165" s="12"/>
      <c r="E165" s="118"/>
      <c r="F165" s="118"/>
      <c r="G165" s="118"/>
      <c r="H165" s="118"/>
      <c r="I165" s="118"/>
      <c r="J165" s="118"/>
      <c r="K165" s="118"/>
      <c r="L165" s="118"/>
      <c r="M165" s="118"/>
      <c r="N165" s="118"/>
      <c r="O165" s="118"/>
      <c r="P165" s="118"/>
      <c r="Q165" s="118"/>
      <c r="R165" s="118"/>
      <c r="S165" s="118"/>
      <c r="T165" s="118"/>
      <c r="U165" s="118"/>
    </row>
    <row r="166" spans="2:45" ht="18" customHeight="1" x14ac:dyDescent="0.25">
      <c r="B166" s="10"/>
      <c r="C166" s="12"/>
      <c r="D166" s="12"/>
      <c r="E166" s="118"/>
      <c r="F166" s="118"/>
      <c r="G166" s="118"/>
      <c r="H166" s="118"/>
      <c r="I166" s="118"/>
      <c r="J166" s="118"/>
      <c r="K166" s="118"/>
      <c r="L166" s="118"/>
      <c r="M166" s="118"/>
      <c r="N166" s="118"/>
      <c r="O166" s="118"/>
      <c r="P166" s="118"/>
      <c r="Q166" s="118"/>
      <c r="R166" s="118"/>
      <c r="S166" s="118"/>
      <c r="T166" s="118"/>
      <c r="U166" s="118"/>
    </row>
    <row r="167" spans="2:45" x14ac:dyDescent="0.25">
      <c r="B167" s="10"/>
      <c r="C167" s="12"/>
      <c r="D167" s="12"/>
      <c r="E167" s="118"/>
      <c r="F167" s="118"/>
      <c r="G167" s="118"/>
      <c r="H167" s="118"/>
      <c r="I167" s="118"/>
      <c r="J167" s="118"/>
      <c r="K167" s="118"/>
      <c r="L167" s="118"/>
      <c r="M167" s="118"/>
      <c r="N167" s="118"/>
      <c r="O167" s="118"/>
      <c r="P167" s="118"/>
      <c r="Q167" s="118"/>
      <c r="R167" s="118"/>
      <c r="S167" s="118"/>
      <c r="T167" s="118"/>
      <c r="U167" s="118"/>
    </row>
    <row r="168" spans="2:45" x14ac:dyDescent="0.25">
      <c r="B168" s="10"/>
      <c r="C168" s="12"/>
      <c r="D168" s="12"/>
      <c r="E168" s="118"/>
      <c r="F168" s="118"/>
      <c r="G168" s="118"/>
      <c r="H168" s="118"/>
      <c r="I168" s="118"/>
      <c r="J168" s="118"/>
      <c r="K168" s="118"/>
      <c r="L168" s="118"/>
      <c r="M168" s="118"/>
      <c r="N168" s="118"/>
      <c r="O168" s="118"/>
      <c r="P168" s="118"/>
      <c r="Q168" s="118"/>
      <c r="R168" s="118"/>
      <c r="S168" s="118"/>
      <c r="T168" s="118"/>
      <c r="U168" s="118"/>
    </row>
    <row r="169" spans="2:45" x14ac:dyDescent="0.25">
      <c r="B169" s="10"/>
      <c r="C169" s="12"/>
      <c r="D169" s="12"/>
      <c r="E169" s="118"/>
      <c r="F169" s="118"/>
      <c r="G169" s="118"/>
      <c r="H169" s="118"/>
      <c r="I169" s="118"/>
      <c r="J169" s="118"/>
      <c r="K169" s="118"/>
      <c r="L169" s="118"/>
      <c r="M169" s="118"/>
      <c r="N169" s="118"/>
      <c r="O169" s="118"/>
      <c r="P169" s="118"/>
      <c r="Q169" s="118"/>
      <c r="R169" s="118"/>
      <c r="S169" s="118"/>
      <c r="T169" s="118"/>
      <c r="U169" s="118"/>
    </row>
    <row r="170" spans="2:45" x14ac:dyDescent="0.25">
      <c r="B170" s="10"/>
      <c r="C170" s="12"/>
      <c r="D170" s="12"/>
      <c r="E170" s="118"/>
      <c r="F170" s="118"/>
      <c r="G170" s="118"/>
      <c r="H170" s="118"/>
      <c r="I170" s="118"/>
      <c r="J170" s="118"/>
      <c r="K170" s="118"/>
      <c r="L170" s="118"/>
      <c r="M170" s="118"/>
      <c r="N170" s="118"/>
      <c r="O170" s="118"/>
      <c r="P170" s="118"/>
      <c r="Q170" s="118"/>
      <c r="R170" s="118"/>
      <c r="S170" s="118"/>
      <c r="T170" s="118"/>
      <c r="U170" s="118"/>
    </row>
    <row r="171" spans="2:45" hidden="1" x14ac:dyDescent="0.25">
      <c r="B171" s="10"/>
      <c r="C171" s="12"/>
      <c r="D171" s="12"/>
      <c r="E171" s="118"/>
      <c r="F171" s="118"/>
      <c r="G171" s="118"/>
      <c r="H171" s="118"/>
      <c r="I171" s="118"/>
      <c r="J171" s="118"/>
      <c r="K171" s="118"/>
      <c r="L171" s="118"/>
      <c r="M171" s="118"/>
      <c r="N171" s="118"/>
      <c r="O171" s="118"/>
      <c r="P171" s="118"/>
      <c r="Q171" s="118"/>
      <c r="R171" s="118"/>
      <c r="S171" s="118"/>
      <c r="T171" s="118"/>
      <c r="U171" s="118"/>
    </row>
    <row r="172" spans="2:45" hidden="1" x14ac:dyDescent="0.25">
      <c r="B172" s="10"/>
      <c r="C172" s="12"/>
      <c r="D172" s="12"/>
      <c r="E172" s="118"/>
      <c r="F172" s="118"/>
      <c r="G172" s="118"/>
      <c r="H172" s="118"/>
      <c r="I172" s="118"/>
      <c r="J172" s="118"/>
      <c r="K172" s="118"/>
      <c r="L172" s="118"/>
      <c r="M172" s="118"/>
      <c r="N172" s="118"/>
      <c r="O172" s="118"/>
      <c r="P172" s="118"/>
      <c r="Q172" s="118"/>
      <c r="R172" s="118"/>
      <c r="S172" s="118"/>
      <c r="T172" s="118"/>
      <c r="U172" s="118"/>
    </row>
    <row r="173" spans="2:45" hidden="1" x14ac:dyDescent="0.25">
      <c r="B173" s="12"/>
      <c r="C173" s="12"/>
      <c r="D173" s="12"/>
      <c r="E173" s="118"/>
      <c r="F173" s="118"/>
      <c r="G173" s="118"/>
      <c r="H173" s="118"/>
      <c r="I173" s="118"/>
      <c r="J173" s="118"/>
      <c r="K173" s="118"/>
      <c r="L173" s="118"/>
      <c r="M173" s="118"/>
      <c r="N173" s="118"/>
      <c r="O173" s="118"/>
      <c r="P173" s="118"/>
      <c r="Q173" s="118"/>
      <c r="R173" s="118"/>
      <c r="S173" s="118"/>
      <c r="T173" s="118"/>
      <c r="U173" s="118"/>
    </row>
    <row r="174" spans="2:45" hidden="1" x14ac:dyDescent="0.25">
      <c r="B174" s="12"/>
      <c r="C174" s="12"/>
      <c r="D174" s="12"/>
      <c r="E174" s="118"/>
      <c r="F174" s="118"/>
      <c r="G174" s="118"/>
      <c r="H174" s="118"/>
      <c r="I174" s="118"/>
      <c r="J174" s="118"/>
      <c r="K174" s="118"/>
    </row>
    <row r="175" spans="2:45" ht="132.6" hidden="1" customHeight="1" x14ac:dyDescent="0.25">
      <c r="B175" s="539" t="s">
        <v>330</v>
      </c>
      <c r="C175" s="539"/>
      <c r="E175" s="33" t="s">
        <v>21</v>
      </c>
      <c r="F175" s="33" t="s">
        <v>32</v>
      </c>
      <c r="G175" s="33" t="s">
        <v>26</v>
      </c>
      <c r="H175" s="33" t="s">
        <v>31</v>
      </c>
      <c r="I175" s="232" t="s">
        <v>331</v>
      </c>
      <c r="J175" s="232" t="s">
        <v>332</v>
      </c>
      <c r="K175" s="232" t="s">
        <v>333</v>
      </c>
      <c r="L175" s="232" t="s">
        <v>334</v>
      </c>
      <c r="M175" s="232" t="s">
        <v>335</v>
      </c>
      <c r="N175" s="232"/>
      <c r="O175" s="232" t="s">
        <v>336</v>
      </c>
      <c r="P175" s="232"/>
      <c r="Q175" s="232"/>
      <c r="R175" s="232"/>
      <c r="S175" s="232"/>
      <c r="T175" s="232"/>
      <c r="U175" s="232"/>
      <c r="V175" s="232" t="s">
        <v>337</v>
      </c>
      <c r="W175" s="232" t="s">
        <v>338</v>
      </c>
      <c r="X175" s="232" t="s">
        <v>339</v>
      </c>
      <c r="Y175" s="326" t="s">
        <v>340</v>
      </c>
      <c r="Z175" s="232" t="s">
        <v>341</v>
      </c>
      <c r="AA175" s="232" t="s">
        <v>342</v>
      </c>
      <c r="AB175" s="232" t="s">
        <v>343</v>
      </c>
      <c r="AC175" s="232" t="s">
        <v>344</v>
      </c>
      <c r="AD175" s="232" t="s">
        <v>345</v>
      </c>
      <c r="AE175" s="232" t="s">
        <v>346</v>
      </c>
      <c r="AF175" s="232" t="s">
        <v>347</v>
      </c>
      <c r="AG175" s="232" t="s">
        <v>348</v>
      </c>
      <c r="AH175" s="232" t="s">
        <v>349</v>
      </c>
      <c r="AI175" s="232" t="s">
        <v>350</v>
      </c>
      <c r="AJ175" s="232" t="s">
        <v>351</v>
      </c>
      <c r="AK175" s="232" t="s">
        <v>352</v>
      </c>
      <c r="AL175" s="232" t="s">
        <v>179</v>
      </c>
      <c r="AM175" s="232"/>
      <c r="AN175" s="232"/>
      <c r="AO175" s="232"/>
      <c r="AP175" s="232"/>
      <c r="AQ175" s="232"/>
      <c r="AR175" s="232"/>
      <c r="AS175" s="232"/>
    </row>
    <row r="176" spans="2:45" hidden="1" x14ac:dyDescent="0.25">
      <c r="B176" s="1" t="s">
        <v>8</v>
      </c>
      <c r="D176" s="27">
        <f>SUM(D178+D184+D191+D204+D216+D223+D252+D260)</f>
        <v>68</v>
      </c>
      <c r="E176" s="28">
        <f>E178+E184+E191+E204+E216+E223+E252+E260</f>
        <v>11</v>
      </c>
      <c r="F176" s="28">
        <f>F178+F184+F191+F204+F216+F223+F252+F260</f>
        <v>14</v>
      </c>
      <c r="G176" s="28">
        <f>G178+G184+G191+G204+G216+G223+G252+G260</f>
        <v>44</v>
      </c>
      <c r="H176" s="28">
        <f>H178+H184+H191+H204+H216+H223+H252+H260</f>
        <v>0</v>
      </c>
    </row>
    <row r="177" spans="2:45" hidden="1" x14ac:dyDescent="0.25">
      <c r="F177" s="234"/>
      <c r="G177" s="234"/>
    </row>
    <row r="178" spans="2:45" hidden="1" x14ac:dyDescent="0.25">
      <c r="B178" s="3" t="s">
        <v>22</v>
      </c>
      <c r="D178" s="27">
        <f>SUM(E178:G178)</f>
        <v>4</v>
      </c>
      <c r="E178" s="17">
        <f>SUM(E179:E182)</f>
        <v>1</v>
      </c>
      <c r="F178" s="17">
        <f t="shared" ref="F178:H178" si="14">SUM(F179:F182)</f>
        <v>2</v>
      </c>
      <c r="G178" s="17">
        <f>SUM(G179:G182)</f>
        <v>1</v>
      </c>
      <c r="H178" s="17">
        <f t="shared" si="14"/>
        <v>0</v>
      </c>
    </row>
    <row r="179" spans="2:45" s="41" customFormat="1" hidden="1" x14ac:dyDescent="0.25">
      <c r="B179" s="42" t="s">
        <v>4</v>
      </c>
      <c r="E179" s="29"/>
      <c r="F179" s="20"/>
      <c r="G179" s="32">
        <v>1</v>
      </c>
      <c r="H179" s="20"/>
      <c r="I179" s="233">
        <v>1</v>
      </c>
      <c r="J179" s="11"/>
      <c r="K179" s="11"/>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c r="AL179" s="233"/>
      <c r="AM179" s="233"/>
      <c r="AN179" s="40"/>
      <c r="AO179" s="40"/>
      <c r="AP179" s="40"/>
      <c r="AQ179" s="40"/>
      <c r="AR179" s="40"/>
      <c r="AS179" s="40"/>
    </row>
    <row r="180" spans="2:45" s="48" customFormat="1" hidden="1" x14ac:dyDescent="0.25">
      <c r="B180" s="93" t="s">
        <v>6</v>
      </c>
      <c r="E180" s="26"/>
      <c r="F180" s="22">
        <v>1</v>
      </c>
      <c r="G180" s="81"/>
      <c r="H180" s="22"/>
      <c r="I180" s="234"/>
      <c r="J180" s="38"/>
      <c r="K180" s="38"/>
      <c r="L180" s="234"/>
      <c r="M180" s="234"/>
      <c r="N180" s="234"/>
      <c r="O180" s="234"/>
      <c r="P180" s="234"/>
      <c r="Q180" s="234"/>
      <c r="R180" s="234"/>
      <c r="S180" s="234"/>
      <c r="T180" s="234"/>
      <c r="U180" s="234"/>
      <c r="V180" s="234"/>
      <c r="W180" s="234"/>
      <c r="X180" s="234"/>
      <c r="Y180" s="234"/>
      <c r="Z180" s="234"/>
      <c r="AA180" s="234"/>
      <c r="AB180" s="234"/>
      <c r="AC180" s="234"/>
      <c r="AD180" s="234"/>
      <c r="AE180" s="234"/>
      <c r="AF180" s="234"/>
      <c r="AG180" s="234"/>
      <c r="AH180" s="234"/>
      <c r="AI180" s="234"/>
      <c r="AJ180" s="234"/>
      <c r="AK180" s="234"/>
      <c r="AL180" s="234"/>
      <c r="AM180" s="234"/>
      <c r="AN180" s="50"/>
      <c r="AO180" s="50"/>
      <c r="AP180" s="50"/>
      <c r="AQ180" s="50"/>
      <c r="AR180" s="50"/>
      <c r="AS180" s="50"/>
    </row>
    <row r="181" spans="2:45" s="41" customFormat="1" hidden="1" x14ac:dyDescent="0.25">
      <c r="B181" s="42" t="s">
        <v>3</v>
      </c>
      <c r="E181" s="30"/>
      <c r="F181" s="8">
        <v>1</v>
      </c>
      <c r="G181" s="4"/>
      <c r="H181" s="8"/>
      <c r="I181" s="233"/>
      <c r="J181" s="11"/>
      <c r="K181" s="11"/>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233"/>
      <c r="AH181" s="233"/>
      <c r="AI181" s="233"/>
      <c r="AJ181" s="233"/>
      <c r="AK181" s="233"/>
      <c r="AL181" s="233"/>
      <c r="AM181" s="233"/>
      <c r="AN181" s="40"/>
      <c r="AO181" s="40"/>
      <c r="AP181" s="40"/>
      <c r="AQ181" s="40"/>
      <c r="AR181" s="40"/>
      <c r="AS181" s="40"/>
    </row>
    <row r="182" spans="2:45" s="48" customFormat="1" hidden="1" x14ac:dyDescent="0.25">
      <c r="B182" s="93" t="s">
        <v>23</v>
      </c>
      <c r="E182" s="111">
        <v>1</v>
      </c>
      <c r="F182" s="23"/>
      <c r="G182" s="112"/>
      <c r="H182" s="23"/>
      <c r="I182" s="234"/>
      <c r="J182" s="38"/>
      <c r="K182" s="38"/>
      <c r="L182" s="234"/>
      <c r="M182" s="234"/>
      <c r="N182" s="234"/>
      <c r="O182" s="234"/>
      <c r="P182" s="234"/>
      <c r="Q182" s="234"/>
      <c r="R182" s="234"/>
      <c r="S182" s="234"/>
      <c r="T182" s="234"/>
      <c r="U182" s="234"/>
      <c r="V182" s="234"/>
      <c r="W182" s="234"/>
      <c r="X182" s="234"/>
      <c r="Y182" s="234"/>
      <c r="Z182" s="234"/>
      <c r="AA182" s="234"/>
      <c r="AB182" s="234"/>
      <c r="AC182" s="234"/>
      <c r="AD182" s="234"/>
      <c r="AE182" s="234"/>
      <c r="AF182" s="234"/>
      <c r="AG182" s="234"/>
      <c r="AH182" s="234"/>
      <c r="AI182" s="234"/>
      <c r="AJ182" s="234"/>
      <c r="AK182" s="234"/>
      <c r="AL182" s="234"/>
      <c r="AM182" s="234"/>
      <c r="AN182" s="50"/>
      <c r="AO182" s="50"/>
      <c r="AP182" s="50"/>
      <c r="AQ182" s="50"/>
      <c r="AR182" s="50"/>
      <c r="AS182" s="50"/>
    </row>
    <row r="183" spans="2:45" s="41" customFormat="1" ht="6.6" hidden="1" customHeight="1" x14ac:dyDescent="0.25">
      <c r="E183" s="40"/>
      <c r="F183" s="233"/>
      <c r="G183" s="233"/>
      <c r="H183" s="233"/>
      <c r="I183" s="233"/>
      <c r="J183" s="470"/>
      <c r="K183" s="470"/>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c r="AL183" s="233"/>
      <c r="AM183" s="233"/>
      <c r="AN183" s="40"/>
      <c r="AO183" s="40"/>
      <c r="AP183" s="40"/>
      <c r="AQ183" s="40"/>
      <c r="AR183" s="40"/>
      <c r="AS183" s="40"/>
    </row>
    <row r="184" spans="2:45" s="48" customFormat="1" hidden="1" x14ac:dyDescent="0.25">
      <c r="B184" s="93" t="s">
        <v>27</v>
      </c>
      <c r="D184" s="128">
        <f>SUM(E184:G184)</f>
        <v>5</v>
      </c>
      <c r="E184" s="50">
        <f>SUM(E185:E189)</f>
        <v>1</v>
      </c>
      <c r="F184" s="50">
        <f>SUM(F185:F189)</f>
        <v>0</v>
      </c>
      <c r="G184" s="50">
        <f>SUM(G185:G189)</f>
        <v>4</v>
      </c>
      <c r="H184" s="50">
        <f>SUM(H185:H189)</f>
        <v>0</v>
      </c>
      <c r="I184" s="234"/>
      <c r="J184" s="471"/>
      <c r="K184" s="471"/>
      <c r="L184" s="234"/>
      <c r="M184" s="234"/>
      <c r="N184" s="234"/>
      <c r="O184" s="234"/>
      <c r="P184" s="234"/>
      <c r="Q184" s="234"/>
      <c r="R184" s="234"/>
      <c r="S184" s="234"/>
      <c r="T184" s="234"/>
      <c r="U184" s="234"/>
      <c r="V184" s="234"/>
      <c r="W184" s="234"/>
      <c r="X184" s="234"/>
      <c r="Y184" s="234"/>
      <c r="Z184" s="234"/>
      <c r="AA184" s="234"/>
      <c r="AB184" s="234"/>
      <c r="AC184" s="234"/>
      <c r="AD184" s="234"/>
      <c r="AE184" s="234"/>
      <c r="AF184" s="234"/>
      <c r="AG184" s="234"/>
      <c r="AH184" s="234"/>
      <c r="AI184" s="234"/>
      <c r="AJ184" s="234"/>
      <c r="AK184" s="234"/>
      <c r="AL184" s="234"/>
      <c r="AM184" s="234"/>
      <c r="AN184" s="50"/>
      <c r="AO184" s="50"/>
      <c r="AP184" s="50"/>
      <c r="AQ184" s="50"/>
      <c r="AR184" s="50"/>
      <c r="AS184" s="50"/>
    </row>
    <row r="185" spans="2:45" s="41" customFormat="1" hidden="1" x14ac:dyDescent="0.25">
      <c r="B185" s="41" t="s">
        <v>1</v>
      </c>
      <c r="E185" s="20"/>
      <c r="F185" s="29"/>
      <c r="G185" s="20">
        <v>1</v>
      </c>
      <c r="H185" s="20"/>
      <c r="I185" s="233"/>
      <c r="J185" s="233">
        <v>1</v>
      </c>
      <c r="K185" s="11"/>
      <c r="L185" s="233"/>
      <c r="M185" s="233"/>
      <c r="N185" s="233"/>
      <c r="O185" s="233"/>
      <c r="P185" s="233"/>
      <c r="Q185" s="233"/>
      <c r="R185" s="233"/>
      <c r="S185" s="233"/>
      <c r="T185" s="233"/>
      <c r="U185" s="233"/>
      <c r="V185" s="233"/>
      <c r="W185" s="233"/>
      <c r="X185" s="233"/>
      <c r="Y185" s="233"/>
      <c r="Z185" s="233"/>
      <c r="AA185" s="233"/>
      <c r="AB185" s="233"/>
      <c r="AC185" s="233"/>
      <c r="AD185" s="233"/>
      <c r="AE185" s="233"/>
      <c r="AF185" s="233"/>
      <c r="AG185" s="233"/>
      <c r="AH185" s="233"/>
      <c r="AI185" s="233"/>
      <c r="AJ185" s="233"/>
      <c r="AK185" s="233"/>
      <c r="AL185" s="233"/>
      <c r="AM185" s="233"/>
      <c r="AN185" s="40"/>
      <c r="AO185" s="40"/>
      <c r="AP185" s="40"/>
      <c r="AQ185" s="40"/>
      <c r="AR185" s="40"/>
      <c r="AS185" s="40"/>
    </row>
    <row r="186" spans="2:45" s="48" customFormat="1" hidden="1" x14ac:dyDescent="0.25">
      <c r="B186" s="48" t="s">
        <v>5</v>
      </c>
      <c r="E186" s="22">
        <v>1</v>
      </c>
      <c r="F186" s="26"/>
      <c r="G186" s="22"/>
      <c r="H186" s="22"/>
      <c r="I186" s="234"/>
      <c r="J186" s="234"/>
      <c r="K186" s="38"/>
      <c r="L186" s="234"/>
      <c r="M186" s="234"/>
      <c r="N186" s="234"/>
      <c r="O186" s="234"/>
      <c r="P186" s="234"/>
      <c r="Q186" s="234"/>
      <c r="R186" s="234"/>
      <c r="S186" s="234"/>
      <c r="T186" s="234"/>
      <c r="U186" s="234"/>
      <c r="V186" s="234"/>
      <c r="W186" s="234"/>
      <c r="X186" s="234"/>
      <c r="Y186" s="234"/>
      <c r="Z186" s="234"/>
      <c r="AA186" s="234"/>
      <c r="AB186" s="234"/>
      <c r="AC186" s="234"/>
      <c r="AD186" s="234"/>
      <c r="AE186" s="234"/>
      <c r="AF186" s="234"/>
      <c r="AG186" s="234"/>
      <c r="AH186" s="234"/>
      <c r="AI186" s="234"/>
      <c r="AJ186" s="234"/>
      <c r="AK186" s="234"/>
      <c r="AL186" s="234"/>
      <c r="AM186" s="234"/>
      <c r="AN186" s="50"/>
      <c r="AO186" s="50"/>
      <c r="AP186" s="50"/>
      <c r="AQ186" s="50"/>
      <c r="AR186" s="50"/>
      <c r="AS186" s="50"/>
    </row>
    <row r="187" spans="2:45" s="41" customFormat="1" hidden="1" x14ac:dyDescent="0.25">
      <c r="B187" s="41" t="s">
        <v>2</v>
      </c>
      <c r="E187" s="8"/>
      <c r="F187" s="30"/>
      <c r="G187" s="8">
        <v>1</v>
      </c>
      <c r="H187" s="8"/>
      <c r="I187" s="233"/>
      <c r="J187" s="233">
        <v>1</v>
      </c>
      <c r="K187" s="233">
        <v>1</v>
      </c>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v>1</v>
      </c>
      <c r="AK187" s="233"/>
      <c r="AL187" s="233"/>
      <c r="AM187" s="233"/>
      <c r="AN187" s="40"/>
      <c r="AO187" s="40"/>
      <c r="AP187" s="40"/>
      <c r="AQ187" s="40"/>
      <c r="AR187" s="40"/>
      <c r="AS187" s="40"/>
    </row>
    <row r="188" spans="2:45" s="48" customFormat="1" hidden="1" x14ac:dyDescent="0.25">
      <c r="B188" s="48" t="s">
        <v>24</v>
      </c>
      <c r="E188" s="22"/>
      <c r="F188" s="26"/>
      <c r="G188" s="22">
        <v>1</v>
      </c>
      <c r="H188" s="22"/>
      <c r="I188" s="234"/>
      <c r="J188" s="38"/>
      <c r="L188" s="234"/>
      <c r="M188" s="234">
        <v>1</v>
      </c>
      <c r="N188" s="234"/>
      <c r="O188" s="234"/>
      <c r="P188" s="234"/>
      <c r="Q188" s="234"/>
      <c r="R188" s="234"/>
      <c r="S188" s="234"/>
      <c r="T188" s="234"/>
      <c r="U188" s="234"/>
      <c r="V188" s="234"/>
      <c r="W188" s="234"/>
      <c r="X188" s="234"/>
      <c r="Y188" s="234"/>
      <c r="Z188" s="234"/>
      <c r="AA188" s="234"/>
      <c r="AB188" s="234"/>
      <c r="AC188" s="234"/>
      <c r="AD188" s="234"/>
      <c r="AE188" s="234"/>
      <c r="AF188" s="234"/>
      <c r="AG188" s="234"/>
      <c r="AH188" s="234"/>
      <c r="AI188" s="234"/>
      <c r="AJ188" s="234"/>
      <c r="AK188" s="234"/>
      <c r="AL188" s="234"/>
      <c r="AM188" s="234"/>
      <c r="AN188" s="50"/>
      <c r="AO188" s="50"/>
      <c r="AP188" s="50"/>
      <c r="AQ188" s="50"/>
      <c r="AR188" s="50"/>
      <c r="AS188" s="50"/>
    </row>
    <row r="189" spans="2:45" s="41" customFormat="1" hidden="1" x14ac:dyDescent="0.25">
      <c r="B189" s="41" t="s">
        <v>25</v>
      </c>
      <c r="E189" s="19"/>
      <c r="F189" s="31"/>
      <c r="G189" s="19">
        <v>1</v>
      </c>
      <c r="H189" s="19"/>
      <c r="I189" s="233"/>
      <c r="J189" s="11"/>
      <c r="K189" s="11"/>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233"/>
      <c r="AH189" s="233"/>
      <c r="AI189" s="233"/>
      <c r="AJ189" s="233"/>
      <c r="AK189" s="233">
        <v>1</v>
      </c>
      <c r="AL189" s="233"/>
      <c r="AM189" s="233"/>
      <c r="AN189" s="40"/>
      <c r="AO189" s="40"/>
      <c r="AP189" s="40"/>
      <c r="AQ189" s="40"/>
      <c r="AR189" s="40"/>
      <c r="AS189" s="40"/>
    </row>
    <row r="190" spans="2:45" s="48" customFormat="1" ht="12.6" hidden="1" customHeight="1" x14ac:dyDescent="0.25">
      <c r="E190" s="50"/>
      <c r="F190" s="234"/>
      <c r="G190" s="234"/>
      <c r="H190" s="234"/>
      <c r="I190" s="234"/>
      <c r="J190" s="471"/>
      <c r="K190" s="471"/>
      <c r="L190" s="234"/>
      <c r="M190" s="234"/>
      <c r="N190" s="234"/>
      <c r="O190" s="234"/>
      <c r="P190" s="234"/>
      <c r="Q190" s="234"/>
      <c r="R190" s="234"/>
      <c r="S190" s="234"/>
      <c r="T190" s="234"/>
      <c r="U190" s="234"/>
      <c r="V190" s="234"/>
      <c r="W190" s="234"/>
      <c r="X190" s="234"/>
      <c r="Y190" s="234"/>
      <c r="Z190" s="234"/>
      <c r="AA190" s="234"/>
      <c r="AB190" s="234"/>
      <c r="AC190" s="234"/>
      <c r="AD190" s="234"/>
      <c r="AE190" s="234"/>
      <c r="AF190" s="234"/>
      <c r="AG190" s="234"/>
      <c r="AH190" s="234"/>
      <c r="AI190" s="234"/>
      <c r="AJ190" s="234"/>
      <c r="AK190" s="234"/>
      <c r="AL190" s="234"/>
      <c r="AM190" s="234"/>
      <c r="AN190" s="50"/>
      <c r="AO190" s="50"/>
      <c r="AP190" s="50"/>
      <c r="AQ190" s="50"/>
      <c r="AR190" s="50"/>
      <c r="AS190" s="50"/>
    </row>
    <row r="191" spans="2:45" hidden="1" x14ac:dyDescent="0.25">
      <c r="B191" s="3" t="s">
        <v>283</v>
      </c>
      <c r="D191" s="27">
        <f>SUM(E191:H191)</f>
        <v>11</v>
      </c>
      <c r="E191" s="17">
        <f>SUM(E192:E202)</f>
        <v>1</v>
      </c>
      <c r="F191" s="17">
        <f t="shared" ref="F191" si="15">SUM(F192:F202)</f>
        <v>1</v>
      </c>
      <c r="G191" s="17">
        <f>SUM(G192:G202)</f>
        <v>9</v>
      </c>
      <c r="H191" s="17">
        <f>SUM(H192:H202)</f>
        <v>0</v>
      </c>
      <c r="J191" s="471"/>
      <c r="K191" s="471"/>
    </row>
    <row r="192" spans="2:45" s="41" customFormat="1" hidden="1" x14ac:dyDescent="0.25">
      <c r="B192" s="41" t="s">
        <v>33</v>
      </c>
      <c r="E192" s="20">
        <v>1</v>
      </c>
      <c r="F192" s="29"/>
      <c r="G192" s="20"/>
      <c r="H192" s="20"/>
      <c r="I192" s="233"/>
      <c r="J192" s="470"/>
      <c r="K192" s="470"/>
      <c r="L192" s="233"/>
      <c r="M192" s="233"/>
      <c r="N192" s="233"/>
      <c r="O192" s="233"/>
      <c r="P192" s="233"/>
      <c r="Q192" s="233"/>
      <c r="R192" s="233"/>
      <c r="S192" s="233"/>
      <c r="T192" s="233"/>
      <c r="U192" s="233"/>
      <c r="V192" s="233"/>
      <c r="W192" s="233"/>
      <c r="X192" s="233"/>
      <c r="Y192" s="233"/>
      <c r="Z192" s="233"/>
      <c r="AA192" s="233"/>
      <c r="AB192" s="233"/>
      <c r="AC192" s="233"/>
      <c r="AD192" s="233"/>
      <c r="AE192" s="233"/>
      <c r="AF192" s="233"/>
      <c r="AG192" s="233"/>
      <c r="AH192" s="233"/>
      <c r="AI192" s="233"/>
      <c r="AJ192" s="233"/>
      <c r="AK192" s="233"/>
      <c r="AL192" s="233"/>
      <c r="AM192" s="233"/>
      <c r="AN192" s="40"/>
      <c r="AO192" s="40"/>
      <c r="AP192" s="40"/>
      <c r="AQ192" s="40"/>
      <c r="AR192" s="40"/>
      <c r="AS192" s="40"/>
    </row>
    <row r="193" spans="2:45" s="48" customFormat="1" hidden="1" x14ac:dyDescent="0.25">
      <c r="B193" s="48" t="s">
        <v>34</v>
      </c>
      <c r="E193" s="22"/>
      <c r="F193" s="26"/>
      <c r="G193" s="22">
        <v>1</v>
      </c>
      <c r="H193" s="22"/>
      <c r="I193" s="234"/>
      <c r="J193" s="471"/>
      <c r="K193" s="471"/>
      <c r="L193" s="234"/>
      <c r="M193" s="234"/>
      <c r="N193" s="234"/>
      <c r="O193" s="234">
        <v>1</v>
      </c>
      <c r="P193" s="234"/>
      <c r="Q193" s="234"/>
      <c r="R193" s="234"/>
      <c r="S193" s="234"/>
      <c r="T193" s="234"/>
      <c r="U193" s="234"/>
      <c r="V193" s="234"/>
      <c r="W193" s="234"/>
      <c r="X193" s="234"/>
      <c r="Y193" s="234"/>
      <c r="Z193" s="234"/>
      <c r="AA193" s="234"/>
      <c r="AB193" s="234"/>
      <c r="AC193" s="234"/>
      <c r="AD193" s="234"/>
      <c r="AE193" s="234"/>
      <c r="AF193" s="234"/>
      <c r="AG193" s="234"/>
      <c r="AH193" s="234"/>
      <c r="AI193" s="234"/>
      <c r="AJ193" s="234">
        <v>1</v>
      </c>
      <c r="AK193" s="234"/>
      <c r="AL193" s="234"/>
      <c r="AM193" s="234"/>
      <c r="AN193" s="50"/>
      <c r="AO193" s="50"/>
      <c r="AP193" s="50"/>
      <c r="AQ193" s="50"/>
      <c r="AR193" s="50"/>
      <c r="AS193" s="50"/>
    </row>
    <row r="194" spans="2:45" s="41" customFormat="1" hidden="1" x14ac:dyDescent="0.25">
      <c r="B194" s="41" t="s">
        <v>35</v>
      </c>
      <c r="E194" s="8"/>
      <c r="F194" s="30"/>
      <c r="G194" s="8">
        <v>1</v>
      </c>
      <c r="H194" s="8"/>
      <c r="I194" s="233"/>
      <c r="J194" s="470"/>
      <c r="K194" s="470"/>
      <c r="L194" s="233"/>
      <c r="M194" s="233"/>
      <c r="N194" s="233"/>
      <c r="O194" s="233"/>
      <c r="P194" s="233"/>
      <c r="Q194" s="233"/>
      <c r="R194" s="233"/>
      <c r="S194" s="233"/>
      <c r="T194" s="233"/>
      <c r="U194" s="233"/>
      <c r="V194" s="233">
        <v>1</v>
      </c>
      <c r="W194" s="233">
        <v>1</v>
      </c>
      <c r="X194" s="233">
        <v>1</v>
      </c>
      <c r="Y194" s="233"/>
      <c r="Z194" s="233"/>
      <c r="AA194" s="233"/>
      <c r="AB194" s="233"/>
      <c r="AC194" s="233"/>
      <c r="AD194" s="233"/>
      <c r="AE194" s="233"/>
      <c r="AF194" s="233"/>
      <c r="AG194" s="233"/>
      <c r="AH194" s="233"/>
      <c r="AI194" s="233"/>
      <c r="AJ194" s="233"/>
      <c r="AK194" s="233"/>
      <c r="AL194" s="233"/>
      <c r="AM194" s="233"/>
      <c r="AN194" s="40"/>
      <c r="AO194" s="40"/>
      <c r="AP194" s="40"/>
      <c r="AQ194" s="40"/>
      <c r="AR194" s="40"/>
      <c r="AS194" s="40"/>
    </row>
    <row r="195" spans="2:45" s="48" customFormat="1" hidden="1" x14ac:dyDescent="0.25">
      <c r="B195" s="48" t="s">
        <v>36</v>
      </c>
      <c r="E195" s="22"/>
      <c r="F195" s="26"/>
      <c r="G195" s="22">
        <v>1</v>
      </c>
      <c r="H195" s="22"/>
      <c r="I195" s="234"/>
      <c r="J195" s="471"/>
      <c r="K195" s="471"/>
      <c r="L195" s="234"/>
      <c r="M195" s="234"/>
      <c r="N195" s="234"/>
      <c r="O195" s="234"/>
      <c r="P195" s="234"/>
      <c r="Q195" s="234"/>
      <c r="R195" s="234"/>
      <c r="S195" s="234"/>
      <c r="T195" s="234"/>
      <c r="U195" s="234"/>
      <c r="V195" s="234"/>
      <c r="W195" s="234">
        <v>1</v>
      </c>
      <c r="X195" s="234"/>
      <c r="Y195" s="234">
        <v>1</v>
      </c>
      <c r="Z195" s="234"/>
      <c r="AA195" s="234"/>
      <c r="AB195" s="234"/>
      <c r="AC195" s="234"/>
      <c r="AD195" s="234"/>
      <c r="AE195" s="234"/>
      <c r="AF195" s="234"/>
      <c r="AG195" s="234"/>
      <c r="AH195" s="234"/>
      <c r="AI195" s="234"/>
      <c r="AJ195" s="234"/>
      <c r="AK195" s="234"/>
      <c r="AL195" s="234"/>
      <c r="AM195" s="234"/>
      <c r="AN195" s="50"/>
      <c r="AO195" s="50"/>
      <c r="AP195" s="50"/>
      <c r="AQ195" s="50"/>
      <c r="AR195" s="50"/>
      <c r="AS195" s="50"/>
    </row>
    <row r="196" spans="2:45" s="41" customFormat="1" hidden="1" x14ac:dyDescent="0.25">
      <c r="B196" s="41" t="s">
        <v>37</v>
      </c>
      <c r="E196" s="8"/>
      <c r="F196" s="30"/>
      <c r="G196" s="8">
        <v>1</v>
      </c>
      <c r="H196" s="8"/>
      <c r="I196" s="233"/>
      <c r="J196" s="470"/>
      <c r="K196" s="470"/>
      <c r="L196" s="233"/>
      <c r="M196" s="233"/>
      <c r="N196" s="233"/>
      <c r="O196" s="233"/>
      <c r="P196" s="233"/>
      <c r="Q196" s="233"/>
      <c r="R196" s="233"/>
      <c r="S196" s="233"/>
      <c r="T196" s="233"/>
      <c r="U196" s="233"/>
      <c r="V196" s="233"/>
      <c r="W196" s="233"/>
      <c r="X196" s="233"/>
      <c r="Y196" s="233">
        <v>1</v>
      </c>
      <c r="Z196" s="233"/>
      <c r="AA196" s="233"/>
      <c r="AB196" s="233"/>
      <c r="AC196" s="233"/>
      <c r="AD196" s="233"/>
      <c r="AE196" s="233"/>
      <c r="AF196" s="233"/>
      <c r="AG196" s="233"/>
      <c r="AH196" s="233"/>
      <c r="AI196" s="233"/>
      <c r="AJ196" s="233"/>
      <c r="AK196" s="233"/>
      <c r="AL196" s="233"/>
      <c r="AM196" s="233"/>
      <c r="AN196" s="40"/>
      <c r="AO196" s="40"/>
      <c r="AP196" s="40"/>
      <c r="AQ196" s="40"/>
      <c r="AR196" s="40"/>
      <c r="AS196" s="40"/>
    </row>
    <row r="197" spans="2:45" s="48" customFormat="1" hidden="1" x14ac:dyDescent="0.25">
      <c r="B197" s="48" t="s">
        <v>38</v>
      </c>
      <c r="E197" s="22"/>
      <c r="F197" s="26"/>
      <c r="G197" s="22">
        <v>1</v>
      </c>
      <c r="H197" s="22"/>
      <c r="I197" s="234"/>
      <c r="J197" s="38"/>
      <c r="K197" s="234">
        <v>1</v>
      </c>
      <c r="L197" s="234"/>
      <c r="M197" s="234"/>
      <c r="N197" s="234"/>
      <c r="O197" s="234"/>
      <c r="P197" s="234"/>
      <c r="Q197" s="234"/>
      <c r="R197" s="234"/>
      <c r="S197" s="234"/>
      <c r="T197" s="234"/>
      <c r="U197" s="234"/>
      <c r="V197" s="234"/>
      <c r="W197" s="234"/>
      <c r="X197" s="234"/>
      <c r="Y197" s="234"/>
      <c r="Z197" s="234"/>
      <c r="AA197" s="234">
        <v>1</v>
      </c>
      <c r="AB197" s="234"/>
      <c r="AC197" s="234"/>
      <c r="AD197" s="234">
        <v>1</v>
      </c>
      <c r="AE197" s="234"/>
      <c r="AF197" s="234"/>
      <c r="AG197" s="234"/>
      <c r="AH197" s="234"/>
      <c r="AI197" s="234"/>
      <c r="AJ197" s="234">
        <v>1</v>
      </c>
      <c r="AK197" s="234"/>
      <c r="AL197" s="234"/>
      <c r="AM197" s="234"/>
      <c r="AN197" s="50"/>
      <c r="AO197" s="50"/>
      <c r="AP197" s="50"/>
      <c r="AQ197" s="50"/>
      <c r="AR197" s="50"/>
      <c r="AS197" s="50"/>
    </row>
    <row r="198" spans="2:45" s="41" customFormat="1" hidden="1" x14ac:dyDescent="0.25">
      <c r="B198" s="41" t="s">
        <v>39</v>
      </c>
      <c r="E198" s="8"/>
      <c r="F198" s="30"/>
      <c r="G198" s="8">
        <v>1</v>
      </c>
      <c r="H198" s="8"/>
      <c r="I198" s="233"/>
      <c r="J198" s="11"/>
      <c r="K198" s="233">
        <v>1</v>
      </c>
      <c r="L198" s="233"/>
      <c r="M198" s="233"/>
      <c r="N198" s="233"/>
      <c r="O198" s="233"/>
      <c r="P198" s="233"/>
      <c r="Q198" s="233"/>
      <c r="R198" s="233"/>
      <c r="S198" s="233"/>
      <c r="T198" s="233"/>
      <c r="U198" s="233"/>
      <c r="V198" s="233"/>
      <c r="W198" s="233"/>
      <c r="X198" s="233"/>
      <c r="Y198" s="233"/>
      <c r="Z198" s="233"/>
      <c r="AA198" s="233">
        <v>1</v>
      </c>
      <c r="AB198" s="233">
        <v>1</v>
      </c>
      <c r="AC198" s="233"/>
      <c r="AD198" s="233"/>
      <c r="AE198" s="233"/>
      <c r="AF198" s="233"/>
      <c r="AG198" s="233"/>
      <c r="AH198" s="233"/>
      <c r="AI198" s="233"/>
      <c r="AJ198" s="233">
        <v>1</v>
      </c>
      <c r="AK198" s="233"/>
      <c r="AL198" s="233"/>
      <c r="AM198" s="233"/>
      <c r="AN198" s="40"/>
      <c r="AO198" s="40"/>
      <c r="AP198" s="40"/>
      <c r="AQ198" s="40"/>
      <c r="AR198" s="40"/>
      <c r="AS198" s="40"/>
    </row>
    <row r="199" spans="2:45" s="48" customFormat="1" hidden="1" x14ac:dyDescent="0.25">
      <c r="B199" s="48" t="s">
        <v>40</v>
      </c>
      <c r="E199" s="22"/>
      <c r="F199" s="26"/>
      <c r="G199" s="22">
        <v>1</v>
      </c>
      <c r="H199" s="22"/>
      <c r="I199" s="234">
        <v>1</v>
      </c>
      <c r="J199" s="38"/>
      <c r="K199" s="234">
        <v>1</v>
      </c>
      <c r="L199" s="234"/>
      <c r="M199" s="234"/>
      <c r="N199" s="234"/>
      <c r="O199" s="234"/>
      <c r="P199" s="234"/>
      <c r="Q199" s="234"/>
      <c r="R199" s="234"/>
      <c r="S199" s="234"/>
      <c r="T199" s="234"/>
      <c r="U199" s="234"/>
      <c r="V199" s="234"/>
      <c r="W199" s="234"/>
      <c r="X199" s="234"/>
      <c r="Y199" s="234"/>
      <c r="Z199" s="234"/>
      <c r="AA199" s="234"/>
      <c r="AB199" s="234"/>
      <c r="AC199" s="234"/>
      <c r="AD199" s="234"/>
      <c r="AE199" s="234"/>
      <c r="AF199" s="234"/>
      <c r="AG199" s="234"/>
      <c r="AH199" s="234"/>
      <c r="AI199" s="234"/>
      <c r="AJ199" s="234"/>
      <c r="AK199" s="234"/>
      <c r="AL199" s="234">
        <v>1</v>
      </c>
      <c r="AM199" s="234"/>
      <c r="AN199" s="50"/>
      <c r="AO199" s="50"/>
      <c r="AP199" s="50"/>
      <c r="AQ199" s="50"/>
      <c r="AR199" s="50"/>
      <c r="AS199" s="50"/>
    </row>
    <row r="200" spans="2:45" s="41" customFormat="1" hidden="1" x14ac:dyDescent="0.25">
      <c r="B200" s="41" t="s">
        <v>41</v>
      </c>
      <c r="E200" s="8"/>
      <c r="F200" s="30"/>
      <c r="G200" s="8">
        <v>1</v>
      </c>
      <c r="H200" s="8"/>
      <c r="I200" s="233"/>
      <c r="J200" s="470"/>
      <c r="K200" s="470"/>
      <c r="L200" s="233"/>
      <c r="M200" s="233"/>
      <c r="N200" s="233"/>
      <c r="O200" s="233"/>
      <c r="P200" s="233"/>
      <c r="Q200" s="233"/>
      <c r="R200" s="233"/>
      <c r="S200" s="233"/>
      <c r="T200" s="233"/>
      <c r="U200" s="233"/>
      <c r="V200" s="233"/>
      <c r="W200" s="233"/>
      <c r="X200" s="233"/>
      <c r="Y200" s="233">
        <v>1</v>
      </c>
      <c r="Z200" s="233"/>
      <c r="AA200" s="233"/>
      <c r="AB200" s="233"/>
      <c r="AC200" s="233">
        <v>1</v>
      </c>
      <c r="AD200" s="233"/>
      <c r="AE200" s="233"/>
      <c r="AF200" s="233">
        <v>1</v>
      </c>
      <c r="AG200" s="233"/>
      <c r="AH200" s="233"/>
      <c r="AI200" s="233"/>
      <c r="AJ200" s="233"/>
      <c r="AK200" s="233"/>
      <c r="AL200" s="233"/>
      <c r="AM200" s="233"/>
      <c r="AN200" s="40"/>
      <c r="AO200" s="40"/>
      <c r="AP200" s="40"/>
      <c r="AQ200" s="40"/>
      <c r="AR200" s="40"/>
      <c r="AS200" s="40"/>
    </row>
    <row r="201" spans="2:45" s="48" customFormat="1" hidden="1" x14ac:dyDescent="0.25">
      <c r="B201" s="48" t="s">
        <v>42</v>
      </c>
      <c r="E201" s="22"/>
      <c r="F201" s="26">
        <v>1</v>
      </c>
      <c r="G201" s="22"/>
      <c r="H201" s="22"/>
      <c r="I201" s="234"/>
      <c r="J201" s="471"/>
      <c r="K201" s="471"/>
      <c r="L201" s="234"/>
      <c r="M201" s="234"/>
      <c r="N201" s="234"/>
      <c r="O201" s="234"/>
      <c r="P201" s="234"/>
      <c r="Q201" s="234"/>
      <c r="R201" s="234"/>
      <c r="S201" s="234"/>
      <c r="T201" s="234"/>
      <c r="U201" s="234"/>
      <c r="V201" s="234"/>
      <c r="W201" s="234"/>
      <c r="X201" s="234"/>
      <c r="Y201" s="234"/>
      <c r="Z201" s="234"/>
      <c r="AA201" s="234"/>
      <c r="AB201" s="234"/>
      <c r="AC201" s="234"/>
      <c r="AD201" s="234"/>
      <c r="AE201" s="234"/>
      <c r="AF201" s="234"/>
      <c r="AG201" s="234"/>
      <c r="AH201" s="234"/>
      <c r="AI201" s="234"/>
      <c r="AJ201" s="234"/>
      <c r="AK201" s="234"/>
      <c r="AL201" s="234"/>
      <c r="AM201" s="234"/>
      <c r="AN201" s="50"/>
      <c r="AO201" s="50"/>
      <c r="AP201" s="50"/>
      <c r="AQ201" s="50"/>
      <c r="AR201" s="50"/>
      <c r="AS201" s="50"/>
    </row>
    <row r="202" spans="2:45" s="41" customFormat="1" hidden="1" x14ac:dyDescent="0.25">
      <c r="B202" s="41" t="s">
        <v>88</v>
      </c>
      <c r="E202" s="19"/>
      <c r="F202" s="31"/>
      <c r="G202" s="19">
        <v>1</v>
      </c>
      <c r="H202" s="19"/>
      <c r="I202" s="233"/>
      <c r="J202" s="470"/>
      <c r="K202" s="470"/>
      <c r="L202" s="233"/>
      <c r="M202" s="233"/>
      <c r="N202" s="233"/>
      <c r="O202" s="233"/>
      <c r="P202" s="233"/>
      <c r="Q202" s="233"/>
      <c r="R202" s="233"/>
      <c r="S202" s="233"/>
      <c r="T202" s="233"/>
      <c r="U202" s="233"/>
      <c r="V202" s="233"/>
      <c r="W202" s="233"/>
      <c r="X202" s="233"/>
      <c r="Y202" s="233">
        <v>1</v>
      </c>
      <c r="Z202" s="233">
        <v>1</v>
      </c>
      <c r="AA202" s="233"/>
      <c r="AB202" s="233"/>
      <c r="AC202" s="233"/>
      <c r="AD202" s="233"/>
      <c r="AE202" s="233"/>
      <c r="AF202" s="233"/>
      <c r="AG202" s="233"/>
      <c r="AH202" s="233"/>
      <c r="AI202" s="233"/>
      <c r="AJ202" s="233"/>
      <c r="AK202" s="233"/>
      <c r="AL202" s="233"/>
      <c r="AM202" s="233"/>
      <c r="AN202" s="40"/>
      <c r="AO202" s="40"/>
      <c r="AP202" s="40"/>
      <c r="AQ202" s="40"/>
      <c r="AR202" s="40"/>
      <c r="AS202" s="40"/>
    </row>
    <row r="203" spans="2:45" s="48" customFormat="1" hidden="1" x14ac:dyDescent="0.25">
      <c r="B203" s="48" t="s">
        <v>7</v>
      </c>
      <c r="E203" s="50" t="s">
        <v>7</v>
      </c>
      <c r="F203" s="234"/>
      <c r="G203" s="234"/>
      <c r="H203" s="234"/>
      <c r="I203" s="234"/>
      <c r="J203" s="471"/>
      <c r="K203" s="471"/>
      <c r="L203" s="234"/>
      <c r="M203" s="234"/>
      <c r="N203" s="234"/>
      <c r="O203" s="234"/>
      <c r="P203" s="234"/>
      <c r="Q203" s="234"/>
      <c r="R203" s="234"/>
      <c r="S203" s="234"/>
      <c r="T203" s="234"/>
      <c r="U203" s="234"/>
      <c r="V203" s="234"/>
      <c r="W203" s="234"/>
      <c r="X203" s="234"/>
      <c r="Y203" s="234"/>
      <c r="Z203" s="234"/>
      <c r="AA203" s="234"/>
      <c r="AB203" s="234"/>
      <c r="AC203" s="234"/>
      <c r="AD203" s="234"/>
      <c r="AE203" s="234"/>
      <c r="AF203" s="234"/>
      <c r="AG203" s="234"/>
      <c r="AH203" s="234"/>
      <c r="AI203" s="234"/>
      <c r="AJ203" s="234"/>
      <c r="AK203" s="234"/>
      <c r="AL203" s="234"/>
      <c r="AM203" s="234"/>
      <c r="AN203" s="50"/>
      <c r="AO203" s="50"/>
      <c r="AP203" s="50"/>
      <c r="AQ203" s="50"/>
      <c r="AR203" s="50"/>
      <c r="AS203" s="50"/>
    </row>
    <row r="204" spans="2:45" hidden="1" x14ac:dyDescent="0.25">
      <c r="B204" s="3" t="s">
        <v>11</v>
      </c>
      <c r="D204" s="27">
        <f>SUM(E204:G204)</f>
        <v>9</v>
      </c>
      <c r="E204" s="17">
        <f>SUM(E205:E215)</f>
        <v>1</v>
      </c>
      <c r="F204" s="17">
        <f t="shared" ref="F204:H204" si="16">SUM(F205:F215)</f>
        <v>1</v>
      </c>
      <c r="G204" s="17">
        <f>SUM(G205:G215)</f>
        <v>7</v>
      </c>
      <c r="H204" s="17">
        <f t="shared" si="16"/>
        <v>0</v>
      </c>
      <c r="J204" s="471"/>
      <c r="K204" s="471"/>
    </row>
    <row r="205" spans="2:45" s="41" customFormat="1" hidden="1" x14ac:dyDescent="0.25">
      <c r="B205" s="41" t="s">
        <v>98</v>
      </c>
      <c r="E205" s="20"/>
      <c r="F205" s="29"/>
      <c r="G205" s="20">
        <v>1</v>
      </c>
      <c r="H205" s="20"/>
      <c r="I205" s="233">
        <v>1</v>
      </c>
      <c r="J205" s="470"/>
      <c r="K205" s="470"/>
      <c r="L205" s="233"/>
      <c r="M205" s="233"/>
      <c r="N205" s="233"/>
      <c r="O205" s="233"/>
      <c r="P205" s="233"/>
      <c r="Q205" s="233"/>
      <c r="R205" s="233"/>
      <c r="S205" s="233"/>
      <c r="T205" s="233"/>
      <c r="U205" s="233"/>
      <c r="V205" s="233"/>
      <c r="W205" s="233"/>
      <c r="X205" s="233"/>
      <c r="Y205" s="233"/>
      <c r="Z205" s="233"/>
      <c r="AA205" s="233"/>
      <c r="AB205" s="233"/>
      <c r="AC205" s="233"/>
      <c r="AD205" s="233"/>
      <c r="AE205" s="233"/>
      <c r="AF205" s="233"/>
      <c r="AG205" s="233"/>
      <c r="AH205" s="233"/>
      <c r="AI205" s="233"/>
      <c r="AJ205" s="233"/>
      <c r="AK205" s="233"/>
      <c r="AL205" s="233"/>
      <c r="AM205" s="233"/>
      <c r="AN205" s="40"/>
      <c r="AO205" s="40"/>
      <c r="AP205" s="40"/>
      <c r="AQ205" s="40"/>
      <c r="AR205" s="40"/>
      <c r="AS205" s="40"/>
    </row>
    <row r="206" spans="2:45" s="48" customFormat="1" hidden="1" x14ac:dyDescent="0.25">
      <c r="B206" s="48" t="s">
        <v>43</v>
      </c>
      <c r="E206" s="22"/>
      <c r="F206" s="26"/>
      <c r="G206" s="22"/>
      <c r="H206" s="22"/>
      <c r="I206" s="234"/>
      <c r="J206" s="471"/>
      <c r="K206" s="471"/>
      <c r="L206" s="234"/>
      <c r="M206" s="234"/>
      <c r="N206" s="234"/>
      <c r="O206" s="234"/>
      <c r="P206" s="234"/>
      <c r="Q206" s="234"/>
      <c r="R206" s="234"/>
      <c r="S206" s="234"/>
      <c r="T206" s="234"/>
      <c r="U206" s="234"/>
      <c r="V206" s="234"/>
      <c r="W206" s="234"/>
      <c r="X206" s="234"/>
      <c r="Y206" s="234"/>
      <c r="Z206" s="234">
        <v>1</v>
      </c>
      <c r="AA206" s="234"/>
      <c r="AB206" s="234"/>
      <c r="AC206" s="234"/>
      <c r="AD206" s="234"/>
      <c r="AE206" s="234"/>
      <c r="AF206" s="234"/>
      <c r="AG206" s="234"/>
      <c r="AH206" s="234"/>
      <c r="AI206" s="234"/>
      <c r="AJ206" s="234">
        <v>1</v>
      </c>
      <c r="AK206" s="234"/>
      <c r="AL206" s="234"/>
      <c r="AM206" s="234"/>
      <c r="AN206" s="50"/>
      <c r="AO206" s="50"/>
      <c r="AP206" s="50"/>
      <c r="AQ206" s="50"/>
      <c r="AR206" s="50"/>
      <c r="AS206" s="50"/>
    </row>
    <row r="207" spans="2:45" s="41" customFormat="1" hidden="1" x14ac:dyDescent="0.25">
      <c r="B207" s="41" t="s">
        <v>44</v>
      </c>
      <c r="E207" s="8">
        <v>1</v>
      </c>
      <c r="F207" s="30"/>
      <c r="G207" s="8"/>
      <c r="H207" s="8"/>
      <c r="I207" s="233"/>
      <c r="J207" s="470"/>
      <c r="K207" s="470"/>
      <c r="L207" s="233"/>
      <c r="M207" s="233"/>
      <c r="N207" s="233"/>
      <c r="O207" s="233"/>
      <c r="P207" s="233"/>
      <c r="Q207" s="233"/>
      <c r="R207" s="233"/>
      <c r="S207" s="233"/>
      <c r="T207" s="233"/>
      <c r="U207" s="233"/>
      <c r="V207" s="233"/>
      <c r="W207" s="233"/>
      <c r="X207" s="233"/>
      <c r="Y207" s="233"/>
      <c r="Z207" s="233"/>
      <c r="AA207" s="233"/>
      <c r="AB207" s="233"/>
      <c r="AC207" s="233"/>
      <c r="AD207" s="233"/>
      <c r="AE207" s="233"/>
      <c r="AF207" s="233"/>
      <c r="AG207" s="233"/>
      <c r="AH207" s="233"/>
      <c r="AI207" s="233"/>
      <c r="AJ207" s="233"/>
      <c r="AK207" s="233"/>
      <c r="AL207" s="233"/>
      <c r="AM207" s="233"/>
      <c r="AN207" s="40"/>
      <c r="AO207" s="40"/>
      <c r="AP207" s="40"/>
      <c r="AQ207" s="40"/>
      <c r="AR207" s="40"/>
      <c r="AS207" s="40"/>
    </row>
    <row r="208" spans="2:45" s="48" customFormat="1" hidden="1" x14ac:dyDescent="0.25">
      <c r="B208" s="48" t="s">
        <v>45</v>
      </c>
      <c r="E208" s="22"/>
      <c r="F208" s="26">
        <v>1</v>
      </c>
      <c r="G208" s="22"/>
      <c r="H208" s="22"/>
      <c r="I208" s="234"/>
      <c r="J208" s="471"/>
      <c r="K208" s="471"/>
      <c r="L208" s="234"/>
      <c r="M208" s="234"/>
      <c r="N208" s="234"/>
      <c r="O208" s="234"/>
      <c r="P208" s="234"/>
      <c r="Q208" s="234"/>
      <c r="R208" s="234"/>
      <c r="S208" s="234"/>
      <c r="T208" s="234"/>
      <c r="U208" s="234"/>
      <c r="V208" s="234"/>
      <c r="W208" s="234"/>
      <c r="X208" s="234"/>
      <c r="Y208" s="234"/>
      <c r="Z208" s="234"/>
      <c r="AA208" s="234"/>
      <c r="AB208" s="234"/>
      <c r="AC208" s="234"/>
      <c r="AD208" s="234"/>
      <c r="AE208" s="234"/>
      <c r="AF208" s="234"/>
      <c r="AG208" s="234"/>
      <c r="AH208" s="234"/>
      <c r="AI208" s="234"/>
      <c r="AJ208" s="234"/>
      <c r="AK208" s="234"/>
      <c r="AL208" s="234"/>
      <c r="AM208" s="234"/>
      <c r="AN208" s="50"/>
      <c r="AO208" s="50"/>
      <c r="AP208" s="50"/>
      <c r="AQ208" s="50"/>
      <c r="AR208" s="50"/>
      <c r="AS208" s="50"/>
    </row>
    <row r="209" spans="2:45" s="41" customFormat="1" hidden="1" x14ac:dyDescent="0.25">
      <c r="B209" s="41" t="s">
        <v>46</v>
      </c>
      <c r="E209" s="8"/>
      <c r="F209" s="30"/>
      <c r="G209" s="8">
        <v>1</v>
      </c>
      <c r="H209" s="8"/>
      <c r="I209" s="233"/>
      <c r="J209" s="470"/>
      <c r="K209" s="470"/>
      <c r="L209" s="233"/>
      <c r="M209" s="233">
        <v>1</v>
      </c>
      <c r="N209" s="233"/>
      <c r="O209" s="233"/>
      <c r="P209" s="233"/>
      <c r="Q209" s="233"/>
      <c r="R209" s="233"/>
      <c r="S209" s="233"/>
      <c r="T209" s="233"/>
      <c r="U209" s="233"/>
      <c r="V209" s="233"/>
      <c r="W209" s="233"/>
      <c r="X209" s="233"/>
      <c r="Y209" s="233"/>
      <c r="Z209" s="233"/>
      <c r="AA209" s="233">
        <v>1</v>
      </c>
      <c r="AB209" s="233">
        <v>1</v>
      </c>
      <c r="AC209" s="233"/>
      <c r="AD209" s="233"/>
      <c r="AE209" s="233"/>
      <c r="AF209" s="233"/>
      <c r="AG209" s="233"/>
      <c r="AH209" s="233"/>
      <c r="AI209" s="233"/>
      <c r="AJ209" s="233"/>
      <c r="AK209" s="233"/>
      <c r="AL209" s="233"/>
      <c r="AM209" s="233"/>
      <c r="AN209" s="40"/>
      <c r="AO209" s="40"/>
      <c r="AP209" s="40"/>
      <c r="AQ209" s="40"/>
      <c r="AR209" s="40"/>
      <c r="AS209" s="40"/>
    </row>
    <row r="210" spans="2:45" s="48" customFormat="1" hidden="1" x14ac:dyDescent="0.25">
      <c r="B210" s="48" t="s">
        <v>47</v>
      </c>
      <c r="E210" s="22"/>
      <c r="F210" s="26"/>
      <c r="G210" s="22"/>
      <c r="H210" s="22"/>
      <c r="I210" s="234">
        <v>1</v>
      </c>
      <c r="J210" s="38"/>
      <c r="K210" s="107">
        <v>1</v>
      </c>
      <c r="L210" s="234"/>
      <c r="M210" s="234"/>
      <c r="N210" s="234"/>
      <c r="O210" s="234"/>
      <c r="P210" s="234"/>
      <c r="Q210" s="234"/>
      <c r="R210" s="234"/>
      <c r="S210" s="234"/>
      <c r="T210" s="234"/>
      <c r="U210" s="234"/>
      <c r="V210" s="234"/>
      <c r="W210" s="234"/>
      <c r="X210" s="234"/>
      <c r="Y210" s="234"/>
      <c r="Z210" s="234"/>
      <c r="AA210" s="234"/>
      <c r="AB210" s="234"/>
      <c r="AC210" s="234"/>
      <c r="AD210" s="234"/>
      <c r="AE210" s="234"/>
      <c r="AF210" s="234"/>
      <c r="AG210" s="234"/>
      <c r="AH210" s="234"/>
      <c r="AI210" s="234"/>
      <c r="AJ210" s="234">
        <v>1</v>
      </c>
      <c r="AK210" s="234"/>
      <c r="AL210" s="234">
        <v>1</v>
      </c>
      <c r="AM210" s="234"/>
      <c r="AN210" s="50"/>
      <c r="AO210" s="50"/>
      <c r="AP210" s="50"/>
      <c r="AQ210" s="50"/>
      <c r="AR210" s="50"/>
      <c r="AS210" s="50"/>
    </row>
    <row r="211" spans="2:45" s="41" customFormat="1" hidden="1" x14ac:dyDescent="0.25">
      <c r="B211" s="41" t="s">
        <v>48</v>
      </c>
      <c r="E211" s="8"/>
      <c r="F211" s="30"/>
      <c r="G211" s="8">
        <v>1</v>
      </c>
      <c r="H211" s="8"/>
      <c r="I211" s="233"/>
      <c r="J211" s="11"/>
      <c r="K211" s="11"/>
      <c r="L211" s="233"/>
      <c r="M211" s="101"/>
      <c r="N211" s="101"/>
      <c r="O211" s="101"/>
      <c r="P211" s="101"/>
      <c r="Q211" s="101"/>
      <c r="R211" s="101"/>
      <c r="S211" s="101"/>
      <c r="T211" s="101"/>
      <c r="U211" s="101"/>
      <c r="V211" s="233">
        <v>1</v>
      </c>
      <c r="W211" s="233"/>
      <c r="X211" s="233"/>
      <c r="Y211" s="233">
        <v>1</v>
      </c>
      <c r="Z211" s="233"/>
      <c r="AA211" s="233"/>
      <c r="AB211" s="233"/>
      <c r="AC211" s="233"/>
      <c r="AD211" s="233"/>
      <c r="AE211" s="233"/>
      <c r="AF211" s="233"/>
      <c r="AG211" s="233"/>
      <c r="AH211" s="233"/>
      <c r="AI211" s="233"/>
      <c r="AJ211" s="233"/>
      <c r="AK211" s="233"/>
      <c r="AL211" s="233"/>
      <c r="AM211" s="233"/>
      <c r="AN211" s="40"/>
      <c r="AO211" s="40"/>
      <c r="AP211" s="40"/>
      <c r="AQ211" s="40"/>
      <c r="AR211" s="40"/>
      <c r="AS211" s="40"/>
    </row>
    <row r="212" spans="2:45" s="48" customFormat="1" hidden="1" x14ac:dyDescent="0.25">
      <c r="B212" s="48" t="s">
        <v>49</v>
      </c>
      <c r="E212" s="22"/>
      <c r="F212" s="26"/>
      <c r="G212" s="22">
        <v>1</v>
      </c>
      <c r="H212" s="22"/>
      <c r="I212" s="234"/>
      <c r="J212" s="38"/>
      <c r="K212" s="43">
        <v>1</v>
      </c>
      <c r="L212" s="234">
        <v>1</v>
      </c>
      <c r="M212" s="234"/>
      <c r="N212" s="234"/>
      <c r="O212" s="234"/>
      <c r="P212" s="234"/>
      <c r="Q212" s="234"/>
      <c r="R212" s="234"/>
      <c r="S212" s="234"/>
      <c r="T212" s="234"/>
      <c r="U212" s="234"/>
      <c r="V212" s="234">
        <v>1</v>
      </c>
      <c r="W212" s="234"/>
      <c r="X212" s="234"/>
      <c r="Y212" s="234"/>
      <c r="Z212" s="234"/>
      <c r="AA212" s="234">
        <v>1</v>
      </c>
      <c r="AB212" s="234"/>
      <c r="AC212" s="234"/>
      <c r="AD212" s="234"/>
      <c r="AE212" s="234"/>
      <c r="AF212" s="234"/>
      <c r="AG212" s="234"/>
      <c r="AH212" s="234">
        <v>1</v>
      </c>
      <c r="AI212" s="234"/>
      <c r="AJ212" s="234">
        <v>1</v>
      </c>
      <c r="AK212" s="234"/>
      <c r="AL212" s="234"/>
      <c r="AM212" s="234"/>
      <c r="AN212" s="50"/>
      <c r="AO212" s="50"/>
      <c r="AP212" s="50"/>
      <c r="AQ212" s="50">
        <v>1</v>
      </c>
      <c r="AR212" s="50">
        <v>1</v>
      </c>
      <c r="AS212" s="50"/>
    </row>
    <row r="213" spans="2:45" s="41" customFormat="1" hidden="1" x14ac:dyDescent="0.25">
      <c r="B213" s="41" t="s">
        <v>50</v>
      </c>
      <c r="E213" s="8"/>
      <c r="F213" s="30"/>
      <c r="G213" s="8">
        <v>1</v>
      </c>
      <c r="H213" s="8"/>
      <c r="I213" s="233"/>
      <c r="J213" s="233"/>
      <c r="L213" s="233"/>
      <c r="M213" s="233"/>
      <c r="N213" s="233"/>
      <c r="O213" s="233"/>
      <c r="P213" s="233"/>
      <c r="Q213" s="233"/>
      <c r="R213" s="233"/>
      <c r="S213" s="233"/>
      <c r="T213" s="233"/>
      <c r="U213" s="233"/>
      <c r="V213" s="233">
        <v>1</v>
      </c>
      <c r="W213" s="233"/>
      <c r="X213" s="233"/>
      <c r="Y213" s="233"/>
      <c r="Z213" s="233"/>
      <c r="AA213" s="233">
        <v>1</v>
      </c>
      <c r="AB213" s="233"/>
      <c r="AC213" s="233"/>
      <c r="AD213" s="233"/>
      <c r="AE213" s="233"/>
      <c r="AF213" s="233"/>
      <c r="AG213" s="233"/>
      <c r="AH213" s="233"/>
      <c r="AI213" s="233"/>
      <c r="AJ213" s="233"/>
      <c r="AK213" s="233"/>
      <c r="AL213" s="233"/>
      <c r="AM213" s="233"/>
      <c r="AN213" s="40"/>
      <c r="AO213" s="40"/>
      <c r="AP213" s="40"/>
      <c r="AQ213" s="40"/>
      <c r="AR213" s="40"/>
      <c r="AS213" s="40"/>
    </row>
    <row r="214" spans="2:45" s="48" customFormat="1" hidden="1" x14ac:dyDescent="0.25">
      <c r="B214" s="48" t="s">
        <v>51</v>
      </c>
      <c r="E214" s="22"/>
      <c r="F214" s="26"/>
      <c r="G214" s="22">
        <v>1</v>
      </c>
      <c r="H214" s="22"/>
      <c r="I214" s="234"/>
      <c r="J214" s="38"/>
      <c r="K214" s="234">
        <v>1</v>
      </c>
      <c r="L214" s="234"/>
      <c r="M214" s="234"/>
      <c r="N214" s="234"/>
      <c r="O214" s="234"/>
      <c r="P214" s="234"/>
      <c r="Q214" s="234"/>
      <c r="R214" s="234"/>
      <c r="S214" s="234"/>
      <c r="T214" s="234"/>
      <c r="U214" s="234"/>
      <c r="V214" s="234"/>
      <c r="W214" s="234"/>
      <c r="X214" s="234"/>
      <c r="Y214" s="234"/>
      <c r="Z214" s="234"/>
      <c r="AA214" s="234"/>
      <c r="AB214" s="234">
        <v>1</v>
      </c>
      <c r="AC214" s="234"/>
      <c r="AD214" s="234"/>
      <c r="AE214" s="234"/>
      <c r="AF214" s="234"/>
      <c r="AG214" s="234"/>
      <c r="AH214" s="234"/>
      <c r="AI214" s="234"/>
      <c r="AJ214" s="234"/>
      <c r="AK214" s="234"/>
      <c r="AL214" s="234"/>
      <c r="AM214" s="234"/>
      <c r="AN214" s="50"/>
      <c r="AO214" s="50"/>
      <c r="AP214" s="50"/>
      <c r="AQ214" s="50"/>
      <c r="AR214" s="50">
        <v>1</v>
      </c>
      <c r="AS214" s="50">
        <v>1</v>
      </c>
    </row>
    <row r="215" spans="2:45" s="41" customFormat="1" hidden="1" x14ac:dyDescent="0.25">
      <c r="B215" s="41" t="s">
        <v>52</v>
      </c>
      <c r="E215" s="19"/>
      <c r="F215" s="31"/>
      <c r="G215" s="19">
        <v>1</v>
      </c>
      <c r="H215" s="19"/>
      <c r="I215" s="233"/>
      <c r="J215" s="11"/>
      <c r="K215" s="11"/>
      <c r="L215" s="233"/>
      <c r="M215" s="233"/>
      <c r="N215" s="233"/>
      <c r="O215" s="233"/>
      <c r="P215" s="233"/>
      <c r="Q215" s="233"/>
      <c r="R215" s="233"/>
      <c r="S215" s="233"/>
      <c r="T215" s="233"/>
      <c r="U215" s="233"/>
      <c r="V215" s="233"/>
      <c r="W215" s="233"/>
      <c r="X215" s="233"/>
      <c r="Y215" s="233">
        <v>1</v>
      </c>
      <c r="Z215" s="233"/>
      <c r="AA215" s="233"/>
      <c r="AB215" s="233"/>
      <c r="AC215" s="233"/>
      <c r="AD215" s="233"/>
      <c r="AE215" s="233"/>
      <c r="AF215" s="233"/>
      <c r="AG215" s="233"/>
      <c r="AH215" s="233"/>
      <c r="AI215" s="233"/>
      <c r="AJ215" s="233">
        <v>1</v>
      </c>
      <c r="AK215" s="233"/>
      <c r="AL215" s="233"/>
      <c r="AM215" s="233"/>
      <c r="AN215" s="40"/>
      <c r="AO215" s="40"/>
      <c r="AP215" s="40"/>
      <c r="AQ215" s="40"/>
      <c r="AR215" s="40"/>
      <c r="AS215" s="40"/>
    </row>
    <row r="216" spans="2:45" s="48" customFormat="1" hidden="1" x14ac:dyDescent="0.25">
      <c r="B216" s="93" t="s">
        <v>10</v>
      </c>
      <c r="D216" s="128">
        <v>6</v>
      </c>
      <c r="E216" s="50">
        <f>SUM(E217:E222)</f>
        <v>1</v>
      </c>
      <c r="F216" s="50">
        <f t="shared" ref="F216:H216" si="17">SUM(F217:F222)</f>
        <v>0</v>
      </c>
      <c r="G216" s="50">
        <f>SUM(G217:G222)</f>
        <v>6</v>
      </c>
      <c r="H216" s="50">
        <f t="shared" si="17"/>
        <v>0</v>
      </c>
      <c r="I216" s="234"/>
      <c r="J216" s="471"/>
      <c r="K216" s="471"/>
      <c r="L216" s="234"/>
      <c r="M216" s="234"/>
      <c r="N216" s="234"/>
      <c r="O216" s="234"/>
      <c r="P216" s="234"/>
      <c r="Q216" s="234"/>
      <c r="R216" s="234"/>
      <c r="S216" s="234"/>
      <c r="T216" s="234"/>
      <c r="U216" s="234"/>
      <c r="V216" s="234"/>
      <c r="W216" s="234"/>
      <c r="X216" s="234"/>
      <c r="Y216" s="234"/>
      <c r="Z216" s="234"/>
      <c r="AA216" s="234"/>
      <c r="AB216" s="234"/>
      <c r="AC216" s="234"/>
      <c r="AD216" s="234"/>
      <c r="AE216" s="234"/>
      <c r="AF216" s="234"/>
      <c r="AG216" s="234"/>
      <c r="AH216" s="234"/>
      <c r="AI216" s="234"/>
      <c r="AJ216" s="234"/>
      <c r="AK216" s="234"/>
      <c r="AL216" s="234"/>
      <c r="AM216" s="234"/>
      <c r="AN216" s="50"/>
      <c r="AO216" s="50"/>
      <c r="AP216" s="50"/>
      <c r="AQ216" s="50"/>
      <c r="AR216" s="50"/>
      <c r="AS216" s="50"/>
    </row>
    <row r="217" spans="2:45" s="41" customFormat="1" hidden="1" x14ac:dyDescent="0.25">
      <c r="B217" s="41" t="s">
        <v>53</v>
      </c>
      <c r="E217" s="20"/>
      <c r="F217" s="29"/>
      <c r="G217" s="20">
        <v>1</v>
      </c>
      <c r="H217" s="20"/>
      <c r="I217" s="233"/>
      <c r="J217" s="11"/>
      <c r="K217" s="233">
        <v>1</v>
      </c>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233"/>
      <c r="AH217" s="233">
        <v>1</v>
      </c>
      <c r="AI217" s="233"/>
      <c r="AJ217" s="233"/>
      <c r="AK217" s="233"/>
      <c r="AL217" s="233"/>
      <c r="AM217" s="233"/>
      <c r="AN217" s="40"/>
      <c r="AO217" s="40"/>
      <c r="AP217" s="40"/>
      <c r="AQ217" s="40"/>
      <c r="AR217" s="40"/>
      <c r="AS217" s="40"/>
    </row>
    <row r="218" spans="2:45" s="48" customFormat="1" hidden="1" x14ac:dyDescent="0.25">
      <c r="B218" s="48" t="s">
        <v>54</v>
      </c>
      <c r="E218" s="22"/>
      <c r="F218" s="26"/>
      <c r="G218" s="22">
        <v>1</v>
      </c>
      <c r="H218" s="22"/>
      <c r="I218" s="234"/>
      <c r="J218" s="38"/>
      <c r="K218" s="234">
        <v>1</v>
      </c>
      <c r="L218" s="234"/>
      <c r="M218" s="43"/>
      <c r="N218" s="43"/>
      <c r="O218" s="43"/>
      <c r="P218" s="43"/>
      <c r="Q218" s="43"/>
      <c r="R218" s="43"/>
      <c r="S218" s="43"/>
      <c r="T218" s="43"/>
      <c r="U218" s="43"/>
      <c r="V218" s="234"/>
      <c r="W218" s="234"/>
      <c r="X218" s="234"/>
      <c r="Y218" s="234"/>
      <c r="Z218" s="234"/>
      <c r="AA218" s="234"/>
      <c r="AB218" s="234"/>
      <c r="AC218" s="234"/>
      <c r="AD218" s="234"/>
      <c r="AE218" s="234"/>
      <c r="AF218" s="234"/>
      <c r="AG218" s="234"/>
      <c r="AH218" s="234"/>
      <c r="AI218" s="234">
        <v>1</v>
      </c>
      <c r="AJ218" s="234"/>
      <c r="AK218" s="234"/>
      <c r="AL218" s="234"/>
      <c r="AM218" s="234"/>
      <c r="AN218" s="50"/>
      <c r="AO218" s="50"/>
      <c r="AP218" s="50"/>
      <c r="AQ218" s="50"/>
      <c r="AR218" s="50"/>
      <c r="AS218" s="50"/>
    </row>
    <row r="219" spans="2:45" s="41" customFormat="1" hidden="1" x14ac:dyDescent="0.25">
      <c r="B219" s="41" t="s">
        <v>55</v>
      </c>
      <c r="E219" s="8">
        <v>1</v>
      </c>
      <c r="F219" s="30"/>
      <c r="G219" s="8">
        <v>1</v>
      </c>
      <c r="H219" s="8"/>
      <c r="I219" s="233"/>
      <c r="J219" s="11"/>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233"/>
      <c r="AH219" s="233"/>
      <c r="AI219" s="233"/>
      <c r="AJ219" s="233"/>
      <c r="AK219" s="233"/>
      <c r="AL219" s="233"/>
      <c r="AM219" s="233"/>
      <c r="AN219" s="40"/>
      <c r="AO219" s="40"/>
      <c r="AP219" s="40"/>
      <c r="AQ219" s="40"/>
      <c r="AR219" s="40"/>
      <c r="AS219" s="40"/>
    </row>
    <row r="220" spans="2:45" s="48" customFormat="1" hidden="1" x14ac:dyDescent="0.25">
      <c r="B220" s="48" t="s">
        <v>56</v>
      </c>
      <c r="E220" s="22"/>
      <c r="F220" s="26"/>
      <c r="G220" s="22">
        <v>1</v>
      </c>
      <c r="H220" s="22"/>
      <c r="I220" s="234"/>
      <c r="J220" s="38"/>
      <c r="K220" s="234">
        <v>1</v>
      </c>
      <c r="L220" s="234">
        <v>1</v>
      </c>
      <c r="M220" s="234"/>
      <c r="N220" s="234"/>
      <c r="O220" s="234"/>
      <c r="P220" s="234"/>
      <c r="Q220" s="234"/>
      <c r="R220" s="234"/>
      <c r="S220" s="234"/>
      <c r="T220" s="234"/>
      <c r="U220" s="234"/>
      <c r="V220" s="234"/>
      <c r="W220" s="234"/>
      <c r="X220" s="234"/>
      <c r="Y220" s="234">
        <v>1</v>
      </c>
      <c r="Z220" s="234"/>
      <c r="AA220" s="234"/>
      <c r="AB220" s="234"/>
      <c r="AC220" s="234"/>
      <c r="AD220" s="234"/>
      <c r="AE220" s="234"/>
      <c r="AF220" s="234"/>
      <c r="AG220" s="234"/>
      <c r="AH220" s="234"/>
      <c r="AI220" s="234"/>
      <c r="AJ220" s="234"/>
      <c r="AK220" s="234"/>
      <c r="AL220" s="234"/>
      <c r="AM220" s="234"/>
      <c r="AN220" s="50"/>
      <c r="AO220" s="50"/>
      <c r="AP220" s="50"/>
      <c r="AQ220" s="50"/>
      <c r="AR220" s="50"/>
      <c r="AS220" s="50"/>
    </row>
    <row r="221" spans="2:45" s="41" customFormat="1" hidden="1" x14ac:dyDescent="0.25">
      <c r="B221" s="41" t="s">
        <v>57</v>
      </c>
      <c r="E221" s="8"/>
      <c r="F221" s="30"/>
      <c r="G221" s="8">
        <v>1</v>
      </c>
      <c r="H221" s="8"/>
      <c r="I221" s="233"/>
      <c r="J221" s="11"/>
      <c r="K221" s="233"/>
      <c r="L221" s="233">
        <v>1</v>
      </c>
      <c r="M221" s="233"/>
      <c r="N221" s="233"/>
      <c r="O221" s="233"/>
      <c r="P221" s="233"/>
      <c r="Q221" s="233"/>
      <c r="R221" s="233"/>
      <c r="S221" s="233"/>
      <c r="T221" s="233"/>
      <c r="U221" s="233"/>
      <c r="V221" s="233"/>
      <c r="W221" s="233">
        <v>1</v>
      </c>
      <c r="X221" s="233"/>
      <c r="Y221" s="233"/>
      <c r="Z221" s="233"/>
      <c r="AA221" s="233"/>
      <c r="AB221" s="233"/>
      <c r="AC221" s="233"/>
      <c r="AD221" s="233">
        <v>1</v>
      </c>
      <c r="AE221" s="233"/>
      <c r="AF221" s="233"/>
      <c r="AG221" s="233"/>
      <c r="AH221" s="233"/>
      <c r="AI221" s="233"/>
      <c r="AJ221" s="233"/>
      <c r="AK221" s="233"/>
      <c r="AL221" s="233"/>
      <c r="AM221" s="233"/>
      <c r="AN221" s="40"/>
      <c r="AO221" s="40"/>
      <c r="AP221" s="40"/>
      <c r="AQ221" s="40"/>
      <c r="AR221" s="40"/>
      <c r="AS221" s="40"/>
    </row>
    <row r="222" spans="2:45" s="48" customFormat="1" hidden="1" x14ac:dyDescent="0.25">
      <c r="B222" s="48" t="s">
        <v>58</v>
      </c>
      <c r="E222" s="23"/>
      <c r="F222" s="111"/>
      <c r="G222" s="23">
        <v>1</v>
      </c>
      <c r="H222" s="23"/>
      <c r="I222" s="234"/>
      <c r="J222" s="38"/>
      <c r="K222" s="234"/>
      <c r="L222" s="234"/>
      <c r="M222" s="234"/>
      <c r="N222" s="234"/>
      <c r="O222" s="234"/>
      <c r="P222" s="234"/>
      <c r="Q222" s="234"/>
      <c r="R222" s="234"/>
      <c r="S222" s="234"/>
      <c r="T222" s="234"/>
      <c r="U222" s="234"/>
      <c r="V222" s="234"/>
      <c r="W222" s="234"/>
      <c r="X222" s="234"/>
      <c r="Y222" s="234">
        <v>1</v>
      </c>
      <c r="Z222" s="234"/>
      <c r="AA222" s="234"/>
      <c r="AB222" s="234">
        <v>1</v>
      </c>
      <c r="AC222" s="234"/>
      <c r="AD222" s="234"/>
      <c r="AE222" s="234"/>
      <c r="AF222" s="234"/>
      <c r="AG222" s="234"/>
      <c r="AH222" s="234"/>
      <c r="AI222" s="234"/>
      <c r="AJ222" s="234">
        <v>1</v>
      </c>
      <c r="AK222" s="234"/>
      <c r="AL222" s="234"/>
      <c r="AM222" s="234"/>
      <c r="AN222" s="50"/>
      <c r="AO222" s="50"/>
      <c r="AP222" s="50"/>
      <c r="AQ222" s="50"/>
      <c r="AR222" s="50"/>
      <c r="AS222" s="50"/>
    </row>
    <row r="223" spans="2:45" s="48" customFormat="1" hidden="1" x14ac:dyDescent="0.25">
      <c r="B223" s="93" t="s">
        <v>9</v>
      </c>
      <c r="D223" s="128">
        <f>SUM(E223:H223)</f>
        <v>27</v>
      </c>
      <c r="E223" s="50">
        <f>SUM(E224:E251)</f>
        <v>3</v>
      </c>
      <c r="F223" s="50">
        <f>SUM(F224:F251)</f>
        <v>8</v>
      </c>
      <c r="G223" s="50">
        <f>SUM(G224:G251)</f>
        <v>16</v>
      </c>
      <c r="H223" s="50">
        <f>SUM(H224:H251)</f>
        <v>0</v>
      </c>
      <c r="I223" s="234"/>
      <c r="J223" s="471"/>
      <c r="K223" s="471"/>
      <c r="L223" s="234"/>
      <c r="M223" s="234"/>
      <c r="N223" s="234"/>
      <c r="O223" s="234"/>
      <c r="P223" s="234"/>
      <c r="Q223" s="234"/>
      <c r="R223" s="234"/>
      <c r="S223" s="234"/>
      <c r="T223" s="234"/>
      <c r="U223" s="234"/>
      <c r="V223" s="234"/>
      <c r="W223" s="234"/>
      <c r="X223" s="234"/>
      <c r="Y223" s="234"/>
      <c r="Z223" s="234"/>
      <c r="AA223" s="234"/>
      <c r="AB223" s="234"/>
      <c r="AC223" s="234"/>
      <c r="AD223" s="234"/>
      <c r="AE223" s="234"/>
      <c r="AF223" s="234"/>
      <c r="AG223" s="234"/>
      <c r="AH223" s="234"/>
      <c r="AI223" s="234"/>
      <c r="AJ223" s="234"/>
      <c r="AK223" s="234"/>
      <c r="AL223" s="234"/>
      <c r="AM223" s="234"/>
      <c r="AN223" s="50"/>
      <c r="AO223" s="50"/>
      <c r="AP223" s="50"/>
      <c r="AQ223" s="50"/>
      <c r="AR223" s="50"/>
      <c r="AS223" s="50"/>
    </row>
    <row r="224" spans="2:45" hidden="1" x14ac:dyDescent="0.25">
      <c r="E224" s="20"/>
      <c r="F224" s="25"/>
      <c r="G224" s="20"/>
      <c r="H224" s="21"/>
      <c r="J224" s="471"/>
      <c r="K224" s="471"/>
    </row>
    <row r="225" spans="2:45" s="41" customFormat="1" hidden="1" x14ac:dyDescent="0.25">
      <c r="B225" s="41" t="s">
        <v>59</v>
      </c>
      <c r="E225" s="8"/>
      <c r="F225" s="30"/>
      <c r="G225" s="8">
        <v>1</v>
      </c>
      <c r="H225" s="8"/>
      <c r="I225" s="233">
        <v>1</v>
      </c>
      <c r="J225" s="470"/>
      <c r="K225" s="470"/>
      <c r="L225" s="233"/>
      <c r="M225" s="327"/>
      <c r="N225" s="327"/>
      <c r="O225" s="327"/>
      <c r="P225" s="327"/>
      <c r="Q225" s="327"/>
      <c r="R225" s="327"/>
      <c r="S225" s="327"/>
      <c r="T225" s="327"/>
      <c r="U225" s="327"/>
      <c r="V225" s="233"/>
      <c r="W225" s="233"/>
      <c r="X225" s="233"/>
      <c r="Y225" s="233"/>
      <c r="Z225" s="233"/>
      <c r="AA225" s="233"/>
      <c r="AB225" s="233"/>
      <c r="AC225" s="233"/>
      <c r="AD225" s="233"/>
      <c r="AE225" s="233"/>
      <c r="AF225" s="233"/>
      <c r="AG225" s="233"/>
      <c r="AH225" s="233"/>
      <c r="AI225" s="233"/>
      <c r="AJ225" s="233"/>
      <c r="AK225" s="233"/>
      <c r="AL225" s="233"/>
      <c r="AM225" s="233"/>
      <c r="AN225" s="40"/>
      <c r="AO225" s="40"/>
      <c r="AP225" s="40"/>
      <c r="AQ225" s="40"/>
      <c r="AR225" s="40"/>
      <c r="AS225" s="40"/>
    </row>
    <row r="226" spans="2:45" s="48" customFormat="1" hidden="1" x14ac:dyDescent="0.25">
      <c r="B226" s="48" t="s">
        <v>60</v>
      </c>
      <c r="E226" s="22"/>
      <c r="F226" s="26"/>
      <c r="G226" s="22">
        <v>1</v>
      </c>
      <c r="H226" s="22"/>
      <c r="I226" s="234"/>
      <c r="J226" s="471"/>
      <c r="K226" s="471"/>
      <c r="L226" s="234"/>
      <c r="M226" s="234"/>
      <c r="N226" s="234"/>
      <c r="O226" s="234"/>
      <c r="P226" s="234"/>
      <c r="Q226" s="234"/>
      <c r="R226" s="234"/>
      <c r="S226" s="234"/>
      <c r="T226" s="234"/>
      <c r="U226" s="234"/>
      <c r="V226" s="234"/>
      <c r="W226" s="234"/>
      <c r="X226" s="234"/>
      <c r="Y226" s="234">
        <v>1</v>
      </c>
      <c r="Z226" s="234"/>
      <c r="AA226" s="234"/>
      <c r="AB226" s="234"/>
      <c r="AC226" s="234"/>
      <c r="AD226" s="234"/>
      <c r="AE226" s="234"/>
      <c r="AF226" s="234"/>
      <c r="AG226" s="234"/>
      <c r="AH226" s="234"/>
      <c r="AI226" s="234"/>
      <c r="AJ226" s="234"/>
      <c r="AK226" s="234"/>
      <c r="AL226" s="234"/>
      <c r="AM226" s="234"/>
      <c r="AN226" s="50"/>
      <c r="AO226" s="50"/>
      <c r="AP226" s="50"/>
      <c r="AQ226" s="50"/>
      <c r="AR226" s="50"/>
      <c r="AS226" s="50"/>
    </row>
    <row r="227" spans="2:45" s="41" customFormat="1" hidden="1" x14ac:dyDescent="0.25">
      <c r="B227" s="41" t="s">
        <v>61</v>
      </c>
      <c r="E227" s="8"/>
      <c r="F227" s="30"/>
      <c r="G227" s="8">
        <v>1</v>
      </c>
      <c r="H227" s="8"/>
      <c r="I227" s="233"/>
      <c r="J227" s="233"/>
      <c r="K227" s="233">
        <v>1</v>
      </c>
      <c r="L227" s="233">
        <v>1</v>
      </c>
      <c r="M227" s="233"/>
      <c r="N227" s="233"/>
      <c r="O227" s="233"/>
      <c r="P227" s="233"/>
      <c r="Q227" s="233"/>
      <c r="R227" s="233"/>
      <c r="S227" s="233"/>
      <c r="T227" s="233"/>
      <c r="U227" s="233"/>
      <c r="V227" s="233"/>
      <c r="W227" s="233"/>
      <c r="X227" s="233"/>
      <c r="Y227" s="233"/>
      <c r="Z227" s="233"/>
      <c r="AA227" s="233"/>
      <c r="AB227" s="233"/>
      <c r="AC227" s="233"/>
      <c r="AD227" s="233"/>
      <c r="AE227" s="233"/>
      <c r="AF227" s="233"/>
      <c r="AG227" s="233"/>
      <c r="AH227" s="233"/>
      <c r="AI227" s="233"/>
      <c r="AJ227" s="233"/>
      <c r="AK227" s="233"/>
      <c r="AL227" s="233"/>
      <c r="AM227" s="233"/>
      <c r="AN227" s="40"/>
      <c r="AO227" s="40"/>
      <c r="AP227" s="40"/>
      <c r="AQ227" s="40"/>
      <c r="AR227" s="40"/>
      <c r="AS227" s="40"/>
    </row>
    <row r="228" spans="2:45" s="48" customFormat="1" hidden="1" x14ac:dyDescent="0.25">
      <c r="B228" s="48" t="s">
        <v>62</v>
      </c>
      <c r="E228" s="22"/>
      <c r="F228" s="26"/>
      <c r="G228" s="22">
        <v>1</v>
      </c>
      <c r="H228" s="22"/>
      <c r="I228" s="234"/>
      <c r="J228" s="234"/>
      <c r="K228" s="234">
        <v>1</v>
      </c>
      <c r="L228" s="234">
        <v>1</v>
      </c>
      <c r="M228" s="234"/>
      <c r="N228" s="234"/>
      <c r="O228" s="234"/>
      <c r="P228" s="234"/>
      <c r="Q228" s="234"/>
      <c r="R228" s="234"/>
      <c r="S228" s="234"/>
      <c r="T228" s="234"/>
      <c r="U228" s="234"/>
      <c r="V228" s="234"/>
      <c r="W228" s="234"/>
      <c r="X228" s="234"/>
      <c r="Y228" s="234"/>
      <c r="Z228" s="234"/>
      <c r="AA228" s="234"/>
      <c r="AB228" s="234"/>
      <c r="AC228" s="234"/>
      <c r="AD228" s="234"/>
      <c r="AE228" s="234"/>
      <c r="AF228" s="234"/>
      <c r="AG228" s="234"/>
      <c r="AH228" s="234"/>
      <c r="AI228" s="234"/>
      <c r="AJ228" s="234"/>
      <c r="AK228" s="234"/>
      <c r="AL228" s="234"/>
      <c r="AM228" s="234"/>
      <c r="AN228" s="50"/>
      <c r="AO228" s="50"/>
      <c r="AP228" s="50"/>
      <c r="AQ228" s="50"/>
      <c r="AR228" s="50"/>
      <c r="AS228" s="50"/>
    </row>
    <row r="229" spans="2:45" s="41" customFormat="1" hidden="1" x14ac:dyDescent="0.25">
      <c r="B229" s="41" t="s">
        <v>63</v>
      </c>
      <c r="E229" s="8"/>
      <c r="F229" s="30"/>
      <c r="G229" s="8">
        <v>1</v>
      </c>
      <c r="H229" s="8"/>
      <c r="I229" s="233"/>
      <c r="J229" s="11"/>
      <c r="K229" s="11"/>
      <c r="L229" s="233"/>
      <c r="M229" s="233"/>
      <c r="N229" s="233"/>
      <c r="O229" s="233"/>
      <c r="P229" s="233"/>
      <c r="Q229" s="233"/>
      <c r="R229" s="233"/>
      <c r="S229" s="233"/>
      <c r="T229" s="233"/>
      <c r="U229" s="233"/>
      <c r="V229" s="233"/>
      <c r="W229" s="233"/>
      <c r="X229" s="233"/>
      <c r="Y229" s="233"/>
      <c r="Z229" s="233"/>
      <c r="AA229" s="233"/>
      <c r="AB229" s="233"/>
      <c r="AC229" s="233"/>
      <c r="AD229" s="233"/>
      <c r="AE229" s="233"/>
      <c r="AF229" s="233"/>
      <c r="AG229" s="233"/>
      <c r="AH229" s="233"/>
      <c r="AI229" s="233"/>
      <c r="AJ229" s="233">
        <v>1</v>
      </c>
      <c r="AK229" s="233"/>
      <c r="AL229" s="233"/>
      <c r="AM229" s="233"/>
      <c r="AN229" s="40"/>
      <c r="AO229" s="40"/>
      <c r="AP229" s="40"/>
      <c r="AQ229" s="40"/>
      <c r="AR229" s="40"/>
      <c r="AS229" s="40"/>
    </row>
    <row r="230" spans="2:45" s="48" customFormat="1" hidden="1" x14ac:dyDescent="0.25">
      <c r="B230" s="48" t="s">
        <v>64</v>
      </c>
      <c r="E230" s="22"/>
      <c r="F230" s="26">
        <v>1</v>
      </c>
      <c r="G230" s="22"/>
      <c r="H230" s="22"/>
      <c r="I230" s="234"/>
      <c r="J230" s="38"/>
      <c r="K230" s="38"/>
      <c r="L230" s="234"/>
      <c r="M230" s="234"/>
      <c r="N230" s="234"/>
      <c r="O230" s="234"/>
      <c r="P230" s="234"/>
      <c r="Q230" s="234"/>
      <c r="R230" s="234"/>
      <c r="S230" s="234"/>
      <c r="T230" s="234"/>
      <c r="U230" s="234"/>
      <c r="V230" s="234"/>
      <c r="W230" s="234"/>
      <c r="X230" s="234"/>
      <c r="Y230" s="234"/>
      <c r="Z230" s="234"/>
      <c r="AA230" s="234"/>
      <c r="AB230" s="234"/>
      <c r="AC230" s="234"/>
      <c r="AD230" s="234"/>
      <c r="AE230" s="234"/>
      <c r="AF230" s="234"/>
      <c r="AG230" s="234"/>
      <c r="AH230" s="234"/>
      <c r="AI230" s="234"/>
      <c r="AJ230" s="234"/>
      <c r="AK230" s="234"/>
      <c r="AL230" s="234"/>
      <c r="AM230" s="234"/>
      <c r="AN230" s="50"/>
      <c r="AO230" s="50"/>
      <c r="AP230" s="50"/>
      <c r="AQ230" s="50"/>
      <c r="AR230" s="50"/>
      <c r="AS230" s="50"/>
    </row>
    <row r="231" spans="2:45" s="41" customFormat="1" hidden="1" x14ac:dyDescent="0.25">
      <c r="B231" s="41" t="s">
        <v>65</v>
      </c>
      <c r="E231" s="8"/>
      <c r="F231" s="30"/>
      <c r="G231" s="8">
        <v>1</v>
      </c>
      <c r="H231" s="8"/>
      <c r="I231" s="233"/>
      <c r="J231" s="11"/>
      <c r="K231" s="11"/>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v>1</v>
      </c>
      <c r="AG231" s="233"/>
      <c r="AH231" s="233"/>
      <c r="AI231" s="233"/>
      <c r="AJ231" s="233"/>
      <c r="AK231" s="233"/>
      <c r="AL231" s="233"/>
      <c r="AM231" s="233"/>
      <c r="AN231" s="40"/>
      <c r="AO231" s="40"/>
      <c r="AP231" s="40"/>
      <c r="AQ231" s="40"/>
      <c r="AR231" s="40"/>
      <c r="AS231" s="40"/>
    </row>
    <row r="232" spans="2:45" s="48" customFormat="1" hidden="1" x14ac:dyDescent="0.25">
      <c r="B232" s="48" t="s">
        <v>66</v>
      </c>
      <c r="E232" s="22"/>
      <c r="F232" s="26"/>
      <c r="G232" s="22">
        <v>1</v>
      </c>
      <c r="H232" s="22"/>
      <c r="I232" s="234"/>
      <c r="J232" s="38"/>
      <c r="K232" s="38"/>
      <c r="L232" s="234"/>
      <c r="M232" s="234"/>
      <c r="N232" s="234"/>
      <c r="O232" s="234"/>
      <c r="P232" s="234"/>
      <c r="Q232" s="234"/>
      <c r="R232" s="234"/>
      <c r="S232" s="234"/>
      <c r="T232" s="234"/>
      <c r="U232" s="234"/>
      <c r="V232" s="234"/>
      <c r="W232" s="234"/>
      <c r="X232" s="234"/>
      <c r="Y232" s="234">
        <v>1</v>
      </c>
      <c r="Z232" s="234"/>
      <c r="AA232" s="234"/>
      <c r="AB232" s="234"/>
      <c r="AC232" s="234"/>
      <c r="AD232" s="234"/>
      <c r="AE232" s="234"/>
      <c r="AF232" s="234"/>
      <c r="AG232" s="234"/>
      <c r="AH232" s="234"/>
      <c r="AI232" s="234"/>
      <c r="AJ232" s="234"/>
      <c r="AK232" s="234"/>
      <c r="AL232" s="234"/>
      <c r="AM232" s="234"/>
      <c r="AN232" s="50"/>
      <c r="AO232" s="50"/>
      <c r="AP232" s="50"/>
      <c r="AQ232" s="50"/>
      <c r="AR232" s="50"/>
      <c r="AS232" s="50"/>
    </row>
    <row r="233" spans="2:45" s="41" customFormat="1" hidden="1" x14ac:dyDescent="0.25">
      <c r="B233" s="41" t="s">
        <v>67</v>
      </c>
      <c r="E233" s="8"/>
      <c r="F233" s="30">
        <v>1</v>
      </c>
      <c r="G233" s="8"/>
      <c r="H233" s="8"/>
      <c r="I233" s="233"/>
      <c r="J233" s="11"/>
      <c r="K233" s="11"/>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233"/>
      <c r="AH233" s="233"/>
      <c r="AI233" s="233"/>
      <c r="AJ233" s="233"/>
      <c r="AK233" s="233"/>
      <c r="AL233" s="233"/>
      <c r="AM233" s="233"/>
      <c r="AN233" s="40"/>
      <c r="AO233" s="40"/>
      <c r="AP233" s="40"/>
      <c r="AQ233" s="40"/>
      <c r="AR233" s="40"/>
      <c r="AS233" s="40"/>
    </row>
    <row r="234" spans="2:45" s="48" customFormat="1" hidden="1" x14ac:dyDescent="0.25">
      <c r="B234" s="48" t="s">
        <v>68</v>
      </c>
      <c r="E234" s="22"/>
      <c r="F234" s="26"/>
      <c r="G234" s="22">
        <v>1</v>
      </c>
      <c r="H234" s="22"/>
      <c r="I234" s="234"/>
      <c r="J234" s="38"/>
      <c r="K234" s="38"/>
      <c r="L234" s="234"/>
      <c r="M234" s="234"/>
      <c r="N234" s="234"/>
      <c r="O234" s="234"/>
      <c r="P234" s="234"/>
      <c r="Q234" s="234"/>
      <c r="R234" s="234"/>
      <c r="S234" s="234"/>
      <c r="T234" s="234"/>
      <c r="U234" s="234"/>
      <c r="V234" s="234"/>
      <c r="W234" s="234"/>
      <c r="X234" s="234"/>
      <c r="Y234" s="234">
        <v>1</v>
      </c>
      <c r="Z234" s="234"/>
      <c r="AA234" s="234"/>
      <c r="AB234" s="234"/>
      <c r="AC234" s="234"/>
      <c r="AD234" s="234"/>
      <c r="AE234" s="234"/>
      <c r="AF234" s="234"/>
      <c r="AG234" s="234"/>
      <c r="AH234" s="234"/>
      <c r="AI234" s="234"/>
      <c r="AJ234" s="234"/>
      <c r="AK234" s="234"/>
      <c r="AL234" s="234"/>
      <c r="AM234" s="234"/>
      <c r="AN234" s="50"/>
      <c r="AO234" s="50"/>
      <c r="AP234" s="50"/>
      <c r="AQ234" s="50"/>
      <c r="AR234" s="50"/>
      <c r="AS234" s="50"/>
    </row>
    <row r="235" spans="2:45" s="41" customFormat="1" hidden="1" x14ac:dyDescent="0.25">
      <c r="B235" s="41" t="s">
        <v>69</v>
      </c>
      <c r="E235" s="8"/>
      <c r="F235" s="30">
        <v>1</v>
      </c>
      <c r="G235" s="8"/>
      <c r="H235" s="8"/>
      <c r="I235" s="233"/>
      <c r="J235" s="11"/>
      <c r="K235" s="11"/>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233"/>
      <c r="AH235" s="233"/>
      <c r="AI235" s="233"/>
      <c r="AJ235" s="233"/>
      <c r="AK235" s="233"/>
      <c r="AL235" s="233"/>
      <c r="AM235" s="233"/>
      <c r="AN235" s="40"/>
      <c r="AO235" s="40"/>
      <c r="AP235" s="40"/>
      <c r="AQ235" s="40"/>
      <c r="AR235" s="40"/>
      <c r="AS235" s="40"/>
    </row>
    <row r="236" spans="2:45" s="48" customFormat="1" hidden="1" x14ac:dyDescent="0.25">
      <c r="B236" s="48" t="s">
        <v>70</v>
      </c>
      <c r="E236" s="22"/>
      <c r="F236" s="26">
        <v>1</v>
      </c>
      <c r="G236" s="22"/>
      <c r="H236" s="22"/>
      <c r="I236" s="234"/>
      <c r="J236" s="38"/>
      <c r="K236" s="38"/>
      <c r="L236" s="234"/>
      <c r="M236" s="234"/>
      <c r="N236" s="234"/>
      <c r="O236" s="234"/>
      <c r="P236" s="234"/>
      <c r="Q236" s="234"/>
      <c r="R236" s="234"/>
      <c r="S236" s="234"/>
      <c r="T236" s="234"/>
      <c r="U236" s="234"/>
      <c r="V236" s="234"/>
      <c r="W236" s="234"/>
      <c r="X236" s="234"/>
      <c r="Y236" s="234"/>
      <c r="Z236" s="234"/>
      <c r="AA236" s="234"/>
      <c r="AB236" s="234"/>
      <c r="AC236" s="234"/>
      <c r="AD236" s="234"/>
      <c r="AE236" s="234"/>
      <c r="AF236" s="234"/>
      <c r="AG236" s="234"/>
      <c r="AH236" s="234"/>
      <c r="AI236" s="234"/>
      <c r="AJ236" s="234"/>
      <c r="AK236" s="234"/>
      <c r="AL236" s="234"/>
      <c r="AM236" s="234"/>
      <c r="AN236" s="50"/>
      <c r="AO236" s="50"/>
      <c r="AP236" s="50"/>
      <c r="AQ236" s="50"/>
      <c r="AR236" s="50"/>
      <c r="AS236" s="50"/>
    </row>
    <row r="237" spans="2:45" s="41" customFormat="1" hidden="1" x14ac:dyDescent="0.25">
      <c r="B237" s="41" t="s">
        <v>71</v>
      </c>
      <c r="E237" s="8">
        <v>1</v>
      </c>
      <c r="F237" s="30"/>
      <c r="G237" s="8"/>
      <c r="H237" s="8"/>
      <c r="I237" s="233"/>
      <c r="J237" s="11"/>
      <c r="K237" s="11"/>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33"/>
      <c r="AH237" s="233"/>
      <c r="AI237" s="233"/>
      <c r="AJ237" s="233"/>
      <c r="AK237" s="233"/>
      <c r="AL237" s="233"/>
      <c r="AM237" s="233"/>
      <c r="AN237" s="40"/>
      <c r="AO237" s="40"/>
      <c r="AP237" s="40"/>
      <c r="AQ237" s="40"/>
      <c r="AR237" s="40"/>
      <c r="AS237" s="40"/>
    </row>
    <row r="238" spans="2:45" s="48" customFormat="1" hidden="1" x14ac:dyDescent="0.25">
      <c r="B238" s="48" t="s">
        <v>72</v>
      </c>
      <c r="E238" s="22"/>
      <c r="F238" s="26"/>
      <c r="G238" s="22">
        <v>1</v>
      </c>
      <c r="H238" s="22"/>
      <c r="I238" s="234"/>
      <c r="J238" s="234">
        <v>1</v>
      </c>
      <c r="K238" s="38"/>
      <c r="L238" s="234"/>
      <c r="M238" s="234"/>
      <c r="N238" s="234"/>
      <c r="O238" s="234"/>
      <c r="P238" s="234"/>
      <c r="Q238" s="234"/>
      <c r="R238" s="234"/>
      <c r="S238" s="234"/>
      <c r="T238" s="234"/>
      <c r="U238" s="234"/>
      <c r="V238" s="234"/>
      <c r="W238" s="234"/>
      <c r="X238" s="234"/>
      <c r="Y238" s="234">
        <v>1</v>
      </c>
      <c r="Z238" s="234"/>
      <c r="AA238" s="234"/>
      <c r="AB238" s="234"/>
      <c r="AC238" s="234"/>
      <c r="AD238" s="234"/>
      <c r="AE238" s="234"/>
      <c r="AF238" s="234"/>
      <c r="AG238" s="234"/>
      <c r="AH238" s="234"/>
      <c r="AI238" s="234"/>
      <c r="AJ238" s="234">
        <v>1</v>
      </c>
      <c r="AK238" s="234">
        <v>1</v>
      </c>
      <c r="AL238" s="234"/>
      <c r="AM238" s="234"/>
      <c r="AN238" s="50"/>
      <c r="AO238" s="50"/>
      <c r="AP238" s="50"/>
      <c r="AQ238" s="50"/>
      <c r="AR238" s="50">
        <v>1</v>
      </c>
      <c r="AS238" s="50"/>
    </row>
    <row r="239" spans="2:45" s="41" customFormat="1" hidden="1" x14ac:dyDescent="0.25">
      <c r="B239" s="41" t="s">
        <v>93</v>
      </c>
      <c r="E239" s="8"/>
      <c r="F239" s="30"/>
      <c r="G239" s="8">
        <v>1</v>
      </c>
      <c r="H239" s="8"/>
      <c r="I239" s="233"/>
      <c r="J239" s="11"/>
      <c r="K239" s="11"/>
      <c r="L239" s="233"/>
      <c r="M239" s="233"/>
      <c r="N239" s="233"/>
      <c r="O239" s="233"/>
      <c r="P239" s="233"/>
      <c r="Q239" s="233"/>
      <c r="R239" s="233"/>
      <c r="S239" s="233"/>
      <c r="T239" s="233"/>
      <c r="U239" s="233"/>
      <c r="V239" s="233"/>
      <c r="W239" s="233"/>
      <c r="X239" s="233"/>
      <c r="Y239" s="233"/>
      <c r="Z239" s="233"/>
      <c r="AA239" s="233"/>
      <c r="AB239" s="233"/>
      <c r="AC239" s="233"/>
      <c r="AD239" s="233"/>
      <c r="AE239" s="233"/>
      <c r="AF239" s="233"/>
      <c r="AG239" s="233"/>
      <c r="AH239" s="233"/>
      <c r="AI239" s="233"/>
      <c r="AJ239" s="233"/>
      <c r="AK239" s="233"/>
      <c r="AL239" s="233">
        <v>1</v>
      </c>
      <c r="AM239" s="233"/>
      <c r="AN239" s="40"/>
      <c r="AO239" s="40"/>
      <c r="AP239" s="40"/>
      <c r="AQ239" s="40"/>
      <c r="AR239" s="40"/>
      <c r="AS239" s="40"/>
    </row>
    <row r="240" spans="2:45" s="48" customFormat="1" hidden="1" x14ac:dyDescent="0.25">
      <c r="B240" s="48" t="s">
        <v>89</v>
      </c>
      <c r="E240" s="22"/>
      <c r="F240" s="26">
        <v>1</v>
      </c>
      <c r="G240" s="22"/>
      <c r="H240" s="22"/>
      <c r="I240" s="234"/>
      <c r="J240" s="471"/>
      <c r="K240" s="471"/>
      <c r="L240" s="234"/>
      <c r="M240" s="234"/>
      <c r="N240" s="234"/>
      <c r="O240" s="234"/>
      <c r="P240" s="234"/>
      <c r="Q240" s="234"/>
      <c r="R240" s="234"/>
      <c r="S240" s="234"/>
      <c r="T240" s="234"/>
      <c r="U240" s="234"/>
      <c r="V240" s="234"/>
      <c r="W240" s="234"/>
      <c r="X240" s="234"/>
      <c r="Y240" s="234"/>
      <c r="Z240" s="234"/>
      <c r="AA240" s="234"/>
      <c r="AB240" s="234"/>
      <c r="AC240" s="234"/>
      <c r="AD240" s="234"/>
      <c r="AE240" s="234"/>
      <c r="AF240" s="234"/>
      <c r="AG240" s="234"/>
      <c r="AH240" s="234"/>
      <c r="AI240" s="234"/>
      <c r="AJ240" s="234"/>
      <c r="AK240" s="234"/>
      <c r="AL240" s="234"/>
      <c r="AM240" s="234"/>
      <c r="AN240" s="50"/>
      <c r="AO240" s="50"/>
      <c r="AP240" s="50"/>
      <c r="AQ240" s="50"/>
      <c r="AR240" s="50"/>
      <c r="AS240" s="50"/>
    </row>
    <row r="241" spans="2:45" s="41" customFormat="1" hidden="1" x14ac:dyDescent="0.25">
      <c r="B241" s="41" t="s">
        <v>90</v>
      </c>
      <c r="E241" s="8"/>
      <c r="F241" s="30"/>
      <c r="G241" s="8">
        <v>1</v>
      </c>
      <c r="H241" s="8"/>
      <c r="I241" s="233"/>
      <c r="J241" s="537"/>
      <c r="K241" s="537"/>
      <c r="L241" s="233"/>
      <c r="M241" s="233"/>
      <c r="N241" s="233"/>
      <c r="O241" s="233"/>
      <c r="P241" s="233"/>
      <c r="Q241" s="233"/>
      <c r="R241" s="233"/>
      <c r="S241" s="233"/>
      <c r="T241" s="233"/>
      <c r="U241" s="233"/>
      <c r="V241" s="233"/>
      <c r="W241" s="233"/>
      <c r="X241" s="233"/>
      <c r="Y241" s="233">
        <v>1</v>
      </c>
      <c r="Z241" s="233"/>
      <c r="AA241" s="233"/>
      <c r="AB241" s="233"/>
      <c r="AC241" s="233"/>
      <c r="AD241" s="233"/>
      <c r="AE241" s="233"/>
      <c r="AF241" s="233"/>
      <c r="AG241" s="233"/>
      <c r="AH241" s="233"/>
      <c r="AI241" s="233"/>
      <c r="AJ241" s="233"/>
      <c r="AK241" s="233"/>
      <c r="AL241" s="233"/>
      <c r="AM241" s="233"/>
      <c r="AN241" s="40"/>
      <c r="AO241" s="40"/>
      <c r="AP241" s="40"/>
      <c r="AQ241" s="40"/>
      <c r="AR241" s="40"/>
      <c r="AS241" s="40"/>
    </row>
    <row r="242" spans="2:45" s="48" customFormat="1" hidden="1" x14ac:dyDescent="0.25">
      <c r="B242" s="48" t="s">
        <v>91</v>
      </c>
      <c r="E242" s="22"/>
      <c r="F242" s="26">
        <v>1</v>
      </c>
      <c r="G242" s="22"/>
      <c r="H242" s="22"/>
      <c r="I242" s="234"/>
      <c r="J242" s="471"/>
      <c r="K242" s="471"/>
      <c r="L242" s="234"/>
      <c r="M242" s="234"/>
      <c r="N242" s="234"/>
      <c r="O242" s="234"/>
      <c r="P242" s="234"/>
      <c r="Q242" s="234"/>
      <c r="R242" s="234"/>
      <c r="S242" s="234"/>
      <c r="T242" s="234"/>
      <c r="U242" s="234"/>
      <c r="V242" s="234"/>
      <c r="W242" s="234"/>
      <c r="X242" s="234"/>
      <c r="Y242" s="234"/>
      <c r="Z242" s="234"/>
      <c r="AA242" s="234"/>
      <c r="AB242" s="234"/>
      <c r="AC242" s="234"/>
      <c r="AD242" s="234"/>
      <c r="AE242" s="234"/>
      <c r="AF242" s="234"/>
      <c r="AG242" s="234"/>
      <c r="AH242" s="234"/>
      <c r="AI242" s="234"/>
      <c r="AJ242" s="234"/>
      <c r="AK242" s="234"/>
      <c r="AL242" s="234"/>
      <c r="AM242" s="234"/>
      <c r="AN242" s="50"/>
      <c r="AO242" s="50"/>
      <c r="AP242" s="50"/>
      <c r="AQ242" s="50"/>
      <c r="AR242" s="50"/>
      <c r="AS242" s="50"/>
    </row>
    <row r="243" spans="2:45" s="41" customFormat="1" hidden="1" x14ac:dyDescent="0.25">
      <c r="B243" s="41" t="s">
        <v>73</v>
      </c>
      <c r="E243" s="8">
        <v>1</v>
      </c>
      <c r="F243" s="30"/>
      <c r="G243" s="8"/>
      <c r="H243" s="8"/>
      <c r="I243" s="233"/>
      <c r="J243" s="470"/>
      <c r="K243" s="470"/>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233"/>
      <c r="AH243" s="233"/>
      <c r="AI243" s="233"/>
      <c r="AJ243" s="233"/>
      <c r="AK243" s="233"/>
      <c r="AL243" s="233"/>
      <c r="AM243" s="233"/>
      <c r="AN243" s="40"/>
      <c r="AO243" s="40"/>
      <c r="AP243" s="40"/>
      <c r="AQ243" s="40"/>
      <c r="AR243" s="40"/>
      <c r="AS243" s="40"/>
    </row>
    <row r="244" spans="2:45" s="48" customFormat="1" hidden="1" x14ac:dyDescent="0.25">
      <c r="B244" s="48" t="s">
        <v>74</v>
      </c>
      <c r="E244" s="22"/>
      <c r="F244" s="26"/>
      <c r="G244" s="22">
        <v>1</v>
      </c>
      <c r="H244" s="22"/>
      <c r="I244" s="234">
        <v>1</v>
      </c>
      <c r="J244" s="471"/>
      <c r="K244" s="471"/>
      <c r="L244" s="234"/>
      <c r="M244" s="234"/>
      <c r="N244" s="234"/>
      <c r="O244" s="234"/>
      <c r="P244" s="234"/>
      <c r="Q244" s="234"/>
      <c r="R244" s="234"/>
      <c r="S244" s="234"/>
      <c r="T244" s="234"/>
      <c r="U244" s="234"/>
      <c r="V244" s="327"/>
      <c r="W244" s="234"/>
      <c r="X244" s="234"/>
      <c r="Y244" s="234"/>
      <c r="Z244" s="234"/>
      <c r="AA244" s="234"/>
      <c r="AB244" s="234"/>
      <c r="AC244" s="234"/>
      <c r="AD244" s="234"/>
      <c r="AE244" s="234"/>
      <c r="AF244" s="234"/>
      <c r="AG244" s="234"/>
      <c r="AH244" s="234"/>
      <c r="AI244" s="234"/>
      <c r="AJ244" s="234"/>
      <c r="AK244" s="234"/>
      <c r="AL244" s="234"/>
      <c r="AM244" s="234"/>
      <c r="AN244" s="50"/>
      <c r="AO244" s="50"/>
      <c r="AP244" s="50"/>
      <c r="AQ244" s="50"/>
      <c r="AR244" s="50"/>
      <c r="AS244" s="50"/>
    </row>
    <row r="245" spans="2:45" s="41" customFormat="1" hidden="1" x14ac:dyDescent="0.25">
      <c r="B245" s="41" t="s">
        <v>92</v>
      </c>
      <c r="E245" s="8"/>
      <c r="F245" s="30">
        <v>1</v>
      </c>
      <c r="G245" s="8"/>
      <c r="H245" s="8"/>
      <c r="I245" s="233"/>
      <c r="J245" s="470"/>
      <c r="K245" s="470"/>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233"/>
      <c r="AH245" s="233"/>
      <c r="AI245" s="233"/>
      <c r="AJ245" s="233"/>
      <c r="AK245" s="233"/>
      <c r="AL245" s="233"/>
      <c r="AM245" s="233"/>
      <c r="AN245" s="40"/>
      <c r="AO245" s="40"/>
      <c r="AP245" s="40"/>
      <c r="AQ245" s="40">
        <v>1</v>
      </c>
      <c r="AR245" s="40"/>
      <c r="AS245" s="40"/>
    </row>
    <row r="246" spans="2:45" s="48" customFormat="1" hidden="1" x14ac:dyDescent="0.25">
      <c r="B246" s="48" t="s">
        <v>75</v>
      </c>
      <c r="E246" s="22"/>
      <c r="F246" s="26">
        <v>1</v>
      </c>
      <c r="G246" s="22"/>
      <c r="H246" s="22"/>
      <c r="I246" s="234"/>
      <c r="J246" s="471"/>
      <c r="K246" s="471"/>
      <c r="L246" s="234"/>
      <c r="M246" s="234"/>
      <c r="N246" s="234"/>
      <c r="O246" s="234"/>
      <c r="P246" s="234"/>
      <c r="Q246" s="234"/>
      <c r="R246" s="234"/>
      <c r="S246" s="234"/>
      <c r="T246" s="234"/>
      <c r="U246" s="234"/>
      <c r="V246" s="234"/>
      <c r="W246" s="234"/>
      <c r="X246" s="234"/>
      <c r="Y246" s="234"/>
      <c r="Z246" s="234"/>
      <c r="AA246" s="234"/>
      <c r="AB246" s="234"/>
      <c r="AC246" s="234"/>
      <c r="AD246" s="234"/>
      <c r="AE246" s="234"/>
      <c r="AF246" s="234"/>
      <c r="AG246" s="234"/>
      <c r="AH246" s="234"/>
      <c r="AI246" s="234"/>
      <c r="AJ246" s="234"/>
      <c r="AK246" s="234"/>
      <c r="AL246" s="234"/>
      <c r="AM246" s="234"/>
      <c r="AN246" s="50"/>
      <c r="AO246" s="50"/>
      <c r="AP246" s="50"/>
      <c r="AQ246" s="50"/>
      <c r="AR246" s="50"/>
      <c r="AS246" s="50"/>
    </row>
    <row r="247" spans="2:45" s="41" customFormat="1" hidden="1" x14ac:dyDescent="0.25">
      <c r="B247" s="41" t="s">
        <v>76</v>
      </c>
      <c r="E247" s="8"/>
      <c r="F247" s="30"/>
      <c r="G247" s="8">
        <v>1</v>
      </c>
      <c r="H247" s="8"/>
      <c r="I247" s="233"/>
      <c r="J247" s="470"/>
      <c r="K247" s="470"/>
      <c r="L247" s="233"/>
      <c r="M247" s="233"/>
      <c r="N247" s="233"/>
      <c r="O247" s="233"/>
      <c r="P247" s="233"/>
      <c r="Q247" s="233"/>
      <c r="R247" s="233"/>
      <c r="S247" s="233"/>
      <c r="T247" s="233"/>
      <c r="U247" s="233"/>
      <c r="V247" s="233"/>
      <c r="W247" s="233"/>
      <c r="X247" s="233"/>
      <c r="Y247" s="233"/>
      <c r="Z247" s="233">
        <v>1</v>
      </c>
      <c r="AA247" s="233"/>
      <c r="AB247" s="233"/>
      <c r="AC247" s="233"/>
      <c r="AD247" s="233"/>
      <c r="AE247" s="233"/>
      <c r="AF247" s="233"/>
      <c r="AG247" s="233"/>
      <c r="AH247" s="233"/>
      <c r="AI247" s="233"/>
      <c r="AJ247" s="233">
        <v>1</v>
      </c>
      <c r="AK247" s="233"/>
      <c r="AL247" s="233"/>
      <c r="AM247" s="233"/>
      <c r="AN247" s="40"/>
      <c r="AO247" s="40"/>
      <c r="AP247" s="40"/>
      <c r="AQ247" s="40"/>
      <c r="AR247" s="40"/>
      <c r="AS247" s="40"/>
    </row>
    <row r="248" spans="2:45" s="48" customFormat="1" hidden="1" x14ac:dyDescent="0.25">
      <c r="B248" s="48" t="s">
        <v>77</v>
      </c>
      <c r="E248" s="22"/>
      <c r="F248" s="26"/>
      <c r="G248" s="22">
        <v>1</v>
      </c>
      <c r="H248" s="22"/>
      <c r="I248" s="234"/>
      <c r="J248" s="471"/>
      <c r="K248" s="471"/>
      <c r="L248" s="234"/>
      <c r="M248" s="234"/>
      <c r="N248" s="234"/>
      <c r="O248" s="234"/>
      <c r="P248" s="234"/>
      <c r="Q248" s="234"/>
      <c r="R248" s="234"/>
      <c r="S248" s="234"/>
      <c r="T248" s="234"/>
      <c r="U248" s="234"/>
      <c r="V248" s="234"/>
      <c r="W248" s="234"/>
      <c r="X248" s="234"/>
      <c r="Y248" s="234"/>
      <c r="Z248" s="234"/>
      <c r="AA248" s="234">
        <v>1</v>
      </c>
      <c r="AB248" s="234">
        <v>1</v>
      </c>
      <c r="AC248" s="234"/>
      <c r="AD248" s="234"/>
      <c r="AE248" s="234"/>
      <c r="AF248" s="234"/>
      <c r="AG248" s="234"/>
      <c r="AH248" s="234"/>
      <c r="AI248" s="234"/>
      <c r="AJ248" s="234"/>
      <c r="AK248" s="234"/>
      <c r="AL248" s="234"/>
      <c r="AM248" s="234"/>
      <c r="AN248" s="50"/>
      <c r="AO248" s="50"/>
      <c r="AP248" s="50"/>
      <c r="AQ248" s="50"/>
      <c r="AR248" s="50"/>
      <c r="AS248" s="50"/>
    </row>
    <row r="249" spans="2:45" s="41" customFormat="1" hidden="1" x14ac:dyDescent="0.25">
      <c r="B249" s="41" t="s">
        <v>78</v>
      </c>
      <c r="E249" s="8"/>
      <c r="F249" s="30"/>
      <c r="G249" s="8">
        <v>1</v>
      </c>
      <c r="H249" s="8"/>
      <c r="I249" s="233"/>
      <c r="J249" s="470"/>
      <c r="K249" s="470"/>
      <c r="L249" s="233"/>
      <c r="M249" s="328"/>
      <c r="N249" s="328"/>
      <c r="O249" s="328"/>
      <c r="P249" s="328"/>
      <c r="Q249" s="328"/>
      <c r="R249" s="328"/>
      <c r="S249" s="328"/>
      <c r="T249" s="328"/>
      <c r="U249" s="328"/>
      <c r="V249" s="233"/>
      <c r="W249" s="233"/>
      <c r="X249" s="233"/>
      <c r="Y249" s="233">
        <v>1</v>
      </c>
      <c r="Z249" s="233"/>
      <c r="AA249" s="233"/>
      <c r="AB249" s="233"/>
      <c r="AC249" s="233"/>
      <c r="AD249" s="233">
        <v>1</v>
      </c>
      <c r="AE249" s="233"/>
      <c r="AF249" s="233"/>
      <c r="AG249" s="233"/>
      <c r="AH249" s="233"/>
      <c r="AI249" s="233"/>
      <c r="AJ249" s="233"/>
      <c r="AK249" s="233"/>
      <c r="AL249" s="233"/>
      <c r="AM249" s="233"/>
      <c r="AN249" s="40"/>
      <c r="AO249" s="40"/>
      <c r="AP249" s="40"/>
      <c r="AQ249" s="40"/>
      <c r="AR249" s="40"/>
      <c r="AS249" s="40"/>
    </row>
    <row r="250" spans="2:45" s="48" customFormat="1" hidden="1" x14ac:dyDescent="0.25">
      <c r="B250" s="48" t="s">
        <v>79</v>
      </c>
      <c r="E250" s="22"/>
      <c r="F250" s="26"/>
      <c r="G250" s="22">
        <v>1</v>
      </c>
      <c r="H250" s="22"/>
      <c r="I250" s="234"/>
      <c r="J250" s="471"/>
      <c r="K250" s="471"/>
      <c r="L250" s="234"/>
      <c r="M250" s="234"/>
      <c r="N250" s="234"/>
      <c r="O250" s="234"/>
      <c r="P250" s="234"/>
      <c r="Q250" s="234"/>
      <c r="R250" s="234"/>
      <c r="S250" s="234"/>
      <c r="T250" s="234"/>
      <c r="U250" s="234"/>
      <c r="V250" s="234"/>
      <c r="W250" s="234"/>
      <c r="X250" s="234"/>
      <c r="Y250" s="234">
        <v>1</v>
      </c>
      <c r="Z250" s="234"/>
      <c r="AA250" s="234"/>
      <c r="AB250" s="234"/>
      <c r="AC250" s="234"/>
      <c r="AD250" s="234"/>
      <c r="AE250" s="234"/>
      <c r="AF250" s="234"/>
      <c r="AG250" s="234"/>
      <c r="AH250" s="234"/>
      <c r="AI250" s="234"/>
      <c r="AJ250" s="234"/>
      <c r="AK250" s="234">
        <v>1</v>
      </c>
      <c r="AL250" s="234"/>
      <c r="AM250" s="234"/>
      <c r="AN250" s="50"/>
      <c r="AO250" s="50"/>
      <c r="AP250" s="50"/>
      <c r="AQ250" s="50"/>
      <c r="AR250" s="50"/>
      <c r="AS250" s="50"/>
    </row>
    <row r="251" spans="2:45" s="41" customFormat="1" hidden="1" x14ac:dyDescent="0.25">
      <c r="B251" s="41" t="s">
        <v>80</v>
      </c>
      <c r="E251" s="19">
        <v>1</v>
      </c>
      <c r="F251" s="31"/>
      <c r="G251" s="19"/>
      <c r="H251" s="19"/>
      <c r="I251" s="233"/>
      <c r="J251" s="470"/>
      <c r="K251" s="470"/>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33"/>
      <c r="AH251" s="233"/>
      <c r="AI251" s="233"/>
      <c r="AJ251" s="233"/>
      <c r="AK251" s="233"/>
      <c r="AL251" s="233"/>
      <c r="AM251" s="233"/>
      <c r="AN251" s="40"/>
      <c r="AO251" s="40"/>
      <c r="AP251" s="40"/>
      <c r="AQ251" s="40"/>
      <c r="AR251" s="40"/>
      <c r="AS251" s="40"/>
    </row>
    <row r="252" spans="2:45" s="48" customFormat="1" hidden="1" x14ac:dyDescent="0.25">
      <c r="B252" s="93" t="s">
        <v>0</v>
      </c>
      <c r="D252" s="128">
        <f>SUM(E252:G252)</f>
        <v>6</v>
      </c>
      <c r="E252" s="50">
        <f>SUM(E253:E259)</f>
        <v>3</v>
      </c>
      <c r="F252" s="50">
        <f>SUM(F253:F259)</f>
        <v>2</v>
      </c>
      <c r="G252" s="50">
        <f>SUM(G253:G259)</f>
        <v>1</v>
      </c>
      <c r="H252" s="50">
        <f>SUM(H253:H259)</f>
        <v>0</v>
      </c>
      <c r="I252" s="234"/>
      <c r="J252" s="471"/>
      <c r="K252" s="471"/>
      <c r="L252" s="234"/>
      <c r="M252" s="234"/>
      <c r="N252" s="234"/>
      <c r="O252" s="234"/>
      <c r="P252" s="234"/>
      <c r="Q252" s="234"/>
      <c r="R252" s="234"/>
      <c r="S252" s="234"/>
      <c r="T252" s="234"/>
      <c r="U252" s="234"/>
      <c r="V252" s="234"/>
      <c r="W252" s="234"/>
      <c r="X252" s="234"/>
      <c r="Y252" s="234"/>
      <c r="Z252" s="234"/>
      <c r="AA252" s="234"/>
      <c r="AB252" s="234"/>
      <c r="AC252" s="234"/>
      <c r="AD252" s="234"/>
      <c r="AE252" s="234"/>
      <c r="AF252" s="234"/>
      <c r="AG252" s="234"/>
      <c r="AH252" s="234"/>
      <c r="AI252" s="234"/>
      <c r="AJ252" s="234"/>
      <c r="AK252" s="234"/>
      <c r="AL252" s="234"/>
      <c r="AM252" s="234"/>
      <c r="AN252" s="50"/>
      <c r="AO252" s="50"/>
      <c r="AP252" s="50"/>
      <c r="AQ252" s="50"/>
      <c r="AR252" s="50"/>
      <c r="AS252" s="50"/>
    </row>
    <row r="253" spans="2:45" s="41" customFormat="1" hidden="1" x14ac:dyDescent="0.25">
      <c r="B253" s="41" t="s">
        <v>127</v>
      </c>
      <c r="E253" s="29"/>
      <c r="F253" s="20">
        <v>1</v>
      </c>
      <c r="G253" s="36"/>
      <c r="H253" s="20"/>
      <c r="I253" s="233"/>
      <c r="J253" s="470"/>
      <c r="K253" s="470"/>
      <c r="L253" s="233"/>
      <c r="M253" s="233"/>
      <c r="N253" s="233"/>
      <c r="O253" s="233"/>
      <c r="P253" s="233"/>
      <c r="Q253" s="233"/>
      <c r="R253" s="233"/>
      <c r="S253" s="233"/>
      <c r="T253" s="233"/>
      <c r="U253" s="233"/>
      <c r="V253" s="233"/>
      <c r="W253" s="233"/>
      <c r="X253" s="233"/>
      <c r="Y253" s="233"/>
      <c r="Z253" s="233"/>
      <c r="AA253" s="233"/>
      <c r="AB253" s="233"/>
      <c r="AC253" s="233"/>
      <c r="AD253" s="233"/>
      <c r="AE253" s="233"/>
      <c r="AF253" s="233"/>
      <c r="AG253" s="233"/>
      <c r="AH253" s="233"/>
      <c r="AI253" s="233"/>
      <c r="AJ253" s="233"/>
      <c r="AK253" s="233"/>
      <c r="AL253" s="233"/>
      <c r="AM253" s="233"/>
      <c r="AN253" s="40"/>
      <c r="AO253" s="40"/>
      <c r="AP253" s="40"/>
      <c r="AQ253" s="40"/>
      <c r="AR253" s="40"/>
      <c r="AS253" s="40"/>
    </row>
    <row r="254" spans="2:45" s="48" customFormat="1" hidden="1" x14ac:dyDescent="0.25">
      <c r="B254" s="48" t="s">
        <v>81</v>
      </c>
      <c r="E254" s="26"/>
      <c r="F254" s="22"/>
      <c r="G254" s="234">
        <v>1</v>
      </c>
      <c r="H254" s="22"/>
      <c r="I254" s="234"/>
      <c r="J254" s="471"/>
      <c r="K254" s="471"/>
      <c r="L254" s="234"/>
      <c r="M254" s="234"/>
      <c r="N254" s="234"/>
      <c r="O254" s="234"/>
      <c r="P254" s="234"/>
      <c r="Q254" s="234"/>
      <c r="R254" s="234"/>
      <c r="S254" s="234"/>
      <c r="T254" s="234"/>
      <c r="U254" s="234"/>
      <c r="V254" s="234"/>
      <c r="W254" s="234"/>
      <c r="X254" s="234"/>
      <c r="Y254" s="234">
        <v>1</v>
      </c>
      <c r="Z254" s="234"/>
      <c r="AA254" s="234"/>
      <c r="AB254" s="234"/>
      <c r="AC254" s="234"/>
      <c r="AD254" s="234"/>
      <c r="AE254" s="234"/>
      <c r="AF254" s="234"/>
      <c r="AG254" s="234"/>
      <c r="AH254" s="234"/>
      <c r="AI254" s="234"/>
      <c r="AJ254" s="234"/>
      <c r="AK254" s="234"/>
      <c r="AL254" s="234"/>
      <c r="AM254" s="234"/>
      <c r="AN254" s="50"/>
      <c r="AO254" s="50"/>
      <c r="AP254" s="50"/>
      <c r="AQ254" s="50"/>
      <c r="AR254" s="50"/>
      <c r="AS254" s="50"/>
    </row>
    <row r="255" spans="2:45" s="41" customFormat="1" hidden="1" x14ac:dyDescent="0.25">
      <c r="B255" s="41" t="s">
        <v>82</v>
      </c>
      <c r="E255" s="30"/>
      <c r="F255" s="8">
        <v>1</v>
      </c>
      <c r="G255" s="233"/>
      <c r="H255" s="8"/>
      <c r="I255" s="233"/>
      <c r="J255" s="470"/>
      <c r="K255" s="470"/>
      <c r="L255" s="233"/>
      <c r="M255" s="101"/>
      <c r="N255" s="101"/>
      <c r="O255" s="101"/>
      <c r="P255" s="101"/>
      <c r="Q255" s="101"/>
      <c r="R255" s="101"/>
      <c r="S255" s="101"/>
      <c r="T255" s="101"/>
      <c r="U255" s="101"/>
      <c r="V255" s="233"/>
      <c r="W255" s="233"/>
      <c r="X255" s="233"/>
      <c r="Y255" s="233"/>
      <c r="Z255" s="233"/>
      <c r="AA255" s="233"/>
      <c r="AB255" s="233"/>
      <c r="AC255" s="233"/>
      <c r="AD255" s="233"/>
      <c r="AE255" s="233"/>
      <c r="AF255" s="233"/>
      <c r="AG255" s="233"/>
      <c r="AH255" s="233"/>
      <c r="AI255" s="233"/>
      <c r="AJ255" s="233"/>
      <c r="AK255" s="233"/>
      <c r="AL255" s="233"/>
      <c r="AM255" s="233"/>
      <c r="AN255" s="40"/>
      <c r="AO255" s="40"/>
      <c r="AP255" s="40"/>
      <c r="AQ255" s="40"/>
      <c r="AR255" s="40"/>
      <c r="AS255" s="40"/>
    </row>
    <row r="256" spans="2:45" s="48" customFormat="1" hidden="1" x14ac:dyDescent="0.25">
      <c r="B256" s="48" t="s">
        <v>83</v>
      </c>
      <c r="E256" s="26">
        <v>1</v>
      </c>
      <c r="F256" s="22"/>
      <c r="G256" s="234"/>
      <c r="H256" s="22"/>
      <c r="I256" s="234"/>
      <c r="J256" s="471"/>
      <c r="K256" s="471"/>
      <c r="L256" s="234"/>
      <c r="M256" s="234"/>
      <c r="N256" s="234"/>
      <c r="O256" s="234"/>
      <c r="P256" s="234"/>
      <c r="Q256" s="234"/>
      <c r="R256" s="234"/>
      <c r="S256" s="234"/>
      <c r="T256" s="234"/>
      <c r="U256" s="234"/>
      <c r="V256" s="234"/>
      <c r="W256" s="234"/>
      <c r="X256" s="234"/>
      <c r="Y256" s="234"/>
      <c r="Z256" s="234"/>
      <c r="AA256" s="234"/>
      <c r="AB256" s="234"/>
      <c r="AC256" s="234"/>
      <c r="AD256" s="234"/>
      <c r="AE256" s="234"/>
      <c r="AF256" s="234"/>
      <c r="AG256" s="234"/>
      <c r="AH256" s="234"/>
      <c r="AI256" s="234"/>
      <c r="AJ256" s="234"/>
      <c r="AK256" s="234"/>
      <c r="AL256" s="234"/>
      <c r="AM256" s="234"/>
      <c r="AN256" s="50"/>
      <c r="AO256" s="50"/>
      <c r="AP256" s="50"/>
      <c r="AQ256" s="50"/>
      <c r="AR256" s="50"/>
      <c r="AS256" s="50"/>
    </row>
    <row r="257" spans="2:45" s="41" customFormat="1" hidden="1" x14ac:dyDescent="0.25">
      <c r="B257" s="41" t="s">
        <v>84</v>
      </c>
      <c r="E257" s="30"/>
      <c r="F257" s="8"/>
      <c r="G257" s="233"/>
      <c r="H257" s="8"/>
      <c r="I257" s="233"/>
      <c r="J257" s="470"/>
      <c r="K257" s="470"/>
      <c r="L257" s="233"/>
      <c r="M257" s="233"/>
      <c r="N257" s="233"/>
      <c r="O257" s="233"/>
      <c r="P257" s="233"/>
      <c r="Q257" s="233"/>
      <c r="R257" s="233"/>
      <c r="S257" s="233"/>
      <c r="T257" s="233"/>
      <c r="U257" s="233"/>
      <c r="V257" s="233"/>
      <c r="W257" s="233"/>
      <c r="X257" s="233"/>
      <c r="Y257" s="233">
        <v>1</v>
      </c>
      <c r="Z257" s="233"/>
      <c r="AA257" s="233"/>
      <c r="AB257" s="233"/>
      <c r="AC257" s="233"/>
      <c r="AD257" s="233"/>
      <c r="AE257" s="233"/>
      <c r="AF257" s="233"/>
      <c r="AG257" s="233"/>
      <c r="AH257" s="233"/>
      <c r="AI257" s="233"/>
      <c r="AJ257" s="233"/>
      <c r="AK257" s="233"/>
      <c r="AL257" s="233"/>
      <c r="AM257" s="233"/>
      <c r="AN257" s="40"/>
      <c r="AO257" s="40"/>
      <c r="AP257" s="40"/>
      <c r="AQ257" s="40"/>
      <c r="AR257" s="40"/>
      <c r="AS257" s="40"/>
    </row>
    <row r="258" spans="2:45" s="48" customFormat="1" hidden="1" x14ac:dyDescent="0.25">
      <c r="B258" s="48" t="s">
        <v>85</v>
      </c>
      <c r="E258" s="26">
        <v>1</v>
      </c>
      <c r="F258" s="22"/>
      <c r="G258" s="234"/>
      <c r="H258" s="22"/>
      <c r="I258" s="234"/>
      <c r="J258" s="471"/>
      <c r="K258" s="471"/>
      <c r="L258" s="234"/>
      <c r="M258" s="234"/>
      <c r="N258" s="234"/>
      <c r="O258" s="234"/>
      <c r="P258" s="234"/>
      <c r="Q258" s="234"/>
      <c r="R258" s="234"/>
      <c r="S258" s="234"/>
      <c r="T258" s="234"/>
      <c r="U258" s="234"/>
      <c r="V258" s="234"/>
      <c r="W258" s="234"/>
      <c r="X258" s="234"/>
      <c r="Y258" s="234"/>
      <c r="Z258" s="234"/>
      <c r="AA258" s="234"/>
      <c r="AB258" s="234"/>
      <c r="AC258" s="234"/>
      <c r="AD258" s="234"/>
      <c r="AE258" s="234"/>
      <c r="AF258" s="234"/>
      <c r="AG258" s="234"/>
      <c r="AH258" s="234"/>
      <c r="AI258" s="234"/>
      <c r="AJ258" s="234"/>
      <c r="AK258" s="234"/>
      <c r="AL258" s="234"/>
      <c r="AM258" s="234"/>
      <c r="AN258" s="50"/>
      <c r="AO258" s="50"/>
      <c r="AP258" s="50"/>
      <c r="AQ258" s="50"/>
      <c r="AR258" s="50"/>
      <c r="AS258" s="50"/>
    </row>
    <row r="259" spans="2:45" s="41" customFormat="1" hidden="1" x14ac:dyDescent="0.25">
      <c r="B259" s="41" t="s">
        <v>87</v>
      </c>
      <c r="E259" s="31">
        <v>1</v>
      </c>
      <c r="F259" s="19"/>
      <c r="G259" s="37"/>
      <c r="H259" s="19"/>
      <c r="I259" s="233"/>
      <c r="J259" s="470"/>
      <c r="K259" s="470"/>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233"/>
      <c r="AH259" s="233"/>
      <c r="AI259" s="233"/>
      <c r="AJ259" s="233"/>
      <c r="AK259" s="233"/>
      <c r="AL259" s="233"/>
      <c r="AM259" s="233"/>
      <c r="AN259" s="40"/>
      <c r="AO259" s="40"/>
      <c r="AP259" s="40"/>
      <c r="AQ259" s="40"/>
      <c r="AR259" s="40"/>
      <c r="AS259" s="40"/>
    </row>
    <row r="260" spans="2:45" s="48" customFormat="1" hidden="1" x14ac:dyDescent="0.25">
      <c r="B260" s="93" t="s">
        <v>94</v>
      </c>
      <c r="D260" s="128">
        <f>SUM(E260:G260)</f>
        <v>0</v>
      </c>
      <c r="E260" s="234"/>
      <c r="F260" s="234">
        <f>SUM(F261)</f>
        <v>0</v>
      </c>
      <c r="G260" s="234"/>
      <c r="H260" s="234"/>
      <c r="I260" s="234"/>
      <c r="J260" s="471"/>
      <c r="K260" s="471"/>
      <c r="L260" s="234"/>
      <c r="M260" s="234"/>
      <c r="N260" s="234"/>
      <c r="O260" s="234"/>
      <c r="P260" s="234"/>
      <c r="Q260" s="234"/>
      <c r="R260" s="234"/>
      <c r="S260" s="234"/>
      <c r="T260" s="234"/>
      <c r="U260" s="234"/>
      <c r="V260" s="234"/>
      <c r="W260" s="234"/>
      <c r="X260" s="234"/>
      <c r="Y260" s="234"/>
      <c r="Z260" s="234"/>
      <c r="AA260" s="234"/>
      <c r="AB260" s="234"/>
      <c r="AC260" s="234"/>
      <c r="AD260" s="234"/>
      <c r="AE260" s="234"/>
      <c r="AF260" s="234"/>
      <c r="AG260" s="234"/>
      <c r="AH260" s="234"/>
      <c r="AI260" s="234"/>
      <c r="AJ260" s="234"/>
      <c r="AK260" s="234"/>
      <c r="AL260" s="234"/>
      <c r="AM260" s="234"/>
      <c r="AN260" s="50"/>
      <c r="AO260" s="50"/>
      <c r="AP260" s="50"/>
      <c r="AQ260" s="50"/>
      <c r="AR260" s="50"/>
      <c r="AS260" s="50"/>
    </row>
    <row r="261" spans="2:45" s="41" customFormat="1" hidden="1" x14ac:dyDescent="0.25">
      <c r="B261" s="41" t="s">
        <v>86</v>
      </c>
      <c r="E261" s="44"/>
      <c r="F261" s="45"/>
      <c r="G261" s="45">
        <v>1</v>
      </c>
      <c r="H261" s="46"/>
      <c r="I261" s="233"/>
      <c r="J261" s="470"/>
      <c r="K261" s="470"/>
      <c r="L261" s="233"/>
      <c r="M261" s="233"/>
      <c r="N261" s="233"/>
      <c r="O261" s="233">
        <v>1</v>
      </c>
      <c r="P261" s="233"/>
      <c r="Q261" s="233"/>
      <c r="R261" s="233"/>
      <c r="S261" s="233"/>
      <c r="T261" s="233"/>
      <c r="U261" s="233"/>
      <c r="V261" s="233"/>
      <c r="W261" s="233"/>
      <c r="X261" s="233"/>
      <c r="Y261" s="233"/>
      <c r="Z261" s="233"/>
      <c r="AA261" s="233"/>
      <c r="AB261" s="233"/>
      <c r="AC261" s="233"/>
      <c r="AD261" s="233"/>
      <c r="AE261" s="233"/>
      <c r="AF261" s="233"/>
      <c r="AG261" s="233"/>
      <c r="AH261" s="233"/>
      <c r="AI261" s="233"/>
      <c r="AJ261" s="233"/>
      <c r="AK261" s="233">
        <v>1</v>
      </c>
      <c r="AL261" s="233"/>
      <c r="AM261" s="233"/>
      <c r="AN261" s="40"/>
      <c r="AO261" s="40"/>
      <c r="AP261" s="40"/>
      <c r="AQ261" s="40"/>
      <c r="AR261" s="40"/>
      <c r="AS261" s="40"/>
    </row>
    <row r="262" spans="2:45" hidden="1" x14ac:dyDescent="0.25">
      <c r="B262" s="1" t="s">
        <v>7</v>
      </c>
      <c r="G262" s="234"/>
    </row>
    <row r="263" spans="2:45" hidden="1" x14ac:dyDescent="0.25">
      <c r="G263" s="234"/>
    </row>
    <row r="264" spans="2:45" hidden="1" x14ac:dyDescent="0.25">
      <c r="E264" s="17" t="s">
        <v>7</v>
      </c>
      <c r="G264" s="234"/>
    </row>
    <row r="265" spans="2:45" hidden="1" x14ac:dyDescent="0.25">
      <c r="C265" s="1" t="s">
        <v>7</v>
      </c>
      <c r="G265" s="234"/>
    </row>
    <row r="266" spans="2:45" hidden="1" x14ac:dyDescent="0.25">
      <c r="G266" s="234"/>
    </row>
    <row r="267" spans="2:45" hidden="1" x14ac:dyDescent="0.25">
      <c r="G267" s="234"/>
    </row>
    <row r="268" spans="2:45" hidden="1" x14ac:dyDescent="0.25">
      <c r="G268" s="234"/>
    </row>
    <row r="269" spans="2:45" hidden="1" x14ac:dyDescent="0.25">
      <c r="G269" s="234"/>
    </row>
    <row r="270" spans="2:45" hidden="1" x14ac:dyDescent="0.25">
      <c r="G270" s="234"/>
    </row>
    <row r="271" spans="2:45" hidden="1" x14ac:dyDescent="0.25">
      <c r="G271" s="234"/>
    </row>
    <row r="272" spans="2:45" hidden="1" x14ac:dyDescent="0.25">
      <c r="G272" s="234"/>
    </row>
    <row r="273" spans="7:7" hidden="1" x14ac:dyDescent="0.25">
      <c r="G273" s="234"/>
    </row>
    <row r="274" spans="7:7" hidden="1" x14ac:dyDescent="0.25">
      <c r="G274" s="234"/>
    </row>
    <row r="275" spans="7:7" hidden="1" x14ac:dyDescent="0.25">
      <c r="G275" s="234"/>
    </row>
    <row r="276" spans="7:7" hidden="1" x14ac:dyDescent="0.25">
      <c r="G276" s="234"/>
    </row>
    <row r="277" spans="7:7" hidden="1" x14ac:dyDescent="0.25">
      <c r="G277" s="234"/>
    </row>
    <row r="278" spans="7:7" hidden="1" x14ac:dyDescent="0.25">
      <c r="G278" s="234"/>
    </row>
    <row r="279" spans="7:7" hidden="1" x14ac:dyDescent="0.25">
      <c r="G279" s="234"/>
    </row>
    <row r="280" spans="7:7" hidden="1" x14ac:dyDescent="0.25">
      <c r="G280" s="234"/>
    </row>
    <row r="281" spans="7:7" hidden="1" x14ac:dyDescent="0.25">
      <c r="G281" s="234"/>
    </row>
    <row r="282" spans="7:7" hidden="1" x14ac:dyDescent="0.25">
      <c r="G282" s="234"/>
    </row>
    <row r="283" spans="7:7" hidden="1" x14ac:dyDescent="0.25">
      <c r="G283" s="234"/>
    </row>
    <row r="284" spans="7:7" hidden="1" x14ac:dyDescent="0.25">
      <c r="G284" s="234"/>
    </row>
    <row r="285" spans="7:7" hidden="1" x14ac:dyDescent="0.25">
      <c r="G285" s="234"/>
    </row>
    <row r="286" spans="7:7" hidden="1" x14ac:dyDescent="0.25">
      <c r="G286" s="234"/>
    </row>
    <row r="287" spans="7:7" hidden="1" x14ac:dyDescent="0.25">
      <c r="G287" s="234"/>
    </row>
    <row r="288" spans="7:7" hidden="1" x14ac:dyDescent="0.25">
      <c r="G288" s="234"/>
    </row>
    <row r="289" spans="7:7" hidden="1" x14ac:dyDescent="0.25">
      <c r="G289" s="234"/>
    </row>
    <row r="290" spans="7:7" hidden="1" x14ac:dyDescent="0.25">
      <c r="G290" s="234"/>
    </row>
    <row r="291" spans="7:7" hidden="1" x14ac:dyDescent="0.25">
      <c r="G291" s="234"/>
    </row>
    <row r="292" spans="7:7" hidden="1" x14ac:dyDescent="0.25">
      <c r="G292" s="234"/>
    </row>
    <row r="293" spans="7:7" hidden="1" x14ac:dyDescent="0.25">
      <c r="G293" s="234"/>
    </row>
    <row r="294" spans="7:7" hidden="1" x14ac:dyDescent="0.25">
      <c r="G294" s="234"/>
    </row>
    <row r="295" spans="7:7" hidden="1" x14ac:dyDescent="0.25">
      <c r="G295" s="234"/>
    </row>
    <row r="296" spans="7:7" hidden="1" x14ac:dyDescent="0.25">
      <c r="G296" s="234"/>
    </row>
    <row r="297" spans="7:7" hidden="1" x14ac:dyDescent="0.25">
      <c r="G297" s="234"/>
    </row>
    <row r="298" spans="7:7" hidden="1" x14ac:dyDescent="0.25">
      <c r="G298" s="234"/>
    </row>
    <row r="299" spans="7:7" hidden="1" x14ac:dyDescent="0.25">
      <c r="G299" s="234"/>
    </row>
    <row r="300" spans="7:7" hidden="1" x14ac:dyDescent="0.25">
      <c r="G300" s="234"/>
    </row>
    <row r="301" spans="7:7" hidden="1" x14ac:dyDescent="0.25">
      <c r="G301" s="234"/>
    </row>
    <row r="302" spans="7:7" hidden="1" x14ac:dyDescent="0.25">
      <c r="G302" s="234"/>
    </row>
    <row r="303" spans="7:7" hidden="1" x14ac:dyDescent="0.25">
      <c r="G303" s="234"/>
    </row>
    <row r="304" spans="7:7" hidden="1" x14ac:dyDescent="0.25">
      <c r="G304" s="234"/>
    </row>
    <row r="305" spans="7:7" hidden="1" x14ac:dyDescent="0.25">
      <c r="G305" s="234"/>
    </row>
    <row r="306" spans="7:7" hidden="1" x14ac:dyDescent="0.25">
      <c r="G306" s="234"/>
    </row>
    <row r="307" spans="7:7" hidden="1" x14ac:dyDescent="0.25">
      <c r="G307" s="234"/>
    </row>
    <row r="308" spans="7:7" hidden="1" x14ac:dyDescent="0.25">
      <c r="G308" s="234"/>
    </row>
    <row r="309" spans="7:7" hidden="1" x14ac:dyDescent="0.25">
      <c r="G309" s="234"/>
    </row>
    <row r="310" spans="7:7" hidden="1" x14ac:dyDescent="0.25">
      <c r="G310" s="234"/>
    </row>
    <row r="311" spans="7:7" hidden="1" x14ac:dyDescent="0.25">
      <c r="G311" s="234"/>
    </row>
    <row r="312" spans="7:7" hidden="1" x14ac:dyDescent="0.25">
      <c r="G312" s="234"/>
    </row>
    <row r="313" spans="7:7" hidden="1" x14ac:dyDescent="0.25">
      <c r="G313" s="234"/>
    </row>
    <row r="314" spans="7:7" hidden="1" x14ac:dyDescent="0.25">
      <c r="G314" s="234"/>
    </row>
    <row r="315" spans="7:7" hidden="1" x14ac:dyDescent="0.25">
      <c r="G315" s="234"/>
    </row>
    <row r="316" spans="7:7" hidden="1" x14ac:dyDescent="0.25">
      <c r="G316" s="234"/>
    </row>
    <row r="317" spans="7:7" hidden="1" x14ac:dyDescent="0.25">
      <c r="G317" s="234"/>
    </row>
    <row r="318" spans="7:7" hidden="1" x14ac:dyDescent="0.25">
      <c r="G318" s="234"/>
    </row>
    <row r="319" spans="7:7" hidden="1" x14ac:dyDescent="0.25">
      <c r="G319" s="234"/>
    </row>
    <row r="320" spans="7:7" hidden="1" x14ac:dyDescent="0.25">
      <c r="G320" s="234"/>
    </row>
    <row r="321" spans="7:7" hidden="1" x14ac:dyDescent="0.25">
      <c r="G321" s="234"/>
    </row>
    <row r="322" spans="7:7" hidden="1" x14ac:dyDescent="0.25">
      <c r="G322" s="234"/>
    </row>
    <row r="323" spans="7:7" hidden="1" x14ac:dyDescent="0.25">
      <c r="G323" s="234"/>
    </row>
    <row r="324" spans="7:7" hidden="1" x14ac:dyDescent="0.25">
      <c r="G324" s="234"/>
    </row>
    <row r="325" spans="7:7" hidden="1" x14ac:dyDescent="0.25">
      <c r="G325" s="234"/>
    </row>
    <row r="326" spans="7:7" hidden="1" x14ac:dyDescent="0.25">
      <c r="G326" s="234"/>
    </row>
    <row r="327" spans="7:7" hidden="1" x14ac:dyDescent="0.25">
      <c r="G327" s="234"/>
    </row>
    <row r="328" spans="7:7" hidden="1" x14ac:dyDescent="0.25">
      <c r="G328" s="234"/>
    </row>
    <row r="329" spans="7:7" hidden="1" x14ac:dyDescent="0.25">
      <c r="G329" s="234"/>
    </row>
    <row r="330" spans="7:7" hidden="1" x14ac:dyDescent="0.25">
      <c r="G330" s="234"/>
    </row>
  </sheetData>
  <mergeCells count="85">
    <mergeCell ref="B2:C2"/>
    <mergeCell ref="B6:O6"/>
    <mergeCell ref="B8:E8"/>
    <mergeCell ref="F8:G8"/>
    <mergeCell ref="H8:I8"/>
    <mergeCell ref="J8:K8"/>
    <mergeCell ref="L8:M8"/>
    <mergeCell ref="B9:E9"/>
    <mergeCell ref="B47:V47"/>
    <mergeCell ref="B50:D52"/>
    <mergeCell ref="E50:F50"/>
    <mergeCell ref="G50:V50"/>
    <mergeCell ref="E51:E52"/>
    <mergeCell ref="F51:F52"/>
    <mergeCell ref="G51:K51"/>
    <mergeCell ref="L51:M51"/>
    <mergeCell ref="N51:O51"/>
    <mergeCell ref="J184:K184"/>
    <mergeCell ref="AJ51:AJ52"/>
    <mergeCell ref="AK51:AK52"/>
    <mergeCell ref="AL51:AL52"/>
    <mergeCell ref="AM51:AM52"/>
    <mergeCell ref="V51:V52"/>
    <mergeCell ref="W51:W52"/>
    <mergeCell ref="X51:X52"/>
    <mergeCell ref="Y51:Y52"/>
    <mergeCell ref="AA51:AA52"/>
    <mergeCell ref="AD51:AD52"/>
    <mergeCell ref="P51:P52"/>
    <mergeCell ref="Q51:Q52"/>
    <mergeCell ref="R51:R52"/>
    <mergeCell ref="S51:S52"/>
    <mergeCell ref="T51:T52"/>
    <mergeCell ref="AP51:AP52"/>
    <mergeCell ref="AQ51:AQ52"/>
    <mergeCell ref="B138:O139"/>
    <mergeCell ref="B175:C175"/>
    <mergeCell ref="J183:K183"/>
    <mergeCell ref="AN51:AN52"/>
    <mergeCell ref="AO51:AO52"/>
    <mergeCell ref="U51:U52"/>
    <mergeCell ref="J204:K204"/>
    <mergeCell ref="J190:K190"/>
    <mergeCell ref="J191:K191"/>
    <mergeCell ref="J192:K192"/>
    <mergeCell ref="J193:K193"/>
    <mergeCell ref="J194:K194"/>
    <mergeCell ref="J195:K195"/>
    <mergeCell ref="J196:K196"/>
    <mergeCell ref="J200:K200"/>
    <mergeCell ref="J201:K201"/>
    <mergeCell ref="J202:K202"/>
    <mergeCell ref="J203:K203"/>
    <mergeCell ref="J241:K241"/>
    <mergeCell ref="J205:K205"/>
    <mergeCell ref="J206:K206"/>
    <mergeCell ref="J207:K207"/>
    <mergeCell ref="J208:K208"/>
    <mergeCell ref="J209:K209"/>
    <mergeCell ref="J216:K216"/>
    <mergeCell ref="J223:K223"/>
    <mergeCell ref="J224:K224"/>
    <mergeCell ref="J225:K225"/>
    <mergeCell ref="J226:K226"/>
    <mergeCell ref="J240:K240"/>
    <mergeCell ref="J253:K253"/>
    <mergeCell ref="J242:K242"/>
    <mergeCell ref="J243:K243"/>
    <mergeCell ref="J244:K244"/>
    <mergeCell ref="J245:K245"/>
    <mergeCell ref="J246:K246"/>
    <mergeCell ref="J247:K247"/>
    <mergeCell ref="J248:K248"/>
    <mergeCell ref="J249:K249"/>
    <mergeCell ref="J250:K250"/>
    <mergeCell ref="J251:K251"/>
    <mergeCell ref="J252:K252"/>
    <mergeCell ref="J260:K260"/>
    <mergeCell ref="J261:K261"/>
    <mergeCell ref="J254:K254"/>
    <mergeCell ref="J255:K255"/>
    <mergeCell ref="J256:K256"/>
    <mergeCell ref="J257:K257"/>
    <mergeCell ref="J258:K258"/>
    <mergeCell ref="J259:K259"/>
  </mergeCells>
  <pageMargins left="0.7" right="0.7" top="0.75" bottom="0.75" header="0.3" footer="0.3"/>
  <ignoredErrors>
    <ignoredError sqref="I11 J11" formula="1"/>
    <ignoredError sqref="J12" formulaRange="1"/>
  </ignoredError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C195-22D3-49AB-BDC2-4399FED92757}">
  <dimension ref="B2:AI373"/>
  <sheetViews>
    <sheetView showGridLines="0" workbookViewId="0">
      <selection activeCell="I117" sqref="I117"/>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1" style="17" customWidth="1"/>
    <col min="8" max="8" width="11.77734375" style="234" customWidth="1"/>
    <col min="9" max="9" width="11.21875" style="234" customWidth="1"/>
    <col min="10" max="10" width="11.88671875" style="234" customWidth="1"/>
    <col min="11" max="11" width="9.77734375" style="234" customWidth="1"/>
    <col min="12" max="12" width="11.88671875" style="234" customWidth="1"/>
    <col min="13" max="13" width="10.77734375" style="234" customWidth="1"/>
    <col min="14" max="14" width="12.21875" style="234" customWidth="1"/>
    <col min="15" max="15" width="12.6640625" style="234" customWidth="1"/>
    <col min="16" max="17" width="12.44140625" style="234" customWidth="1"/>
    <col min="18" max="18" width="11.77734375" style="234" customWidth="1"/>
    <col min="19" max="19" width="12.33203125" style="234" customWidth="1"/>
    <col min="20" max="20" width="12.77734375" style="234" customWidth="1"/>
    <col min="21" max="21" width="11.88671875" style="234" customWidth="1"/>
    <col min="22" max="22" width="11.6640625" style="17" customWidth="1"/>
    <col min="23" max="23" width="10.5546875" style="17" customWidth="1"/>
    <col min="24" max="24" width="11.6640625" style="17" customWidth="1"/>
    <col min="25" max="25" width="10.6640625" style="17" customWidth="1"/>
    <col min="26" max="26" width="0.77734375" style="17" customWidth="1"/>
    <col min="27" max="27" width="12.44140625" style="17" customWidth="1"/>
    <col min="28" max="16384" width="8.88671875" style="1"/>
  </cols>
  <sheetData>
    <row r="2" spans="2:21" ht="18.600000000000001" customHeight="1" x14ac:dyDescent="0.25">
      <c r="B2" s="431" t="s">
        <v>394</v>
      </c>
      <c r="C2" s="432"/>
      <c r="E2" s="50"/>
    </row>
    <row r="3" spans="2:21" ht="20.399999999999999" customHeight="1" x14ac:dyDescent="0.3">
      <c r="B3" s="5" t="s">
        <v>484</v>
      </c>
      <c r="E3" s="1"/>
    </row>
    <row r="4" spans="2:21" ht="9" customHeight="1" x14ac:dyDescent="0.3">
      <c r="B4" s="5"/>
      <c r="E4" s="1"/>
    </row>
    <row r="5" spans="2:21" x14ac:dyDescent="0.25">
      <c r="B5" s="100" t="s">
        <v>354</v>
      </c>
      <c r="E5" s="1"/>
    </row>
    <row r="6" spans="2:21" ht="35.4" customHeight="1" x14ac:dyDescent="0.25">
      <c r="B6" s="433" t="s">
        <v>355</v>
      </c>
      <c r="C6" s="433"/>
      <c r="D6" s="433"/>
      <c r="E6" s="433"/>
      <c r="F6" s="433"/>
      <c r="G6" s="433"/>
      <c r="H6" s="433"/>
      <c r="I6" s="433"/>
      <c r="J6" s="433"/>
      <c r="K6" s="433"/>
      <c r="L6" s="433"/>
    </row>
    <row r="7" spans="2:21" x14ac:dyDescent="0.25">
      <c r="E7" s="1"/>
    </row>
    <row r="8" spans="2:21" ht="53.4" customHeight="1" x14ac:dyDescent="0.25">
      <c r="B8" s="434" t="s">
        <v>12</v>
      </c>
      <c r="C8" s="435"/>
      <c r="D8" s="435"/>
      <c r="E8" s="436"/>
      <c r="F8" s="437" t="s">
        <v>356</v>
      </c>
      <c r="G8" s="438"/>
      <c r="H8" s="437" t="s">
        <v>357</v>
      </c>
      <c r="I8" s="438"/>
      <c r="J8" s="439" t="s">
        <v>358</v>
      </c>
      <c r="K8" s="440"/>
      <c r="L8" s="439" t="s">
        <v>359</v>
      </c>
      <c r="M8" s="441"/>
    </row>
    <row r="9" spans="2:21" ht="14.4" customHeight="1" x14ac:dyDescent="0.25">
      <c r="B9" s="443" t="s">
        <v>432</v>
      </c>
      <c r="C9" s="444"/>
      <c r="D9" s="444"/>
      <c r="E9" s="445"/>
      <c r="F9" s="60" t="s">
        <v>13</v>
      </c>
      <c r="G9" s="60" t="s">
        <v>14</v>
      </c>
      <c r="H9" s="60" t="s">
        <v>13</v>
      </c>
      <c r="I9" s="60" t="s">
        <v>14</v>
      </c>
      <c r="J9" s="115" t="s">
        <v>13</v>
      </c>
      <c r="K9" s="115" t="s">
        <v>14</v>
      </c>
      <c r="L9" s="60" t="s">
        <v>13</v>
      </c>
      <c r="M9" s="60" t="s">
        <v>14</v>
      </c>
    </row>
    <row r="10" spans="2:21" x14ac:dyDescent="0.25">
      <c r="B10" s="13"/>
      <c r="C10" s="9"/>
      <c r="D10" s="9"/>
      <c r="E10" s="9"/>
      <c r="F10" s="6"/>
      <c r="G10" s="120"/>
      <c r="H10" s="6"/>
      <c r="I10" s="120"/>
      <c r="J10" s="6"/>
      <c r="K10" s="120"/>
      <c r="L10" s="6"/>
      <c r="M10" s="6"/>
      <c r="O10" s="24"/>
    </row>
    <row r="11" spans="2:21" ht="14.4" customHeight="1" x14ac:dyDescent="0.25">
      <c r="B11" s="14" t="s">
        <v>15</v>
      </c>
      <c r="C11" s="10"/>
      <c r="D11" s="10"/>
      <c r="E11" s="95">
        <f>F11+H11+J11+L11</f>
        <v>72</v>
      </c>
      <c r="F11" s="7">
        <f>F13+F18+F24+F31+F35+F50+F55+F63</f>
        <v>20</v>
      </c>
      <c r="G11" s="121">
        <f>F11/72</f>
        <v>0.27777777777777779</v>
      </c>
      <c r="H11" s="53">
        <f>SUM(H13+H18+H24+H31+H35+H50+H55+H63)</f>
        <v>22</v>
      </c>
      <c r="I11" s="121">
        <f>H11/72</f>
        <v>0.30555555555555558</v>
      </c>
      <c r="J11" s="7">
        <f>SUM(J13+J18+J24+J31+J35+J50+J55+J63)</f>
        <v>24</v>
      </c>
      <c r="K11" s="121">
        <f>J11/72</f>
        <v>0.33333333333333331</v>
      </c>
      <c r="L11" s="145">
        <f>L13+L18+L24+L31+L35+L50+L55+L63</f>
        <v>6</v>
      </c>
      <c r="M11" s="162">
        <f>L11/72</f>
        <v>8.3333333333333329E-2</v>
      </c>
      <c r="N11" s="24"/>
      <c r="O11" s="24"/>
      <c r="P11" s="24"/>
      <c r="Q11" s="24"/>
      <c r="R11" s="24"/>
      <c r="S11" s="24"/>
      <c r="T11" s="24"/>
      <c r="U11" s="24"/>
    </row>
    <row r="12" spans="2:21" x14ac:dyDescent="0.25">
      <c r="B12" s="15"/>
      <c r="C12" s="12"/>
      <c r="D12" s="12"/>
      <c r="E12" s="56"/>
      <c r="F12" s="7"/>
      <c r="G12" s="118"/>
      <c r="H12" s="7"/>
      <c r="I12" s="118"/>
      <c r="J12" s="7"/>
      <c r="K12" s="118"/>
      <c r="L12" s="7"/>
      <c r="M12" s="7"/>
    </row>
    <row r="13" spans="2:21" x14ac:dyDescent="0.25">
      <c r="B13" s="16" t="s">
        <v>22</v>
      </c>
      <c r="C13" s="11"/>
      <c r="D13" s="11"/>
      <c r="E13" s="156"/>
      <c r="F13" s="8">
        <f>F221</f>
        <v>0</v>
      </c>
      <c r="G13" s="233"/>
      <c r="H13" s="8">
        <v>0</v>
      </c>
      <c r="I13" s="233"/>
      <c r="J13" s="8">
        <v>4</v>
      </c>
      <c r="K13" s="233"/>
      <c r="L13" s="8">
        <v>0</v>
      </c>
      <c r="M13" s="8"/>
    </row>
    <row r="14" spans="2:21" ht="13.2" hidden="1" customHeight="1" x14ac:dyDescent="0.25">
      <c r="B14" s="62" t="s">
        <v>133</v>
      </c>
      <c r="C14" s="11"/>
      <c r="D14" s="11"/>
      <c r="E14" s="96"/>
      <c r="F14" s="63"/>
      <c r="G14" s="233"/>
      <c r="H14" s="8"/>
      <c r="I14" s="233"/>
      <c r="J14" s="67">
        <v>1</v>
      </c>
      <c r="K14" s="233"/>
      <c r="L14" s="8"/>
      <c r="M14" s="8"/>
    </row>
    <row r="15" spans="2:21" ht="13.2" hidden="1" customHeight="1" x14ac:dyDescent="0.25">
      <c r="B15" s="62" t="s">
        <v>105</v>
      </c>
      <c r="C15" s="11"/>
      <c r="D15" s="11"/>
      <c r="E15" s="96"/>
      <c r="F15" s="63"/>
      <c r="G15" s="233"/>
      <c r="H15" s="8"/>
      <c r="I15" s="233"/>
      <c r="J15" s="68">
        <v>1</v>
      </c>
      <c r="K15" s="233"/>
      <c r="L15" s="8"/>
      <c r="M15" s="8"/>
    </row>
    <row r="16" spans="2:21" ht="13.2" hidden="1" customHeight="1" x14ac:dyDescent="0.25">
      <c r="B16" s="62" t="s">
        <v>158</v>
      </c>
      <c r="C16" s="11"/>
      <c r="D16" s="11"/>
      <c r="E16" s="96"/>
      <c r="F16" s="63"/>
      <c r="G16" s="233"/>
      <c r="H16" s="8"/>
      <c r="I16" s="233"/>
      <c r="J16" s="68">
        <v>1</v>
      </c>
      <c r="K16" s="233"/>
      <c r="L16" s="8"/>
      <c r="M16" s="8"/>
    </row>
    <row r="17" spans="2:13" ht="13.2" hidden="1" customHeight="1" x14ac:dyDescent="0.25">
      <c r="B17" s="62" t="s">
        <v>159</v>
      </c>
      <c r="C17" s="11"/>
      <c r="D17" s="11"/>
      <c r="E17" s="96"/>
      <c r="F17" s="63"/>
      <c r="G17" s="233"/>
      <c r="H17" s="8"/>
      <c r="I17" s="233"/>
      <c r="J17" s="69">
        <v>1</v>
      </c>
      <c r="K17" s="233"/>
      <c r="L17" s="63"/>
      <c r="M17" s="8"/>
    </row>
    <row r="18" spans="2:13" ht="14.4" customHeight="1" x14ac:dyDescent="0.25">
      <c r="B18" s="15" t="s">
        <v>20</v>
      </c>
      <c r="C18" s="12"/>
      <c r="D18" s="12"/>
      <c r="E18" s="95"/>
      <c r="F18" s="7">
        <v>2</v>
      </c>
      <c r="G18" s="118"/>
      <c r="H18" s="7">
        <v>0</v>
      </c>
      <c r="I18" s="118"/>
      <c r="J18" s="7">
        <v>3</v>
      </c>
      <c r="K18" s="118"/>
      <c r="L18" s="7">
        <f>I227</f>
        <v>0</v>
      </c>
      <c r="M18" s="7"/>
    </row>
    <row r="19" spans="2:13" ht="14.4" hidden="1" customHeight="1" x14ac:dyDescent="0.25">
      <c r="B19" s="64" t="s">
        <v>160</v>
      </c>
      <c r="C19" s="12"/>
      <c r="D19" s="12"/>
      <c r="E19" s="118"/>
      <c r="F19" s="164"/>
      <c r="G19" s="118"/>
      <c r="H19" s="7"/>
      <c r="I19" s="118"/>
      <c r="J19" s="67">
        <v>1</v>
      </c>
      <c r="K19" s="118"/>
      <c r="L19" s="146"/>
      <c r="M19" s="7"/>
    </row>
    <row r="20" spans="2:13" ht="14.4" hidden="1" customHeight="1" x14ac:dyDescent="0.25">
      <c r="B20" s="64" t="s">
        <v>106</v>
      </c>
      <c r="C20" s="12"/>
      <c r="D20" s="12"/>
      <c r="E20" s="118"/>
      <c r="F20" s="164"/>
      <c r="G20" s="118"/>
      <c r="H20" s="7"/>
      <c r="I20" s="118"/>
      <c r="J20" s="68">
        <v>1</v>
      </c>
      <c r="K20" s="118"/>
      <c r="L20" s="146"/>
      <c r="M20" s="7"/>
    </row>
    <row r="21" spans="2:13" ht="14.4" hidden="1" customHeight="1" x14ac:dyDescent="0.25">
      <c r="B21" s="64" t="s">
        <v>161</v>
      </c>
      <c r="C21" s="12"/>
      <c r="D21" s="12"/>
      <c r="E21" s="118"/>
      <c r="F21" s="164"/>
      <c r="G21" s="118"/>
      <c r="H21" s="7"/>
      <c r="I21" s="118"/>
      <c r="J21" s="68">
        <v>1</v>
      </c>
      <c r="K21" s="118"/>
      <c r="L21" s="146"/>
      <c r="M21" s="7"/>
    </row>
    <row r="22" spans="2:13" ht="14.4" hidden="1" customHeight="1" x14ac:dyDescent="0.25">
      <c r="B22" s="64" t="s">
        <v>162</v>
      </c>
      <c r="C22" s="12"/>
      <c r="D22" s="12"/>
      <c r="E22" s="118"/>
      <c r="F22" s="68">
        <v>1</v>
      </c>
      <c r="G22" s="118"/>
      <c r="H22" s="7"/>
      <c r="I22" s="118"/>
      <c r="J22" s="68"/>
      <c r="K22" s="118"/>
      <c r="L22" s="146"/>
      <c r="M22" s="7"/>
    </row>
    <row r="23" spans="2:13" ht="14.4" hidden="1" customHeight="1" x14ac:dyDescent="0.25">
      <c r="B23" s="64" t="s">
        <v>134</v>
      </c>
      <c r="C23" s="12"/>
      <c r="D23" s="12"/>
      <c r="E23" s="118"/>
      <c r="F23" s="69">
        <v>1</v>
      </c>
      <c r="G23" s="118"/>
      <c r="H23" s="7"/>
      <c r="I23" s="118"/>
      <c r="J23" s="69"/>
      <c r="K23" s="118"/>
      <c r="L23" s="146"/>
      <c r="M23" s="7"/>
    </row>
    <row r="24" spans="2:13" ht="14.4" customHeight="1" x14ac:dyDescent="0.25">
      <c r="B24" s="16" t="s">
        <v>16</v>
      </c>
      <c r="C24" s="11"/>
      <c r="D24" s="11"/>
      <c r="E24" s="156"/>
      <c r="F24" s="8">
        <f>F247</f>
        <v>5</v>
      </c>
      <c r="G24" s="233"/>
      <c r="H24" s="8">
        <f>G247</f>
        <v>5</v>
      </c>
      <c r="I24" s="233"/>
      <c r="J24" s="8">
        <v>1</v>
      </c>
      <c r="K24" s="233"/>
      <c r="L24" s="8">
        <v>0</v>
      </c>
      <c r="M24" s="8"/>
    </row>
    <row r="25" spans="2:13" ht="14.4" hidden="1" customHeight="1" x14ac:dyDescent="0.25">
      <c r="B25" s="62" t="s">
        <v>107</v>
      </c>
      <c r="C25" s="11"/>
      <c r="D25" s="11"/>
      <c r="E25" s="233"/>
      <c r="F25" s="119"/>
      <c r="G25" s="233"/>
      <c r="H25" s="8"/>
      <c r="I25" s="233"/>
      <c r="J25" s="67">
        <v>1</v>
      </c>
      <c r="K25" s="233"/>
      <c r="L25" s="63"/>
      <c r="M25" s="8"/>
    </row>
    <row r="26" spans="2:13" ht="14.4" hidden="1" customHeight="1" x14ac:dyDescent="0.25">
      <c r="B26" s="62" t="s">
        <v>135</v>
      </c>
      <c r="C26" s="11"/>
      <c r="D26" s="11"/>
      <c r="E26" s="233"/>
      <c r="F26" s="68">
        <v>1</v>
      </c>
      <c r="G26" s="233"/>
      <c r="H26" s="8"/>
      <c r="I26" s="233"/>
      <c r="J26" s="68"/>
      <c r="K26" s="233"/>
      <c r="L26" s="63"/>
      <c r="M26" s="8"/>
    </row>
    <row r="27" spans="2:13" ht="14.4" hidden="1" customHeight="1" x14ac:dyDescent="0.25">
      <c r="B27" s="62" t="s">
        <v>136</v>
      </c>
      <c r="C27" s="11"/>
      <c r="D27" s="11"/>
      <c r="E27" s="233"/>
      <c r="F27" s="68">
        <v>1</v>
      </c>
      <c r="G27" s="233"/>
      <c r="H27" s="8"/>
      <c r="I27" s="233"/>
      <c r="J27" s="68"/>
      <c r="K27" s="233"/>
      <c r="L27" s="63"/>
      <c r="M27" s="8"/>
    </row>
    <row r="28" spans="2:13" ht="14.4" hidden="1" customHeight="1" x14ac:dyDescent="0.25">
      <c r="B28" s="62" t="s">
        <v>252</v>
      </c>
      <c r="C28" s="11"/>
      <c r="D28" s="11"/>
      <c r="E28" s="233"/>
      <c r="F28" s="68">
        <v>1</v>
      </c>
      <c r="G28" s="233"/>
      <c r="H28" s="8"/>
      <c r="I28" s="233"/>
      <c r="J28" s="68"/>
      <c r="K28" s="233"/>
      <c r="L28" s="63"/>
      <c r="M28" s="8"/>
    </row>
    <row r="29" spans="2:13" ht="14.4" hidden="1" customHeight="1" x14ac:dyDescent="0.25">
      <c r="B29" s="62" t="s">
        <v>145</v>
      </c>
      <c r="C29" s="11"/>
      <c r="D29" s="11"/>
      <c r="E29" s="233"/>
      <c r="F29" s="68">
        <v>1</v>
      </c>
      <c r="G29" s="233"/>
      <c r="H29" s="8"/>
      <c r="I29" s="233"/>
      <c r="J29" s="68"/>
      <c r="K29" s="233"/>
      <c r="L29" s="63"/>
      <c r="M29" s="8"/>
    </row>
    <row r="30" spans="2:13" ht="14.4" hidden="1" customHeight="1" x14ac:dyDescent="0.25">
      <c r="B30" s="62" t="s">
        <v>213</v>
      </c>
      <c r="C30" s="11"/>
      <c r="D30" s="11"/>
      <c r="E30" s="233"/>
      <c r="F30" s="69">
        <v>1</v>
      </c>
      <c r="G30" s="233"/>
      <c r="H30" s="8"/>
      <c r="I30" s="233"/>
      <c r="J30" s="69"/>
      <c r="K30" s="233"/>
      <c r="L30" s="63"/>
      <c r="M30" s="8"/>
    </row>
    <row r="31" spans="2:13" ht="14.4" customHeight="1" x14ac:dyDescent="0.25">
      <c r="B31" s="15" t="s">
        <v>17</v>
      </c>
      <c r="C31" s="12"/>
      <c r="D31" s="12"/>
      <c r="E31" s="95"/>
      <c r="F31" s="7">
        <f>F234</f>
        <v>2</v>
      </c>
      <c r="G31" s="118"/>
      <c r="H31" s="7">
        <f>G234</f>
        <v>7</v>
      </c>
      <c r="I31" s="118"/>
      <c r="J31" s="7">
        <f>E234</f>
        <v>1</v>
      </c>
      <c r="K31" s="118"/>
      <c r="L31" s="7">
        <v>1</v>
      </c>
      <c r="M31" s="7"/>
    </row>
    <row r="32" spans="2:13" ht="14.4" hidden="1" customHeight="1" x14ac:dyDescent="0.25">
      <c r="B32" s="64" t="s">
        <v>163</v>
      </c>
      <c r="C32" s="65"/>
      <c r="D32" s="65"/>
      <c r="E32" s="97"/>
      <c r="F32" s="67"/>
      <c r="G32" s="97"/>
      <c r="H32" s="66"/>
      <c r="I32" s="97"/>
      <c r="J32" s="67">
        <v>1</v>
      </c>
      <c r="K32" s="143"/>
      <c r="L32" s="144"/>
      <c r="M32" s="144"/>
    </row>
    <row r="33" spans="2:13" ht="14.4" hidden="1" customHeight="1" x14ac:dyDescent="0.25">
      <c r="B33" s="64" t="s">
        <v>108</v>
      </c>
      <c r="C33" s="65"/>
      <c r="D33" s="65"/>
      <c r="E33" s="97"/>
      <c r="F33" s="68">
        <v>1</v>
      </c>
      <c r="G33" s="97"/>
      <c r="H33" s="66"/>
      <c r="I33" s="97"/>
      <c r="J33" s="68"/>
      <c r="K33" s="143"/>
      <c r="L33" s="144"/>
      <c r="M33" s="144"/>
    </row>
    <row r="34" spans="2:13" ht="14.4" hidden="1" customHeight="1" x14ac:dyDescent="0.25">
      <c r="B34" s="122" t="s">
        <v>137</v>
      </c>
      <c r="C34" s="65"/>
      <c r="D34" s="65"/>
      <c r="E34" s="97"/>
      <c r="F34" s="69">
        <v>1</v>
      </c>
      <c r="G34" s="97"/>
      <c r="H34" s="66"/>
      <c r="I34" s="97"/>
      <c r="J34" s="69"/>
      <c r="K34" s="143"/>
      <c r="L34" s="144"/>
      <c r="M34" s="144"/>
    </row>
    <row r="35" spans="2:13" ht="14.4" customHeight="1" x14ac:dyDescent="0.25">
      <c r="B35" s="16" t="s">
        <v>19</v>
      </c>
      <c r="C35" s="11"/>
      <c r="D35" s="11"/>
      <c r="E35" s="156"/>
      <c r="F35" s="8">
        <f>F266</f>
        <v>6</v>
      </c>
      <c r="G35" s="233"/>
      <c r="H35" s="8">
        <v>9</v>
      </c>
      <c r="I35" s="233"/>
      <c r="J35" s="8">
        <f>E266</f>
        <v>8</v>
      </c>
      <c r="K35" s="233"/>
      <c r="L35" s="8">
        <v>4</v>
      </c>
      <c r="M35" s="8"/>
    </row>
    <row r="36" spans="2:13" ht="14.4" hidden="1" customHeight="1" x14ac:dyDescent="0.25">
      <c r="B36" s="62" t="s">
        <v>164</v>
      </c>
      <c r="C36" s="70"/>
      <c r="D36" s="70"/>
      <c r="E36" s="98"/>
      <c r="F36" s="67"/>
      <c r="G36" s="98"/>
      <c r="H36" s="63"/>
      <c r="I36" s="98"/>
      <c r="J36" s="67">
        <v>1</v>
      </c>
      <c r="K36" s="98"/>
      <c r="L36" s="63"/>
      <c r="M36" s="63"/>
    </row>
    <row r="37" spans="2:13" ht="14.4" hidden="1" customHeight="1" x14ac:dyDescent="0.25">
      <c r="B37" s="62" t="s">
        <v>138</v>
      </c>
      <c r="C37" s="70"/>
      <c r="D37" s="70"/>
      <c r="E37" s="98"/>
      <c r="F37" s="68">
        <v>1</v>
      </c>
      <c r="G37" s="98"/>
      <c r="H37" s="63"/>
      <c r="I37" s="98"/>
      <c r="J37" s="68"/>
      <c r="K37" s="98"/>
      <c r="L37" s="63"/>
      <c r="M37" s="63"/>
    </row>
    <row r="38" spans="2:13" ht="14.4" hidden="1" customHeight="1" x14ac:dyDescent="0.25">
      <c r="B38" s="62" t="s">
        <v>146</v>
      </c>
      <c r="C38" s="70"/>
      <c r="D38" s="70"/>
      <c r="E38" s="98"/>
      <c r="F38" s="68"/>
      <c r="G38" s="98"/>
      <c r="H38" s="63"/>
      <c r="I38" s="98"/>
      <c r="J38" s="68">
        <v>1</v>
      </c>
      <c r="K38" s="98"/>
      <c r="L38" s="63"/>
      <c r="M38" s="63"/>
    </row>
    <row r="39" spans="2:13" ht="14.4" hidden="1" customHeight="1" x14ac:dyDescent="0.25">
      <c r="B39" s="62" t="s">
        <v>165</v>
      </c>
      <c r="C39" s="70"/>
      <c r="D39" s="70"/>
      <c r="E39" s="98"/>
      <c r="F39" s="68"/>
      <c r="G39" s="98"/>
      <c r="H39" s="63"/>
      <c r="I39" s="98"/>
      <c r="J39" s="68">
        <v>1</v>
      </c>
      <c r="K39" s="98"/>
      <c r="L39" s="63"/>
      <c r="M39" s="63"/>
    </row>
    <row r="40" spans="2:13" ht="14.4" hidden="1" customHeight="1" x14ac:dyDescent="0.25">
      <c r="B40" s="62" t="s">
        <v>166</v>
      </c>
      <c r="C40" s="70"/>
      <c r="D40" s="70"/>
      <c r="E40" s="98"/>
      <c r="F40" s="68"/>
      <c r="G40" s="98"/>
      <c r="H40" s="63"/>
      <c r="I40" s="98"/>
      <c r="J40" s="68">
        <v>1</v>
      </c>
      <c r="K40" s="98"/>
      <c r="L40" s="63"/>
      <c r="M40" s="63"/>
    </row>
    <row r="41" spans="2:13" ht="14.4" hidden="1" customHeight="1" x14ac:dyDescent="0.25">
      <c r="B41" s="62" t="s">
        <v>109</v>
      </c>
      <c r="C41" s="70"/>
      <c r="D41" s="70"/>
      <c r="E41" s="98"/>
      <c r="F41" s="68">
        <v>1</v>
      </c>
      <c r="G41" s="98"/>
      <c r="H41" s="63"/>
      <c r="I41" s="98"/>
      <c r="J41" s="68"/>
      <c r="K41" s="98"/>
      <c r="L41" s="63"/>
      <c r="M41" s="63"/>
    </row>
    <row r="42" spans="2:13" ht="14.4" hidden="1" customHeight="1" x14ac:dyDescent="0.25">
      <c r="B42" s="62" t="s">
        <v>140</v>
      </c>
      <c r="C42" s="70"/>
      <c r="D42" s="70"/>
      <c r="E42" s="98"/>
      <c r="F42" s="68"/>
      <c r="G42" s="98"/>
      <c r="H42" s="63"/>
      <c r="I42" s="98"/>
      <c r="J42" s="68">
        <v>1</v>
      </c>
      <c r="K42" s="98"/>
      <c r="L42" s="63"/>
      <c r="M42" s="63"/>
    </row>
    <row r="43" spans="2:13" ht="14.4" hidden="1" customHeight="1" x14ac:dyDescent="0.25">
      <c r="B43" s="62" t="s">
        <v>110</v>
      </c>
      <c r="C43" s="70"/>
      <c r="D43" s="70"/>
      <c r="E43" s="98"/>
      <c r="F43" s="68">
        <v>1</v>
      </c>
      <c r="G43" s="98"/>
      <c r="H43" s="63"/>
      <c r="I43" s="98"/>
      <c r="J43" s="68"/>
      <c r="K43" s="98"/>
      <c r="L43" s="63"/>
      <c r="M43" s="63"/>
    </row>
    <row r="44" spans="2:13" ht="14.4" hidden="1" customHeight="1" x14ac:dyDescent="0.25">
      <c r="B44" s="62" t="s">
        <v>111</v>
      </c>
      <c r="C44" s="70"/>
      <c r="D44" s="70"/>
      <c r="E44" s="98"/>
      <c r="F44" s="68">
        <v>1</v>
      </c>
      <c r="G44" s="98"/>
      <c r="H44" s="63"/>
      <c r="I44" s="98"/>
      <c r="J44" s="68"/>
      <c r="K44" s="98"/>
      <c r="L44" s="63"/>
      <c r="M44" s="63"/>
    </row>
    <row r="45" spans="2:13" ht="14.4" hidden="1" customHeight="1" x14ac:dyDescent="0.25">
      <c r="B45" s="62" t="s">
        <v>112</v>
      </c>
      <c r="C45" s="70"/>
      <c r="D45" s="70"/>
      <c r="E45" s="98"/>
      <c r="F45" s="68"/>
      <c r="G45" s="98"/>
      <c r="H45" s="63"/>
      <c r="I45" s="98"/>
      <c r="J45" s="68">
        <v>1</v>
      </c>
      <c r="K45" s="98"/>
      <c r="L45" s="63"/>
      <c r="M45" s="63"/>
    </row>
    <row r="46" spans="2:13" ht="14.4" hidden="1" customHeight="1" x14ac:dyDescent="0.25">
      <c r="B46" s="62" t="s">
        <v>167</v>
      </c>
      <c r="C46" s="70"/>
      <c r="D46" s="70"/>
      <c r="E46" s="98"/>
      <c r="F46" s="68">
        <v>1</v>
      </c>
      <c r="G46" s="98"/>
      <c r="H46" s="63"/>
      <c r="I46" s="98"/>
      <c r="J46" s="68"/>
      <c r="K46" s="98"/>
      <c r="L46" s="63"/>
      <c r="M46" s="63"/>
    </row>
    <row r="47" spans="2:13" ht="14.4" hidden="1" customHeight="1" x14ac:dyDescent="0.25">
      <c r="B47" s="62" t="s">
        <v>139</v>
      </c>
      <c r="C47" s="70"/>
      <c r="D47" s="70"/>
      <c r="E47" s="98"/>
      <c r="F47" s="68">
        <v>1</v>
      </c>
      <c r="G47" s="98"/>
      <c r="H47" s="63"/>
      <c r="I47" s="98"/>
      <c r="J47" s="68"/>
      <c r="K47" s="98"/>
      <c r="L47" s="63"/>
      <c r="M47" s="63"/>
    </row>
    <row r="48" spans="2:13" ht="14.4" hidden="1" customHeight="1" x14ac:dyDescent="0.25">
      <c r="B48" s="62" t="s">
        <v>113</v>
      </c>
      <c r="C48" s="70"/>
      <c r="D48" s="70"/>
      <c r="E48" s="98"/>
      <c r="F48" s="68"/>
      <c r="G48" s="98"/>
      <c r="H48" s="63"/>
      <c r="I48" s="98"/>
      <c r="J48" s="68">
        <v>1</v>
      </c>
      <c r="K48" s="98"/>
      <c r="L48" s="63"/>
      <c r="M48" s="63"/>
    </row>
    <row r="49" spans="2:13" ht="14.4" hidden="1" customHeight="1" x14ac:dyDescent="0.25">
      <c r="B49" s="62" t="s">
        <v>114</v>
      </c>
      <c r="C49" s="70"/>
      <c r="D49" s="70"/>
      <c r="E49" s="98"/>
      <c r="F49" s="69"/>
      <c r="G49" s="98"/>
      <c r="H49" s="63"/>
      <c r="I49" s="98"/>
      <c r="J49" s="69">
        <v>1</v>
      </c>
      <c r="K49" s="98"/>
      <c r="L49" s="63"/>
      <c r="M49" s="63"/>
    </row>
    <row r="50" spans="2:13" ht="14.4" customHeight="1" x14ac:dyDescent="0.25">
      <c r="B50" s="15" t="s">
        <v>18</v>
      </c>
      <c r="C50" s="12"/>
      <c r="D50" s="12"/>
      <c r="E50" s="95"/>
      <c r="F50" s="7">
        <f>F259</f>
        <v>2</v>
      </c>
      <c r="G50" s="118"/>
      <c r="H50" s="7">
        <f>G259</f>
        <v>1</v>
      </c>
      <c r="I50" s="118"/>
      <c r="J50" s="7">
        <f>E259</f>
        <v>2</v>
      </c>
      <c r="K50" s="118"/>
      <c r="L50" s="7">
        <v>1</v>
      </c>
      <c r="M50" s="7"/>
    </row>
    <row r="51" spans="2:13" ht="14.4" hidden="1" customHeight="1" x14ac:dyDescent="0.25">
      <c r="B51" s="64" t="s">
        <v>168</v>
      </c>
      <c r="C51" s="12"/>
      <c r="D51" s="12"/>
      <c r="E51" s="118"/>
      <c r="F51" s="67">
        <v>1</v>
      </c>
      <c r="G51" s="118"/>
      <c r="H51" s="7"/>
      <c r="I51" s="118"/>
      <c r="J51" s="67">
        <v>1</v>
      </c>
      <c r="K51" s="118"/>
      <c r="L51" s="144"/>
      <c r="M51" s="7"/>
    </row>
    <row r="52" spans="2:13" ht="14.4" hidden="1" customHeight="1" x14ac:dyDescent="0.25">
      <c r="B52" s="64" t="s">
        <v>115</v>
      </c>
      <c r="C52" s="12"/>
      <c r="D52" s="12"/>
      <c r="E52" s="118"/>
      <c r="F52" s="68"/>
      <c r="G52" s="118"/>
      <c r="H52" s="7"/>
      <c r="I52" s="118"/>
      <c r="J52" s="68"/>
      <c r="K52" s="118"/>
      <c r="L52" s="144"/>
      <c r="M52" s="7"/>
    </row>
    <row r="53" spans="2:13" ht="14.4" hidden="1" customHeight="1" x14ac:dyDescent="0.25">
      <c r="B53" s="64" t="s">
        <v>141</v>
      </c>
      <c r="C53" s="12"/>
      <c r="D53" s="12"/>
      <c r="E53" s="118"/>
      <c r="F53" s="68">
        <v>1</v>
      </c>
      <c r="G53" s="118"/>
      <c r="H53" s="7"/>
      <c r="I53" s="118"/>
      <c r="J53" s="68"/>
      <c r="K53" s="118"/>
      <c r="L53" s="144"/>
      <c r="M53" s="7"/>
    </row>
    <row r="54" spans="2:13" ht="14.4" hidden="1" customHeight="1" x14ac:dyDescent="0.25">
      <c r="B54" s="64" t="s">
        <v>116</v>
      </c>
      <c r="C54" s="12"/>
      <c r="D54" s="12"/>
      <c r="E54" s="118"/>
      <c r="F54" s="69"/>
      <c r="G54" s="118"/>
      <c r="H54" s="7"/>
      <c r="I54" s="118"/>
      <c r="J54" s="69">
        <v>1</v>
      </c>
      <c r="K54" s="118"/>
      <c r="L54" s="144"/>
      <c r="M54" s="7"/>
    </row>
    <row r="55" spans="2:13" ht="14.4" customHeight="1" x14ac:dyDescent="0.25">
      <c r="B55" s="16" t="s">
        <v>0</v>
      </c>
      <c r="C55" s="11"/>
      <c r="D55" s="11"/>
      <c r="E55" s="156"/>
      <c r="F55" s="8">
        <f>F295</f>
        <v>3</v>
      </c>
      <c r="G55" s="233"/>
      <c r="H55" s="8">
        <v>0</v>
      </c>
      <c r="I55" s="233"/>
      <c r="J55" s="8">
        <f>E295</f>
        <v>4</v>
      </c>
      <c r="K55" s="233"/>
      <c r="L55" s="8">
        <v>0</v>
      </c>
      <c r="M55" s="8"/>
    </row>
    <row r="56" spans="2:13" ht="14.4" hidden="1" customHeight="1" x14ac:dyDescent="0.25">
      <c r="B56" s="71" t="s">
        <v>117</v>
      </c>
      <c r="C56" s="70"/>
      <c r="D56" s="11"/>
      <c r="E56" s="233"/>
      <c r="F56" s="67">
        <v>1</v>
      </c>
      <c r="G56" s="233"/>
      <c r="H56" s="8"/>
      <c r="I56" s="233"/>
      <c r="J56" s="119"/>
      <c r="K56" s="233"/>
      <c r="L56" s="8"/>
      <c r="M56" s="8"/>
    </row>
    <row r="57" spans="2:13" ht="14.4" hidden="1" customHeight="1" x14ac:dyDescent="0.25">
      <c r="B57" s="71" t="s">
        <v>231</v>
      </c>
      <c r="C57" s="70"/>
      <c r="D57" s="11"/>
      <c r="E57" s="233"/>
      <c r="F57" s="68">
        <v>1</v>
      </c>
      <c r="G57" s="233"/>
      <c r="H57" s="8"/>
      <c r="I57" s="233"/>
      <c r="J57" s="164"/>
      <c r="K57" s="233"/>
      <c r="L57" s="8"/>
      <c r="M57" s="8"/>
    </row>
    <row r="58" spans="2:13" ht="14.4" hidden="1" customHeight="1" x14ac:dyDescent="0.25">
      <c r="B58" s="71" t="s">
        <v>169</v>
      </c>
      <c r="C58" s="70"/>
      <c r="D58" s="11"/>
      <c r="E58" s="233"/>
      <c r="F58" s="68">
        <v>1</v>
      </c>
      <c r="G58" s="233"/>
      <c r="H58" s="8"/>
      <c r="I58" s="233"/>
      <c r="J58" s="164"/>
      <c r="K58" s="233"/>
      <c r="L58" s="8"/>
      <c r="M58" s="8"/>
    </row>
    <row r="59" spans="2:13" ht="14.4" hidden="1" customHeight="1" x14ac:dyDescent="0.25">
      <c r="B59" s="71" t="s">
        <v>118</v>
      </c>
      <c r="C59" s="70"/>
      <c r="D59" s="11"/>
      <c r="E59" s="233"/>
      <c r="F59" s="68"/>
      <c r="G59" s="233"/>
      <c r="H59" s="8"/>
      <c r="I59" s="233"/>
      <c r="J59" s="68">
        <v>1</v>
      </c>
      <c r="K59" s="233"/>
      <c r="L59" s="63"/>
      <c r="M59" s="8"/>
    </row>
    <row r="60" spans="2:13" ht="14.4" hidden="1" customHeight="1" x14ac:dyDescent="0.25">
      <c r="B60" s="71" t="s">
        <v>119</v>
      </c>
      <c r="C60" s="70"/>
      <c r="D60" s="11"/>
      <c r="E60" s="233"/>
      <c r="F60" s="68"/>
      <c r="G60" s="233"/>
      <c r="H60" s="8"/>
      <c r="I60" s="233"/>
      <c r="J60" s="68">
        <v>1</v>
      </c>
      <c r="K60" s="233"/>
      <c r="L60" s="63"/>
      <c r="M60" s="8"/>
    </row>
    <row r="61" spans="2:13" ht="14.4" hidden="1" customHeight="1" x14ac:dyDescent="0.25">
      <c r="B61" s="71" t="s">
        <v>120</v>
      </c>
      <c r="C61" s="70"/>
      <c r="D61" s="11"/>
      <c r="E61" s="233"/>
      <c r="F61" s="68"/>
      <c r="G61" s="233"/>
      <c r="H61" s="8"/>
      <c r="I61" s="233"/>
      <c r="J61" s="68">
        <v>1</v>
      </c>
      <c r="K61" s="233"/>
      <c r="L61" s="63"/>
      <c r="M61" s="8"/>
    </row>
    <row r="62" spans="2:13" ht="14.4" hidden="1" customHeight="1" x14ac:dyDescent="0.25">
      <c r="B62" s="71" t="s">
        <v>121</v>
      </c>
      <c r="C62" s="70"/>
      <c r="D62" s="11"/>
      <c r="E62" s="233"/>
      <c r="F62" s="69"/>
      <c r="G62" s="233"/>
      <c r="H62" s="8"/>
      <c r="I62" s="233"/>
      <c r="J62" s="69">
        <v>1</v>
      </c>
      <c r="K62" s="233"/>
      <c r="L62" s="63"/>
      <c r="M62" s="8"/>
    </row>
    <row r="63" spans="2:13" ht="14.4" customHeight="1" x14ac:dyDescent="0.25">
      <c r="B63" s="72" t="s">
        <v>94</v>
      </c>
      <c r="C63" s="59"/>
      <c r="D63" s="59"/>
      <c r="E63" s="165"/>
      <c r="F63" s="23">
        <f>F303</f>
        <v>0</v>
      </c>
      <c r="G63" s="99"/>
      <c r="H63" s="23">
        <f>G303</f>
        <v>0</v>
      </c>
      <c r="I63" s="99"/>
      <c r="J63" s="23">
        <v>1</v>
      </c>
      <c r="K63" s="123"/>
      <c r="L63" s="23">
        <f>I303</f>
        <v>0</v>
      </c>
      <c r="M63" s="163"/>
    </row>
    <row r="64" spans="2:13" ht="13.2" hidden="1" customHeight="1" x14ac:dyDescent="0.25">
      <c r="B64" s="329" t="s">
        <v>269</v>
      </c>
      <c r="C64" s="249"/>
      <c r="D64" s="249"/>
      <c r="E64" s="252"/>
      <c r="F64" s="330"/>
      <c r="G64" s="252"/>
      <c r="H64" s="251"/>
      <c r="I64" s="252"/>
      <c r="J64" s="69">
        <v>1</v>
      </c>
      <c r="K64" s="87"/>
      <c r="L64" s="331"/>
    </row>
    <row r="65" spans="2:12" ht="9.6" customHeight="1" x14ac:dyDescent="0.25">
      <c r="B65" s="12"/>
      <c r="C65" s="12"/>
      <c r="D65" s="12"/>
      <c r="E65" s="118"/>
      <c r="F65" s="118"/>
      <c r="G65" s="118"/>
      <c r="H65" s="118"/>
      <c r="I65" s="118"/>
      <c r="J65" s="118"/>
      <c r="K65" s="118"/>
      <c r="L65" s="118"/>
    </row>
    <row r="66" spans="2:12" ht="17.399999999999999" customHeight="1" x14ac:dyDescent="0.25">
      <c r="B66" s="10" t="s">
        <v>495</v>
      </c>
      <c r="C66" s="12"/>
      <c r="D66" s="12"/>
      <c r="E66" s="118"/>
      <c r="F66" s="118"/>
      <c r="G66" s="118"/>
      <c r="H66" s="118"/>
      <c r="I66" s="118"/>
      <c r="J66" s="118"/>
      <c r="K66" s="118"/>
      <c r="L66" s="118"/>
    </row>
    <row r="67" spans="2:12" ht="10.8" customHeight="1" x14ac:dyDescent="0.25">
      <c r="C67" s="12"/>
      <c r="D67" s="12"/>
      <c r="E67" s="118"/>
      <c r="F67" s="118"/>
      <c r="G67" s="118"/>
      <c r="H67" s="118"/>
      <c r="I67" s="118"/>
      <c r="J67" s="118"/>
      <c r="K67" s="118"/>
      <c r="L67" s="118"/>
    </row>
    <row r="68" spans="2:12" ht="26.4" customHeight="1" x14ac:dyDescent="0.25">
      <c r="B68" s="434" t="s">
        <v>95</v>
      </c>
      <c r="C68" s="435"/>
      <c r="D68" s="436"/>
      <c r="E68" s="462" t="s">
        <v>155</v>
      </c>
      <c r="F68" s="463"/>
      <c r="G68" s="467" t="s">
        <v>142</v>
      </c>
      <c r="H68" s="468"/>
      <c r="I68" s="469"/>
      <c r="J68" s="140"/>
      <c r="K68" s="140"/>
      <c r="L68" s="140"/>
    </row>
    <row r="69" spans="2:12" ht="28.2" customHeight="1" x14ac:dyDescent="0.25">
      <c r="B69" s="473"/>
      <c r="C69" s="474"/>
      <c r="D69" s="475"/>
      <c r="E69" s="428" t="s">
        <v>132</v>
      </c>
      <c r="F69" s="428" t="s">
        <v>97</v>
      </c>
      <c r="G69" s="412" t="s">
        <v>360</v>
      </c>
      <c r="H69" s="479" t="s">
        <v>361</v>
      </c>
      <c r="I69" s="472" t="s">
        <v>362</v>
      </c>
      <c r="K69" s="414"/>
      <c r="L69" s="414"/>
    </row>
    <row r="70" spans="2:12" ht="28.8" customHeight="1" x14ac:dyDescent="0.25">
      <c r="B70" s="476"/>
      <c r="C70" s="477"/>
      <c r="D70" s="478"/>
      <c r="E70" s="429"/>
      <c r="F70" s="429"/>
      <c r="G70" s="413"/>
      <c r="H70" s="480"/>
      <c r="I70" s="413"/>
      <c r="K70" s="414"/>
      <c r="L70" s="414"/>
    </row>
    <row r="71" spans="2:12" ht="13.2" customHeight="1" x14ac:dyDescent="0.25">
      <c r="B71" s="135"/>
      <c r="C71" s="136"/>
      <c r="D71" s="136"/>
      <c r="E71" s="137"/>
      <c r="F71" s="136"/>
      <c r="G71" s="137"/>
      <c r="H71" s="136"/>
      <c r="I71" s="137"/>
      <c r="K71" s="139"/>
      <c r="L71" s="139"/>
    </row>
    <row r="72" spans="2:12" ht="13.2" customHeight="1" x14ac:dyDescent="0.25">
      <c r="B72" s="73" t="s">
        <v>8</v>
      </c>
      <c r="C72" s="74"/>
      <c r="D72" s="75"/>
      <c r="E72" s="157">
        <f>E74+E77+E80</f>
        <v>6</v>
      </c>
      <c r="F72" s="76">
        <f>F74+F77+F80</f>
        <v>6</v>
      </c>
      <c r="G72" s="77">
        <f>G74+G77+G80</f>
        <v>4</v>
      </c>
      <c r="H72" s="77">
        <f>H74+H77+H80</f>
        <v>1</v>
      </c>
      <c r="I72" s="77">
        <f>I74+I77+I80</f>
        <v>1</v>
      </c>
      <c r="K72" s="139"/>
      <c r="L72" s="139"/>
    </row>
    <row r="73" spans="2:12" ht="13.2" customHeight="1" x14ac:dyDescent="0.25">
      <c r="B73" s="135"/>
      <c r="C73" s="136"/>
      <c r="D73" s="151"/>
      <c r="E73" s="142"/>
      <c r="F73" s="139"/>
      <c r="G73" s="142"/>
      <c r="H73" s="139"/>
      <c r="I73" s="142"/>
      <c r="K73" s="139"/>
      <c r="L73" s="139" t="s">
        <v>7</v>
      </c>
    </row>
    <row r="74" spans="2:12" ht="13.2" customHeight="1" x14ac:dyDescent="0.25">
      <c r="B74" s="58" t="s">
        <v>96</v>
      </c>
      <c r="C74" s="91"/>
      <c r="D74" s="126"/>
      <c r="E74" s="92">
        <v>1</v>
      </c>
      <c r="F74" s="52">
        <f>SUM(F75)</f>
        <v>1</v>
      </c>
      <c r="G74" s="92">
        <f>SUM(G75)</f>
        <v>1</v>
      </c>
      <c r="H74" s="52"/>
      <c r="I74" s="92"/>
      <c r="K74" s="52"/>
      <c r="L74" s="52"/>
    </row>
    <row r="75" spans="2:12" ht="13.2" customHeight="1" x14ac:dyDescent="0.25">
      <c r="B75" s="57" t="s">
        <v>36</v>
      </c>
      <c r="C75" s="49"/>
      <c r="D75" s="130"/>
      <c r="E75" s="22"/>
      <c r="F75" s="124">
        <f>SUM(G75:I75)</f>
        <v>1</v>
      </c>
      <c r="G75" s="85">
        <v>1</v>
      </c>
      <c r="H75" s="124"/>
      <c r="I75" s="85"/>
    </row>
    <row r="76" spans="2:12" ht="13.2" customHeight="1" x14ac:dyDescent="0.25">
      <c r="B76" s="57"/>
      <c r="C76" s="49"/>
      <c r="D76" s="130"/>
      <c r="E76" s="22"/>
      <c r="F76" s="234"/>
      <c r="G76" s="21"/>
      <c r="H76" s="21"/>
      <c r="I76" s="22"/>
    </row>
    <row r="77" spans="2:12" ht="13.2" customHeight="1" x14ac:dyDescent="0.25">
      <c r="B77" s="58" t="s">
        <v>363</v>
      </c>
      <c r="C77" s="49"/>
      <c r="D77" s="130"/>
      <c r="E77" s="92">
        <v>1</v>
      </c>
      <c r="F77" s="52">
        <f>SUM(F78)</f>
        <v>1</v>
      </c>
      <c r="G77" s="92">
        <f>SUM(G78)</f>
        <v>0</v>
      </c>
      <c r="H77" s="92">
        <f>SUM(H78)</f>
        <v>1</v>
      </c>
      <c r="I77" s="22"/>
    </row>
    <row r="78" spans="2:12" ht="13.2" customHeight="1" x14ac:dyDescent="0.25">
      <c r="B78" s="57" t="s">
        <v>53</v>
      </c>
      <c r="C78" s="12"/>
      <c r="D78" s="152"/>
      <c r="E78" s="7"/>
      <c r="F78" s="124">
        <f>SUM(G78:I78)</f>
        <v>1</v>
      </c>
      <c r="G78" s="85"/>
      <c r="H78" s="85">
        <v>1</v>
      </c>
      <c r="I78" s="85"/>
    </row>
    <row r="79" spans="2:12" ht="13.2" customHeight="1" x14ac:dyDescent="0.25">
      <c r="B79" s="57"/>
      <c r="C79" s="12"/>
      <c r="D79" s="152"/>
      <c r="E79" s="7"/>
      <c r="F79" s="118"/>
      <c r="G79" s="7"/>
      <c r="H79" s="6"/>
      <c r="I79" s="6"/>
    </row>
    <row r="80" spans="2:12" ht="13.2" customHeight="1" x14ac:dyDescent="0.25">
      <c r="B80" s="58" t="s">
        <v>101</v>
      </c>
      <c r="C80" s="12"/>
      <c r="D80" s="152"/>
      <c r="E80" s="141">
        <v>4</v>
      </c>
      <c r="F80" s="95">
        <f>SUM(F81:F85)</f>
        <v>4</v>
      </c>
      <c r="G80" s="141">
        <f>SUM(G81:G85)</f>
        <v>3</v>
      </c>
      <c r="H80" s="141">
        <f>SUM(H81:H85)</f>
        <v>0</v>
      </c>
      <c r="I80" s="141">
        <f>SUM(I81:I85)</f>
        <v>1</v>
      </c>
    </row>
    <row r="81" spans="2:35" ht="13.2" customHeight="1" x14ac:dyDescent="0.25">
      <c r="B81" s="57" t="s">
        <v>60</v>
      </c>
      <c r="C81" s="12"/>
      <c r="D81" s="152"/>
      <c r="E81" s="113"/>
      <c r="F81" s="82">
        <f t="shared" ref="F81" si="0">SUM(G81:I81)</f>
        <v>1</v>
      </c>
      <c r="G81" s="131">
        <v>1</v>
      </c>
      <c r="H81" s="102"/>
      <c r="I81" s="82"/>
    </row>
    <row r="82" spans="2:35" ht="13.2" customHeight="1" x14ac:dyDescent="0.25">
      <c r="B82" s="57" t="s">
        <v>153</v>
      </c>
      <c r="C82" s="12"/>
      <c r="D82" s="152"/>
      <c r="E82" s="113"/>
      <c r="F82" s="83">
        <f>SUM(G82:I82)</f>
        <v>1</v>
      </c>
      <c r="G82" s="103">
        <v>1</v>
      </c>
      <c r="H82" s="101"/>
      <c r="I82" s="83"/>
    </row>
    <row r="83" spans="2:35" ht="13.2" customHeight="1" x14ac:dyDescent="0.25">
      <c r="B83" s="57" t="s">
        <v>364</v>
      </c>
      <c r="C83" s="12"/>
      <c r="D83" s="152"/>
      <c r="E83" s="113"/>
      <c r="F83" s="83">
        <f t="shared" ref="F83:F84" si="1">SUM(G83:I83)</f>
        <v>1</v>
      </c>
      <c r="G83" s="103">
        <v>1</v>
      </c>
      <c r="H83" s="101"/>
      <c r="I83" s="83"/>
    </row>
    <row r="84" spans="2:35" ht="13.2" customHeight="1" x14ac:dyDescent="0.25">
      <c r="B84" s="57" t="s">
        <v>79</v>
      </c>
      <c r="C84" s="12"/>
      <c r="D84" s="152"/>
      <c r="E84" s="113"/>
      <c r="F84" s="83">
        <f t="shared" si="1"/>
        <v>1</v>
      </c>
      <c r="G84" s="103"/>
      <c r="H84" s="101"/>
      <c r="I84" s="83">
        <v>1</v>
      </c>
    </row>
    <row r="85" spans="2:35" ht="13.2" customHeight="1" x14ac:dyDescent="0.25">
      <c r="B85" s="61"/>
      <c r="C85" s="134"/>
      <c r="D85" s="153"/>
      <c r="E85" s="138"/>
      <c r="F85" s="84"/>
      <c r="G85" s="332"/>
      <c r="H85" s="333"/>
      <c r="I85" s="334"/>
      <c r="K85" s="139"/>
      <c r="L85" s="139"/>
    </row>
    <row r="86" spans="2:35" ht="6" customHeight="1" x14ac:dyDescent="0.25">
      <c r="B86" s="446"/>
      <c r="C86" s="446"/>
      <c r="D86" s="446"/>
      <c r="E86" s="446"/>
      <c r="F86" s="446"/>
      <c r="G86" s="446"/>
      <c r="H86" s="446"/>
      <c r="I86" s="446"/>
      <c r="J86" s="446"/>
      <c r="K86" s="446"/>
      <c r="L86" s="446"/>
    </row>
    <row r="87" spans="2:35" ht="16.2" customHeight="1" x14ac:dyDescent="0.25">
      <c r="B87" s="10" t="s">
        <v>496</v>
      </c>
      <c r="C87" s="235"/>
      <c r="D87" s="235"/>
      <c r="E87" s="235"/>
      <c r="F87" s="235"/>
      <c r="G87" s="235"/>
      <c r="H87" s="235"/>
      <c r="I87" s="235"/>
      <c r="J87" s="235"/>
      <c r="K87" s="235"/>
      <c r="L87" s="235"/>
    </row>
    <row r="88" spans="2:35" ht="8.4" customHeight="1" x14ac:dyDescent="0.25">
      <c r="B88" s="10"/>
      <c r="C88" s="12"/>
      <c r="D88" s="12"/>
      <c r="E88" s="118"/>
      <c r="F88" s="118"/>
      <c r="G88" s="118"/>
      <c r="H88" s="118"/>
      <c r="I88" s="118"/>
      <c r="J88" s="118"/>
      <c r="K88" s="118"/>
      <c r="L88" s="118"/>
      <c r="V88" s="118"/>
      <c r="W88" s="118"/>
      <c r="X88" s="118"/>
      <c r="Y88" s="118"/>
      <c r="Z88" s="118"/>
      <c r="AA88" s="118"/>
      <c r="AB88" s="56"/>
      <c r="AC88" s="56"/>
      <c r="AD88" s="56"/>
      <c r="AE88" s="56"/>
      <c r="AF88" s="56"/>
      <c r="AG88" s="56"/>
      <c r="AH88" s="56"/>
      <c r="AI88" s="56"/>
    </row>
    <row r="89" spans="2:35" ht="38.4" customHeight="1" x14ac:dyDescent="0.25">
      <c r="B89" s="434" t="s">
        <v>95</v>
      </c>
      <c r="C89" s="435"/>
      <c r="D89" s="436"/>
      <c r="E89" s="462" t="s">
        <v>365</v>
      </c>
      <c r="F89" s="463"/>
      <c r="G89" s="425" t="s">
        <v>126</v>
      </c>
      <c r="H89" s="426"/>
      <c r="I89" s="426"/>
      <c r="J89" s="426"/>
      <c r="K89" s="426"/>
      <c r="L89" s="426"/>
      <c r="M89" s="167"/>
      <c r="N89" s="107"/>
      <c r="O89" s="107"/>
      <c r="P89" s="107"/>
      <c r="Q89" s="107"/>
      <c r="R89" s="107"/>
      <c r="S89" s="107"/>
      <c r="T89" s="107"/>
      <c r="U89" s="107"/>
      <c r="V89" s="107"/>
      <c r="W89" s="107"/>
      <c r="X89" s="107"/>
      <c r="Y89" s="107"/>
      <c r="Z89" s="49"/>
      <c r="AA89" s="49"/>
      <c r="AB89" s="49"/>
      <c r="AC89" s="49"/>
      <c r="AD89" s="56"/>
      <c r="AE89" s="56"/>
      <c r="AF89" s="56"/>
      <c r="AG89" s="56"/>
      <c r="AH89" s="56"/>
      <c r="AI89" s="56"/>
    </row>
    <row r="90" spans="2:35" ht="58.2" customHeight="1" x14ac:dyDescent="0.25">
      <c r="B90" s="473"/>
      <c r="C90" s="474"/>
      <c r="D90" s="475"/>
      <c r="E90" s="428" t="s">
        <v>132</v>
      </c>
      <c r="F90" s="412" t="s">
        <v>97</v>
      </c>
      <c r="G90" s="412" t="s">
        <v>366</v>
      </c>
      <c r="H90" s="412" t="s">
        <v>367</v>
      </c>
      <c r="I90" s="412" t="s">
        <v>498</v>
      </c>
      <c r="J90" s="472" t="s">
        <v>368</v>
      </c>
      <c r="K90" s="412" t="s">
        <v>369</v>
      </c>
      <c r="L90" s="412" t="s">
        <v>497</v>
      </c>
      <c r="M90" s="412" t="s">
        <v>370</v>
      </c>
      <c r="N90" s="414" t="s">
        <v>7</v>
      </c>
      <c r="O90" s="414"/>
      <c r="P90" s="414"/>
      <c r="Q90" s="414"/>
      <c r="R90" s="414"/>
      <c r="S90" s="414"/>
      <c r="T90" s="414"/>
      <c r="U90" s="414"/>
      <c r="V90" s="414"/>
      <c r="W90" s="414"/>
      <c r="X90" s="414"/>
      <c r="Y90" s="414"/>
      <c r="Z90" s="232"/>
      <c r="AA90" s="234"/>
    </row>
    <row r="91" spans="2:35" ht="27" customHeight="1" x14ac:dyDescent="0.25">
      <c r="B91" s="476"/>
      <c r="C91" s="477"/>
      <c r="D91" s="478"/>
      <c r="E91" s="429"/>
      <c r="F91" s="413"/>
      <c r="G91" s="413"/>
      <c r="H91" s="413"/>
      <c r="I91" s="413"/>
      <c r="J91" s="413"/>
      <c r="K91" s="413"/>
      <c r="L91" s="413"/>
      <c r="M91" s="413"/>
      <c r="N91" s="414"/>
      <c r="O91" s="414"/>
      <c r="P91" s="414"/>
      <c r="Q91" s="414"/>
      <c r="R91" s="414"/>
      <c r="S91" s="414"/>
      <c r="T91" s="414"/>
      <c r="U91" s="414"/>
      <c r="V91" s="414"/>
      <c r="W91" s="414"/>
      <c r="X91" s="414"/>
      <c r="Y91" s="414"/>
      <c r="Z91" s="232"/>
      <c r="AA91" s="234"/>
    </row>
    <row r="92" spans="2:35" s="48" customFormat="1" ht="9" customHeight="1" x14ac:dyDescent="0.25">
      <c r="B92" s="57"/>
      <c r="C92" s="49"/>
      <c r="D92" s="52"/>
      <c r="E92" s="21"/>
      <c r="F92" s="234"/>
      <c r="G92" s="89"/>
      <c r="H92" s="234"/>
      <c r="I92" s="87"/>
      <c r="J92" s="234"/>
      <c r="K92" s="87"/>
      <c r="L92" s="160"/>
      <c r="M92" s="168"/>
      <c r="N92" s="232"/>
      <c r="O92" s="232"/>
      <c r="P92" s="232"/>
      <c r="Q92" s="232"/>
      <c r="R92" s="232"/>
      <c r="S92" s="232"/>
      <c r="T92" s="232"/>
      <c r="U92" s="234"/>
      <c r="V92" s="234"/>
      <c r="W92" s="234"/>
      <c r="X92" s="234"/>
      <c r="Y92" s="234"/>
      <c r="Z92" s="234"/>
      <c r="AA92" s="234"/>
    </row>
    <row r="93" spans="2:35" x14ac:dyDescent="0.25">
      <c r="B93" s="73" t="s">
        <v>8</v>
      </c>
      <c r="C93" s="74"/>
      <c r="D93" s="75"/>
      <c r="E93" s="166">
        <f>E101+E108+E121+E134+E141+E169+E95</f>
        <v>22</v>
      </c>
      <c r="F93" s="76">
        <f>F101+F108+F121+F134+F141+F169+F178</f>
        <v>30</v>
      </c>
      <c r="G93" s="77">
        <f t="shared" ref="G93:M93" si="2">G101+G108+G121+G134+G141+G169+G95</f>
        <v>10</v>
      </c>
      <c r="H93" s="77">
        <f t="shared" si="2"/>
        <v>5</v>
      </c>
      <c r="I93" s="77">
        <f t="shared" si="2"/>
        <v>1</v>
      </c>
      <c r="J93" s="77">
        <f t="shared" si="2"/>
        <v>6</v>
      </c>
      <c r="K93" s="77">
        <f t="shared" si="2"/>
        <v>4</v>
      </c>
      <c r="L93" s="77">
        <f t="shared" si="2"/>
        <v>3</v>
      </c>
      <c r="M93" s="77">
        <f t="shared" si="2"/>
        <v>1</v>
      </c>
      <c r="U93" s="52"/>
      <c r="V93" s="52"/>
      <c r="W93" s="52"/>
      <c r="X93" s="52"/>
      <c r="Y93" s="52"/>
      <c r="Z93" s="234"/>
      <c r="AA93" s="234"/>
    </row>
    <row r="94" spans="2:35" s="48" customFormat="1" x14ac:dyDescent="0.25">
      <c r="B94" s="132" t="s">
        <v>7</v>
      </c>
      <c r="C94" s="170"/>
      <c r="D94" s="171"/>
      <c r="E94" s="21"/>
      <c r="F94" s="125"/>
      <c r="G94" s="89"/>
      <c r="H94" s="125"/>
      <c r="I94" s="21"/>
      <c r="J94" s="125"/>
      <c r="K94" s="21"/>
      <c r="L94" s="161"/>
      <c r="M94" s="21"/>
      <c r="N94" s="234"/>
      <c r="O94" s="234"/>
      <c r="P94" s="234"/>
      <c r="Q94" s="234"/>
      <c r="R94" s="234"/>
      <c r="S94" s="234"/>
      <c r="T94" s="234"/>
      <c r="U94" s="234"/>
      <c r="V94" s="234"/>
      <c r="W94" s="234"/>
      <c r="X94" s="234"/>
      <c r="Y94" s="234"/>
      <c r="Z94" s="234"/>
      <c r="AA94" s="234"/>
    </row>
    <row r="95" spans="2:35" s="93" customFormat="1" hidden="1" x14ac:dyDescent="0.25">
      <c r="B95" s="58" t="s">
        <v>122</v>
      </c>
      <c r="C95" s="91"/>
      <c r="D95" s="52"/>
      <c r="E95" s="133"/>
      <c r="F95" s="52">
        <f>SUM(F96:F99)</f>
        <v>0</v>
      </c>
      <c r="G95" s="92">
        <f>SUM(G96:G99)</f>
        <v>0</v>
      </c>
      <c r="H95" s="52">
        <f t="shared" ref="H95:L95" si="3">SUM(H96:H99)</f>
        <v>0</v>
      </c>
      <c r="I95" s="92">
        <f t="shared" si="3"/>
        <v>0</v>
      </c>
      <c r="J95" s="52">
        <f t="shared" si="3"/>
        <v>0</v>
      </c>
      <c r="K95" s="92">
        <f t="shared" si="3"/>
        <v>0</v>
      </c>
      <c r="L95" s="92">
        <f t="shared" si="3"/>
        <v>0</v>
      </c>
      <c r="M95" s="22"/>
      <c r="N95" s="234"/>
      <c r="O95" s="234"/>
      <c r="P95" s="234"/>
      <c r="Q95" s="234"/>
      <c r="R95" s="234"/>
      <c r="S95" s="234"/>
      <c r="T95" s="234"/>
      <c r="U95" s="52"/>
      <c r="V95" s="52"/>
      <c r="W95" s="52"/>
      <c r="X95" s="52"/>
      <c r="Y95" s="52"/>
      <c r="Z95" s="52"/>
      <c r="AA95" s="52"/>
    </row>
    <row r="96" spans="2:35" ht="13.2" hidden="1" customHeight="1" x14ac:dyDescent="0.25">
      <c r="B96" s="54" t="s">
        <v>124</v>
      </c>
      <c r="C96" s="56"/>
      <c r="D96" s="47"/>
      <c r="E96" s="22"/>
      <c r="F96" s="102">
        <f>SUM(G96:L96)</f>
        <v>0</v>
      </c>
      <c r="G96" s="304"/>
      <c r="H96" s="102"/>
      <c r="I96" s="82"/>
      <c r="J96" s="102"/>
      <c r="K96" s="82"/>
      <c r="L96" s="82"/>
      <c r="M96" s="22"/>
      <c r="V96" s="234"/>
      <c r="W96" s="234"/>
      <c r="X96" s="234"/>
      <c r="Y96" s="234"/>
      <c r="Z96" s="234"/>
      <c r="AA96" s="234"/>
    </row>
    <row r="97" spans="2:27" ht="13.2" hidden="1" customHeight="1" x14ac:dyDescent="0.25">
      <c r="B97" s="54" t="s">
        <v>6</v>
      </c>
      <c r="C97" s="56"/>
      <c r="D97" s="47"/>
      <c r="E97" s="22"/>
      <c r="F97" s="101">
        <f>SUM(G97:L97)</f>
        <v>0</v>
      </c>
      <c r="G97" s="305"/>
      <c r="H97" s="101"/>
      <c r="I97" s="83"/>
      <c r="J97" s="101"/>
      <c r="K97" s="83"/>
      <c r="L97" s="83"/>
      <c r="M97" s="22"/>
      <c r="V97" s="234"/>
      <c r="W97" s="234"/>
      <c r="X97" s="234"/>
      <c r="Y97" s="234"/>
      <c r="Z97" s="234"/>
      <c r="AA97" s="234"/>
    </row>
    <row r="98" spans="2:27" ht="13.2" hidden="1" customHeight="1" x14ac:dyDescent="0.25">
      <c r="B98" s="54" t="s">
        <v>3</v>
      </c>
      <c r="C98" s="56"/>
      <c r="D98" s="47"/>
      <c r="E98" s="22"/>
      <c r="F98" s="102">
        <f>SUM(G98:L98)</f>
        <v>0</v>
      </c>
      <c r="G98" s="82"/>
      <c r="H98" s="102"/>
      <c r="I98" s="82"/>
      <c r="J98" s="102"/>
      <c r="K98" s="82"/>
      <c r="L98" s="82"/>
      <c r="M98" s="22"/>
      <c r="V98" s="234"/>
      <c r="W98" s="234"/>
      <c r="X98" s="234"/>
      <c r="Y98" s="234"/>
      <c r="Z98" s="234"/>
      <c r="AA98" s="234"/>
    </row>
    <row r="99" spans="2:27" ht="13.2" hidden="1" customHeight="1" x14ac:dyDescent="0.25">
      <c r="B99" s="54" t="s">
        <v>23</v>
      </c>
      <c r="C99" s="56"/>
      <c r="D99" s="47"/>
      <c r="E99" s="22"/>
      <c r="F99" s="104">
        <f>SUM(G99:L99)</f>
        <v>0</v>
      </c>
      <c r="G99" s="88"/>
      <c r="H99" s="104"/>
      <c r="I99" s="84"/>
      <c r="J99" s="104"/>
      <c r="K99" s="84"/>
      <c r="L99" s="84"/>
      <c r="M99" s="22"/>
      <c r="N99" s="234" t="s">
        <v>7</v>
      </c>
      <c r="V99" s="234"/>
      <c r="W99" s="234"/>
      <c r="X99" s="234"/>
      <c r="Y99" s="234"/>
      <c r="Z99" s="234"/>
      <c r="AA99" s="234"/>
    </row>
    <row r="100" spans="2:27" s="48" customFormat="1" ht="13.2" hidden="1" customHeight="1" x14ac:dyDescent="0.25">
      <c r="B100" s="57" t="s">
        <v>7</v>
      </c>
      <c r="C100" s="49"/>
      <c r="D100" s="52"/>
      <c r="E100" s="22"/>
      <c r="F100" s="234"/>
      <c r="G100" s="90"/>
      <c r="H100" s="234"/>
      <c r="I100" s="22"/>
      <c r="J100" s="234"/>
      <c r="K100" s="22"/>
      <c r="L100" s="22"/>
      <c r="M100" s="22"/>
      <c r="N100" s="234"/>
      <c r="O100" s="234"/>
      <c r="P100" s="234"/>
      <c r="Q100" s="234"/>
      <c r="R100" s="234"/>
      <c r="S100" s="234"/>
      <c r="T100" s="234"/>
      <c r="U100" s="234"/>
      <c r="V100" s="234"/>
      <c r="W100" s="234"/>
      <c r="X100" s="234"/>
      <c r="Y100" s="234"/>
      <c r="Z100" s="234"/>
      <c r="AA100" s="234"/>
    </row>
    <row r="101" spans="2:27" s="93" customFormat="1" hidden="1" x14ac:dyDescent="0.25">
      <c r="B101" s="58" t="s">
        <v>27</v>
      </c>
      <c r="C101" s="91"/>
      <c r="D101" s="52"/>
      <c r="E101" s="133"/>
      <c r="F101" s="52">
        <f>SUM(F102:F106)</f>
        <v>0</v>
      </c>
      <c r="G101" s="92">
        <f>SUM(G102:G106)</f>
        <v>0</v>
      </c>
      <c r="H101" s="52">
        <f t="shared" ref="H101:L101" si="4">SUM(H102:H106)</f>
        <v>0</v>
      </c>
      <c r="I101" s="92">
        <f t="shared" si="4"/>
        <v>0</v>
      </c>
      <c r="J101" s="52">
        <f t="shared" si="4"/>
        <v>0</v>
      </c>
      <c r="K101" s="92">
        <f t="shared" si="4"/>
        <v>0</v>
      </c>
      <c r="L101" s="92">
        <f t="shared" si="4"/>
        <v>0</v>
      </c>
      <c r="M101" s="22"/>
      <c r="N101" s="234"/>
      <c r="O101" s="234"/>
      <c r="P101" s="234"/>
      <c r="Q101" s="234"/>
      <c r="R101" s="234"/>
      <c r="S101" s="234"/>
      <c r="T101" s="234"/>
      <c r="U101" s="52"/>
      <c r="V101" s="52"/>
      <c r="W101" s="52"/>
      <c r="X101" s="52"/>
      <c r="Y101" s="52"/>
      <c r="Z101" s="52"/>
      <c r="AA101" s="52"/>
    </row>
    <row r="102" spans="2:27" s="93" customFormat="1" ht="13.2" hidden="1" customHeight="1" x14ac:dyDescent="0.25">
      <c r="B102" s="57" t="s">
        <v>1</v>
      </c>
      <c r="C102" s="91"/>
      <c r="D102" s="52"/>
      <c r="E102" s="92"/>
      <c r="F102" s="102">
        <f>SUM(G102:I102)</f>
        <v>0</v>
      </c>
      <c r="G102" s="82"/>
      <c r="H102" s="158"/>
      <c r="I102" s="108"/>
      <c r="J102" s="158"/>
      <c r="K102" s="108"/>
      <c r="L102" s="108"/>
      <c r="M102" s="22"/>
      <c r="N102" s="234"/>
      <c r="O102" s="234"/>
      <c r="P102" s="234"/>
      <c r="Q102" s="234"/>
      <c r="R102" s="234"/>
      <c r="S102" s="234"/>
      <c r="T102" s="234"/>
      <c r="U102" s="52"/>
      <c r="V102" s="52"/>
      <c r="W102" s="52"/>
      <c r="X102" s="52"/>
      <c r="Y102" s="52"/>
      <c r="Z102" s="52"/>
      <c r="AA102" s="52"/>
    </row>
    <row r="103" spans="2:27" s="93" customFormat="1" ht="13.2" hidden="1" customHeight="1" x14ac:dyDescent="0.25">
      <c r="B103" s="57" t="s">
        <v>2</v>
      </c>
      <c r="C103" s="91"/>
      <c r="D103" s="52"/>
      <c r="E103" s="92"/>
      <c r="F103" s="101">
        <f>SUM(G103:L103)</f>
        <v>0</v>
      </c>
      <c r="G103" s="83"/>
      <c r="H103" s="155"/>
      <c r="I103" s="109"/>
      <c r="J103" s="155"/>
      <c r="K103" s="109"/>
      <c r="L103" s="109"/>
      <c r="M103" s="22"/>
      <c r="N103" s="234"/>
      <c r="O103" s="234"/>
      <c r="P103" s="234"/>
      <c r="Q103" s="234"/>
      <c r="R103" s="234"/>
      <c r="S103" s="234"/>
      <c r="T103" s="234"/>
      <c r="U103" s="52"/>
      <c r="V103" s="52"/>
      <c r="W103" s="52"/>
      <c r="X103" s="52"/>
      <c r="Y103" s="52"/>
      <c r="Z103" s="52"/>
      <c r="AA103" s="52"/>
    </row>
    <row r="104" spans="2:27" s="93" customFormat="1" ht="13.2" hidden="1" customHeight="1" x14ac:dyDescent="0.25">
      <c r="B104" s="57" t="s">
        <v>24</v>
      </c>
      <c r="C104" s="91"/>
      <c r="D104" s="52"/>
      <c r="E104" s="92"/>
      <c r="F104" s="104">
        <f>SUM(G104:L104)</f>
        <v>0</v>
      </c>
      <c r="G104" s="84"/>
      <c r="H104" s="104"/>
      <c r="I104" s="308"/>
      <c r="J104" s="307"/>
      <c r="K104" s="308"/>
      <c r="L104" s="84"/>
      <c r="M104" s="22"/>
      <c r="N104" s="234"/>
      <c r="O104" s="234"/>
      <c r="P104" s="234"/>
      <c r="Q104" s="234"/>
      <c r="R104" s="234"/>
      <c r="S104" s="234"/>
      <c r="T104" s="234"/>
      <c r="U104" s="52"/>
      <c r="V104" s="52"/>
      <c r="W104" s="52"/>
      <c r="X104" s="52"/>
      <c r="Y104" s="52"/>
      <c r="Z104" s="52"/>
      <c r="AA104" s="52"/>
    </row>
    <row r="105" spans="2:27" ht="13.2" hidden="1" customHeight="1" x14ac:dyDescent="0.25">
      <c r="B105" s="57" t="s">
        <v>24</v>
      </c>
      <c r="C105" s="49"/>
      <c r="D105" s="49"/>
      <c r="E105" s="22"/>
      <c r="F105" s="101">
        <f>SUM(G105:L105)</f>
        <v>0</v>
      </c>
      <c r="G105" s="83"/>
      <c r="H105" s="101"/>
      <c r="I105" s="83"/>
      <c r="J105" s="101"/>
      <c r="K105" s="83"/>
      <c r="L105" s="83"/>
      <c r="M105" s="22"/>
      <c r="V105" s="234"/>
      <c r="W105" s="234"/>
      <c r="X105" s="234"/>
      <c r="Y105" s="234"/>
      <c r="Z105" s="234"/>
      <c r="AA105" s="234"/>
    </row>
    <row r="106" spans="2:27" s="48" customFormat="1" ht="13.2" hidden="1" customHeight="1" x14ac:dyDescent="0.25">
      <c r="B106" s="57" t="s">
        <v>25</v>
      </c>
      <c r="C106" s="49"/>
      <c r="D106" s="49"/>
      <c r="E106" s="22" t="s">
        <v>7</v>
      </c>
      <c r="F106" s="104">
        <f>SUM(G106:L106)</f>
        <v>0</v>
      </c>
      <c r="G106" s="88"/>
      <c r="H106" s="104"/>
      <c r="I106" s="84"/>
      <c r="J106" s="104"/>
      <c r="K106" s="84"/>
      <c r="L106" s="84"/>
      <c r="M106" s="22"/>
      <c r="N106" s="234"/>
      <c r="O106" s="234"/>
      <c r="P106" s="234"/>
      <c r="Q106" s="234"/>
      <c r="R106" s="234"/>
      <c r="S106" s="234"/>
      <c r="T106" s="234"/>
      <c r="U106" s="234"/>
      <c r="V106" s="234"/>
      <c r="W106" s="234"/>
      <c r="X106" s="234"/>
      <c r="Y106" s="234"/>
      <c r="Z106" s="234"/>
      <c r="AA106" s="234"/>
    </row>
    <row r="107" spans="2:27" s="48" customFormat="1" x14ac:dyDescent="0.25">
      <c r="B107" s="57"/>
      <c r="C107" s="49"/>
      <c r="D107" s="49"/>
      <c r="E107" s="22"/>
      <c r="F107" s="234"/>
      <c r="G107" s="90"/>
      <c r="H107" s="234"/>
      <c r="I107" s="22"/>
      <c r="J107" s="234"/>
      <c r="K107" s="22"/>
      <c r="L107" s="90"/>
      <c r="M107" s="22"/>
      <c r="N107" s="234" t="s">
        <v>7</v>
      </c>
      <c r="O107" s="234"/>
      <c r="P107" s="234"/>
      <c r="Q107" s="234"/>
      <c r="R107" s="234"/>
      <c r="S107" s="234"/>
      <c r="T107" s="234"/>
      <c r="U107" s="234"/>
      <c r="V107" s="234"/>
      <c r="W107" s="234"/>
      <c r="X107" s="234"/>
      <c r="Y107" s="234"/>
      <c r="Z107" s="234"/>
      <c r="AA107" s="234"/>
    </row>
    <row r="108" spans="2:27" s="93" customFormat="1" x14ac:dyDescent="0.25">
      <c r="B108" s="58" t="s">
        <v>96</v>
      </c>
      <c r="C108" s="91"/>
      <c r="D108" s="52"/>
      <c r="E108" s="92">
        <v>7</v>
      </c>
      <c r="F108" s="52">
        <f t="shared" ref="F108:M108" si="5">SUM(F109:F119)</f>
        <v>10</v>
      </c>
      <c r="G108" s="94">
        <f t="shared" si="5"/>
        <v>3</v>
      </c>
      <c r="H108" s="52">
        <f t="shared" si="5"/>
        <v>1</v>
      </c>
      <c r="I108" s="94">
        <f t="shared" si="5"/>
        <v>1</v>
      </c>
      <c r="J108" s="159">
        <f t="shared" si="5"/>
        <v>4</v>
      </c>
      <c r="K108" s="94">
        <f t="shared" si="5"/>
        <v>1</v>
      </c>
      <c r="L108" s="94">
        <f t="shared" si="5"/>
        <v>0</v>
      </c>
      <c r="M108" s="94">
        <f t="shared" si="5"/>
        <v>0</v>
      </c>
      <c r="N108" s="234"/>
      <c r="O108" s="234"/>
      <c r="P108" s="234"/>
      <c r="Q108" s="234"/>
      <c r="R108" s="234"/>
      <c r="S108" s="234"/>
      <c r="T108" s="234"/>
      <c r="U108" s="52"/>
      <c r="V108" s="52"/>
      <c r="W108" s="52"/>
      <c r="X108" s="52"/>
      <c r="Y108" s="52"/>
      <c r="Z108" s="52"/>
      <c r="AA108" s="52"/>
    </row>
    <row r="109" spans="2:27" s="48" customFormat="1" hidden="1" x14ac:dyDescent="0.25">
      <c r="B109" s="57" t="s">
        <v>33</v>
      </c>
      <c r="C109" s="49"/>
      <c r="D109" s="49"/>
      <c r="E109" s="22"/>
      <c r="F109" s="131">
        <f t="shared" ref="F109:F118" si="6">SUM(G109:L109)</f>
        <v>0</v>
      </c>
      <c r="G109" s="82"/>
      <c r="H109" s="102"/>
      <c r="I109" s="82"/>
      <c r="J109" s="102"/>
      <c r="K109" s="82"/>
      <c r="L109" s="82"/>
      <c r="M109" s="22"/>
      <c r="N109" s="234"/>
      <c r="O109" s="234"/>
      <c r="P109" s="234"/>
      <c r="Q109" s="234"/>
      <c r="R109" s="234"/>
      <c r="S109" s="234"/>
      <c r="T109" s="234"/>
      <c r="U109" s="234"/>
      <c r="V109" s="234"/>
      <c r="W109" s="234"/>
      <c r="X109" s="234"/>
      <c r="Y109" s="234"/>
      <c r="Z109" s="234"/>
      <c r="AA109" s="234"/>
    </row>
    <row r="110" spans="2:27" s="48" customFormat="1" x14ac:dyDescent="0.25">
      <c r="B110" s="57" t="s">
        <v>34</v>
      </c>
      <c r="C110" s="49"/>
      <c r="D110" s="49"/>
      <c r="E110" s="22"/>
      <c r="F110" s="36">
        <f>SUM(G110:M110)</f>
        <v>2</v>
      </c>
      <c r="G110" s="20">
        <v>1</v>
      </c>
      <c r="H110" s="36"/>
      <c r="I110" s="20"/>
      <c r="J110" s="36">
        <v>1</v>
      </c>
      <c r="K110" s="20"/>
      <c r="L110" s="20"/>
      <c r="M110" s="32"/>
      <c r="N110" s="234"/>
      <c r="O110" s="234"/>
      <c r="P110" s="234"/>
      <c r="Q110" s="234"/>
      <c r="R110" s="234"/>
      <c r="S110" s="234"/>
      <c r="T110" s="234"/>
      <c r="U110" s="234"/>
      <c r="V110" s="234"/>
      <c r="W110" s="234"/>
      <c r="X110" s="234"/>
      <c r="Y110" s="234"/>
      <c r="Z110" s="234"/>
      <c r="AA110" s="234"/>
    </row>
    <row r="111" spans="2:27" s="48" customFormat="1" ht="13.2" customHeight="1" x14ac:dyDescent="0.25">
      <c r="B111" s="57" t="s">
        <v>35</v>
      </c>
      <c r="C111" s="49"/>
      <c r="D111" s="49"/>
      <c r="E111" s="22"/>
      <c r="F111" s="233">
        <f>SUM(G111:M111)</f>
        <v>1</v>
      </c>
      <c r="G111" s="8"/>
      <c r="H111" s="233"/>
      <c r="I111" s="8"/>
      <c r="J111" s="233">
        <v>1</v>
      </c>
      <c r="K111" s="8"/>
      <c r="L111" s="8"/>
      <c r="M111" s="4" t="s">
        <v>7</v>
      </c>
      <c r="N111" s="234"/>
      <c r="O111" s="234"/>
      <c r="P111" s="234"/>
      <c r="Q111" s="234"/>
      <c r="R111" s="234"/>
      <c r="S111" s="234"/>
      <c r="T111" s="234"/>
      <c r="U111" s="234"/>
      <c r="V111" s="234"/>
      <c r="W111" s="234"/>
      <c r="X111" s="234"/>
      <c r="Y111" s="234"/>
      <c r="Z111" s="234"/>
      <c r="AA111" s="234"/>
    </row>
    <row r="112" spans="2:27" s="48" customFormat="1" ht="13.2" hidden="1" customHeight="1" x14ac:dyDescent="0.25">
      <c r="B112" s="57" t="s">
        <v>36</v>
      </c>
      <c r="C112" s="49"/>
      <c r="D112" s="49"/>
      <c r="E112" s="22"/>
      <c r="F112" s="233">
        <f t="shared" si="6"/>
        <v>0</v>
      </c>
      <c r="G112" s="8"/>
      <c r="H112" s="233"/>
      <c r="I112" s="8"/>
      <c r="J112" s="233"/>
      <c r="K112" s="8"/>
      <c r="L112" s="8"/>
      <c r="M112" s="4"/>
      <c r="N112" s="234"/>
      <c r="O112" s="234"/>
      <c r="P112" s="234"/>
      <c r="Q112" s="234"/>
      <c r="R112" s="234"/>
      <c r="S112" s="234"/>
      <c r="T112" s="234"/>
      <c r="U112" s="234"/>
      <c r="V112" s="234"/>
      <c r="W112" s="234"/>
      <c r="X112" s="234"/>
      <c r="Y112" s="234"/>
      <c r="Z112" s="234"/>
      <c r="AA112" s="234"/>
    </row>
    <row r="113" spans="2:27" s="48" customFormat="1" ht="13.2" customHeight="1" x14ac:dyDescent="0.25">
      <c r="B113" s="57" t="s">
        <v>154</v>
      </c>
      <c r="C113" s="49"/>
      <c r="D113" s="49"/>
      <c r="E113" s="22"/>
      <c r="F113" s="233">
        <f t="shared" ref="F113:F117" si="7">SUM(G113:M113)</f>
        <v>1</v>
      </c>
      <c r="G113" s="8"/>
      <c r="H113" s="233">
        <v>1</v>
      </c>
      <c r="I113" s="8"/>
      <c r="J113" s="233"/>
      <c r="K113" s="8"/>
      <c r="L113" s="8"/>
      <c r="M113" s="4"/>
      <c r="N113" s="234"/>
      <c r="O113" s="234"/>
      <c r="P113" s="234"/>
      <c r="Q113" s="234"/>
      <c r="R113" s="234"/>
      <c r="S113" s="234"/>
      <c r="T113" s="234"/>
      <c r="U113" s="234"/>
      <c r="V113" s="234"/>
      <c r="W113" s="234"/>
      <c r="X113" s="234"/>
      <c r="Y113" s="234"/>
      <c r="Z113" s="234"/>
      <c r="AA113" s="234"/>
    </row>
    <row r="114" spans="2:27" s="48" customFormat="1" x14ac:dyDescent="0.25">
      <c r="B114" s="57" t="s">
        <v>38</v>
      </c>
      <c r="C114" s="49"/>
      <c r="D114" s="49"/>
      <c r="E114" s="22"/>
      <c r="F114" s="233">
        <f t="shared" si="7"/>
        <v>2</v>
      </c>
      <c r="G114" s="8"/>
      <c r="H114" s="233"/>
      <c r="I114" s="8">
        <v>1</v>
      </c>
      <c r="J114" s="233">
        <v>1</v>
      </c>
      <c r="K114" s="8"/>
      <c r="L114" s="8"/>
      <c r="M114" s="4"/>
      <c r="N114" s="234"/>
      <c r="O114" s="234"/>
      <c r="P114" s="234"/>
      <c r="Q114" s="234"/>
      <c r="R114" s="234"/>
      <c r="S114" s="234"/>
      <c r="T114" s="234"/>
      <c r="U114" s="234"/>
      <c r="V114" s="234"/>
      <c r="W114" s="234"/>
      <c r="X114" s="234"/>
      <c r="Y114" s="234"/>
      <c r="Z114" s="234"/>
      <c r="AA114" s="234"/>
    </row>
    <row r="115" spans="2:27" s="48" customFormat="1" x14ac:dyDescent="0.25">
      <c r="B115" s="57" t="s">
        <v>39</v>
      </c>
      <c r="C115" s="49" t="s">
        <v>7</v>
      </c>
      <c r="D115" s="49"/>
      <c r="E115" s="22"/>
      <c r="F115" s="233">
        <f t="shared" si="7"/>
        <v>2</v>
      </c>
      <c r="G115" s="8"/>
      <c r="H115" s="233"/>
      <c r="I115" s="8"/>
      <c r="J115" s="233">
        <v>1</v>
      </c>
      <c r="K115" s="8">
        <v>1</v>
      </c>
      <c r="L115" s="8"/>
      <c r="M115" s="4"/>
      <c r="N115" s="234"/>
      <c r="O115" s="234"/>
      <c r="P115" s="234"/>
      <c r="Q115" s="234"/>
      <c r="R115" s="234"/>
      <c r="S115" s="234"/>
      <c r="T115" s="234"/>
      <c r="U115" s="234"/>
      <c r="V115" s="234"/>
      <c r="W115" s="234"/>
      <c r="X115" s="234"/>
      <c r="Y115" s="234"/>
      <c r="Z115" s="234"/>
      <c r="AA115" s="234"/>
    </row>
    <row r="116" spans="2:27" s="48" customFormat="1" hidden="1" x14ac:dyDescent="0.25">
      <c r="B116" s="57" t="s">
        <v>143</v>
      </c>
      <c r="C116" s="49"/>
      <c r="D116" s="49"/>
      <c r="E116" s="22"/>
      <c r="F116" s="233">
        <f t="shared" si="7"/>
        <v>0</v>
      </c>
      <c r="G116" s="8"/>
      <c r="H116" s="233"/>
      <c r="I116" s="8"/>
      <c r="J116" s="233"/>
      <c r="K116" s="8"/>
      <c r="L116" s="8"/>
      <c r="M116" s="4"/>
      <c r="N116" s="234"/>
      <c r="O116" s="234"/>
      <c r="P116" s="234"/>
      <c r="Q116" s="234"/>
      <c r="R116" s="234"/>
      <c r="S116" s="234"/>
      <c r="T116" s="234"/>
      <c r="U116" s="234"/>
      <c r="V116" s="234"/>
      <c r="W116" s="234"/>
      <c r="X116" s="234"/>
      <c r="Y116" s="234"/>
      <c r="Z116" s="234"/>
      <c r="AA116" s="234"/>
    </row>
    <row r="117" spans="2:27" s="48" customFormat="1" ht="13.2" customHeight="1" x14ac:dyDescent="0.25">
      <c r="B117" s="57" t="s">
        <v>41</v>
      </c>
      <c r="C117" s="49"/>
      <c r="D117" s="49"/>
      <c r="E117" s="22"/>
      <c r="F117" s="233">
        <f t="shared" si="7"/>
        <v>1</v>
      </c>
      <c r="G117" s="8">
        <v>1</v>
      </c>
      <c r="H117" s="233"/>
      <c r="I117" s="8"/>
      <c r="J117" s="233"/>
      <c r="K117" s="8"/>
      <c r="L117" s="8"/>
      <c r="M117" s="4"/>
      <c r="N117" s="234"/>
      <c r="O117" s="234"/>
      <c r="P117" s="234"/>
      <c r="Q117" s="234"/>
      <c r="R117" s="234"/>
      <c r="S117" s="234"/>
      <c r="T117" s="234"/>
      <c r="U117" s="234"/>
      <c r="V117" s="234"/>
      <c r="W117" s="234"/>
      <c r="X117" s="234"/>
      <c r="Y117" s="234"/>
      <c r="Z117" s="234"/>
      <c r="AA117" s="234"/>
    </row>
    <row r="118" spans="2:27" s="48" customFormat="1" hidden="1" x14ac:dyDescent="0.25">
      <c r="B118" s="57" t="s">
        <v>99</v>
      </c>
      <c r="C118" s="49"/>
      <c r="D118" s="49"/>
      <c r="E118" s="22"/>
      <c r="F118" s="233">
        <f t="shared" si="6"/>
        <v>0</v>
      </c>
      <c r="G118" s="8"/>
      <c r="H118" s="233"/>
      <c r="I118" s="8"/>
      <c r="J118" s="233"/>
      <c r="K118" s="8"/>
      <c r="L118" s="8"/>
      <c r="M118" s="4"/>
      <c r="N118" s="234"/>
      <c r="O118" s="234"/>
      <c r="P118" s="234"/>
      <c r="Q118" s="234"/>
      <c r="R118" s="234"/>
      <c r="S118" s="234"/>
      <c r="T118" s="234"/>
      <c r="U118" s="234"/>
      <c r="V118" s="234"/>
      <c r="W118" s="234"/>
      <c r="X118" s="234"/>
      <c r="Y118" s="234"/>
      <c r="Z118" s="234"/>
      <c r="AA118" s="234"/>
    </row>
    <row r="119" spans="2:27" s="48" customFormat="1" ht="13.2" customHeight="1" x14ac:dyDescent="0.25">
      <c r="B119" s="57" t="s">
        <v>128</v>
      </c>
      <c r="C119" s="49"/>
      <c r="D119" s="49"/>
      <c r="E119" s="22"/>
      <c r="F119" s="37">
        <f>SUM(G119:M119)</f>
        <v>1</v>
      </c>
      <c r="G119" s="19">
        <v>1</v>
      </c>
      <c r="H119" s="37"/>
      <c r="I119" s="19"/>
      <c r="J119" s="37"/>
      <c r="K119" s="19"/>
      <c r="L119" s="19"/>
      <c r="M119" s="265"/>
      <c r="N119" s="234"/>
      <c r="O119" s="234"/>
      <c r="P119" s="234"/>
      <c r="Q119" s="234"/>
      <c r="R119" s="234"/>
      <c r="S119" s="234"/>
      <c r="T119" s="234"/>
      <c r="U119" s="234"/>
      <c r="V119" s="234"/>
      <c r="W119" s="234"/>
      <c r="X119" s="234"/>
      <c r="Y119" s="234"/>
      <c r="Z119" s="234"/>
      <c r="AA119" s="234"/>
    </row>
    <row r="120" spans="2:27" s="48" customFormat="1" x14ac:dyDescent="0.25">
      <c r="B120" s="57" t="s">
        <v>7</v>
      </c>
      <c r="C120" s="49"/>
      <c r="D120" s="49"/>
      <c r="E120" s="22"/>
      <c r="F120" s="81"/>
      <c r="G120" s="90"/>
      <c r="H120" s="234"/>
      <c r="I120" s="22"/>
      <c r="J120" s="234"/>
      <c r="K120" s="22"/>
      <c r="L120" s="22"/>
      <c r="M120" s="22"/>
      <c r="N120" s="234"/>
      <c r="O120" s="234"/>
      <c r="P120" s="234"/>
      <c r="Q120" s="234"/>
      <c r="R120" s="234"/>
      <c r="S120" s="234"/>
      <c r="T120" s="234"/>
      <c r="U120" s="234"/>
      <c r="V120" s="234"/>
      <c r="W120" s="234"/>
      <c r="X120" s="234"/>
      <c r="Y120" s="234"/>
      <c r="Z120" s="234"/>
      <c r="AA120" s="234"/>
    </row>
    <row r="121" spans="2:27" s="93" customFormat="1" x14ac:dyDescent="0.25">
      <c r="B121" s="58" t="s">
        <v>125</v>
      </c>
      <c r="C121" s="91"/>
      <c r="D121" s="52"/>
      <c r="E121" s="92">
        <v>5</v>
      </c>
      <c r="F121" s="126">
        <f>SUM(F122:F132)</f>
        <v>7</v>
      </c>
      <c r="G121" s="92">
        <f>SUM(G122:G132)</f>
        <v>1</v>
      </c>
      <c r="H121" s="52">
        <f>SUM(H122:H132)</f>
        <v>3</v>
      </c>
      <c r="I121" s="92">
        <f t="shared" ref="I121:L121" si="8">SUM(I122:I132)</f>
        <v>0</v>
      </c>
      <c r="J121" s="52">
        <f t="shared" si="8"/>
        <v>1</v>
      </c>
      <c r="K121" s="92">
        <f>SUM(K122:K132)</f>
        <v>0</v>
      </c>
      <c r="L121" s="92">
        <f t="shared" si="8"/>
        <v>2</v>
      </c>
      <c r="M121" s="92">
        <f>SUM(M122:M132)</f>
        <v>0</v>
      </c>
      <c r="N121" s="234"/>
      <c r="O121" s="234"/>
      <c r="P121" s="234"/>
      <c r="Q121" s="234"/>
      <c r="R121" s="234"/>
      <c r="S121" s="234"/>
      <c r="T121" s="234"/>
      <c r="U121" s="52"/>
      <c r="V121" s="52"/>
      <c r="W121" s="52"/>
      <c r="X121" s="52"/>
      <c r="Y121" s="52"/>
      <c r="Z121" s="52"/>
      <c r="AA121" s="52"/>
    </row>
    <row r="122" spans="2:27" s="48" customFormat="1" ht="13.2" hidden="1" customHeight="1" x14ac:dyDescent="0.25">
      <c r="B122" s="57" t="s">
        <v>98</v>
      </c>
      <c r="C122" s="49"/>
      <c r="D122" s="49"/>
      <c r="E122" s="22"/>
      <c r="F122" s="131">
        <f t="shared" ref="F122:F125" si="9">SUM(G122:L122)</f>
        <v>0</v>
      </c>
      <c r="G122" s="304"/>
      <c r="H122" s="102"/>
      <c r="I122" s="82"/>
      <c r="J122" s="102"/>
      <c r="K122" s="82"/>
      <c r="L122" s="82"/>
      <c r="M122" s="22"/>
      <c r="N122" s="234"/>
      <c r="O122" s="234"/>
      <c r="P122" s="234"/>
      <c r="Q122" s="234"/>
      <c r="R122" s="234"/>
      <c r="S122" s="234"/>
      <c r="T122" s="234"/>
      <c r="U122" s="234"/>
      <c r="V122" s="234"/>
      <c r="W122" s="234"/>
      <c r="X122" s="234"/>
      <c r="Y122" s="234"/>
      <c r="Z122" s="234"/>
      <c r="AA122" s="234"/>
    </row>
    <row r="123" spans="2:27" s="48" customFormat="1" ht="13.2" customHeight="1" x14ac:dyDescent="0.25">
      <c r="B123" s="57" t="s">
        <v>43</v>
      </c>
      <c r="C123" s="49"/>
      <c r="D123" s="49"/>
      <c r="E123" s="22"/>
      <c r="F123" s="36">
        <f>SUM(G123:M123)</f>
        <v>1</v>
      </c>
      <c r="G123" s="20"/>
      <c r="H123" s="36">
        <v>1</v>
      </c>
      <c r="I123" s="20"/>
      <c r="J123" s="36"/>
      <c r="K123" s="20"/>
      <c r="L123" s="20"/>
      <c r="M123" s="20"/>
      <c r="N123" s="234"/>
      <c r="O123" s="234"/>
      <c r="P123" s="234"/>
      <c r="Q123" s="234"/>
      <c r="R123" s="234"/>
      <c r="S123" s="234"/>
      <c r="T123" s="234"/>
      <c r="U123" s="234"/>
      <c r="V123" s="234"/>
      <c r="W123" s="234"/>
      <c r="X123" s="234"/>
      <c r="Y123" s="234"/>
      <c r="Z123" s="234"/>
      <c r="AA123" s="234"/>
    </row>
    <row r="124" spans="2:27" s="48" customFormat="1" ht="13.2" hidden="1" customHeight="1" x14ac:dyDescent="0.25">
      <c r="B124" s="57" t="s">
        <v>129</v>
      </c>
      <c r="C124" s="49"/>
      <c r="D124" s="49"/>
      <c r="E124" s="22" t="s">
        <v>7</v>
      </c>
      <c r="F124" s="4">
        <f t="shared" si="9"/>
        <v>0</v>
      </c>
      <c r="G124" s="8"/>
      <c r="H124" s="233"/>
      <c r="I124" s="8"/>
      <c r="J124" s="233"/>
      <c r="K124" s="8"/>
      <c r="L124" s="8"/>
      <c r="M124" s="8"/>
      <c r="N124" s="234"/>
      <c r="O124" s="234"/>
      <c r="P124" s="234"/>
      <c r="Q124" s="234"/>
      <c r="R124" s="234"/>
      <c r="S124" s="234"/>
      <c r="T124" s="234"/>
      <c r="U124" s="234"/>
      <c r="V124" s="234"/>
      <c r="W124" s="234"/>
      <c r="X124" s="234"/>
      <c r="Y124" s="234"/>
      <c r="Z124" s="234"/>
      <c r="AA124" s="234"/>
    </row>
    <row r="125" spans="2:27" s="48" customFormat="1" ht="13.2" hidden="1" customHeight="1" x14ac:dyDescent="0.25">
      <c r="B125" s="57" t="s">
        <v>45</v>
      </c>
      <c r="C125" s="49"/>
      <c r="D125" s="49"/>
      <c r="E125" s="22"/>
      <c r="F125" s="4">
        <f t="shared" si="9"/>
        <v>0</v>
      </c>
      <c r="G125" s="335"/>
      <c r="H125" s="233"/>
      <c r="I125" s="8"/>
      <c r="J125" s="233"/>
      <c r="K125" s="8"/>
      <c r="L125" s="8"/>
      <c r="M125" s="8"/>
      <c r="N125" s="234"/>
      <c r="O125" s="234"/>
      <c r="P125" s="234"/>
      <c r="Q125" s="234"/>
      <c r="R125" s="234"/>
      <c r="S125" s="234"/>
      <c r="T125" s="234"/>
      <c r="U125" s="234"/>
      <c r="V125" s="234"/>
      <c r="W125" s="234"/>
      <c r="X125" s="234"/>
      <c r="Y125" s="234"/>
      <c r="Z125" s="234"/>
      <c r="AA125" s="234"/>
    </row>
    <row r="126" spans="2:27" s="48" customFormat="1" x14ac:dyDescent="0.25">
      <c r="B126" s="57" t="s">
        <v>46</v>
      </c>
      <c r="C126" s="49"/>
      <c r="D126" s="49"/>
      <c r="E126" s="22"/>
      <c r="F126" s="233">
        <f>SUM(G126:M126)</f>
        <v>1</v>
      </c>
      <c r="G126" s="8"/>
      <c r="H126" s="233"/>
      <c r="I126" s="8"/>
      <c r="J126" s="233">
        <v>1</v>
      </c>
      <c r="K126" s="8"/>
      <c r="L126" s="8"/>
      <c r="M126" s="8"/>
      <c r="N126" s="234"/>
      <c r="O126" s="234"/>
      <c r="P126" s="234"/>
      <c r="Q126" s="234"/>
      <c r="R126" s="234"/>
      <c r="S126" s="234"/>
      <c r="T126" s="234"/>
      <c r="U126" s="234"/>
      <c r="V126" s="234"/>
      <c r="W126" s="234"/>
      <c r="X126" s="234"/>
      <c r="Y126" s="234"/>
      <c r="Z126" s="234"/>
      <c r="AA126" s="234"/>
    </row>
    <row r="127" spans="2:27" s="48" customFormat="1" ht="13.2" hidden="1" customHeight="1" x14ac:dyDescent="0.25">
      <c r="B127" s="57" t="s">
        <v>47</v>
      </c>
      <c r="C127" s="49"/>
      <c r="D127" s="49"/>
      <c r="E127" s="22"/>
      <c r="F127" s="233">
        <f t="shared" ref="F127:F130" si="10">SUM(G127:M127)</f>
        <v>0</v>
      </c>
      <c r="G127" s="335"/>
      <c r="H127" s="233"/>
      <c r="I127" s="8"/>
      <c r="J127" s="233"/>
      <c r="K127" s="8"/>
      <c r="L127" s="8"/>
      <c r="M127" s="8"/>
      <c r="N127" s="234"/>
      <c r="O127" s="234"/>
      <c r="P127" s="234"/>
      <c r="Q127" s="234"/>
      <c r="R127" s="234"/>
      <c r="S127" s="234"/>
      <c r="T127" s="234"/>
      <c r="U127" s="234"/>
      <c r="V127" s="234"/>
      <c r="W127" s="234"/>
      <c r="X127" s="234"/>
      <c r="Y127" s="234"/>
      <c r="Z127" s="234"/>
      <c r="AA127" s="234"/>
    </row>
    <row r="128" spans="2:27" s="48" customFormat="1" x14ac:dyDescent="0.25">
      <c r="B128" s="57" t="s">
        <v>48</v>
      </c>
      <c r="C128" s="49"/>
      <c r="D128" s="49"/>
      <c r="E128" s="22"/>
      <c r="F128" s="233">
        <f>SUM(G128:M128)</f>
        <v>2</v>
      </c>
      <c r="G128" s="8">
        <v>1</v>
      </c>
      <c r="H128" s="233">
        <v>1</v>
      </c>
      <c r="I128" s="8"/>
      <c r="J128" s="233"/>
      <c r="K128" s="8"/>
      <c r="L128" s="8"/>
      <c r="M128" s="8"/>
      <c r="N128" s="234"/>
      <c r="O128" s="234"/>
      <c r="P128" s="234"/>
      <c r="Q128" s="234"/>
      <c r="R128" s="234"/>
      <c r="S128" s="234"/>
      <c r="T128" s="234"/>
      <c r="U128" s="234"/>
      <c r="V128" s="234"/>
      <c r="W128" s="234"/>
      <c r="X128" s="234"/>
      <c r="Y128" s="234"/>
      <c r="Z128" s="234"/>
      <c r="AA128" s="234"/>
    </row>
    <row r="129" spans="2:27" s="48" customFormat="1" hidden="1" x14ac:dyDescent="0.25">
      <c r="B129" s="57" t="s">
        <v>49</v>
      </c>
      <c r="C129" s="49"/>
      <c r="D129" s="49"/>
      <c r="E129" s="22"/>
      <c r="F129" s="233">
        <f t="shared" si="10"/>
        <v>0</v>
      </c>
      <c r="G129" s="8"/>
      <c r="H129" s="233"/>
      <c r="I129" s="8"/>
      <c r="J129" s="233"/>
      <c r="K129" s="8"/>
      <c r="L129" s="8"/>
      <c r="M129" s="8"/>
      <c r="N129" s="234"/>
      <c r="O129" s="234"/>
      <c r="P129" s="234"/>
      <c r="Q129" s="234"/>
      <c r="R129" s="234"/>
      <c r="S129" s="234"/>
      <c r="T129" s="234"/>
      <c r="U129" s="234"/>
      <c r="V129" s="234"/>
      <c r="W129" s="234"/>
      <c r="X129" s="234"/>
      <c r="Y129" s="234"/>
      <c r="Z129" s="234"/>
      <c r="AA129" s="234"/>
    </row>
    <row r="130" spans="2:27" s="48" customFormat="1" ht="13.2" hidden="1" customHeight="1" x14ac:dyDescent="0.25">
      <c r="B130" s="57" t="s">
        <v>123</v>
      </c>
      <c r="C130" s="49"/>
      <c r="D130" s="49"/>
      <c r="E130" s="22"/>
      <c r="F130" s="233">
        <f t="shared" si="10"/>
        <v>0</v>
      </c>
      <c r="G130" s="8"/>
      <c r="H130" s="233"/>
      <c r="I130" s="8"/>
      <c r="J130" s="233"/>
      <c r="K130" s="8"/>
      <c r="L130" s="8"/>
      <c r="M130" s="8"/>
      <c r="N130" s="234"/>
      <c r="O130" s="234"/>
      <c r="P130" s="234"/>
      <c r="Q130" s="234"/>
      <c r="R130" s="234"/>
      <c r="S130" s="234"/>
      <c r="T130" s="234"/>
      <c r="U130" s="234"/>
      <c r="V130" s="234"/>
      <c r="W130" s="234"/>
      <c r="X130" s="234"/>
      <c r="Y130" s="234"/>
      <c r="Z130" s="234"/>
      <c r="AA130" s="234"/>
    </row>
    <row r="131" spans="2:27" s="48" customFormat="1" x14ac:dyDescent="0.25">
      <c r="B131" s="57" t="s">
        <v>51</v>
      </c>
      <c r="C131" s="49"/>
      <c r="D131" s="49"/>
      <c r="E131" s="22"/>
      <c r="F131" s="233">
        <f>SUM(G131:M131)</f>
        <v>2</v>
      </c>
      <c r="G131" s="8"/>
      <c r="H131" s="233">
        <v>1</v>
      </c>
      <c r="I131" s="8"/>
      <c r="J131" s="233"/>
      <c r="K131" s="8"/>
      <c r="L131" s="8">
        <v>1</v>
      </c>
      <c r="M131" s="8"/>
      <c r="N131" s="234"/>
      <c r="O131" s="234"/>
      <c r="P131" s="234"/>
      <c r="Q131" s="234"/>
      <c r="R131" s="234"/>
      <c r="S131" s="234"/>
      <c r="T131" s="234"/>
      <c r="U131" s="234"/>
      <c r="V131" s="234"/>
      <c r="W131" s="234"/>
      <c r="X131" s="234"/>
      <c r="Y131" s="234"/>
      <c r="Z131" s="234"/>
      <c r="AA131" s="234"/>
    </row>
    <row r="132" spans="2:27" s="48" customFormat="1" ht="13.2" customHeight="1" x14ac:dyDescent="0.25">
      <c r="B132" s="57" t="s">
        <v>52</v>
      </c>
      <c r="C132" s="49"/>
      <c r="D132" s="49"/>
      <c r="E132" s="22"/>
      <c r="F132" s="37">
        <f>SUM(G132:M132)</f>
        <v>1</v>
      </c>
      <c r="G132" s="336"/>
      <c r="H132" s="37"/>
      <c r="I132" s="19"/>
      <c r="J132" s="37"/>
      <c r="K132" s="19"/>
      <c r="L132" s="19">
        <v>1</v>
      </c>
      <c r="M132" s="19"/>
      <c r="N132" s="234"/>
      <c r="O132" s="234"/>
      <c r="P132" s="234"/>
      <c r="Q132" s="234"/>
      <c r="R132" s="234"/>
      <c r="S132" s="234"/>
      <c r="T132" s="234"/>
      <c r="U132" s="234"/>
      <c r="V132" s="234"/>
      <c r="W132" s="234"/>
      <c r="X132" s="234"/>
      <c r="Y132" s="234"/>
      <c r="Z132" s="234"/>
      <c r="AA132" s="234"/>
    </row>
    <row r="133" spans="2:27" s="48" customFormat="1" x14ac:dyDescent="0.25">
      <c r="B133" s="57"/>
      <c r="C133" s="49"/>
      <c r="D133" s="49"/>
      <c r="E133" s="22"/>
      <c r="F133" s="234"/>
      <c r="G133" s="57"/>
      <c r="H133" s="22"/>
      <c r="I133" s="234"/>
      <c r="J133" s="22"/>
      <c r="K133" s="234"/>
      <c r="L133" s="22"/>
      <c r="M133" s="21" t="s">
        <v>371</v>
      </c>
      <c r="N133" s="234"/>
      <c r="O133" s="234"/>
      <c r="P133" s="234"/>
      <c r="Q133" s="234"/>
      <c r="R133" s="234"/>
      <c r="S133" s="234"/>
      <c r="T133" s="234"/>
      <c r="U133" s="234"/>
      <c r="V133" s="234"/>
      <c r="W133" s="234"/>
      <c r="X133" s="234"/>
      <c r="Y133" s="234"/>
      <c r="Z133" s="234"/>
      <c r="AA133" s="234"/>
    </row>
    <row r="134" spans="2:27" s="93" customFormat="1" x14ac:dyDescent="0.25">
      <c r="B134" s="58" t="s">
        <v>10</v>
      </c>
      <c r="C134" s="91"/>
      <c r="D134" s="52"/>
      <c r="E134" s="92">
        <v>1</v>
      </c>
      <c r="F134" s="52">
        <f t="shared" ref="F134:L134" si="11">SUM(F135:F139)</f>
        <v>2</v>
      </c>
      <c r="G134" s="129">
        <f t="shared" si="11"/>
        <v>1</v>
      </c>
      <c r="H134" s="92">
        <f t="shared" si="11"/>
        <v>0</v>
      </c>
      <c r="I134" s="52">
        <f t="shared" si="11"/>
        <v>0</v>
      </c>
      <c r="J134" s="92">
        <f t="shared" si="11"/>
        <v>1</v>
      </c>
      <c r="K134" s="52">
        <f>SUM(K135:K139)</f>
        <v>0</v>
      </c>
      <c r="L134" s="92">
        <f t="shared" si="11"/>
        <v>0</v>
      </c>
      <c r="M134" s="94">
        <f>SUM(M135:M139)</f>
        <v>0</v>
      </c>
      <c r="N134" s="234"/>
      <c r="O134" s="234"/>
      <c r="P134" s="234"/>
      <c r="Q134" s="234"/>
      <c r="R134" s="234"/>
      <c r="S134" s="234"/>
      <c r="T134" s="234"/>
      <c r="U134" s="52"/>
      <c r="V134" s="52"/>
      <c r="W134" s="52"/>
      <c r="X134" s="52"/>
      <c r="Y134" s="52"/>
      <c r="Z134" s="52"/>
      <c r="AA134" s="52"/>
    </row>
    <row r="135" spans="2:27" s="48" customFormat="1" hidden="1" x14ac:dyDescent="0.25">
      <c r="B135" s="57" t="s">
        <v>53</v>
      </c>
      <c r="C135" s="49"/>
      <c r="D135" s="49"/>
      <c r="E135" s="22"/>
      <c r="F135" s="131">
        <f>SUM(G135:L135)</f>
        <v>0</v>
      </c>
      <c r="G135" s="102"/>
      <c r="H135" s="82"/>
      <c r="I135" s="102"/>
      <c r="J135" s="82"/>
      <c r="K135" s="102"/>
      <c r="L135" s="82"/>
      <c r="M135" s="22"/>
      <c r="N135" s="234"/>
      <c r="O135" s="234"/>
      <c r="P135" s="234"/>
      <c r="Q135" s="234"/>
      <c r="R135" s="234"/>
      <c r="S135" s="234"/>
      <c r="T135" s="234"/>
      <c r="U135" s="234"/>
      <c r="V135" s="234"/>
      <c r="W135" s="234"/>
      <c r="X135" s="234"/>
      <c r="Y135" s="234"/>
      <c r="Z135" s="234"/>
      <c r="AA135" s="234"/>
    </row>
    <row r="136" spans="2:27" s="48" customFormat="1" ht="13.2" hidden="1" customHeight="1" x14ac:dyDescent="0.25">
      <c r="B136" s="57" t="s">
        <v>54</v>
      </c>
      <c r="C136" s="49"/>
      <c r="D136" s="49"/>
      <c r="E136" s="22"/>
      <c r="F136" s="103">
        <f>SUM(G136:L136)</f>
        <v>0</v>
      </c>
      <c r="G136" s="319"/>
      <c r="H136" s="83"/>
      <c r="I136" s="101"/>
      <c r="J136" s="83"/>
      <c r="K136" s="101"/>
      <c r="L136" s="83"/>
      <c r="M136" s="22"/>
      <c r="N136" s="234"/>
      <c r="O136" s="234"/>
      <c r="P136" s="234"/>
      <c r="Q136" s="234"/>
      <c r="R136" s="234"/>
      <c r="S136" s="234"/>
      <c r="T136" s="234"/>
      <c r="U136" s="234"/>
      <c r="V136" s="234"/>
      <c r="W136" s="234"/>
      <c r="X136" s="234"/>
      <c r="Y136" s="234"/>
      <c r="Z136" s="234"/>
      <c r="AA136" s="234"/>
    </row>
    <row r="137" spans="2:27" s="48" customFormat="1" ht="13.2" hidden="1" customHeight="1" x14ac:dyDescent="0.25">
      <c r="B137" s="57" t="s">
        <v>55</v>
      </c>
      <c r="C137" s="49"/>
      <c r="D137" s="49"/>
      <c r="E137" s="22"/>
      <c r="F137" s="103">
        <f>SUM(G137:L137)</f>
        <v>0</v>
      </c>
      <c r="G137" s="319"/>
      <c r="H137" s="83"/>
      <c r="I137" s="101"/>
      <c r="J137" s="83"/>
      <c r="K137" s="101"/>
      <c r="L137" s="83"/>
      <c r="M137" s="22"/>
      <c r="N137" s="234"/>
      <c r="O137" s="234"/>
      <c r="P137" s="234"/>
      <c r="Q137" s="234"/>
      <c r="R137" s="234"/>
      <c r="S137" s="234"/>
      <c r="T137" s="234"/>
      <c r="U137" s="234"/>
      <c r="V137" s="234"/>
      <c r="W137" s="234"/>
      <c r="X137" s="234"/>
      <c r="Y137" s="234"/>
      <c r="Z137" s="234"/>
      <c r="AA137" s="234"/>
    </row>
    <row r="138" spans="2:27" s="48" customFormat="1" ht="13.2" hidden="1" customHeight="1" x14ac:dyDescent="0.25">
      <c r="B138" s="57" t="s">
        <v>100</v>
      </c>
      <c r="C138" s="49"/>
      <c r="D138" s="49"/>
      <c r="E138" s="22"/>
      <c r="F138" s="103">
        <f>SUM(G138:L138)</f>
        <v>0</v>
      </c>
      <c r="G138" s="319"/>
      <c r="H138" s="83"/>
      <c r="I138" s="101"/>
      <c r="J138" s="83"/>
      <c r="K138" s="101"/>
      <c r="L138" s="83"/>
      <c r="M138" s="22"/>
      <c r="N138" s="234"/>
      <c r="O138" s="234"/>
      <c r="P138" s="234"/>
      <c r="Q138" s="234"/>
      <c r="R138" s="234"/>
      <c r="S138" s="234"/>
      <c r="T138" s="234"/>
      <c r="U138" s="234"/>
      <c r="V138" s="234"/>
      <c r="W138" s="234"/>
      <c r="X138" s="234"/>
      <c r="Y138" s="234"/>
      <c r="Z138" s="234"/>
      <c r="AA138" s="234"/>
    </row>
    <row r="139" spans="2:27" s="48" customFormat="1" x14ac:dyDescent="0.25">
      <c r="B139" s="57" t="s">
        <v>57</v>
      </c>
      <c r="C139" s="49"/>
      <c r="D139" s="49"/>
      <c r="E139" s="22" t="s">
        <v>7</v>
      </c>
      <c r="F139" s="46">
        <f>SUM(G139:M139)</f>
        <v>2</v>
      </c>
      <c r="G139" s="44">
        <v>1</v>
      </c>
      <c r="H139" s="45"/>
      <c r="I139" s="262"/>
      <c r="J139" s="45">
        <v>1</v>
      </c>
      <c r="K139" s="262"/>
      <c r="L139" s="45"/>
      <c r="M139" s="45"/>
      <c r="N139" s="234"/>
      <c r="O139" s="234"/>
      <c r="P139" s="234"/>
      <c r="Q139" s="234"/>
      <c r="R139" s="234"/>
      <c r="S139" s="234"/>
      <c r="T139" s="234"/>
      <c r="U139" s="234"/>
      <c r="V139" s="234"/>
      <c r="W139" s="234"/>
      <c r="X139" s="234"/>
      <c r="Y139" s="234"/>
      <c r="Z139" s="234"/>
      <c r="AA139" s="234"/>
    </row>
    <row r="140" spans="2:27" s="48" customFormat="1" x14ac:dyDescent="0.25">
      <c r="B140" s="57"/>
      <c r="C140" s="49"/>
      <c r="D140" s="49"/>
      <c r="E140" s="22"/>
      <c r="F140" s="234"/>
      <c r="G140" s="90"/>
      <c r="H140" s="234"/>
      <c r="I140" s="22"/>
      <c r="J140" s="234"/>
      <c r="K140" s="22"/>
      <c r="L140" s="22"/>
      <c r="M140" s="22"/>
      <c r="N140" s="234"/>
      <c r="O140" s="234"/>
      <c r="P140" s="234"/>
      <c r="Q140" s="234"/>
      <c r="R140" s="234"/>
      <c r="S140" s="234"/>
      <c r="T140" s="234"/>
      <c r="U140" s="234"/>
      <c r="V140" s="234"/>
      <c r="W140" s="234"/>
      <c r="X140" s="234"/>
      <c r="Y140" s="234"/>
      <c r="Z140" s="234"/>
      <c r="AA140" s="234"/>
    </row>
    <row r="141" spans="2:27" s="93" customFormat="1" x14ac:dyDescent="0.25">
      <c r="B141" s="58" t="s">
        <v>101</v>
      </c>
      <c r="C141" s="91"/>
      <c r="D141" s="52"/>
      <c r="E141" s="92">
        <v>9</v>
      </c>
      <c r="F141" s="52">
        <f t="shared" ref="F141:L141" si="12">SUM(F142:F167)</f>
        <v>11</v>
      </c>
      <c r="G141" s="92">
        <f t="shared" si="12"/>
        <v>5</v>
      </c>
      <c r="H141" s="52">
        <f t="shared" si="12"/>
        <v>1</v>
      </c>
      <c r="I141" s="92">
        <f t="shared" si="12"/>
        <v>0</v>
      </c>
      <c r="J141" s="52">
        <f t="shared" si="12"/>
        <v>0</v>
      </c>
      <c r="K141" s="92">
        <f>SUM(K142:K167)</f>
        <v>3</v>
      </c>
      <c r="L141" s="92">
        <f t="shared" si="12"/>
        <v>1</v>
      </c>
      <c r="M141" s="92">
        <f>SUM(M142:M167)</f>
        <v>1</v>
      </c>
      <c r="N141" s="234"/>
      <c r="O141" s="234"/>
      <c r="P141" s="234"/>
      <c r="Q141" s="234"/>
      <c r="R141" s="234"/>
      <c r="S141" s="234"/>
      <c r="T141" s="234"/>
      <c r="U141" s="52"/>
      <c r="V141" s="52"/>
      <c r="W141" s="52"/>
      <c r="X141" s="52"/>
      <c r="Y141" s="52"/>
      <c r="Z141" s="52"/>
      <c r="AA141" s="52"/>
    </row>
    <row r="142" spans="2:27" s="48" customFormat="1" ht="13.2" hidden="1" customHeight="1" x14ac:dyDescent="0.25">
      <c r="B142" s="57" t="s">
        <v>59</v>
      </c>
      <c r="C142" s="49"/>
      <c r="D142" s="49"/>
      <c r="E142" s="22"/>
      <c r="F142" s="102">
        <f t="shared" ref="F142:F167" si="13">SUM(G142:L142)</f>
        <v>0</v>
      </c>
      <c r="G142" s="304"/>
      <c r="H142" s="102"/>
      <c r="I142" s="82"/>
      <c r="J142" s="102"/>
      <c r="K142" s="82"/>
      <c r="L142" s="82"/>
      <c r="M142" s="22"/>
      <c r="N142" s="234"/>
      <c r="O142" s="234"/>
      <c r="P142" s="234"/>
      <c r="Q142" s="234"/>
      <c r="R142" s="234"/>
      <c r="S142" s="234"/>
      <c r="T142" s="234"/>
      <c r="U142" s="234"/>
      <c r="V142" s="234"/>
      <c r="W142" s="234"/>
      <c r="X142" s="234"/>
      <c r="Y142" s="234"/>
      <c r="Z142" s="234"/>
      <c r="AA142" s="234"/>
    </row>
    <row r="143" spans="2:27" s="48" customFormat="1" ht="13.2" hidden="1" customHeight="1" x14ac:dyDescent="0.25">
      <c r="B143" s="57" t="s">
        <v>60</v>
      </c>
      <c r="C143" s="49"/>
      <c r="D143" s="49"/>
      <c r="E143" s="22"/>
      <c r="F143" s="101">
        <f t="shared" si="13"/>
        <v>0</v>
      </c>
      <c r="G143" s="305"/>
      <c r="H143" s="101"/>
      <c r="I143" s="83"/>
      <c r="J143" s="101"/>
      <c r="K143" s="83"/>
      <c r="L143" s="83"/>
      <c r="M143" s="22"/>
      <c r="N143" s="234"/>
      <c r="O143" s="234"/>
      <c r="P143" s="234"/>
      <c r="Q143" s="234"/>
      <c r="R143" s="234"/>
      <c r="S143" s="234"/>
      <c r="T143" s="234"/>
      <c r="U143" s="234"/>
      <c r="V143" s="234"/>
      <c r="W143" s="234"/>
      <c r="X143" s="234"/>
      <c r="Y143" s="234"/>
      <c r="Z143" s="234"/>
      <c r="AA143" s="234"/>
    </row>
    <row r="144" spans="2:27" s="48" customFormat="1" ht="13.2" hidden="1" customHeight="1" x14ac:dyDescent="0.25">
      <c r="B144" s="57" t="s">
        <v>61</v>
      </c>
      <c r="C144" s="49"/>
      <c r="D144" s="49"/>
      <c r="E144" s="22"/>
      <c r="F144" s="101">
        <f t="shared" si="13"/>
        <v>0</v>
      </c>
      <c r="G144" s="305"/>
      <c r="H144" s="101"/>
      <c r="I144" s="83"/>
      <c r="J144" s="101"/>
      <c r="K144" s="83"/>
      <c r="L144" s="83"/>
      <c r="M144" s="22"/>
      <c r="N144" s="234"/>
      <c r="O144" s="234"/>
      <c r="P144" s="234"/>
      <c r="Q144" s="234"/>
      <c r="R144" s="234"/>
      <c r="S144" s="234"/>
      <c r="T144" s="234"/>
      <c r="U144" s="234"/>
      <c r="V144" s="234"/>
      <c r="W144" s="234"/>
      <c r="X144" s="234"/>
      <c r="Y144" s="234"/>
      <c r="Z144" s="234"/>
      <c r="AA144" s="234"/>
    </row>
    <row r="145" spans="2:27" s="48" customFormat="1" hidden="1" x14ac:dyDescent="0.25">
      <c r="B145" s="57" t="s">
        <v>62</v>
      </c>
      <c r="C145" s="49"/>
      <c r="D145" s="49"/>
      <c r="E145" s="22"/>
      <c r="F145" s="101">
        <f t="shared" si="13"/>
        <v>0</v>
      </c>
      <c r="G145" s="305"/>
      <c r="H145" s="101"/>
      <c r="I145" s="83"/>
      <c r="J145" s="101"/>
      <c r="K145" s="83"/>
      <c r="L145" s="83"/>
      <c r="M145" s="22"/>
      <c r="N145" s="234"/>
      <c r="O145" s="234"/>
      <c r="P145" s="234"/>
      <c r="Q145" s="234"/>
      <c r="R145" s="234"/>
      <c r="S145" s="234"/>
      <c r="T145" s="234"/>
      <c r="U145" s="234"/>
      <c r="V145" s="234"/>
      <c r="W145" s="234"/>
      <c r="X145" s="234"/>
      <c r="Y145" s="234"/>
      <c r="Z145" s="234"/>
      <c r="AA145" s="234"/>
    </row>
    <row r="146" spans="2:27" s="48" customFormat="1" x14ac:dyDescent="0.25">
      <c r="B146" s="57" t="s">
        <v>63</v>
      </c>
      <c r="C146" s="49"/>
      <c r="D146" s="49"/>
      <c r="E146" s="26"/>
      <c r="F146" s="29">
        <f>SUM(G146:M146)</f>
        <v>1</v>
      </c>
      <c r="G146" s="20">
        <v>1</v>
      </c>
      <c r="H146" s="36"/>
      <c r="I146" s="20"/>
      <c r="J146" s="36"/>
      <c r="K146" s="20"/>
      <c r="L146" s="36"/>
      <c r="M146" s="20"/>
      <c r="N146" s="234"/>
      <c r="O146" s="234"/>
      <c r="P146" s="234"/>
      <c r="Q146" s="234"/>
      <c r="R146" s="234"/>
      <c r="S146" s="234"/>
      <c r="T146" s="234"/>
      <c r="U146" s="234"/>
      <c r="V146" s="234"/>
      <c r="W146" s="234"/>
      <c r="X146" s="234"/>
      <c r="Y146" s="234"/>
      <c r="Z146" s="234"/>
      <c r="AA146" s="234"/>
    </row>
    <row r="147" spans="2:27" s="48" customFormat="1" x14ac:dyDescent="0.25">
      <c r="B147" s="57" t="s">
        <v>64</v>
      </c>
      <c r="C147" s="49"/>
      <c r="D147" s="49"/>
      <c r="E147" s="26"/>
      <c r="F147" s="30">
        <f t="shared" ref="F147:F165" si="14">SUM(G147:M147)</f>
        <v>1</v>
      </c>
      <c r="G147" s="8">
        <v>1</v>
      </c>
      <c r="H147" s="233"/>
      <c r="I147" s="8"/>
      <c r="J147" s="233"/>
      <c r="K147" s="8"/>
      <c r="L147" s="233"/>
      <c r="M147" s="8"/>
      <c r="N147" s="234"/>
      <c r="O147" s="234"/>
      <c r="P147" s="234"/>
      <c r="Q147" s="234"/>
      <c r="R147" s="234"/>
      <c r="S147" s="234"/>
      <c r="T147" s="234"/>
      <c r="U147" s="234"/>
      <c r="V147" s="234"/>
      <c r="W147" s="234"/>
      <c r="X147" s="234"/>
      <c r="Y147" s="234"/>
      <c r="Z147" s="234"/>
      <c r="AA147" s="234"/>
    </row>
    <row r="148" spans="2:27" s="48" customFormat="1" ht="13.2" hidden="1" customHeight="1" x14ac:dyDescent="0.25">
      <c r="B148" s="57" t="s">
        <v>65</v>
      </c>
      <c r="C148" s="49"/>
      <c r="D148" s="49"/>
      <c r="E148" s="26"/>
      <c r="F148" s="30">
        <f t="shared" si="14"/>
        <v>0</v>
      </c>
      <c r="G148" s="335"/>
      <c r="H148" s="233"/>
      <c r="I148" s="8"/>
      <c r="J148" s="233"/>
      <c r="K148" s="8"/>
      <c r="L148" s="233"/>
      <c r="M148" s="8"/>
      <c r="N148" s="234"/>
      <c r="O148" s="234"/>
      <c r="P148" s="234"/>
      <c r="Q148" s="234"/>
      <c r="R148" s="234"/>
      <c r="S148" s="234"/>
      <c r="T148" s="234"/>
      <c r="U148" s="234"/>
      <c r="V148" s="234"/>
      <c r="W148" s="234"/>
      <c r="X148" s="234"/>
      <c r="Y148" s="234"/>
      <c r="Z148" s="234"/>
      <c r="AA148" s="234"/>
    </row>
    <row r="149" spans="2:27" s="48" customFormat="1" hidden="1" x14ac:dyDescent="0.25">
      <c r="B149" s="57" t="s">
        <v>66</v>
      </c>
      <c r="C149" s="49"/>
      <c r="D149" s="49"/>
      <c r="E149" s="26"/>
      <c r="F149" s="30">
        <f t="shared" si="14"/>
        <v>0</v>
      </c>
      <c r="G149" s="335"/>
      <c r="H149" s="233"/>
      <c r="I149" s="8"/>
      <c r="J149" s="233"/>
      <c r="K149" s="8"/>
      <c r="L149" s="233"/>
      <c r="M149" s="8"/>
      <c r="N149" s="234"/>
      <c r="O149" s="234"/>
      <c r="P149" s="234"/>
      <c r="Q149" s="234"/>
      <c r="R149" s="234"/>
      <c r="S149" s="234"/>
      <c r="T149" s="234"/>
      <c r="U149" s="234"/>
      <c r="V149" s="234"/>
      <c r="W149" s="234"/>
      <c r="X149" s="234"/>
      <c r="Y149" s="234"/>
      <c r="Z149" s="234"/>
      <c r="AA149" s="234"/>
    </row>
    <row r="150" spans="2:27" s="48" customFormat="1" x14ac:dyDescent="0.25">
      <c r="B150" s="57" t="s">
        <v>67</v>
      </c>
      <c r="C150" s="49"/>
      <c r="D150" s="49"/>
      <c r="E150" s="26"/>
      <c r="F150" s="30">
        <f t="shared" si="14"/>
        <v>1</v>
      </c>
      <c r="G150" s="335"/>
      <c r="H150" s="233"/>
      <c r="I150" s="8"/>
      <c r="J150" s="233"/>
      <c r="K150" s="8">
        <v>1</v>
      </c>
      <c r="L150" s="233"/>
      <c r="M150" s="8"/>
      <c r="N150" s="234"/>
      <c r="O150" s="234"/>
      <c r="P150" s="234"/>
      <c r="Q150" s="234"/>
      <c r="R150" s="234"/>
      <c r="S150" s="234"/>
      <c r="T150" s="234"/>
      <c r="U150" s="234"/>
      <c r="V150" s="234"/>
      <c r="W150" s="234"/>
      <c r="X150" s="234"/>
      <c r="Y150" s="234"/>
      <c r="Z150" s="234"/>
      <c r="AA150" s="234"/>
    </row>
    <row r="151" spans="2:27" s="48" customFormat="1" hidden="1" x14ac:dyDescent="0.25">
      <c r="B151" s="57" t="s">
        <v>144</v>
      </c>
      <c r="C151" s="49"/>
      <c r="D151" s="49"/>
      <c r="E151" s="26"/>
      <c r="F151" s="30">
        <f t="shared" si="14"/>
        <v>0</v>
      </c>
      <c r="G151" s="335"/>
      <c r="H151" s="233"/>
      <c r="I151" s="8"/>
      <c r="J151" s="233"/>
      <c r="K151" s="8"/>
      <c r="L151" s="233"/>
      <c r="M151" s="8"/>
      <c r="N151" s="234"/>
      <c r="O151" s="234"/>
      <c r="P151" s="234"/>
      <c r="Q151" s="234"/>
      <c r="R151" s="234"/>
      <c r="S151" s="234"/>
      <c r="T151" s="234"/>
      <c r="U151" s="234"/>
      <c r="V151" s="234"/>
      <c r="W151" s="234"/>
      <c r="X151" s="234"/>
      <c r="Y151" s="234"/>
      <c r="Z151" s="234"/>
      <c r="AA151" s="234"/>
    </row>
    <row r="152" spans="2:27" s="48" customFormat="1" hidden="1" x14ac:dyDescent="0.25">
      <c r="B152" s="57" t="s">
        <v>69</v>
      </c>
      <c r="C152" s="49"/>
      <c r="D152" s="49"/>
      <c r="E152" s="26"/>
      <c r="F152" s="30">
        <f t="shared" si="14"/>
        <v>0</v>
      </c>
      <c r="G152" s="335"/>
      <c r="H152" s="233"/>
      <c r="I152" s="8"/>
      <c r="J152" s="233"/>
      <c r="K152" s="8"/>
      <c r="L152" s="233"/>
      <c r="M152" s="8"/>
      <c r="N152" s="234"/>
      <c r="O152" s="234"/>
      <c r="P152" s="234"/>
      <c r="Q152" s="234"/>
      <c r="R152" s="234"/>
      <c r="S152" s="234"/>
      <c r="T152" s="234"/>
      <c r="U152" s="234"/>
      <c r="V152" s="234"/>
      <c r="W152" s="234"/>
      <c r="X152" s="234"/>
      <c r="Y152" s="234"/>
      <c r="Z152" s="234"/>
      <c r="AA152" s="234"/>
    </row>
    <row r="153" spans="2:27" s="48" customFormat="1" ht="13.2" customHeight="1" x14ac:dyDescent="0.25">
      <c r="B153" s="57" t="s">
        <v>70</v>
      </c>
      <c r="C153" s="49"/>
      <c r="D153" s="49"/>
      <c r="E153" s="26"/>
      <c r="F153" s="30">
        <f t="shared" si="14"/>
        <v>1</v>
      </c>
      <c r="G153" s="8">
        <v>1</v>
      </c>
      <c r="H153" s="233"/>
      <c r="I153" s="8"/>
      <c r="J153" s="233"/>
      <c r="K153" s="8"/>
      <c r="L153" s="233"/>
      <c r="M153" s="8"/>
      <c r="N153" s="234"/>
      <c r="O153" s="234"/>
      <c r="P153" s="234"/>
      <c r="Q153" s="234"/>
      <c r="R153" s="234"/>
      <c r="S153" s="234"/>
      <c r="T153" s="234"/>
      <c r="U153" s="234"/>
      <c r="V153" s="234"/>
      <c r="W153" s="234"/>
      <c r="X153" s="234"/>
      <c r="Y153" s="234"/>
      <c r="Z153" s="234"/>
      <c r="AA153" s="234"/>
    </row>
    <row r="154" spans="2:27" s="48" customFormat="1" ht="13.2" hidden="1" customHeight="1" x14ac:dyDescent="0.25">
      <c r="B154" s="57" t="s">
        <v>71</v>
      </c>
      <c r="C154" s="49"/>
      <c r="D154" s="49"/>
      <c r="E154" s="26"/>
      <c r="F154" s="30">
        <f t="shared" si="14"/>
        <v>0</v>
      </c>
      <c r="G154" s="335"/>
      <c r="H154" s="233"/>
      <c r="I154" s="8"/>
      <c r="J154" s="233"/>
      <c r="K154" s="8"/>
      <c r="L154" s="233"/>
      <c r="M154" s="8"/>
      <c r="N154" s="234"/>
      <c r="O154" s="234"/>
      <c r="P154" s="234"/>
      <c r="Q154" s="234"/>
      <c r="R154" s="234"/>
      <c r="S154" s="234"/>
      <c r="T154" s="234"/>
      <c r="U154" s="234"/>
      <c r="V154" s="234"/>
      <c r="W154" s="234"/>
      <c r="X154" s="234"/>
      <c r="Y154" s="234"/>
      <c r="Z154" s="234"/>
      <c r="AA154" s="234"/>
    </row>
    <row r="155" spans="2:27" s="48" customFormat="1" ht="13.2" customHeight="1" x14ac:dyDescent="0.25">
      <c r="B155" s="57" t="s">
        <v>72</v>
      </c>
      <c r="C155" s="49"/>
      <c r="D155" s="49"/>
      <c r="E155" s="26"/>
      <c r="F155" s="30">
        <f t="shared" si="14"/>
        <v>1</v>
      </c>
      <c r="G155" s="335"/>
      <c r="H155" s="233"/>
      <c r="I155" s="8"/>
      <c r="J155" s="233"/>
      <c r="K155" s="8"/>
      <c r="L155" s="233">
        <v>1</v>
      </c>
      <c r="M155" s="8"/>
      <c r="N155" s="234"/>
      <c r="O155" s="234"/>
      <c r="P155" s="234"/>
      <c r="Q155" s="234"/>
      <c r="R155" s="234"/>
      <c r="S155" s="234"/>
      <c r="T155" s="234"/>
      <c r="U155" s="234"/>
      <c r="V155" s="234"/>
      <c r="W155" s="234"/>
      <c r="X155" s="234"/>
      <c r="Y155" s="234"/>
      <c r="Z155" s="234"/>
      <c r="AA155" s="234"/>
    </row>
    <row r="156" spans="2:27" s="48" customFormat="1" hidden="1" x14ac:dyDescent="0.25">
      <c r="B156" s="57" t="s">
        <v>130</v>
      </c>
      <c r="C156" s="49"/>
      <c r="D156" s="49"/>
      <c r="E156" s="26"/>
      <c r="F156" s="30">
        <f t="shared" si="14"/>
        <v>0</v>
      </c>
      <c r="G156" s="335"/>
      <c r="H156" s="233"/>
      <c r="I156" s="8"/>
      <c r="J156" s="233"/>
      <c r="K156" s="8"/>
      <c r="L156" s="233"/>
      <c r="M156" s="8"/>
      <c r="N156" s="234"/>
      <c r="O156" s="234"/>
      <c r="P156" s="234"/>
      <c r="Q156" s="234"/>
      <c r="R156" s="234"/>
      <c r="S156" s="234"/>
      <c r="T156" s="234"/>
      <c r="U156" s="234"/>
      <c r="V156" s="234"/>
      <c r="W156" s="234"/>
      <c r="X156" s="234"/>
      <c r="Y156" s="234"/>
      <c r="Z156" s="234"/>
      <c r="AA156" s="234"/>
    </row>
    <row r="157" spans="2:27" s="48" customFormat="1" ht="13.2" customHeight="1" x14ac:dyDescent="0.25">
      <c r="B157" s="57" t="s">
        <v>102</v>
      </c>
      <c r="C157" s="49"/>
      <c r="D157" s="49"/>
      <c r="E157" s="26"/>
      <c r="F157" s="30">
        <f t="shared" si="14"/>
        <v>2</v>
      </c>
      <c r="G157" s="8">
        <v>1</v>
      </c>
      <c r="H157" s="233">
        <v>1</v>
      </c>
      <c r="I157" s="8"/>
      <c r="J157" s="233"/>
      <c r="K157" s="8"/>
      <c r="L157" s="233"/>
      <c r="M157" s="8"/>
      <c r="N157" s="234"/>
      <c r="O157" s="234"/>
      <c r="P157" s="234"/>
      <c r="Q157" s="234"/>
      <c r="R157" s="234"/>
      <c r="S157" s="234"/>
      <c r="T157" s="234"/>
      <c r="U157" s="234"/>
      <c r="V157" s="234"/>
      <c r="W157" s="234"/>
      <c r="X157" s="234"/>
      <c r="Y157" s="234"/>
      <c r="Z157" s="234"/>
      <c r="AA157" s="234"/>
    </row>
    <row r="158" spans="2:27" s="48" customFormat="1" ht="13.2" hidden="1" customHeight="1" x14ac:dyDescent="0.25">
      <c r="B158" s="57" t="s">
        <v>103</v>
      </c>
      <c r="C158" s="49"/>
      <c r="D158" s="49"/>
      <c r="E158" s="26"/>
      <c r="F158" s="30">
        <f t="shared" si="14"/>
        <v>0</v>
      </c>
      <c r="G158" s="335"/>
      <c r="H158" s="233"/>
      <c r="I158" s="8"/>
      <c r="J158" s="233"/>
      <c r="K158" s="8"/>
      <c r="L158" s="233"/>
      <c r="M158" s="8"/>
      <c r="N158" s="234"/>
      <c r="O158" s="234"/>
      <c r="P158" s="234"/>
      <c r="Q158" s="234"/>
      <c r="R158" s="234"/>
      <c r="S158" s="234"/>
      <c r="T158" s="234"/>
      <c r="U158" s="234"/>
      <c r="V158" s="234"/>
      <c r="W158" s="234"/>
      <c r="X158" s="234"/>
      <c r="Y158" s="234"/>
      <c r="Z158" s="234"/>
      <c r="AA158" s="234"/>
    </row>
    <row r="159" spans="2:27" s="48" customFormat="1" hidden="1" x14ac:dyDescent="0.25">
      <c r="B159" s="57" t="s">
        <v>91</v>
      </c>
      <c r="C159" s="49"/>
      <c r="D159" s="49"/>
      <c r="E159" s="26"/>
      <c r="F159" s="30">
        <f t="shared" si="14"/>
        <v>0</v>
      </c>
      <c r="G159" s="335"/>
      <c r="H159" s="233"/>
      <c r="I159" s="8"/>
      <c r="J159" s="233"/>
      <c r="K159" s="8"/>
      <c r="L159" s="233"/>
      <c r="M159" s="8"/>
      <c r="N159" s="234"/>
      <c r="O159" s="234"/>
      <c r="P159" s="234"/>
      <c r="Q159" s="234"/>
      <c r="R159" s="234"/>
      <c r="S159" s="234"/>
      <c r="T159" s="234"/>
      <c r="U159" s="234"/>
      <c r="V159" s="234"/>
      <c r="W159" s="234"/>
      <c r="X159" s="234"/>
      <c r="Y159" s="234"/>
      <c r="Z159" s="234"/>
      <c r="AA159" s="234"/>
    </row>
    <row r="160" spans="2:27" s="48" customFormat="1" ht="13.2" hidden="1" customHeight="1" x14ac:dyDescent="0.25">
      <c r="B160" s="57" t="s">
        <v>73</v>
      </c>
      <c r="C160" s="49"/>
      <c r="D160" s="49"/>
      <c r="E160" s="26"/>
      <c r="F160" s="30">
        <f t="shared" si="14"/>
        <v>0</v>
      </c>
      <c r="G160" s="335"/>
      <c r="H160" s="233"/>
      <c r="I160" s="8"/>
      <c r="J160" s="233"/>
      <c r="K160" s="8"/>
      <c r="L160" s="233"/>
      <c r="M160" s="8"/>
      <c r="N160" s="234"/>
      <c r="O160" s="234"/>
      <c r="P160" s="234"/>
      <c r="Q160" s="234"/>
      <c r="R160" s="234"/>
      <c r="S160" s="234"/>
      <c r="T160" s="234"/>
      <c r="U160" s="234"/>
      <c r="V160" s="234"/>
      <c r="W160" s="234"/>
      <c r="X160" s="234"/>
      <c r="Y160" s="234"/>
      <c r="Z160" s="234"/>
      <c r="AA160" s="234"/>
    </row>
    <row r="161" spans="2:27" s="48" customFormat="1" hidden="1" x14ac:dyDescent="0.25">
      <c r="B161" s="57" t="s">
        <v>74</v>
      </c>
      <c r="C161" s="49"/>
      <c r="D161" s="49"/>
      <c r="E161" s="26"/>
      <c r="F161" s="30">
        <f t="shared" si="14"/>
        <v>0</v>
      </c>
      <c r="G161" s="335"/>
      <c r="H161" s="233"/>
      <c r="I161" s="8"/>
      <c r="J161" s="233"/>
      <c r="K161" s="8"/>
      <c r="L161" s="233"/>
      <c r="M161" s="8"/>
      <c r="N161" s="234"/>
      <c r="O161" s="234"/>
      <c r="P161" s="234"/>
      <c r="Q161" s="234"/>
      <c r="R161" s="234"/>
      <c r="S161" s="234"/>
      <c r="T161" s="234"/>
      <c r="U161" s="234"/>
      <c r="V161" s="234"/>
      <c r="W161" s="234"/>
      <c r="X161" s="234"/>
      <c r="Y161" s="234"/>
      <c r="Z161" s="234"/>
      <c r="AA161" s="234"/>
    </row>
    <row r="162" spans="2:27" s="48" customFormat="1" ht="13.2" customHeight="1" x14ac:dyDescent="0.25">
      <c r="B162" s="57" t="s">
        <v>104</v>
      </c>
      <c r="C162" s="49"/>
      <c r="D162" s="49"/>
      <c r="E162" s="26"/>
      <c r="F162" s="30">
        <f t="shared" si="14"/>
        <v>2</v>
      </c>
      <c r="G162" s="8">
        <v>1</v>
      </c>
      <c r="H162" s="233"/>
      <c r="I162" s="8"/>
      <c r="J162" s="233"/>
      <c r="K162" s="8"/>
      <c r="L162" s="233"/>
      <c r="M162" s="8">
        <v>1</v>
      </c>
      <c r="N162" s="234"/>
      <c r="O162" s="234"/>
      <c r="P162" s="234"/>
      <c r="Q162" s="234"/>
      <c r="R162" s="234"/>
      <c r="S162" s="234"/>
      <c r="T162" s="234"/>
      <c r="U162" s="234"/>
      <c r="V162" s="234"/>
      <c r="W162" s="234"/>
      <c r="X162" s="234"/>
      <c r="Y162" s="234"/>
      <c r="Z162" s="234"/>
      <c r="AA162" s="234"/>
    </row>
    <row r="163" spans="2:27" s="48" customFormat="1" ht="13.2" hidden="1" customHeight="1" x14ac:dyDescent="0.25">
      <c r="B163" s="57" t="s">
        <v>75</v>
      </c>
      <c r="C163" s="49"/>
      <c r="D163" s="49"/>
      <c r="E163" s="26"/>
      <c r="F163" s="30">
        <f t="shared" si="14"/>
        <v>0</v>
      </c>
      <c r="G163" s="335"/>
      <c r="H163" s="233"/>
      <c r="I163" s="8"/>
      <c r="J163" s="233"/>
      <c r="K163" s="8"/>
      <c r="L163" s="233"/>
      <c r="M163" s="8"/>
      <c r="N163" s="234"/>
      <c r="O163" s="234"/>
      <c r="P163" s="234"/>
      <c r="Q163" s="234"/>
      <c r="R163" s="234"/>
      <c r="S163" s="234"/>
      <c r="T163" s="234"/>
      <c r="U163" s="234"/>
      <c r="V163" s="234"/>
      <c r="W163" s="234"/>
      <c r="X163" s="234"/>
      <c r="Y163" s="234"/>
      <c r="Z163" s="234"/>
      <c r="AA163" s="234"/>
    </row>
    <row r="164" spans="2:27" s="48" customFormat="1" hidden="1" x14ac:dyDescent="0.25">
      <c r="B164" s="57" t="s">
        <v>131</v>
      </c>
      <c r="C164" s="49"/>
      <c r="D164" s="49"/>
      <c r="E164" s="26"/>
      <c r="F164" s="30">
        <f t="shared" si="14"/>
        <v>0</v>
      </c>
      <c r="G164" s="335"/>
      <c r="H164" s="233"/>
      <c r="I164" s="8"/>
      <c r="J164" s="233"/>
      <c r="K164" s="8"/>
      <c r="L164" s="233"/>
      <c r="M164" s="8"/>
      <c r="N164" s="234"/>
      <c r="O164" s="234"/>
      <c r="P164" s="234"/>
      <c r="Q164" s="234"/>
      <c r="R164" s="234"/>
      <c r="S164" s="234"/>
      <c r="T164" s="234"/>
      <c r="U164" s="234"/>
      <c r="V164" s="234"/>
      <c r="W164" s="234"/>
      <c r="X164" s="234"/>
      <c r="Y164" s="234"/>
      <c r="Z164" s="234"/>
      <c r="AA164" s="234"/>
    </row>
    <row r="165" spans="2:27" s="48" customFormat="1" ht="13.2" customHeight="1" x14ac:dyDescent="0.25">
      <c r="B165" s="57" t="s">
        <v>77</v>
      </c>
      <c r="C165" s="49"/>
      <c r="D165" s="49"/>
      <c r="E165" s="26"/>
      <c r="F165" s="30">
        <f t="shared" si="14"/>
        <v>1</v>
      </c>
      <c r="G165" s="8"/>
      <c r="H165" s="233"/>
      <c r="I165" s="8"/>
      <c r="J165" s="233"/>
      <c r="K165" s="8">
        <v>1</v>
      </c>
      <c r="L165" s="233"/>
      <c r="M165" s="8"/>
      <c r="N165" s="234"/>
      <c r="O165" s="234"/>
      <c r="P165" s="234"/>
      <c r="Q165" s="234"/>
      <c r="R165" s="234"/>
      <c r="S165" s="234"/>
      <c r="T165" s="234"/>
      <c r="U165" s="234"/>
      <c r="V165" s="234"/>
      <c r="W165" s="234"/>
      <c r="X165" s="234"/>
      <c r="Y165" s="234"/>
      <c r="Z165" s="234"/>
      <c r="AA165" s="234"/>
    </row>
    <row r="166" spans="2:27" s="48" customFormat="1" x14ac:dyDescent="0.25">
      <c r="B166" s="57" t="s">
        <v>78</v>
      </c>
      <c r="C166" s="49"/>
      <c r="D166" s="49"/>
      <c r="E166" s="26"/>
      <c r="F166" s="31">
        <f>SUM(G166:M166)</f>
        <v>1</v>
      </c>
      <c r="G166" s="19"/>
      <c r="H166" s="37"/>
      <c r="I166" s="19"/>
      <c r="J166" s="37"/>
      <c r="K166" s="19">
        <v>1</v>
      </c>
      <c r="L166" s="37"/>
      <c r="M166" s="19"/>
      <c r="N166" s="234"/>
      <c r="O166" s="234"/>
      <c r="P166" s="234"/>
      <c r="Q166" s="234"/>
      <c r="R166" s="234"/>
      <c r="S166" s="234"/>
      <c r="T166" s="234"/>
      <c r="U166" s="234"/>
      <c r="V166" s="234"/>
      <c r="W166" s="234"/>
      <c r="X166" s="234"/>
      <c r="Y166" s="234"/>
      <c r="Z166" s="234"/>
      <c r="AA166" s="234"/>
    </row>
    <row r="167" spans="2:27" s="48" customFormat="1" hidden="1" x14ac:dyDescent="0.25">
      <c r="B167" s="57" t="s">
        <v>79</v>
      </c>
      <c r="C167" s="49"/>
      <c r="D167" s="49"/>
      <c r="E167" s="26"/>
      <c r="F167" s="31">
        <f t="shared" si="13"/>
        <v>0</v>
      </c>
      <c r="G167" s="19"/>
      <c r="H167" s="37"/>
      <c r="I167" s="19"/>
      <c r="J167" s="37"/>
      <c r="K167" s="19"/>
      <c r="L167" s="37"/>
      <c r="M167" s="19"/>
      <c r="N167" s="234"/>
      <c r="O167" s="234"/>
      <c r="P167" s="234"/>
      <c r="Q167" s="234"/>
      <c r="R167" s="234"/>
      <c r="S167" s="234"/>
      <c r="T167" s="234"/>
      <c r="U167" s="234"/>
      <c r="V167" s="234"/>
      <c r="W167" s="234"/>
      <c r="X167" s="234"/>
      <c r="Y167" s="234"/>
      <c r="Z167" s="234"/>
      <c r="AA167" s="234"/>
    </row>
    <row r="168" spans="2:27" s="48" customFormat="1" x14ac:dyDescent="0.25">
      <c r="B168" s="61"/>
      <c r="C168" s="55"/>
      <c r="D168" s="55"/>
      <c r="E168" s="23"/>
      <c r="F168" s="99"/>
      <c r="G168" s="127"/>
      <c r="H168" s="99"/>
      <c r="I168" s="23"/>
      <c r="J168" s="99"/>
      <c r="K168" s="23"/>
      <c r="L168" s="55"/>
      <c r="M168" s="23"/>
      <c r="N168" s="234"/>
      <c r="O168" s="234"/>
      <c r="P168" s="234"/>
      <c r="Q168" s="234"/>
      <c r="R168" s="234"/>
      <c r="S168" s="234"/>
      <c r="T168" s="234"/>
      <c r="U168" s="234"/>
      <c r="V168" s="234"/>
      <c r="W168" s="234"/>
      <c r="X168" s="234"/>
      <c r="Y168" s="234"/>
      <c r="Z168" s="234"/>
      <c r="AA168" s="234"/>
    </row>
    <row r="169" spans="2:27" s="93" customFormat="1" hidden="1" x14ac:dyDescent="0.25">
      <c r="B169" s="58" t="s">
        <v>0</v>
      </c>
      <c r="C169" s="91"/>
      <c r="D169" s="52"/>
      <c r="E169" s="133"/>
      <c r="F169" s="52">
        <f>SUM(F171:F172)</f>
        <v>0</v>
      </c>
      <c r="G169" s="94">
        <f t="shared" ref="G169:M169" si="15">SUM(G171:G172)</f>
        <v>0</v>
      </c>
      <c r="H169" s="159">
        <f t="shared" si="15"/>
        <v>0</v>
      </c>
      <c r="I169" s="94">
        <f t="shared" si="15"/>
        <v>0</v>
      </c>
      <c r="J169" s="159">
        <f t="shared" si="15"/>
        <v>0</v>
      </c>
      <c r="K169" s="92">
        <f t="shared" si="15"/>
        <v>0</v>
      </c>
      <c r="L169" s="159">
        <f t="shared" si="15"/>
        <v>0</v>
      </c>
      <c r="M169" s="92">
        <f t="shared" si="15"/>
        <v>0</v>
      </c>
      <c r="N169" s="234"/>
      <c r="O169" s="234"/>
      <c r="P169" s="234"/>
      <c r="Q169" s="234"/>
      <c r="R169" s="234"/>
      <c r="S169" s="234"/>
      <c r="T169" s="234"/>
      <c r="U169" s="52"/>
      <c r="V169" s="52"/>
      <c r="W169" s="52"/>
      <c r="X169" s="52"/>
      <c r="Y169" s="52"/>
      <c r="Z169" s="52"/>
      <c r="AA169" s="52"/>
    </row>
    <row r="170" spans="2:27" s="48" customFormat="1" ht="13.2" hidden="1" customHeight="1" x14ac:dyDescent="0.25">
      <c r="B170" s="57" t="s">
        <v>127</v>
      </c>
      <c r="C170" s="49"/>
      <c r="D170" s="49"/>
      <c r="E170" s="169"/>
      <c r="F170" s="36">
        <f>SUM(G170:M170)</f>
        <v>0</v>
      </c>
      <c r="G170" s="337"/>
      <c r="H170" s="36"/>
      <c r="I170" s="20"/>
      <c r="J170" s="36"/>
      <c r="K170" s="20"/>
      <c r="L170" s="338"/>
      <c r="M170" s="20"/>
      <c r="N170" s="234"/>
      <c r="O170" s="234"/>
      <c r="P170" s="234"/>
      <c r="Q170" s="234"/>
      <c r="R170" s="234"/>
      <c r="S170" s="234"/>
      <c r="T170" s="234"/>
      <c r="U170" s="234"/>
      <c r="V170" s="234"/>
      <c r="W170" s="234"/>
      <c r="X170" s="234"/>
      <c r="Y170" s="234"/>
      <c r="Z170" s="234"/>
      <c r="AA170" s="234"/>
    </row>
    <row r="171" spans="2:27" s="48" customFormat="1" ht="13.2" hidden="1" customHeight="1" x14ac:dyDescent="0.25">
      <c r="B171" s="57" t="s">
        <v>81</v>
      </c>
      <c r="C171" s="49"/>
      <c r="D171" s="49"/>
      <c r="E171" s="169"/>
      <c r="F171" s="233">
        <f t="shared" ref="F171:F175" si="16">SUM(G171:M171)</f>
        <v>0</v>
      </c>
      <c r="G171" s="335"/>
      <c r="H171" s="233"/>
      <c r="I171" s="8"/>
      <c r="J171" s="233"/>
      <c r="K171" s="8"/>
      <c r="L171" s="96"/>
      <c r="M171" s="8"/>
      <c r="N171" s="234"/>
      <c r="O171" s="234"/>
      <c r="P171" s="234"/>
      <c r="Q171" s="234"/>
      <c r="R171" s="234"/>
      <c r="S171" s="234"/>
      <c r="T171" s="234"/>
      <c r="U171" s="234"/>
      <c r="V171" s="234"/>
      <c r="W171" s="234"/>
      <c r="X171" s="234"/>
      <c r="Y171" s="234"/>
      <c r="Z171" s="234"/>
      <c r="AA171" s="234"/>
    </row>
    <row r="172" spans="2:27" s="48" customFormat="1" ht="13.2" hidden="1" customHeight="1" x14ac:dyDescent="0.25">
      <c r="B172" s="57" t="s">
        <v>82</v>
      </c>
      <c r="C172" s="49"/>
      <c r="D172" s="49"/>
      <c r="E172" s="169"/>
      <c r="F172" s="233">
        <f t="shared" si="16"/>
        <v>0</v>
      </c>
      <c r="G172" s="335"/>
      <c r="H172" s="233"/>
      <c r="I172" s="8"/>
      <c r="J172" s="233"/>
      <c r="K172" s="8"/>
      <c r="L172" s="96"/>
      <c r="M172" s="8"/>
      <c r="N172" s="234"/>
      <c r="O172" s="234"/>
      <c r="P172" s="234"/>
      <c r="Q172" s="234"/>
      <c r="R172" s="234"/>
      <c r="S172" s="234"/>
      <c r="T172" s="234"/>
      <c r="U172" s="234"/>
      <c r="V172" s="234"/>
      <c r="W172" s="234"/>
      <c r="X172" s="234"/>
      <c r="Y172" s="234"/>
      <c r="Z172" s="234"/>
      <c r="AA172" s="234"/>
    </row>
    <row r="173" spans="2:27" s="48" customFormat="1" ht="13.2" hidden="1" customHeight="1" x14ac:dyDescent="0.25">
      <c r="B173" s="57" t="s">
        <v>83</v>
      </c>
      <c r="C173" s="49"/>
      <c r="D173" s="49"/>
      <c r="E173" s="169"/>
      <c r="F173" s="233">
        <f t="shared" si="16"/>
        <v>0</v>
      </c>
      <c r="G173" s="335"/>
      <c r="H173" s="233"/>
      <c r="I173" s="8"/>
      <c r="J173" s="233"/>
      <c r="K173" s="8"/>
      <c r="L173" s="96"/>
      <c r="M173" s="8"/>
      <c r="N173" s="234"/>
      <c r="O173" s="234"/>
      <c r="P173" s="234"/>
      <c r="Q173" s="234"/>
      <c r="R173" s="234"/>
      <c r="S173" s="234"/>
      <c r="T173" s="234"/>
      <c r="U173" s="234"/>
      <c r="V173" s="234"/>
      <c r="W173" s="234"/>
      <c r="X173" s="234"/>
      <c r="Y173" s="234"/>
      <c r="Z173" s="234"/>
      <c r="AA173" s="234"/>
    </row>
    <row r="174" spans="2:27" s="48" customFormat="1" ht="13.2" hidden="1" customHeight="1" x14ac:dyDescent="0.25">
      <c r="B174" s="57" t="s">
        <v>84</v>
      </c>
      <c r="C174" s="49"/>
      <c r="D174" s="49"/>
      <c r="E174" s="169"/>
      <c r="F174" s="233">
        <f t="shared" si="16"/>
        <v>0</v>
      </c>
      <c r="G174" s="335"/>
      <c r="H174" s="233"/>
      <c r="I174" s="8"/>
      <c r="J174" s="233"/>
      <c r="K174" s="8"/>
      <c r="L174" s="96"/>
      <c r="M174" s="8"/>
      <c r="N174" s="234"/>
      <c r="O174" s="234"/>
      <c r="P174" s="234"/>
      <c r="Q174" s="234"/>
      <c r="R174" s="234"/>
      <c r="S174" s="234"/>
      <c r="T174" s="234"/>
      <c r="U174" s="234"/>
      <c r="V174" s="234"/>
      <c r="W174" s="234"/>
      <c r="X174" s="234"/>
      <c r="Y174" s="234"/>
      <c r="Z174" s="234"/>
      <c r="AA174" s="234"/>
    </row>
    <row r="175" spans="2:27" s="48" customFormat="1" ht="13.2" hidden="1" customHeight="1" x14ac:dyDescent="0.25">
      <c r="B175" s="57" t="s">
        <v>85</v>
      </c>
      <c r="C175" s="49"/>
      <c r="D175" s="49"/>
      <c r="E175" s="169"/>
      <c r="F175" s="233">
        <f t="shared" si="16"/>
        <v>0</v>
      </c>
      <c r="G175" s="335"/>
      <c r="H175" s="233"/>
      <c r="I175" s="8"/>
      <c r="J175" s="233"/>
      <c r="K175" s="8"/>
      <c r="L175" s="96"/>
      <c r="M175" s="8"/>
      <c r="N175" s="234"/>
      <c r="O175" s="234"/>
      <c r="P175" s="234"/>
      <c r="Q175" s="234"/>
      <c r="R175" s="234"/>
      <c r="S175" s="234"/>
      <c r="T175" s="234"/>
      <c r="U175" s="234"/>
      <c r="V175" s="234"/>
      <c r="W175" s="234"/>
      <c r="X175" s="234"/>
      <c r="Y175" s="234"/>
      <c r="Z175" s="234"/>
      <c r="AA175" s="234"/>
    </row>
    <row r="176" spans="2:27" s="48" customFormat="1" ht="13.2" hidden="1" customHeight="1" x14ac:dyDescent="0.25">
      <c r="B176" s="57" t="s">
        <v>87</v>
      </c>
      <c r="C176" s="49"/>
      <c r="D176" s="49"/>
      <c r="E176" s="169"/>
      <c r="F176" s="37">
        <f>SUM(G176:M176)</f>
        <v>0</v>
      </c>
      <c r="G176" s="336"/>
      <c r="H176" s="37"/>
      <c r="I176" s="19"/>
      <c r="J176" s="37"/>
      <c r="K176" s="19"/>
      <c r="L176" s="339"/>
      <c r="M176" s="19"/>
      <c r="N176" s="234"/>
      <c r="O176" s="234"/>
      <c r="P176" s="234"/>
      <c r="Q176" s="234"/>
      <c r="R176" s="234"/>
      <c r="S176" s="234"/>
      <c r="T176" s="234"/>
      <c r="U176" s="234"/>
      <c r="V176" s="234"/>
      <c r="W176" s="234"/>
      <c r="X176" s="234"/>
      <c r="Y176" s="234"/>
      <c r="Z176" s="234"/>
      <c r="AA176" s="234"/>
    </row>
    <row r="177" spans="2:27" s="48" customFormat="1" hidden="1" x14ac:dyDescent="0.25">
      <c r="B177" s="57"/>
      <c r="C177" s="49"/>
      <c r="D177" s="49"/>
      <c r="E177" s="169"/>
      <c r="F177" s="234"/>
      <c r="G177" s="90"/>
      <c r="H177" s="81"/>
      <c r="I177" s="81"/>
      <c r="J177" s="26"/>
      <c r="K177" s="22"/>
      <c r="L177" s="49"/>
      <c r="M177" s="22"/>
      <c r="N177" s="234"/>
      <c r="O177" s="234"/>
      <c r="P177" s="234"/>
      <c r="Q177" s="234"/>
      <c r="R177" s="234"/>
      <c r="S177" s="234"/>
      <c r="T177" s="234"/>
      <c r="U177" s="234"/>
      <c r="V177" s="234"/>
      <c r="W177" s="234"/>
      <c r="X177" s="234"/>
      <c r="Y177" s="234"/>
      <c r="Z177" s="234"/>
      <c r="AA177" s="234"/>
    </row>
    <row r="178" spans="2:27" s="48" customFormat="1" hidden="1" x14ac:dyDescent="0.25">
      <c r="B178" s="58" t="s">
        <v>94</v>
      </c>
      <c r="C178" s="49"/>
      <c r="D178" s="49"/>
      <c r="E178" s="133">
        <v>0</v>
      </c>
      <c r="F178" s="234"/>
      <c r="G178" s="90"/>
      <c r="H178" s="234"/>
      <c r="I178" s="234"/>
      <c r="J178" s="234"/>
      <c r="K178" s="22"/>
      <c r="L178" s="49"/>
      <c r="M178" s="22"/>
      <c r="N178" s="234"/>
      <c r="O178" s="234"/>
      <c r="P178" s="234"/>
      <c r="Q178" s="234"/>
      <c r="R178" s="234"/>
      <c r="S178" s="234"/>
      <c r="T178" s="234"/>
      <c r="U178" s="234"/>
      <c r="V178" s="234"/>
      <c r="W178" s="234"/>
      <c r="X178" s="234"/>
      <c r="Y178" s="234"/>
      <c r="Z178" s="234"/>
      <c r="AA178" s="234"/>
    </row>
    <row r="179" spans="2:27" s="48" customFormat="1" ht="13.2" hidden="1" customHeight="1" x14ac:dyDescent="0.25">
      <c r="B179" s="61" t="s">
        <v>86</v>
      </c>
      <c r="C179" s="55"/>
      <c r="D179" s="55"/>
      <c r="E179" s="23"/>
      <c r="F179" s="46">
        <f>SUM(G179:M179)</f>
        <v>0</v>
      </c>
      <c r="G179" s="340"/>
      <c r="H179" s="46"/>
      <c r="I179" s="46"/>
      <c r="J179" s="44"/>
      <c r="K179" s="45"/>
      <c r="L179" s="341"/>
      <c r="M179" s="45"/>
      <c r="N179" s="234"/>
      <c r="O179" s="234"/>
      <c r="P179" s="234"/>
      <c r="Q179" s="234"/>
      <c r="R179" s="234"/>
      <c r="S179" s="234"/>
      <c r="T179" s="234"/>
      <c r="U179" s="234"/>
      <c r="V179" s="234"/>
      <c r="W179" s="234"/>
      <c r="X179" s="234"/>
      <c r="Y179" s="234"/>
      <c r="Z179" s="234"/>
      <c r="AA179" s="234"/>
    </row>
    <row r="180" spans="2:27" s="48" customFormat="1" x14ac:dyDescent="0.25">
      <c r="B180" s="51"/>
      <c r="C180" s="38"/>
      <c r="D180" s="38"/>
      <c r="E180" s="234"/>
      <c r="F180" s="234"/>
      <c r="G180" s="234"/>
      <c r="H180" s="234"/>
      <c r="I180" s="234"/>
      <c r="J180" s="234"/>
      <c r="K180" s="234"/>
      <c r="M180" s="234"/>
      <c r="N180" s="234"/>
      <c r="O180" s="234"/>
      <c r="P180" s="234"/>
      <c r="Q180" s="234"/>
      <c r="R180" s="234"/>
      <c r="S180" s="234"/>
      <c r="T180" s="234"/>
      <c r="U180" s="234"/>
      <c r="V180" s="50"/>
      <c r="W180" s="50"/>
      <c r="X180" s="50"/>
      <c r="Y180" s="50"/>
      <c r="Z180" s="50"/>
      <c r="AA180" s="50"/>
    </row>
    <row r="181" spans="2:27" s="48" customFormat="1" x14ac:dyDescent="0.25">
      <c r="B181" s="79" t="s">
        <v>156</v>
      </c>
      <c r="C181" s="38"/>
      <c r="D181" s="38"/>
      <c r="E181" s="234"/>
      <c r="F181" s="234"/>
      <c r="G181" s="234"/>
      <c r="H181" s="234"/>
      <c r="I181" s="234"/>
      <c r="J181" s="234"/>
      <c r="K181" s="234"/>
      <c r="M181" s="234"/>
      <c r="N181" s="234"/>
      <c r="O181" s="234"/>
      <c r="P181" s="234"/>
      <c r="Q181" s="234"/>
      <c r="R181" s="234"/>
      <c r="S181" s="234"/>
      <c r="T181" s="234"/>
      <c r="U181" s="234"/>
      <c r="V181" s="50"/>
      <c r="W181" s="50"/>
      <c r="X181" s="50"/>
      <c r="Y181" s="50"/>
      <c r="Z181" s="50"/>
      <c r="AA181" s="50"/>
    </row>
    <row r="182" spans="2:27" s="48" customFormat="1" x14ac:dyDescent="0.25">
      <c r="B182" s="51" t="s">
        <v>372</v>
      </c>
      <c r="C182" s="38"/>
      <c r="D182" s="38"/>
      <c r="E182" s="234"/>
      <c r="F182" s="234"/>
      <c r="G182" s="234"/>
      <c r="H182" s="234"/>
      <c r="I182" s="234"/>
      <c r="J182" s="234"/>
      <c r="K182" s="234"/>
      <c r="M182" s="234"/>
      <c r="N182" s="234"/>
      <c r="O182" s="234"/>
      <c r="P182" s="234"/>
      <c r="Q182" s="234"/>
      <c r="R182" s="234"/>
      <c r="S182" s="234"/>
      <c r="T182" s="234"/>
      <c r="U182" s="234"/>
      <c r="V182" s="50"/>
      <c r="W182" s="50"/>
      <c r="X182" s="50"/>
      <c r="Y182" s="50"/>
      <c r="Z182" s="50"/>
      <c r="AA182" s="50"/>
    </row>
    <row r="183" spans="2:27" s="48" customFormat="1" x14ac:dyDescent="0.25">
      <c r="B183" s="51" t="s">
        <v>373</v>
      </c>
      <c r="C183" s="38"/>
      <c r="D183" s="38"/>
      <c r="E183" s="234"/>
      <c r="F183" s="234"/>
      <c r="G183" s="234"/>
      <c r="H183" s="234"/>
      <c r="I183" s="234"/>
      <c r="J183" s="234"/>
      <c r="K183" s="234"/>
      <c r="M183" s="234"/>
      <c r="N183" s="234"/>
      <c r="O183" s="234"/>
      <c r="P183" s="234"/>
      <c r="Q183" s="234"/>
      <c r="R183" s="234"/>
      <c r="S183" s="234"/>
      <c r="T183" s="234"/>
      <c r="U183" s="234"/>
      <c r="V183" s="50"/>
      <c r="W183" s="50"/>
      <c r="X183" s="50"/>
      <c r="Y183" s="50"/>
      <c r="Z183" s="50"/>
      <c r="AA183" s="50"/>
    </row>
    <row r="184" spans="2:27" x14ac:dyDescent="0.25">
      <c r="B184" s="51" t="s">
        <v>157</v>
      </c>
      <c r="C184" s="38"/>
      <c r="D184" s="38"/>
      <c r="E184" s="234"/>
      <c r="F184" s="234"/>
      <c r="G184" s="43"/>
      <c r="H184" s="43"/>
      <c r="I184" s="43"/>
      <c r="J184" s="118"/>
      <c r="K184" s="118"/>
      <c r="L184" s="1"/>
    </row>
    <row r="185" spans="2:27" x14ac:dyDescent="0.25">
      <c r="B185" s="51"/>
      <c r="C185" s="38"/>
      <c r="D185" s="38"/>
      <c r="E185" s="234"/>
      <c r="F185" s="234"/>
      <c r="G185" s="118"/>
      <c r="H185" s="118"/>
      <c r="I185" s="118"/>
      <c r="J185" s="118"/>
      <c r="K185" s="118"/>
      <c r="L185" s="1"/>
    </row>
    <row r="186" spans="2:27" x14ac:dyDescent="0.25">
      <c r="B186" s="51"/>
      <c r="C186" s="38"/>
      <c r="D186" s="38"/>
      <c r="E186" s="234"/>
      <c r="F186" s="234"/>
      <c r="G186" s="118"/>
      <c r="H186" s="118"/>
      <c r="I186" s="118"/>
      <c r="J186" s="118"/>
      <c r="K186" s="118"/>
      <c r="L186" s="1"/>
    </row>
    <row r="187" spans="2:27" x14ac:dyDescent="0.25">
      <c r="B187" s="51"/>
      <c r="C187" s="38"/>
      <c r="D187" s="38"/>
      <c r="E187" s="234"/>
      <c r="F187" s="234"/>
      <c r="G187" s="118"/>
      <c r="H187" s="118"/>
      <c r="I187" s="118"/>
      <c r="J187" s="118"/>
      <c r="K187" s="118"/>
      <c r="L187" s="1"/>
    </row>
    <row r="188" spans="2:27" x14ac:dyDescent="0.25">
      <c r="B188" s="51"/>
      <c r="C188" s="38"/>
      <c r="D188" s="38"/>
      <c r="E188" s="234"/>
      <c r="F188" s="234"/>
      <c r="G188" s="118"/>
      <c r="H188" s="118"/>
      <c r="I188" s="118"/>
      <c r="J188" s="118"/>
      <c r="K188" s="118"/>
      <c r="L188" s="1"/>
    </row>
    <row r="189" spans="2:27" x14ac:dyDescent="0.25">
      <c r="B189" s="51"/>
      <c r="C189" s="38"/>
      <c r="D189" s="38"/>
      <c r="E189" s="234"/>
      <c r="F189" s="234"/>
      <c r="G189" s="118"/>
      <c r="H189" s="118"/>
      <c r="I189" s="118"/>
      <c r="J189" s="118"/>
      <c r="K189" s="118"/>
      <c r="L189" s="1"/>
    </row>
    <row r="190" spans="2:27" x14ac:dyDescent="0.25">
      <c r="B190" s="51"/>
      <c r="C190" s="38"/>
      <c r="D190" s="38"/>
      <c r="E190" s="234"/>
      <c r="F190" s="234"/>
      <c r="G190" s="118"/>
      <c r="H190" s="118"/>
      <c r="I190" s="118"/>
      <c r="J190" s="118"/>
      <c r="K190" s="118"/>
      <c r="L190" s="1"/>
    </row>
    <row r="191" spans="2:27" x14ac:dyDescent="0.25">
      <c r="B191" s="51"/>
      <c r="C191" s="38"/>
      <c r="D191" s="38"/>
      <c r="E191" s="234"/>
      <c r="F191" s="234"/>
      <c r="G191" s="118"/>
      <c r="H191" s="118"/>
      <c r="I191" s="118"/>
      <c r="J191" s="118"/>
      <c r="K191" s="118"/>
      <c r="L191" s="1"/>
    </row>
    <row r="192" spans="2:27" x14ac:dyDescent="0.25">
      <c r="B192" s="51"/>
      <c r="C192" s="38"/>
      <c r="D192" s="38"/>
      <c r="E192" s="234"/>
      <c r="F192" s="234"/>
      <c r="G192" s="118"/>
      <c r="H192" s="118"/>
      <c r="I192" s="118"/>
      <c r="J192" s="118"/>
      <c r="K192" s="118"/>
      <c r="L192" s="1"/>
    </row>
    <row r="193" spans="2:12" x14ac:dyDescent="0.25">
      <c r="B193" s="51"/>
      <c r="C193" s="38"/>
      <c r="D193" s="38"/>
      <c r="E193" s="234"/>
      <c r="F193" s="234"/>
      <c r="G193" s="118"/>
      <c r="H193" s="118"/>
      <c r="I193" s="118"/>
      <c r="J193" s="118"/>
      <c r="K193" s="118"/>
      <c r="L193" s="1"/>
    </row>
    <row r="194" spans="2:12" x14ac:dyDescent="0.25">
      <c r="B194" s="51"/>
      <c r="C194" s="38"/>
      <c r="D194" s="38"/>
      <c r="E194" s="234"/>
      <c r="F194" s="234"/>
      <c r="G194" s="118"/>
      <c r="H194" s="118"/>
      <c r="I194" s="118"/>
      <c r="J194" s="118"/>
      <c r="K194" s="118"/>
      <c r="L194" s="1"/>
    </row>
    <row r="195" spans="2:12" x14ac:dyDescent="0.25">
      <c r="B195" s="10"/>
      <c r="C195" s="12"/>
      <c r="D195" s="12"/>
      <c r="E195" s="118"/>
      <c r="F195" s="118"/>
      <c r="G195" s="118"/>
      <c r="H195" s="118"/>
      <c r="I195" s="118"/>
      <c r="J195" s="118"/>
      <c r="K195" s="118"/>
      <c r="L195" s="1"/>
    </row>
    <row r="196" spans="2:12" x14ac:dyDescent="0.25">
      <c r="B196" s="10"/>
      <c r="C196" s="12"/>
      <c r="D196" s="12"/>
      <c r="E196" s="118"/>
      <c r="F196" s="118"/>
      <c r="G196" s="118"/>
      <c r="H196" s="118"/>
      <c r="I196" s="118"/>
      <c r="J196" s="118"/>
      <c r="K196" s="118"/>
      <c r="L196" s="1"/>
    </row>
    <row r="197" spans="2:12" x14ac:dyDescent="0.25">
      <c r="B197" s="10"/>
      <c r="C197" s="12"/>
      <c r="D197" s="12"/>
      <c r="E197" s="118"/>
      <c r="F197" s="118"/>
      <c r="G197" s="118"/>
      <c r="H197" s="118"/>
      <c r="I197" s="118"/>
      <c r="J197" s="118"/>
      <c r="K197" s="118"/>
      <c r="L197" s="1"/>
    </row>
    <row r="198" spans="2:12" x14ac:dyDescent="0.25">
      <c r="B198" s="10"/>
      <c r="C198" s="12"/>
      <c r="D198" s="12"/>
      <c r="E198" s="118"/>
      <c r="F198" s="118"/>
      <c r="G198" s="118"/>
      <c r="H198" s="118"/>
      <c r="I198" s="118"/>
      <c r="J198" s="118"/>
      <c r="K198" s="118"/>
      <c r="L198" s="1"/>
    </row>
    <row r="199" spans="2:12" x14ac:dyDescent="0.25">
      <c r="B199" s="10"/>
      <c r="C199" s="12"/>
      <c r="D199" s="12"/>
      <c r="E199" s="118"/>
      <c r="F199" s="118"/>
      <c r="G199" s="118"/>
      <c r="H199" s="118"/>
      <c r="I199" s="118"/>
      <c r="J199" s="118"/>
      <c r="K199" s="118"/>
      <c r="L199" s="1"/>
    </row>
    <row r="200" spans="2:12" x14ac:dyDescent="0.25">
      <c r="B200" s="10"/>
      <c r="C200" s="12"/>
      <c r="D200" s="12"/>
      <c r="E200" s="118"/>
      <c r="F200" s="118"/>
      <c r="G200" s="118"/>
      <c r="H200" s="118"/>
      <c r="I200" s="118"/>
      <c r="J200" s="118"/>
      <c r="K200" s="118"/>
      <c r="L200" s="1"/>
    </row>
    <row r="201" spans="2:12" x14ac:dyDescent="0.25">
      <c r="B201" s="10"/>
      <c r="C201" s="12"/>
      <c r="D201" s="12"/>
      <c r="E201" s="118"/>
      <c r="F201" s="118"/>
      <c r="G201" s="118"/>
      <c r="H201" s="118"/>
      <c r="I201" s="118"/>
      <c r="J201" s="118"/>
      <c r="K201" s="118"/>
      <c r="L201" s="118"/>
    </row>
    <row r="202" spans="2:12" x14ac:dyDescent="0.25">
      <c r="B202" s="10"/>
      <c r="C202" s="12"/>
      <c r="D202" s="12"/>
      <c r="E202" s="118"/>
      <c r="F202" s="118"/>
      <c r="G202" s="118"/>
      <c r="H202" s="118"/>
      <c r="I202" s="118"/>
      <c r="J202" s="118"/>
      <c r="K202" s="118"/>
      <c r="L202" s="118"/>
    </row>
    <row r="203" spans="2:12" x14ac:dyDescent="0.25">
      <c r="B203" s="10"/>
      <c r="C203" s="12"/>
      <c r="D203" s="12"/>
      <c r="E203" s="118"/>
      <c r="F203" s="118"/>
      <c r="G203" s="118"/>
      <c r="H203" s="118"/>
      <c r="I203" s="118"/>
      <c r="J203" s="118"/>
      <c r="K203" s="118"/>
      <c r="L203" s="118"/>
    </row>
    <row r="204" spans="2:12" x14ac:dyDescent="0.25">
      <c r="B204" s="10"/>
      <c r="C204" s="12"/>
      <c r="D204" s="12"/>
      <c r="E204" s="118"/>
      <c r="F204" s="118"/>
      <c r="G204" s="118"/>
      <c r="H204" s="118"/>
      <c r="I204" s="118"/>
      <c r="J204" s="118"/>
      <c r="K204" s="118"/>
      <c r="L204" s="118"/>
    </row>
    <row r="205" spans="2:12" x14ac:dyDescent="0.25">
      <c r="B205" s="10"/>
      <c r="C205" s="12"/>
      <c r="D205" s="12"/>
      <c r="E205" s="118"/>
      <c r="F205" s="118"/>
      <c r="G205" s="118"/>
      <c r="H205" s="118"/>
      <c r="I205" s="118"/>
      <c r="J205" s="118"/>
      <c r="K205" s="118"/>
      <c r="L205" s="118"/>
    </row>
    <row r="206" spans="2:12" x14ac:dyDescent="0.25">
      <c r="B206" s="10"/>
      <c r="C206" s="12"/>
      <c r="D206" s="12"/>
      <c r="E206" s="118"/>
      <c r="F206" s="118"/>
      <c r="G206" s="118"/>
      <c r="H206" s="118"/>
      <c r="I206" s="118"/>
      <c r="J206" s="118"/>
      <c r="K206" s="118"/>
      <c r="L206" s="118"/>
    </row>
    <row r="207" spans="2:12" x14ac:dyDescent="0.25">
      <c r="B207" s="10"/>
      <c r="C207" s="12"/>
      <c r="D207" s="12"/>
      <c r="E207" s="118"/>
      <c r="F207" s="118"/>
      <c r="G207" s="118"/>
      <c r="H207" s="118"/>
      <c r="I207" s="118"/>
      <c r="J207" s="118"/>
      <c r="K207" s="118"/>
      <c r="L207" s="118"/>
    </row>
    <row r="208" spans="2:12" x14ac:dyDescent="0.25">
      <c r="B208" s="10"/>
      <c r="C208" s="12"/>
      <c r="D208" s="12"/>
      <c r="E208" s="118"/>
      <c r="F208" s="118"/>
      <c r="G208" s="118"/>
      <c r="H208" s="118"/>
      <c r="I208" s="118"/>
      <c r="J208" s="118"/>
      <c r="K208" s="118"/>
      <c r="L208" s="118"/>
    </row>
    <row r="209" spans="2:27" ht="18" customHeight="1" x14ac:dyDescent="0.25">
      <c r="B209" s="10"/>
      <c r="C209" s="12"/>
      <c r="D209" s="12"/>
      <c r="E209" s="118"/>
      <c r="F209" s="118"/>
      <c r="G209" s="118"/>
      <c r="H209" s="118"/>
      <c r="I209" s="118"/>
      <c r="J209" s="118"/>
      <c r="K209" s="118"/>
      <c r="L209" s="118"/>
    </row>
    <row r="210" spans="2:27" x14ac:dyDescent="0.25">
      <c r="B210" s="10"/>
      <c r="C210" s="12"/>
      <c r="D210" s="12"/>
      <c r="E210" s="118"/>
      <c r="F210" s="118"/>
      <c r="G210" s="118"/>
      <c r="H210" s="118"/>
      <c r="I210" s="118"/>
      <c r="J210" s="118"/>
      <c r="K210" s="118"/>
      <c r="L210" s="118"/>
    </row>
    <row r="211" spans="2:27" x14ac:dyDescent="0.25">
      <c r="B211" s="10"/>
      <c r="C211" s="12"/>
      <c r="D211" s="12"/>
      <c r="E211" s="118"/>
      <c r="F211" s="118"/>
      <c r="G211" s="118"/>
      <c r="H211" s="118"/>
      <c r="I211" s="118"/>
      <c r="J211" s="118"/>
      <c r="K211" s="118"/>
      <c r="L211" s="118"/>
    </row>
    <row r="212" spans="2:27" x14ac:dyDescent="0.25">
      <c r="B212" s="10"/>
      <c r="C212" s="12"/>
      <c r="D212" s="12"/>
      <c r="E212" s="118"/>
      <c r="F212" s="118"/>
      <c r="G212" s="118"/>
      <c r="H212" s="118"/>
      <c r="I212" s="118"/>
      <c r="J212" s="118"/>
      <c r="K212" s="118"/>
      <c r="L212" s="118"/>
    </row>
    <row r="213" spans="2:27" x14ac:dyDescent="0.25">
      <c r="B213" s="10"/>
      <c r="C213" s="12"/>
      <c r="D213" s="12"/>
      <c r="E213" s="118"/>
      <c r="F213" s="118"/>
      <c r="G213" s="118"/>
      <c r="H213" s="118"/>
      <c r="I213" s="118"/>
      <c r="J213" s="118"/>
      <c r="K213" s="118"/>
      <c r="L213" s="118"/>
    </row>
    <row r="214" spans="2:27" hidden="1" x14ac:dyDescent="0.25">
      <c r="B214" s="10"/>
      <c r="C214" s="12"/>
      <c r="D214" s="12"/>
      <c r="E214" s="118"/>
      <c r="F214" s="118"/>
      <c r="G214" s="118"/>
      <c r="H214" s="118"/>
      <c r="I214" s="118"/>
      <c r="J214" s="118"/>
      <c r="K214" s="118"/>
      <c r="L214" s="118"/>
    </row>
    <row r="215" spans="2:27" hidden="1" x14ac:dyDescent="0.25">
      <c r="B215" s="10"/>
      <c r="C215" s="12"/>
      <c r="D215" s="12"/>
      <c r="E215" s="118"/>
      <c r="F215" s="118"/>
      <c r="G215" s="118"/>
      <c r="H215" s="118"/>
      <c r="I215" s="118"/>
      <c r="J215" s="118"/>
      <c r="K215" s="118"/>
      <c r="L215" s="118"/>
    </row>
    <row r="216" spans="2:27" hidden="1" x14ac:dyDescent="0.25">
      <c r="B216" s="12"/>
      <c r="C216" s="12"/>
      <c r="D216" s="12"/>
      <c r="E216" s="118"/>
      <c r="F216" s="118"/>
      <c r="G216" s="118"/>
      <c r="H216" s="118"/>
      <c r="I216" s="118"/>
      <c r="J216" s="118"/>
      <c r="K216" s="118"/>
      <c r="L216" s="118"/>
    </row>
    <row r="217" spans="2:27" hidden="1" x14ac:dyDescent="0.25">
      <c r="B217" s="12"/>
      <c r="C217" s="12"/>
      <c r="D217" s="12"/>
      <c r="E217" s="118"/>
      <c r="F217" s="118"/>
      <c r="G217" s="118"/>
      <c r="H217" s="118"/>
      <c r="I217" s="118"/>
      <c r="J217" s="118"/>
      <c r="K217" s="118"/>
    </row>
    <row r="218" spans="2:27" ht="96" hidden="1" customHeight="1" x14ac:dyDescent="0.25">
      <c r="E218" s="33" t="s">
        <v>21</v>
      </c>
      <c r="F218" s="33" t="s">
        <v>32</v>
      </c>
      <c r="G218" s="33" t="s">
        <v>26</v>
      </c>
      <c r="H218" s="33" t="s">
        <v>31</v>
      </c>
      <c r="I218" s="232" t="s">
        <v>151</v>
      </c>
      <c r="J218" s="481" t="s">
        <v>148</v>
      </c>
      <c r="K218" s="481"/>
      <c r="L218" s="232" t="s">
        <v>149</v>
      </c>
      <c r="M218" s="232" t="s">
        <v>150</v>
      </c>
      <c r="N218" s="232" t="s">
        <v>152</v>
      </c>
      <c r="O218" s="232"/>
      <c r="P218" s="232"/>
      <c r="Q218" s="232"/>
      <c r="R218" s="232"/>
      <c r="S218" s="232"/>
      <c r="T218" s="232"/>
      <c r="U218" s="232"/>
      <c r="V218" s="232"/>
      <c r="W218" s="232"/>
      <c r="X218" s="232"/>
      <c r="Y218" s="232" t="s">
        <v>28</v>
      </c>
      <c r="Z218" s="232" t="s">
        <v>30</v>
      </c>
      <c r="AA218" s="232" t="s">
        <v>29</v>
      </c>
    </row>
    <row r="219" spans="2:27" hidden="1" x14ac:dyDescent="0.25">
      <c r="B219" s="1" t="s">
        <v>8</v>
      </c>
      <c r="D219" s="27">
        <f>SUM(D221+D227+D234+D247+D259+D266+D295+D303)</f>
        <v>71</v>
      </c>
      <c r="E219" s="28">
        <f>E221+E227+E234+E247+E259+E266+E295+E303</f>
        <v>23</v>
      </c>
      <c r="F219" s="28">
        <f>F221+F227+F234+F247+F259+F266+F295+F303</f>
        <v>20</v>
      </c>
      <c r="G219" s="28">
        <f>G221+G227+G234+G247+G259+G266+G295+G303</f>
        <v>22</v>
      </c>
      <c r="H219" s="28">
        <f>H221+H227+H234+H247+H259+H266+H295+H303</f>
        <v>6</v>
      </c>
    </row>
    <row r="220" spans="2:27" hidden="1" x14ac:dyDescent="0.25">
      <c r="F220" s="234"/>
      <c r="G220" s="234"/>
    </row>
    <row r="221" spans="2:27" hidden="1" x14ac:dyDescent="0.25">
      <c r="B221" s="3" t="s">
        <v>22</v>
      </c>
      <c r="D221" s="27">
        <f>SUM(E221:G221)</f>
        <v>4</v>
      </c>
      <c r="E221" s="17">
        <f>SUM(E222:E225)</f>
        <v>4</v>
      </c>
      <c r="F221" s="17">
        <f t="shared" ref="F221:H221" si="17">SUM(F222:F225)</f>
        <v>0</v>
      </c>
      <c r="G221" s="17">
        <f>SUM(G222:G225)</f>
        <v>0</v>
      </c>
      <c r="H221" s="17">
        <f t="shared" si="17"/>
        <v>0</v>
      </c>
    </row>
    <row r="222" spans="2:27" s="41" customFormat="1" hidden="1" x14ac:dyDescent="0.25">
      <c r="B222" s="42" t="s">
        <v>4</v>
      </c>
      <c r="E222" s="29">
        <v>1</v>
      </c>
      <c r="F222" s="20"/>
      <c r="G222" s="32"/>
      <c r="H222" s="20"/>
      <c r="I222" s="233"/>
      <c r="J222" s="470"/>
      <c r="K222" s="470"/>
      <c r="L222" s="233"/>
      <c r="M222" s="233"/>
      <c r="N222" s="233"/>
      <c r="O222" s="233"/>
      <c r="P222" s="233"/>
      <c r="Q222" s="233"/>
      <c r="R222" s="233"/>
      <c r="S222" s="233"/>
      <c r="T222" s="233"/>
      <c r="U222" s="233"/>
      <c r="V222" s="40"/>
      <c r="W222" s="40"/>
      <c r="X222" s="40"/>
      <c r="Y222" s="40"/>
      <c r="Z222" s="40"/>
      <c r="AA222" s="40"/>
    </row>
    <row r="223" spans="2:27" s="48" customFormat="1" hidden="1" x14ac:dyDescent="0.25">
      <c r="B223" s="93" t="s">
        <v>6</v>
      </c>
      <c r="E223" s="26">
        <v>1</v>
      </c>
      <c r="F223" s="22"/>
      <c r="G223" s="81"/>
      <c r="H223" s="22"/>
      <c r="I223" s="234"/>
      <c r="J223" s="471"/>
      <c r="K223" s="471"/>
      <c r="L223" s="234"/>
      <c r="M223" s="234"/>
      <c r="N223" s="234"/>
      <c r="O223" s="234"/>
      <c r="P223" s="234"/>
      <c r="Q223" s="234"/>
      <c r="R223" s="234"/>
      <c r="S223" s="234"/>
      <c r="T223" s="234"/>
      <c r="U223" s="234"/>
      <c r="V223" s="50"/>
      <c r="W223" s="50"/>
      <c r="X223" s="50"/>
      <c r="Y223" s="50"/>
      <c r="Z223" s="50"/>
      <c r="AA223" s="50"/>
    </row>
    <row r="224" spans="2:27" s="41" customFormat="1" hidden="1" x14ac:dyDescent="0.25">
      <c r="B224" s="42" t="s">
        <v>3</v>
      </c>
      <c r="E224" s="30">
        <v>1</v>
      </c>
      <c r="F224" s="8"/>
      <c r="G224" s="4"/>
      <c r="H224" s="8"/>
      <c r="I224" s="233"/>
      <c r="J224" s="470"/>
      <c r="K224" s="470"/>
      <c r="L224" s="233"/>
      <c r="M224" s="233"/>
      <c r="N224" s="233"/>
      <c r="O224" s="233"/>
      <c r="P224" s="233"/>
      <c r="Q224" s="233"/>
      <c r="R224" s="233"/>
      <c r="S224" s="233"/>
      <c r="T224" s="233"/>
      <c r="U224" s="233"/>
      <c r="V224" s="40"/>
      <c r="W224" s="40"/>
      <c r="X224" s="40"/>
      <c r="Y224" s="40"/>
      <c r="Z224" s="40"/>
      <c r="AA224" s="40"/>
    </row>
    <row r="225" spans="2:27" s="48" customFormat="1" hidden="1" x14ac:dyDescent="0.25">
      <c r="B225" s="93" t="s">
        <v>23</v>
      </c>
      <c r="E225" s="111">
        <v>1</v>
      </c>
      <c r="F225" s="23"/>
      <c r="G225" s="112"/>
      <c r="H225" s="23"/>
      <c r="I225" s="234"/>
      <c r="J225" s="471"/>
      <c r="K225" s="471"/>
      <c r="L225" s="234"/>
      <c r="M225" s="234"/>
      <c r="N225" s="234"/>
      <c r="O225" s="234"/>
      <c r="P225" s="234"/>
      <c r="Q225" s="234"/>
      <c r="R225" s="234"/>
      <c r="S225" s="234"/>
      <c r="T225" s="234"/>
      <c r="U225" s="234"/>
      <c r="V225" s="50"/>
      <c r="W225" s="50"/>
      <c r="X225" s="50"/>
      <c r="Y225" s="50"/>
      <c r="Z225" s="50"/>
      <c r="AA225" s="50"/>
    </row>
    <row r="226" spans="2:27" s="41" customFormat="1" hidden="1" x14ac:dyDescent="0.25">
      <c r="E226" s="40"/>
      <c r="F226" s="233"/>
      <c r="G226" s="233"/>
      <c r="H226" s="233"/>
      <c r="I226" s="233"/>
      <c r="J226" s="470"/>
      <c r="K226" s="470"/>
      <c r="L226" s="233"/>
      <c r="M226" s="233"/>
      <c r="N226" s="233"/>
      <c r="O226" s="233"/>
      <c r="P226" s="233"/>
      <c r="Q226" s="233"/>
      <c r="R226" s="233"/>
      <c r="S226" s="233"/>
      <c r="T226" s="233"/>
      <c r="U226" s="233"/>
      <c r="V226" s="40"/>
      <c r="W226" s="40"/>
      <c r="X226" s="40"/>
      <c r="Y226" s="40"/>
      <c r="Z226" s="40"/>
      <c r="AA226" s="40"/>
    </row>
    <row r="227" spans="2:27" s="48" customFormat="1" hidden="1" x14ac:dyDescent="0.25">
      <c r="B227" s="93" t="s">
        <v>27</v>
      </c>
      <c r="D227" s="128">
        <f>SUM(E227:G227)</f>
        <v>5</v>
      </c>
      <c r="E227" s="50">
        <f>SUM(E228:E232)</f>
        <v>3</v>
      </c>
      <c r="F227" s="50">
        <f>SUM(F228:F232)</f>
        <v>2</v>
      </c>
      <c r="G227" s="50">
        <f>SUM(G228:G232)</f>
        <v>0</v>
      </c>
      <c r="H227" s="50">
        <f>SUM(H228:H232)</f>
        <v>0</v>
      </c>
      <c r="I227" s="234"/>
      <c r="J227" s="471"/>
      <c r="K227" s="471"/>
      <c r="L227" s="234"/>
      <c r="M227" s="234"/>
      <c r="N227" s="234"/>
      <c r="O227" s="234"/>
      <c r="P227" s="234"/>
      <c r="Q227" s="234"/>
      <c r="R227" s="234"/>
      <c r="S227" s="234"/>
      <c r="T227" s="234"/>
      <c r="U227" s="234"/>
      <c r="V227" s="50"/>
      <c r="W227" s="50"/>
      <c r="X227" s="50"/>
      <c r="Y227" s="50"/>
      <c r="Z227" s="50"/>
      <c r="AA227" s="50"/>
    </row>
    <row r="228" spans="2:27" s="41" customFormat="1" hidden="1" x14ac:dyDescent="0.25">
      <c r="B228" s="41" t="s">
        <v>1</v>
      </c>
      <c r="E228" s="20">
        <v>1</v>
      </c>
      <c r="F228" s="29"/>
      <c r="G228" s="20"/>
      <c r="H228" s="20"/>
      <c r="I228" s="233"/>
      <c r="J228" s="470"/>
      <c r="K228" s="470"/>
      <c r="L228" s="233"/>
      <c r="M228" s="233"/>
      <c r="N228" s="233"/>
      <c r="O228" s="233"/>
      <c r="P228" s="233"/>
      <c r="Q228" s="233"/>
      <c r="R228" s="233"/>
      <c r="S228" s="233"/>
      <c r="T228" s="233"/>
      <c r="U228" s="233"/>
      <c r="V228" s="40"/>
      <c r="W228" s="40"/>
      <c r="X228" s="40"/>
      <c r="Y228" s="40"/>
      <c r="Z228" s="40"/>
      <c r="AA228" s="40"/>
    </row>
    <row r="229" spans="2:27" s="48" customFormat="1" hidden="1" x14ac:dyDescent="0.25">
      <c r="B229" s="48" t="s">
        <v>5</v>
      </c>
      <c r="E229" s="22">
        <v>1</v>
      </c>
      <c r="F229" s="26"/>
      <c r="G229" s="22"/>
      <c r="H229" s="22"/>
      <c r="I229" s="234"/>
      <c r="J229" s="471"/>
      <c r="K229" s="471"/>
      <c r="L229" s="234"/>
      <c r="M229" s="234"/>
      <c r="N229" s="234"/>
      <c r="O229" s="234"/>
      <c r="P229" s="234"/>
      <c r="Q229" s="234"/>
      <c r="R229" s="234"/>
      <c r="S229" s="234"/>
      <c r="T229" s="234"/>
      <c r="U229" s="234"/>
      <c r="V229" s="50"/>
      <c r="W229" s="50"/>
      <c r="X229" s="50"/>
      <c r="Y229" s="50"/>
      <c r="Z229" s="50"/>
      <c r="AA229" s="50"/>
    </row>
    <row r="230" spans="2:27" s="41" customFormat="1" hidden="1" x14ac:dyDescent="0.25">
      <c r="B230" s="41" t="s">
        <v>2</v>
      </c>
      <c r="E230" s="8">
        <v>1</v>
      </c>
      <c r="F230" s="30"/>
      <c r="G230" s="8"/>
      <c r="H230" s="8"/>
      <c r="I230" s="233"/>
      <c r="J230" s="470"/>
      <c r="K230" s="470"/>
      <c r="L230" s="233"/>
      <c r="M230" s="233"/>
      <c r="N230" s="233"/>
      <c r="O230" s="233"/>
      <c r="P230" s="233"/>
      <c r="Q230" s="233"/>
      <c r="R230" s="233"/>
      <c r="S230" s="233"/>
      <c r="T230" s="233"/>
      <c r="U230" s="233"/>
      <c r="V230" s="40"/>
      <c r="W230" s="40"/>
      <c r="X230" s="40"/>
      <c r="Y230" s="40"/>
      <c r="Z230" s="40"/>
      <c r="AA230" s="40"/>
    </row>
    <row r="231" spans="2:27" s="48" customFormat="1" hidden="1" x14ac:dyDescent="0.25">
      <c r="B231" s="48" t="s">
        <v>24</v>
      </c>
      <c r="E231" s="22"/>
      <c r="F231" s="26">
        <v>1</v>
      </c>
      <c r="G231" s="22"/>
      <c r="H231" s="22"/>
      <c r="I231" s="234"/>
      <c r="J231" s="471"/>
      <c r="K231" s="471"/>
      <c r="L231" s="234"/>
      <c r="M231" s="234"/>
      <c r="N231" s="234"/>
      <c r="O231" s="234"/>
      <c r="P231" s="234"/>
      <c r="Q231" s="234"/>
      <c r="R231" s="234"/>
      <c r="S231" s="234"/>
      <c r="T231" s="234"/>
      <c r="U231" s="234"/>
      <c r="V231" s="50"/>
      <c r="W231" s="50"/>
      <c r="X231" s="50"/>
      <c r="Y231" s="50"/>
      <c r="Z231" s="50"/>
      <c r="AA231" s="50"/>
    </row>
    <row r="232" spans="2:27" s="41" customFormat="1" hidden="1" x14ac:dyDescent="0.25">
      <c r="B232" s="41" t="s">
        <v>25</v>
      </c>
      <c r="E232" s="19"/>
      <c r="F232" s="31">
        <v>1</v>
      </c>
      <c r="G232" s="19"/>
      <c r="H232" s="19"/>
      <c r="I232" s="233"/>
      <c r="J232" s="470"/>
      <c r="K232" s="470"/>
      <c r="L232" s="233"/>
      <c r="M232" s="233"/>
      <c r="N232" s="233"/>
      <c r="O232" s="233"/>
      <c r="P232" s="233"/>
      <c r="Q232" s="233"/>
      <c r="R232" s="233"/>
      <c r="S232" s="233"/>
      <c r="T232" s="233"/>
      <c r="U232" s="233"/>
      <c r="V232" s="40"/>
      <c r="W232" s="40"/>
      <c r="X232" s="40"/>
      <c r="Y232" s="40"/>
      <c r="Z232" s="40"/>
      <c r="AA232" s="40"/>
    </row>
    <row r="233" spans="2:27" s="48" customFormat="1" hidden="1" x14ac:dyDescent="0.25">
      <c r="E233" s="50"/>
      <c r="F233" s="234"/>
      <c r="G233" s="234"/>
      <c r="H233" s="234"/>
      <c r="I233" s="234"/>
      <c r="J233" s="471"/>
      <c r="K233" s="471"/>
      <c r="L233" s="234"/>
      <c r="M233" s="234"/>
      <c r="N233" s="234"/>
      <c r="O233" s="234"/>
      <c r="P233" s="234"/>
      <c r="Q233" s="234"/>
      <c r="R233" s="234"/>
      <c r="S233" s="234"/>
      <c r="T233" s="234"/>
      <c r="U233" s="234"/>
      <c r="V233" s="50"/>
      <c r="W233" s="50"/>
      <c r="X233" s="50"/>
      <c r="Y233" s="50"/>
      <c r="Z233" s="50"/>
      <c r="AA233" s="50"/>
    </row>
    <row r="234" spans="2:27" hidden="1" x14ac:dyDescent="0.25">
      <c r="B234" s="3" t="s">
        <v>147</v>
      </c>
      <c r="D234" s="27">
        <f>SUM(E234:H234)</f>
        <v>11</v>
      </c>
      <c r="E234" s="17">
        <f>SUM(E235:E245)</f>
        <v>1</v>
      </c>
      <c r="F234" s="17">
        <f t="shared" ref="F234" si="18">SUM(F235:F245)</f>
        <v>2</v>
      </c>
      <c r="G234" s="17">
        <f>SUM(G235:G245)</f>
        <v>7</v>
      </c>
      <c r="H234" s="17">
        <f>SUM(H235:H245)</f>
        <v>1</v>
      </c>
      <c r="J234" s="471"/>
      <c r="K234" s="471"/>
    </row>
    <row r="235" spans="2:27" s="41" customFormat="1" hidden="1" x14ac:dyDescent="0.25">
      <c r="B235" s="41" t="s">
        <v>33</v>
      </c>
      <c r="E235" s="20">
        <v>1</v>
      </c>
      <c r="F235" s="29"/>
      <c r="G235" s="20"/>
      <c r="H235" s="20"/>
      <c r="I235" s="233"/>
      <c r="J235" s="470"/>
      <c r="K235" s="470"/>
      <c r="L235" s="233"/>
      <c r="M235" s="233"/>
      <c r="N235" s="233"/>
      <c r="O235" s="233"/>
      <c r="P235" s="233"/>
      <c r="Q235" s="233"/>
      <c r="R235" s="233"/>
      <c r="S235" s="233"/>
      <c r="T235" s="233"/>
      <c r="U235" s="233"/>
      <c r="V235" s="40"/>
      <c r="W235" s="40"/>
      <c r="X235" s="40"/>
      <c r="Y235" s="40"/>
      <c r="Z235" s="40"/>
      <c r="AA235" s="40"/>
    </row>
    <row r="236" spans="2:27" s="48" customFormat="1" hidden="1" x14ac:dyDescent="0.25">
      <c r="B236" s="48" t="s">
        <v>34</v>
      </c>
      <c r="E236" s="22"/>
      <c r="F236" s="26"/>
      <c r="G236" s="22">
        <v>1</v>
      </c>
      <c r="H236" s="22"/>
      <c r="I236" s="234">
        <v>1</v>
      </c>
      <c r="J236" s="471"/>
      <c r="K236" s="471"/>
      <c r="L236" s="234"/>
      <c r="M236" s="234"/>
      <c r="N236" s="234"/>
      <c r="O236" s="234"/>
      <c r="P236" s="234"/>
      <c r="Q236" s="234"/>
      <c r="R236" s="234"/>
      <c r="S236" s="234"/>
      <c r="T236" s="234"/>
      <c r="U236" s="234"/>
      <c r="V236" s="50"/>
      <c r="W236" s="50"/>
      <c r="X236" s="50"/>
      <c r="Y236" s="50"/>
      <c r="Z236" s="50"/>
      <c r="AA236" s="50"/>
    </row>
    <row r="237" spans="2:27" s="41" customFormat="1" hidden="1" x14ac:dyDescent="0.25">
      <c r="B237" s="41" t="s">
        <v>35</v>
      </c>
      <c r="E237" s="8"/>
      <c r="F237" s="30"/>
      <c r="G237" s="8">
        <v>1</v>
      </c>
      <c r="H237" s="8"/>
      <c r="I237" s="233"/>
      <c r="J237" s="470">
        <v>1</v>
      </c>
      <c r="K237" s="470"/>
      <c r="L237" s="233"/>
      <c r="M237" s="233"/>
      <c r="N237" s="233"/>
      <c r="O237" s="233"/>
      <c r="P237" s="233"/>
      <c r="Q237" s="233"/>
      <c r="R237" s="233"/>
      <c r="S237" s="233"/>
      <c r="T237" s="233"/>
      <c r="U237" s="233"/>
      <c r="V237" s="40"/>
      <c r="W237" s="40"/>
      <c r="X237" s="40"/>
      <c r="Y237" s="40"/>
      <c r="Z237" s="40"/>
      <c r="AA237" s="40"/>
    </row>
    <row r="238" spans="2:27" s="48" customFormat="1" hidden="1" x14ac:dyDescent="0.25">
      <c r="B238" s="48" t="s">
        <v>36</v>
      </c>
      <c r="E238" s="22"/>
      <c r="F238" s="26"/>
      <c r="G238" s="22"/>
      <c r="H238" s="150">
        <v>1</v>
      </c>
      <c r="I238" s="234"/>
      <c r="J238" s="471"/>
      <c r="K238" s="471"/>
      <c r="L238" s="234"/>
      <c r="M238" s="234"/>
      <c r="N238" s="234"/>
      <c r="O238" s="234"/>
      <c r="P238" s="234"/>
      <c r="Q238" s="234"/>
      <c r="R238" s="234"/>
      <c r="S238" s="234"/>
      <c r="T238" s="234"/>
      <c r="U238" s="234"/>
      <c r="V238" s="50"/>
      <c r="W238" s="50"/>
      <c r="X238" s="50"/>
      <c r="Y238" s="50"/>
      <c r="Z238" s="50"/>
      <c r="AA238" s="50"/>
    </row>
    <row r="239" spans="2:27" s="41" customFormat="1" hidden="1" x14ac:dyDescent="0.25">
      <c r="B239" s="41" t="s">
        <v>37</v>
      </c>
      <c r="E239" s="8"/>
      <c r="F239" s="30"/>
      <c r="G239" s="8">
        <v>1</v>
      </c>
      <c r="H239" s="8"/>
      <c r="I239" s="233"/>
      <c r="J239" s="470"/>
      <c r="K239" s="470"/>
      <c r="L239" s="233">
        <v>1</v>
      </c>
      <c r="M239" s="233"/>
      <c r="N239" s="233"/>
      <c r="O239" s="233"/>
      <c r="P239" s="233"/>
      <c r="Q239" s="233"/>
      <c r="R239" s="233"/>
      <c r="S239" s="233"/>
      <c r="T239" s="233"/>
      <c r="U239" s="233"/>
      <c r="V239" s="40"/>
      <c r="W239" s="40"/>
      <c r="X239" s="40"/>
      <c r="Y239" s="40"/>
      <c r="Z239" s="40"/>
      <c r="AA239" s="40"/>
    </row>
    <row r="240" spans="2:27" s="48" customFormat="1" hidden="1" x14ac:dyDescent="0.25">
      <c r="B240" s="48" t="s">
        <v>38</v>
      </c>
      <c r="E240" s="22"/>
      <c r="F240" s="26"/>
      <c r="G240" s="22">
        <v>1</v>
      </c>
      <c r="H240" s="22"/>
      <c r="I240" s="234"/>
      <c r="J240" s="471"/>
      <c r="K240" s="471"/>
      <c r="L240" s="234"/>
      <c r="M240" s="234"/>
      <c r="N240" s="234"/>
      <c r="O240" s="234"/>
      <c r="P240" s="234"/>
      <c r="Q240" s="234"/>
      <c r="R240" s="234"/>
      <c r="S240" s="234"/>
      <c r="T240" s="234"/>
      <c r="U240" s="234"/>
      <c r="V240" s="50"/>
      <c r="W240" s="50"/>
      <c r="X240" s="50"/>
      <c r="Y240" s="50"/>
      <c r="Z240" s="50"/>
      <c r="AA240" s="50"/>
    </row>
    <row r="241" spans="2:27" s="41" customFormat="1" hidden="1" x14ac:dyDescent="0.25">
      <c r="B241" s="41" t="s">
        <v>39</v>
      </c>
      <c r="E241" s="8"/>
      <c r="F241" s="30"/>
      <c r="G241" s="8">
        <v>1</v>
      </c>
      <c r="H241" s="8"/>
      <c r="I241" s="233"/>
      <c r="J241" s="470"/>
      <c r="K241" s="470"/>
      <c r="L241" s="233"/>
      <c r="M241" s="233">
        <v>1</v>
      </c>
      <c r="N241" s="233"/>
      <c r="O241" s="233"/>
      <c r="P241" s="233"/>
      <c r="Q241" s="233"/>
      <c r="R241" s="233"/>
      <c r="S241" s="233"/>
      <c r="T241" s="233"/>
      <c r="U241" s="233"/>
      <c r="V241" s="40"/>
      <c r="W241" s="40"/>
      <c r="X241" s="40"/>
      <c r="Y241" s="40"/>
      <c r="Z241" s="40"/>
      <c r="AA241" s="40"/>
    </row>
    <row r="242" spans="2:27" s="48" customFormat="1" hidden="1" x14ac:dyDescent="0.25">
      <c r="B242" s="48" t="s">
        <v>40</v>
      </c>
      <c r="E242" s="22"/>
      <c r="F242" s="26">
        <v>1</v>
      </c>
      <c r="G242" s="22"/>
      <c r="H242" s="22"/>
      <c r="I242" s="234"/>
      <c r="J242" s="471"/>
      <c r="K242" s="471"/>
      <c r="L242" s="234"/>
      <c r="M242" s="234"/>
      <c r="N242" s="234"/>
      <c r="O242" s="234"/>
      <c r="P242" s="234"/>
      <c r="Q242" s="234"/>
      <c r="R242" s="234"/>
      <c r="S242" s="234"/>
      <c r="T242" s="234"/>
      <c r="U242" s="234"/>
      <c r="V242" s="50"/>
      <c r="W242" s="50"/>
      <c r="X242" s="50"/>
      <c r="Y242" s="50"/>
      <c r="Z242" s="50"/>
      <c r="AA242" s="50"/>
    </row>
    <row r="243" spans="2:27" s="41" customFormat="1" hidden="1" x14ac:dyDescent="0.25">
      <c r="B243" s="41" t="s">
        <v>41</v>
      </c>
      <c r="E243" s="8"/>
      <c r="F243" s="30"/>
      <c r="G243" s="8">
        <v>1</v>
      </c>
      <c r="H243" s="8"/>
      <c r="I243" s="233">
        <v>1</v>
      </c>
      <c r="J243" s="470"/>
      <c r="K243" s="470"/>
      <c r="L243" s="233"/>
      <c r="M243" s="233">
        <v>1</v>
      </c>
      <c r="N243" s="233"/>
      <c r="O243" s="233"/>
      <c r="P243" s="233"/>
      <c r="Q243" s="233"/>
      <c r="R243" s="233"/>
      <c r="S243" s="233"/>
      <c r="T243" s="233"/>
      <c r="U243" s="233"/>
      <c r="V243" s="40"/>
      <c r="W243" s="40"/>
      <c r="X243" s="40"/>
      <c r="Y243" s="40"/>
      <c r="Z243" s="40"/>
      <c r="AA243" s="40"/>
    </row>
    <row r="244" spans="2:27" s="48" customFormat="1" hidden="1" x14ac:dyDescent="0.25">
      <c r="B244" s="48" t="s">
        <v>42</v>
      </c>
      <c r="E244" s="22"/>
      <c r="F244" s="26">
        <v>1</v>
      </c>
      <c r="G244" s="22"/>
      <c r="H244" s="22"/>
      <c r="I244" s="234"/>
      <c r="J244" s="471"/>
      <c r="K244" s="471"/>
      <c r="L244" s="234"/>
      <c r="M244" s="234"/>
      <c r="N244" s="234"/>
      <c r="O244" s="234"/>
      <c r="P244" s="234"/>
      <c r="Q244" s="234"/>
      <c r="R244" s="234"/>
      <c r="S244" s="234"/>
      <c r="T244" s="234"/>
      <c r="U244" s="234"/>
      <c r="V244" s="50"/>
      <c r="W244" s="50"/>
      <c r="X244" s="50"/>
      <c r="Y244" s="50"/>
      <c r="Z244" s="50"/>
      <c r="AA244" s="50"/>
    </row>
    <row r="245" spans="2:27" s="41" customFormat="1" hidden="1" x14ac:dyDescent="0.25">
      <c r="B245" s="41" t="s">
        <v>88</v>
      </c>
      <c r="E245" s="19"/>
      <c r="F245" s="31"/>
      <c r="G245" s="19">
        <v>1</v>
      </c>
      <c r="H245" s="19"/>
      <c r="I245" s="233">
        <v>1</v>
      </c>
      <c r="J245" s="470"/>
      <c r="K245" s="470"/>
      <c r="L245" s="233"/>
      <c r="M245" s="233"/>
      <c r="N245" s="233"/>
      <c r="O245" s="233"/>
      <c r="P245" s="233"/>
      <c r="Q245" s="233"/>
      <c r="R245" s="233"/>
      <c r="S245" s="233"/>
      <c r="T245" s="233"/>
      <c r="U245" s="233"/>
      <c r="V245" s="40"/>
      <c r="W245" s="40"/>
      <c r="X245" s="40"/>
      <c r="Y245" s="40"/>
      <c r="Z245" s="40"/>
      <c r="AA245" s="40"/>
    </row>
    <row r="246" spans="2:27" s="48" customFormat="1" hidden="1" x14ac:dyDescent="0.25">
      <c r="B246" s="48" t="s">
        <v>7</v>
      </c>
      <c r="E246" s="50" t="s">
        <v>7</v>
      </c>
      <c r="F246" s="234"/>
      <c r="G246" s="234"/>
      <c r="H246" s="234"/>
      <c r="I246" s="234"/>
      <c r="J246" s="471"/>
      <c r="K246" s="471"/>
      <c r="L246" s="234"/>
      <c r="M246" s="234"/>
      <c r="N246" s="234"/>
      <c r="O246" s="234"/>
      <c r="P246" s="234"/>
      <c r="Q246" s="234"/>
      <c r="R246" s="234"/>
      <c r="S246" s="234"/>
      <c r="T246" s="234"/>
      <c r="U246" s="234"/>
      <c r="V246" s="50"/>
      <c r="W246" s="50"/>
      <c r="X246" s="50"/>
      <c r="Y246" s="50"/>
      <c r="Z246" s="50"/>
      <c r="AA246" s="50"/>
    </row>
    <row r="247" spans="2:27" hidden="1" x14ac:dyDescent="0.25">
      <c r="B247" s="3" t="s">
        <v>11</v>
      </c>
      <c r="D247" s="27">
        <f>SUM(E247:G247)</f>
        <v>11</v>
      </c>
      <c r="E247" s="17">
        <f>SUM(E248:E258)</f>
        <v>1</v>
      </c>
      <c r="F247" s="17">
        <f t="shared" ref="F247:H247" si="19">SUM(F248:F258)</f>
        <v>5</v>
      </c>
      <c r="G247" s="17">
        <f>SUM(G248:G258)</f>
        <v>5</v>
      </c>
      <c r="H247" s="17">
        <f t="shared" si="19"/>
        <v>0</v>
      </c>
      <c r="J247" s="471"/>
      <c r="K247" s="471"/>
    </row>
    <row r="248" spans="2:27" s="41" customFormat="1" hidden="1" x14ac:dyDescent="0.25">
      <c r="B248" s="41" t="s">
        <v>98</v>
      </c>
      <c r="E248" s="20"/>
      <c r="F248" s="29">
        <v>1</v>
      </c>
      <c r="G248" s="20"/>
      <c r="H248" s="20"/>
      <c r="I248" s="233"/>
      <c r="J248" s="470"/>
      <c r="K248" s="470"/>
      <c r="L248" s="233"/>
      <c r="M248" s="233"/>
      <c r="N248" s="233"/>
      <c r="O248" s="233"/>
      <c r="P248" s="233"/>
      <c r="Q248" s="233"/>
      <c r="R248" s="233"/>
      <c r="S248" s="233"/>
      <c r="T248" s="233"/>
      <c r="U248" s="233"/>
      <c r="V248" s="40"/>
      <c r="W248" s="40"/>
      <c r="X248" s="40"/>
      <c r="Y248" s="40"/>
      <c r="Z248" s="40"/>
      <c r="AA248" s="40"/>
    </row>
    <row r="249" spans="2:27" s="48" customFormat="1" hidden="1" x14ac:dyDescent="0.25">
      <c r="B249" s="48" t="s">
        <v>43</v>
      </c>
      <c r="E249" s="22"/>
      <c r="F249" s="26"/>
      <c r="G249" s="22">
        <v>1</v>
      </c>
      <c r="H249" s="22"/>
      <c r="I249" s="234"/>
      <c r="J249" s="471"/>
      <c r="K249" s="471"/>
      <c r="L249" s="234">
        <v>1</v>
      </c>
      <c r="M249" s="234"/>
      <c r="N249" s="234"/>
      <c r="O249" s="234"/>
      <c r="P249" s="234"/>
      <c r="Q249" s="234"/>
      <c r="R249" s="234"/>
      <c r="S249" s="234"/>
      <c r="T249" s="234"/>
      <c r="U249" s="234"/>
      <c r="V249" s="50"/>
      <c r="W249" s="50"/>
      <c r="X249" s="50"/>
      <c r="Y249" s="50"/>
      <c r="Z249" s="50"/>
      <c r="AA249" s="50"/>
    </row>
    <row r="250" spans="2:27" s="41" customFormat="1" hidden="1" x14ac:dyDescent="0.25">
      <c r="B250" s="41" t="s">
        <v>44</v>
      </c>
      <c r="E250" s="8">
        <v>1</v>
      </c>
      <c r="F250" s="30"/>
      <c r="G250" s="8"/>
      <c r="H250" s="8"/>
      <c r="I250" s="233">
        <v>1</v>
      </c>
      <c r="J250" s="470"/>
      <c r="K250" s="470"/>
      <c r="L250" s="233"/>
      <c r="M250" s="233"/>
      <c r="N250" s="233"/>
      <c r="O250" s="233"/>
      <c r="P250" s="233"/>
      <c r="Q250" s="233"/>
      <c r="R250" s="233"/>
      <c r="S250" s="233"/>
      <c r="T250" s="233"/>
      <c r="U250" s="233"/>
      <c r="V250" s="40"/>
      <c r="W250" s="40"/>
      <c r="X250" s="40"/>
      <c r="Y250" s="40"/>
      <c r="Z250" s="40"/>
      <c r="AA250" s="40"/>
    </row>
    <row r="251" spans="2:27" s="48" customFormat="1" hidden="1" x14ac:dyDescent="0.25">
      <c r="B251" s="48" t="s">
        <v>45</v>
      </c>
      <c r="E251" s="22"/>
      <c r="F251" s="26">
        <v>1</v>
      </c>
      <c r="G251" s="22"/>
      <c r="H251" s="22"/>
      <c r="I251" s="234"/>
      <c r="J251" s="471"/>
      <c r="K251" s="471"/>
      <c r="L251" s="234"/>
      <c r="M251" s="234"/>
      <c r="N251" s="234"/>
      <c r="O251" s="234"/>
      <c r="P251" s="234"/>
      <c r="Q251" s="234"/>
      <c r="R251" s="234"/>
      <c r="S251" s="234"/>
      <c r="T251" s="234"/>
      <c r="U251" s="234"/>
      <c r="V251" s="50"/>
      <c r="W251" s="50"/>
      <c r="X251" s="50"/>
      <c r="Y251" s="50"/>
      <c r="Z251" s="50"/>
      <c r="AA251" s="50"/>
    </row>
    <row r="252" spans="2:27" s="41" customFormat="1" hidden="1" x14ac:dyDescent="0.25">
      <c r="B252" s="41" t="s">
        <v>46</v>
      </c>
      <c r="E252" s="8"/>
      <c r="F252" s="30"/>
      <c r="G252" s="8">
        <v>1</v>
      </c>
      <c r="H252" s="8"/>
      <c r="I252" s="233"/>
      <c r="J252" s="470"/>
      <c r="K252" s="470"/>
      <c r="L252" s="233"/>
      <c r="M252" s="233"/>
      <c r="N252" s="233"/>
      <c r="O252" s="233"/>
      <c r="P252" s="233"/>
      <c r="Q252" s="233"/>
      <c r="R252" s="233"/>
      <c r="S252" s="233"/>
      <c r="T252" s="233"/>
      <c r="U252" s="233"/>
      <c r="V252" s="40"/>
      <c r="W252" s="40"/>
      <c r="X252" s="40"/>
      <c r="Y252" s="40"/>
      <c r="Z252" s="40"/>
      <c r="AA252" s="40"/>
    </row>
    <row r="253" spans="2:27" s="48" customFormat="1" hidden="1" x14ac:dyDescent="0.25">
      <c r="B253" s="48" t="s">
        <v>47</v>
      </c>
      <c r="E253" s="22"/>
      <c r="F253" s="26">
        <v>1</v>
      </c>
      <c r="G253" s="22"/>
      <c r="H253" s="22"/>
      <c r="I253" s="234"/>
      <c r="J253" s="471"/>
      <c r="K253" s="471"/>
      <c r="L253" s="234"/>
      <c r="M253" s="234"/>
      <c r="N253" s="234"/>
      <c r="O253" s="234"/>
      <c r="P253" s="234"/>
      <c r="Q253" s="234"/>
      <c r="R253" s="234"/>
      <c r="S253" s="234"/>
      <c r="T253" s="234"/>
      <c r="U253" s="234"/>
      <c r="V253" s="50"/>
      <c r="W253" s="50"/>
      <c r="X253" s="50"/>
      <c r="Y253" s="50"/>
      <c r="Z253" s="50"/>
      <c r="AA253" s="50"/>
    </row>
    <row r="254" spans="2:27" s="41" customFormat="1" hidden="1" x14ac:dyDescent="0.25">
      <c r="B254" s="41" t="s">
        <v>48</v>
      </c>
      <c r="E254" s="8"/>
      <c r="F254" s="30"/>
      <c r="G254" s="8">
        <v>1</v>
      </c>
      <c r="H254" s="8"/>
      <c r="I254" s="233"/>
      <c r="J254" s="470"/>
      <c r="K254" s="470"/>
      <c r="L254" s="233">
        <v>1</v>
      </c>
      <c r="M254" s="233"/>
      <c r="N254" s="233"/>
      <c r="O254" s="233"/>
      <c r="P254" s="233"/>
      <c r="Q254" s="233"/>
      <c r="R254" s="233"/>
      <c r="S254" s="233"/>
      <c r="T254" s="233"/>
      <c r="U254" s="233"/>
      <c r="V254" s="40"/>
      <c r="W254" s="40"/>
      <c r="X254" s="40"/>
      <c r="Y254" s="40"/>
      <c r="Z254" s="40"/>
      <c r="AA254" s="40"/>
    </row>
    <row r="255" spans="2:27" s="48" customFormat="1" hidden="1" x14ac:dyDescent="0.25">
      <c r="B255" s="48" t="s">
        <v>49</v>
      </c>
      <c r="E255" s="22"/>
      <c r="F255" s="26">
        <v>1</v>
      </c>
      <c r="G255" s="22"/>
      <c r="H255" s="22"/>
      <c r="I255" s="234"/>
      <c r="J255" s="471"/>
      <c r="K255" s="471"/>
      <c r="L255" s="234"/>
      <c r="M255" s="234"/>
      <c r="N255" s="234"/>
      <c r="O255" s="234"/>
      <c r="P255" s="234"/>
      <c r="Q255" s="234"/>
      <c r="R255" s="234"/>
      <c r="S255" s="234"/>
      <c r="T255" s="234"/>
      <c r="U255" s="234"/>
      <c r="V255" s="50"/>
      <c r="W255" s="50"/>
      <c r="X255" s="50"/>
      <c r="Y255" s="50"/>
      <c r="Z255" s="50"/>
      <c r="AA255" s="50"/>
    </row>
    <row r="256" spans="2:27" s="41" customFormat="1" hidden="1" x14ac:dyDescent="0.25">
      <c r="B256" s="41" t="s">
        <v>50</v>
      </c>
      <c r="E256" s="8"/>
      <c r="F256" s="30">
        <v>1</v>
      </c>
      <c r="G256" s="8"/>
      <c r="H256" s="8"/>
      <c r="I256" s="233"/>
      <c r="J256" s="470"/>
      <c r="K256" s="470"/>
      <c r="L256" s="233"/>
      <c r="M256" s="233"/>
      <c r="N256" s="233"/>
      <c r="O256" s="233"/>
      <c r="P256" s="233"/>
      <c r="Q256" s="233"/>
      <c r="R256" s="233"/>
      <c r="S256" s="233"/>
      <c r="T256" s="233"/>
      <c r="U256" s="233"/>
      <c r="V256" s="40"/>
      <c r="W256" s="40"/>
      <c r="X256" s="40"/>
      <c r="Y256" s="40"/>
      <c r="Z256" s="40"/>
      <c r="AA256" s="40"/>
    </row>
    <row r="257" spans="2:27" s="48" customFormat="1" hidden="1" x14ac:dyDescent="0.25">
      <c r="B257" s="48" t="s">
        <v>51</v>
      </c>
      <c r="E257" s="22"/>
      <c r="F257" s="26"/>
      <c r="G257" s="22">
        <v>1</v>
      </c>
      <c r="H257" s="22"/>
      <c r="I257" s="234"/>
      <c r="J257" s="471"/>
      <c r="K257" s="471"/>
      <c r="L257" s="234"/>
      <c r="M257" s="234"/>
      <c r="N257" s="234">
        <v>1</v>
      </c>
      <c r="O257" s="234"/>
      <c r="P257" s="234"/>
      <c r="Q257" s="234"/>
      <c r="R257" s="234"/>
      <c r="S257" s="234"/>
      <c r="T257" s="234"/>
      <c r="U257" s="234"/>
      <c r="V257" s="50"/>
      <c r="W257" s="50"/>
      <c r="X257" s="50"/>
      <c r="Y257" s="50"/>
      <c r="Z257" s="50"/>
      <c r="AA257" s="50"/>
    </row>
    <row r="258" spans="2:27" s="41" customFormat="1" hidden="1" x14ac:dyDescent="0.25">
      <c r="B258" s="41" t="s">
        <v>52</v>
      </c>
      <c r="E258" s="19"/>
      <c r="F258" s="31"/>
      <c r="G258" s="19">
        <v>1</v>
      </c>
      <c r="H258" s="19"/>
      <c r="I258" s="233"/>
      <c r="J258" s="470"/>
      <c r="K258" s="470"/>
      <c r="L258" s="233"/>
      <c r="M258" s="233"/>
      <c r="N258" s="233">
        <v>1</v>
      </c>
      <c r="O258" s="233"/>
      <c r="P258" s="233"/>
      <c r="Q258" s="233"/>
      <c r="R258" s="233"/>
      <c r="S258" s="233"/>
      <c r="T258" s="233"/>
      <c r="U258" s="233"/>
      <c r="V258" s="40"/>
      <c r="W258" s="40"/>
      <c r="X258" s="40"/>
      <c r="Y258" s="40"/>
      <c r="Z258" s="40"/>
      <c r="AA258" s="40"/>
    </row>
    <row r="259" spans="2:27" s="48" customFormat="1" hidden="1" x14ac:dyDescent="0.25">
      <c r="B259" s="93" t="s">
        <v>10</v>
      </c>
      <c r="D259" s="128">
        <v>6</v>
      </c>
      <c r="E259" s="50">
        <f>SUM(E260:E265)</f>
        <v>2</v>
      </c>
      <c r="F259" s="50">
        <f t="shared" ref="F259:H259" si="20">SUM(F260:F265)</f>
        <v>2</v>
      </c>
      <c r="G259" s="50">
        <f>SUM(G260:G265)</f>
        <v>1</v>
      </c>
      <c r="H259" s="50">
        <f t="shared" si="20"/>
        <v>1</v>
      </c>
      <c r="I259" s="234"/>
      <c r="J259" s="471"/>
      <c r="K259" s="471"/>
      <c r="L259" s="234"/>
      <c r="M259" s="234"/>
      <c r="N259" s="234"/>
      <c r="O259" s="234"/>
      <c r="P259" s="234"/>
      <c r="Q259" s="234"/>
      <c r="R259" s="234"/>
      <c r="S259" s="234"/>
      <c r="T259" s="234"/>
      <c r="U259" s="234"/>
      <c r="V259" s="50"/>
      <c r="W259" s="50"/>
      <c r="X259" s="50"/>
      <c r="Y259" s="50"/>
      <c r="Z259" s="50"/>
      <c r="AA259" s="50"/>
    </row>
    <row r="260" spans="2:27" s="41" customFormat="1" hidden="1" x14ac:dyDescent="0.25">
      <c r="B260" s="41" t="s">
        <v>53</v>
      </c>
      <c r="E260" s="20"/>
      <c r="F260" s="29"/>
      <c r="G260" s="20"/>
      <c r="H260" s="20">
        <v>1</v>
      </c>
      <c r="I260" s="233"/>
      <c r="J260" s="470"/>
      <c r="K260" s="470"/>
      <c r="L260" s="233"/>
      <c r="M260" s="233"/>
      <c r="N260" s="233"/>
      <c r="O260" s="233"/>
      <c r="P260" s="233"/>
      <c r="Q260" s="233"/>
      <c r="R260" s="233"/>
      <c r="S260" s="233"/>
      <c r="T260" s="233"/>
      <c r="U260" s="233"/>
      <c r="V260" s="40"/>
      <c r="W260" s="40"/>
      <c r="X260" s="40"/>
      <c r="Y260" s="40"/>
      <c r="Z260" s="40"/>
      <c r="AA260" s="40"/>
    </row>
    <row r="261" spans="2:27" s="48" customFormat="1" hidden="1" x14ac:dyDescent="0.25">
      <c r="B261" s="48" t="s">
        <v>54</v>
      </c>
      <c r="E261" s="22"/>
      <c r="F261" s="26">
        <v>1</v>
      </c>
      <c r="G261" s="22"/>
      <c r="H261" s="22"/>
      <c r="I261" s="234"/>
      <c r="J261" s="471"/>
      <c r="K261" s="471"/>
      <c r="L261" s="234"/>
      <c r="M261" s="234"/>
      <c r="N261" s="234"/>
      <c r="O261" s="234"/>
      <c r="P261" s="234"/>
      <c r="Q261" s="234"/>
      <c r="R261" s="234"/>
      <c r="S261" s="234"/>
      <c r="T261" s="234"/>
      <c r="U261" s="234"/>
      <c r="V261" s="50"/>
      <c r="W261" s="50"/>
      <c r="X261" s="50"/>
      <c r="Y261" s="50"/>
      <c r="Z261" s="50"/>
      <c r="AA261" s="50"/>
    </row>
    <row r="262" spans="2:27" s="41" customFormat="1" hidden="1" x14ac:dyDescent="0.25">
      <c r="B262" s="41" t="s">
        <v>55</v>
      </c>
      <c r="E262" s="8">
        <v>1</v>
      </c>
      <c r="F262" s="30"/>
      <c r="G262" s="8"/>
      <c r="H262" s="8"/>
      <c r="I262" s="233"/>
      <c r="J262" s="470"/>
      <c r="K262" s="470"/>
      <c r="L262" s="233"/>
      <c r="M262" s="233"/>
      <c r="N262" s="233"/>
      <c r="O262" s="233"/>
      <c r="P262" s="233"/>
      <c r="Q262" s="233"/>
      <c r="R262" s="233"/>
      <c r="S262" s="233"/>
      <c r="T262" s="233"/>
      <c r="U262" s="233"/>
      <c r="V262" s="40"/>
      <c r="W262" s="40"/>
      <c r="X262" s="40"/>
      <c r="Y262" s="40"/>
      <c r="Z262" s="40"/>
      <c r="AA262" s="40"/>
    </row>
    <row r="263" spans="2:27" s="48" customFormat="1" hidden="1" x14ac:dyDescent="0.25">
      <c r="B263" s="48" t="s">
        <v>56</v>
      </c>
      <c r="E263" s="22"/>
      <c r="F263" s="26">
        <v>1</v>
      </c>
      <c r="G263" s="22"/>
      <c r="H263" s="22"/>
      <c r="I263" s="234"/>
      <c r="J263" s="471"/>
      <c r="K263" s="471"/>
      <c r="L263" s="234"/>
      <c r="M263" s="234"/>
      <c r="N263" s="234"/>
      <c r="O263" s="234"/>
      <c r="P263" s="234"/>
      <c r="Q263" s="234"/>
      <c r="R263" s="234"/>
      <c r="S263" s="234"/>
      <c r="T263" s="234"/>
      <c r="U263" s="234"/>
      <c r="V263" s="50"/>
      <c r="W263" s="50"/>
      <c r="X263" s="50"/>
      <c r="Y263" s="50"/>
      <c r="Z263" s="50"/>
      <c r="AA263" s="50"/>
    </row>
    <row r="264" spans="2:27" s="41" customFormat="1" hidden="1" x14ac:dyDescent="0.25">
      <c r="B264" s="41" t="s">
        <v>57</v>
      </c>
      <c r="E264" s="8"/>
      <c r="F264" s="30"/>
      <c r="G264" s="8">
        <v>1</v>
      </c>
      <c r="H264" s="8"/>
      <c r="I264" s="233">
        <v>1</v>
      </c>
      <c r="J264" s="470"/>
      <c r="K264" s="470"/>
      <c r="L264" s="233"/>
      <c r="M264" s="233">
        <v>1</v>
      </c>
      <c r="N264" s="233"/>
      <c r="O264" s="233"/>
      <c r="P264" s="233"/>
      <c r="Q264" s="233"/>
      <c r="R264" s="233"/>
      <c r="S264" s="233"/>
      <c r="T264" s="233"/>
      <c r="U264" s="233"/>
      <c r="V264" s="40"/>
      <c r="W264" s="40"/>
      <c r="X264" s="40"/>
      <c r="Y264" s="40"/>
      <c r="Z264" s="40"/>
      <c r="AA264" s="40"/>
    </row>
    <row r="265" spans="2:27" s="48" customFormat="1" hidden="1" x14ac:dyDescent="0.25">
      <c r="B265" s="48" t="s">
        <v>58</v>
      </c>
      <c r="E265" s="23">
        <v>1</v>
      </c>
      <c r="F265" s="111"/>
      <c r="G265" s="23"/>
      <c r="H265" s="23"/>
      <c r="I265" s="234"/>
      <c r="J265" s="471"/>
      <c r="K265" s="471"/>
      <c r="L265" s="234"/>
      <c r="M265" s="234"/>
      <c r="N265" s="234"/>
      <c r="O265" s="234"/>
      <c r="P265" s="234"/>
      <c r="Q265" s="234"/>
      <c r="R265" s="234"/>
      <c r="S265" s="234"/>
      <c r="T265" s="234"/>
      <c r="U265" s="234"/>
      <c r="V265" s="50"/>
      <c r="W265" s="50"/>
      <c r="X265" s="50"/>
      <c r="Y265" s="50"/>
      <c r="Z265" s="50"/>
      <c r="AA265" s="50"/>
    </row>
    <row r="266" spans="2:27" s="48" customFormat="1" hidden="1" x14ac:dyDescent="0.25">
      <c r="B266" s="93" t="s">
        <v>9</v>
      </c>
      <c r="D266" s="128">
        <f>SUM(E266:H266)</f>
        <v>27</v>
      </c>
      <c r="E266" s="50">
        <f>SUM(E267:E294)</f>
        <v>8</v>
      </c>
      <c r="F266" s="50">
        <f>SUM(F267:F294)</f>
        <v>6</v>
      </c>
      <c r="G266" s="50">
        <f>SUM(G267:G294)</f>
        <v>9</v>
      </c>
      <c r="H266" s="50">
        <f>SUM(H267:H294)</f>
        <v>4</v>
      </c>
      <c r="I266" s="234"/>
      <c r="J266" s="471"/>
      <c r="K266" s="471"/>
      <c r="L266" s="234"/>
      <c r="M266" s="234"/>
      <c r="N266" s="234"/>
      <c r="O266" s="234"/>
      <c r="P266" s="234"/>
      <c r="Q266" s="234"/>
      <c r="R266" s="234"/>
      <c r="S266" s="234"/>
      <c r="T266" s="234"/>
      <c r="U266" s="234"/>
      <c r="V266" s="50"/>
      <c r="W266" s="50"/>
      <c r="X266" s="50"/>
      <c r="Y266" s="50"/>
      <c r="Z266" s="50"/>
      <c r="AA266" s="50"/>
    </row>
    <row r="267" spans="2:27" hidden="1" x14ac:dyDescent="0.25">
      <c r="E267" s="20"/>
      <c r="F267" s="25"/>
      <c r="G267" s="20"/>
      <c r="H267" s="21"/>
      <c r="J267" s="471"/>
      <c r="K267" s="471"/>
    </row>
    <row r="268" spans="2:27" s="41" customFormat="1" hidden="1" x14ac:dyDescent="0.25">
      <c r="B268" s="41" t="s">
        <v>59</v>
      </c>
      <c r="E268" s="8">
        <v>1</v>
      </c>
      <c r="F268" s="30"/>
      <c r="G268" s="8"/>
      <c r="H268" s="8"/>
      <c r="I268" s="233"/>
      <c r="J268" s="470"/>
      <c r="K268" s="470"/>
      <c r="L268" s="233"/>
      <c r="M268" s="233"/>
      <c r="N268" s="233"/>
      <c r="O268" s="233"/>
      <c r="P268" s="233"/>
      <c r="Q268" s="233"/>
      <c r="R268" s="233"/>
      <c r="S268" s="233"/>
      <c r="T268" s="233"/>
      <c r="U268" s="233"/>
      <c r="V268" s="40"/>
      <c r="W268" s="40"/>
      <c r="X268" s="40"/>
      <c r="Y268" s="40"/>
      <c r="Z268" s="40"/>
      <c r="AA268" s="40"/>
    </row>
    <row r="269" spans="2:27" s="48" customFormat="1" hidden="1" x14ac:dyDescent="0.25">
      <c r="B269" s="48" t="s">
        <v>60</v>
      </c>
      <c r="E269" s="22"/>
      <c r="F269" s="26"/>
      <c r="G269" s="22"/>
      <c r="H269" s="22">
        <v>1</v>
      </c>
      <c r="I269" s="234"/>
      <c r="J269" s="471"/>
      <c r="K269" s="471"/>
      <c r="L269" s="234"/>
      <c r="M269" s="234"/>
      <c r="N269" s="234"/>
      <c r="O269" s="234"/>
      <c r="P269" s="234"/>
      <c r="Q269" s="234"/>
      <c r="R269" s="234"/>
      <c r="S269" s="234"/>
      <c r="T269" s="234"/>
      <c r="U269" s="234"/>
      <c r="V269" s="50"/>
      <c r="W269" s="50"/>
      <c r="X269" s="50"/>
      <c r="Y269" s="50"/>
      <c r="Z269" s="50"/>
      <c r="AA269" s="50"/>
    </row>
    <row r="270" spans="2:27" s="41" customFormat="1" hidden="1" x14ac:dyDescent="0.25">
      <c r="B270" s="41" t="s">
        <v>61</v>
      </c>
      <c r="E270" s="8"/>
      <c r="F270" s="30">
        <v>1</v>
      </c>
      <c r="G270" s="8"/>
      <c r="H270" s="8"/>
      <c r="I270" s="233"/>
      <c r="J270" s="470"/>
      <c r="K270" s="470"/>
      <c r="L270" s="233"/>
      <c r="M270" s="233"/>
      <c r="N270" s="233"/>
      <c r="O270" s="233"/>
      <c r="P270" s="233"/>
      <c r="Q270" s="233"/>
      <c r="R270" s="233"/>
      <c r="S270" s="233"/>
      <c r="T270" s="233"/>
      <c r="U270" s="233"/>
      <c r="V270" s="40"/>
      <c r="W270" s="40"/>
      <c r="X270" s="40"/>
      <c r="Y270" s="40"/>
      <c r="Z270" s="40"/>
      <c r="AA270" s="40"/>
    </row>
    <row r="271" spans="2:27" s="48" customFormat="1" hidden="1" x14ac:dyDescent="0.25">
      <c r="B271" s="48" t="s">
        <v>62</v>
      </c>
      <c r="E271" s="22">
        <v>1</v>
      </c>
      <c r="F271" s="26"/>
      <c r="G271" s="22"/>
      <c r="H271" s="22"/>
      <c r="I271" s="234"/>
      <c r="J271" s="471"/>
      <c r="K271" s="471"/>
      <c r="L271" s="234"/>
      <c r="M271" s="234"/>
      <c r="N271" s="234"/>
      <c r="O271" s="234"/>
      <c r="P271" s="234"/>
      <c r="Q271" s="234"/>
      <c r="R271" s="234"/>
      <c r="S271" s="234"/>
      <c r="T271" s="234"/>
      <c r="U271" s="234"/>
      <c r="V271" s="50"/>
      <c r="W271" s="50"/>
      <c r="X271" s="50"/>
      <c r="Y271" s="50"/>
      <c r="Z271" s="50"/>
      <c r="AA271" s="50"/>
    </row>
    <row r="272" spans="2:27" s="41" customFormat="1" hidden="1" x14ac:dyDescent="0.25">
      <c r="B272" s="41" t="s">
        <v>63</v>
      </c>
      <c r="E272" s="8"/>
      <c r="F272" s="30"/>
      <c r="G272" s="8">
        <v>1</v>
      </c>
      <c r="H272" s="8"/>
      <c r="I272" s="233">
        <v>1</v>
      </c>
      <c r="J272" s="470"/>
      <c r="K272" s="470"/>
      <c r="L272" s="233"/>
      <c r="M272" s="233"/>
      <c r="N272" s="233"/>
      <c r="O272" s="233"/>
      <c r="P272" s="233"/>
      <c r="Q272" s="233"/>
      <c r="R272" s="233"/>
      <c r="S272" s="233"/>
      <c r="T272" s="233"/>
      <c r="U272" s="233"/>
      <c r="V272" s="40"/>
      <c r="W272" s="40"/>
      <c r="X272" s="40"/>
      <c r="Y272" s="40"/>
      <c r="Z272" s="40"/>
      <c r="AA272" s="40"/>
    </row>
    <row r="273" spans="2:27" s="48" customFormat="1" hidden="1" x14ac:dyDescent="0.25">
      <c r="B273" s="48" t="s">
        <v>64</v>
      </c>
      <c r="E273" s="22"/>
      <c r="F273" s="26"/>
      <c r="G273" s="22">
        <v>1</v>
      </c>
      <c r="H273" s="22"/>
      <c r="I273" s="234">
        <v>1</v>
      </c>
      <c r="J273" s="471"/>
      <c r="K273" s="471"/>
      <c r="L273" s="234"/>
      <c r="M273" s="234"/>
      <c r="N273" s="234"/>
      <c r="O273" s="234"/>
      <c r="P273" s="234"/>
      <c r="Q273" s="234"/>
      <c r="R273" s="234"/>
      <c r="S273" s="234"/>
      <c r="T273" s="234"/>
      <c r="U273" s="234"/>
      <c r="V273" s="50"/>
      <c r="W273" s="50"/>
      <c r="X273" s="50"/>
      <c r="Y273" s="50"/>
      <c r="Z273" s="50"/>
      <c r="AA273" s="50"/>
    </row>
    <row r="274" spans="2:27" s="41" customFormat="1" hidden="1" x14ac:dyDescent="0.25">
      <c r="B274" s="41" t="s">
        <v>65</v>
      </c>
      <c r="E274" s="8">
        <v>1</v>
      </c>
      <c r="F274" s="30"/>
      <c r="G274" s="8"/>
      <c r="H274" s="8"/>
      <c r="I274" s="233"/>
      <c r="J274" s="470"/>
      <c r="K274" s="470"/>
      <c r="L274" s="233"/>
      <c r="M274" s="233"/>
      <c r="N274" s="233"/>
      <c r="O274" s="233"/>
      <c r="P274" s="233"/>
      <c r="Q274" s="233"/>
      <c r="R274" s="233"/>
      <c r="S274" s="233"/>
      <c r="T274" s="233"/>
      <c r="U274" s="233"/>
      <c r="V274" s="40"/>
      <c r="W274" s="40"/>
      <c r="X274" s="40"/>
      <c r="Y274" s="40"/>
      <c r="Z274" s="40"/>
      <c r="AA274" s="40"/>
    </row>
    <row r="275" spans="2:27" s="48" customFormat="1" hidden="1" x14ac:dyDescent="0.25">
      <c r="B275" s="48" t="s">
        <v>66</v>
      </c>
      <c r="E275" s="22">
        <v>1</v>
      </c>
      <c r="F275" s="26"/>
      <c r="G275" s="22"/>
      <c r="H275" s="22"/>
      <c r="I275" s="234"/>
      <c r="J275" s="471"/>
      <c r="K275" s="471"/>
      <c r="L275" s="234"/>
      <c r="M275" s="234"/>
      <c r="N275" s="234"/>
      <c r="O275" s="234"/>
      <c r="P275" s="234"/>
      <c r="Q275" s="234"/>
      <c r="R275" s="234"/>
      <c r="S275" s="234"/>
      <c r="T275" s="234"/>
      <c r="U275" s="234"/>
      <c r="V275" s="50"/>
      <c r="W275" s="50"/>
      <c r="X275" s="50"/>
      <c r="Y275" s="50"/>
      <c r="Z275" s="50"/>
      <c r="AA275" s="50"/>
    </row>
    <row r="276" spans="2:27" s="41" customFormat="1" hidden="1" x14ac:dyDescent="0.25">
      <c r="B276" s="41" t="s">
        <v>67</v>
      </c>
      <c r="E276" s="8"/>
      <c r="F276" s="30"/>
      <c r="G276" s="8">
        <v>1</v>
      </c>
      <c r="H276" s="8"/>
      <c r="I276" s="233"/>
      <c r="J276" s="470"/>
      <c r="K276" s="470"/>
      <c r="L276" s="233"/>
      <c r="M276" s="233">
        <v>1</v>
      </c>
      <c r="N276" s="233"/>
      <c r="O276" s="233"/>
      <c r="P276" s="233"/>
      <c r="Q276" s="233"/>
      <c r="R276" s="233"/>
      <c r="S276" s="233"/>
      <c r="T276" s="233"/>
      <c r="U276" s="233"/>
      <c r="V276" s="40"/>
      <c r="W276" s="40"/>
      <c r="X276" s="40"/>
      <c r="Y276" s="40"/>
      <c r="Z276" s="40"/>
      <c r="AA276" s="40"/>
    </row>
    <row r="277" spans="2:27" s="48" customFormat="1" hidden="1" x14ac:dyDescent="0.25">
      <c r="B277" s="48" t="s">
        <v>68</v>
      </c>
      <c r="E277" s="22"/>
      <c r="F277" s="26"/>
      <c r="G277" s="22"/>
      <c r="H277" s="22">
        <v>1</v>
      </c>
      <c r="I277" s="234"/>
      <c r="J277" s="471"/>
      <c r="K277" s="471"/>
      <c r="L277" s="234"/>
      <c r="M277" s="234"/>
      <c r="N277" s="234"/>
      <c r="O277" s="234"/>
      <c r="P277" s="234"/>
      <c r="Q277" s="234"/>
      <c r="R277" s="234"/>
      <c r="S277" s="234"/>
      <c r="T277" s="234"/>
      <c r="U277" s="234"/>
      <c r="V277" s="50"/>
      <c r="W277" s="50"/>
      <c r="X277" s="50"/>
      <c r="Y277" s="50"/>
      <c r="Z277" s="50"/>
      <c r="AA277" s="50"/>
    </row>
    <row r="278" spans="2:27" s="41" customFormat="1" hidden="1" x14ac:dyDescent="0.25">
      <c r="B278" s="41" t="s">
        <v>69</v>
      </c>
      <c r="E278" s="8"/>
      <c r="F278" s="30">
        <v>1</v>
      </c>
      <c r="G278" s="8"/>
      <c r="H278" s="8"/>
      <c r="I278" s="233"/>
      <c r="J278" s="470"/>
      <c r="K278" s="470"/>
      <c r="L278" s="233"/>
      <c r="M278" s="233"/>
      <c r="N278" s="233"/>
      <c r="O278" s="233"/>
      <c r="P278" s="233"/>
      <c r="Q278" s="233"/>
      <c r="R278" s="233"/>
      <c r="S278" s="233"/>
      <c r="T278" s="233"/>
      <c r="U278" s="233"/>
      <c r="V278" s="40"/>
      <c r="W278" s="40"/>
      <c r="X278" s="40"/>
      <c r="Y278" s="40"/>
      <c r="Z278" s="40"/>
      <c r="AA278" s="40"/>
    </row>
    <row r="279" spans="2:27" s="48" customFormat="1" hidden="1" x14ac:dyDescent="0.25">
      <c r="B279" s="48" t="s">
        <v>70</v>
      </c>
      <c r="E279" s="22"/>
      <c r="F279" s="26"/>
      <c r="G279" s="22">
        <v>1</v>
      </c>
      <c r="H279" s="22"/>
      <c r="I279" s="234">
        <v>1</v>
      </c>
      <c r="J279" s="471"/>
      <c r="K279" s="471"/>
      <c r="L279" s="234"/>
      <c r="M279" s="234"/>
      <c r="N279" s="234"/>
      <c r="O279" s="234"/>
      <c r="P279" s="234"/>
      <c r="Q279" s="234"/>
      <c r="R279" s="234"/>
      <c r="S279" s="234"/>
      <c r="T279" s="234"/>
      <c r="U279" s="234"/>
      <c r="V279" s="50"/>
      <c r="W279" s="50"/>
      <c r="X279" s="50"/>
      <c r="Y279" s="50"/>
      <c r="Z279" s="50"/>
      <c r="AA279" s="50"/>
    </row>
    <row r="280" spans="2:27" s="41" customFormat="1" hidden="1" x14ac:dyDescent="0.25">
      <c r="B280" s="41" t="s">
        <v>71</v>
      </c>
      <c r="E280" s="8">
        <v>1</v>
      </c>
      <c r="F280" s="30"/>
      <c r="G280" s="8"/>
      <c r="H280" s="8"/>
      <c r="I280" s="233"/>
      <c r="J280" s="470"/>
      <c r="K280" s="470"/>
      <c r="L280" s="233"/>
      <c r="M280" s="233"/>
      <c r="N280" s="233"/>
      <c r="O280" s="233"/>
      <c r="P280" s="233"/>
      <c r="Q280" s="233"/>
      <c r="R280" s="233"/>
      <c r="S280" s="233"/>
      <c r="T280" s="233"/>
      <c r="U280" s="233"/>
      <c r="V280" s="40"/>
      <c r="W280" s="40"/>
      <c r="X280" s="40"/>
      <c r="Y280" s="40"/>
      <c r="Z280" s="40"/>
      <c r="AA280" s="40"/>
    </row>
    <row r="281" spans="2:27" s="48" customFormat="1" hidden="1" x14ac:dyDescent="0.25">
      <c r="B281" s="48" t="s">
        <v>72</v>
      </c>
      <c r="E281" s="22"/>
      <c r="F281" s="26"/>
      <c r="G281" s="22">
        <v>1</v>
      </c>
      <c r="H281" s="22"/>
      <c r="I281" s="234"/>
      <c r="J281" s="471"/>
      <c r="K281" s="471"/>
      <c r="L281" s="234"/>
      <c r="M281" s="234"/>
      <c r="N281" s="234">
        <v>1</v>
      </c>
      <c r="O281" s="234"/>
      <c r="P281" s="234"/>
      <c r="Q281" s="234"/>
      <c r="R281" s="234"/>
      <c r="S281" s="234"/>
      <c r="T281" s="234"/>
      <c r="U281" s="234"/>
      <c r="V281" s="50"/>
      <c r="W281" s="50"/>
      <c r="X281" s="50"/>
      <c r="Y281" s="50"/>
      <c r="Z281" s="50">
        <v>1</v>
      </c>
      <c r="AA281" s="50"/>
    </row>
    <row r="282" spans="2:27" s="41" customFormat="1" hidden="1" x14ac:dyDescent="0.25">
      <c r="B282" s="41" t="s">
        <v>93</v>
      </c>
      <c r="E282" s="8"/>
      <c r="F282" s="30">
        <v>1</v>
      </c>
      <c r="G282" s="8"/>
      <c r="H282" s="8"/>
      <c r="I282" s="233"/>
      <c r="J282" s="470"/>
      <c r="K282" s="470"/>
      <c r="L282" s="233"/>
      <c r="M282" s="233"/>
      <c r="N282" s="233"/>
      <c r="O282" s="233"/>
      <c r="P282" s="233"/>
      <c r="Q282" s="233"/>
      <c r="R282" s="233"/>
      <c r="S282" s="233"/>
      <c r="T282" s="233"/>
      <c r="U282" s="233"/>
      <c r="V282" s="40"/>
      <c r="W282" s="40"/>
      <c r="X282" s="40"/>
      <c r="Y282" s="40"/>
      <c r="Z282" s="40"/>
      <c r="AA282" s="40"/>
    </row>
    <row r="283" spans="2:27" s="48" customFormat="1" hidden="1" x14ac:dyDescent="0.25">
      <c r="B283" s="48" t="s">
        <v>89</v>
      </c>
      <c r="E283" s="22"/>
      <c r="F283" s="26"/>
      <c r="G283" s="22">
        <v>1</v>
      </c>
      <c r="H283" s="22"/>
      <c r="I283" s="234">
        <v>1</v>
      </c>
      <c r="J283" s="471"/>
      <c r="K283" s="471"/>
      <c r="L283" s="234"/>
      <c r="M283" s="234"/>
      <c r="N283" s="234"/>
      <c r="O283" s="234"/>
      <c r="P283" s="234"/>
      <c r="Q283" s="234"/>
      <c r="R283" s="234"/>
      <c r="S283" s="234"/>
      <c r="T283" s="234"/>
      <c r="U283" s="234"/>
      <c r="V283" s="50"/>
      <c r="W283" s="50"/>
      <c r="X283" s="50"/>
      <c r="Y283" s="50"/>
      <c r="Z283" s="50"/>
      <c r="AA283" s="50"/>
    </row>
    <row r="284" spans="2:27" s="41" customFormat="1" hidden="1" x14ac:dyDescent="0.25">
      <c r="B284" s="41" t="s">
        <v>90</v>
      </c>
      <c r="E284" s="8"/>
      <c r="F284" s="30"/>
      <c r="G284" s="8"/>
      <c r="H284" s="8">
        <v>1</v>
      </c>
      <c r="I284" s="233"/>
      <c r="J284" s="470"/>
      <c r="K284" s="470"/>
      <c r="L284" s="233"/>
      <c r="M284" s="233"/>
      <c r="N284" s="233"/>
      <c r="O284" s="233"/>
      <c r="P284" s="233"/>
      <c r="Q284" s="233"/>
      <c r="R284" s="233"/>
      <c r="S284" s="233"/>
      <c r="T284" s="233"/>
      <c r="U284" s="233"/>
      <c r="V284" s="40"/>
      <c r="W284" s="40"/>
      <c r="X284" s="40"/>
      <c r="Y284" s="40"/>
      <c r="Z284" s="40"/>
      <c r="AA284" s="40"/>
    </row>
    <row r="285" spans="2:27" s="48" customFormat="1" hidden="1" x14ac:dyDescent="0.25">
      <c r="B285" s="48" t="s">
        <v>91</v>
      </c>
      <c r="E285" s="22"/>
      <c r="F285" s="26">
        <v>1</v>
      </c>
      <c r="G285" s="22"/>
      <c r="H285" s="22"/>
      <c r="I285" s="234"/>
      <c r="J285" s="471"/>
      <c r="K285" s="471"/>
      <c r="L285" s="234"/>
      <c r="M285" s="234"/>
      <c r="N285" s="234"/>
      <c r="O285" s="234"/>
      <c r="P285" s="234"/>
      <c r="Q285" s="234"/>
      <c r="R285" s="234"/>
      <c r="S285" s="234"/>
      <c r="T285" s="234"/>
      <c r="U285" s="234"/>
      <c r="V285" s="50"/>
      <c r="W285" s="50"/>
      <c r="X285" s="50"/>
      <c r="Y285" s="50"/>
      <c r="Z285" s="50"/>
      <c r="AA285" s="50"/>
    </row>
    <row r="286" spans="2:27" s="41" customFormat="1" hidden="1" x14ac:dyDescent="0.25">
      <c r="B286" s="41" t="s">
        <v>73</v>
      </c>
      <c r="E286" s="8">
        <v>1</v>
      </c>
      <c r="F286" s="30"/>
      <c r="G286" s="8"/>
      <c r="H286" s="8"/>
      <c r="I286" s="233"/>
      <c r="J286" s="470"/>
      <c r="K286" s="470"/>
      <c r="L286" s="233"/>
      <c r="M286" s="233"/>
      <c r="N286" s="233"/>
      <c r="O286" s="233"/>
      <c r="P286" s="233"/>
      <c r="Q286" s="233"/>
      <c r="R286" s="233"/>
      <c r="S286" s="233"/>
      <c r="T286" s="233"/>
      <c r="U286" s="233"/>
      <c r="V286" s="40"/>
      <c r="W286" s="40"/>
      <c r="X286" s="40"/>
      <c r="Y286" s="40"/>
      <c r="Z286" s="40"/>
      <c r="AA286" s="40"/>
    </row>
    <row r="287" spans="2:27" s="48" customFormat="1" hidden="1" x14ac:dyDescent="0.25">
      <c r="B287" s="48" t="s">
        <v>74</v>
      </c>
      <c r="E287" s="22"/>
      <c r="F287" s="26">
        <v>1</v>
      </c>
      <c r="G287" s="22"/>
      <c r="H287" s="22"/>
      <c r="I287" s="234"/>
      <c r="J287" s="471"/>
      <c r="K287" s="471"/>
      <c r="L287" s="234"/>
      <c r="M287" s="234"/>
      <c r="N287" s="234"/>
      <c r="O287" s="234"/>
      <c r="P287" s="234"/>
      <c r="Q287" s="234"/>
      <c r="R287" s="234"/>
      <c r="S287" s="234"/>
      <c r="T287" s="234"/>
      <c r="U287" s="234"/>
      <c r="V287" s="50"/>
      <c r="W287" s="50"/>
      <c r="X287" s="50"/>
      <c r="Y287" s="50"/>
      <c r="Z287" s="50"/>
      <c r="AA287" s="50"/>
    </row>
    <row r="288" spans="2:27" s="41" customFormat="1" hidden="1" x14ac:dyDescent="0.25">
      <c r="B288" s="41" t="s">
        <v>92</v>
      </c>
      <c r="E288" s="8"/>
      <c r="F288" s="30"/>
      <c r="G288" s="8">
        <v>1</v>
      </c>
      <c r="H288" s="8"/>
      <c r="I288" s="233">
        <v>1</v>
      </c>
      <c r="J288" s="470"/>
      <c r="K288" s="470"/>
      <c r="L288" s="233"/>
      <c r="M288" s="233"/>
      <c r="N288" s="233"/>
      <c r="O288" s="233"/>
      <c r="P288" s="233"/>
      <c r="Q288" s="233"/>
      <c r="R288" s="233"/>
      <c r="S288" s="233"/>
      <c r="T288" s="233"/>
      <c r="U288" s="233"/>
      <c r="V288" s="40"/>
      <c r="W288" s="40"/>
      <c r="X288" s="40"/>
      <c r="Y288" s="40"/>
      <c r="Z288" s="40"/>
      <c r="AA288" s="40"/>
    </row>
    <row r="289" spans="2:27" s="48" customFormat="1" hidden="1" x14ac:dyDescent="0.25">
      <c r="B289" s="48" t="s">
        <v>75</v>
      </c>
      <c r="E289" s="22"/>
      <c r="F289" s="26">
        <v>1</v>
      </c>
      <c r="G289" s="22"/>
      <c r="H289" s="22"/>
      <c r="I289" s="234"/>
      <c r="J289" s="471"/>
      <c r="K289" s="471"/>
      <c r="L289" s="234"/>
      <c r="M289" s="234"/>
      <c r="N289" s="234"/>
      <c r="O289" s="234"/>
      <c r="P289" s="234"/>
      <c r="Q289" s="234"/>
      <c r="R289" s="234"/>
      <c r="S289" s="234"/>
      <c r="T289" s="234"/>
      <c r="U289" s="234"/>
      <c r="V289" s="50"/>
      <c r="W289" s="50"/>
      <c r="X289" s="50"/>
      <c r="Y289" s="50"/>
      <c r="Z289" s="50"/>
      <c r="AA289" s="50"/>
    </row>
    <row r="290" spans="2:27" s="41" customFormat="1" hidden="1" x14ac:dyDescent="0.25">
      <c r="B290" s="41" t="s">
        <v>76</v>
      </c>
      <c r="E290" s="8">
        <v>1</v>
      </c>
      <c r="F290" s="30"/>
      <c r="G290" s="8"/>
      <c r="H290" s="8"/>
      <c r="I290" s="233"/>
      <c r="J290" s="470"/>
      <c r="K290" s="470"/>
      <c r="L290" s="233"/>
      <c r="M290" s="233"/>
      <c r="N290" s="233"/>
      <c r="O290" s="233"/>
      <c r="P290" s="233"/>
      <c r="Q290" s="233"/>
      <c r="R290" s="233"/>
      <c r="S290" s="233"/>
      <c r="T290" s="233"/>
      <c r="U290" s="233"/>
      <c r="V290" s="40"/>
      <c r="W290" s="40"/>
      <c r="X290" s="40"/>
      <c r="Y290" s="40"/>
      <c r="Z290" s="40"/>
      <c r="AA290" s="40"/>
    </row>
    <row r="291" spans="2:27" s="48" customFormat="1" hidden="1" x14ac:dyDescent="0.25">
      <c r="B291" s="48" t="s">
        <v>77</v>
      </c>
      <c r="E291" s="22"/>
      <c r="F291" s="26"/>
      <c r="G291" s="22">
        <v>1</v>
      </c>
      <c r="H291" s="22"/>
      <c r="I291" s="234"/>
      <c r="J291" s="471"/>
      <c r="K291" s="471"/>
      <c r="L291" s="234"/>
      <c r="M291" s="234">
        <v>1</v>
      </c>
      <c r="N291" s="234"/>
      <c r="O291" s="234"/>
      <c r="P291" s="234"/>
      <c r="Q291" s="234"/>
      <c r="R291" s="234"/>
      <c r="S291" s="234"/>
      <c r="T291" s="234"/>
      <c r="U291" s="234"/>
      <c r="V291" s="50"/>
      <c r="W291" s="50"/>
      <c r="X291" s="50"/>
      <c r="Y291" s="50"/>
      <c r="Z291" s="50"/>
      <c r="AA291" s="50"/>
    </row>
    <row r="292" spans="2:27" s="41" customFormat="1" hidden="1" x14ac:dyDescent="0.25">
      <c r="B292" s="41" t="s">
        <v>78</v>
      </c>
      <c r="E292" s="8"/>
      <c r="F292" s="30"/>
      <c r="G292" s="8">
        <v>1</v>
      </c>
      <c r="H292" s="8"/>
      <c r="I292" s="233"/>
      <c r="J292" s="470"/>
      <c r="K292" s="470"/>
      <c r="L292" s="233"/>
      <c r="M292" s="233">
        <v>1</v>
      </c>
      <c r="N292" s="233"/>
      <c r="O292" s="233"/>
      <c r="P292" s="233"/>
      <c r="Q292" s="233"/>
      <c r="R292" s="233"/>
      <c r="S292" s="233"/>
      <c r="T292" s="233"/>
      <c r="U292" s="233"/>
      <c r="V292" s="40"/>
      <c r="W292" s="40"/>
      <c r="X292" s="40"/>
      <c r="Y292" s="40"/>
      <c r="Z292" s="40"/>
      <c r="AA292" s="40"/>
    </row>
    <row r="293" spans="2:27" s="48" customFormat="1" hidden="1" x14ac:dyDescent="0.25">
      <c r="B293" s="48" t="s">
        <v>79</v>
      </c>
      <c r="E293" s="22"/>
      <c r="F293" s="26"/>
      <c r="G293" s="22"/>
      <c r="H293" s="22">
        <v>1</v>
      </c>
      <c r="I293" s="234"/>
      <c r="J293" s="471"/>
      <c r="K293" s="471"/>
      <c r="L293" s="234"/>
      <c r="M293" s="234"/>
      <c r="N293" s="234"/>
      <c r="O293" s="234"/>
      <c r="P293" s="234"/>
      <c r="Q293" s="234"/>
      <c r="R293" s="234"/>
      <c r="S293" s="234"/>
      <c r="T293" s="234"/>
      <c r="U293" s="234"/>
      <c r="V293" s="50"/>
      <c r="W293" s="50"/>
      <c r="X293" s="50"/>
      <c r="Y293" s="50"/>
      <c r="Z293" s="50"/>
      <c r="AA293" s="50"/>
    </row>
    <row r="294" spans="2:27" s="41" customFormat="1" hidden="1" x14ac:dyDescent="0.25">
      <c r="B294" s="41" t="s">
        <v>80</v>
      </c>
      <c r="E294" s="19">
        <v>1</v>
      </c>
      <c r="F294" s="31"/>
      <c r="G294" s="19"/>
      <c r="H294" s="19"/>
      <c r="I294" s="233"/>
      <c r="J294" s="470"/>
      <c r="K294" s="470"/>
      <c r="L294" s="233"/>
      <c r="M294" s="233"/>
      <c r="N294" s="233"/>
      <c r="O294" s="233"/>
      <c r="P294" s="233"/>
      <c r="Q294" s="233"/>
      <c r="R294" s="233"/>
      <c r="S294" s="233"/>
      <c r="T294" s="233"/>
      <c r="U294" s="233"/>
      <c r="V294" s="40"/>
      <c r="W294" s="40"/>
      <c r="X294" s="40"/>
      <c r="Y294" s="40"/>
      <c r="Z294" s="40"/>
      <c r="AA294" s="40"/>
    </row>
    <row r="295" spans="2:27" s="48" customFormat="1" hidden="1" x14ac:dyDescent="0.25">
      <c r="B295" s="93" t="s">
        <v>0</v>
      </c>
      <c r="D295" s="128">
        <f>SUM(E295:G295)</f>
        <v>7</v>
      </c>
      <c r="E295" s="50">
        <f>SUM(E296:E302)</f>
        <v>4</v>
      </c>
      <c r="F295" s="50">
        <f>SUM(F296:F302)</f>
        <v>3</v>
      </c>
      <c r="G295" s="50">
        <f>SUM(G296:G302)</f>
        <v>0</v>
      </c>
      <c r="H295" s="50">
        <f>SUM(H296:H302)</f>
        <v>0</v>
      </c>
      <c r="I295" s="234"/>
      <c r="J295" s="471"/>
      <c r="K295" s="471"/>
      <c r="L295" s="234"/>
      <c r="M295" s="234"/>
      <c r="N295" s="234"/>
      <c r="O295" s="234"/>
      <c r="P295" s="234"/>
      <c r="Q295" s="234"/>
      <c r="R295" s="234"/>
      <c r="S295" s="234"/>
      <c r="T295" s="234"/>
      <c r="U295" s="234"/>
      <c r="V295" s="50"/>
      <c r="W295" s="50"/>
      <c r="X295" s="50"/>
      <c r="Y295" s="50"/>
      <c r="Z295" s="50"/>
      <c r="AA295" s="50"/>
    </row>
    <row r="296" spans="2:27" s="41" customFormat="1" hidden="1" x14ac:dyDescent="0.25">
      <c r="B296" s="41" t="s">
        <v>127</v>
      </c>
      <c r="E296" s="29"/>
      <c r="F296" s="20">
        <v>1</v>
      </c>
      <c r="G296" s="36"/>
      <c r="H296" s="20"/>
      <c r="I296" s="233"/>
      <c r="J296" s="470"/>
      <c r="K296" s="470"/>
      <c r="L296" s="233"/>
      <c r="M296" s="233"/>
      <c r="N296" s="233"/>
      <c r="O296" s="233"/>
      <c r="P296" s="233"/>
      <c r="Q296" s="233"/>
      <c r="R296" s="233"/>
      <c r="S296" s="233"/>
      <c r="T296" s="233"/>
      <c r="U296" s="233"/>
      <c r="V296" s="40"/>
      <c r="W296" s="40"/>
      <c r="X296" s="40"/>
      <c r="Y296" s="40"/>
      <c r="Z296" s="40"/>
      <c r="AA296" s="40"/>
    </row>
    <row r="297" spans="2:27" s="48" customFormat="1" hidden="1" x14ac:dyDescent="0.25">
      <c r="B297" s="48" t="s">
        <v>81</v>
      </c>
      <c r="E297" s="26"/>
      <c r="F297" s="22">
        <v>1</v>
      </c>
      <c r="G297" s="234"/>
      <c r="H297" s="22"/>
      <c r="I297" s="234"/>
      <c r="J297" s="471"/>
      <c r="K297" s="471"/>
      <c r="L297" s="234"/>
      <c r="M297" s="234"/>
      <c r="N297" s="234"/>
      <c r="O297" s="234"/>
      <c r="P297" s="234"/>
      <c r="Q297" s="234"/>
      <c r="R297" s="234"/>
      <c r="S297" s="234"/>
      <c r="T297" s="234"/>
      <c r="U297" s="234"/>
      <c r="V297" s="50"/>
      <c r="W297" s="50"/>
      <c r="X297" s="50"/>
      <c r="Y297" s="50"/>
      <c r="Z297" s="50"/>
      <c r="AA297" s="50"/>
    </row>
    <row r="298" spans="2:27" s="41" customFormat="1" hidden="1" x14ac:dyDescent="0.25">
      <c r="B298" s="41" t="s">
        <v>82</v>
      </c>
      <c r="E298" s="30"/>
      <c r="F298" s="8">
        <v>1</v>
      </c>
      <c r="G298" s="233"/>
      <c r="H298" s="8"/>
      <c r="I298" s="233"/>
      <c r="J298" s="470"/>
      <c r="K298" s="470"/>
      <c r="L298" s="233"/>
      <c r="M298" s="233"/>
      <c r="N298" s="233"/>
      <c r="O298" s="233"/>
      <c r="P298" s="233"/>
      <c r="Q298" s="233"/>
      <c r="R298" s="233"/>
      <c r="S298" s="233"/>
      <c r="T298" s="233"/>
      <c r="U298" s="233"/>
      <c r="V298" s="40"/>
      <c r="W298" s="40"/>
      <c r="X298" s="40"/>
      <c r="Y298" s="40"/>
      <c r="Z298" s="40"/>
      <c r="AA298" s="40"/>
    </row>
    <row r="299" spans="2:27" s="48" customFormat="1" hidden="1" x14ac:dyDescent="0.25">
      <c r="B299" s="48" t="s">
        <v>83</v>
      </c>
      <c r="E299" s="26">
        <v>1</v>
      </c>
      <c r="F299" s="22"/>
      <c r="G299" s="234"/>
      <c r="H299" s="22"/>
      <c r="I299" s="234"/>
      <c r="J299" s="471"/>
      <c r="K299" s="471"/>
      <c r="L299" s="234"/>
      <c r="M299" s="234"/>
      <c r="N299" s="234"/>
      <c r="O299" s="234"/>
      <c r="P299" s="234"/>
      <c r="Q299" s="234"/>
      <c r="R299" s="234"/>
      <c r="S299" s="234"/>
      <c r="T299" s="234"/>
      <c r="U299" s="234"/>
      <c r="V299" s="50"/>
      <c r="W299" s="50"/>
      <c r="X299" s="50"/>
      <c r="Y299" s="50"/>
      <c r="Z299" s="50"/>
      <c r="AA299" s="50"/>
    </row>
    <row r="300" spans="2:27" s="41" customFormat="1" hidden="1" x14ac:dyDescent="0.25">
      <c r="B300" s="41" t="s">
        <v>84</v>
      </c>
      <c r="E300" s="30">
        <v>1</v>
      </c>
      <c r="F300" s="8"/>
      <c r="G300" s="233"/>
      <c r="H300" s="8"/>
      <c r="I300" s="233"/>
      <c r="J300" s="470"/>
      <c r="K300" s="470"/>
      <c r="L300" s="233"/>
      <c r="M300" s="233"/>
      <c r="N300" s="233"/>
      <c r="O300" s="233"/>
      <c r="P300" s="233"/>
      <c r="Q300" s="233"/>
      <c r="R300" s="233"/>
      <c r="S300" s="233"/>
      <c r="T300" s="233"/>
      <c r="U300" s="233"/>
      <c r="V300" s="40"/>
      <c r="W300" s="40"/>
      <c r="X300" s="40"/>
      <c r="Y300" s="40"/>
      <c r="Z300" s="40"/>
      <c r="AA300" s="40"/>
    </row>
    <row r="301" spans="2:27" s="48" customFormat="1" hidden="1" x14ac:dyDescent="0.25">
      <c r="B301" s="48" t="s">
        <v>85</v>
      </c>
      <c r="E301" s="26">
        <v>1</v>
      </c>
      <c r="F301" s="22"/>
      <c r="G301" s="234"/>
      <c r="H301" s="22"/>
      <c r="I301" s="234"/>
      <c r="J301" s="471"/>
      <c r="K301" s="471"/>
      <c r="L301" s="234"/>
      <c r="M301" s="234"/>
      <c r="N301" s="234"/>
      <c r="O301" s="234"/>
      <c r="P301" s="234"/>
      <c r="Q301" s="234"/>
      <c r="R301" s="234"/>
      <c r="S301" s="234"/>
      <c r="T301" s="234"/>
      <c r="U301" s="234"/>
      <c r="V301" s="50"/>
      <c r="W301" s="50"/>
      <c r="X301" s="50"/>
      <c r="Y301" s="50"/>
      <c r="Z301" s="50"/>
      <c r="AA301" s="50"/>
    </row>
    <row r="302" spans="2:27" s="41" customFormat="1" hidden="1" x14ac:dyDescent="0.25">
      <c r="B302" s="41" t="s">
        <v>87</v>
      </c>
      <c r="E302" s="31">
        <v>1</v>
      </c>
      <c r="F302" s="19"/>
      <c r="G302" s="37"/>
      <c r="H302" s="19"/>
      <c r="I302" s="233"/>
      <c r="J302" s="470"/>
      <c r="K302" s="470"/>
      <c r="L302" s="233"/>
      <c r="M302" s="233"/>
      <c r="N302" s="233"/>
      <c r="O302" s="233"/>
      <c r="P302" s="233"/>
      <c r="Q302" s="233"/>
      <c r="R302" s="233"/>
      <c r="S302" s="233"/>
      <c r="T302" s="233"/>
      <c r="U302" s="233"/>
      <c r="V302" s="40"/>
      <c r="W302" s="40"/>
      <c r="X302" s="40"/>
      <c r="Y302" s="40"/>
      <c r="Z302" s="40"/>
      <c r="AA302" s="40"/>
    </row>
    <row r="303" spans="2:27" s="48" customFormat="1" hidden="1" x14ac:dyDescent="0.25">
      <c r="B303" s="93" t="s">
        <v>94</v>
      </c>
      <c r="D303" s="128">
        <f>SUM(E303:G303)</f>
        <v>0</v>
      </c>
      <c r="E303" s="234"/>
      <c r="F303" s="234">
        <f>SUM(F304)</f>
        <v>0</v>
      </c>
      <c r="G303" s="234"/>
      <c r="H303" s="234"/>
      <c r="I303" s="234"/>
      <c r="J303" s="471"/>
      <c r="K303" s="471"/>
      <c r="L303" s="234"/>
      <c r="M303" s="234"/>
      <c r="N303" s="234"/>
      <c r="O303" s="234"/>
      <c r="P303" s="234"/>
      <c r="Q303" s="234"/>
      <c r="R303" s="234"/>
      <c r="S303" s="234"/>
      <c r="T303" s="234"/>
      <c r="U303" s="234"/>
      <c r="V303" s="50"/>
      <c r="W303" s="50"/>
      <c r="X303" s="50"/>
      <c r="Y303" s="50"/>
      <c r="Z303" s="50"/>
      <c r="AA303" s="50"/>
    </row>
    <row r="304" spans="2:27" s="41" customFormat="1" hidden="1" x14ac:dyDescent="0.25">
      <c r="B304" s="41" t="s">
        <v>86</v>
      </c>
      <c r="E304" s="44">
        <v>1</v>
      </c>
      <c r="F304" s="45"/>
      <c r="G304" s="45"/>
      <c r="H304" s="46"/>
      <c r="I304" s="233"/>
      <c r="J304" s="470"/>
      <c r="K304" s="470"/>
      <c r="L304" s="233"/>
      <c r="M304" s="233"/>
      <c r="N304" s="233"/>
      <c r="O304" s="233"/>
      <c r="P304" s="233"/>
      <c r="Q304" s="233"/>
      <c r="R304" s="233"/>
      <c r="S304" s="233"/>
      <c r="T304" s="233"/>
      <c r="U304" s="233"/>
      <c r="V304" s="40"/>
      <c r="W304" s="40"/>
      <c r="X304" s="40"/>
      <c r="Y304" s="40"/>
      <c r="Z304" s="40"/>
      <c r="AA304" s="40"/>
    </row>
    <row r="305" spans="2:7" hidden="1" x14ac:dyDescent="0.25">
      <c r="B305" s="1" t="s">
        <v>7</v>
      </c>
      <c r="G305" s="234"/>
    </row>
    <row r="306" spans="2:7" hidden="1" x14ac:dyDescent="0.25">
      <c r="G306" s="234"/>
    </row>
    <row r="307" spans="2:7" hidden="1" x14ac:dyDescent="0.25">
      <c r="E307" s="17" t="s">
        <v>7</v>
      </c>
      <c r="G307" s="234"/>
    </row>
    <row r="308" spans="2:7" hidden="1" x14ac:dyDescent="0.25">
      <c r="C308" s="1" t="s">
        <v>7</v>
      </c>
      <c r="G308" s="234"/>
    </row>
    <row r="309" spans="2:7" hidden="1" x14ac:dyDescent="0.25">
      <c r="G309" s="234"/>
    </row>
    <row r="310" spans="2:7" hidden="1" x14ac:dyDescent="0.25">
      <c r="G310" s="234"/>
    </row>
    <row r="311" spans="2:7" hidden="1" x14ac:dyDescent="0.25">
      <c r="G311" s="234"/>
    </row>
    <row r="312" spans="2:7" hidden="1" x14ac:dyDescent="0.25">
      <c r="G312" s="234"/>
    </row>
    <row r="313" spans="2:7" hidden="1" x14ac:dyDescent="0.25">
      <c r="G313" s="234"/>
    </row>
    <row r="314" spans="2:7" hidden="1" x14ac:dyDescent="0.25">
      <c r="G314" s="234"/>
    </row>
    <row r="315" spans="2:7" hidden="1" x14ac:dyDescent="0.25">
      <c r="G315" s="234"/>
    </row>
    <row r="316" spans="2:7" hidden="1" x14ac:dyDescent="0.25">
      <c r="G316" s="234"/>
    </row>
    <row r="317" spans="2:7" hidden="1" x14ac:dyDescent="0.25">
      <c r="G317" s="234"/>
    </row>
    <row r="318" spans="2:7" hidden="1" x14ac:dyDescent="0.25">
      <c r="G318" s="234"/>
    </row>
    <row r="319" spans="2:7" hidden="1" x14ac:dyDescent="0.25">
      <c r="G319" s="234"/>
    </row>
    <row r="320" spans="2:7" hidden="1" x14ac:dyDescent="0.25">
      <c r="G320" s="234"/>
    </row>
    <row r="321" spans="7:7" hidden="1" x14ac:dyDescent="0.25">
      <c r="G321" s="234"/>
    </row>
    <row r="322" spans="7:7" hidden="1" x14ac:dyDescent="0.25">
      <c r="G322" s="234"/>
    </row>
    <row r="323" spans="7:7" hidden="1" x14ac:dyDescent="0.25">
      <c r="G323" s="234"/>
    </row>
    <row r="324" spans="7:7" hidden="1" x14ac:dyDescent="0.25">
      <c r="G324" s="234"/>
    </row>
    <row r="325" spans="7:7" hidden="1" x14ac:dyDescent="0.25">
      <c r="G325" s="234"/>
    </row>
    <row r="326" spans="7:7" hidden="1" x14ac:dyDescent="0.25">
      <c r="G326" s="234"/>
    </row>
    <row r="327" spans="7:7" hidden="1" x14ac:dyDescent="0.25">
      <c r="G327" s="234"/>
    </row>
    <row r="328" spans="7:7" hidden="1" x14ac:dyDescent="0.25">
      <c r="G328" s="234"/>
    </row>
    <row r="329" spans="7:7" hidden="1" x14ac:dyDescent="0.25">
      <c r="G329" s="234"/>
    </row>
    <row r="330" spans="7:7" hidden="1" x14ac:dyDescent="0.25">
      <c r="G330" s="234"/>
    </row>
    <row r="331" spans="7:7" hidden="1" x14ac:dyDescent="0.25">
      <c r="G331" s="234"/>
    </row>
    <row r="332" spans="7:7" hidden="1" x14ac:dyDescent="0.25">
      <c r="G332" s="234"/>
    </row>
    <row r="333" spans="7:7" hidden="1" x14ac:dyDescent="0.25">
      <c r="G333" s="234"/>
    </row>
    <row r="334" spans="7:7" hidden="1" x14ac:dyDescent="0.25">
      <c r="G334" s="234"/>
    </row>
    <row r="335" spans="7:7" x14ac:dyDescent="0.25">
      <c r="G335" s="234"/>
    </row>
    <row r="336" spans="7:7" x14ac:dyDescent="0.25">
      <c r="G336" s="234"/>
    </row>
    <row r="337" spans="7:7" x14ac:dyDescent="0.25">
      <c r="G337" s="234"/>
    </row>
    <row r="338" spans="7:7" x14ac:dyDescent="0.25">
      <c r="G338" s="234"/>
    </row>
    <row r="339" spans="7:7" x14ac:dyDescent="0.25">
      <c r="G339" s="234"/>
    </row>
    <row r="340" spans="7:7" x14ac:dyDescent="0.25">
      <c r="G340" s="234"/>
    </row>
    <row r="341" spans="7:7" x14ac:dyDescent="0.25">
      <c r="G341" s="234"/>
    </row>
    <row r="342" spans="7:7" x14ac:dyDescent="0.25">
      <c r="G342" s="234"/>
    </row>
    <row r="343" spans="7:7" x14ac:dyDescent="0.25">
      <c r="G343" s="234"/>
    </row>
    <row r="344" spans="7:7" x14ac:dyDescent="0.25">
      <c r="G344" s="234"/>
    </row>
    <row r="345" spans="7:7" x14ac:dyDescent="0.25">
      <c r="G345" s="234"/>
    </row>
    <row r="346" spans="7:7" x14ac:dyDescent="0.25">
      <c r="G346" s="234"/>
    </row>
    <row r="347" spans="7:7" x14ac:dyDescent="0.25">
      <c r="G347" s="234"/>
    </row>
    <row r="348" spans="7:7" x14ac:dyDescent="0.25">
      <c r="G348" s="234"/>
    </row>
    <row r="349" spans="7:7" x14ac:dyDescent="0.25">
      <c r="G349" s="234"/>
    </row>
    <row r="350" spans="7:7" x14ac:dyDescent="0.25">
      <c r="G350" s="234"/>
    </row>
    <row r="351" spans="7:7" x14ac:dyDescent="0.25">
      <c r="G351" s="234"/>
    </row>
    <row r="352" spans="7:7" x14ac:dyDescent="0.25">
      <c r="G352" s="234"/>
    </row>
    <row r="353" spans="7:7" x14ac:dyDescent="0.25">
      <c r="G353" s="234"/>
    </row>
    <row r="354" spans="7:7" x14ac:dyDescent="0.25">
      <c r="G354" s="234"/>
    </row>
    <row r="355" spans="7:7" x14ac:dyDescent="0.25">
      <c r="G355" s="234"/>
    </row>
    <row r="356" spans="7:7" x14ac:dyDescent="0.25">
      <c r="G356" s="234"/>
    </row>
    <row r="357" spans="7:7" x14ac:dyDescent="0.25">
      <c r="G357" s="234"/>
    </row>
    <row r="358" spans="7:7" x14ac:dyDescent="0.25">
      <c r="G358" s="234"/>
    </row>
    <row r="359" spans="7:7" x14ac:dyDescent="0.25">
      <c r="G359" s="234"/>
    </row>
    <row r="360" spans="7:7" x14ac:dyDescent="0.25">
      <c r="G360" s="234"/>
    </row>
    <row r="361" spans="7:7" x14ac:dyDescent="0.25">
      <c r="G361" s="234"/>
    </row>
    <row r="362" spans="7:7" x14ac:dyDescent="0.25">
      <c r="G362" s="234"/>
    </row>
    <row r="363" spans="7:7" x14ac:dyDescent="0.25">
      <c r="G363" s="234"/>
    </row>
    <row r="364" spans="7:7" x14ac:dyDescent="0.25">
      <c r="G364" s="234"/>
    </row>
    <row r="365" spans="7:7" x14ac:dyDescent="0.25">
      <c r="G365" s="234"/>
    </row>
    <row r="366" spans="7:7" x14ac:dyDescent="0.25">
      <c r="G366" s="234"/>
    </row>
    <row r="367" spans="7:7" x14ac:dyDescent="0.25">
      <c r="G367" s="234"/>
    </row>
    <row r="368" spans="7:7" x14ac:dyDescent="0.25">
      <c r="G368" s="234"/>
    </row>
    <row r="369" spans="7:7" x14ac:dyDescent="0.25">
      <c r="G369" s="234"/>
    </row>
    <row r="370" spans="7:7" x14ac:dyDescent="0.25">
      <c r="G370" s="234"/>
    </row>
    <row r="371" spans="7:7" x14ac:dyDescent="0.25">
      <c r="G371" s="234"/>
    </row>
    <row r="372" spans="7:7" x14ac:dyDescent="0.25">
      <c r="G372" s="234"/>
    </row>
    <row r="373" spans="7:7" x14ac:dyDescent="0.25">
      <c r="G373" s="234"/>
    </row>
  </sheetData>
  <mergeCells count="127">
    <mergeCell ref="B2:C2"/>
    <mergeCell ref="B6:L6"/>
    <mergeCell ref="F8:G8"/>
    <mergeCell ref="H8:I8"/>
    <mergeCell ref="J8:K8"/>
    <mergeCell ref="L8:M8"/>
    <mergeCell ref="B8:E8"/>
    <mergeCell ref="B9:E9"/>
    <mergeCell ref="I90:I91"/>
    <mergeCell ref="J90:J91"/>
    <mergeCell ref="K90:K91"/>
    <mergeCell ref="L90:L91"/>
    <mergeCell ref="M90:M91"/>
    <mergeCell ref="K69:K70"/>
    <mergeCell ref="L69:L70"/>
    <mergeCell ref="B86:L86"/>
    <mergeCell ref="B89:D91"/>
    <mergeCell ref="E89:F89"/>
    <mergeCell ref="G89:L89"/>
    <mergeCell ref="E90:E91"/>
    <mergeCell ref="F90:F91"/>
    <mergeCell ref="G90:G91"/>
    <mergeCell ref="H90:H91"/>
    <mergeCell ref="B68:D70"/>
    <mergeCell ref="E68:F68"/>
    <mergeCell ref="G68:I68"/>
    <mergeCell ref="E69:E70"/>
    <mergeCell ref="F69:F70"/>
    <mergeCell ref="G69:G70"/>
    <mergeCell ref="H69:H70"/>
    <mergeCell ref="I69:I70"/>
    <mergeCell ref="U90:U91"/>
    <mergeCell ref="V90:V91"/>
    <mergeCell ref="W90:W91"/>
    <mergeCell ref="X90:X91"/>
    <mergeCell ref="Y90:Y91"/>
    <mergeCell ref="J218:K218"/>
    <mergeCell ref="O90:O91"/>
    <mergeCell ref="P90:P91"/>
    <mergeCell ref="Q90:Q91"/>
    <mergeCell ref="R90:R91"/>
    <mergeCell ref="S90:S91"/>
    <mergeCell ref="T90:T91"/>
    <mergeCell ref="N90:N91"/>
    <mergeCell ref="J228:K228"/>
    <mergeCell ref="J229:K229"/>
    <mergeCell ref="J230:K230"/>
    <mergeCell ref="J231:K231"/>
    <mergeCell ref="J232:K232"/>
    <mergeCell ref="J233:K233"/>
    <mergeCell ref="J222:K222"/>
    <mergeCell ref="J223:K223"/>
    <mergeCell ref="J224:K224"/>
    <mergeCell ref="J225:K225"/>
    <mergeCell ref="J226:K226"/>
    <mergeCell ref="J227:K227"/>
    <mergeCell ref="J240:K240"/>
    <mergeCell ref="J241:K241"/>
    <mergeCell ref="J242:K242"/>
    <mergeCell ref="J243:K243"/>
    <mergeCell ref="J244:K244"/>
    <mergeCell ref="J245:K245"/>
    <mergeCell ref="J234:K234"/>
    <mergeCell ref="J235:K235"/>
    <mergeCell ref="J236:K236"/>
    <mergeCell ref="J237:K237"/>
    <mergeCell ref="J238:K238"/>
    <mergeCell ref="J239:K239"/>
    <mergeCell ref="J252:K252"/>
    <mergeCell ref="J253:K253"/>
    <mergeCell ref="J254:K254"/>
    <mergeCell ref="J255:K255"/>
    <mergeCell ref="J256:K256"/>
    <mergeCell ref="J257:K257"/>
    <mergeCell ref="J246:K246"/>
    <mergeCell ref="J247:K247"/>
    <mergeCell ref="J248:K248"/>
    <mergeCell ref="J249:K249"/>
    <mergeCell ref="J250:K250"/>
    <mergeCell ref="J251:K251"/>
    <mergeCell ref="J264:K264"/>
    <mergeCell ref="J265:K265"/>
    <mergeCell ref="J266:K266"/>
    <mergeCell ref="J267:K267"/>
    <mergeCell ref="J268:K268"/>
    <mergeCell ref="J269:K269"/>
    <mergeCell ref="J258:K258"/>
    <mergeCell ref="J259:K259"/>
    <mergeCell ref="J260:K260"/>
    <mergeCell ref="J261:K261"/>
    <mergeCell ref="J262:K262"/>
    <mergeCell ref="J263:K263"/>
    <mergeCell ref="J276:K276"/>
    <mergeCell ref="J277:K277"/>
    <mergeCell ref="J278:K278"/>
    <mergeCell ref="J279:K279"/>
    <mergeCell ref="J280:K280"/>
    <mergeCell ref="J281:K281"/>
    <mergeCell ref="J270:K270"/>
    <mergeCell ref="J271:K271"/>
    <mergeCell ref="J272:K272"/>
    <mergeCell ref="J273:K273"/>
    <mergeCell ref="J274:K274"/>
    <mergeCell ref="J275:K275"/>
    <mergeCell ref="J288:K288"/>
    <mergeCell ref="J289:K289"/>
    <mergeCell ref="J290:K290"/>
    <mergeCell ref="J291:K291"/>
    <mergeCell ref="J292:K292"/>
    <mergeCell ref="J293:K293"/>
    <mergeCell ref="J282:K282"/>
    <mergeCell ref="J283:K283"/>
    <mergeCell ref="J284:K284"/>
    <mergeCell ref="J285:K285"/>
    <mergeCell ref="J286:K286"/>
    <mergeCell ref="J287:K287"/>
    <mergeCell ref="J300:K300"/>
    <mergeCell ref="J301:K301"/>
    <mergeCell ref="J302:K302"/>
    <mergeCell ref="J303:K303"/>
    <mergeCell ref="J304:K304"/>
    <mergeCell ref="J294:K294"/>
    <mergeCell ref="J295:K295"/>
    <mergeCell ref="J296:K296"/>
    <mergeCell ref="J297:K297"/>
    <mergeCell ref="J298:K298"/>
    <mergeCell ref="J299:K299"/>
  </mergeCells>
  <pageMargins left="0.7" right="0.7" top="0.75" bottom="0.75" header="0.3" footer="0.3"/>
  <ignoredErrors>
    <ignoredError sqref="L11 J11 H11 F93 F123"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8877-5BD4-4318-BDAB-0410DAD538EF}">
  <dimension ref="B2:AJ107"/>
  <sheetViews>
    <sheetView showGridLines="0" workbookViewId="0">
      <selection activeCell="E2" sqref="E2"/>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5.109375" style="17" customWidth="1"/>
    <col min="8" max="8" width="14.88671875" style="234" customWidth="1"/>
    <col min="9" max="9" width="14.33203125" style="234" customWidth="1"/>
    <col min="10" max="10" width="14.5546875" style="234" customWidth="1"/>
    <col min="11" max="11" width="15.88671875" style="234" customWidth="1"/>
    <col min="12" max="12" width="14.77734375" style="234" customWidth="1"/>
    <col min="13" max="13" width="10.88671875" style="234" customWidth="1"/>
    <col min="14" max="14" width="11.44140625" style="234" customWidth="1"/>
    <col min="15" max="15" width="11.109375" style="234" customWidth="1"/>
    <col min="16" max="16" width="12.33203125" style="234" customWidth="1"/>
    <col min="17" max="17" width="12.109375" style="234" customWidth="1"/>
    <col min="18" max="18" width="10.5546875" style="234" customWidth="1"/>
    <col min="19" max="19" width="8.88671875" style="234"/>
    <col min="20" max="20" width="9.5546875" style="234" customWidth="1"/>
    <col min="21" max="22" width="1.109375" style="234" customWidth="1"/>
    <col min="23" max="23" width="12.21875" style="234" customWidth="1"/>
    <col min="24" max="24" width="12.6640625" style="234" customWidth="1"/>
    <col min="25" max="26" width="12.44140625" style="234" customWidth="1"/>
    <col min="27" max="27" width="11.77734375" style="234" customWidth="1"/>
    <col min="28" max="28" width="12.33203125" style="234" customWidth="1"/>
    <col min="29" max="29" width="12.77734375" style="234" customWidth="1"/>
    <col min="30" max="30" width="11.88671875" style="234" customWidth="1"/>
    <col min="31" max="31" width="11.6640625" style="17" customWidth="1"/>
    <col min="32" max="32" width="10.5546875" style="17" customWidth="1"/>
    <col min="33" max="33" width="11.6640625" style="17" customWidth="1"/>
    <col min="34" max="34" width="10.6640625" style="17" customWidth="1"/>
    <col min="35" max="35" width="0.77734375" style="17" customWidth="1"/>
    <col min="36" max="36" width="12.44140625" style="17" customWidth="1"/>
    <col min="37" max="16384" width="8.88671875" style="1"/>
  </cols>
  <sheetData>
    <row r="2" spans="2:36" ht="18.600000000000001" customHeight="1" x14ac:dyDescent="0.25">
      <c r="B2" s="431" t="s">
        <v>427</v>
      </c>
      <c r="C2" s="432"/>
      <c r="E2" s="50"/>
    </row>
    <row r="3" spans="2:36" ht="20.399999999999999" customHeight="1" x14ac:dyDescent="0.3">
      <c r="B3" s="5" t="s">
        <v>376</v>
      </c>
      <c r="E3" s="1"/>
    </row>
    <row r="4" spans="2:36" ht="12" customHeight="1" x14ac:dyDescent="0.25">
      <c r="B4" s="3" t="s">
        <v>377</v>
      </c>
      <c r="C4" s="12"/>
      <c r="D4" s="12"/>
      <c r="E4" s="118"/>
      <c r="F4" s="118"/>
      <c r="G4" s="118"/>
      <c r="H4" s="118"/>
      <c r="I4" s="118"/>
      <c r="J4" s="118"/>
      <c r="K4" s="118"/>
      <c r="L4" s="118"/>
      <c r="M4" s="118"/>
      <c r="N4" s="118"/>
      <c r="O4" s="118"/>
      <c r="P4" s="118"/>
      <c r="Q4" s="118"/>
      <c r="R4" s="118"/>
      <c r="S4" s="118"/>
      <c r="T4" s="118"/>
      <c r="U4" s="118"/>
    </row>
    <row r="5" spans="2:36" s="48" customFormat="1" hidden="1" x14ac:dyDescent="0.25">
      <c r="B5" s="61"/>
      <c r="C5" s="55"/>
      <c r="D5" s="55"/>
      <c r="E5" s="342"/>
      <c r="F5" s="111"/>
      <c r="G5" s="127"/>
      <c r="H5" s="343"/>
      <c r="I5" s="23"/>
      <c r="J5" s="23"/>
      <c r="K5" s="99"/>
      <c r="L5" s="111"/>
      <c r="M5" s="43"/>
      <c r="N5" s="43"/>
      <c r="O5" s="43"/>
      <c r="P5" s="43"/>
      <c r="Q5" s="43"/>
      <c r="R5" s="43"/>
      <c r="S5" s="43"/>
      <c r="T5" s="43"/>
      <c r="U5" s="209"/>
      <c r="V5" s="43"/>
      <c r="W5" s="43"/>
      <c r="X5" s="43"/>
      <c r="Y5" s="234"/>
      <c r="Z5" s="234"/>
      <c r="AA5" s="234"/>
      <c r="AB5" s="234"/>
      <c r="AC5" s="234"/>
      <c r="AD5" s="234"/>
      <c r="AE5" s="234"/>
      <c r="AF5" s="234"/>
      <c r="AG5" s="234"/>
      <c r="AH5" s="234"/>
      <c r="AI5" s="234"/>
      <c r="AJ5" s="234"/>
    </row>
    <row r="6" spans="2:36" s="48" customFormat="1" hidden="1" x14ac:dyDescent="0.25">
      <c r="B6" s="58" t="s">
        <v>94</v>
      </c>
      <c r="C6" s="49"/>
      <c r="D6" s="49"/>
      <c r="E6" s="133"/>
      <c r="F6" s="22"/>
      <c r="G6" s="49"/>
      <c r="H6" s="22"/>
      <c r="I6" s="234"/>
      <c r="J6" s="234"/>
      <c r="K6" s="22"/>
      <c r="L6" s="234"/>
      <c r="M6" s="43"/>
      <c r="N6" s="43"/>
      <c r="O6" s="43"/>
      <c r="P6" s="43"/>
      <c r="Q6" s="43"/>
      <c r="R6" s="43"/>
      <c r="S6" s="43"/>
      <c r="T6" s="43"/>
      <c r="U6" s="209"/>
      <c r="V6" s="43"/>
      <c r="W6" s="43"/>
      <c r="X6" s="43"/>
      <c r="Y6" s="234"/>
      <c r="Z6" s="234"/>
      <c r="AA6" s="234"/>
      <c r="AB6" s="234"/>
      <c r="AC6" s="234"/>
      <c r="AD6" s="234"/>
      <c r="AE6" s="234"/>
      <c r="AF6" s="234"/>
      <c r="AG6" s="234"/>
      <c r="AH6" s="234"/>
      <c r="AI6" s="234"/>
      <c r="AJ6" s="234"/>
    </row>
    <row r="7" spans="2:36" s="48" customFormat="1" ht="13.2" hidden="1" customHeight="1" x14ac:dyDescent="0.25">
      <c r="B7" s="61" t="s">
        <v>86</v>
      </c>
      <c r="C7" s="55"/>
      <c r="D7" s="55"/>
      <c r="E7" s="23" t="s">
        <v>7</v>
      </c>
      <c r="F7" s="197">
        <f>SUM(G7:V7)</f>
        <v>0</v>
      </c>
      <c r="G7" s="221"/>
      <c r="H7" s="197"/>
      <c r="I7" s="198"/>
      <c r="J7" s="198"/>
      <c r="K7" s="197"/>
      <c r="L7" s="198"/>
      <c r="M7" s="43"/>
      <c r="N7" s="43"/>
      <c r="O7" s="43"/>
      <c r="P7" s="43"/>
      <c r="Q7" s="43"/>
      <c r="R7" s="43"/>
      <c r="S7" s="43"/>
      <c r="T7" s="43"/>
      <c r="U7" s="209"/>
      <c r="V7" s="43"/>
      <c r="W7" s="43"/>
      <c r="X7" s="43"/>
      <c r="Y7" s="234"/>
      <c r="Z7" s="234"/>
      <c r="AA7" s="234"/>
      <c r="AB7" s="234"/>
      <c r="AC7" s="234"/>
      <c r="AD7" s="234"/>
      <c r="AE7" s="234"/>
      <c r="AF7" s="234"/>
      <c r="AG7" s="234"/>
      <c r="AH7" s="234"/>
      <c r="AI7" s="234"/>
      <c r="AJ7" s="234"/>
    </row>
    <row r="8" spans="2:36" s="48" customFormat="1" ht="13.2" customHeight="1" x14ac:dyDescent="0.25">
      <c r="B8" s="49"/>
      <c r="C8" s="49"/>
      <c r="D8" s="49"/>
      <c r="E8" s="234"/>
      <c r="F8" s="234"/>
      <c r="G8" s="49"/>
      <c r="H8" s="234"/>
      <c r="I8" s="234"/>
      <c r="J8" s="234"/>
      <c r="K8" s="234"/>
      <c r="L8" s="234"/>
      <c r="M8" s="43"/>
      <c r="N8" s="43"/>
      <c r="O8" s="43"/>
      <c r="P8" s="43"/>
      <c r="Q8" s="43"/>
      <c r="R8" s="43"/>
      <c r="S8" s="43"/>
      <c r="T8" s="43"/>
      <c r="U8" s="209"/>
      <c r="V8" s="43"/>
      <c r="W8" s="43"/>
      <c r="X8" s="43"/>
      <c r="Y8" s="234"/>
      <c r="Z8" s="234"/>
      <c r="AA8" s="234"/>
      <c r="AB8" s="234"/>
      <c r="AC8" s="234"/>
      <c r="AD8" s="234"/>
      <c r="AE8" s="234"/>
      <c r="AF8" s="234"/>
      <c r="AG8" s="234"/>
      <c r="AH8" s="234"/>
      <c r="AI8" s="234"/>
      <c r="AJ8" s="234"/>
    </row>
    <row r="9" spans="2:36" s="48" customFormat="1" ht="13.2" customHeight="1" x14ac:dyDescent="0.25">
      <c r="B9" s="344" t="s">
        <v>499</v>
      </c>
      <c r="C9" s="49"/>
      <c r="D9" s="49"/>
      <c r="E9" s="234"/>
      <c r="F9" s="234"/>
      <c r="G9" s="49"/>
      <c r="H9" s="234"/>
      <c r="I9" s="234"/>
      <c r="J9" s="234"/>
      <c r="K9" s="234"/>
      <c r="L9" s="234"/>
      <c r="M9" s="234"/>
      <c r="N9" s="234"/>
      <c r="O9" s="234"/>
      <c r="P9" s="234"/>
      <c r="Q9" s="234"/>
      <c r="R9" s="234"/>
      <c r="S9" s="234"/>
      <c r="T9" s="234"/>
      <c r="U9" s="49"/>
      <c r="V9" s="234"/>
      <c r="W9" s="234"/>
      <c r="X9" s="234"/>
      <c r="Y9" s="234"/>
      <c r="Z9" s="234"/>
      <c r="AA9" s="234"/>
      <c r="AB9" s="234"/>
      <c r="AC9" s="234"/>
      <c r="AD9" s="234"/>
      <c r="AE9" s="234"/>
      <c r="AF9" s="234"/>
      <c r="AG9" s="234"/>
      <c r="AH9" s="234"/>
      <c r="AI9" s="234"/>
      <c r="AJ9" s="234"/>
    </row>
    <row r="10" spans="2:36" s="48" customFormat="1" x14ac:dyDescent="0.25">
      <c r="B10" s="51"/>
      <c r="C10" s="38"/>
      <c r="D10" s="38"/>
      <c r="E10" s="234"/>
      <c r="F10" s="234"/>
      <c r="G10" s="234"/>
      <c r="H10" s="234"/>
      <c r="I10" s="234"/>
      <c r="J10" s="43"/>
      <c r="K10" s="209"/>
      <c r="L10" s="209"/>
      <c r="M10" s="209"/>
      <c r="N10" s="209"/>
      <c r="O10" s="209"/>
      <c r="P10" s="209"/>
      <c r="Q10" s="209"/>
      <c r="R10" s="209"/>
      <c r="S10" s="209"/>
      <c r="T10" s="209"/>
      <c r="U10" s="209"/>
      <c r="V10" s="43"/>
      <c r="W10" s="43"/>
      <c r="X10" s="234"/>
      <c r="Y10" s="234"/>
      <c r="Z10" s="234"/>
      <c r="AA10" s="234"/>
      <c r="AB10" s="234"/>
      <c r="AC10" s="234"/>
      <c r="AD10" s="234"/>
      <c r="AE10" s="50"/>
      <c r="AF10" s="50"/>
      <c r="AG10" s="50"/>
      <c r="AH10" s="50"/>
      <c r="AI10" s="50"/>
      <c r="AJ10" s="50"/>
    </row>
    <row r="11" spans="2:36" ht="13.2" customHeight="1" x14ac:dyDescent="0.25">
      <c r="B11" s="415" t="s">
        <v>95</v>
      </c>
      <c r="C11" s="416"/>
      <c r="D11" s="417"/>
      <c r="E11" s="421" t="s">
        <v>378</v>
      </c>
      <c r="F11" s="422"/>
      <c r="G11" s="453" t="s">
        <v>379</v>
      </c>
      <c r="H11" s="454"/>
      <c r="I11" s="454"/>
      <c r="J11" s="454"/>
      <c r="K11" s="454"/>
      <c r="L11" s="455"/>
      <c r="M11" s="345"/>
      <c r="N11" s="345"/>
      <c r="O11" s="345"/>
      <c r="P11" s="345"/>
      <c r="Q11" s="345"/>
      <c r="R11" s="345"/>
      <c r="S11" s="345"/>
      <c r="T11" s="345"/>
    </row>
    <row r="12" spans="2:36" x14ac:dyDescent="0.25">
      <c r="B12" s="418"/>
      <c r="C12" s="419"/>
      <c r="D12" s="420"/>
      <c r="E12" s="423"/>
      <c r="F12" s="424"/>
      <c r="G12" s="456"/>
      <c r="H12" s="457"/>
      <c r="I12" s="457"/>
      <c r="J12" s="457"/>
      <c r="K12" s="457"/>
      <c r="L12" s="458"/>
      <c r="M12" s="345"/>
      <c r="N12" s="345"/>
      <c r="O12" s="345"/>
      <c r="P12" s="345"/>
      <c r="Q12" s="345"/>
      <c r="R12" s="345"/>
      <c r="S12" s="345"/>
      <c r="T12" s="345"/>
    </row>
    <row r="13" spans="2:36" ht="23.4" customHeight="1" x14ac:dyDescent="0.25">
      <c r="B13" s="346"/>
      <c r="C13" s="347"/>
      <c r="D13" s="348"/>
      <c r="E13" s="428" t="s">
        <v>132</v>
      </c>
      <c r="F13" s="412" t="s">
        <v>97</v>
      </c>
      <c r="G13" s="447" t="s">
        <v>380</v>
      </c>
      <c r="H13" s="449"/>
      <c r="I13" s="385" t="s">
        <v>381</v>
      </c>
      <c r="J13" s="467" t="s">
        <v>382</v>
      </c>
      <c r="K13" s="468"/>
      <c r="L13" s="469"/>
      <c r="M13" s="349"/>
      <c r="N13" s="349"/>
      <c r="O13" s="349"/>
      <c r="P13" s="349"/>
      <c r="Q13" s="349"/>
      <c r="R13" s="349"/>
      <c r="S13" s="349"/>
      <c r="T13" s="349"/>
    </row>
    <row r="14" spans="2:36" ht="87" customHeight="1" x14ac:dyDescent="0.25">
      <c r="B14" s="350"/>
      <c r="C14" s="351"/>
      <c r="D14" s="352"/>
      <c r="E14" s="429"/>
      <c r="F14" s="413"/>
      <c r="G14" s="231" t="s">
        <v>383</v>
      </c>
      <c r="H14" s="353" t="s">
        <v>384</v>
      </c>
      <c r="I14" s="353" t="s">
        <v>385</v>
      </c>
      <c r="J14" s="228" t="s">
        <v>386</v>
      </c>
      <c r="K14" s="204" t="s">
        <v>387</v>
      </c>
      <c r="L14" s="353" t="s">
        <v>388</v>
      </c>
      <c r="M14" s="289"/>
      <c r="N14" s="227"/>
      <c r="O14" s="227"/>
      <c r="P14" s="227"/>
      <c r="Q14" s="227"/>
      <c r="R14" s="227"/>
      <c r="S14" s="227"/>
      <c r="T14" s="227"/>
    </row>
    <row r="15" spans="2:36" x14ac:dyDescent="0.25">
      <c r="B15" s="57"/>
      <c r="C15" s="49"/>
      <c r="D15" s="52"/>
      <c r="E15" s="21"/>
      <c r="F15" s="234"/>
      <c r="G15" s="89"/>
      <c r="I15" s="87"/>
      <c r="J15" s="87"/>
      <c r="K15" s="87"/>
      <c r="L15" s="87"/>
    </row>
    <row r="16" spans="2:36" x14ac:dyDescent="0.25">
      <c r="B16" s="73" t="s">
        <v>8</v>
      </c>
      <c r="C16" s="74"/>
      <c r="D16" s="75"/>
      <c r="E16" s="166">
        <f>E24+E30+E43+E56+E63+E92+E18</f>
        <v>11</v>
      </c>
      <c r="F16" s="76">
        <f>F24+F30+F43+F56+F63+F92+F18</f>
        <v>14</v>
      </c>
      <c r="G16" s="77">
        <f t="shared" ref="G16:L16" si="0">G24+G30+G43+G56+G63+G92+G18</f>
        <v>3</v>
      </c>
      <c r="H16" s="77">
        <f t="shared" si="0"/>
        <v>1</v>
      </c>
      <c r="I16" s="77">
        <f t="shared" si="0"/>
        <v>1</v>
      </c>
      <c r="J16" s="77">
        <f t="shared" si="0"/>
        <v>3</v>
      </c>
      <c r="K16" s="77">
        <f t="shared" si="0"/>
        <v>3</v>
      </c>
      <c r="L16" s="300">
        <f t="shared" si="0"/>
        <v>3</v>
      </c>
      <c r="M16" s="52"/>
      <c r="N16" s="52"/>
      <c r="O16" s="52"/>
      <c r="P16" s="52"/>
      <c r="Q16" s="52"/>
      <c r="R16" s="52"/>
      <c r="S16" s="52"/>
      <c r="T16" s="52"/>
    </row>
    <row r="17" spans="2:20" x14ac:dyDescent="0.25">
      <c r="B17" s="132" t="s">
        <v>7</v>
      </c>
      <c r="C17" s="170"/>
      <c r="D17" s="171"/>
      <c r="E17" s="25"/>
      <c r="F17" s="25"/>
      <c r="G17" s="89"/>
      <c r="H17" s="125"/>
      <c r="I17" s="21"/>
      <c r="J17" s="21"/>
      <c r="K17" s="125"/>
      <c r="L17" s="21"/>
    </row>
    <row r="18" spans="2:20" x14ac:dyDescent="0.25">
      <c r="B18" s="58" t="s">
        <v>122</v>
      </c>
      <c r="C18" s="91"/>
      <c r="D18" s="52"/>
      <c r="E18" s="354">
        <v>1</v>
      </c>
      <c r="F18" s="129">
        <f>SUM(F19:F22)</f>
        <v>1</v>
      </c>
      <c r="G18" s="92">
        <f>SUM(G19:G22)</f>
        <v>1</v>
      </c>
      <c r="H18" s="52">
        <f t="shared" ref="H18:L18" si="1">SUM(H19:H22)</f>
        <v>0</v>
      </c>
      <c r="I18" s="92">
        <f t="shared" si="1"/>
        <v>0</v>
      </c>
      <c r="J18" s="92">
        <f t="shared" si="1"/>
        <v>0</v>
      </c>
      <c r="K18" s="52">
        <f t="shared" si="1"/>
        <v>0</v>
      </c>
      <c r="L18" s="92">
        <f t="shared" si="1"/>
        <v>0</v>
      </c>
      <c r="M18" s="52"/>
      <c r="N18" s="52"/>
      <c r="O18" s="52"/>
      <c r="P18" s="52"/>
      <c r="Q18" s="52"/>
      <c r="R18" s="52"/>
      <c r="S18" s="52"/>
      <c r="T18" s="52"/>
    </row>
    <row r="19" spans="2:20" hidden="1" x14ac:dyDescent="0.25">
      <c r="B19" s="54" t="s">
        <v>124</v>
      </c>
      <c r="C19" s="56"/>
      <c r="D19" s="47"/>
      <c r="E19" s="26"/>
      <c r="F19" s="199">
        <f>SUM(G19:V19)</f>
        <v>0</v>
      </c>
      <c r="G19" s="186"/>
      <c r="H19" s="189"/>
      <c r="I19" s="186"/>
      <c r="J19" s="186"/>
      <c r="K19" s="189"/>
      <c r="L19" s="186"/>
    </row>
    <row r="20" spans="2:20" hidden="1" x14ac:dyDescent="0.25">
      <c r="B20" s="54" t="s">
        <v>6</v>
      </c>
      <c r="C20" s="56"/>
      <c r="D20" s="47"/>
      <c r="E20" s="26"/>
      <c r="F20" s="200">
        <f>SUM(G20:V20)</f>
        <v>0</v>
      </c>
      <c r="G20" s="187"/>
      <c r="H20" s="191"/>
      <c r="I20" s="187"/>
      <c r="J20" s="187"/>
      <c r="K20" s="191"/>
      <c r="L20" s="187"/>
    </row>
    <row r="21" spans="2:20" x14ac:dyDescent="0.25">
      <c r="B21" s="54" t="s">
        <v>3</v>
      </c>
      <c r="C21" s="56"/>
      <c r="D21" s="47"/>
      <c r="E21" s="26"/>
      <c r="F21" s="355">
        <f>SUM(G21:V21)</f>
        <v>1</v>
      </c>
      <c r="G21" s="197">
        <v>1</v>
      </c>
      <c r="H21" s="198"/>
      <c r="I21" s="197"/>
      <c r="J21" s="197"/>
      <c r="K21" s="198"/>
      <c r="L21" s="197"/>
    </row>
    <row r="22" spans="2:20" hidden="1" x14ac:dyDescent="0.25">
      <c r="B22" s="54" t="s">
        <v>23</v>
      </c>
      <c r="C22" s="56"/>
      <c r="D22" s="47"/>
      <c r="E22" s="26"/>
      <c r="F22" s="201">
        <f>SUM(G22:V22)</f>
        <v>0</v>
      </c>
      <c r="G22" s="188"/>
      <c r="H22" s="193"/>
      <c r="I22" s="188"/>
      <c r="J22" s="188"/>
      <c r="K22" s="193"/>
      <c r="L22" s="188"/>
    </row>
    <row r="23" spans="2:20" x14ac:dyDescent="0.25">
      <c r="B23" s="57" t="s">
        <v>7</v>
      </c>
      <c r="C23" s="49"/>
      <c r="D23" s="52"/>
      <c r="E23" s="26"/>
      <c r="F23" s="26"/>
      <c r="G23" s="90"/>
      <c r="I23" s="22"/>
      <c r="J23" s="22"/>
      <c r="L23" s="22"/>
    </row>
    <row r="24" spans="2:20" x14ac:dyDescent="0.25">
      <c r="B24" s="58" t="s">
        <v>27</v>
      </c>
      <c r="C24" s="91"/>
      <c r="D24" s="52"/>
      <c r="E24" s="354">
        <v>2</v>
      </c>
      <c r="F24" s="129">
        <f t="shared" ref="F24:L24" si="2">SUM(F25:F28)</f>
        <v>2</v>
      </c>
      <c r="G24" s="92">
        <f t="shared" si="2"/>
        <v>2</v>
      </c>
      <c r="H24" s="52">
        <f t="shared" si="2"/>
        <v>0</v>
      </c>
      <c r="I24" s="92">
        <f t="shared" si="2"/>
        <v>0</v>
      </c>
      <c r="J24" s="92">
        <f t="shared" si="2"/>
        <v>0</v>
      </c>
      <c r="K24" s="52">
        <f t="shared" si="2"/>
        <v>0</v>
      </c>
      <c r="L24" s="92">
        <f t="shared" si="2"/>
        <v>0</v>
      </c>
      <c r="M24" s="52"/>
      <c r="N24" s="52"/>
      <c r="O24" s="52"/>
      <c r="P24" s="52"/>
      <c r="Q24" s="52"/>
      <c r="R24" s="52"/>
      <c r="S24" s="52"/>
      <c r="T24" s="52"/>
    </row>
    <row r="25" spans="2:20" x14ac:dyDescent="0.25">
      <c r="B25" s="57" t="s">
        <v>1</v>
      </c>
      <c r="C25" s="91"/>
      <c r="D25" s="52"/>
      <c r="E25" s="129"/>
      <c r="F25" s="179">
        <f>SUM(G25:V25)</f>
        <v>1</v>
      </c>
      <c r="G25" s="82">
        <v>1</v>
      </c>
      <c r="H25" s="102"/>
      <c r="I25" s="108"/>
      <c r="J25" s="108"/>
      <c r="K25" s="158"/>
      <c r="L25" s="108"/>
      <c r="M25" s="52"/>
      <c r="N25" s="52"/>
      <c r="O25" s="52"/>
      <c r="P25" s="52"/>
      <c r="Q25" s="52"/>
      <c r="R25" s="52"/>
      <c r="S25" s="52"/>
      <c r="T25" s="52"/>
    </row>
    <row r="26" spans="2:20" x14ac:dyDescent="0.25">
      <c r="B26" s="57" t="s">
        <v>2</v>
      </c>
      <c r="C26" s="91"/>
      <c r="D26" s="52"/>
      <c r="E26" s="129"/>
      <c r="F26" s="181">
        <f>SUM(G26:V26)</f>
        <v>1</v>
      </c>
      <c r="G26" s="84">
        <v>1</v>
      </c>
      <c r="H26" s="104"/>
      <c r="I26" s="308"/>
      <c r="J26" s="308"/>
      <c r="K26" s="307"/>
      <c r="L26" s="308"/>
      <c r="M26" s="52"/>
      <c r="N26" s="52"/>
      <c r="O26" s="52"/>
      <c r="P26" s="52"/>
      <c r="Q26" s="52"/>
      <c r="R26" s="52"/>
      <c r="S26" s="52"/>
      <c r="T26" s="52"/>
    </row>
    <row r="27" spans="2:20" hidden="1" x14ac:dyDescent="0.25">
      <c r="B27" s="57" t="s">
        <v>24</v>
      </c>
      <c r="C27" s="49"/>
      <c r="D27" s="49"/>
      <c r="E27" s="26"/>
      <c r="F27" s="180">
        <f>SUM(G27:V27)</f>
        <v>0</v>
      </c>
      <c r="G27" s="83"/>
      <c r="H27" s="101"/>
      <c r="I27" s="83"/>
      <c r="J27" s="83"/>
      <c r="K27" s="101"/>
      <c r="L27" s="83"/>
    </row>
    <row r="28" spans="2:20" hidden="1" x14ac:dyDescent="0.25">
      <c r="B28" s="57" t="s">
        <v>25</v>
      </c>
      <c r="C28" s="49"/>
      <c r="D28" s="49"/>
      <c r="E28" s="26"/>
      <c r="F28" s="181">
        <f>SUM(G28:V28)</f>
        <v>0</v>
      </c>
      <c r="G28" s="88"/>
      <c r="H28" s="104"/>
      <c r="I28" s="84"/>
      <c r="J28" s="84"/>
      <c r="K28" s="104"/>
      <c r="L28" s="84"/>
    </row>
    <row r="29" spans="2:20" x14ac:dyDescent="0.25">
      <c r="B29" s="57"/>
      <c r="C29" s="49"/>
      <c r="D29" s="49"/>
      <c r="E29" s="26"/>
      <c r="F29" s="26"/>
      <c r="G29" s="90"/>
      <c r="I29" s="22"/>
      <c r="J29" s="22"/>
      <c r="L29" s="22"/>
    </row>
    <row r="30" spans="2:20" x14ac:dyDescent="0.25">
      <c r="B30" s="58" t="s">
        <v>96</v>
      </c>
      <c r="C30" s="91"/>
      <c r="D30" s="52"/>
      <c r="E30" s="129">
        <v>3</v>
      </c>
      <c r="F30" s="129">
        <f t="shared" ref="F30:L30" si="3">SUM(F31:F41)</f>
        <v>5</v>
      </c>
      <c r="G30" s="92">
        <f t="shared" si="3"/>
        <v>0</v>
      </c>
      <c r="H30" s="52">
        <f t="shared" si="3"/>
        <v>1</v>
      </c>
      <c r="I30" s="92">
        <f t="shared" si="3"/>
        <v>0</v>
      </c>
      <c r="J30" s="92">
        <f t="shared" si="3"/>
        <v>1</v>
      </c>
      <c r="K30" s="52">
        <f t="shared" si="3"/>
        <v>1</v>
      </c>
      <c r="L30" s="92">
        <f t="shared" si="3"/>
        <v>2</v>
      </c>
      <c r="M30" s="52"/>
      <c r="N30" s="52"/>
      <c r="O30" s="52"/>
      <c r="P30" s="52"/>
      <c r="Q30" s="52"/>
      <c r="R30" s="52"/>
      <c r="S30" s="52"/>
      <c r="T30" s="52"/>
    </row>
    <row r="31" spans="2:20" hidden="1" x14ac:dyDescent="0.25">
      <c r="B31" s="57" t="s">
        <v>33</v>
      </c>
      <c r="C31" s="49"/>
      <c r="D31" s="49"/>
      <c r="E31" s="26"/>
      <c r="F31" s="199">
        <f t="shared" ref="F31:F41" si="4">SUM(G31:V31)</f>
        <v>0</v>
      </c>
      <c r="G31" s="186"/>
      <c r="H31" s="189"/>
      <c r="I31" s="186"/>
      <c r="J31" s="186"/>
      <c r="K31" s="189"/>
      <c r="L31" s="186"/>
    </row>
    <row r="32" spans="2:20" hidden="1" x14ac:dyDescent="0.25">
      <c r="B32" s="57" t="s">
        <v>34</v>
      </c>
      <c r="C32" s="49"/>
      <c r="D32" s="49"/>
      <c r="E32" s="26"/>
      <c r="F32" s="200">
        <f t="shared" si="4"/>
        <v>0</v>
      </c>
      <c r="G32" s="187"/>
      <c r="H32" s="191"/>
      <c r="I32" s="187"/>
      <c r="J32" s="187"/>
      <c r="K32" s="191"/>
      <c r="L32" s="187"/>
    </row>
    <row r="33" spans="2:20" x14ac:dyDescent="0.25">
      <c r="B33" s="57" t="s">
        <v>35</v>
      </c>
      <c r="C33" s="49"/>
      <c r="D33" s="49"/>
      <c r="E33" s="26"/>
      <c r="F33" s="199">
        <f t="shared" si="4"/>
        <v>2</v>
      </c>
      <c r="G33" s="186"/>
      <c r="H33" s="189"/>
      <c r="I33" s="186"/>
      <c r="J33" s="186"/>
      <c r="K33" s="189">
        <v>1</v>
      </c>
      <c r="L33" s="186">
        <v>1</v>
      </c>
    </row>
    <row r="34" spans="2:20" hidden="1" x14ac:dyDescent="0.25">
      <c r="B34" s="57" t="s">
        <v>36</v>
      </c>
      <c r="C34" s="49"/>
      <c r="D34" s="49"/>
      <c r="E34" s="26"/>
      <c r="F34" s="200">
        <f t="shared" si="4"/>
        <v>0</v>
      </c>
      <c r="G34" s="187"/>
      <c r="H34" s="191"/>
      <c r="I34" s="187"/>
      <c r="J34" s="187"/>
      <c r="K34" s="191"/>
      <c r="L34" s="187"/>
    </row>
    <row r="35" spans="2:20" hidden="1" x14ac:dyDescent="0.25">
      <c r="B35" s="57" t="s">
        <v>154</v>
      </c>
      <c r="C35" s="49"/>
      <c r="D35" s="49"/>
      <c r="E35" s="26"/>
      <c r="F35" s="200">
        <f t="shared" si="4"/>
        <v>0</v>
      </c>
      <c r="G35" s="187"/>
      <c r="H35" s="191"/>
      <c r="I35" s="187"/>
      <c r="J35" s="187"/>
      <c r="K35" s="191"/>
      <c r="L35" s="187"/>
    </row>
    <row r="36" spans="2:20" hidden="1" x14ac:dyDescent="0.25">
      <c r="B36" s="57" t="s">
        <v>38</v>
      </c>
      <c r="C36" s="49"/>
      <c r="D36" s="49"/>
      <c r="E36" s="26"/>
      <c r="F36" s="200">
        <f t="shared" si="4"/>
        <v>0</v>
      </c>
      <c r="G36" s="187"/>
      <c r="H36" s="191"/>
      <c r="I36" s="187"/>
      <c r="J36" s="187"/>
      <c r="K36" s="191"/>
      <c r="L36" s="187"/>
    </row>
    <row r="37" spans="2:20" x14ac:dyDescent="0.25">
      <c r="B37" s="57" t="s">
        <v>39</v>
      </c>
      <c r="C37" s="49" t="s">
        <v>7</v>
      </c>
      <c r="D37" s="49"/>
      <c r="E37" s="26"/>
      <c r="F37" s="200">
        <f t="shared" si="4"/>
        <v>1</v>
      </c>
      <c r="G37" s="187"/>
      <c r="H37" s="191">
        <v>1</v>
      </c>
      <c r="I37" s="187"/>
      <c r="J37" s="187"/>
      <c r="K37" s="191"/>
      <c r="L37" s="187"/>
    </row>
    <row r="38" spans="2:20" hidden="1" x14ac:dyDescent="0.25">
      <c r="B38" s="57" t="s">
        <v>143</v>
      </c>
      <c r="C38" s="49"/>
      <c r="D38" s="49"/>
      <c r="E38" s="26" t="s">
        <v>7</v>
      </c>
      <c r="F38" s="200">
        <f t="shared" si="4"/>
        <v>0</v>
      </c>
      <c r="G38" s="187"/>
      <c r="H38" s="191"/>
      <c r="I38" s="187"/>
      <c r="J38" s="187"/>
      <c r="K38" s="191"/>
      <c r="L38" s="187"/>
    </row>
    <row r="39" spans="2:20" x14ac:dyDescent="0.25">
      <c r="B39" s="57" t="s">
        <v>41</v>
      </c>
      <c r="C39" s="49"/>
      <c r="D39" s="49"/>
      <c r="E39" s="26"/>
      <c r="F39" s="201">
        <f t="shared" si="4"/>
        <v>2</v>
      </c>
      <c r="G39" s="188"/>
      <c r="H39" s="193"/>
      <c r="I39" s="188"/>
      <c r="J39" s="188">
        <v>1</v>
      </c>
      <c r="K39" s="193"/>
      <c r="L39" s="188">
        <v>1</v>
      </c>
    </row>
    <row r="40" spans="2:20" hidden="1" x14ac:dyDescent="0.25">
      <c r="B40" s="57" t="s">
        <v>99</v>
      </c>
      <c r="C40" s="49"/>
      <c r="D40" s="49"/>
      <c r="E40" s="26"/>
      <c r="F40" s="200">
        <f t="shared" si="4"/>
        <v>0</v>
      </c>
      <c r="G40" s="187"/>
      <c r="H40" s="191"/>
      <c r="I40" s="187"/>
      <c r="J40" s="187"/>
      <c r="K40" s="191"/>
      <c r="L40" s="187"/>
    </row>
    <row r="41" spans="2:20" hidden="1" x14ac:dyDescent="0.25">
      <c r="B41" s="57" t="s">
        <v>128</v>
      </c>
      <c r="C41" s="49"/>
      <c r="D41" s="49"/>
      <c r="E41" s="26"/>
      <c r="F41" s="201">
        <f t="shared" si="4"/>
        <v>0</v>
      </c>
      <c r="G41" s="188"/>
      <c r="H41" s="193"/>
      <c r="I41" s="188"/>
      <c r="J41" s="188"/>
      <c r="K41" s="193"/>
      <c r="L41" s="188"/>
    </row>
    <row r="42" spans="2:20" x14ac:dyDescent="0.25">
      <c r="B42" s="57" t="s">
        <v>7</v>
      </c>
      <c r="C42" s="49"/>
      <c r="D42" s="49"/>
      <c r="E42" s="26"/>
      <c r="F42" s="26"/>
      <c r="G42" s="90"/>
      <c r="I42" s="22"/>
      <c r="J42" s="22"/>
      <c r="L42" s="22"/>
    </row>
    <row r="43" spans="2:20" x14ac:dyDescent="0.25">
      <c r="B43" s="58" t="s">
        <v>125</v>
      </c>
      <c r="C43" s="91"/>
      <c r="D43" s="52"/>
      <c r="E43" s="129">
        <v>3</v>
      </c>
      <c r="F43" s="129">
        <f>SUM(F44:F54)</f>
        <v>4</v>
      </c>
      <c r="G43" s="92">
        <f>SUM(G44:G54)</f>
        <v>0</v>
      </c>
      <c r="H43" s="52">
        <f>SUM(H44:H54)</f>
        <v>0</v>
      </c>
      <c r="I43" s="92">
        <f t="shared" ref="I43:L43" si="5">SUM(I44:I54)</f>
        <v>0</v>
      </c>
      <c r="J43" s="92">
        <f t="shared" si="5"/>
        <v>2</v>
      </c>
      <c r="K43" s="52">
        <f t="shared" si="5"/>
        <v>1</v>
      </c>
      <c r="L43" s="92">
        <f t="shared" si="5"/>
        <v>1</v>
      </c>
      <c r="M43" s="52"/>
      <c r="N43" s="52"/>
      <c r="O43" s="52"/>
      <c r="P43" s="52"/>
      <c r="Q43" s="52"/>
      <c r="R43" s="52"/>
      <c r="S43" s="52"/>
      <c r="T43" s="52"/>
    </row>
    <row r="44" spans="2:20" hidden="1" x14ac:dyDescent="0.25">
      <c r="B44" s="57" t="s">
        <v>98</v>
      </c>
      <c r="C44" s="49"/>
      <c r="D44" s="49"/>
      <c r="E44" s="26"/>
      <c r="F44" s="200">
        <f t="shared" ref="F44:F54" si="6">SUM(G44:V44)</f>
        <v>0</v>
      </c>
      <c r="G44" s="195"/>
      <c r="H44" s="191"/>
      <c r="I44" s="187"/>
      <c r="J44" s="187"/>
      <c r="K44" s="191"/>
      <c r="L44" s="187"/>
    </row>
    <row r="45" spans="2:20" hidden="1" x14ac:dyDescent="0.25">
      <c r="B45" s="57" t="s">
        <v>43</v>
      </c>
      <c r="C45" s="49"/>
      <c r="D45" s="49"/>
      <c r="E45" s="26"/>
      <c r="F45" s="200">
        <f t="shared" si="6"/>
        <v>0</v>
      </c>
      <c r="G45" s="187"/>
      <c r="H45" s="191"/>
      <c r="I45" s="187"/>
      <c r="J45" s="187"/>
      <c r="K45" s="191"/>
      <c r="L45" s="187"/>
    </row>
    <row r="46" spans="2:20" hidden="1" x14ac:dyDescent="0.25">
      <c r="B46" s="57" t="s">
        <v>129</v>
      </c>
      <c r="C46" s="49"/>
      <c r="D46" s="49"/>
      <c r="E46" s="26"/>
      <c r="F46" s="200">
        <f t="shared" si="6"/>
        <v>0</v>
      </c>
      <c r="G46" s="187"/>
      <c r="H46" s="191"/>
      <c r="I46" s="187"/>
      <c r="J46" s="187"/>
      <c r="K46" s="191"/>
      <c r="L46" s="187"/>
    </row>
    <row r="47" spans="2:20" hidden="1" x14ac:dyDescent="0.25">
      <c r="B47" s="57" t="s">
        <v>45</v>
      </c>
      <c r="C47" s="49"/>
      <c r="D47" s="49"/>
      <c r="E47" s="26"/>
      <c r="F47" s="200">
        <f t="shared" si="6"/>
        <v>0</v>
      </c>
      <c r="G47" s="195"/>
      <c r="H47" s="191"/>
      <c r="I47" s="187"/>
      <c r="J47" s="187"/>
      <c r="K47" s="191"/>
      <c r="L47" s="187"/>
    </row>
    <row r="48" spans="2:20" x14ac:dyDescent="0.25">
      <c r="B48" s="57" t="s">
        <v>46</v>
      </c>
      <c r="C48" s="49"/>
      <c r="D48" s="49"/>
      <c r="E48" s="26"/>
      <c r="F48" s="199">
        <f t="shared" si="6"/>
        <v>2</v>
      </c>
      <c r="G48" s="186"/>
      <c r="H48" s="189"/>
      <c r="I48" s="186"/>
      <c r="J48" s="186">
        <v>1</v>
      </c>
      <c r="K48" s="189">
        <v>1</v>
      </c>
      <c r="L48" s="186"/>
    </row>
    <row r="49" spans="2:20" hidden="1" x14ac:dyDescent="0.25">
      <c r="B49" s="57" t="s">
        <v>47</v>
      </c>
      <c r="C49" s="49"/>
      <c r="D49" s="49"/>
      <c r="E49" s="26"/>
      <c r="F49" s="200">
        <f t="shared" si="6"/>
        <v>0</v>
      </c>
      <c r="G49" s="195"/>
      <c r="H49" s="191"/>
      <c r="I49" s="187"/>
      <c r="J49" s="187"/>
      <c r="K49" s="191"/>
      <c r="L49" s="187"/>
    </row>
    <row r="50" spans="2:20" x14ac:dyDescent="0.25">
      <c r="B50" s="57" t="s">
        <v>48</v>
      </c>
      <c r="C50" s="49"/>
      <c r="D50" s="49"/>
      <c r="E50" s="26"/>
      <c r="F50" s="200">
        <f t="shared" si="6"/>
        <v>0</v>
      </c>
      <c r="G50" s="187"/>
      <c r="H50" s="191"/>
      <c r="I50" s="187"/>
      <c r="J50" s="187"/>
      <c r="K50" s="191"/>
      <c r="L50" s="187"/>
    </row>
    <row r="51" spans="2:20" hidden="1" x14ac:dyDescent="0.25">
      <c r="B51" s="57" t="s">
        <v>49</v>
      </c>
      <c r="C51" s="49"/>
      <c r="D51" s="49"/>
      <c r="E51" s="26"/>
      <c r="F51" s="200">
        <f t="shared" si="6"/>
        <v>0</v>
      </c>
      <c r="G51" s="187"/>
      <c r="H51" s="191"/>
      <c r="I51" s="187"/>
      <c r="J51" s="187"/>
      <c r="K51" s="191"/>
      <c r="L51" s="187"/>
    </row>
    <row r="52" spans="2:20" x14ac:dyDescent="0.25">
      <c r="B52" s="57" t="s">
        <v>123</v>
      </c>
      <c r="C52" s="49"/>
      <c r="D52" s="49" t="s">
        <v>7</v>
      </c>
      <c r="E52" s="26"/>
      <c r="F52" s="201">
        <f t="shared" si="6"/>
        <v>2</v>
      </c>
      <c r="G52" s="188"/>
      <c r="H52" s="193"/>
      <c r="I52" s="188"/>
      <c r="J52" s="188">
        <v>1</v>
      </c>
      <c r="K52" s="193"/>
      <c r="L52" s="188">
        <v>1</v>
      </c>
    </row>
    <row r="53" spans="2:20" hidden="1" x14ac:dyDescent="0.25">
      <c r="B53" s="57" t="s">
        <v>51</v>
      </c>
      <c r="C53" s="49"/>
      <c r="D53" s="49"/>
      <c r="E53" s="26"/>
      <c r="F53" s="200">
        <f t="shared" si="6"/>
        <v>0</v>
      </c>
      <c r="G53" s="187"/>
      <c r="H53" s="191"/>
      <c r="I53" s="187"/>
      <c r="J53" s="187"/>
      <c r="K53" s="191"/>
      <c r="L53" s="187"/>
    </row>
    <row r="54" spans="2:20" hidden="1" x14ac:dyDescent="0.25">
      <c r="B54" s="57" t="s">
        <v>52</v>
      </c>
      <c r="C54" s="49"/>
      <c r="D54" s="49"/>
      <c r="E54" s="26"/>
      <c r="F54" s="201">
        <f t="shared" si="6"/>
        <v>0</v>
      </c>
      <c r="G54" s="196"/>
      <c r="H54" s="193"/>
      <c r="I54" s="188"/>
      <c r="J54" s="188"/>
      <c r="K54" s="193"/>
      <c r="L54" s="188"/>
    </row>
    <row r="55" spans="2:20" x14ac:dyDescent="0.25">
      <c r="B55" s="57"/>
      <c r="C55" s="49"/>
      <c r="D55" s="49"/>
      <c r="E55" s="26"/>
      <c r="F55" s="26"/>
      <c r="G55" s="90"/>
      <c r="I55" s="22"/>
      <c r="J55" s="22"/>
      <c r="L55" s="22"/>
    </row>
    <row r="56" spans="2:20" hidden="1" x14ac:dyDescent="0.25">
      <c r="B56" s="58" t="s">
        <v>328</v>
      </c>
      <c r="C56" s="91"/>
      <c r="D56" s="52"/>
      <c r="E56" s="129"/>
      <c r="F56" s="129">
        <f t="shared" ref="F56:L56" si="7">SUM(F57:F61)</f>
        <v>0</v>
      </c>
      <c r="G56" s="92">
        <f t="shared" si="7"/>
        <v>0</v>
      </c>
      <c r="H56" s="52">
        <f t="shared" si="7"/>
        <v>0</v>
      </c>
      <c r="I56" s="92">
        <f t="shared" si="7"/>
        <v>0</v>
      </c>
      <c r="J56" s="92">
        <f t="shared" si="7"/>
        <v>0</v>
      </c>
      <c r="K56" s="52">
        <f t="shared" si="7"/>
        <v>0</v>
      </c>
      <c r="L56" s="92">
        <f t="shared" si="7"/>
        <v>0</v>
      </c>
      <c r="M56" s="52"/>
      <c r="N56" s="52"/>
      <c r="O56" s="52"/>
      <c r="P56" s="52"/>
      <c r="Q56" s="52"/>
      <c r="R56" s="52"/>
      <c r="S56" s="52"/>
      <c r="T56" s="52"/>
    </row>
    <row r="57" spans="2:20" hidden="1" x14ac:dyDescent="0.25">
      <c r="B57" s="57" t="s">
        <v>53</v>
      </c>
      <c r="C57" s="49"/>
      <c r="D57" s="49"/>
      <c r="E57" s="26"/>
      <c r="F57" s="199">
        <f>SUM(G57:V57)</f>
        <v>0</v>
      </c>
      <c r="G57" s="186"/>
      <c r="H57" s="189"/>
      <c r="I57" s="186"/>
      <c r="J57" s="186"/>
      <c r="K57" s="189"/>
      <c r="L57" s="186"/>
    </row>
    <row r="58" spans="2:20" hidden="1" x14ac:dyDescent="0.25">
      <c r="B58" s="57" t="s">
        <v>54</v>
      </c>
      <c r="C58" s="49"/>
      <c r="D58" s="49"/>
      <c r="E58" s="26"/>
      <c r="F58" s="200">
        <f>SUM(G58:V58)</f>
        <v>0</v>
      </c>
      <c r="G58" s="195"/>
      <c r="H58" s="191"/>
      <c r="I58" s="187"/>
      <c r="J58" s="187"/>
      <c r="K58" s="191"/>
      <c r="L58" s="187"/>
    </row>
    <row r="59" spans="2:20" hidden="1" x14ac:dyDescent="0.25">
      <c r="B59" s="57" t="s">
        <v>55</v>
      </c>
      <c r="C59" s="49"/>
      <c r="D59" s="49"/>
      <c r="E59" s="26"/>
      <c r="F59" s="200">
        <f>SUM(G59:V59)</f>
        <v>0</v>
      </c>
      <c r="G59" s="195"/>
      <c r="H59" s="191"/>
      <c r="I59" s="187"/>
      <c r="J59" s="187"/>
      <c r="K59" s="191"/>
      <c r="L59" s="187"/>
    </row>
    <row r="60" spans="2:20" hidden="1" x14ac:dyDescent="0.25">
      <c r="B60" s="57" t="s">
        <v>100</v>
      </c>
      <c r="C60" s="49"/>
      <c r="D60" s="49"/>
      <c r="E60" s="26"/>
      <c r="F60" s="200">
        <f>SUM(G60:V60)</f>
        <v>0</v>
      </c>
      <c r="G60" s="195"/>
      <c r="H60" s="191"/>
      <c r="I60" s="187"/>
      <c r="J60" s="187"/>
      <c r="K60" s="191"/>
      <c r="L60" s="187"/>
    </row>
    <row r="61" spans="2:20" hidden="1" x14ac:dyDescent="0.25">
      <c r="B61" s="57" t="s">
        <v>57</v>
      </c>
      <c r="C61" s="49"/>
      <c r="D61" s="49"/>
      <c r="E61" s="26"/>
      <c r="F61" s="201">
        <f>SUM(G61:V61)</f>
        <v>0</v>
      </c>
      <c r="G61" s="188"/>
      <c r="H61" s="193"/>
      <c r="I61" s="188"/>
      <c r="J61" s="188"/>
      <c r="K61" s="193"/>
      <c r="L61" s="188"/>
    </row>
    <row r="62" spans="2:20" hidden="1" x14ac:dyDescent="0.25">
      <c r="B62" s="57"/>
      <c r="C62" s="49"/>
      <c r="D62" s="49"/>
      <c r="E62" s="26"/>
      <c r="F62" s="25"/>
      <c r="G62" s="89"/>
      <c r="H62" s="125"/>
      <c r="I62" s="21"/>
      <c r="J62" s="22"/>
      <c r="L62" s="22"/>
    </row>
    <row r="63" spans="2:20" x14ac:dyDescent="0.25">
      <c r="B63" s="58" t="s">
        <v>101</v>
      </c>
      <c r="C63" s="91"/>
      <c r="D63" s="52"/>
      <c r="E63" s="129">
        <v>2</v>
      </c>
      <c r="F63" s="309">
        <f t="shared" ref="F63:L63" si="8">SUM(F64:F90)</f>
        <v>2</v>
      </c>
      <c r="G63" s="94">
        <f t="shared" si="8"/>
        <v>0</v>
      </c>
      <c r="H63" s="159">
        <f t="shared" si="8"/>
        <v>0</v>
      </c>
      <c r="I63" s="94">
        <f t="shared" si="8"/>
        <v>1</v>
      </c>
      <c r="J63" s="92">
        <f t="shared" si="8"/>
        <v>0</v>
      </c>
      <c r="K63" s="52">
        <f t="shared" si="8"/>
        <v>1</v>
      </c>
      <c r="L63" s="92">
        <f t="shared" si="8"/>
        <v>0</v>
      </c>
      <c r="M63" s="52"/>
      <c r="N63" s="52"/>
      <c r="O63" s="52"/>
      <c r="P63" s="52"/>
      <c r="Q63" s="52"/>
      <c r="R63" s="52"/>
      <c r="S63" s="52"/>
      <c r="T63" s="52"/>
    </row>
    <row r="64" spans="2:20" hidden="1" x14ac:dyDescent="0.25">
      <c r="B64" s="57" t="s">
        <v>59</v>
      </c>
      <c r="C64" s="49"/>
      <c r="D64" s="49"/>
      <c r="E64" s="26"/>
      <c r="F64" s="199">
        <f t="shared" ref="F64:F90" si="9">SUM(G64:V64)</f>
        <v>0</v>
      </c>
      <c r="G64" s="202"/>
      <c r="H64" s="189"/>
      <c r="I64" s="186"/>
      <c r="J64" s="186"/>
      <c r="K64" s="189"/>
      <c r="L64" s="186"/>
    </row>
    <row r="65" spans="2:12" hidden="1" x14ac:dyDescent="0.25">
      <c r="B65" s="57" t="s">
        <v>60</v>
      </c>
      <c r="C65" s="49"/>
      <c r="D65" s="49"/>
      <c r="E65" s="26"/>
      <c r="F65" s="200">
        <f t="shared" si="9"/>
        <v>0</v>
      </c>
      <c r="G65" s="187"/>
      <c r="H65" s="191"/>
      <c r="I65" s="187"/>
      <c r="J65" s="187"/>
      <c r="K65" s="191"/>
      <c r="L65" s="187"/>
    </row>
    <row r="66" spans="2:12" x14ac:dyDescent="0.25">
      <c r="B66" s="57" t="s">
        <v>61</v>
      </c>
      <c r="C66" s="49"/>
      <c r="D66" s="49"/>
      <c r="E66" s="26"/>
      <c r="F66" s="199">
        <f t="shared" si="9"/>
        <v>1</v>
      </c>
      <c r="G66" s="202"/>
      <c r="H66" s="189"/>
      <c r="I66" s="186"/>
      <c r="J66" s="186"/>
      <c r="K66" s="189">
        <v>1</v>
      </c>
      <c r="L66" s="186"/>
    </row>
    <row r="67" spans="2:12" hidden="1" x14ac:dyDescent="0.25">
      <c r="B67" s="57" t="s">
        <v>62</v>
      </c>
      <c r="C67" s="49"/>
      <c r="D67" s="49"/>
      <c r="E67" s="26"/>
      <c r="F67" s="200">
        <f t="shared" si="9"/>
        <v>0</v>
      </c>
      <c r="G67" s="195"/>
      <c r="H67" s="191"/>
      <c r="I67" s="187"/>
      <c r="J67" s="187"/>
      <c r="K67" s="191"/>
      <c r="L67" s="187"/>
    </row>
    <row r="68" spans="2:12" hidden="1" x14ac:dyDescent="0.25">
      <c r="B68" s="57" t="s">
        <v>63</v>
      </c>
      <c r="C68" s="49"/>
      <c r="D68" s="49"/>
      <c r="E68" s="26"/>
      <c r="F68" s="200">
        <f t="shared" si="9"/>
        <v>0</v>
      </c>
      <c r="G68" s="187"/>
      <c r="H68" s="191"/>
      <c r="I68" s="187"/>
      <c r="J68" s="187"/>
      <c r="K68" s="191"/>
      <c r="L68" s="187"/>
    </row>
    <row r="69" spans="2:12" x14ac:dyDescent="0.25">
      <c r="B69" s="57" t="s">
        <v>64</v>
      </c>
      <c r="C69" s="49"/>
      <c r="D69" s="49"/>
      <c r="E69" s="26"/>
      <c r="F69" s="201">
        <f t="shared" si="9"/>
        <v>1</v>
      </c>
      <c r="G69" s="188"/>
      <c r="H69" s="193"/>
      <c r="I69" s="188">
        <v>1</v>
      </c>
      <c r="J69" s="188"/>
      <c r="K69" s="193"/>
      <c r="L69" s="188"/>
    </row>
    <row r="70" spans="2:12" hidden="1" x14ac:dyDescent="0.25">
      <c r="B70" s="57" t="s">
        <v>65</v>
      </c>
      <c r="C70" s="49"/>
      <c r="D70" s="49"/>
      <c r="E70" s="26"/>
      <c r="F70" s="200">
        <f t="shared" si="9"/>
        <v>0</v>
      </c>
      <c r="G70" s="187"/>
      <c r="H70" s="191"/>
      <c r="I70" s="187"/>
      <c r="J70" s="187"/>
      <c r="K70" s="191"/>
      <c r="L70" s="187"/>
    </row>
    <row r="71" spans="2:12" hidden="1" x14ac:dyDescent="0.25">
      <c r="B71" s="57" t="s">
        <v>66</v>
      </c>
      <c r="C71" s="49"/>
      <c r="D71" s="49"/>
      <c r="E71" s="26"/>
      <c r="F71" s="200">
        <f t="shared" si="9"/>
        <v>0</v>
      </c>
      <c r="G71" s="187"/>
      <c r="H71" s="191"/>
      <c r="I71" s="187"/>
      <c r="J71" s="187"/>
      <c r="K71" s="191"/>
      <c r="L71" s="187"/>
    </row>
    <row r="72" spans="2:12" hidden="1" x14ac:dyDescent="0.25">
      <c r="B72" s="57" t="s">
        <v>67</v>
      </c>
      <c r="C72" s="49"/>
      <c r="D72" s="49"/>
      <c r="E72" s="26"/>
      <c r="F72" s="200">
        <f t="shared" si="9"/>
        <v>0</v>
      </c>
      <c r="G72" s="195"/>
      <c r="H72" s="191"/>
      <c r="I72" s="187"/>
      <c r="J72" s="187"/>
      <c r="K72" s="191"/>
      <c r="L72" s="187"/>
    </row>
    <row r="73" spans="2:12" hidden="1" x14ac:dyDescent="0.25">
      <c r="B73" s="57" t="s">
        <v>144</v>
      </c>
      <c r="C73" s="49"/>
      <c r="D73" s="49"/>
      <c r="E73" s="26"/>
      <c r="F73" s="200">
        <f t="shared" si="9"/>
        <v>0</v>
      </c>
      <c r="G73" s="187"/>
      <c r="H73" s="191"/>
      <c r="I73" s="187"/>
      <c r="J73" s="187"/>
      <c r="K73" s="191"/>
      <c r="L73" s="187"/>
    </row>
    <row r="74" spans="2:12" hidden="1" x14ac:dyDescent="0.25">
      <c r="B74" s="57" t="s">
        <v>69</v>
      </c>
      <c r="C74" s="49"/>
      <c r="D74" s="49"/>
      <c r="E74" s="26"/>
      <c r="F74" s="200">
        <f t="shared" si="9"/>
        <v>0</v>
      </c>
      <c r="G74" s="195"/>
      <c r="H74" s="191"/>
      <c r="I74" s="187"/>
      <c r="J74" s="187"/>
      <c r="K74" s="191"/>
      <c r="L74" s="187"/>
    </row>
    <row r="75" spans="2:12" hidden="1" x14ac:dyDescent="0.25">
      <c r="B75" s="57" t="s">
        <v>389</v>
      </c>
      <c r="C75" s="49"/>
      <c r="D75" s="49"/>
      <c r="E75" s="26"/>
      <c r="F75" s="200">
        <f t="shared" si="9"/>
        <v>0</v>
      </c>
      <c r="G75" s="187"/>
      <c r="H75" s="191"/>
      <c r="I75" s="187"/>
      <c r="J75" s="187"/>
      <c r="K75" s="191"/>
      <c r="L75" s="187"/>
    </row>
    <row r="76" spans="2:12" hidden="1" x14ac:dyDescent="0.25">
      <c r="B76" s="57" t="s">
        <v>71</v>
      </c>
      <c r="C76" s="49"/>
      <c r="D76" s="49"/>
      <c r="E76" s="26"/>
      <c r="F76" s="200">
        <f t="shared" si="9"/>
        <v>0</v>
      </c>
      <c r="G76" s="195"/>
      <c r="H76" s="191"/>
      <c r="I76" s="187"/>
      <c r="J76" s="187"/>
      <c r="K76" s="191"/>
      <c r="L76" s="187"/>
    </row>
    <row r="77" spans="2:12" hidden="1" x14ac:dyDescent="0.25">
      <c r="B77" s="57" t="s">
        <v>72</v>
      </c>
      <c r="C77" s="49"/>
      <c r="D77" s="49"/>
      <c r="E77" s="26"/>
      <c r="F77" s="200">
        <f t="shared" si="9"/>
        <v>0</v>
      </c>
      <c r="G77" s="195"/>
      <c r="H77" s="191"/>
      <c r="I77" s="187"/>
      <c r="J77" s="187"/>
      <c r="K77" s="191"/>
      <c r="L77" s="187"/>
    </row>
    <row r="78" spans="2:12" hidden="1" x14ac:dyDescent="0.25">
      <c r="B78" s="57" t="s">
        <v>130</v>
      </c>
      <c r="C78" s="49"/>
      <c r="D78" s="49"/>
      <c r="E78" s="26"/>
      <c r="F78" s="200">
        <f t="shared" si="9"/>
        <v>0</v>
      </c>
      <c r="G78" s="195"/>
      <c r="H78" s="191"/>
      <c r="I78" s="187"/>
      <c r="J78" s="187"/>
      <c r="K78" s="191"/>
      <c r="L78" s="187"/>
    </row>
    <row r="79" spans="2:12" hidden="1" x14ac:dyDescent="0.25">
      <c r="B79" s="57" t="s">
        <v>102</v>
      </c>
      <c r="C79" s="49"/>
      <c r="D79" s="49"/>
      <c r="E79" s="26"/>
      <c r="F79" s="200">
        <f t="shared" si="9"/>
        <v>0</v>
      </c>
      <c r="G79" s="187"/>
      <c r="H79" s="191"/>
      <c r="I79" s="187"/>
      <c r="J79" s="187"/>
      <c r="K79" s="191"/>
      <c r="L79" s="187"/>
    </row>
    <row r="80" spans="2:12" hidden="1" x14ac:dyDescent="0.25">
      <c r="B80" s="57" t="s">
        <v>103</v>
      </c>
      <c r="C80" s="49"/>
      <c r="D80" s="49"/>
      <c r="E80" s="26"/>
      <c r="F80" s="200">
        <f t="shared" si="9"/>
        <v>0</v>
      </c>
      <c r="G80" s="187"/>
      <c r="H80" s="191"/>
      <c r="I80" s="187"/>
      <c r="J80" s="187"/>
      <c r="K80" s="191"/>
      <c r="L80" s="187"/>
    </row>
    <row r="81" spans="2:20" hidden="1" x14ac:dyDescent="0.25">
      <c r="B81" s="57" t="s">
        <v>91</v>
      </c>
      <c r="C81" s="49"/>
      <c r="D81" s="49"/>
      <c r="E81" s="26"/>
      <c r="F81" s="200">
        <f t="shared" si="9"/>
        <v>0</v>
      </c>
      <c r="G81" s="195"/>
      <c r="H81" s="191"/>
      <c r="I81" s="187"/>
      <c r="J81" s="187"/>
      <c r="K81" s="191"/>
      <c r="L81" s="187"/>
    </row>
    <row r="82" spans="2:20" hidden="1" x14ac:dyDescent="0.25">
      <c r="B82" s="57" t="s">
        <v>73</v>
      </c>
      <c r="C82" s="49"/>
      <c r="D82" s="49"/>
      <c r="E82" s="26"/>
      <c r="F82" s="200">
        <f t="shared" si="9"/>
        <v>0</v>
      </c>
      <c r="G82" s="195"/>
      <c r="H82" s="191"/>
      <c r="I82" s="187"/>
      <c r="J82" s="187"/>
      <c r="K82" s="191"/>
      <c r="L82" s="187"/>
    </row>
    <row r="83" spans="2:20" hidden="1" x14ac:dyDescent="0.25">
      <c r="B83" s="57" t="s">
        <v>74</v>
      </c>
      <c r="C83" s="49"/>
      <c r="D83" s="49"/>
      <c r="E83" s="26"/>
      <c r="F83" s="200">
        <f t="shared" si="9"/>
        <v>0</v>
      </c>
      <c r="G83" s="187"/>
      <c r="H83" s="191"/>
      <c r="I83" s="187"/>
      <c r="J83" s="187"/>
      <c r="K83" s="191"/>
      <c r="L83" s="187"/>
    </row>
    <row r="84" spans="2:20" hidden="1" x14ac:dyDescent="0.25">
      <c r="B84" s="57" t="s">
        <v>104</v>
      </c>
      <c r="C84" s="49"/>
      <c r="D84" s="49"/>
      <c r="E84" s="26"/>
      <c r="F84" s="200">
        <f t="shared" si="9"/>
        <v>0</v>
      </c>
      <c r="G84" s="187"/>
      <c r="H84" s="191"/>
      <c r="I84" s="187"/>
      <c r="J84" s="187"/>
      <c r="K84" s="191"/>
      <c r="L84" s="187"/>
    </row>
    <row r="85" spans="2:20" hidden="1" x14ac:dyDescent="0.25">
      <c r="B85" s="57" t="s">
        <v>75</v>
      </c>
      <c r="C85" s="49"/>
      <c r="D85" s="49"/>
      <c r="E85" s="26"/>
      <c r="F85" s="200">
        <f t="shared" si="9"/>
        <v>0</v>
      </c>
      <c r="G85" s="187"/>
      <c r="H85" s="191"/>
      <c r="I85" s="187"/>
      <c r="J85" s="187"/>
      <c r="K85" s="191"/>
      <c r="L85" s="187"/>
    </row>
    <row r="86" spans="2:20" hidden="1" x14ac:dyDescent="0.25">
      <c r="B86" s="57" t="s">
        <v>131</v>
      </c>
      <c r="C86" s="49"/>
      <c r="D86" s="49"/>
      <c r="E86" s="26"/>
      <c r="F86" s="200">
        <f t="shared" si="9"/>
        <v>0</v>
      </c>
      <c r="G86" s="195"/>
      <c r="H86" s="191"/>
      <c r="I86" s="187"/>
      <c r="J86" s="187"/>
      <c r="K86" s="191"/>
      <c r="L86" s="187"/>
    </row>
    <row r="87" spans="2:20" hidden="1" x14ac:dyDescent="0.25">
      <c r="B87" s="57" t="s">
        <v>77</v>
      </c>
      <c r="C87" s="49"/>
      <c r="D87" s="49"/>
      <c r="E87" s="26"/>
      <c r="F87" s="200">
        <f t="shared" si="9"/>
        <v>0</v>
      </c>
      <c r="G87" s="187"/>
      <c r="H87" s="191"/>
      <c r="I87" s="187"/>
      <c r="J87" s="187"/>
      <c r="K87" s="191"/>
      <c r="L87" s="187"/>
    </row>
    <row r="88" spans="2:20" hidden="1" x14ac:dyDescent="0.25">
      <c r="B88" s="57" t="s">
        <v>78</v>
      </c>
      <c r="C88" s="49"/>
      <c r="D88" s="49"/>
      <c r="E88" s="26"/>
      <c r="F88" s="200">
        <f t="shared" si="9"/>
        <v>0</v>
      </c>
      <c r="G88" s="187"/>
      <c r="H88" s="191"/>
      <c r="I88" s="187"/>
      <c r="J88" s="187"/>
      <c r="K88" s="191"/>
      <c r="L88" s="187"/>
    </row>
    <row r="89" spans="2:20" hidden="1" x14ac:dyDescent="0.25">
      <c r="B89" s="57" t="s">
        <v>79</v>
      </c>
      <c r="C89" s="49"/>
      <c r="D89" s="49"/>
      <c r="E89" s="26"/>
      <c r="F89" s="200">
        <f t="shared" si="9"/>
        <v>0</v>
      </c>
      <c r="G89" s="187"/>
      <c r="H89" s="191"/>
      <c r="I89" s="187"/>
      <c r="J89" s="187"/>
      <c r="K89" s="191"/>
      <c r="L89" s="187"/>
    </row>
    <row r="90" spans="2:20" hidden="1" x14ac:dyDescent="0.25">
      <c r="B90" s="57" t="s">
        <v>198</v>
      </c>
      <c r="C90" s="49"/>
      <c r="D90" s="49"/>
      <c r="E90" s="26"/>
      <c r="F90" s="201">
        <f t="shared" si="9"/>
        <v>0</v>
      </c>
      <c r="G90" s="188"/>
      <c r="H90" s="193"/>
      <c r="I90" s="188"/>
      <c r="J90" s="188"/>
      <c r="K90" s="193"/>
      <c r="L90" s="188"/>
    </row>
    <row r="91" spans="2:20" hidden="1" x14ac:dyDescent="0.25">
      <c r="B91" s="57"/>
      <c r="C91" s="49"/>
      <c r="D91" s="49"/>
      <c r="E91" s="26"/>
      <c r="F91" s="25"/>
      <c r="G91" s="89"/>
      <c r="H91" s="125"/>
      <c r="I91" s="21"/>
      <c r="J91" s="21"/>
      <c r="K91" s="125"/>
      <c r="L91" s="21"/>
    </row>
    <row r="92" spans="2:20" hidden="1" x14ac:dyDescent="0.25">
      <c r="B92" s="58" t="s">
        <v>0</v>
      </c>
      <c r="C92" s="91"/>
      <c r="D92" s="52"/>
      <c r="E92" s="354"/>
      <c r="F92" s="309">
        <f>SUM(F94:F99)</f>
        <v>0</v>
      </c>
      <c r="G92" s="94">
        <f>SUM(G94:G99)</f>
        <v>0</v>
      </c>
      <c r="H92" s="159">
        <f t="shared" ref="H92:L92" si="10">SUM(H94:H99)</f>
        <v>0</v>
      </c>
      <c r="I92" s="94">
        <f t="shared" si="10"/>
        <v>0</v>
      </c>
      <c r="J92" s="94">
        <f t="shared" si="10"/>
        <v>0</v>
      </c>
      <c r="K92" s="159">
        <f t="shared" si="10"/>
        <v>0</v>
      </c>
      <c r="L92" s="94">
        <f t="shared" si="10"/>
        <v>0</v>
      </c>
      <c r="M92" s="52"/>
      <c r="N92" s="52"/>
      <c r="O92" s="52"/>
      <c r="P92" s="52"/>
      <c r="Q92" s="52"/>
      <c r="R92" s="52"/>
      <c r="S92" s="52"/>
      <c r="T92" s="52"/>
    </row>
    <row r="93" spans="2:20" hidden="1" x14ac:dyDescent="0.25">
      <c r="B93" s="57" t="s">
        <v>127</v>
      </c>
      <c r="C93" s="49"/>
      <c r="D93" s="49"/>
      <c r="E93" s="324"/>
      <c r="F93" s="199">
        <f>SUM(G93:V93)</f>
        <v>0</v>
      </c>
      <c r="G93" s="202"/>
      <c r="H93" s="189"/>
      <c r="I93" s="186"/>
      <c r="J93" s="186"/>
      <c r="K93" s="189"/>
      <c r="L93" s="186"/>
    </row>
    <row r="94" spans="2:20" hidden="1" x14ac:dyDescent="0.25">
      <c r="B94" s="57" t="s">
        <v>81</v>
      </c>
      <c r="C94" s="49"/>
      <c r="D94" s="49"/>
      <c r="E94" s="324"/>
      <c r="F94" s="200">
        <f t="shared" ref="F94:F98" si="11">SUM(G94:V94)</f>
        <v>0</v>
      </c>
      <c r="G94" s="195"/>
      <c r="H94" s="191"/>
      <c r="I94" s="187"/>
      <c r="J94" s="187"/>
      <c r="K94" s="191"/>
      <c r="L94" s="187"/>
    </row>
    <row r="95" spans="2:20" hidden="1" x14ac:dyDescent="0.25">
      <c r="B95" s="57" t="s">
        <v>82</v>
      </c>
      <c r="C95" s="49"/>
      <c r="D95" s="49"/>
      <c r="E95" s="324"/>
      <c r="F95" s="200">
        <f t="shared" si="11"/>
        <v>0</v>
      </c>
      <c r="G95" s="195"/>
      <c r="H95" s="191"/>
      <c r="I95" s="187"/>
      <c r="J95" s="187"/>
      <c r="K95" s="191"/>
      <c r="L95" s="187"/>
    </row>
    <row r="96" spans="2:20" hidden="1" x14ac:dyDescent="0.25">
      <c r="B96" s="57" t="s">
        <v>83</v>
      </c>
      <c r="C96" s="49"/>
      <c r="D96" s="49"/>
      <c r="E96" s="324"/>
      <c r="F96" s="200">
        <f t="shared" si="11"/>
        <v>0</v>
      </c>
      <c r="G96" s="195"/>
      <c r="H96" s="191"/>
      <c r="I96" s="187"/>
      <c r="J96" s="187"/>
      <c r="K96" s="191"/>
      <c r="L96" s="187"/>
    </row>
    <row r="97" spans="2:12" hidden="1" x14ac:dyDescent="0.25">
      <c r="B97" s="57" t="s">
        <v>84</v>
      </c>
      <c r="C97" s="49"/>
      <c r="D97" s="49"/>
      <c r="E97" s="324"/>
      <c r="F97" s="200">
        <f t="shared" si="11"/>
        <v>0</v>
      </c>
      <c r="G97" s="195"/>
      <c r="H97" s="191"/>
      <c r="I97" s="187"/>
      <c r="J97" s="187"/>
      <c r="K97" s="191"/>
      <c r="L97" s="187"/>
    </row>
    <row r="98" spans="2:12" hidden="1" x14ac:dyDescent="0.25">
      <c r="B98" s="57" t="s">
        <v>85</v>
      </c>
      <c r="C98" s="49"/>
      <c r="D98" s="49"/>
      <c r="E98" s="324"/>
      <c r="F98" s="200">
        <f t="shared" si="11"/>
        <v>0</v>
      </c>
      <c r="G98" s="195"/>
      <c r="H98" s="191"/>
      <c r="I98" s="187"/>
      <c r="J98" s="187"/>
      <c r="K98" s="191"/>
      <c r="L98" s="187"/>
    </row>
    <row r="99" spans="2:12" hidden="1" x14ac:dyDescent="0.25">
      <c r="B99" s="57" t="s">
        <v>87</v>
      </c>
      <c r="C99" s="49"/>
      <c r="D99" s="49"/>
      <c r="E99" s="324"/>
      <c r="F99" s="201">
        <f>SUM(G99:V99)</f>
        <v>0</v>
      </c>
      <c r="G99" s="196"/>
      <c r="H99" s="193"/>
      <c r="I99" s="188"/>
      <c r="J99" s="188"/>
      <c r="K99" s="193"/>
      <c r="L99" s="188"/>
    </row>
    <row r="100" spans="2:12" x14ac:dyDescent="0.25">
      <c r="B100" s="61"/>
      <c r="C100" s="55"/>
      <c r="D100" s="55"/>
      <c r="E100" s="342"/>
      <c r="F100" s="331"/>
      <c r="G100" s="127"/>
      <c r="H100" s="343"/>
      <c r="I100" s="23"/>
      <c r="J100" s="23"/>
      <c r="K100" s="99"/>
      <c r="L100" s="23"/>
    </row>
    <row r="102" spans="2:12" x14ac:dyDescent="0.25">
      <c r="B102" s="3" t="s">
        <v>390</v>
      </c>
    </row>
    <row r="103" spans="2:12" x14ac:dyDescent="0.25">
      <c r="B103" s="1" t="s">
        <v>425</v>
      </c>
    </row>
    <row r="104" spans="2:12" x14ac:dyDescent="0.25">
      <c r="B104" s="1" t="s">
        <v>391</v>
      </c>
    </row>
    <row r="105" spans="2:12" x14ac:dyDescent="0.25">
      <c r="B105" s="1" t="s">
        <v>392</v>
      </c>
    </row>
    <row r="107" spans="2:12" x14ac:dyDescent="0.25">
      <c r="B107" s="430" t="s">
        <v>485</v>
      </c>
      <c r="C107" s="430"/>
      <c r="D107" s="430"/>
      <c r="E107" s="430"/>
      <c r="F107" s="430"/>
      <c r="G107" s="430"/>
      <c r="H107" s="430"/>
      <c r="I107" s="430"/>
      <c r="J107" s="430"/>
      <c r="K107" s="430"/>
      <c r="L107" s="430"/>
    </row>
  </sheetData>
  <mergeCells count="9">
    <mergeCell ref="B107:L107"/>
    <mergeCell ref="B2:C2"/>
    <mergeCell ref="B11:D12"/>
    <mergeCell ref="E11:F12"/>
    <mergeCell ref="G11:L12"/>
    <mergeCell ref="E13:E14"/>
    <mergeCell ref="F13:F14"/>
    <mergeCell ref="G13:H13"/>
    <mergeCell ref="J13:L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E7B4-9E71-488A-9689-5BAA9939B2F5}">
  <dimension ref="B2:AM109"/>
  <sheetViews>
    <sheetView showGridLines="0" workbookViewId="0">
      <selection activeCell="E11" sqref="E11"/>
    </sheetView>
  </sheetViews>
  <sheetFormatPr defaultColWidth="8.88671875" defaultRowHeight="13.2" x14ac:dyDescent="0.25"/>
  <cols>
    <col min="1" max="1" width="1.44140625" style="1" customWidth="1"/>
    <col min="2" max="2" width="8.88671875" style="1"/>
    <col min="3" max="3" width="15.88671875" style="1" customWidth="1"/>
    <col min="4" max="4" width="4.88671875" style="1" customWidth="1"/>
    <col min="5" max="5" width="10.5546875" style="17" customWidth="1"/>
    <col min="6" max="6" width="11.109375" style="17" customWidth="1"/>
    <col min="7" max="7" width="15.109375" style="17" customWidth="1"/>
    <col min="8" max="8" width="14.88671875" style="234" customWidth="1"/>
    <col min="9" max="9" width="14.33203125" style="234" customWidth="1"/>
    <col min="10" max="10" width="13.6640625" style="234" customWidth="1"/>
    <col min="11" max="11" width="16.33203125" style="234" customWidth="1"/>
    <col min="12" max="12" width="14.6640625" style="234" customWidth="1"/>
    <col min="13" max="13" width="14.77734375" style="234" customWidth="1"/>
    <col min="14" max="14" width="14" style="234" customWidth="1"/>
    <col min="15" max="15" width="12.33203125" style="234" customWidth="1"/>
    <col min="16" max="16" width="11.44140625" style="234" customWidth="1"/>
    <col min="17" max="17" width="12.88671875" style="234" customWidth="1"/>
    <col min="18" max="18" width="12.33203125" style="234" customWidth="1"/>
    <col min="19" max="21" width="12.109375" style="234" customWidth="1"/>
    <col min="22" max="22" width="12.5546875" style="234" customWidth="1"/>
    <col min="23" max="23" width="12.6640625" style="234" customWidth="1"/>
    <col min="24" max="24" width="4.21875" style="234" customWidth="1"/>
    <col min="25" max="25" width="4" style="234" customWidth="1"/>
    <col min="26" max="26" width="12.21875" style="234" customWidth="1"/>
    <col min="27" max="27" width="12.6640625" style="234" customWidth="1"/>
    <col min="28" max="29" width="12.44140625" style="234" customWidth="1"/>
    <col min="30" max="30" width="11.77734375" style="234" customWidth="1"/>
    <col min="31" max="31" width="12.33203125" style="234" customWidth="1"/>
    <col min="32" max="32" width="12.77734375" style="234" customWidth="1"/>
    <col min="33" max="33" width="11.88671875" style="234" customWidth="1"/>
    <col min="34" max="34" width="11.6640625" style="17" customWidth="1"/>
    <col min="35" max="35" width="10.5546875" style="17" customWidth="1"/>
    <col min="36" max="36" width="11.6640625" style="17" customWidth="1"/>
    <col min="37" max="37" width="10.6640625" style="17" customWidth="1"/>
    <col min="38" max="38" width="0.77734375" style="17" customWidth="1"/>
    <col min="39" max="39" width="12.44140625" style="17" customWidth="1"/>
    <col min="40" max="16384" width="8.88671875" style="1"/>
  </cols>
  <sheetData>
    <row r="2" spans="2:23" ht="15.6" customHeight="1" x14ac:dyDescent="0.25">
      <c r="B2" s="431" t="s">
        <v>476</v>
      </c>
      <c r="C2" s="432"/>
      <c r="D2" s="363"/>
      <c r="E2" s="1" t="s">
        <v>7</v>
      </c>
    </row>
    <row r="3" spans="2:23" ht="15.6" customHeight="1" x14ac:dyDescent="0.25">
      <c r="B3" s="364"/>
      <c r="C3" s="364"/>
      <c r="D3" s="363"/>
      <c r="E3" s="1"/>
    </row>
    <row r="4" spans="2:23" ht="15.6" x14ac:dyDescent="0.3">
      <c r="B4" s="5" t="s">
        <v>376</v>
      </c>
      <c r="E4" s="1"/>
    </row>
    <row r="5" spans="2:23" x14ac:dyDescent="0.25">
      <c r="B5" s="3" t="s">
        <v>377</v>
      </c>
      <c r="E5" s="1"/>
    </row>
    <row r="6" spans="2:23" x14ac:dyDescent="0.25">
      <c r="B6" s="3" t="s">
        <v>277</v>
      </c>
    </row>
    <row r="8" spans="2:23" ht="13.2" customHeight="1" x14ac:dyDescent="0.25">
      <c r="B8" s="415" t="s">
        <v>95</v>
      </c>
      <c r="C8" s="416"/>
      <c r="D8" s="417"/>
      <c r="E8" s="421" t="s">
        <v>378</v>
      </c>
      <c r="F8" s="422"/>
      <c r="G8" s="453" t="s">
        <v>396</v>
      </c>
      <c r="H8" s="454"/>
      <c r="I8" s="454"/>
      <c r="J8" s="454"/>
      <c r="K8" s="454"/>
      <c r="L8" s="454"/>
      <c r="M8" s="454"/>
      <c r="N8" s="454"/>
      <c r="O8" s="454"/>
      <c r="P8" s="454"/>
      <c r="Q8" s="454"/>
      <c r="R8" s="454"/>
      <c r="S8" s="454"/>
      <c r="T8" s="454"/>
      <c r="U8" s="454"/>
      <c r="V8" s="454"/>
      <c r="W8" s="455"/>
    </row>
    <row r="9" spans="2:23" x14ac:dyDescent="0.25">
      <c r="B9" s="418"/>
      <c r="C9" s="419"/>
      <c r="D9" s="420"/>
      <c r="E9" s="548"/>
      <c r="F9" s="549"/>
      <c r="G9" s="456"/>
      <c r="H9" s="457"/>
      <c r="I9" s="457"/>
      <c r="J9" s="457"/>
      <c r="K9" s="457"/>
      <c r="L9" s="457"/>
      <c r="M9" s="457"/>
      <c r="N9" s="457"/>
      <c r="O9" s="457"/>
      <c r="P9" s="457"/>
      <c r="Q9" s="457"/>
      <c r="R9" s="457"/>
      <c r="S9" s="457"/>
      <c r="T9" s="457"/>
      <c r="U9" s="457"/>
      <c r="V9" s="457"/>
      <c r="W9" s="458"/>
    </row>
    <row r="10" spans="2:23" ht="15.6" customHeight="1" x14ac:dyDescent="0.25">
      <c r="B10" s="346"/>
      <c r="C10" s="347"/>
      <c r="D10" s="348"/>
      <c r="E10" s="423"/>
      <c r="F10" s="424"/>
      <c r="G10" s="412" t="s">
        <v>475</v>
      </c>
      <c r="H10" s="447" t="s">
        <v>397</v>
      </c>
      <c r="I10" s="448"/>
      <c r="J10" s="448"/>
      <c r="K10" s="448"/>
      <c r="L10" s="449"/>
      <c r="M10" s="447" t="s">
        <v>398</v>
      </c>
      <c r="N10" s="448"/>
      <c r="O10" s="448"/>
      <c r="P10" s="448"/>
      <c r="Q10" s="448"/>
      <c r="R10" s="448"/>
      <c r="S10" s="448"/>
      <c r="T10" s="448"/>
      <c r="U10" s="448"/>
      <c r="V10" s="449"/>
      <c r="W10" s="412" t="s">
        <v>491</v>
      </c>
    </row>
    <row r="11" spans="2:23" ht="80.400000000000006" customHeight="1" x14ac:dyDescent="0.25">
      <c r="B11" s="350"/>
      <c r="C11" s="351"/>
      <c r="D11" s="352"/>
      <c r="E11" s="237" t="s">
        <v>132</v>
      </c>
      <c r="F11" s="353" t="s">
        <v>97</v>
      </c>
      <c r="G11" s="413"/>
      <c r="H11" s="353" t="s">
        <v>399</v>
      </c>
      <c r="I11" s="353" t="s">
        <v>400</v>
      </c>
      <c r="J11" s="353" t="s">
        <v>401</v>
      </c>
      <c r="K11" s="353" t="s">
        <v>402</v>
      </c>
      <c r="L11" s="353" t="s">
        <v>403</v>
      </c>
      <c r="M11" s="353" t="s">
        <v>404</v>
      </c>
      <c r="N11" s="365" t="s">
        <v>405</v>
      </c>
      <c r="O11" s="366" t="s">
        <v>406</v>
      </c>
      <c r="P11" s="230" t="s">
        <v>486</v>
      </c>
      <c r="Q11" s="230" t="s">
        <v>407</v>
      </c>
      <c r="R11" s="230" t="s">
        <v>408</v>
      </c>
      <c r="S11" s="230" t="s">
        <v>409</v>
      </c>
      <c r="T11" s="230" t="s">
        <v>410</v>
      </c>
      <c r="U11" s="365" t="s">
        <v>411</v>
      </c>
      <c r="V11" s="353" t="s">
        <v>412</v>
      </c>
      <c r="W11" s="413"/>
    </row>
    <row r="12" spans="2:23" x14ac:dyDescent="0.25">
      <c r="B12" s="57"/>
      <c r="C12" s="49"/>
      <c r="D12" s="52"/>
      <c r="E12" s="21"/>
      <c r="F12" s="234"/>
      <c r="G12" s="89"/>
      <c r="I12" s="87"/>
      <c r="J12" s="81"/>
      <c r="K12" s="87"/>
      <c r="L12" s="87"/>
      <c r="M12" s="87"/>
      <c r="N12" s="87"/>
      <c r="O12" s="331"/>
      <c r="P12" s="331"/>
      <c r="Q12" s="331"/>
      <c r="R12" s="331"/>
      <c r="S12" s="331"/>
      <c r="T12" s="87"/>
      <c r="U12" s="87"/>
      <c r="V12" s="87"/>
      <c r="W12" s="87"/>
    </row>
    <row r="13" spans="2:23" x14ac:dyDescent="0.25">
      <c r="B13" s="73" t="s">
        <v>8</v>
      </c>
      <c r="C13" s="74"/>
      <c r="D13" s="75"/>
      <c r="E13" s="166">
        <f>E21+E27+E40+E53+E60+E89+E15</f>
        <v>24</v>
      </c>
      <c r="F13" s="76">
        <f>F21+F27+F40+F53+F60+F89+F15</f>
        <v>50</v>
      </c>
      <c r="G13" s="77">
        <f t="shared" ref="G13:W13" si="0">G21+G27+G40+G53+G60+G89+G15</f>
        <v>4</v>
      </c>
      <c r="H13" s="77">
        <f t="shared" si="0"/>
        <v>1</v>
      </c>
      <c r="I13" s="77">
        <f t="shared" si="0"/>
        <v>1</v>
      </c>
      <c r="J13" s="77">
        <f t="shared" si="0"/>
        <v>2</v>
      </c>
      <c r="K13" s="77">
        <f t="shared" si="0"/>
        <v>1</v>
      </c>
      <c r="L13" s="77">
        <f t="shared" si="0"/>
        <v>2</v>
      </c>
      <c r="M13" s="300">
        <f t="shared" si="0"/>
        <v>1</v>
      </c>
      <c r="N13" s="77">
        <f t="shared" si="0"/>
        <v>2</v>
      </c>
      <c r="O13" s="77">
        <f t="shared" si="0"/>
        <v>5</v>
      </c>
      <c r="P13" s="77">
        <f t="shared" si="0"/>
        <v>5</v>
      </c>
      <c r="Q13" s="77">
        <f t="shared" si="0"/>
        <v>11</v>
      </c>
      <c r="R13" s="77">
        <f t="shared" si="0"/>
        <v>3</v>
      </c>
      <c r="S13" s="77">
        <f t="shared" si="0"/>
        <v>2</v>
      </c>
      <c r="T13" s="77">
        <f t="shared" si="0"/>
        <v>3</v>
      </c>
      <c r="U13" s="77">
        <f t="shared" si="0"/>
        <v>4</v>
      </c>
      <c r="V13" s="77">
        <f t="shared" si="0"/>
        <v>2</v>
      </c>
      <c r="W13" s="77">
        <f t="shared" si="0"/>
        <v>1</v>
      </c>
    </row>
    <row r="14" spans="2:23" x14ac:dyDescent="0.25">
      <c r="B14" s="132" t="s">
        <v>7</v>
      </c>
      <c r="C14" s="170"/>
      <c r="D14" s="171"/>
      <c r="E14" s="25"/>
      <c r="F14" s="25"/>
      <c r="G14" s="89"/>
      <c r="H14" s="125"/>
      <c r="I14" s="21"/>
      <c r="J14" s="125"/>
      <c r="K14" s="21"/>
      <c r="L14" s="125"/>
      <c r="M14" s="21"/>
      <c r="N14" s="125"/>
      <c r="O14" s="21"/>
      <c r="P14" s="125"/>
      <c r="Q14" s="21"/>
      <c r="R14" s="125"/>
      <c r="S14" s="21"/>
      <c r="T14" s="21"/>
      <c r="U14" s="21"/>
      <c r="V14" s="21"/>
      <c r="W14" s="21"/>
    </row>
    <row r="15" spans="2:23" x14ac:dyDescent="0.25">
      <c r="B15" s="58" t="s">
        <v>122</v>
      </c>
      <c r="C15" s="91"/>
      <c r="D15" s="52"/>
      <c r="E15" s="354">
        <v>2</v>
      </c>
      <c r="F15" s="129">
        <f>SUM(F16:F19)</f>
        <v>2</v>
      </c>
      <c r="G15" s="92">
        <f>SUM(G16:G19)</f>
        <v>0</v>
      </c>
      <c r="H15" s="52">
        <f t="shared" ref="H15:W15" si="1">SUM(H16:H19)</f>
        <v>1</v>
      </c>
      <c r="I15" s="92">
        <f t="shared" si="1"/>
        <v>0</v>
      </c>
      <c r="J15" s="52">
        <f t="shared" si="1"/>
        <v>0</v>
      </c>
      <c r="K15" s="92">
        <f t="shared" si="1"/>
        <v>0</v>
      </c>
      <c r="L15" s="52">
        <f t="shared" si="1"/>
        <v>1</v>
      </c>
      <c r="M15" s="92">
        <f t="shared" si="1"/>
        <v>0</v>
      </c>
      <c r="N15" s="52">
        <f t="shared" si="1"/>
        <v>0</v>
      </c>
      <c r="O15" s="92">
        <f t="shared" si="1"/>
        <v>0</v>
      </c>
      <c r="P15" s="52">
        <f t="shared" si="1"/>
        <v>0</v>
      </c>
      <c r="Q15" s="92">
        <f t="shared" si="1"/>
        <v>0</v>
      </c>
      <c r="R15" s="52">
        <f t="shared" si="1"/>
        <v>0</v>
      </c>
      <c r="S15" s="92">
        <f t="shared" si="1"/>
        <v>0</v>
      </c>
      <c r="T15" s="92">
        <f t="shared" si="1"/>
        <v>0</v>
      </c>
      <c r="U15" s="92">
        <f t="shared" si="1"/>
        <v>0</v>
      </c>
      <c r="V15" s="92">
        <f t="shared" si="1"/>
        <v>0</v>
      </c>
      <c r="W15" s="92">
        <f t="shared" si="1"/>
        <v>0</v>
      </c>
    </row>
    <row r="16" spans="2:23" x14ac:dyDescent="0.25">
      <c r="B16" s="54" t="s">
        <v>124</v>
      </c>
      <c r="C16" s="56"/>
      <c r="D16" s="47"/>
      <c r="E16" s="26"/>
      <c r="F16" s="199">
        <f>SUM(G16:Y16)</f>
        <v>1</v>
      </c>
      <c r="G16" s="186"/>
      <c r="H16" s="189">
        <v>1</v>
      </c>
      <c r="I16" s="186"/>
      <c r="J16" s="189"/>
      <c r="K16" s="186"/>
      <c r="L16" s="189"/>
      <c r="M16" s="186"/>
      <c r="N16" s="189"/>
      <c r="O16" s="186"/>
      <c r="P16" s="189"/>
      <c r="Q16" s="186"/>
      <c r="R16" s="189"/>
      <c r="S16" s="186"/>
      <c r="T16" s="186"/>
      <c r="U16" s="186"/>
      <c r="V16" s="186"/>
      <c r="W16" s="186"/>
    </row>
    <row r="17" spans="2:23" hidden="1" x14ac:dyDescent="0.25">
      <c r="B17" s="54" t="s">
        <v>6</v>
      </c>
      <c r="C17" s="56"/>
      <c r="D17" s="47"/>
      <c r="E17" s="26"/>
      <c r="F17" s="200">
        <f>SUM(G17:Y17)</f>
        <v>0</v>
      </c>
      <c r="G17" s="187"/>
      <c r="H17" s="191"/>
      <c r="I17" s="187"/>
      <c r="J17" s="191"/>
      <c r="K17" s="187"/>
      <c r="L17" s="191"/>
      <c r="M17" s="187"/>
      <c r="N17" s="191"/>
      <c r="O17" s="187"/>
      <c r="P17" s="191"/>
      <c r="Q17" s="187"/>
      <c r="R17" s="191"/>
      <c r="S17" s="187"/>
      <c r="T17" s="187"/>
      <c r="U17" s="187"/>
      <c r="V17" s="187"/>
      <c r="W17" s="187"/>
    </row>
    <row r="18" spans="2:23" x14ac:dyDescent="0.25">
      <c r="B18" s="54" t="s">
        <v>3</v>
      </c>
      <c r="C18" s="56"/>
      <c r="D18" s="47"/>
      <c r="E18" s="26"/>
      <c r="F18" s="200">
        <f>SUM(G18:Y18)</f>
        <v>1</v>
      </c>
      <c r="G18" s="187"/>
      <c r="H18" s="191"/>
      <c r="I18" s="187"/>
      <c r="J18" s="191"/>
      <c r="K18" s="187"/>
      <c r="L18" s="191">
        <v>1</v>
      </c>
      <c r="M18" s="187"/>
      <c r="N18" s="191"/>
      <c r="O18" s="187"/>
      <c r="P18" s="191"/>
      <c r="Q18" s="187"/>
      <c r="R18" s="191"/>
      <c r="S18" s="187"/>
      <c r="T18" s="187"/>
      <c r="U18" s="187"/>
      <c r="V18" s="187"/>
      <c r="W18" s="187"/>
    </row>
    <row r="19" spans="2:23" hidden="1" x14ac:dyDescent="0.25">
      <c r="B19" s="54" t="s">
        <v>23</v>
      </c>
      <c r="C19" s="56"/>
      <c r="D19" s="47"/>
      <c r="E19" s="26"/>
      <c r="F19" s="201">
        <f>SUM(G19:Y19)</f>
        <v>0</v>
      </c>
      <c r="G19" s="188"/>
      <c r="H19" s="193"/>
      <c r="I19" s="188"/>
      <c r="J19" s="193"/>
      <c r="K19" s="188"/>
      <c r="L19" s="193"/>
      <c r="M19" s="188"/>
      <c r="N19" s="193"/>
      <c r="O19" s="188"/>
      <c r="P19" s="193"/>
      <c r="Q19" s="188"/>
      <c r="R19" s="193"/>
      <c r="S19" s="188"/>
      <c r="T19" s="188"/>
      <c r="U19" s="188"/>
      <c r="V19" s="188"/>
      <c r="W19" s="188"/>
    </row>
    <row r="20" spans="2:23" x14ac:dyDescent="0.25">
      <c r="B20" s="57" t="s">
        <v>7</v>
      </c>
      <c r="C20" s="49"/>
      <c r="D20" s="52"/>
      <c r="E20" s="26"/>
      <c r="F20" s="25"/>
      <c r="G20" s="89"/>
      <c r="H20" s="125"/>
      <c r="I20" s="21"/>
      <c r="J20" s="125"/>
      <c r="K20" s="21"/>
      <c r="L20" s="125"/>
      <c r="M20" s="21"/>
      <c r="N20" s="125"/>
      <c r="O20" s="21"/>
      <c r="P20" s="125"/>
      <c r="Q20" s="21"/>
      <c r="R20" s="125"/>
      <c r="S20" s="21"/>
      <c r="T20" s="21"/>
      <c r="U20" s="21"/>
      <c r="V20" s="21"/>
      <c r="W20" s="21"/>
    </row>
    <row r="21" spans="2:23" x14ac:dyDescent="0.25">
      <c r="B21" s="58" t="s">
        <v>27</v>
      </c>
      <c r="C21" s="91"/>
      <c r="D21" s="52"/>
      <c r="E21" s="354">
        <v>2</v>
      </c>
      <c r="F21" s="309">
        <f t="shared" ref="F21:W21" si="2">SUM(F22:F25)</f>
        <v>4</v>
      </c>
      <c r="G21" s="94">
        <f t="shared" si="2"/>
        <v>0</v>
      </c>
      <c r="H21" s="159">
        <f t="shared" si="2"/>
        <v>0</v>
      </c>
      <c r="I21" s="94">
        <f t="shared" si="2"/>
        <v>1</v>
      </c>
      <c r="J21" s="159">
        <f t="shared" si="2"/>
        <v>1</v>
      </c>
      <c r="K21" s="94">
        <f t="shared" si="2"/>
        <v>0</v>
      </c>
      <c r="L21" s="159">
        <f t="shared" si="2"/>
        <v>1</v>
      </c>
      <c r="M21" s="94">
        <f t="shared" si="2"/>
        <v>0</v>
      </c>
      <c r="N21" s="159">
        <f t="shared" si="2"/>
        <v>0</v>
      </c>
      <c r="O21" s="94">
        <f t="shared" si="2"/>
        <v>1</v>
      </c>
      <c r="P21" s="159">
        <f t="shared" si="2"/>
        <v>0</v>
      </c>
      <c r="Q21" s="94">
        <f t="shared" si="2"/>
        <v>0</v>
      </c>
      <c r="R21" s="159">
        <f t="shared" si="2"/>
        <v>0</v>
      </c>
      <c r="S21" s="94">
        <f t="shared" si="2"/>
        <v>0</v>
      </c>
      <c r="T21" s="94">
        <f t="shared" si="2"/>
        <v>0</v>
      </c>
      <c r="U21" s="94">
        <f t="shared" si="2"/>
        <v>0</v>
      </c>
      <c r="V21" s="94">
        <f t="shared" si="2"/>
        <v>0</v>
      </c>
      <c r="W21" s="94">
        <f t="shared" si="2"/>
        <v>0</v>
      </c>
    </row>
    <row r="22" spans="2:23" hidden="1" x14ac:dyDescent="0.25">
      <c r="B22" s="57" t="s">
        <v>1</v>
      </c>
      <c r="C22" s="91"/>
      <c r="D22" s="52"/>
      <c r="E22" s="129"/>
      <c r="F22" s="179">
        <f>SUM(G22:Y22)</f>
        <v>0</v>
      </c>
      <c r="G22" s="82"/>
      <c r="H22" s="158"/>
      <c r="I22" s="108"/>
      <c r="J22" s="158"/>
      <c r="K22" s="108"/>
      <c r="L22" s="158"/>
      <c r="M22" s="108"/>
      <c r="N22" s="158"/>
      <c r="O22" s="108"/>
      <c r="P22" s="158"/>
      <c r="Q22" s="108"/>
      <c r="R22" s="158"/>
      <c r="S22" s="108"/>
      <c r="T22" s="108"/>
      <c r="U22" s="108"/>
      <c r="V22" s="108"/>
      <c r="W22" s="108"/>
    </row>
    <row r="23" spans="2:23" x14ac:dyDescent="0.25">
      <c r="B23" s="57" t="s">
        <v>2</v>
      </c>
      <c r="C23" s="91"/>
      <c r="D23" s="52"/>
      <c r="E23" s="129"/>
      <c r="F23" s="180">
        <f>SUM(G23:Y23)</f>
        <v>1</v>
      </c>
      <c r="G23" s="83"/>
      <c r="H23" s="101"/>
      <c r="I23" s="109"/>
      <c r="J23" s="155"/>
      <c r="K23" s="109"/>
      <c r="L23" s="101">
        <v>1</v>
      </c>
      <c r="M23" s="109"/>
      <c r="N23" s="155"/>
      <c r="O23" s="109"/>
      <c r="P23" s="155"/>
      <c r="Q23" s="109"/>
      <c r="R23" s="155"/>
      <c r="S23" s="109"/>
      <c r="T23" s="109"/>
      <c r="U23" s="109"/>
      <c r="V23" s="109"/>
      <c r="W23" s="109"/>
    </row>
    <row r="24" spans="2:23" x14ac:dyDescent="0.25">
      <c r="B24" s="57" t="s">
        <v>24</v>
      </c>
      <c r="C24" s="49"/>
      <c r="D24" s="49"/>
      <c r="E24" s="26"/>
      <c r="F24" s="180">
        <f>SUM(G24:Y24)</f>
        <v>3</v>
      </c>
      <c r="G24" s="83"/>
      <c r="H24" s="101"/>
      <c r="I24" s="83">
        <v>1</v>
      </c>
      <c r="J24" s="101">
        <v>1</v>
      </c>
      <c r="K24" s="83"/>
      <c r="L24" s="101"/>
      <c r="M24" s="83"/>
      <c r="N24" s="101"/>
      <c r="O24" s="83">
        <v>1</v>
      </c>
      <c r="P24" s="101"/>
      <c r="Q24" s="83"/>
      <c r="R24" s="101"/>
      <c r="S24" s="83"/>
      <c r="T24" s="83"/>
      <c r="U24" s="83"/>
      <c r="V24" s="83"/>
      <c r="W24" s="83"/>
    </row>
    <row r="25" spans="2:23" hidden="1" x14ac:dyDescent="0.25">
      <c r="B25" s="57" t="s">
        <v>25</v>
      </c>
      <c r="C25" s="49"/>
      <c r="D25" s="49"/>
      <c r="E25" s="26"/>
      <c r="F25" s="181">
        <f>SUM(G25:Y25)</f>
        <v>0</v>
      </c>
      <c r="G25" s="88"/>
      <c r="H25" s="104"/>
      <c r="I25" s="84"/>
      <c r="J25" s="104"/>
      <c r="K25" s="84"/>
      <c r="L25" s="104"/>
      <c r="M25" s="84"/>
      <c r="N25" s="104"/>
      <c r="O25" s="84"/>
      <c r="P25" s="104"/>
      <c r="Q25" s="84"/>
      <c r="R25" s="104"/>
      <c r="S25" s="84"/>
      <c r="T25" s="84"/>
      <c r="U25" s="84"/>
      <c r="V25" s="84"/>
      <c r="W25" s="84"/>
    </row>
    <row r="26" spans="2:23" x14ac:dyDescent="0.25">
      <c r="B26" s="57"/>
      <c r="C26" s="49"/>
      <c r="D26" s="49"/>
      <c r="E26" s="26"/>
      <c r="F26" s="25"/>
      <c r="G26" s="89"/>
      <c r="H26" s="125"/>
      <c r="I26" s="21"/>
      <c r="J26" s="125"/>
      <c r="K26" s="21"/>
      <c r="L26" s="125"/>
      <c r="M26" s="21"/>
      <c r="N26" s="125"/>
      <c r="O26" s="21"/>
      <c r="P26" s="125"/>
      <c r="Q26" s="21"/>
      <c r="R26" s="125"/>
      <c r="S26" s="21"/>
      <c r="T26" s="21"/>
      <c r="U26" s="21"/>
      <c r="V26" s="21"/>
      <c r="W26" s="21"/>
    </row>
    <row r="27" spans="2:23" x14ac:dyDescent="0.25">
      <c r="B27" s="58" t="s">
        <v>96</v>
      </c>
      <c r="C27" s="91"/>
      <c r="D27" s="52"/>
      <c r="E27" s="129">
        <v>3</v>
      </c>
      <c r="F27" s="309">
        <f t="shared" ref="F27:W27" si="3">SUM(F28:F38)</f>
        <v>7</v>
      </c>
      <c r="G27" s="94">
        <f t="shared" si="3"/>
        <v>1</v>
      </c>
      <c r="H27" s="159">
        <f t="shared" si="3"/>
        <v>0</v>
      </c>
      <c r="I27" s="94">
        <f t="shared" si="3"/>
        <v>0</v>
      </c>
      <c r="J27" s="159">
        <f t="shared" si="3"/>
        <v>0</v>
      </c>
      <c r="K27" s="94">
        <f t="shared" si="3"/>
        <v>1</v>
      </c>
      <c r="L27" s="159">
        <f t="shared" si="3"/>
        <v>0</v>
      </c>
      <c r="M27" s="94">
        <f t="shared" si="3"/>
        <v>0</v>
      </c>
      <c r="N27" s="159">
        <f t="shared" si="3"/>
        <v>0</v>
      </c>
      <c r="O27" s="94">
        <f t="shared" si="3"/>
        <v>1</v>
      </c>
      <c r="P27" s="159">
        <f t="shared" si="3"/>
        <v>1</v>
      </c>
      <c r="Q27" s="94">
        <f t="shared" si="3"/>
        <v>1</v>
      </c>
      <c r="R27" s="159">
        <f t="shared" si="3"/>
        <v>1</v>
      </c>
      <c r="S27" s="94">
        <f t="shared" si="3"/>
        <v>1</v>
      </c>
      <c r="T27" s="94">
        <f t="shared" si="3"/>
        <v>0</v>
      </c>
      <c r="U27" s="94">
        <f t="shared" si="3"/>
        <v>0</v>
      </c>
      <c r="V27" s="94">
        <f t="shared" si="3"/>
        <v>0</v>
      </c>
      <c r="W27" s="94">
        <f t="shared" si="3"/>
        <v>0</v>
      </c>
    </row>
    <row r="28" spans="2:23" hidden="1" x14ac:dyDescent="0.25">
      <c r="B28" s="57" t="s">
        <v>33</v>
      </c>
      <c r="C28" s="49"/>
      <c r="D28" s="49"/>
      <c r="E28" s="26"/>
      <c r="F28" s="199">
        <f t="shared" ref="F28:F38" si="4">SUM(G28:Y28)</f>
        <v>0</v>
      </c>
      <c r="G28" s="186"/>
      <c r="H28" s="189"/>
      <c r="I28" s="186"/>
      <c r="J28" s="189"/>
      <c r="K28" s="186"/>
      <c r="L28" s="189"/>
      <c r="M28" s="186"/>
      <c r="N28" s="189"/>
      <c r="O28" s="186"/>
      <c r="P28" s="189"/>
      <c r="Q28" s="186"/>
      <c r="R28" s="189"/>
      <c r="S28" s="186"/>
      <c r="T28" s="186"/>
      <c r="U28" s="186"/>
      <c r="V28" s="186"/>
      <c r="W28" s="186"/>
    </row>
    <row r="29" spans="2:23" x14ac:dyDescent="0.25">
      <c r="B29" s="57" t="s">
        <v>34</v>
      </c>
      <c r="C29" s="49"/>
      <c r="D29" s="49"/>
      <c r="E29" s="26"/>
      <c r="F29" s="200">
        <f t="shared" si="4"/>
        <v>4</v>
      </c>
      <c r="G29" s="187">
        <v>1</v>
      </c>
      <c r="H29" s="191"/>
      <c r="I29" s="187"/>
      <c r="J29" s="191"/>
      <c r="K29" s="187">
        <v>1</v>
      </c>
      <c r="L29" s="191"/>
      <c r="M29" s="187"/>
      <c r="N29" s="191"/>
      <c r="O29" s="187">
        <v>1</v>
      </c>
      <c r="P29" s="191">
        <v>1</v>
      </c>
      <c r="Q29" s="187"/>
      <c r="R29" s="191"/>
      <c r="S29" s="187"/>
      <c r="T29" s="187"/>
      <c r="U29" s="187"/>
      <c r="V29" s="187"/>
      <c r="W29" s="187"/>
    </row>
    <row r="30" spans="2:23" hidden="1" x14ac:dyDescent="0.25">
      <c r="B30" s="57" t="s">
        <v>35</v>
      </c>
      <c r="C30" s="49"/>
      <c r="D30" s="49"/>
      <c r="E30" s="26"/>
      <c r="F30" s="200">
        <f t="shared" si="4"/>
        <v>0</v>
      </c>
      <c r="G30" s="187"/>
      <c r="H30" s="191"/>
      <c r="I30" s="187"/>
      <c r="J30" s="191"/>
      <c r="K30" s="187"/>
      <c r="L30" s="191"/>
      <c r="M30" s="187"/>
      <c r="N30" s="191"/>
      <c r="O30" s="187"/>
      <c r="P30" s="191"/>
      <c r="Q30" s="187"/>
      <c r="R30" s="191"/>
      <c r="S30" s="187"/>
      <c r="T30" s="187"/>
      <c r="U30" s="187"/>
      <c r="V30" s="187"/>
      <c r="W30" s="187"/>
    </row>
    <row r="31" spans="2:23" hidden="1" x14ac:dyDescent="0.25">
      <c r="B31" s="57" t="s">
        <v>36</v>
      </c>
      <c r="C31" s="49"/>
      <c r="D31" s="49"/>
      <c r="E31" s="26"/>
      <c r="F31" s="200">
        <f t="shared" si="4"/>
        <v>0</v>
      </c>
      <c r="G31" s="187"/>
      <c r="H31" s="191"/>
      <c r="I31" s="187"/>
      <c r="J31" s="191"/>
      <c r="K31" s="187"/>
      <c r="L31" s="191"/>
      <c r="M31" s="187"/>
      <c r="N31" s="191"/>
      <c r="O31" s="187"/>
      <c r="P31" s="191"/>
      <c r="Q31" s="187"/>
      <c r="R31" s="191"/>
      <c r="S31" s="187"/>
      <c r="T31" s="187"/>
      <c r="U31" s="187"/>
      <c r="V31" s="187"/>
      <c r="W31" s="187"/>
    </row>
    <row r="32" spans="2:23" x14ac:dyDescent="0.25">
      <c r="B32" s="57" t="s">
        <v>154</v>
      </c>
      <c r="C32" s="49"/>
      <c r="D32" s="49"/>
      <c r="E32" s="26"/>
      <c r="F32" s="200">
        <f t="shared" si="4"/>
        <v>2</v>
      </c>
      <c r="G32" s="187"/>
      <c r="H32" s="191"/>
      <c r="I32" s="187"/>
      <c r="J32" s="191"/>
      <c r="K32" s="187"/>
      <c r="L32" s="191"/>
      <c r="M32" s="187"/>
      <c r="N32" s="191"/>
      <c r="O32" s="187"/>
      <c r="P32" s="191"/>
      <c r="Q32" s="187">
        <v>1</v>
      </c>
      <c r="R32" s="191">
        <v>1</v>
      </c>
      <c r="S32" s="187"/>
      <c r="T32" s="187"/>
      <c r="U32" s="187"/>
      <c r="V32" s="187"/>
      <c r="W32" s="187"/>
    </row>
    <row r="33" spans="2:23" hidden="1" x14ac:dyDescent="0.25">
      <c r="B33" s="57" t="s">
        <v>38</v>
      </c>
      <c r="C33" s="49"/>
      <c r="D33" s="49"/>
      <c r="E33" s="26"/>
      <c r="F33" s="200">
        <f t="shared" si="4"/>
        <v>0</v>
      </c>
      <c r="G33" s="187"/>
      <c r="H33" s="191"/>
      <c r="I33" s="187"/>
      <c r="J33" s="191"/>
      <c r="K33" s="187"/>
      <c r="L33" s="191"/>
      <c r="M33" s="187"/>
      <c r="N33" s="191"/>
      <c r="O33" s="187"/>
      <c r="P33" s="191"/>
      <c r="Q33" s="187"/>
      <c r="R33" s="191"/>
      <c r="S33" s="187"/>
      <c r="T33" s="187"/>
      <c r="U33" s="187"/>
      <c r="V33" s="187"/>
      <c r="W33" s="187"/>
    </row>
    <row r="34" spans="2:23" hidden="1" x14ac:dyDescent="0.25">
      <c r="B34" s="57" t="s">
        <v>39</v>
      </c>
      <c r="C34" s="49" t="s">
        <v>7</v>
      </c>
      <c r="D34" s="49"/>
      <c r="E34" s="26"/>
      <c r="F34" s="200">
        <f t="shared" si="4"/>
        <v>0</v>
      </c>
      <c r="G34" s="187"/>
      <c r="H34" s="191"/>
      <c r="I34" s="187"/>
      <c r="J34" s="191"/>
      <c r="K34" s="187"/>
      <c r="L34" s="191"/>
      <c r="M34" s="187"/>
      <c r="N34" s="191"/>
      <c r="O34" s="187"/>
      <c r="P34" s="191"/>
      <c r="Q34" s="187"/>
      <c r="R34" s="191"/>
      <c r="S34" s="187"/>
      <c r="T34" s="187"/>
      <c r="U34" s="187"/>
      <c r="V34" s="187"/>
      <c r="W34" s="187"/>
    </row>
    <row r="35" spans="2:23" x14ac:dyDescent="0.25">
      <c r="B35" s="57" t="s">
        <v>143</v>
      </c>
      <c r="C35" s="49"/>
      <c r="D35" s="49"/>
      <c r="E35" s="26" t="s">
        <v>7</v>
      </c>
      <c r="F35" s="200">
        <f t="shared" si="4"/>
        <v>1</v>
      </c>
      <c r="G35" s="187"/>
      <c r="H35" s="191"/>
      <c r="I35" s="187"/>
      <c r="J35" s="191"/>
      <c r="K35" s="187"/>
      <c r="L35" s="191"/>
      <c r="M35" s="187"/>
      <c r="N35" s="191"/>
      <c r="O35" s="187"/>
      <c r="P35" s="191"/>
      <c r="Q35" s="187"/>
      <c r="R35" s="191"/>
      <c r="S35" s="187">
        <v>1</v>
      </c>
      <c r="T35" s="187"/>
      <c r="U35" s="187"/>
      <c r="V35" s="187"/>
      <c r="W35" s="187"/>
    </row>
    <row r="36" spans="2:23" hidden="1" x14ac:dyDescent="0.25">
      <c r="B36" s="57" t="s">
        <v>41</v>
      </c>
      <c r="C36" s="49"/>
      <c r="D36" s="49"/>
      <c r="E36" s="26"/>
      <c r="F36" s="200">
        <f t="shared" si="4"/>
        <v>0</v>
      </c>
      <c r="G36" s="187"/>
      <c r="H36" s="191"/>
      <c r="I36" s="187"/>
      <c r="J36" s="191"/>
      <c r="K36" s="187"/>
      <c r="L36" s="191"/>
      <c r="M36" s="187"/>
      <c r="N36" s="191"/>
      <c r="O36" s="187"/>
      <c r="P36" s="191"/>
      <c r="Q36" s="187"/>
      <c r="R36" s="191"/>
      <c r="S36" s="187"/>
      <c r="T36" s="187"/>
      <c r="U36" s="187"/>
      <c r="V36" s="187"/>
      <c r="W36" s="187"/>
    </row>
    <row r="37" spans="2:23" hidden="1" x14ac:dyDescent="0.25">
      <c r="B37" s="57" t="s">
        <v>99</v>
      </c>
      <c r="C37" s="49"/>
      <c r="D37" s="49"/>
      <c r="E37" s="26"/>
      <c r="F37" s="200">
        <f t="shared" si="4"/>
        <v>0</v>
      </c>
      <c r="G37" s="187"/>
      <c r="H37" s="191"/>
      <c r="I37" s="187"/>
      <c r="J37" s="191"/>
      <c r="K37" s="187"/>
      <c r="L37" s="191"/>
      <c r="M37" s="187"/>
      <c r="N37" s="191"/>
      <c r="O37" s="187"/>
      <c r="P37" s="191"/>
      <c r="Q37" s="187"/>
      <c r="R37" s="191"/>
      <c r="S37" s="187"/>
      <c r="T37" s="187"/>
      <c r="U37" s="187"/>
      <c r="V37" s="187"/>
      <c r="W37" s="187"/>
    </row>
    <row r="38" spans="2:23" hidden="1" x14ac:dyDescent="0.25">
      <c r="B38" s="57" t="s">
        <v>128</v>
      </c>
      <c r="C38" s="49"/>
      <c r="D38" s="49"/>
      <c r="E38" s="26"/>
      <c r="F38" s="201">
        <f t="shared" si="4"/>
        <v>0</v>
      </c>
      <c r="G38" s="188"/>
      <c r="H38" s="193"/>
      <c r="I38" s="188"/>
      <c r="J38" s="193"/>
      <c r="K38" s="188"/>
      <c r="L38" s="193"/>
      <c r="M38" s="188"/>
      <c r="N38" s="193"/>
      <c r="O38" s="188"/>
      <c r="P38" s="193"/>
      <c r="Q38" s="188"/>
      <c r="R38" s="193"/>
      <c r="S38" s="188"/>
      <c r="T38" s="188"/>
      <c r="U38" s="188"/>
      <c r="V38" s="188"/>
      <c r="W38" s="188"/>
    </row>
    <row r="39" spans="2:23" x14ac:dyDescent="0.25">
      <c r="B39" s="57" t="s">
        <v>7</v>
      </c>
      <c r="C39" s="49"/>
      <c r="D39" s="49"/>
      <c r="E39" s="26"/>
      <c r="F39" s="25"/>
      <c r="G39" s="89"/>
      <c r="H39" s="125"/>
      <c r="I39" s="21"/>
      <c r="J39" s="125"/>
      <c r="K39" s="21"/>
      <c r="L39" s="125"/>
      <c r="M39" s="21"/>
      <c r="N39" s="125"/>
      <c r="O39" s="21"/>
      <c r="P39" s="125"/>
      <c r="Q39" s="21"/>
      <c r="R39" s="125"/>
      <c r="S39" s="21"/>
      <c r="T39" s="21"/>
      <c r="U39" s="21"/>
      <c r="V39" s="21"/>
      <c r="W39" s="21"/>
    </row>
    <row r="40" spans="2:23" x14ac:dyDescent="0.25">
      <c r="B40" s="58" t="s">
        <v>125</v>
      </c>
      <c r="C40" s="91"/>
      <c r="D40" s="52"/>
      <c r="E40" s="129">
        <v>5</v>
      </c>
      <c r="F40" s="309">
        <f>SUM(F41:F51)</f>
        <v>11</v>
      </c>
      <c r="G40" s="94">
        <f>SUM(G41:G51)</f>
        <v>1</v>
      </c>
      <c r="H40" s="159">
        <f>SUM(H41:H51)</f>
        <v>0</v>
      </c>
      <c r="I40" s="94">
        <f t="shared" ref="I40:W40" si="5">SUM(I41:I51)</f>
        <v>0</v>
      </c>
      <c r="J40" s="159">
        <f t="shared" si="5"/>
        <v>0</v>
      </c>
      <c r="K40" s="94">
        <f t="shared" si="5"/>
        <v>0</v>
      </c>
      <c r="L40" s="159">
        <f t="shared" si="5"/>
        <v>0</v>
      </c>
      <c r="M40" s="94">
        <f t="shared" si="5"/>
        <v>0</v>
      </c>
      <c r="N40" s="159">
        <f t="shared" si="5"/>
        <v>1</v>
      </c>
      <c r="O40" s="94">
        <f t="shared" si="5"/>
        <v>1</v>
      </c>
      <c r="P40" s="159">
        <f t="shared" si="5"/>
        <v>3</v>
      </c>
      <c r="Q40" s="94">
        <f t="shared" si="5"/>
        <v>2</v>
      </c>
      <c r="R40" s="159">
        <f t="shared" si="5"/>
        <v>1</v>
      </c>
      <c r="S40" s="94">
        <f t="shared" si="5"/>
        <v>1</v>
      </c>
      <c r="T40" s="94">
        <f t="shared" si="5"/>
        <v>1</v>
      </c>
      <c r="U40" s="94">
        <f t="shared" si="5"/>
        <v>0</v>
      </c>
      <c r="V40" s="94">
        <f t="shared" si="5"/>
        <v>0</v>
      </c>
      <c r="W40" s="94">
        <f t="shared" si="5"/>
        <v>0</v>
      </c>
    </row>
    <row r="41" spans="2:23" hidden="1" x14ac:dyDescent="0.25">
      <c r="B41" s="57" t="s">
        <v>98</v>
      </c>
      <c r="C41" s="49"/>
      <c r="D41" s="49"/>
      <c r="E41" s="26"/>
      <c r="F41" s="200">
        <f t="shared" ref="F41:F51" si="6">SUM(G41:Y41)</f>
        <v>0</v>
      </c>
      <c r="G41" s="195"/>
      <c r="H41" s="191"/>
      <c r="I41" s="187"/>
      <c r="J41" s="191"/>
      <c r="K41" s="187"/>
      <c r="L41" s="191"/>
      <c r="M41" s="187"/>
      <c r="N41" s="191"/>
      <c r="O41" s="187"/>
      <c r="P41" s="191"/>
      <c r="Q41" s="187"/>
      <c r="R41" s="191"/>
      <c r="S41" s="187"/>
      <c r="T41" s="187"/>
      <c r="U41" s="187"/>
      <c r="V41" s="187"/>
      <c r="W41" s="187"/>
    </row>
    <row r="42" spans="2:23" x14ac:dyDescent="0.25">
      <c r="B42" s="57" t="s">
        <v>43</v>
      </c>
      <c r="C42" s="49"/>
      <c r="D42" s="49"/>
      <c r="E42" s="26"/>
      <c r="F42" s="200">
        <f t="shared" si="6"/>
        <v>2</v>
      </c>
      <c r="G42" s="187"/>
      <c r="H42" s="191"/>
      <c r="I42" s="187"/>
      <c r="J42" s="191"/>
      <c r="K42" s="187"/>
      <c r="L42" s="191"/>
      <c r="M42" s="187"/>
      <c r="N42" s="191"/>
      <c r="O42" s="187"/>
      <c r="P42" s="191"/>
      <c r="Q42" s="187">
        <v>1</v>
      </c>
      <c r="R42" s="191">
        <v>1</v>
      </c>
      <c r="S42" s="187"/>
      <c r="T42" s="187"/>
      <c r="U42" s="187"/>
      <c r="V42" s="187"/>
      <c r="W42" s="187"/>
    </row>
    <row r="43" spans="2:23" hidden="1" x14ac:dyDescent="0.25">
      <c r="B43" s="57" t="s">
        <v>129</v>
      </c>
      <c r="C43" s="49"/>
      <c r="D43" s="49"/>
      <c r="E43" s="26"/>
      <c r="F43" s="200">
        <f t="shared" si="6"/>
        <v>0</v>
      </c>
      <c r="G43" s="187"/>
      <c r="H43" s="191"/>
      <c r="I43" s="187"/>
      <c r="J43" s="191"/>
      <c r="K43" s="187"/>
      <c r="L43" s="191"/>
      <c r="M43" s="187"/>
      <c r="N43" s="191"/>
      <c r="O43" s="187"/>
      <c r="P43" s="191"/>
      <c r="Q43" s="187"/>
      <c r="R43" s="191"/>
      <c r="S43" s="187"/>
      <c r="T43" s="187"/>
      <c r="U43" s="187"/>
      <c r="V43" s="187"/>
      <c r="W43" s="187"/>
    </row>
    <row r="44" spans="2:23" hidden="1" x14ac:dyDescent="0.25">
      <c r="B44" s="57" t="s">
        <v>45</v>
      </c>
      <c r="C44" s="49"/>
      <c r="D44" s="49"/>
      <c r="E44" s="26"/>
      <c r="F44" s="200">
        <f t="shared" si="6"/>
        <v>0</v>
      </c>
      <c r="G44" s="195"/>
      <c r="H44" s="191"/>
      <c r="I44" s="187"/>
      <c r="J44" s="191"/>
      <c r="K44" s="187"/>
      <c r="L44" s="191"/>
      <c r="M44" s="187"/>
      <c r="N44" s="191"/>
      <c r="O44" s="187"/>
      <c r="P44" s="191"/>
      <c r="Q44" s="187"/>
      <c r="R44" s="191"/>
      <c r="S44" s="187"/>
      <c r="T44" s="187"/>
      <c r="U44" s="187"/>
      <c r="V44" s="187"/>
      <c r="W44" s="187"/>
    </row>
    <row r="45" spans="2:23" hidden="1" x14ac:dyDescent="0.25">
      <c r="B45" s="57" t="s">
        <v>46</v>
      </c>
      <c r="C45" s="49"/>
      <c r="D45" s="49"/>
      <c r="E45" s="26"/>
      <c r="F45" s="200">
        <f t="shared" si="6"/>
        <v>0</v>
      </c>
      <c r="G45" s="187"/>
      <c r="H45" s="191"/>
      <c r="I45" s="187"/>
      <c r="J45" s="191"/>
      <c r="K45" s="187"/>
      <c r="L45" s="191"/>
      <c r="M45" s="187"/>
      <c r="N45" s="191"/>
      <c r="O45" s="187"/>
      <c r="P45" s="191"/>
      <c r="Q45" s="187"/>
      <c r="R45" s="191"/>
      <c r="S45" s="187"/>
      <c r="T45" s="187"/>
      <c r="U45" s="187"/>
      <c r="V45" s="187"/>
      <c r="W45" s="187"/>
    </row>
    <row r="46" spans="2:23" x14ac:dyDescent="0.25">
      <c r="B46" s="57" t="s">
        <v>47</v>
      </c>
      <c r="C46" s="49"/>
      <c r="D46" s="49"/>
      <c r="E46" s="26"/>
      <c r="F46" s="200">
        <f t="shared" si="6"/>
        <v>1</v>
      </c>
      <c r="G46" s="195"/>
      <c r="H46" s="191"/>
      <c r="I46" s="187"/>
      <c r="J46" s="191"/>
      <c r="K46" s="187"/>
      <c r="L46" s="191"/>
      <c r="M46" s="187"/>
      <c r="N46" s="191"/>
      <c r="O46" s="187"/>
      <c r="P46" s="191">
        <v>1</v>
      </c>
      <c r="Q46" s="187"/>
      <c r="R46" s="191"/>
      <c r="S46" s="187"/>
      <c r="T46" s="187"/>
      <c r="U46" s="187"/>
      <c r="V46" s="187"/>
      <c r="W46" s="187"/>
    </row>
    <row r="47" spans="2:23" x14ac:dyDescent="0.25">
      <c r="B47" s="57" t="s">
        <v>48</v>
      </c>
      <c r="C47" s="49"/>
      <c r="D47" s="49"/>
      <c r="E47" s="26"/>
      <c r="F47" s="200">
        <f t="shared" si="6"/>
        <v>1</v>
      </c>
      <c r="G47" s="187"/>
      <c r="H47" s="191"/>
      <c r="I47" s="187"/>
      <c r="J47" s="191"/>
      <c r="K47" s="187"/>
      <c r="L47" s="191"/>
      <c r="M47" s="187"/>
      <c r="N47" s="191"/>
      <c r="O47" s="187"/>
      <c r="P47" s="191">
        <v>1</v>
      </c>
      <c r="Q47" s="187"/>
      <c r="R47" s="191"/>
      <c r="S47" s="187"/>
      <c r="T47" s="187"/>
      <c r="U47" s="187"/>
      <c r="V47" s="187"/>
      <c r="W47" s="187"/>
    </row>
    <row r="48" spans="2:23" hidden="1" x14ac:dyDescent="0.25">
      <c r="B48" s="57" t="s">
        <v>49</v>
      </c>
      <c r="C48" s="49"/>
      <c r="D48" s="49"/>
      <c r="E48" s="26"/>
      <c r="F48" s="200">
        <f t="shared" si="6"/>
        <v>0</v>
      </c>
      <c r="G48" s="187"/>
      <c r="H48" s="191"/>
      <c r="I48" s="187"/>
      <c r="J48" s="191"/>
      <c r="K48" s="187"/>
      <c r="L48" s="191"/>
      <c r="M48" s="187"/>
      <c r="N48" s="191"/>
      <c r="O48" s="187"/>
      <c r="P48" s="191"/>
      <c r="Q48" s="187"/>
      <c r="R48" s="191"/>
      <c r="S48" s="187"/>
      <c r="T48" s="187"/>
      <c r="U48" s="187"/>
      <c r="V48" s="187"/>
      <c r="W48" s="187"/>
    </row>
    <row r="49" spans="2:23" hidden="1" x14ac:dyDescent="0.25">
      <c r="B49" s="57" t="s">
        <v>123</v>
      </c>
      <c r="C49" s="49"/>
      <c r="D49" s="49" t="s">
        <v>7</v>
      </c>
      <c r="E49" s="26"/>
      <c r="F49" s="200">
        <f t="shared" si="6"/>
        <v>0</v>
      </c>
      <c r="G49" s="187"/>
      <c r="H49" s="191"/>
      <c r="I49" s="187"/>
      <c r="J49" s="191"/>
      <c r="K49" s="187"/>
      <c r="L49" s="191"/>
      <c r="M49" s="187"/>
      <c r="N49" s="191"/>
      <c r="O49" s="187"/>
      <c r="P49" s="191"/>
      <c r="Q49" s="187"/>
      <c r="R49" s="191"/>
      <c r="S49" s="187"/>
      <c r="T49" s="187"/>
      <c r="U49" s="187"/>
      <c r="V49" s="187"/>
      <c r="W49" s="187"/>
    </row>
    <row r="50" spans="2:23" x14ac:dyDescent="0.25">
      <c r="B50" s="57" t="s">
        <v>51</v>
      </c>
      <c r="C50" s="49"/>
      <c r="D50" s="49"/>
      <c r="E50" s="26"/>
      <c r="F50" s="200">
        <f t="shared" si="6"/>
        <v>6</v>
      </c>
      <c r="G50" s="187">
        <v>1</v>
      </c>
      <c r="H50" s="191"/>
      <c r="I50" s="187"/>
      <c r="J50" s="191"/>
      <c r="K50" s="187"/>
      <c r="L50" s="191"/>
      <c r="M50" s="187"/>
      <c r="N50" s="191">
        <v>1</v>
      </c>
      <c r="O50" s="187"/>
      <c r="P50" s="191">
        <v>1</v>
      </c>
      <c r="Q50" s="187">
        <v>1</v>
      </c>
      <c r="R50" s="191"/>
      <c r="S50" s="187">
        <v>1</v>
      </c>
      <c r="T50" s="187">
        <v>1</v>
      </c>
      <c r="U50" s="187"/>
      <c r="V50" s="187"/>
      <c r="W50" s="187"/>
    </row>
    <row r="51" spans="2:23" x14ac:dyDescent="0.25">
      <c r="B51" s="57" t="s">
        <v>52</v>
      </c>
      <c r="C51" s="49"/>
      <c r="D51" s="49"/>
      <c r="E51" s="26"/>
      <c r="F51" s="201">
        <f t="shared" si="6"/>
        <v>1</v>
      </c>
      <c r="G51" s="196"/>
      <c r="H51" s="193"/>
      <c r="I51" s="188"/>
      <c r="J51" s="194"/>
      <c r="K51" s="188"/>
      <c r="L51" s="193"/>
      <c r="M51" s="188"/>
      <c r="N51" s="193"/>
      <c r="O51" s="188">
        <v>1</v>
      </c>
      <c r="P51" s="193"/>
      <c r="Q51" s="188"/>
      <c r="R51" s="193"/>
      <c r="S51" s="188"/>
      <c r="T51" s="188"/>
      <c r="U51" s="188"/>
      <c r="V51" s="188"/>
      <c r="W51" s="188"/>
    </row>
    <row r="52" spans="2:23" x14ac:dyDescent="0.25">
      <c r="B52" s="57"/>
      <c r="C52" s="49"/>
      <c r="D52" s="49"/>
      <c r="E52" s="26"/>
      <c r="F52" s="21"/>
      <c r="G52" s="49"/>
      <c r="H52" s="21"/>
      <c r="J52" s="21"/>
      <c r="L52" s="21"/>
      <c r="M52" s="22"/>
      <c r="O52" s="22"/>
      <c r="Q52" s="22"/>
      <c r="S52" s="22"/>
      <c r="T52" s="22"/>
      <c r="U52" s="22"/>
      <c r="V52" s="22"/>
      <c r="W52" s="22"/>
    </row>
    <row r="53" spans="2:23" hidden="1" x14ac:dyDescent="0.25">
      <c r="B53" s="58" t="s">
        <v>328</v>
      </c>
      <c r="C53" s="91"/>
      <c r="D53" s="52"/>
      <c r="E53" s="129"/>
      <c r="F53" s="92">
        <f t="shared" ref="F53:W53" si="7">SUM(F54:F58)</f>
        <v>0</v>
      </c>
      <c r="G53" s="52">
        <f t="shared" si="7"/>
        <v>0</v>
      </c>
      <c r="H53" s="92">
        <f t="shared" si="7"/>
        <v>0</v>
      </c>
      <c r="I53" s="52">
        <f t="shared" si="7"/>
        <v>0</v>
      </c>
      <c r="J53" s="92">
        <f t="shared" si="7"/>
        <v>0</v>
      </c>
      <c r="K53" s="52">
        <f t="shared" si="7"/>
        <v>0</v>
      </c>
      <c r="L53" s="92">
        <f t="shared" si="7"/>
        <v>0</v>
      </c>
      <c r="M53" s="92">
        <f t="shared" si="7"/>
        <v>0</v>
      </c>
      <c r="N53" s="52">
        <f t="shared" si="7"/>
        <v>0</v>
      </c>
      <c r="O53" s="92">
        <f t="shared" si="7"/>
        <v>0</v>
      </c>
      <c r="P53" s="52">
        <f t="shared" si="7"/>
        <v>0</v>
      </c>
      <c r="Q53" s="92">
        <f t="shared" si="7"/>
        <v>0</v>
      </c>
      <c r="R53" s="52">
        <f t="shared" si="7"/>
        <v>0</v>
      </c>
      <c r="S53" s="92">
        <f t="shared" si="7"/>
        <v>0</v>
      </c>
      <c r="T53" s="92">
        <f t="shared" si="7"/>
        <v>0</v>
      </c>
      <c r="U53" s="92">
        <f t="shared" si="7"/>
        <v>0</v>
      </c>
      <c r="V53" s="92">
        <f t="shared" si="7"/>
        <v>0</v>
      </c>
      <c r="W53" s="92">
        <f t="shared" si="7"/>
        <v>0</v>
      </c>
    </row>
    <row r="54" spans="2:23" hidden="1" x14ac:dyDescent="0.25">
      <c r="B54" s="57" t="s">
        <v>53</v>
      </c>
      <c r="C54" s="49"/>
      <c r="D54" s="49"/>
      <c r="E54" s="26"/>
      <c r="F54" s="186">
        <f>SUM(G54:Y54)</f>
        <v>0</v>
      </c>
      <c r="G54" s="189"/>
      <c r="H54" s="186"/>
      <c r="I54" s="189"/>
      <c r="J54" s="186"/>
      <c r="K54" s="189"/>
      <c r="L54" s="186"/>
      <c r="M54" s="186"/>
      <c r="N54" s="189"/>
      <c r="O54" s="186"/>
      <c r="P54" s="189"/>
      <c r="Q54" s="186"/>
      <c r="R54" s="189"/>
      <c r="S54" s="186"/>
      <c r="T54" s="186"/>
      <c r="U54" s="186"/>
      <c r="V54" s="186"/>
      <c r="W54" s="186"/>
    </row>
    <row r="55" spans="2:23" hidden="1" x14ac:dyDescent="0.25">
      <c r="B55" s="57" t="s">
        <v>54</v>
      </c>
      <c r="C55" s="49"/>
      <c r="D55" s="49"/>
      <c r="E55" s="26"/>
      <c r="F55" s="187">
        <f>SUM(G55:Y55)</f>
        <v>0</v>
      </c>
      <c r="G55" s="203"/>
      <c r="H55" s="187"/>
      <c r="I55" s="191"/>
      <c r="J55" s="187"/>
      <c r="K55" s="191"/>
      <c r="L55" s="187"/>
      <c r="M55" s="187"/>
      <c r="N55" s="191"/>
      <c r="O55" s="187"/>
      <c r="P55" s="191"/>
      <c r="Q55" s="187"/>
      <c r="R55" s="191"/>
      <c r="S55" s="187"/>
      <c r="T55" s="187"/>
      <c r="U55" s="187"/>
      <c r="V55" s="187"/>
      <c r="W55" s="187"/>
    </row>
    <row r="56" spans="2:23" hidden="1" x14ac:dyDescent="0.25">
      <c r="B56" s="57" t="s">
        <v>55</v>
      </c>
      <c r="C56" s="49"/>
      <c r="D56" s="49"/>
      <c r="E56" s="26"/>
      <c r="F56" s="187">
        <f>SUM(G56:Y56)</f>
        <v>0</v>
      </c>
      <c r="G56" s="203"/>
      <c r="H56" s="187"/>
      <c r="I56" s="191"/>
      <c r="J56" s="187"/>
      <c r="K56" s="191"/>
      <c r="L56" s="187"/>
      <c r="M56" s="187"/>
      <c r="N56" s="191"/>
      <c r="O56" s="187"/>
      <c r="P56" s="191"/>
      <c r="Q56" s="187"/>
      <c r="R56" s="191"/>
      <c r="S56" s="187"/>
      <c r="T56" s="187"/>
      <c r="U56" s="187"/>
      <c r="V56" s="187"/>
      <c r="W56" s="187"/>
    </row>
    <row r="57" spans="2:23" hidden="1" x14ac:dyDescent="0.25">
      <c r="B57" s="57" t="s">
        <v>100</v>
      </c>
      <c r="C57" s="49"/>
      <c r="D57" s="49"/>
      <c r="E57" s="26"/>
      <c r="F57" s="187">
        <f>SUM(G57:Y57)</f>
        <v>0</v>
      </c>
      <c r="G57" s="203"/>
      <c r="H57" s="187"/>
      <c r="I57" s="191"/>
      <c r="J57" s="187"/>
      <c r="K57" s="191"/>
      <c r="L57" s="187"/>
      <c r="M57" s="187"/>
      <c r="N57" s="191"/>
      <c r="O57" s="187"/>
      <c r="P57" s="191"/>
      <c r="Q57" s="187"/>
      <c r="R57" s="191"/>
      <c r="S57" s="187"/>
      <c r="T57" s="187"/>
      <c r="U57" s="187"/>
      <c r="V57" s="187"/>
      <c r="W57" s="187"/>
    </row>
    <row r="58" spans="2:23" hidden="1" x14ac:dyDescent="0.25">
      <c r="B58" s="57" t="s">
        <v>57</v>
      </c>
      <c r="C58" s="49"/>
      <c r="D58" s="49"/>
      <c r="E58" s="26"/>
      <c r="F58" s="187">
        <f>SUM(G58:Y58)</f>
        <v>0</v>
      </c>
      <c r="G58" s="191"/>
      <c r="H58" s="187"/>
      <c r="I58" s="191"/>
      <c r="J58" s="187"/>
      <c r="K58" s="191"/>
      <c r="L58" s="188"/>
      <c r="M58" s="188"/>
      <c r="N58" s="193"/>
      <c r="O58" s="188"/>
      <c r="P58" s="193"/>
      <c r="Q58" s="188"/>
      <c r="R58" s="193"/>
      <c r="S58" s="188"/>
      <c r="T58" s="188"/>
      <c r="U58" s="188"/>
      <c r="V58" s="188"/>
      <c r="W58" s="188"/>
    </row>
    <row r="59" spans="2:23" x14ac:dyDescent="0.25">
      <c r="B59" s="57"/>
      <c r="C59" s="49"/>
      <c r="D59" s="49"/>
      <c r="E59" s="26"/>
      <c r="F59" s="22"/>
      <c r="G59" s="49"/>
      <c r="H59" s="22"/>
      <c r="J59" s="22"/>
      <c r="L59" s="22"/>
      <c r="M59" s="22"/>
      <c r="O59" s="22"/>
      <c r="Q59" s="22"/>
      <c r="S59" s="22"/>
      <c r="T59" s="22"/>
      <c r="U59" s="22"/>
      <c r="V59" s="22"/>
      <c r="W59" s="22"/>
    </row>
    <row r="60" spans="2:23" x14ac:dyDescent="0.25">
      <c r="B60" s="58" t="s">
        <v>101</v>
      </c>
      <c r="C60" s="91"/>
      <c r="D60" s="52"/>
      <c r="E60" s="129">
        <v>11</v>
      </c>
      <c r="F60" s="94">
        <f t="shared" ref="F60:W60" si="8">SUM(F61:F87)</f>
        <v>25</v>
      </c>
      <c r="G60" s="159">
        <f t="shared" si="8"/>
        <v>2</v>
      </c>
      <c r="H60" s="94">
        <f t="shared" si="8"/>
        <v>0</v>
      </c>
      <c r="I60" s="159">
        <f t="shared" si="8"/>
        <v>0</v>
      </c>
      <c r="J60" s="94">
        <f t="shared" si="8"/>
        <v>1</v>
      </c>
      <c r="K60" s="159">
        <f t="shared" si="8"/>
        <v>0</v>
      </c>
      <c r="L60" s="94">
        <f t="shared" si="8"/>
        <v>0</v>
      </c>
      <c r="M60" s="92">
        <f t="shared" si="8"/>
        <v>1</v>
      </c>
      <c r="N60" s="52">
        <f t="shared" si="8"/>
        <v>1</v>
      </c>
      <c r="O60" s="92">
        <f t="shared" si="8"/>
        <v>1</v>
      </c>
      <c r="P60" s="52">
        <f t="shared" si="8"/>
        <v>1</v>
      </c>
      <c r="Q60" s="92">
        <f t="shared" si="8"/>
        <v>8</v>
      </c>
      <c r="R60" s="52">
        <f t="shared" si="8"/>
        <v>1</v>
      </c>
      <c r="S60" s="92">
        <f t="shared" si="8"/>
        <v>0</v>
      </c>
      <c r="T60" s="92">
        <f t="shared" si="8"/>
        <v>2</v>
      </c>
      <c r="U60" s="92">
        <f t="shared" si="8"/>
        <v>4</v>
      </c>
      <c r="V60" s="92">
        <f t="shared" si="8"/>
        <v>2</v>
      </c>
      <c r="W60" s="92">
        <f t="shared" si="8"/>
        <v>1</v>
      </c>
    </row>
    <row r="61" spans="2:23" x14ac:dyDescent="0.25">
      <c r="B61" s="57" t="s">
        <v>59</v>
      </c>
      <c r="C61" s="49"/>
      <c r="D61" s="49"/>
      <c r="E61" s="26"/>
      <c r="F61" s="200">
        <f t="shared" ref="F61:F87" si="9">SUM(G61:Y61)</f>
        <v>2</v>
      </c>
      <c r="G61" s="195"/>
      <c r="H61" s="191"/>
      <c r="I61" s="187"/>
      <c r="J61" s="191"/>
      <c r="K61" s="187"/>
      <c r="L61" s="189"/>
      <c r="M61" s="186"/>
      <c r="N61" s="189"/>
      <c r="O61" s="186"/>
      <c r="P61" s="189"/>
      <c r="Q61" s="186">
        <v>1</v>
      </c>
      <c r="R61" s="189"/>
      <c r="S61" s="186"/>
      <c r="T61" s="186"/>
      <c r="U61" s="186">
        <v>1</v>
      </c>
      <c r="V61" s="186"/>
      <c r="W61" s="186"/>
    </row>
    <row r="62" spans="2:23" x14ac:dyDescent="0.25">
      <c r="B62" s="57" t="s">
        <v>60</v>
      </c>
      <c r="C62" s="49"/>
      <c r="D62" s="49"/>
      <c r="E62" s="26"/>
      <c r="F62" s="200">
        <f t="shared" si="9"/>
        <v>2</v>
      </c>
      <c r="G62" s="187">
        <v>1</v>
      </c>
      <c r="H62" s="191"/>
      <c r="I62" s="187"/>
      <c r="J62" s="191"/>
      <c r="K62" s="187"/>
      <c r="L62" s="191"/>
      <c r="M62" s="187"/>
      <c r="N62" s="191"/>
      <c r="O62" s="187"/>
      <c r="P62" s="191"/>
      <c r="Q62" s="187">
        <v>1</v>
      </c>
      <c r="R62" s="191"/>
      <c r="S62" s="187"/>
      <c r="T62" s="187"/>
      <c r="U62" s="187"/>
      <c r="V62" s="187"/>
      <c r="W62" s="187"/>
    </row>
    <row r="63" spans="2:23" hidden="1" x14ac:dyDescent="0.25">
      <c r="B63" s="57" t="s">
        <v>61</v>
      </c>
      <c r="C63" s="49"/>
      <c r="D63" s="49"/>
      <c r="E63" s="26"/>
      <c r="F63" s="200">
        <f t="shared" si="9"/>
        <v>0</v>
      </c>
      <c r="G63" s="195"/>
      <c r="H63" s="191"/>
      <c r="I63" s="187"/>
      <c r="J63" s="191"/>
      <c r="K63" s="187"/>
      <c r="L63" s="191"/>
      <c r="M63" s="187"/>
      <c r="N63" s="191"/>
      <c r="O63" s="187"/>
      <c r="P63" s="191"/>
      <c r="Q63" s="187"/>
      <c r="R63" s="191"/>
      <c r="S63" s="187"/>
      <c r="T63" s="187"/>
      <c r="U63" s="187"/>
      <c r="V63" s="187"/>
      <c r="W63" s="187"/>
    </row>
    <row r="64" spans="2:23" hidden="1" x14ac:dyDescent="0.25">
      <c r="B64" s="57" t="s">
        <v>62</v>
      </c>
      <c r="C64" s="49"/>
      <c r="D64" s="49"/>
      <c r="E64" s="26"/>
      <c r="F64" s="200">
        <f t="shared" si="9"/>
        <v>0</v>
      </c>
      <c r="G64" s="195"/>
      <c r="H64" s="191"/>
      <c r="I64" s="187"/>
      <c r="J64" s="191"/>
      <c r="K64" s="187"/>
      <c r="L64" s="191"/>
      <c r="M64" s="187"/>
      <c r="N64" s="191"/>
      <c r="O64" s="187"/>
      <c r="P64" s="191"/>
      <c r="Q64" s="187"/>
      <c r="R64" s="191"/>
      <c r="S64" s="187"/>
      <c r="T64" s="187"/>
      <c r="U64" s="187"/>
      <c r="V64" s="187"/>
      <c r="W64" s="187"/>
    </row>
    <row r="65" spans="2:23" hidden="1" x14ac:dyDescent="0.25">
      <c r="B65" s="57" t="s">
        <v>63</v>
      </c>
      <c r="C65" s="49"/>
      <c r="D65" s="49"/>
      <c r="E65" s="26"/>
      <c r="F65" s="200">
        <f t="shared" si="9"/>
        <v>0</v>
      </c>
      <c r="G65" s="187"/>
      <c r="H65" s="191"/>
      <c r="I65" s="187"/>
      <c r="J65" s="191"/>
      <c r="K65" s="187"/>
      <c r="L65" s="191"/>
      <c r="M65" s="187"/>
      <c r="N65" s="191"/>
      <c r="O65" s="187"/>
      <c r="P65" s="191"/>
      <c r="Q65" s="187"/>
      <c r="R65" s="191"/>
      <c r="S65" s="187"/>
      <c r="T65" s="187"/>
      <c r="U65" s="187"/>
      <c r="V65" s="187"/>
      <c r="W65" s="187"/>
    </row>
    <row r="66" spans="2:23" x14ac:dyDescent="0.25">
      <c r="B66" s="57" t="s">
        <v>64</v>
      </c>
      <c r="C66" s="49"/>
      <c r="D66" s="49"/>
      <c r="E66" s="26"/>
      <c r="F66" s="200">
        <f t="shared" si="9"/>
        <v>1</v>
      </c>
      <c r="G66" s="187">
        <v>1</v>
      </c>
      <c r="H66" s="191"/>
      <c r="I66" s="187"/>
      <c r="J66" s="191"/>
      <c r="K66" s="187"/>
      <c r="L66" s="191"/>
      <c r="M66" s="187"/>
      <c r="N66" s="191"/>
      <c r="O66" s="187"/>
      <c r="P66" s="191"/>
      <c r="Q66" s="187"/>
      <c r="R66" s="191"/>
      <c r="S66" s="187"/>
      <c r="T66" s="187"/>
      <c r="U66" s="187"/>
      <c r="V66" s="187"/>
      <c r="W66" s="187"/>
    </row>
    <row r="67" spans="2:23" x14ac:dyDescent="0.25">
      <c r="B67" s="57" t="s">
        <v>65</v>
      </c>
      <c r="C67" s="49"/>
      <c r="D67" s="49"/>
      <c r="E67" s="26"/>
      <c r="F67" s="200">
        <f t="shared" si="9"/>
        <v>2</v>
      </c>
      <c r="G67" s="187"/>
      <c r="H67" s="191"/>
      <c r="I67" s="187"/>
      <c r="J67" s="191"/>
      <c r="K67" s="187"/>
      <c r="L67" s="191"/>
      <c r="M67" s="187"/>
      <c r="N67" s="191"/>
      <c r="O67" s="187"/>
      <c r="P67" s="191"/>
      <c r="Q67" s="187">
        <v>1</v>
      </c>
      <c r="R67" s="191"/>
      <c r="S67" s="187"/>
      <c r="T67" s="187"/>
      <c r="U67" s="187">
        <v>1</v>
      </c>
      <c r="V67" s="187"/>
      <c r="W67" s="187"/>
    </row>
    <row r="68" spans="2:23" x14ac:dyDescent="0.25">
      <c r="B68" s="57" t="s">
        <v>66</v>
      </c>
      <c r="C68" s="49"/>
      <c r="D68" s="49"/>
      <c r="E68" s="26"/>
      <c r="F68" s="200">
        <f t="shared" si="9"/>
        <v>1</v>
      </c>
      <c r="G68" s="187"/>
      <c r="H68" s="191"/>
      <c r="I68" s="187"/>
      <c r="J68" s="191"/>
      <c r="K68" s="187"/>
      <c r="L68" s="191"/>
      <c r="M68" s="187"/>
      <c r="N68" s="191"/>
      <c r="O68" s="187"/>
      <c r="P68" s="191"/>
      <c r="Q68" s="187">
        <v>1</v>
      </c>
      <c r="R68" s="191"/>
      <c r="S68" s="187"/>
      <c r="T68" s="187"/>
      <c r="U68" s="187"/>
      <c r="V68" s="187"/>
      <c r="W68" s="187"/>
    </row>
    <row r="69" spans="2:23" hidden="1" x14ac:dyDescent="0.25">
      <c r="B69" s="57" t="s">
        <v>67</v>
      </c>
      <c r="C69" s="49"/>
      <c r="D69" s="49"/>
      <c r="E69" s="26"/>
      <c r="F69" s="200">
        <f t="shared" si="9"/>
        <v>0</v>
      </c>
      <c r="G69" s="195"/>
      <c r="H69" s="191"/>
      <c r="I69" s="187"/>
      <c r="J69" s="191"/>
      <c r="K69" s="187"/>
      <c r="L69" s="191"/>
      <c r="M69" s="187"/>
      <c r="N69" s="191"/>
      <c r="O69" s="187"/>
      <c r="P69" s="191"/>
      <c r="Q69" s="187"/>
      <c r="R69" s="191"/>
      <c r="S69" s="187"/>
      <c r="T69" s="187"/>
      <c r="U69" s="187"/>
      <c r="V69" s="187"/>
      <c r="W69" s="187"/>
    </row>
    <row r="70" spans="2:23" hidden="1" x14ac:dyDescent="0.25">
      <c r="B70" s="57" t="s">
        <v>144</v>
      </c>
      <c r="C70" s="49"/>
      <c r="D70" s="49"/>
      <c r="E70" s="26"/>
      <c r="F70" s="200">
        <f t="shared" si="9"/>
        <v>0</v>
      </c>
      <c r="G70" s="187"/>
      <c r="H70" s="191"/>
      <c r="I70" s="187"/>
      <c r="J70" s="191"/>
      <c r="K70" s="187"/>
      <c r="L70" s="191"/>
      <c r="M70" s="187"/>
      <c r="N70" s="191"/>
      <c r="O70" s="187"/>
      <c r="P70" s="191"/>
      <c r="Q70" s="187"/>
      <c r="R70" s="191"/>
      <c r="S70" s="187"/>
      <c r="T70" s="187"/>
      <c r="U70" s="187"/>
      <c r="V70" s="187"/>
      <c r="W70" s="187"/>
    </row>
    <row r="71" spans="2:23" hidden="1" x14ac:dyDescent="0.25">
      <c r="B71" s="57" t="s">
        <v>69</v>
      </c>
      <c r="C71" s="49"/>
      <c r="D71" s="49"/>
      <c r="E71" s="26"/>
      <c r="F71" s="200">
        <f t="shared" si="9"/>
        <v>0</v>
      </c>
      <c r="G71" s="195"/>
      <c r="H71" s="191"/>
      <c r="I71" s="187"/>
      <c r="J71" s="191"/>
      <c r="K71" s="187"/>
      <c r="L71" s="191"/>
      <c r="M71" s="187"/>
      <c r="N71" s="191"/>
      <c r="O71" s="187"/>
      <c r="P71" s="191"/>
      <c r="Q71" s="187"/>
      <c r="R71" s="191"/>
      <c r="S71" s="187"/>
      <c r="T71" s="187"/>
      <c r="U71" s="187"/>
      <c r="V71" s="187"/>
      <c r="W71" s="187"/>
    </row>
    <row r="72" spans="2:23" x14ac:dyDescent="0.25">
      <c r="B72" s="57" t="s">
        <v>389</v>
      </c>
      <c r="C72" s="49"/>
      <c r="D72" s="49"/>
      <c r="E72" s="26"/>
      <c r="F72" s="200">
        <f t="shared" si="9"/>
        <v>1</v>
      </c>
      <c r="G72" s="187"/>
      <c r="H72" s="191"/>
      <c r="I72" s="187"/>
      <c r="J72" s="191"/>
      <c r="K72" s="187"/>
      <c r="L72" s="191"/>
      <c r="M72" s="187"/>
      <c r="N72" s="191"/>
      <c r="O72" s="187"/>
      <c r="P72" s="191"/>
      <c r="Q72" s="187"/>
      <c r="R72" s="191">
        <v>1</v>
      </c>
      <c r="S72" s="187"/>
      <c r="T72" s="187"/>
      <c r="U72" s="187"/>
      <c r="V72" s="187"/>
      <c r="W72" s="187"/>
    </row>
    <row r="73" spans="2:23" hidden="1" x14ac:dyDescent="0.25">
      <c r="B73" s="57" t="s">
        <v>71</v>
      </c>
      <c r="C73" s="49"/>
      <c r="D73" s="49"/>
      <c r="E73" s="26"/>
      <c r="F73" s="200">
        <f t="shared" si="9"/>
        <v>0</v>
      </c>
      <c r="G73" s="195"/>
      <c r="H73" s="191"/>
      <c r="I73" s="187"/>
      <c r="J73" s="191"/>
      <c r="K73" s="187"/>
      <c r="L73" s="191"/>
      <c r="M73" s="187"/>
      <c r="N73" s="191"/>
      <c r="O73" s="187"/>
      <c r="P73" s="191"/>
      <c r="Q73" s="187"/>
      <c r="R73" s="191"/>
      <c r="S73" s="187"/>
      <c r="T73" s="187"/>
      <c r="U73" s="187"/>
      <c r="V73" s="187"/>
      <c r="W73" s="187"/>
    </row>
    <row r="74" spans="2:23" x14ac:dyDescent="0.25">
      <c r="B74" s="57" t="s">
        <v>72</v>
      </c>
      <c r="C74" s="49"/>
      <c r="D74" s="49"/>
      <c r="E74" s="26"/>
      <c r="F74" s="200">
        <f t="shared" si="9"/>
        <v>3</v>
      </c>
      <c r="G74" s="195"/>
      <c r="H74" s="191"/>
      <c r="I74" s="187"/>
      <c r="J74" s="191"/>
      <c r="K74" s="187"/>
      <c r="L74" s="191"/>
      <c r="M74" s="187"/>
      <c r="N74" s="191"/>
      <c r="O74" s="187"/>
      <c r="P74" s="191"/>
      <c r="Q74" s="187">
        <v>1</v>
      </c>
      <c r="R74" s="191"/>
      <c r="S74" s="187"/>
      <c r="T74" s="187">
        <v>1</v>
      </c>
      <c r="U74" s="187">
        <v>1</v>
      </c>
      <c r="V74" s="187"/>
      <c r="W74" s="187"/>
    </row>
    <row r="75" spans="2:23" hidden="1" x14ac:dyDescent="0.25">
      <c r="B75" s="57" t="s">
        <v>130</v>
      </c>
      <c r="C75" s="49"/>
      <c r="D75" s="49"/>
      <c r="E75" s="26"/>
      <c r="F75" s="200">
        <f t="shared" si="9"/>
        <v>0</v>
      </c>
      <c r="G75" s="195"/>
      <c r="H75" s="191"/>
      <c r="I75" s="187"/>
      <c r="J75" s="191"/>
      <c r="K75" s="187"/>
      <c r="L75" s="191"/>
      <c r="M75" s="187"/>
      <c r="N75" s="191"/>
      <c r="O75" s="187"/>
      <c r="P75" s="191"/>
      <c r="Q75" s="187"/>
      <c r="R75" s="191"/>
      <c r="S75" s="187"/>
      <c r="T75" s="187"/>
      <c r="U75" s="187"/>
      <c r="V75" s="187"/>
      <c r="W75" s="187"/>
    </row>
    <row r="76" spans="2:23" hidden="1" x14ac:dyDescent="0.25">
      <c r="B76" s="57" t="s">
        <v>102</v>
      </c>
      <c r="C76" s="49"/>
      <c r="D76" s="49"/>
      <c r="E76" s="26"/>
      <c r="F76" s="200">
        <f t="shared" si="9"/>
        <v>0</v>
      </c>
      <c r="G76" s="187"/>
      <c r="H76" s="191"/>
      <c r="I76" s="187"/>
      <c r="J76" s="191"/>
      <c r="K76" s="187"/>
      <c r="L76" s="191"/>
      <c r="M76" s="187"/>
      <c r="N76" s="191"/>
      <c r="O76" s="187"/>
      <c r="P76" s="191"/>
      <c r="Q76" s="187"/>
      <c r="R76" s="191"/>
      <c r="S76" s="187"/>
      <c r="T76" s="187"/>
      <c r="U76" s="187"/>
      <c r="V76" s="187"/>
      <c r="W76" s="187"/>
    </row>
    <row r="77" spans="2:23" x14ac:dyDescent="0.25">
      <c r="B77" s="57" t="s">
        <v>103</v>
      </c>
      <c r="C77" s="49"/>
      <c r="D77" s="49"/>
      <c r="E77" s="26"/>
      <c r="F77" s="200">
        <f t="shared" si="9"/>
        <v>1</v>
      </c>
      <c r="G77" s="187"/>
      <c r="H77" s="191"/>
      <c r="I77" s="187"/>
      <c r="J77" s="191"/>
      <c r="K77" s="187"/>
      <c r="L77" s="191"/>
      <c r="M77" s="187"/>
      <c r="N77" s="191"/>
      <c r="O77" s="187"/>
      <c r="P77" s="191"/>
      <c r="Q77" s="187">
        <v>1</v>
      </c>
      <c r="R77" s="191"/>
      <c r="S77" s="187"/>
      <c r="T77" s="187"/>
      <c r="U77" s="187"/>
      <c r="V77" s="187"/>
      <c r="W77" s="187"/>
    </row>
    <row r="78" spans="2:23" hidden="1" x14ac:dyDescent="0.25">
      <c r="B78" s="57" t="s">
        <v>91</v>
      </c>
      <c r="C78" s="49"/>
      <c r="D78" s="49"/>
      <c r="E78" s="26"/>
      <c r="F78" s="200">
        <f t="shared" si="9"/>
        <v>0</v>
      </c>
      <c r="G78" s="195"/>
      <c r="H78" s="191"/>
      <c r="I78" s="187"/>
      <c r="J78" s="191"/>
      <c r="K78" s="187"/>
      <c r="L78" s="191"/>
      <c r="M78" s="187"/>
      <c r="N78" s="191"/>
      <c r="O78" s="187"/>
      <c r="P78" s="191"/>
      <c r="Q78" s="187"/>
      <c r="R78" s="191"/>
      <c r="S78" s="187"/>
      <c r="T78" s="187"/>
      <c r="U78" s="187"/>
      <c r="V78" s="187"/>
      <c r="W78" s="187"/>
    </row>
    <row r="79" spans="2:23" hidden="1" x14ac:dyDescent="0.25">
      <c r="B79" s="57" t="s">
        <v>73</v>
      </c>
      <c r="C79" s="49"/>
      <c r="D79" s="49"/>
      <c r="E79" s="26"/>
      <c r="F79" s="200">
        <f t="shared" si="9"/>
        <v>0</v>
      </c>
      <c r="G79" s="195"/>
      <c r="H79" s="191"/>
      <c r="I79" s="187"/>
      <c r="J79" s="191"/>
      <c r="K79" s="187"/>
      <c r="L79" s="191"/>
      <c r="M79" s="187"/>
      <c r="N79" s="191"/>
      <c r="O79" s="187"/>
      <c r="P79" s="191"/>
      <c r="Q79" s="187"/>
      <c r="R79" s="191"/>
      <c r="S79" s="187"/>
      <c r="T79" s="187"/>
      <c r="U79" s="187"/>
      <c r="V79" s="187"/>
      <c r="W79" s="187"/>
    </row>
    <row r="80" spans="2:23" hidden="1" x14ac:dyDescent="0.25">
      <c r="B80" s="57" t="s">
        <v>74</v>
      </c>
      <c r="C80" s="49"/>
      <c r="D80" s="49"/>
      <c r="E80" s="26"/>
      <c r="F80" s="200">
        <f t="shared" si="9"/>
        <v>0</v>
      </c>
      <c r="G80" s="187"/>
      <c r="H80" s="191"/>
      <c r="I80" s="187"/>
      <c r="J80" s="191"/>
      <c r="K80" s="187"/>
      <c r="L80" s="191"/>
      <c r="M80" s="187"/>
      <c r="N80" s="191"/>
      <c r="O80" s="187"/>
      <c r="P80" s="191"/>
      <c r="Q80" s="187"/>
      <c r="R80" s="191"/>
      <c r="S80" s="187"/>
      <c r="T80" s="187"/>
      <c r="U80" s="187"/>
      <c r="V80" s="187"/>
      <c r="W80" s="187"/>
    </row>
    <row r="81" spans="2:23" hidden="1" x14ac:dyDescent="0.25">
      <c r="B81" s="57" t="s">
        <v>104</v>
      </c>
      <c r="C81" s="49"/>
      <c r="D81" s="49"/>
      <c r="E81" s="26"/>
      <c r="F81" s="200">
        <f t="shared" si="9"/>
        <v>0</v>
      </c>
      <c r="G81" s="187"/>
      <c r="H81" s="191"/>
      <c r="I81" s="187"/>
      <c r="J81" s="191"/>
      <c r="K81" s="187"/>
      <c r="L81" s="191"/>
      <c r="M81" s="187"/>
      <c r="N81" s="191"/>
      <c r="O81" s="187"/>
      <c r="P81" s="191"/>
      <c r="Q81" s="187"/>
      <c r="R81" s="191"/>
      <c r="S81" s="187"/>
      <c r="T81" s="187"/>
      <c r="U81" s="187"/>
      <c r="V81" s="187"/>
      <c r="W81" s="187"/>
    </row>
    <row r="82" spans="2:23" x14ac:dyDescent="0.25">
      <c r="B82" s="57" t="s">
        <v>75</v>
      </c>
      <c r="C82" s="49"/>
      <c r="D82" s="49"/>
      <c r="E82" s="26"/>
      <c r="F82" s="200">
        <f t="shared" si="9"/>
        <v>1</v>
      </c>
      <c r="G82" s="187"/>
      <c r="H82" s="191"/>
      <c r="I82" s="187"/>
      <c r="J82" s="191"/>
      <c r="K82" s="187"/>
      <c r="L82" s="191"/>
      <c r="M82" s="187"/>
      <c r="N82" s="191"/>
      <c r="O82" s="187"/>
      <c r="P82" s="191"/>
      <c r="Q82" s="187">
        <v>1</v>
      </c>
      <c r="R82" s="191"/>
      <c r="S82" s="187"/>
      <c r="T82" s="187"/>
      <c r="U82" s="187"/>
      <c r="V82" s="187"/>
      <c r="W82" s="187"/>
    </row>
    <row r="83" spans="2:23" hidden="1" x14ac:dyDescent="0.25">
      <c r="B83" s="57" t="s">
        <v>131</v>
      </c>
      <c r="C83" s="49"/>
      <c r="D83" s="49"/>
      <c r="E83" s="26"/>
      <c r="F83" s="200">
        <f t="shared" si="9"/>
        <v>0</v>
      </c>
      <c r="G83" s="195"/>
      <c r="H83" s="191"/>
      <c r="I83" s="187"/>
      <c r="J83" s="191"/>
      <c r="K83" s="187"/>
      <c r="L83" s="191"/>
      <c r="M83" s="187"/>
      <c r="N83" s="191"/>
      <c r="O83" s="187"/>
      <c r="P83" s="191"/>
      <c r="Q83" s="187"/>
      <c r="R83" s="191"/>
      <c r="S83" s="187"/>
      <c r="T83" s="187"/>
      <c r="U83" s="187"/>
      <c r="V83" s="187"/>
      <c r="W83" s="187"/>
    </row>
    <row r="84" spans="2:23" hidden="1" x14ac:dyDescent="0.25">
      <c r="B84" s="57" t="s">
        <v>77</v>
      </c>
      <c r="C84" s="49"/>
      <c r="D84" s="49"/>
      <c r="E84" s="26"/>
      <c r="F84" s="200">
        <f t="shared" si="9"/>
        <v>0</v>
      </c>
      <c r="G84" s="187"/>
      <c r="H84" s="191"/>
      <c r="I84" s="187"/>
      <c r="J84" s="191"/>
      <c r="K84" s="187"/>
      <c r="L84" s="191"/>
      <c r="M84" s="187"/>
      <c r="N84" s="191"/>
      <c r="O84" s="187"/>
      <c r="P84" s="191"/>
      <c r="Q84" s="187"/>
      <c r="R84" s="191"/>
      <c r="S84" s="187"/>
      <c r="T84" s="187"/>
      <c r="U84" s="187"/>
      <c r="V84" s="187"/>
      <c r="W84" s="187"/>
    </row>
    <row r="85" spans="2:23" x14ac:dyDescent="0.25">
      <c r="B85" s="57" t="s">
        <v>78</v>
      </c>
      <c r="C85" s="49"/>
      <c r="D85" s="49"/>
      <c r="E85" s="26"/>
      <c r="F85" s="200">
        <f t="shared" si="9"/>
        <v>6</v>
      </c>
      <c r="G85" s="187"/>
      <c r="H85" s="191"/>
      <c r="I85" s="187"/>
      <c r="J85" s="191">
        <v>1</v>
      </c>
      <c r="K85" s="187"/>
      <c r="L85" s="191"/>
      <c r="M85" s="187">
        <v>1</v>
      </c>
      <c r="N85" s="191">
        <v>1</v>
      </c>
      <c r="O85" s="187">
        <v>1</v>
      </c>
      <c r="P85" s="191"/>
      <c r="Q85" s="187"/>
      <c r="R85" s="191"/>
      <c r="S85" s="187"/>
      <c r="T85" s="187"/>
      <c r="U85" s="187"/>
      <c r="V85" s="187">
        <v>1</v>
      </c>
      <c r="W85" s="187">
        <v>1</v>
      </c>
    </row>
    <row r="86" spans="2:23" x14ac:dyDescent="0.25">
      <c r="B86" s="57" t="s">
        <v>79</v>
      </c>
      <c r="C86" s="49"/>
      <c r="D86" s="49"/>
      <c r="E86" s="26"/>
      <c r="F86" s="200">
        <f t="shared" si="9"/>
        <v>5</v>
      </c>
      <c r="G86" s="187"/>
      <c r="H86" s="191"/>
      <c r="I86" s="187"/>
      <c r="J86" s="191"/>
      <c r="K86" s="187"/>
      <c r="L86" s="191"/>
      <c r="M86" s="187"/>
      <c r="N86" s="191"/>
      <c r="O86" s="187"/>
      <c r="P86" s="191">
        <v>1</v>
      </c>
      <c r="Q86" s="187">
        <v>1</v>
      </c>
      <c r="R86" s="191"/>
      <c r="S86" s="187"/>
      <c r="T86" s="187">
        <v>1</v>
      </c>
      <c r="U86" s="187">
        <v>1</v>
      </c>
      <c r="V86" s="187">
        <v>1</v>
      </c>
      <c r="W86" s="187"/>
    </row>
    <row r="87" spans="2:23" hidden="1" x14ac:dyDescent="0.25">
      <c r="B87" s="57" t="s">
        <v>198</v>
      </c>
      <c r="C87" s="49"/>
      <c r="D87" s="49"/>
      <c r="E87" s="26"/>
      <c r="F87" s="201">
        <f t="shared" si="9"/>
        <v>0</v>
      </c>
      <c r="G87" s="188"/>
      <c r="H87" s="193"/>
      <c r="I87" s="188"/>
      <c r="J87" s="193"/>
      <c r="K87" s="188"/>
      <c r="L87" s="193"/>
      <c r="M87" s="188"/>
      <c r="N87" s="193"/>
      <c r="O87" s="188"/>
      <c r="P87" s="193"/>
      <c r="Q87" s="188"/>
      <c r="R87" s="193"/>
      <c r="S87" s="188"/>
      <c r="T87" s="188"/>
      <c r="U87" s="188"/>
      <c r="V87" s="188"/>
      <c r="W87" s="188"/>
    </row>
    <row r="88" spans="2:23" x14ac:dyDescent="0.25">
      <c r="B88" s="57"/>
      <c r="C88" s="49"/>
      <c r="D88" s="49"/>
      <c r="E88" s="26"/>
      <c r="F88" s="25"/>
      <c r="G88" s="89"/>
      <c r="H88" s="125"/>
      <c r="I88" s="21"/>
      <c r="J88" s="125"/>
      <c r="K88" s="21"/>
      <c r="L88" s="125"/>
      <c r="M88" s="21"/>
      <c r="N88" s="125"/>
      <c r="O88" s="21"/>
      <c r="P88" s="125"/>
      <c r="Q88" s="21"/>
      <c r="R88" s="125"/>
      <c r="S88" s="21"/>
      <c r="T88" s="21"/>
      <c r="U88" s="21"/>
      <c r="V88" s="21"/>
      <c r="W88" s="21"/>
    </row>
    <row r="89" spans="2:23" x14ac:dyDescent="0.25">
      <c r="B89" s="58" t="s">
        <v>0</v>
      </c>
      <c r="C89" s="91"/>
      <c r="D89" s="52"/>
      <c r="E89" s="354">
        <v>1</v>
      </c>
      <c r="F89" s="309">
        <f>SUM(F91:F96)</f>
        <v>1</v>
      </c>
      <c r="G89" s="94">
        <f>SUM(G91:G96)</f>
        <v>0</v>
      </c>
      <c r="H89" s="159">
        <f t="shared" ref="H89:W89" si="10">SUM(H91:H96)</f>
        <v>0</v>
      </c>
      <c r="I89" s="94">
        <f t="shared" si="10"/>
        <v>0</v>
      </c>
      <c r="J89" s="159">
        <f t="shared" si="10"/>
        <v>0</v>
      </c>
      <c r="K89" s="94">
        <f t="shared" si="10"/>
        <v>0</v>
      </c>
      <c r="L89" s="159">
        <f t="shared" si="10"/>
        <v>0</v>
      </c>
      <c r="M89" s="94">
        <f t="shared" si="10"/>
        <v>0</v>
      </c>
      <c r="N89" s="159">
        <f t="shared" si="10"/>
        <v>0</v>
      </c>
      <c r="O89" s="94">
        <f t="shared" si="10"/>
        <v>1</v>
      </c>
      <c r="P89" s="159">
        <f t="shared" si="10"/>
        <v>0</v>
      </c>
      <c r="Q89" s="94">
        <f t="shared" si="10"/>
        <v>0</v>
      </c>
      <c r="R89" s="159">
        <f t="shared" si="10"/>
        <v>0</v>
      </c>
      <c r="S89" s="94">
        <f t="shared" si="10"/>
        <v>0</v>
      </c>
      <c r="T89" s="94">
        <f t="shared" si="10"/>
        <v>0</v>
      </c>
      <c r="U89" s="94">
        <f t="shared" si="10"/>
        <v>0</v>
      </c>
      <c r="V89" s="94">
        <f t="shared" si="10"/>
        <v>0</v>
      </c>
      <c r="W89" s="94">
        <f t="shared" si="10"/>
        <v>0</v>
      </c>
    </row>
    <row r="90" spans="2:23" hidden="1" x14ac:dyDescent="0.25">
      <c r="B90" s="57" t="s">
        <v>127</v>
      </c>
      <c r="C90" s="49"/>
      <c r="D90" s="49"/>
      <c r="E90" s="324"/>
      <c r="F90" s="199">
        <f>SUM(G90:Y90)</f>
        <v>0</v>
      </c>
      <c r="G90" s="202"/>
      <c r="H90" s="189"/>
      <c r="I90" s="186"/>
      <c r="J90" s="189"/>
      <c r="K90" s="186"/>
      <c r="L90" s="189"/>
      <c r="M90" s="186"/>
      <c r="N90" s="189"/>
      <c r="O90" s="186"/>
      <c r="P90" s="189"/>
      <c r="Q90" s="186"/>
      <c r="R90" s="189"/>
      <c r="S90" s="186"/>
      <c r="T90" s="186"/>
      <c r="U90" s="186"/>
      <c r="V90" s="186"/>
      <c r="W90" s="186"/>
    </row>
    <row r="91" spans="2:23" hidden="1" x14ac:dyDescent="0.25">
      <c r="B91" s="57" t="s">
        <v>81</v>
      </c>
      <c r="C91" s="49"/>
      <c r="D91" s="49"/>
      <c r="E91" s="324"/>
      <c r="F91" s="200">
        <f t="shared" ref="F91:F95" si="11">SUM(G91:Y91)</f>
        <v>0</v>
      </c>
      <c r="G91" s="195"/>
      <c r="H91" s="191"/>
      <c r="I91" s="187"/>
      <c r="J91" s="191"/>
      <c r="K91" s="187"/>
      <c r="L91" s="191"/>
      <c r="M91" s="187"/>
      <c r="N91" s="191"/>
      <c r="O91" s="187"/>
      <c r="P91" s="191"/>
      <c r="Q91" s="187"/>
      <c r="R91" s="191"/>
      <c r="S91" s="187"/>
      <c r="T91" s="187"/>
      <c r="U91" s="187"/>
      <c r="V91" s="187"/>
      <c r="W91" s="187"/>
    </row>
    <row r="92" spans="2:23" hidden="1" x14ac:dyDescent="0.25">
      <c r="B92" s="57" t="s">
        <v>82</v>
      </c>
      <c r="C92" s="49"/>
      <c r="D92" s="49"/>
      <c r="E92" s="324"/>
      <c r="F92" s="200">
        <f t="shared" si="11"/>
        <v>0</v>
      </c>
      <c r="G92" s="195"/>
      <c r="H92" s="191"/>
      <c r="I92" s="187"/>
      <c r="J92" s="191"/>
      <c r="K92" s="187"/>
      <c r="L92" s="191"/>
      <c r="M92" s="187"/>
      <c r="N92" s="191"/>
      <c r="O92" s="187"/>
      <c r="P92" s="191"/>
      <c r="Q92" s="187"/>
      <c r="R92" s="191"/>
      <c r="S92" s="187"/>
      <c r="T92" s="187"/>
      <c r="U92" s="187"/>
      <c r="V92" s="187"/>
      <c r="W92" s="187"/>
    </row>
    <row r="93" spans="2:23" hidden="1" x14ac:dyDescent="0.25">
      <c r="B93" s="57" t="s">
        <v>83</v>
      </c>
      <c r="C93" s="49"/>
      <c r="D93" s="49"/>
      <c r="E93" s="324"/>
      <c r="F93" s="200">
        <f t="shared" si="11"/>
        <v>0</v>
      </c>
      <c r="G93" s="195"/>
      <c r="H93" s="191"/>
      <c r="I93" s="187"/>
      <c r="J93" s="191"/>
      <c r="K93" s="187"/>
      <c r="L93" s="191"/>
      <c r="M93" s="187"/>
      <c r="N93" s="191"/>
      <c r="O93" s="187"/>
      <c r="P93" s="191"/>
      <c r="Q93" s="187"/>
      <c r="R93" s="191"/>
      <c r="S93" s="187"/>
      <c r="T93" s="187"/>
      <c r="U93" s="187"/>
      <c r="V93" s="187"/>
      <c r="W93" s="187"/>
    </row>
    <row r="94" spans="2:23" hidden="1" x14ac:dyDescent="0.25">
      <c r="B94" s="57" t="s">
        <v>84</v>
      </c>
      <c r="C94" s="49"/>
      <c r="D94" s="49"/>
      <c r="E94" s="324"/>
      <c r="F94" s="200">
        <f t="shared" si="11"/>
        <v>0</v>
      </c>
      <c r="G94" s="195"/>
      <c r="H94" s="191"/>
      <c r="I94" s="187"/>
      <c r="J94" s="191"/>
      <c r="K94" s="187"/>
      <c r="L94" s="191"/>
      <c r="M94" s="187"/>
      <c r="N94" s="191"/>
      <c r="O94" s="187"/>
      <c r="P94" s="191"/>
      <c r="Q94" s="187"/>
      <c r="R94" s="191"/>
      <c r="S94" s="187"/>
      <c r="T94" s="187"/>
      <c r="U94" s="187"/>
      <c r="V94" s="187"/>
      <c r="W94" s="187"/>
    </row>
    <row r="95" spans="2:23" x14ac:dyDescent="0.25">
      <c r="B95" s="57" t="s">
        <v>85</v>
      </c>
      <c r="C95" s="49"/>
      <c r="D95" s="49"/>
      <c r="E95" s="324"/>
      <c r="F95" s="355">
        <f t="shared" si="11"/>
        <v>1</v>
      </c>
      <c r="G95" s="222"/>
      <c r="H95" s="198"/>
      <c r="I95" s="197"/>
      <c r="J95" s="198"/>
      <c r="K95" s="197"/>
      <c r="L95" s="198"/>
      <c r="M95" s="197"/>
      <c r="N95" s="198"/>
      <c r="O95" s="197">
        <v>1</v>
      </c>
      <c r="P95" s="198"/>
      <c r="Q95" s="197"/>
      <c r="R95" s="198"/>
      <c r="S95" s="197"/>
      <c r="T95" s="197"/>
      <c r="U95" s="197"/>
      <c r="V95" s="197"/>
      <c r="W95" s="197"/>
    </row>
    <row r="96" spans="2:23" hidden="1" x14ac:dyDescent="0.25">
      <c r="B96" s="57" t="s">
        <v>87</v>
      </c>
      <c r="C96" s="49"/>
      <c r="D96" s="49"/>
      <c r="E96" s="324"/>
      <c r="F96" s="201">
        <f>SUM(G96:Y96)</f>
        <v>0</v>
      </c>
      <c r="G96" s="196"/>
      <c r="H96" s="193"/>
      <c r="I96" s="188"/>
      <c r="J96" s="193"/>
      <c r="K96" s="188"/>
      <c r="L96" s="193"/>
      <c r="M96" s="188"/>
      <c r="N96" s="193"/>
      <c r="O96" s="188"/>
      <c r="P96" s="193"/>
      <c r="Q96" s="188"/>
      <c r="R96" s="193"/>
      <c r="S96" s="188"/>
      <c r="T96" s="188"/>
      <c r="U96" s="188"/>
      <c r="V96" s="188"/>
      <c r="W96" s="188"/>
    </row>
    <row r="97" spans="2:23" x14ac:dyDescent="0.25">
      <c r="B97" s="61"/>
      <c r="C97" s="55"/>
      <c r="D97" s="55"/>
      <c r="E97" s="342"/>
      <c r="F97" s="331"/>
      <c r="G97" s="127"/>
      <c r="H97" s="343"/>
      <c r="I97" s="23"/>
      <c r="J97" s="343"/>
      <c r="K97" s="23"/>
      <c r="L97" s="99"/>
      <c r="M97" s="23"/>
      <c r="N97" s="99"/>
      <c r="O97" s="23"/>
      <c r="P97" s="99"/>
      <c r="Q97" s="23"/>
      <c r="R97" s="99"/>
      <c r="S97" s="23"/>
      <c r="T97" s="23"/>
      <c r="U97" s="23"/>
      <c r="V97" s="23"/>
      <c r="W97" s="23"/>
    </row>
    <row r="99" spans="2:23" x14ac:dyDescent="0.25">
      <c r="B99" s="1" t="s">
        <v>413</v>
      </c>
    </row>
    <row r="100" spans="2:23" x14ac:dyDescent="0.25">
      <c r="B100" s="1" t="s">
        <v>414</v>
      </c>
    </row>
    <row r="101" spans="2:23" x14ac:dyDescent="0.25">
      <c r="B101" s="1" t="s">
        <v>415</v>
      </c>
    </row>
    <row r="102" spans="2:23" x14ac:dyDescent="0.25">
      <c r="B102" s="1" t="s">
        <v>416</v>
      </c>
    </row>
    <row r="103" spans="2:23" x14ac:dyDescent="0.25">
      <c r="B103" s="1" t="s">
        <v>487</v>
      </c>
    </row>
    <row r="104" spans="2:23" x14ac:dyDescent="0.25">
      <c r="B104" s="1" t="s">
        <v>488</v>
      </c>
    </row>
    <row r="105" spans="2:23" x14ac:dyDescent="0.25">
      <c r="B105" s="1" t="s">
        <v>489</v>
      </c>
    </row>
    <row r="106" spans="2:23" x14ac:dyDescent="0.25">
      <c r="B106" s="1" t="s">
        <v>490</v>
      </c>
    </row>
    <row r="109" spans="2:23" x14ac:dyDescent="0.25">
      <c r="G109" s="17" t="s">
        <v>7</v>
      </c>
    </row>
  </sheetData>
  <mergeCells count="8">
    <mergeCell ref="B2:C2"/>
    <mergeCell ref="B8:D9"/>
    <mergeCell ref="E8:F10"/>
    <mergeCell ref="G8:W9"/>
    <mergeCell ref="G10:G11"/>
    <mergeCell ref="H10:L10"/>
    <mergeCell ref="M10:V10"/>
    <mergeCell ref="W10:W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1B Public interest</vt:lpstr>
      <vt:lpstr>2B Overarching concerns</vt:lpstr>
      <vt:lpstr>3B Prof Skepticism</vt:lpstr>
      <vt:lpstr>4B IRFs</vt:lpstr>
      <vt:lpstr>5B IT</vt:lpstr>
      <vt:lpstr>6B FS level risk</vt:lpstr>
      <vt:lpstr>7B RSPA</vt:lpstr>
      <vt:lpstr>8B Documentation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Phil Minnaar</cp:lastModifiedBy>
  <cp:lastPrinted>2019-06-13T16:20:34Z</cp:lastPrinted>
  <dcterms:created xsi:type="dcterms:W3CDTF">2018-11-29T15:25:24Z</dcterms:created>
  <dcterms:modified xsi:type="dcterms:W3CDTF">2019-06-14T17:00:04Z</dcterms:modified>
</cp:coreProperties>
</file>