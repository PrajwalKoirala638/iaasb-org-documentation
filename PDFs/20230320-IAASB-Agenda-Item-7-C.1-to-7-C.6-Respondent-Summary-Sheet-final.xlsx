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mc:AlternateContent xmlns:mc="http://schemas.openxmlformats.org/markup-compatibility/2006">
    <mc:Choice Requires="x15">
      <x15ac:absPath xmlns:x15ac="http://schemas.microsoft.com/office/spreadsheetml/2010/11/ac" url="F:\KALINA\IAASB\IESBA PIE Project\IAASB Meeting 20 March 2023\FINAL FOR POSTING\"/>
    </mc:Choice>
  </mc:AlternateContent>
  <xr:revisionPtr revIDLastSave="0" documentId="13_ncr:1_{0F33B371-1004-4EC6-818E-C9B3F0ADCDE1}" xr6:coauthVersionLast="47" xr6:coauthVersionMax="47" xr10:uidLastSave="{00000000-0000-0000-0000-000000000000}"/>
  <bookViews>
    <workbookView xWindow="-110" yWindow="-110" windowWidth="19420" windowHeight="10420" xr2:uid="{00000000-000D-0000-FFFF-FFFF00000000}"/>
  </bookViews>
  <sheets>
    <sheet name="Question 1" sheetId="2" r:id="rId1"/>
    <sheet name="Question 2B" sheetId="5" r:id="rId2"/>
    <sheet name="Question 2A(a)" sheetId="3" r:id="rId3"/>
    <sheet name="Question 2A(b)" sheetId="4" r:id="rId4"/>
    <sheet name="Question 3" sheetId="6" r:id="rId5"/>
    <sheet name="Question 4" sheetId="7" r:id="rId6"/>
  </sheets>
  <calcPr calcId="191029"/>
  <pivotCaches>
    <pivotCache cacheId="4" r:id="rId7"/>
    <pivotCache cacheId="5"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7" l="1"/>
  <c r="H13" i="7"/>
  <c r="H14" i="7"/>
  <c r="H15" i="7"/>
  <c r="H16" i="7"/>
  <c r="H11" i="7"/>
  <c r="H12" i="6"/>
  <c r="H13" i="6"/>
  <c r="H14" i="6"/>
  <c r="H15" i="6"/>
  <c r="H16" i="6"/>
  <c r="H11" i="6"/>
  <c r="H12" i="4"/>
  <c r="H13" i="4"/>
  <c r="H14" i="4"/>
  <c r="H15" i="4"/>
  <c r="H16" i="4"/>
  <c r="H11" i="4"/>
  <c r="H12" i="3"/>
  <c r="H13" i="3"/>
  <c r="H14" i="3"/>
  <c r="H15" i="3"/>
  <c r="H16" i="3"/>
  <c r="H11" i="3"/>
  <c r="H12" i="2"/>
  <c r="H13" i="2"/>
  <c r="H14" i="2"/>
  <c r="H15" i="2"/>
  <c r="H16" i="2"/>
  <c r="H11" i="2"/>
  <c r="C22" i="4"/>
  <c r="C21" i="3"/>
  <c r="H17" i="3" l="1"/>
  <c r="C20" i="3" s="1"/>
  <c r="C22" i="3" s="1"/>
  <c r="H17" i="4"/>
  <c r="C21" i="4" s="1"/>
  <c r="C23" i="4" s="1"/>
  <c r="H17" i="7"/>
  <c r="C8" i="7" s="1"/>
  <c r="F8" i="4"/>
  <c r="E8" i="4"/>
  <c r="G8" i="4"/>
  <c r="E8" i="3"/>
  <c r="D8" i="3"/>
  <c r="F8" i="3"/>
  <c r="C8" i="3"/>
  <c r="H8" i="3"/>
  <c r="G8" i="3"/>
  <c r="E8" i="7"/>
  <c r="H8" i="7"/>
  <c r="H17" i="6"/>
  <c r="F8" i="6" s="1"/>
  <c r="H17" i="2"/>
  <c r="E8" i="6" l="1"/>
  <c r="C8" i="6"/>
  <c r="H8" i="4"/>
  <c r="C8" i="4"/>
  <c r="D8" i="4"/>
  <c r="G8" i="7"/>
  <c r="F8" i="7"/>
  <c r="D8" i="7"/>
  <c r="H8" i="2"/>
  <c r="C8" i="2"/>
  <c r="D8" i="2"/>
  <c r="E8" i="2"/>
  <c r="F8" i="2"/>
  <c r="G8" i="2"/>
  <c r="H8" i="6"/>
  <c r="G8" i="6"/>
  <c r="D8" i="6"/>
</calcChain>
</file>

<file path=xl/sharedStrings.xml><?xml version="1.0" encoding="utf-8"?>
<sst xmlns="http://schemas.openxmlformats.org/spreadsheetml/2006/main" count="219" uniqueCount="106">
  <si>
    <t>5. Public Sector Organizations</t>
  </si>
  <si>
    <t>2. Regulators and Oversight Authorities</t>
  </si>
  <si>
    <t>4. Accounting Firms</t>
  </si>
  <si>
    <t>3. National Auditing Standard Setters</t>
  </si>
  <si>
    <t>1. Monitoring Group</t>
  </si>
  <si>
    <t>Total</t>
  </si>
  <si>
    <t>Row Labels</t>
  </si>
  <si>
    <t>Grand Total</t>
  </si>
  <si>
    <t xml:space="preserve"> of 1.1. Agree</t>
  </si>
  <si>
    <t xml:space="preserve"> 1.2. Agree with comments</t>
  </si>
  <si>
    <t xml:space="preserve"> 1.3. Disagree</t>
  </si>
  <si>
    <t xml:space="preserve"> 1.4. Neither agree nor disagree</t>
  </si>
  <si>
    <t xml:space="preserve"> 1.5. No specific comment</t>
  </si>
  <si>
    <t xml:space="preserve"> 1.1.1. Clear mechanism to operationalize IESBA’s transparency requirement</t>
  </si>
  <si>
    <t xml:space="preserve"> 1.1.2. Optimal mechanism in terms of timeliness, accessibility and consistency for</t>
  </si>
  <si>
    <t xml:space="preserve"> 1.1.3. Preferable to other potential mechanisms</t>
  </si>
  <si>
    <t xml:space="preserve"> 1.1.4. Support for close cooperation with IESBA</t>
  </si>
  <si>
    <t xml:space="preserve"> 1.1.5. Other comments</t>
  </si>
  <si>
    <t xml:space="preserve"> 1.2.1. Auditor's report may not always be in the public domain and s</t>
  </si>
  <si>
    <t xml:space="preserve"> 1.2.2. Flexibility should be allowed when a jurisdiction determines</t>
  </si>
  <si>
    <t xml:space="preserve"> 1.2.6. Other comments</t>
  </si>
  <si>
    <t xml:space="preserve"> 1.3.1. Adopting the term public interest entity into the ISAs</t>
  </si>
  <si>
    <t xml:space="preserve"> 1.3.3. Concerns with length, boilerplate, new information and cumulative change</t>
  </si>
  <si>
    <t xml:space="preserve"> 1.3.4. Flexibility should be allowed when a jurisdiction determines that there</t>
  </si>
  <si>
    <t xml:space="preserve"> 1.3.6. Other comments</t>
  </si>
  <si>
    <t xml:space="preserve">                                                                                                                                                             </t>
  </si>
  <si>
    <t>Level 1 Analysis</t>
  </si>
  <si>
    <t>Level 2 Analysis</t>
  </si>
  <si>
    <t xml:space="preserve">Percentage </t>
  </si>
  <si>
    <t>Listed Entities and Public Interest Entity: Summary of Feedback from Respondents</t>
  </si>
  <si>
    <r>
      <rPr>
        <b/>
        <sz val="10"/>
        <color theme="1"/>
        <rFont val="Arial"/>
        <family val="2"/>
      </rPr>
      <t xml:space="preserve">Transparency About the Relevant Ethical Requirements for Independence for Certain Entities Applied in Performing Audits of Financial Statements
</t>
    </r>
    <r>
      <rPr>
        <b/>
        <u/>
        <sz val="10"/>
        <color theme="1"/>
        <rFont val="Arial"/>
        <family val="2"/>
      </rPr>
      <t xml:space="preserve">
</t>
    </r>
    <r>
      <rPr>
        <sz val="10"/>
        <color theme="1"/>
        <rFont val="Arial"/>
        <family val="2"/>
      </rPr>
      <t>1. Do you agree that the auditor’s report is an appropriate mechanism for publicly disclosing when the auditor has applied relevant ethical requirements for independence for certain entities in performing the audit of financial statements, such as the independence requirements for PIEs in the IESBA Code?</t>
    </r>
  </si>
  <si>
    <t>Agree</t>
  </si>
  <si>
    <t xml:space="preserve">Agree with Comments </t>
  </si>
  <si>
    <t>Disagree</t>
  </si>
  <si>
    <t xml:space="preserve"> 2A(a).1. Agree</t>
  </si>
  <si>
    <t xml:space="preserve"> 2A(a).2. Agree with comments</t>
  </si>
  <si>
    <t xml:space="preserve"> 2A(a).3. Disagree</t>
  </si>
  <si>
    <t xml:space="preserve">  2A(a).4. Neither agree nor disagree</t>
  </si>
  <si>
    <t xml:space="preserve"> 2A(a).5. No specific comments</t>
  </si>
  <si>
    <t xml:space="preserve"> 2A(a).2.1. Use of term differential requirements for certain entities</t>
  </si>
  <si>
    <t xml:space="preserve"> 2A(a).2.3. Risk that users may believe an entity is a PIE when it is not in instances of voluntary disclosure</t>
  </si>
  <si>
    <t xml:space="preserve"> 2A(a).2.4. Application for group audits</t>
  </si>
  <si>
    <t xml:space="preserve"> 2A(a).2.7. Recommendations for guidance</t>
  </si>
  <si>
    <t xml:space="preserve"> 2A(a).2.8. Other comments</t>
  </si>
  <si>
    <r>
      <rPr>
        <b/>
        <sz val="10"/>
        <color theme="1"/>
        <rFont val="Arial"/>
        <family val="2"/>
      </rPr>
      <t xml:space="preserve">Transparency About the Relevant Ethical Requirements for Independence for Certain Entities Applied in Performing Audits of Financial Statements
</t>
    </r>
    <r>
      <rPr>
        <b/>
        <u/>
        <sz val="10"/>
        <color theme="1"/>
        <rFont val="Arial"/>
        <family val="2"/>
      </rPr>
      <t xml:space="preserve">
</t>
    </r>
    <r>
      <rPr>
        <i/>
        <sz val="10"/>
        <color theme="1"/>
        <rFont val="Arial"/>
        <family val="2"/>
      </rPr>
      <t>Please answer question 2A or 2B based on your answer to question 1:</t>
    </r>
    <r>
      <rPr>
        <sz val="10"/>
        <color theme="1"/>
        <rFont val="Arial"/>
        <family val="2"/>
      </rPr>
      <t xml:space="preserve">
2A. If you agree:
(a) Do you support the IAASB’s proposed revisions in the ED to ISA 700 (Revised), in particular the conditional requirement as explained in paragraphs 18-24 of the Explanatory Memorandum? </t>
    </r>
  </si>
  <si>
    <t>Agree with Comments</t>
  </si>
  <si>
    <t xml:space="preserve"> 2A(b).1. Agree</t>
  </si>
  <si>
    <t xml:space="preserve"> 2A(b).2. Agree with comments</t>
  </si>
  <si>
    <t xml:space="preserve"> 2A(b).3. Disagree</t>
  </si>
  <si>
    <t xml:space="preserve"> 2A(b).4. Neither agree nor disagree</t>
  </si>
  <si>
    <t xml:space="preserve"> A2(b).5. No specific comments</t>
  </si>
  <si>
    <t xml:space="preserve"> 2A(b).2.1. Inconsistency in applicability of the requirement (for listed entities) and the application material (for PIEs</t>
  </si>
  <si>
    <t xml:space="preserve"> 2A(b).2.2. Other comments and drafting suggestions</t>
  </si>
  <si>
    <r>
      <rPr>
        <b/>
        <sz val="10"/>
        <color theme="1"/>
        <rFont val="Arial"/>
        <family val="2"/>
      </rPr>
      <t xml:space="preserve">Transparency About the Relevant Ethical Requirements for Independence for Certain Entities Applied in Performing Audits of Financial Statements
</t>
    </r>
    <r>
      <rPr>
        <b/>
        <u/>
        <sz val="10"/>
        <color theme="1"/>
        <rFont val="Arial"/>
        <family val="2"/>
      </rPr>
      <t xml:space="preserve">
</t>
    </r>
    <r>
      <rPr>
        <i/>
        <sz val="10"/>
        <color theme="1"/>
        <rFont val="Arial"/>
        <family val="2"/>
      </rPr>
      <t>Please answer question 2A or 2B based on your answer to question 1:</t>
    </r>
    <r>
      <rPr>
        <sz val="10"/>
        <color theme="1"/>
        <rFont val="Arial"/>
        <family val="2"/>
      </rPr>
      <t xml:space="preserve">
2A. If you agree:
(b) Do you support the IAASB’s proposed revisions in the ED to ISA 260 (Revised)?</t>
    </r>
  </si>
  <si>
    <t xml:space="preserve"> 2B.2. Basis for Opinion</t>
  </si>
  <si>
    <t xml:space="preserve"> 2B.3. Support for conditional requirement should the IAASB determine that auditor's report is appropriate mechanism</t>
  </si>
  <si>
    <t xml:space="preserve"> 2B.4. Guidance by IESBA on alternative mechanisms</t>
  </si>
  <si>
    <t xml:space="preserve"> 2B.5. No alternative mechanism as it should be left to marketplace innovation</t>
  </si>
  <si>
    <t xml:space="preserve"> 2B.7. Other comments</t>
  </si>
  <si>
    <r>
      <rPr>
        <b/>
        <sz val="10"/>
        <color theme="1"/>
        <rFont val="Arial"/>
        <family val="2"/>
      </rPr>
      <t xml:space="preserve">Transparency About the Relevant Ethical Requirements for Independence for Certain Entities Applied in Performing Audits of Financial Statements
</t>
    </r>
    <r>
      <rPr>
        <b/>
        <u/>
        <sz val="10"/>
        <color theme="1"/>
        <rFont val="Arial"/>
        <family val="2"/>
      </rPr>
      <t xml:space="preserve">
</t>
    </r>
    <r>
      <rPr>
        <sz val="10"/>
        <color theme="1"/>
        <rFont val="Arial"/>
        <family val="2"/>
      </rPr>
      <t>2B. If you do not agree, what other mechanism(s) should be used for publicly disclosing when a firm has applied the independence requirements for PIEs as required by paragraph R400.20 of the IESBA Code?</t>
    </r>
  </si>
  <si>
    <t xml:space="preserve"> 3.1. Agree</t>
  </si>
  <si>
    <t xml:space="preserve"> 3.2. Agree with comments</t>
  </si>
  <si>
    <t xml:space="preserve"> 3.3. Disagree</t>
  </si>
  <si>
    <t xml:space="preserve"> 3.4. Neither Agree or Disagree</t>
  </si>
  <si>
    <t xml:space="preserve"> 3.5. No specific comments</t>
  </si>
  <si>
    <t xml:space="preserve"> 3.2.1. Consistency among review and audit reports</t>
  </si>
  <si>
    <t xml:space="preserve"> 3.2.3. Revision of ISRE 2410 should also be considered</t>
  </si>
  <si>
    <t xml:space="preserve"> 3.2.4. Broader revision and separate project should be considered in IAASB workplan</t>
  </si>
  <si>
    <t xml:space="preserve"> 3.2.5. Other comments</t>
  </si>
  <si>
    <t xml:space="preserve"> 3.3.1. Review engagements are rare for listed entities or PIEs</t>
  </si>
  <si>
    <t xml:space="preserve"> 3.3.2. More relevant to consider a revision of ISRE 2410</t>
  </si>
  <si>
    <t xml:space="preserve"> 3.3.5. Other comments</t>
  </si>
  <si>
    <r>
      <rPr>
        <b/>
        <sz val="10"/>
        <color theme="1"/>
        <rFont val="Arial"/>
        <family val="2"/>
      </rPr>
      <t xml:space="preserve">Transparency About the Relevant Ethical Requirements for Independence for Certain Entities Applied in Performing Reviews of Financial Statements
</t>
    </r>
    <r>
      <rPr>
        <b/>
        <u/>
        <sz val="10"/>
        <color theme="1"/>
        <rFont val="Arial"/>
        <family val="2"/>
      </rPr>
      <t xml:space="preserve">
</t>
    </r>
    <r>
      <rPr>
        <sz val="10"/>
        <color theme="1"/>
        <rFont val="Arial"/>
        <family val="2"/>
      </rPr>
      <t>3. Should the IAASB consider a revision to ISRE 2400 (Revised) to address transparency about the relevant ethical requirements for independence applied for certain entities, such as the independence requirements for PIEs in the IESBA Code?</t>
    </r>
  </si>
  <si>
    <t xml:space="preserve"> 4.1. Agree</t>
  </si>
  <si>
    <t xml:space="preserve"> 4.2. Agree with comments</t>
  </si>
  <si>
    <t xml:space="preserve"> 4.3. Disagree</t>
  </si>
  <si>
    <t xml:space="preserve"> 4.4. Neither agree nor disagree</t>
  </si>
  <si>
    <t xml:space="preserve"> 4.5. No specific comments</t>
  </si>
  <si>
    <r>
      <rPr>
        <b/>
        <sz val="10"/>
        <color theme="1"/>
        <rFont val="Arial"/>
        <family val="2"/>
      </rPr>
      <t xml:space="preserve">Transparency About the Relevant Ethical Requirements for Independence for Certain Entities Applied in Performing Reviews of Financial Statements
</t>
    </r>
    <r>
      <rPr>
        <b/>
        <u/>
        <sz val="10"/>
        <color theme="1"/>
        <rFont val="Arial"/>
        <family val="2"/>
      </rPr>
      <t xml:space="preserve">
</t>
    </r>
    <r>
      <rPr>
        <sz val="10"/>
        <color theme="1"/>
        <rFont val="Arial"/>
        <family val="2"/>
      </rPr>
      <t>4. If the IAASB were to amend ISRE 2400 (Revised) to address transparency about the relevant ethical requirements for independence applied for certain entities, do you support using an approach that is consistent with ISA 700 (Revised) as explained in Section 2-C?</t>
    </r>
  </si>
  <si>
    <t xml:space="preserve"> 4.2.2. Other comments</t>
  </si>
  <si>
    <t>Reconciliation of Responses:</t>
  </si>
  <si>
    <t>1. Total respondents to Question 2A(a)</t>
  </si>
  <si>
    <t>1. Total respondents to Question 2A(b)</t>
  </si>
  <si>
    <t xml:space="preserve"> 2B.1. Mechanism should be determined by each jurisdiction and relevant local bodies</t>
  </si>
  <si>
    <t xml:space="preserve"> 2B.6. Website, transparency report, written declaration of independence</t>
  </si>
  <si>
    <t>6. Member Bodies and Other Professional Organizations</t>
  </si>
  <si>
    <t xml:space="preserve"> 1.2.3. Concerns with length, boilerplate, new information and cumulative impact to the changes in the auditor's report</t>
  </si>
  <si>
    <t xml:space="preserve"> 1.2.4. Disclosure is of limited value to users, may cause confusion</t>
  </si>
  <si>
    <t xml:space="preserve"> 1.2.5. Limited other options available to provide the public disclosure</t>
  </si>
  <si>
    <t xml:space="preserve"> 1.3.2. Disclosure is of limited value to users, may cause confusion and increase</t>
  </si>
  <si>
    <t xml:space="preserve"> 1.3.5. Disclosure should not be provided in the Basis for Opinion</t>
  </si>
  <si>
    <t xml:space="preserve"> 2A(a).2.2. Illustrative reports in the Appendix</t>
  </si>
  <si>
    <t xml:space="preserve"> 2A(a).2.5. Comparative audited financial statement</t>
  </si>
  <si>
    <t xml:space="preserve"> 2A(a).2.6. Proposed amendments to other ISAs</t>
  </si>
  <si>
    <t xml:space="preserve"> 3.2.2. Necessary to comply with Part 4A of the IESBA Code</t>
  </si>
  <si>
    <t xml:space="preserve">  3.3.3. Support to revise the transparency requirement of the IESBA Code to apply only to audits</t>
  </si>
  <si>
    <t xml:space="preserve"> 3.3.4. Not necessary to address transparency for review engagements</t>
  </si>
  <si>
    <t xml:space="preserve"> 4.2.1. Do not believe revision of ISRE 2400 (Revised) is necessary, but support consistent approach</t>
  </si>
  <si>
    <t>2. Respondents to Question 1 who disagree or with no specific comments</t>
  </si>
  <si>
    <t>Agenda Item</t>
  </si>
  <si>
    <t>7-C.1</t>
  </si>
  <si>
    <t>7-C.2</t>
  </si>
  <si>
    <t>7-C.3</t>
  </si>
  <si>
    <t>7-C.4</t>
  </si>
  <si>
    <t>7-C.5</t>
  </si>
  <si>
    <t>7-C.6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</si>
</sst>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6"/>
      <color theme="1"/>
      <name val="Arial"/>
      <family val="2"/>
    </font>
    <font>
      <sz val="10"/>
      <color theme="1"/>
      <name val="Arial"/>
      <family val="2"/>
    </font>
    <font>
      <b/>
      <u/>
      <sz val="10"/>
      <color theme="1"/>
      <name val="Arial"/>
      <family val="2"/>
    </font>
    <font>
      <b/>
      <sz val="10"/>
      <color theme="1"/>
      <name val="Arial"/>
      <family val="2"/>
    </font>
    <font>
      <sz val="11"/>
      <color rgb="FF000000"/>
      <name val="Calibri"/>
      <family val="2"/>
      <scheme val="minor"/>
    </font>
    <font>
      <b/>
      <sz val="10"/>
      <color theme="3"/>
      <name val="Arial"/>
      <family val="2"/>
    </font>
    <font>
      <i/>
      <sz val="10"/>
      <color theme="1"/>
      <name val="Arial"/>
      <family val="2"/>
    </font>
    <font>
      <b/>
      <u/>
      <sz val="11"/>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7">
    <border>
      <left/>
      <right/>
      <top/>
      <bottom/>
      <diagonal/>
    </border>
    <border>
      <left/>
      <right/>
      <top style="medium">
        <color theme="4" tint="-0.249977111117893"/>
      </top>
      <bottom/>
      <diagonal/>
    </border>
    <border>
      <left/>
      <right/>
      <top style="thin">
        <color theme="4" tint="-0.249977111117893"/>
      </top>
      <bottom style="medium">
        <color theme="4" tint="-0.249977111117893"/>
      </bottom>
      <diagonal/>
    </border>
    <border>
      <left style="medium">
        <color indexed="64"/>
      </left>
      <right/>
      <top style="medium">
        <color indexed="64"/>
      </top>
      <bottom style="medium">
        <color indexed="64"/>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3" fillId="0" borderId="0" xfId="0" applyFont="1"/>
    <xf numFmtId="0" fontId="0" fillId="0" borderId="0" xfId="0" applyAlignment="1">
      <alignment horizontal="left"/>
    </xf>
    <xf numFmtId="0" fontId="0" fillId="0" borderId="0" xfId="0" applyAlignment="1">
      <alignment horizontal="center" wrapText="1"/>
    </xf>
    <xf numFmtId="0" fontId="0" fillId="0" borderId="0" xfId="0" pivotButton="1" applyAlignment="1">
      <alignment horizontal="center" wrapText="1"/>
    </xf>
    <xf numFmtId="0" fontId="0" fillId="0" borderId="0" xfId="0" applyAlignment="1">
      <alignment horizontal="center"/>
    </xf>
    <xf numFmtId="0" fontId="2" fillId="3" borderId="1" xfId="0" applyFont="1" applyFill="1" applyBorder="1" applyAlignment="1">
      <alignment horizontal="center" wrapText="1"/>
    </xf>
    <xf numFmtId="0" fontId="3" fillId="2" borderId="0" xfId="0" applyFont="1" applyFill="1" applyAlignment="1">
      <alignment horizontal="center"/>
    </xf>
    <xf numFmtId="0" fontId="3" fillId="0" borderId="2" xfId="0" applyFont="1" applyBorder="1" applyAlignment="1">
      <alignment horizontal="center"/>
    </xf>
    <xf numFmtId="0" fontId="4" fillId="0" borderId="0" xfId="0" applyFont="1"/>
    <xf numFmtId="0" fontId="5" fillId="0" borderId="0" xfId="0" applyFont="1" applyAlignment="1">
      <alignment horizontal="center"/>
    </xf>
    <xf numFmtId="0" fontId="4" fillId="0" borderId="0" xfId="0" applyFont="1" applyAlignment="1">
      <alignment horizontal="right"/>
    </xf>
    <xf numFmtId="0" fontId="5" fillId="0" borderId="0" xfId="0" applyFont="1"/>
    <xf numFmtId="0" fontId="8" fillId="0" borderId="0" xfId="0" applyFont="1"/>
    <xf numFmtId="0" fontId="9" fillId="0" borderId="4" xfId="0" applyFont="1" applyBorder="1" applyAlignment="1">
      <alignment horizontal="center"/>
    </xf>
    <xf numFmtId="0" fontId="7" fillId="0" borderId="0" xfId="0" applyFont="1" applyAlignment="1">
      <alignment horizontal="center"/>
    </xf>
    <xf numFmtId="9" fontId="3" fillId="0" borderId="0" xfId="1" applyFont="1" applyAlignment="1">
      <alignment horizontal="center"/>
    </xf>
    <xf numFmtId="0" fontId="3" fillId="7" borderId="2" xfId="0" applyFont="1" applyFill="1" applyBorder="1" applyAlignment="1">
      <alignment horizontal="center"/>
    </xf>
    <xf numFmtId="0" fontId="3" fillId="0" borderId="0" xfId="0" applyFont="1" applyAlignment="1">
      <alignment horizontal="left"/>
    </xf>
    <xf numFmtId="0" fontId="11" fillId="0" borderId="0" xfId="0" applyFont="1" applyAlignment="1">
      <alignment horizontal="left"/>
    </xf>
    <xf numFmtId="0" fontId="6" fillId="4" borderId="3" xfId="0" applyFont="1" applyFill="1" applyBorder="1" applyAlignment="1">
      <alignment horizontal="left" vertical="center" wrapText="1"/>
    </xf>
    <xf numFmtId="0" fontId="6" fillId="4" borderId="5" xfId="0" applyFont="1" applyFill="1" applyBorder="1" applyAlignment="1">
      <alignment horizontal="left" vertical="center" wrapText="1"/>
    </xf>
    <xf numFmtId="0" fontId="6" fillId="4" borderId="6" xfId="0" applyFont="1" applyFill="1" applyBorder="1" applyAlignment="1">
      <alignment horizontal="left" vertical="center" wrapText="1"/>
    </xf>
    <xf numFmtId="0" fontId="3" fillId="5" borderId="0" xfId="0" applyFont="1" applyFill="1" applyAlignment="1">
      <alignment horizontal="center"/>
    </xf>
    <xf numFmtId="0" fontId="3" fillId="6" borderId="0" xfId="0" applyFont="1" applyFill="1" applyAlignment="1">
      <alignment horizontal="center"/>
    </xf>
    <xf numFmtId="0" fontId="3" fillId="7" borderId="0" xfId="0" applyFont="1" applyFill="1" applyAlignment="1">
      <alignment horizontal="center"/>
    </xf>
    <xf numFmtId="0" fontId="6" fillId="4" borderId="3" xfId="0" applyFont="1" applyFill="1" applyBorder="1" applyAlignment="1">
      <alignment horizontal="left" vertical="top" wrapText="1"/>
    </xf>
    <xf numFmtId="0" fontId="6" fillId="4" borderId="5" xfId="0" applyFont="1" applyFill="1" applyBorder="1" applyAlignment="1">
      <alignment horizontal="left" vertical="top" wrapText="1"/>
    </xf>
    <xf numFmtId="0" fontId="6" fillId="4" borderId="6" xfId="0" applyFont="1" applyFill="1" applyBorder="1" applyAlignment="1">
      <alignment horizontal="left" vertical="top" wrapText="1"/>
    </xf>
    <xf numFmtId="0" fontId="0" fillId="0" borderId="0" xfId="0" applyNumberFormat="1" applyAlignment="1">
      <alignment horizontal="center"/>
    </xf>
  </cellXfs>
  <cellStyles count="2">
    <cellStyle name="Normal" xfId="0" builtinId="0"/>
    <cellStyle name="Percent" xfId="1" builtinId="5"/>
  </cellStyles>
  <dxfs count="84">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horizontal="center"/>
    </dxf>
    <dxf>
      <alignment wrapText="1"/>
    </dxf>
    <dxf>
      <alignment wrapText="1"/>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KALINA/IAASB/IESBA%20PIE%20Project/IAASB%20Meeting%2020%20March%202023/Final%20Drafts/20230320-IAASB-Agenda%20Item%207-C.1%20to%207-C.6-Respondent%20Summary%20Sheet%20(final).xlsx%5d.xlsx%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KALINA/IAASB/IESBA%20PIE%20Project/IAASB%20Meeting%2020%20March%202023/Final%20Drafts/20230320-IAASB-Agenda%20Item%207-C.1%20to%207-C.6-Respondent%20Summary%20Sheet%20(final).xlsx%5d.xlsx%5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4937.796989699076" createdVersion="8" refreshedVersion="8" minRefreshableVersion="3" recordCount="38" xr:uid="{1ED973B8-024C-41D2-8BA8-80CE0C3B1593}">
  <cacheSource type="worksheet">
    <worksheetSource ref="A1:BV39" sheet=".xlsx].xlsx]Respondent" r:id="rId2"/>
  </cacheSource>
  <cacheFields count="74">
    <cacheField name="Respondent" numFmtId="0">
      <sharedItems count="38">
        <s v="01. International Forum of Independent Audit Regulators (IFIAR)"/>
        <s v="02. International Organization of Securities Commission (IOSCO)"/>
        <s v="03. Botswana Accountancy Oversight Authority (BAOA)"/>
        <s v="04. Committee of European Auditing Oversight Bodies (CEAOB)"/>
        <s v="05. Financial Reporting Council – UK (FRC)"/>
        <s v="06. Independent Regulatory Board for Auditors – South Africa (IRBA)"/>
        <s v="07. National Association of State Boards of Accountancy (NASBA)"/>
        <s v="08. American Institute of Certified Public Accountants (AICPA)"/>
        <s v="09. Australian Auditing and Assurance Standards Board (AUASB)"/>
        <s v="10. Canadian Auditing and Assurance Standards Board"/>
        <s v="11. Compagnie Nationale des Commissaires aux Comptes (CNCC) and Conseil Supérieur de l'Ordre des Experts-Comptables (CSOEC)"/>
        <s v="12. Federación Argentina de Consejos Profesionales de Cs. Económicas (FACPCE)"/>
        <s v="13. Hong Kong Institute of Certified Public Accountants (HKICPA)"/>
        <s v="14. Institut der Wirtschaftspruefer in Deutschland e.V.(IDW)"/>
        <s v="15. Japanese Institute of Certified Public Accountants (JICPA)"/>
        <s v="16. Malaysian Institute of Accountants - Auditing and Assurance Standards Board (MIA)"/>
        <s v="17. New Zealand Auditing and Assurance Standards Board (XRB)"/>
        <s v="18. Deloitte LLP"/>
        <s v="19. Ernst &amp; Young Global Limited"/>
        <s v="20. Grand Thornton International Limited"/>
        <s v="21. KPMG IFRG Limited"/>
        <s v="22. PriceWaterhouseCoopers"/>
        <s v="23. RSM International Limited"/>
        <s v="24. Office of the Auditor General of Alberta"/>
        <s v="25. Botswana Institute of Chartered Accountants"/>
        <s v="26. Chartered Accountants Australia and New Zealand (CA ANZ) and the Association of Chartered Certified Accountants (ACCA)"/>
        <s v="27. CPA Australia"/>
        <s v="28. Federation of Accounting Professions of Thailand"/>
        <s v="29. Institute of Chartered Accountants in England and Wales (ICAEW)"/>
        <s v="30. Institute of Chartered Accountants of Nigeria"/>
        <s v="31. Institute of Chartered Accountants of Scotland (ICAS)"/>
        <s v="32. International Federation of Accountants’ Small and Medium Practices Advisory Groups (SMPAG)"/>
        <s v="33. Korean Institute of Certified Public Accountants (KICPA)"/>
        <s v="34. Malaysian Institute of Certified Public Accountants (MICPA)"/>
        <s v="35. Pan African Federation of Accountants (PAFA)"/>
        <s v="36. Saudi Organization for Chartered and Professional Accountants (SOCPA)"/>
        <s v="37. The South African Institute of Chartered Accountants (SAICA)"/>
        <s v="38. South African Institute of Professional Accountants"/>
      </sharedItems>
    </cacheField>
    <cacheField name="Region" numFmtId="0">
      <sharedItems/>
    </cacheField>
    <cacheField name="Clasification" numFmtId="0">
      <sharedItems count="6">
        <s v="1. Monitoring Group"/>
        <s v="2. Regulators and Oversight Authorities"/>
        <s v="3. National Auditing Standard Setters"/>
        <s v="4. Accounting Firms"/>
        <s v="5. Public Sector Organizations"/>
        <s v="6. Member Bodies and Other Profesional Organizations"/>
      </sharedItems>
    </cacheField>
    <cacheField name="1.1. Agree" numFmtId="0">
      <sharedItems containsSemiMixedTypes="0" containsString="0" containsNumber="1" containsInteger="1" minValue="0" maxValue="1"/>
    </cacheField>
    <cacheField name="1.2. Agree with comments" numFmtId="0">
      <sharedItems containsSemiMixedTypes="0" containsString="0" containsNumber="1" containsInteger="1" minValue="0" maxValue="1"/>
    </cacheField>
    <cacheField name="1.3. Disagree" numFmtId="0">
      <sharedItems containsSemiMixedTypes="0" containsString="0" containsNumber="1" containsInteger="1" minValue="0" maxValue="1"/>
    </cacheField>
    <cacheField name="1.4. Neither agree nor disagree" numFmtId="0">
      <sharedItems containsSemiMixedTypes="0" containsString="0" containsNumber="1" containsInteger="1" minValue="0" maxValue="1"/>
    </cacheField>
    <cacheField name="1.5. No specific comment" numFmtId="0">
      <sharedItems containsSemiMixedTypes="0" containsString="0" containsNumber="1" containsInteger="1" minValue="0" maxValue="1"/>
    </cacheField>
    <cacheField name="1.1.1. Clear mechanism to operationalize IESBA’s transparency requirement" numFmtId="0">
      <sharedItems containsSemiMixedTypes="0" containsString="0" containsNumber="1" containsInteger="1" minValue="0" maxValue="1"/>
    </cacheField>
    <cacheField name="1.1.2. Optimal mechanism in terms of timeliness, accessibility and consistency for" numFmtId="0">
      <sharedItems containsSemiMixedTypes="0" containsString="0" containsNumber="1" containsInteger="1" minValue="0" maxValue="1"/>
    </cacheField>
    <cacheField name="1.1.3. Preferable to other potential mechanisms" numFmtId="0">
      <sharedItems containsSemiMixedTypes="0" containsString="0" containsNumber="1" containsInteger="1" minValue="0" maxValue="1"/>
    </cacheField>
    <cacheField name="1.1.4. Support for close cooperation with IESBA" numFmtId="0">
      <sharedItems containsSemiMixedTypes="0" containsString="0" containsNumber="1" containsInteger="1" minValue="0" maxValue="1"/>
    </cacheField>
    <cacheField name="1.1.5. Other comments" numFmtId="0">
      <sharedItems containsSemiMixedTypes="0" containsString="0" containsNumber="1" containsInteger="1" minValue="0" maxValue="1"/>
    </cacheField>
    <cacheField name="1.2.1. Auditor's report may not always be in the public domain and s" numFmtId="0">
      <sharedItems containsSemiMixedTypes="0" containsString="0" containsNumber="1" containsInteger="1" minValue="0" maxValue="1"/>
    </cacheField>
    <cacheField name="1.2.2. Flexibility should be allowed when a jurisdiction determines" numFmtId="0">
      <sharedItems containsSemiMixedTypes="0" containsString="0" containsNumber="1" containsInteger="1" minValue="0" maxValue="1"/>
    </cacheField>
    <cacheField name="1.2.3. Concerns with length, boilerplate, new information and cumula" numFmtId="0">
      <sharedItems containsSemiMixedTypes="0" containsString="0" containsNumber="1" containsInteger="1" minValue="0" maxValue="1"/>
    </cacheField>
    <cacheField name="1.2.4. Disclousure is of limited value to users, may cause confusion" numFmtId="0">
      <sharedItems containsSemiMixedTypes="0" containsString="0" containsNumber="1" containsInteger="1" minValue="0" maxValue="1"/>
    </cacheField>
    <cacheField name="1.2.5. Limited other options available to provide the public disclos" numFmtId="0">
      <sharedItems containsSemiMixedTypes="0" containsString="0" containsNumber="1" containsInteger="1" minValue="0" maxValue="1"/>
    </cacheField>
    <cacheField name="1.2.6. Other comments" numFmtId="0">
      <sharedItems containsSemiMixedTypes="0" containsString="0" containsNumber="1" containsInteger="1" minValue="0" maxValue="1"/>
    </cacheField>
    <cacheField name="1.3.1. Adopting the term public interest entity into the ISAs" numFmtId="0">
      <sharedItems containsSemiMixedTypes="0" containsString="0" containsNumber="1" containsInteger="1" minValue="0" maxValue="1"/>
    </cacheField>
    <cacheField name="1.3.2. Disclousure is of limited value to users, may cause confusion and increa" numFmtId="0">
      <sharedItems containsSemiMixedTypes="0" containsString="0" containsNumber="1" containsInteger="1" minValue="0" maxValue="1"/>
    </cacheField>
    <cacheField name="1.3.3. Concerns with length, boilerplate, new information and cumulative change" numFmtId="0">
      <sharedItems containsSemiMixedTypes="0" containsString="0" containsNumber="1" containsInteger="1" minValue="0" maxValue="1"/>
    </cacheField>
    <cacheField name="1.3.4. Flexibility should be allowed when a jurisdiction determines that there" numFmtId="0">
      <sharedItems containsSemiMixedTypes="0" containsString="0" containsNumber="1" containsInteger="1" minValue="0" maxValue="1"/>
    </cacheField>
    <cacheField name="1.3.5. Disclousure should not be provided in the Basis for Opinion" numFmtId="0">
      <sharedItems containsSemiMixedTypes="0" containsString="0" containsNumber="1" containsInteger="1" minValue="0" maxValue="1"/>
    </cacheField>
    <cacheField name="1.3.6. Other comments" numFmtId="0">
      <sharedItems containsSemiMixedTypes="0" containsString="0" containsNumber="1" containsInteger="1" minValue="0" maxValue="1"/>
    </cacheField>
    <cacheField name="2A(a).1. Agree" numFmtId="0">
      <sharedItems containsSemiMixedTypes="0" containsString="0" containsNumber="1" containsInteger="1" minValue="0" maxValue="1"/>
    </cacheField>
    <cacheField name="2A(a).2. Agree with comments" numFmtId="0">
      <sharedItems containsSemiMixedTypes="0" containsString="0" containsNumber="1" containsInteger="1" minValue="0" maxValue="1"/>
    </cacheField>
    <cacheField name="2A(a).3. Disagree" numFmtId="0">
      <sharedItems containsSemiMixedTypes="0" containsString="0" containsNumber="1" containsInteger="1" minValue="0" maxValue="1"/>
    </cacheField>
    <cacheField name="2A(a).4. Neither agree nor disagree" numFmtId="0">
      <sharedItems containsSemiMixedTypes="0" containsString="0" containsNumber="1" containsInteger="1" minValue="0" maxValue="1"/>
    </cacheField>
    <cacheField name="2A(a).5. No specific comments" numFmtId="0">
      <sharedItems containsSemiMixedTypes="0" containsString="0" containsNumber="1" containsInteger="1" minValue="0" maxValue="1"/>
    </cacheField>
    <cacheField name="2A(a).2.1. Use of term differential requirements for certain entities" numFmtId="0">
      <sharedItems containsSemiMixedTypes="0" containsString="0" containsNumber="1" containsInteger="1" minValue="0" maxValue="1"/>
    </cacheField>
    <cacheField name="2A(a).2.2. Ilustrative reports in the Apendix" numFmtId="0">
      <sharedItems containsSemiMixedTypes="0" containsString="0" containsNumber="1" containsInteger="1" minValue="0" maxValue="1"/>
    </cacheField>
    <cacheField name="2A(a).2.3. Risk that users may believe an entity is a PIE when it is not in instances of voluntary disclosure" numFmtId="0">
      <sharedItems containsSemiMixedTypes="0" containsString="0" containsNumber="1" containsInteger="1" minValue="0" maxValue="1"/>
    </cacheField>
    <cacheField name="2A(a).2.4. Application for group audits" numFmtId="0">
      <sharedItems containsSemiMixedTypes="0" containsString="0" containsNumber="1" containsInteger="1" minValue="0" maxValue="1"/>
    </cacheField>
    <cacheField name="2A(a).2.5. Comperative audited financial statement" numFmtId="0">
      <sharedItems containsSemiMixedTypes="0" containsString="0" containsNumber="1" containsInteger="1" minValue="0" maxValue="1"/>
    </cacheField>
    <cacheField name="2A(a).2.6. Proposed amendements to other ISAs" numFmtId="0">
      <sharedItems containsSemiMixedTypes="0" containsString="0" containsNumber="1" containsInteger="1" minValue="0" maxValue="1"/>
    </cacheField>
    <cacheField name="2A(a).2.7. Recommendations for guidance" numFmtId="0">
      <sharedItems containsSemiMixedTypes="0" containsString="0" containsNumber="1" containsInteger="1" minValue="0" maxValue="1"/>
    </cacheField>
    <cacheField name="2A(a).2.8. Other comments" numFmtId="0">
      <sharedItems containsSemiMixedTypes="0" containsString="0" containsNumber="1" containsInteger="1" minValue="0" maxValue="1"/>
    </cacheField>
    <cacheField name="2A(b).1. Agree" numFmtId="0">
      <sharedItems containsSemiMixedTypes="0" containsString="0" containsNumber="1" containsInteger="1" minValue="0" maxValue="1"/>
    </cacheField>
    <cacheField name="2A(b).2. Agree with comments" numFmtId="0">
      <sharedItems containsSemiMixedTypes="0" containsString="0" containsNumber="1" containsInteger="1" minValue="0" maxValue="1"/>
    </cacheField>
    <cacheField name="2A(b).3. Disagree" numFmtId="0">
      <sharedItems containsSemiMixedTypes="0" containsString="0" containsNumber="1" containsInteger="1" minValue="0" maxValue="1"/>
    </cacheField>
    <cacheField name="2A(b).4. Neither agree nor disagree" numFmtId="0">
      <sharedItems containsSemiMixedTypes="0" containsString="0" containsNumber="1" containsInteger="1" minValue="0" maxValue="1"/>
    </cacheField>
    <cacheField name="A2(b).5. No specific comments" numFmtId="0">
      <sharedItems containsSemiMixedTypes="0" containsString="0" containsNumber="1" containsInteger="1" minValue="0" maxValue="1"/>
    </cacheField>
    <cacheField name="2A(b).2.1. Inconsistency in applicability of the requirement (for listed entities) and the application material (for PIEs" numFmtId="0">
      <sharedItems containsSemiMixedTypes="0" containsString="0" containsNumber="1" containsInteger="1" minValue="0" maxValue="1"/>
    </cacheField>
    <cacheField name="2A(b).2.2. Other comments and drafting suggestions" numFmtId="0">
      <sharedItems containsSemiMixedTypes="0" containsString="0" containsNumber="1" containsInteger="1" minValue="0" maxValue="1"/>
    </cacheField>
    <cacheField name="3.1. Agree" numFmtId="0">
      <sharedItems containsSemiMixedTypes="0" containsString="0" containsNumber="1" containsInteger="1" minValue="0" maxValue="1"/>
    </cacheField>
    <cacheField name="3.2. Agree with comments" numFmtId="0">
      <sharedItems containsSemiMixedTypes="0" containsString="0" containsNumber="1" containsInteger="1" minValue="0" maxValue="1"/>
    </cacheField>
    <cacheField name="3.3. Disagree" numFmtId="0">
      <sharedItems containsSemiMixedTypes="0" containsString="0" containsNumber="1" containsInteger="1" minValue="0" maxValue="1"/>
    </cacheField>
    <cacheField name="3.4. Neither Agree or Disagree" numFmtId="0">
      <sharedItems containsSemiMixedTypes="0" containsString="0" containsNumber="1" containsInteger="1" minValue="0" maxValue="1"/>
    </cacheField>
    <cacheField name="3.5. No specific comments" numFmtId="0">
      <sharedItems containsSemiMixedTypes="0" containsString="0" containsNumber="1" containsInteger="1" minValue="0" maxValue="1"/>
    </cacheField>
    <cacheField name="3.2.1. Consistency among review and audit reports" numFmtId="0">
      <sharedItems containsSemiMixedTypes="0" containsString="0" containsNumber="1" containsInteger="1" minValue="0" maxValue="1"/>
    </cacheField>
    <cacheField name="3.2.2. Necessary to complay with Part 4A of the IESBA Code" numFmtId="0">
      <sharedItems containsSemiMixedTypes="0" containsString="0" containsNumber="1" containsInteger="1" minValue="0" maxValue="1"/>
    </cacheField>
    <cacheField name="3.2.3. Revision of ISRE 2410 should also be considered" numFmtId="0">
      <sharedItems containsSemiMixedTypes="0" containsString="0" containsNumber="1" containsInteger="1" minValue="0" maxValue="1"/>
    </cacheField>
    <cacheField name="3.2.4. Broader revision and separate project should be considered in IAASB workplan" numFmtId="0">
      <sharedItems containsSemiMixedTypes="0" containsString="0" containsNumber="1" containsInteger="1" minValue="0" maxValue="1"/>
    </cacheField>
    <cacheField name="3.2.5. Other comments" numFmtId="0">
      <sharedItems containsSemiMixedTypes="0" containsString="0" containsNumber="1" containsInteger="1" minValue="0" maxValue="1"/>
    </cacheField>
    <cacheField name="3.3.1. Review engagements are rare for listed entities or PIEs" numFmtId="0">
      <sharedItems containsSemiMixedTypes="0" containsString="0" containsNumber="1" containsInteger="1" minValue="0" maxValue="1"/>
    </cacheField>
    <cacheField name="3.3.2. More relevant to consider a revision of ISRE 2410" numFmtId="0">
      <sharedItems containsSemiMixedTypes="0" containsString="0" containsNumber="1" containsInteger="1" minValue="0" maxValue="1"/>
    </cacheField>
    <cacheField name="3.3.3. Support to revise the trasperancy requirement of the IESBA Code to apply only to audits" numFmtId="0">
      <sharedItems containsSemiMixedTypes="0" containsString="0" containsNumber="1" containsInteger="1" minValue="0" maxValue="1"/>
    </cacheField>
    <cacheField name="3.3.4. Not necessary to address trasparency for review engagements" numFmtId="0">
      <sharedItems containsSemiMixedTypes="0" containsString="0" containsNumber="1" containsInteger="1" minValue="0" maxValue="1"/>
    </cacheField>
    <cacheField name="3.3.5. Other comments" numFmtId="0">
      <sharedItems containsSemiMixedTypes="0" containsString="0" containsNumber="1" containsInteger="1" minValue="0" maxValue="1"/>
    </cacheField>
    <cacheField name="4.1. Agree" numFmtId="0">
      <sharedItems containsSemiMixedTypes="0" containsString="0" containsNumber="1" containsInteger="1" minValue="0" maxValue="1"/>
    </cacheField>
    <cacheField name="4.2. Agree with comments" numFmtId="0">
      <sharedItems containsSemiMixedTypes="0" containsString="0" containsNumber="1" containsInteger="1" minValue="0" maxValue="1"/>
    </cacheField>
    <cacheField name="4.3. Disagree" numFmtId="0">
      <sharedItems containsSemiMixedTypes="0" containsString="0" containsNumber="1" containsInteger="1" minValue="0" maxValue="1"/>
    </cacheField>
    <cacheField name="4.4. Neither agree nor disagree" numFmtId="0">
      <sharedItems containsSemiMixedTypes="0" containsString="0" containsNumber="1" containsInteger="1" minValue="0" maxValue="1"/>
    </cacheField>
    <cacheField name="4.5. No specific comments" numFmtId="0">
      <sharedItems containsSemiMixedTypes="0" containsString="0" containsNumber="1" containsInteger="1" minValue="0" maxValue="1"/>
    </cacheField>
    <cacheField name="4.2.1. Do not beleive revision of ISRE 2400 (Revised) is necessary, but support consistent approach" numFmtId="0">
      <sharedItems containsSemiMixedTypes="0" containsString="0" containsNumber="1" containsInteger="1" minValue="0" maxValue="1"/>
    </cacheField>
    <cacheField name="4.2.2. Other comments" numFmtId="0">
      <sharedItems containsSemiMixedTypes="0" containsString="0" containsNumber="1" containsInteger="1" minValue="0" maxValue="1"/>
    </cacheField>
    <cacheField name="2B.1. Mechanisam should be determined by each jurisdiction and relevant local bodies" numFmtId="0">
      <sharedItems containsSemiMixedTypes="0" containsString="0" containsNumber="1" containsInteger="1" minValue="0" maxValue="1"/>
    </cacheField>
    <cacheField name="2B.2. Basis for Opinion" numFmtId="0">
      <sharedItems containsSemiMixedTypes="0" containsString="0" containsNumber="1" containsInteger="1" minValue="0" maxValue="1"/>
    </cacheField>
    <cacheField name="2B.3. Support for conditional requirement should the IAASB determine that auditor's report is appropriate mechanism" numFmtId="0">
      <sharedItems containsSemiMixedTypes="0" containsString="0" containsNumber="1" containsInteger="1" minValue="0" maxValue="1"/>
    </cacheField>
    <cacheField name="2B.4. Guidance by IESBA on alternative mechanisms" numFmtId="0">
      <sharedItems containsSemiMixedTypes="0" containsString="0" containsNumber="1" containsInteger="1" minValue="0" maxValue="1"/>
    </cacheField>
    <cacheField name="2B.5. No alternative mechanism as it should be left to marketplace innovation" numFmtId="0">
      <sharedItems containsSemiMixedTypes="0" containsString="0" containsNumber="1" containsInteger="1" minValue="0" maxValue="1"/>
    </cacheField>
    <cacheField name="2B.6. Website, traspernacy report, written declaration of independence" numFmtId="0">
      <sharedItems containsSemiMixedTypes="0" containsString="0" containsNumber="1" containsInteger="1" minValue="0" maxValue="1"/>
    </cacheField>
    <cacheField name="2B.7.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4937.852444791664" createdVersion="8" refreshedVersion="8" minRefreshableVersion="3" recordCount="38" xr:uid="{47016383-2011-4218-AEF1-EE58152CFCB7}">
  <cacheSource type="worksheet">
    <worksheetSource ref="A1:BO39" sheet=".xlsx].xlsx]Respondent" r:id="rId2"/>
  </cacheSource>
  <cacheFields count="67">
    <cacheField name="Respondent" numFmtId="0">
      <sharedItems count="38">
        <s v="01. International Forum of Independent Audit Regulators (IFIAR)"/>
        <s v="02. International Organization of Securities Commission (IOSCO)"/>
        <s v="03. Botswana Accountancy Oversight Authority (BAOA)"/>
        <s v="04. Committee of European Auditing Oversight Bodies (CEAOB)"/>
        <s v="05. Financial Reporting Council – UK (FRC)"/>
        <s v="06. Independent Regulatory Board for Auditors – South Africa (IRBA)"/>
        <s v="07. National Association of State Boards of Accountancy (NASBA)"/>
        <s v="08. American Institute of Certified Public Accountants (AICPA)"/>
        <s v="09. Australian Auditing and Assurance Standards Board (AUASB)"/>
        <s v="10. Canadian Auditing and Assurance Standards Board"/>
        <s v="11. Compagnie Nationale des Commissaires aux Comptes (CNCC) and Conseil Supérieur de l'Ordre des Experts-Comptables (CSOEC)"/>
        <s v="12. Federación Argentina de Consejos Profesionales de Cs. Económicas (FACPCE)"/>
        <s v="13. Hong Kong Institute of Certified Public Accountants (HKICPA)"/>
        <s v="14. Institut der Wirtschaftspruefer in Deutschland e.V.(IDW)"/>
        <s v="15. Japanese Institute of Certified Public Accountants (JICPA)"/>
        <s v="16. Malaysian Institute of Accountants - Auditing and Assurance Standards Board (MIA)"/>
        <s v="17. New Zealand Auditing and Assurance Standards Board (XRB)"/>
        <s v="18. Deloitte LLP"/>
        <s v="19. Ernst &amp; Young Global Limited"/>
        <s v="20. Grand Thornton International Limited"/>
        <s v="21. KPMG IFRG Limited"/>
        <s v="22. PriceWaterhouseCoopers"/>
        <s v="23. RSM International Limited"/>
        <s v="24. Office of the Auditor General of Alberta"/>
        <s v="25. Botswana Institute of Chartered Accountants"/>
        <s v="26. Chartered Accountants Australia and New Zealand (CA ANZ) and the Association of Chartered Certified Accountants (ACCA)"/>
        <s v="27. CPA Australia"/>
        <s v="28. Federation of Accounting Professions of Thailand"/>
        <s v="29. Institute of Chartered Accountants in England and Wales (ICAEW)"/>
        <s v="30. Institute of Chartered Accountants of Nigeria"/>
        <s v="31. Institute of Chartered Accountants of Scotland (ICAS)"/>
        <s v="32. International Federation of Accountants’ Small and Medium Practices Advisory Groups (SMPAG)"/>
        <s v="33. Korean Institute of Certified Public Accountants (KICPA)"/>
        <s v="34. Malaysian Institute of Certified Public Accountants (MICPA)"/>
        <s v="35. Pan African Federation of Accountants (PAFA)"/>
        <s v="36. Saudi Organization for Chartered and Professional Accountants (SOCPA)"/>
        <s v="37. The South African Institute of Chartered Accountants (SAICA)"/>
        <s v="38. South African Institute of Professional Accountants"/>
      </sharedItems>
    </cacheField>
    <cacheField name="Region" numFmtId="0">
      <sharedItems/>
    </cacheField>
    <cacheField name="Clasification" numFmtId="0">
      <sharedItems count="6">
        <s v="1. Monitoring Group"/>
        <s v="2. Regulators and Oversight Authorities"/>
        <s v="3. National Auditing Standard Setters"/>
        <s v="4. Accounting Firms"/>
        <s v="5. Public Sector Organizations"/>
        <s v="6. Member Bodies and Other Profesional Organizations"/>
      </sharedItems>
    </cacheField>
    <cacheField name="1.1. Agree" numFmtId="0">
      <sharedItems containsSemiMixedTypes="0" containsString="0" containsNumber="1" containsInteger="1" minValue="0" maxValue="1"/>
    </cacheField>
    <cacheField name="1.2. Agree with comments" numFmtId="0">
      <sharedItems containsSemiMixedTypes="0" containsString="0" containsNumber="1" containsInteger="1" minValue="0" maxValue="1"/>
    </cacheField>
    <cacheField name="1.3. Disagree" numFmtId="0">
      <sharedItems containsSemiMixedTypes="0" containsString="0" containsNumber="1" containsInteger="1" minValue="0" maxValue="1"/>
    </cacheField>
    <cacheField name="1.4. Neither agree nor disagree" numFmtId="0">
      <sharedItems containsSemiMixedTypes="0" containsString="0" containsNumber="1" containsInteger="1" minValue="0" maxValue="1"/>
    </cacheField>
    <cacheField name="1.5. No specific comment" numFmtId="0">
      <sharedItems containsSemiMixedTypes="0" containsString="0" containsNumber="1" containsInteger="1" minValue="0" maxValue="1"/>
    </cacheField>
    <cacheField name="1.1.1. Clear mechanism to operationalize IESBA’s transparency requirement" numFmtId="0">
      <sharedItems containsSemiMixedTypes="0" containsString="0" containsNumber="1" containsInteger="1" minValue="0" maxValue="1"/>
    </cacheField>
    <cacheField name="1.1.2. Optimal mechanism in terms of timeliness, accessibility and consistency for" numFmtId="0">
      <sharedItems containsSemiMixedTypes="0" containsString="0" containsNumber="1" containsInteger="1" minValue="0" maxValue="1"/>
    </cacheField>
    <cacheField name="1.1.3. Preferable to other potential mechanisms" numFmtId="0">
      <sharedItems containsSemiMixedTypes="0" containsString="0" containsNumber="1" containsInteger="1" minValue="0" maxValue="1"/>
    </cacheField>
    <cacheField name="1.1.4. Support for close cooperation with IESBA" numFmtId="0">
      <sharedItems containsSemiMixedTypes="0" containsString="0" containsNumber="1" containsInteger="1" minValue="0" maxValue="1"/>
    </cacheField>
    <cacheField name="1.1.5. Other comments" numFmtId="0">
      <sharedItems containsSemiMixedTypes="0" containsString="0" containsNumber="1" containsInteger="1" minValue="0" maxValue="1"/>
    </cacheField>
    <cacheField name="1.2.1. Auditor's report may not always be in the public domain and s" numFmtId="0">
      <sharedItems containsSemiMixedTypes="0" containsString="0" containsNumber="1" containsInteger="1" minValue="0" maxValue="1"/>
    </cacheField>
    <cacheField name="1.2.2. Flexibility should be allowed when a jurisdiction determines" numFmtId="0">
      <sharedItems containsSemiMixedTypes="0" containsString="0" containsNumber="1" containsInteger="1" minValue="0" maxValue="1"/>
    </cacheField>
    <cacheField name="1.2.3. Concerns with length, boilerplate, new information and cumula" numFmtId="0">
      <sharedItems containsSemiMixedTypes="0" containsString="0" containsNumber="1" containsInteger="1" minValue="0" maxValue="1"/>
    </cacheField>
    <cacheField name="1.2.4. Disclousure is of limited value to users, may cause confusion" numFmtId="0">
      <sharedItems containsSemiMixedTypes="0" containsString="0" containsNumber="1" containsInteger="1" minValue="0" maxValue="1"/>
    </cacheField>
    <cacheField name="1.2.5. Limited other options available to provide the public disclos" numFmtId="0">
      <sharedItems containsSemiMixedTypes="0" containsString="0" containsNumber="1" containsInteger="1" minValue="0" maxValue="1"/>
    </cacheField>
    <cacheField name="1.2.6. Other comments" numFmtId="0">
      <sharedItems containsSemiMixedTypes="0" containsString="0" containsNumber="1" containsInteger="1" minValue="0" maxValue="1"/>
    </cacheField>
    <cacheField name="1.3.1. Adopting the term public interest entity into the ISAs" numFmtId="0">
      <sharedItems containsSemiMixedTypes="0" containsString="0" containsNumber="1" containsInteger="1" minValue="0" maxValue="1"/>
    </cacheField>
    <cacheField name="1.3.2. Disclousure is of limited value to users, may cause confusion and increa" numFmtId="0">
      <sharedItems containsSemiMixedTypes="0" containsString="0" containsNumber="1" containsInteger="1" minValue="0" maxValue="1"/>
    </cacheField>
    <cacheField name="1.3.3. Concerns with length, boilerplate, new information and cumulative change" numFmtId="0">
      <sharedItems containsSemiMixedTypes="0" containsString="0" containsNumber="1" containsInteger="1" minValue="0" maxValue="1"/>
    </cacheField>
    <cacheField name="1.3.4. Flexibility should be allowed when a jurisdiction determines that there" numFmtId="0">
      <sharedItems containsSemiMixedTypes="0" containsString="0" containsNumber="1" containsInteger="1" minValue="0" maxValue="1"/>
    </cacheField>
    <cacheField name="1.3.5. Disclousure should not be provided in the Basis for Opinion" numFmtId="0">
      <sharedItems containsSemiMixedTypes="0" containsString="0" containsNumber="1" containsInteger="1" minValue="0" maxValue="1"/>
    </cacheField>
    <cacheField name="1.3.6. Other comments" numFmtId="0">
      <sharedItems containsSemiMixedTypes="0" containsString="0" containsNumber="1" containsInteger="1" minValue="0" maxValue="1"/>
    </cacheField>
    <cacheField name="2A(a).1. Agree" numFmtId="0">
      <sharedItems containsSemiMixedTypes="0" containsString="0" containsNumber="1" containsInteger="1" minValue="0" maxValue="1"/>
    </cacheField>
    <cacheField name="2A(a).2. Agree with comments" numFmtId="0">
      <sharedItems containsSemiMixedTypes="0" containsString="0" containsNumber="1" containsInteger="1" minValue="0" maxValue="1"/>
    </cacheField>
    <cacheField name="2A(a).3. Disagree" numFmtId="0">
      <sharedItems containsSemiMixedTypes="0" containsString="0" containsNumber="1" containsInteger="1" minValue="0" maxValue="1"/>
    </cacheField>
    <cacheField name="2A(a).4. Neither agree nor disagree" numFmtId="0">
      <sharedItems containsSemiMixedTypes="0" containsString="0" containsNumber="1" containsInteger="1" minValue="0" maxValue="1"/>
    </cacheField>
    <cacheField name="2A(a).5. No specific comments" numFmtId="0">
      <sharedItems containsSemiMixedTypes="0" containsString="0" containsNumber="1" containsInteger="1" minValue="0" maxValue="1"/>
    </cacheField>
    <cacheField name="2A(a).2.1. Use of term differential requirements for certain entities" numFmtId="0">
      <sharedItems containsSemiMixedTypes="0" containsString="0" containsNumber="1" containsInteger="1" minValue="0" maxValue="1"/>
    </cacheField>
    <cacheField name="2A(a).2.2. Ilustrative reports in the Apendix" numFmtId="0">
      <sharedItems containsSemiMixedTypes="0" containsString="0" containsNumber="1" containsInteger="1" minValue="0" maxValue="1"/>
    </cacheField>
    <cacheField name="2A(a).2.3. Risk that users may believe an entity is a PIE when it is not in instances of voluntary disclosure" numFmtId="0">
      <sharedItems containsSemiMixedTypes="0" containsString="0" containsNumber="1" containsInteger="1" minValue="0" maxValue="1"/>
    </cacheField>
    <cacheField name="2A(a).2.4. Application for group audits" numFmtId="0">
      <sharedItems containsSemiMixedTypes="0" containsString="0" containsNumber="1" containsInteger="1" minValue="0" maxValue="1"/>
    </cacheField>
    <cacheField name="2A(a).2.5. Comperative audited financial statement" numFmtId="0">
      <sharedItems containsSemiMixedTypes="0" containsString="0" containsNumber="1" containsInteger="1" minValue="0" maxValue="1"/>
    </cacheField>
    <cacheField name="2A(a).2.6. Proposed amendements to other ISAs" numFmtId="0">
      <sharedItems containsSemiMixedTypes="0" containsString="0" containsNumber="1" containsInteger="1" minValue="0" maxValue="1"/>
    </cacheField>
    <cacheField name="2A(a).2.7. Recommendations for guidance" numFmtId="0">
      <sharedItems containsSemiMixedTypes="0" containsString="0" containsNumber="1" containsInteger="1" minValue="0" maxValue="1"/>
    </cacheField>
    <cacheField name="2A(a).2.8. Other comments" numFmtId="0">
      <sharedItems containsSemiMixedTypes="0" containsString="0" containsNumber="1" containsInteger="1" minValue="0" maxValue="1"/>
    </cacheField>
    <cacheField name="2A(b).1. Agree" numFmtId="0">
      <sharedItems containsSemiMixedTypes="0" containsString="0" containsNumber="1" containsInteger="1" minValue="0" maxValue="1"/>
    </cacheField>
    <cacheField name="2A(b).2. Agree with comments" numFmtId="0">
      <sharedItems containsSemiMixedTypes="0" containsString="0" containsNumber="1" containsInteger="1" minValue="0" maxValue="1"/>
    </cacheField>
    <cacheField name="2A(b).3. Disagree" numFmtId="0">
      <sharedItems containsSemiMixedTypes="0" containsString="0" containsNumber="1" containsInteger="1" minValue="0" maxValue="1"/>
    </cacheField>
    <cacheField name="2A(b).4. Neither agree nor disagree" numFmtId="0">
      <sharedItems containsSemiMixedTypes="0" containsString="0" containsNumber="1" containsInteger="1" minValue="0" maxValue="1"/>
    </cacheField>
    <cacheField name="A2(b).5. No specific comments" numFmtId="0">
      <sharedItems containsSemiMixedTypes="0" containsString="0" containsNumber="1" containsInteger="1" minValue="0" maxValue="1"/>
    </cacheField>
    <cacheField name="2A(b).2.1. Inconsistency in applicability of the requirement (for listed entities) and the application material (for PIEs" numFmtId="0">
      <sharedItems containsSemiMixedTypes="0" containsString="0" containsNumber="1" containsInteger="1" minValue="0" maxValue="1"/>
    </cacheField>
    <cacheField name="2A(b).2.2. Other comments and drafting suggestions" numFmtId="0">
      <sharedItems containsSemiMixedTypes="0" containsString="0" containsNumber="1" containsInteger="1" minValue="0" maxValue="1"/>
    </cacheField>
    <cacheField name="3.1. Agree" numFmtId="0">
      <sharedItems containsSemiMixedTypes="0" containsString="0" containsNumber="1" containsInteger="1" minValue="0" maxValue="1"/>
    </cacheField>
    <cacheField name="3.2. Agree with comments" numFmtId="0">
      <sharedItems containsSemiMixedTypes="0" containsString="0" containsNumber="1" containsInteger="1" minValue="0" maxValue="1"/>
    </cacheField>
    <cacheField name="3.3. Disagree" numFmtId="0">
      <sharedItems containsSemiMixedTypes="0" containsString="0" containsNumber="1" containsInteger="1" minValue="0" maxValue="1"/>
    </cacheField>
    <cacheField name="3.4. Neither Agree or Disagree" numFmtId="0">
      <sharedItems containsSemiMixedTypes="0" containsString="0" containsNumber="1" containsInteger="1" minValue="0" maxValue="1"/>
    </cacheField>
    <cacheField name="3.5. No specific comments" numFmtId="0">
      <sharedItems containsSemiMixedTypes="0" containsString="0" containsNumber="1" containsInteger="1" minValue="0" maxValue="1"/>
    </cacheField>
    <cacheField name="3.2.1. Consistency among review and audit reports" numFmtId="0">
      <sharedItems containsSemiMixedTypes="0" containsString="0" containsNumber="1" containsInteger="1" minValue="0" maxValue="1"/>
    </cacheField>
    <cacheField name="3.2.2. Necessary to complay with Part 4A of the IESBA Code" numFmtId="0">
      <sharedItems containsSemiMixedTypes="0" containsString="0" containsNumber="1" containsInteger="1" minValue="0" maxValue="1"/>
    </cacheField>
    <cacheField name="3.2.3. Revision of ISRE 2410 should also be considered" numFmtId="0">
      <sharedItems containsSemiMixedTypes="0" containsString="0" containsNumber="1" containsInteger="1" minValue="0" maxValue="1"/>
    </cacheField>
    <cacheField name="3.2.4. Broader revision and separate project should be considered in IAASB workplan" numFmtId="0">
      <sharedItems containsSemiMixedTypes="0" containsString="0" containsNumber="1" containsInteger="1" minValue="0" maxValue="1"/>
    </cacheField>
    <cacheField name="3.2.5. Other comments" numFmtId="0">
      <sharedItems containsSemiMixedTypes="0" containsString="0" containsNumber="1" containsInteger="1" minValue="0" maxValue="1"/>
    </cacheField>
    <cacheField name="3.3.1. Review engagements are rare for listed entities or PIEs" numFmtId="0">
      <sharedItems containsSemiMixedTypes="0" containsString="0" containsNumber="1" containsInteger="1" minValue="0" maxValue="1"/>
    </cacheField>
    <cacheField name="3.3.2. More relevant to consider a revision of ISRE 2410" numFmtId="0">
      <sharedItems containsSemiMixedTypes="0" containsString="0" containsNumber="1" containsInteger="1" minValue="0" maxValue="1"/>
    </cacheField>
    <cacheField name="3.3.3. Support to revise the trasperancy requirement of the IESBA Code to apply only to audits" numFmtId="0">
      <sharedItems containsSemiMixedTypes="0" containsString="0" containsNumber="1" containsInteger="1" minValue="0" maxValue="1"/>
    </cacheField>
    <cacheField name="3.3.4. Not necessary to address trasparency for review engagements" numFmtId="0">
      <sharedItems containsSemiMixedTypes="0" containsString="0" containsNumber="1" containsInteger="1" minValue="0" maxValue="1"/>
    </cacheField>
    <cacheField name="3.3.5. Other comments" numFmtId="0">
      <sharedItems containsSemiMixedTypes="0" containsString="0" containsNumber="1" containsInteger="1" minValue="0" maxValue="1"/>
    </cacheField>
    <cacheField name="4.1. Agree" numFmtId="0">
      <sharedItems containsSemiMixedTypes="0" containsString="0" containsNumber="1" containsInteger="1" minValue="0" maxValue="1"/>
    </cacheField>
    <cacheField name="4.2. Agree with comments" numFmtId="0">
      <sharedItems containsSemiMixedTypes="0" containsString="0" containsNumber="1" containsInteger="1" minValue="0" maxValue="1"/>
    </cacheField>
    <cacheField name="4.3. Disagree" numFmtId="0">
      <sharedItems containsSemiMixedTypes="0" containsString="0" containsNumber="1" containsInteger="1" minValue="0" maxValue="1"/>
    </cacheField>
    <cacheField name="4.4. Neither agree nor disagree" numFmtId="0">
      <sharedItems containsSemiMixedTypes="0" containsString="0" containsNumber="1" containsInteger="1" minValue="0" maxValue="1"/>
    </cacheField>
    <cacheField name="4.5. No specific comments" numFmtId="0">
      <sharedItems containsSemiMixedTypes="0" containsString="0" containsNumber="1" containsInteger="1" minValue="0" maxValue="1"/>
    </cacheField>
    <cacheField name="4.2.1. Do not beleive revision of ISRE 2400 (Revised) is necessary, but support consistent approach" numFmtId="0">
      <sharedItems containsSemiMixedTypes="0" containsString="0" containsNumber="1" containsInteger="1" minValue="0" maxValue="1"/>
    </cacheField>
    <cacheField name="4.2.2.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s v="Global"/>
    <x v="0"/>
    <n v="1"/>
    <n v="0"/>
    <n v="0"/>
    <n v="0"/>
    <n v="0"/>
    <n v="0"/>
    <n v="0"/>
    <n v="0"/>
    <n v="1"/>
    <n v="1"/>
    <n v="0"/>
    <n v="0"/>
    <n v="0"/>
    <n v="0"/>
    <n v="0"/>
    <n v="0"/>
    <n v="0"/>
    <n v="0"/>
    <n v="0"/>
    <n v="0"/>
    <n v="0"/>
    <n v="0"/>
    <n v="0"/>
    <n v="0"/>
    <n v="1"/>
    <n v="0"/>
    <n v="0"/>
    <n v="1"/>
    <n v="0"/>
    <n v="0"/>
    <n v="0"/>
    <n v="0"/>
    <n v="0"/>
    <n v="0"/>
    <n v="0"/>
    <n v="0"/>
    <n v="0"/>
    <n v="1"/>
    <n v="0"/>
    <n v="0"/>
    <n v="0"/>
    <n v="0"/>
    <n v="0"/>
    <n v="0"/>
    <n v="0"/>
    <n v="0"/>
    <n v="1"/>
    <n v="0"/>
    <n v="0"/>
    <n v="0"/>
    <n v="0"/>
    <n v="0"/>
    <n v="0"/>
    <n v="0"/>
    <n v="0"/>
    <n v="0"/>
    <n v="0"/>
    <n v="0"/>
    <n v="0"/>
    <n v="0"/>
    <n v="0"/>
    <n v="1"/>
    <n v="0"/>
    <n v="0"/>
    <n v="0"/>
    <n v="0"/>
    <n v="0"/>
    <n v="0"/>
    <n v="0"/>
    <n v="0"/>
    <n v="0"/>
  </r>
  <r>
    <x v="1"/>
    <s v="Global"/>
    <x v="0"/>
    <n v="1"/>
    <n v="0"/>
    <n v="0"/>
    <n v="0"/>
    <n v="0"/>
    <n v="0"/>
    <n v="0"/>
    <n v="0"/>
    <n v="1"/>
    <n v="1"/>
    <n v="0"/>
    <n v="0"/>
    <n v="0"/>
    <n v="0"/>
    <n v="0"/>
    <n v="0"/>
    <n v="0"/>
    <n v="0"/>
    <n v="0"/>
    <n v="0"/>
    <n v="0"/>
    <n v="0"/>
    <n v="0"/>
    <n v="0"/>
    <n v="1"/>
    <n v="0"/>
    <n v="0"/>
    <n v="0"/>
    <n v="0"/>
    <n v="0"/>
    <n v="0"/>
    <n v="0"/>
    <n v="0"/>
    <n v="0"/>
    <n v="0"/>
    <n v="0"/>
    <n v="0"/>
    <n v="1"/>
    <n v="0"/>
    <n v="0"/>
    <n v="0"/>
    <n v="0"/>
    <n v="0"/>
    <n v="0"/>
    <n v="0"/>
    <n v="0"/>
    <n v="1"/>
    <n v="0"/>
    <n v="0"/>
    <n v="0"/>
    <n v="0"/>
    <n v="0"/>
    <n v="0"/>
    <n v="0"/>
    <n v="0"/>
    <n v="0"/>
    <n v="0"/>
    <n v="0"/>
    <n v="0"/>
    <n v="0"/>
    <n v="0"/>
    <n v="1"/>
    <n v="0"/>
    <n v="0"/>
    <n v="0"/>
    <n v="0"/>
    <n v="0"/>
    <n v="0"/>
    <n v="0"/>
    <n v="0"/>
    <n v="0"/>
  </r>
  <r>
    <x v="2"/>
    <s v="Middle East and Africa"/>
    <x v="1"/>
    <n v="0"/>
    <n v="1"/>
    <n v="0"/>
    <n v="0"/>
    <n v="0"/>
    <n v="0"/>
    <n v="0"/>
    <n v="0"/>
    <n v="0"/>
    <n v="0"/>
    <n v="1"/>
    <n v="0"/>
    <n v="0"/>
    <n v="0"/>
    <n v="0"/>
    <n v="0"/>
    <n v="0"/>
    <n v="0"/>
    <n v="0"/>
    <n v="0"/>
    <n v="0"/>
    <n v="0"/>
    <n v="1"/>
    <n v="0"/>
    <n v="0"/>
    <n v="0"/>
    <n v="0"/>
    <n v="0"/>
    <n v="0"/>
    <n v="0"/>
    <n v="0"/>
    <n v="0"/>
    <n v="0"/>
    <n v="0"/>
    <n v="0"/>
    <n v="0"/>
    <n v="1"/>
    <n v="0"/>
    <n v="0"/>
    <n v="0"/>
    <n v="1"/>
    <n v="0"/>
    <n v="0"/>
    <n v="1"/>
    <n v="0"/>
    <n v="0"/>
    <n v="0"/>
    <n v="0"/>
    <n v="0"/>
    <n v="0"/>
    <n v="0"/>
    <n v="1"/>
    <n v="0"/>
    <n v="0"/>
    <n v="0"/>
    <n v="0"/>
    <n v="0"/>
    <n v="1"/>
    <n v="0"/>
    <n v="0"/>
    <n v="0"/>
    <n v="0"/>
    <n v="0"/>
    <n v="0"/>
    <n v="0"/>
    <n v="0"/>
    <n v="0"/>
    <n v="0"/>
    <n v="0"/>
    <n v="0"/>
    <n v="0"/>
  </r>
  <r>
    <x v="3"/>
    <s v="Europe"/>
    <x v="1"/>
    <n v="1"/>
    <n v="0"/>
    <n v="0"/>
    <n v="0"/>
    <n v="0"/>
    <n v="0"/>
    <n v="0"/>
    <n v="0"/>
    <n v="0"/>
    <n v="1"/>
    <n v="0"/>
    <n v="0"/>
    <n v="0"/>
    <n v="0"/>
    <n v="0"/>
    <n v="0"/>
    <n v="0"/>
    <n v="0"/>
    <n v="0"/>
    <n v="0"/>
    <n v="0"/>
    <n v="0"/>
    <n v="0"/>
    <n v="0"/>
    <n v="1"/>
    <n v="0"/>
    <n v="0"/>
    <n v="1"/>
    <n v="0"/>
    <n v="0"/>
    <n v="0"/>
    <n v="0"/>
    <n v="0"/>
    <n v="0"/>
    <n v="0"/>
    <n v="0"/>
    <n v="0"/>
    <n v="1"/>
    <n v="0"/>
    <n v="0"/>
    <n v="0"/>
    <n v="0"/>
    <n v="0"/>
    <n v="0"/>
    <n v="0"/>
    <n v="0"/>
    <n v="1"/>
    <n v="0"/>
    <n v="0"/>
    <n v="0"/>
    <n v="0"/>
    <n v="0"/>
    <n v="0"/>
    <n v="0"/>
    <n v="0"/>
    <n v="0"/>
    <n v="0"/>
    <n v="0"/>
    <n v="0"/>
    <n v="0"/>
    <n v="0"/>
    <n v="1"/>
    <n v="0"/>
    <n v="0"/>
    <n v="0"/>
    <n v="0"/>
    <n v="0"/>
    <n v="0"/>
    <n v="0"/>
    <n v="0"/>
    <n v="0"/>
  </r>
  <r>
    <x v="4"/>
    <s v="Europe"/>
    <x v="1"/>
    <n v="1"/>
    <n v="0"/>
    <n v="0"/>
    <n v="0"/>
    <n v="0"/>
    <n v="1"/>
    <n v="0"/>
    <n v="0"/>
    <n v="0"/>
    <n v="0"/>
    <n v="0"/>
    <n v="0"/>
    <n v="0"/>
    <n v="0"/>
    <n v="0"/>
    <n v="0"/>
    <n v="0"/>
    <n v="0"/>
    <n v="0"/>
    <n v="0"/>
    <n v="0"/>
    <n v="0"/>
    <n v="0"/>
    <n v="1"/>
    <n v="0"/>
    <n v="0"/>
    <n v="0"/>
    <n v="0"/>
    <n v="0"/>
    <n v="1"/>
    <n v="0"/>
    <n v="0"/>
    <n v="0"/>
    <n v="0"/>
    <n v="0"/>
    <n v="1"/>
    <n v="0"/>
    <n v="0"/>
    <n v="0"/>
    <n v="0"/>
    <n v="0"/>
    <n v="0"/>
    <n v="0"/>
    <n v="1"/>
    <n v="0"/>
    <n v="0"/>
    <n v="0"/>
    <n v="0"/>
    <n v="0"/>
    <n v="0"/>
    <n v="0"/>
    <n v="1"/>
    <n v="0"/>
    <n v="0"/>
    <n v="0"/>
    <n v="0"/>
    <n v="0"/>
    <n v="0"/>
    <n v="1"/>
    <n v="0"/>
    <n v="0"/>
    <n v="0"/>
    <n v="0"/>
    <n v="1"/>
    <n v="0"/>
    <n v="0"/>
    <n v="0"/>
    <n v="0"/>
    <n v="0"/>
    <n v="0"/>
    <n v="0"/>
  </r>
  <r>
    <x v="5"/>
    <s v="Middle East and Africa"/>
    <x v="1"/>
    <n v="0"/>
    <n v="1"/>
    <n v="0"/>
    <n v="0"/>
    <n v="0"/>
    <n v="0"/>
    <n v="0"/>
    <n v="0"/>
    <n v="0"/>
    <n v="0"/>
    <n v="1"/>
    <n v="0"/>
    <n v="0"/>
    <n v="0"/>
    <n v="0"/>
    <n v="0"/>
    <n v="0"/>
    <n v="0"/>
    <n v="0"/>
    <n v="0"/>
    <n v="0"/>
    <n v="0"/>
    <n v="0"/>
    <n v="1"/>
    <n v="0"/>
    <n v="0"/>
    <n v="0"/>
    <n v="0"/>
    <n v="1"/>
    <n v="0"/>
    <n v="0"/>
    <n v="0"/>
    <n v="0"/>
    <n v="0"/>
    <n v="0"/>
    <n v="0"/>
    <n v="1"/>
    <n v="0"/>
    <n v="0"/>
    <n v="0"/>
    <n v="1"/>
    <n v="0"/>
    <n v="1"/>
    <n v="0"/>
    <n v="0"/>
    <n v="0"/>
    <n v="0"/>
    <n v="0"/>
    <n v="0"/>
    <n v="0"/>
    <n v="0"/>
    <n v="0"/>
    <n v="0"/>
    <n v="0"/>
    <n v="0"/>
    <n v="0"/>
    <n v="0"/>
    <n v="1"/>
    <n v="0"/>
    <n v="0"/>
    <n v="0"/>
    <n v="0"/>
    <n v="0"/>
    <n v="0"/>
    <n v="0"/>
    <n v="0"/>
    <n v="0"/>
    <n v="0"/>
    <n v="0"/>
    <n v="0"/>
    <n v="0"/>
  </r>
  <r>
    <x v="6"/>
    <s v="North America"/>
    <x v="1"/>
    <n v="0"/>
    <n v="0"/>
    <n v="0"/>
    <n v="0"/>
    <n v="1"/>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1"/>
    <n v="0"/>
    <n v="0"/>
    <n v="0"/>
    <n v="0"/>
    <n v="0"/>
    <n v="0"/>
    <n v="0"/>
    <n v="0"/>
    <n v="0"/>
  </r>
  <r>
    <x v="7"/>
    <s v="North America"/>
    <x v="2"/>
    <n v="0"/>
    <n v="1"/>
    <n v="0"/>
    <n v="0"/>
    <n v="0"/>
    <n v="0"/>
    <n v="0"/>
    <n v="0"/>
    <n v="0"/>
    <n v="0"/>
    <n v="1"/>
    <n v="0"/>
    <n v="0"/>
    <n v="0"/>
    <n v="0"/>
    <n v="1"/>
    <n v="0"/>
    <n v="0"/>
    <n v="0"/>
    <n v="0"/>
    <n v="0"/>
    <n v="0"/>
    <n v="0"/>
    <n v="1"/>
    <n v="0"/>
    <n v="0"/>
    <n v="0"/>
    <n v="0"/>
    <n v="0"/>
    <n v="0"/>
    <n v="1"/>
    <n v="1"/>
    <n v="0"/>
    <n v="1"/>
    <n v="1"/>
    <n v="0"/>
    <n v="0"/>
    <n v="0"/>
    <n v="0"/>
    <n v="1"/>
    <n v="0"/>
    <n v="0"/>
    <n v="0"/>
    <n v="0"/>
    <n v="1"/>
    <n v="0"/>
    <n v="0"/>
    <n v="0"/>
    <n v="0"/>
    <n v="0"/>
    <n v="0"/>
    <n v="0"/>
    <n v="0"/>
    <n v="0"/>
    <n v="0"/>
    <n v="0"/>
    <n v="1"/>
    <n v="0"/>
    <n v="1"/>
    <n v="0"/>
    <n v="0"/>
    <n v="0"/>
    <n v="1"/>
    <n v="0"/>
    <n v="0"/>
    <n v="0"/>
    <n v="0"/>
    <n v="0"/>
    <n v="0"/>
    <n v="0"/>
    <n v="0"/>
  </r>
  <r>
    <x v="8"/>
    <s v="Asia Pacific"/>
    <x v="2"/>
    <n v="0"/>
    <n v="0"/>
    <n v="1"/>
    <n v="0"/>
    <n v="0"/>
    <n v="0"/>
    <n v="0"/>
    <n v="0"/>
    <n v="0"/>
    <n v="0"/>
    <n v="0"/>
    <n v="0"/>
    <n v="0"/>
    <n v="0"/>
    <n v="0"/>
    <n v="0"/>
    <n v="1"/>
    <n v="1"/>
    <n v="1"/>
    <n v="1"/>
    <n v="1"/>
    <n v="1"/>
    <n v="0"/>
    <n v="0"/>
    <n v="0"/>
    <n v="0"/>
    <n v="0"/>
    <n v="0"/>
    <n v="0"/>
    <n v="0"/>
    <n v="0"/>
    <n v="0"/>
    <n v="0"/>
    <n v="0"/>
    <n v="0"/>
    <n v="0"/>
    <n v="0"/>
    <n v="0"/>
    <n v="0"/>
    <n v="0"/>
    <n v="0"/>
    <n v="0"/>
    <n v="0"/>
    <n v="1"/>
    <n v="0"/>
    <n v="0"/>
    <n v="0"/>
    <n v="1"/>
    <n v="1"/>
    <n v="1"/>
    <n v="1"/>
    <n v="0"/>
    <n v="0"/>
    <n v="0"/>
    <n v="0"/>
    <n v="0"/>
    <n v="0"/>
    <n v="0"/>
    <n v="0"/>
    <n v="1"/>
    <n v="0"/>
    <n v="0"/>
    <n v="0"/>
    <n v="0"/>
    <n v="1"/>
    <n v="1"/>
    <n v="1"/>
    <n v="1"/>
    <n v="0"/>
    <n v="1"/>
    <n v="0"/>
  </r>
  <r>
    <x v="9"/>
    <s v="North America"/>
    <x v="2"/>
    <n v="0"/>
    <n v="1"/>
    <n v="0"/>
    <n v="0"/>
    <n v="0"/>
    <n v="0"/>
    <n v="0"/>
    <n v="0"/>
    <n v="0"/>
    <n v="0"/>
    <n v="1"/>
    <n v="0"/>
    <n v="0"/>
    <n v="0"/>
    <n v="0"/>
    <n v="0"/>
    <n v="0"/>
    <n v="0"/>
    <n v="0"/>
    <n v="0"/>
    <n v="0"/>
    <n v="0"/>
    <n v="1"/>
    <n v="0"/>
    <n v="0"/>
    <n v="0"/>
    <n v="0"/>
    <n v="0"/>
    <n v="0"/>
    <n v="0"/>
    <n v="0"/>
    <n v="0"/>
    <n v="0"/>
    <n v="0"/>
    <n v="0"/>
    <n v="0"/>
    <n v="0"/>
    <n v="1"/>
    <n v="0"/>
    <n v="0"/>
    <n v="0"/>
    <n v="0"/>
    <n v="0"/>
    <n v="0"/>
    <n v="0"/>
    <n v="1"/>
    <n v="0"/>
    <n v="0"/>
    <n v="0"/>
    <n v="0"/>
    <n v="0"/>
    <n v="0"/>
    <n v="0"/>
    <n v="0"/>
    <n v="0"/>
    <n v="0"/>
    <n v="0"/>
    <n v="0"/>
    <n v="0"/>
    <n v="0"/>
    <n v="1"/>
    <n v="0"/>
    <n v="0"/>
    <n v="0"/>
    <n v="0"/>
    <n v="0"/>
    <n v="0"/>
    <n v="0"/>
    <n v="0"/>
    <n v="0"/>
    <n v="0"/>
  </r>
  <r>
    <x v="10"/>
    <s v="Europe"/>
    <x v="2"/>
    <n v="0"/>
    <n v="1"/>
    <n v="0"/>
    <n v="0"/>
    <n v="0"/>
    <n v="0"/>
    <n v="0"/>
    <n v="0"/>
    <n v="0"/>
    <n v="0"/>
    <n v="0"/>
    <n v="1"/>
    <n v="0"/>
    <n v="0"/>
    <n v="0"/>
    <n v="1"/>
    <n v="0"/>
    <n v="0"/>
    <n v="0"/>
    <n v="0"/>
    <n v="0"/>
    <n v="0"/>
    <n v="0"/>
    <n v="0"/>
    <n v="0"/>
    <n v="0"/>
    <n v="1"/>
    <n v="0"/>
    <n v="0"/>
    <n v="0"/>
    <n v="0"/>
    <n v="0"/>
    <n v="0"/>
    <n v="0"/>
    <n v="0"/>
    <n v="0"/>
    <n v="0"/>
    <n v="0"/>
    <n v="0"/>
    <n v="1"/>
    <n v="0"/>
    <n v="0"/>
    <n v="0"/>
    <n v="0"/>
    <n v="0"/>
    <n v="1"/>
    <n v="0"/>
    <n v="0"/>
    <n v="0"/>
    <n v="0"/>
    <n v="0"/>
    <n v="0"/>
    <n v="0"/>
    <n v="0"/>
    <n v="0"/>
    <n v="0"/>
    <n v="0"/>
    <n v="0"/>
    <n v="1"/>
    <n v="0"/>
    <n v="0"/>
    <n v="0"/>
    <n v="0"/>
    <n v="1"/>
    <n v="0"/>
    <n v="0"/>
    <n v="0"/>
    <n v="0"/>
    <n v="0"/>
    <n v="0"/>
    <n v="0"/>
  </r>
  <r>
    <x v="11"/>
    <s v="South America"/>
    <x v="2"/>
    <n v="1"/>
    <n v="0"/>
    <n v="0"/>
    <n v="0"/>
    <n v="0"/>
    <n v="0"/>
    <n v="0"/>
    <n v="0"/>
    <n v="0"/>
    <n v="1"/>
    <n v="0"/>
    <n v="0"/>
    <n v="0"/>
    <n v="0"/>
    <n v="0"/>
    <n v="0"/>
    <n v="0"/>
    <n v="0"/>
    <n v="0"/>
    <n v="0"/>
    <n v="0"/>
    <n v="0"/>
    <n v="1"/>
    <n v="0"/>
    <n v="0"/>
    <n v="0"/>
    <n v="0"/>
    <n v="0"/>
    <n v="0"/>
    <n v="0"/>
    <n v="0"/>
    <n v="0"/>
    <n v="0"/>
    <n v="0"/>
    <n v="0"/>
    <n v="1"/>
    <n v="0"/>
    <n v="0"/>
    <n v="0"/>
    <n v="0"/>
    <n v="0"/>
    <n v="0"/>
    <n v="1"/>
    <n v="0"/>
    <n v="0"/>
    <n v="0"/>
    <n v="0"/>
    <n v="0"/>
    <n v="0"/>
    <n v="0"/>
    <n v="0"/>
    <n v="0"/>
    <n v="0"/>
    <n v="0"/>
    <n v="0"/>
    <n v="0"/>
    <n v="0"/>
    <n v="1"/>
    <n v="0"/>
    <n v="0"/>
    <n v="0"/>
    <n v="0"/>
    <n v="0"/>
    <n v="0"/>
    <n v="0"/>
    <n v="0"/>
    <n v="0"/>
    <n v="0"/>
    <n v="0"/>
    <n v="0"/>
    <n v="0"/>
  </r>
  <r>
    <x v="12"/>
    <s v="Asia Pacific"/>
    <x v="2"/>
    <n v="1"/>
    <n v="0"/>
    <n v="0"/>
    <n v="0"/>
    <n v="0"/>
    <n v="0"/>
    <n v="1"/>
    <n v="0"/>
    <n v="0"/>
    <n v="0"/>
    <n v="0"/>
    <n v="0"/>
    <n v="0"/>
    <n v="0"/>
    <n v="0"/>
    <n v="0"/>
    <n v="0"/>
    <n v="0"/>
    <n v="0"/>
    <n v="0"/>
    <n v="0"/>
    <n v="0"/>
    <n v="1"/>
    <n v="0"/>
    <n v="0"/>
    <n v="0"/>
    <n v="0"/>
    <n v="0"/>
    <n v="0"/>
    <n v="0"/>
    <n v="0"/>
    <n v="0"/>
    <n v="0"/>
    <n v="0"/>
    <n v="0"/>
    <n v="1"/>
    <n v="0"/>
    <n v="0"/>
    <n v="0"/>
    <n v="0"/>
    <n v="0"/>
    <n v="0"/>
    <n v="1"/>
    <n v="0"/>
    <n v="0"/>
    <n v="0"/>
    <n v="0"/>
    <n v="0"/>
    <n v="0"/>
    <n v="0"/>
    <n v="0"/>
    <n v="0"/>
    <n v="0"/>
    <n v="0"/>
    <n v="0"/>
    <n v="0"/>
    <n v="0"/>
    <n v="1"/>
    <n v="0"/>
    <n v="0"/>
    <n v="0"/>
    <n v="0"/>
    <n v="0"/>
    <n v="0"/>
    <n v="0"/>
    <n v="0"/>
    <n v="0"/>
    <n v="0"/>
    <n v="0"/>
    <n v="0"/>
    <n v="0"/>
  </r>
  <r>
    <x v="13"/>
    <s v="Europe"/>
    <x v="2"/>
    <n v="0"/>
    <n v="1"/>
    <n v="0"/>
    <n v="0"/>
    <n v="0"/>
    <n v="0"/>
    <n v="0"/>
    <n v="0"/>
    <n v="0"/>
    <n v="0"/>
    <n v="1"/>
    <n v="0"/>
    <n v="0"/>
    <n v="1"/>
    <n v="0"/>
    <n v="0"/>
    <n v="0"/>
    <n v="0"/>
    <n v="0"/>
    <n v="0"/>
    <n v="0"/>
    <n v="0"/>
    <n v="0"/>
    <n v="1"/>
    <n v="0"/>
    <n v="0"/>
    <n v="0"/>
    <n v="0"/>
    <n v="1"/>
    <n v="1"/>
    <n v="0"/>
    <n v="0"/>
    <n v="0"/>
    <n v="0"/>
    <n v="1"/>
    <n v="1"/>
    <n v="0"/>
    <n v="0"/>
    <n v="0"/>
    <n v="0"/>
    <n v="0"/>
    <n v="0"/>
    <n v="0"/>
    <n v="0"/>
    <n v="1"/>
    <n v="0"/>
    <n v="0"/>
    <n v="0"/>
    <n v="0"/>
    <n v="0"/>
    <n v="0"/>
    <n v="0"/>
    <n v="1"/>
    <n v="1"/>
    <n v="0"/>
    <n v="0"/>
    <n v="0"/>
    <n v="0"/>
    <n v="1"/>
    <n v="0"/>
    <n v="0"/>
    <n v="0"/>
    <n v="1"/>
    <n v="0"/>
    <n v="0"/>
    <n v="0"/>
    <n v="0"/>
    <n v="0"/>
    <n v="0"/>
    <n v="0"/>
    <n v="0"/>
  </r>
  <r>
    <x v="14"/>
    <s v="Asia Pacific"/>
    <x v="2"/>
    <n v="1"/>
    <n v="0"/>
    <n v="0"/>
    <n v="0"/>
    <n v="0"/>
    <n v="0"/>
    <n v="0"/>
    <n v="0"/>
    <n v="0"/>
    <n v="1"/>
    <n v="0"/>
    <n v="0"/>
    <n v="0"/>
    <n v="0"/>
    <n v="0"/>
    <n v="0"/>
    <n v="0"/>
    <n v="0"/>
    <n v="0"/>
    <n v="0"/>
    <n v="0"/>
    <n v="0"/>
    <n v="1"/>
    <n v="0"/>
    <n v="0"/>
    <n v="0"/>
    <n v="0"/>
    <n v="0"/>
    <n v="0"/>
    <n v="0"/>
    <n v="0"/>
    <n v="0"/>
    <n v="0"/>
    <n v="0"/>
    <n v="0"/>
    <n v="1"/>
    <n v="0"/>
    <n v="0"/>
    <n v="0"/>
    <n v="0"/>
    <n v="0"/>
    <n v="0"/>
    <n v="0"/>
    <n v="0"/>
    <n v="1"/>
    <n v="0"/>
    <n v="0"/>
    <n v="0"/>
    <n v="0"/>
    <n v="0"/>
    <n v="0"/>
    <n v="0"/>
    <n v="1"/>
    <n v="0"/>
    <n v="1"/>
    <n v="0"/>
    <n v="1"/>
    <n v="0"/>
    <n v="1"/>
    <n v="0"/>
    <n v="0"/>
    <n v="0"/>
    <n v="1"/>
    <n v="0"/>
    <n v="0"/>
    <n v="0"/>
    <n v="0"/>
    <n v="0"/>
    <n v="0"/>
    <n v="0"/>
    <n v="0"/>
  </r>
  <r>
    <x v="15"/>
    <s v="Asia Pacific"/>
    <x v="2"/>
    <n v="1"/>
    <n v="0"/>
    <n v="0"/>
    <n v="0"/>
    <n v="0"/>
    <n v="0"/>
    <n v="0"/>
    <n v="0"/>
    <n v="0"/>
    <n v="1"/>
    <n v="0"/>
    <n v="0"/>
    <n v="0"/>
    <n v="0"/>
    <n v="0"/>
    <n v="0"/>
    <n v="0"/>
    <n v="0"/>
    <n v="0"/>
    <n v="0"/>
    <n v="0"/>
    <n v="0"/>
    <n v="1"/>
    <n v="0"/>
    <n v="0"/>
    <n v="0"/>
    <n v="0"/>
    <n v="0"/>
    <n v="0"/>
    <n v="0"/>
    <n v="0"/>
    <n v="0"/>
    <n v="0"/>
    <n v="0"/>
    <n v="0"/>
    <n v="1"/>
    <n v="0"/>
    <n v="0"/>
    <n v="0"/>
    <n v="0"/>
    <n v="0"/>
    <n v="0"/>
    <n v="0"/>
    <n v="0"/>
    <n v="0"/>
    <n v="1"/>
    <n v="0"/>
    <n v="0"/>
    <n v="0"/>
    <n v="0"/>
    <n v="0"/>
    <n v="0"/>
    <n v="0"/>
    <n v="0"/>
    <n v="0"/>
    <n v="0"/>
    <n v="0"/>
    <n v="1"/>
    <n v="0"/>
    <n v="0"/>
    <n v="0"/>
    <n v="0"/>
    <n v="0"/>
    <n v="0"/>
    <n v="0"/>
    <n v="0"/>
    <n v="0"/>
    <n v="0"/>
    <n v="0"/>
    <n v="0"/>
    <n v="0"/>
  </r>
  <r>
    <x v="16"/>
    <s v="Asia Pacific"/>
    <x v="2"/>
    <n v="0"/>
    <n v="1"/>
    <n v="0"/>
    <n v="0"/>
    <n v="0"/>
    <n v="0"/>
    <n v="0"/>
    <n v="0"/>
    <n v="0"/>
    <n v="0"/>
    <n v="1"/>
    <n v="0"/>
    <n v="1"/>
    <n v="1"/>
    <n v="0"/>
    <n v="0"/>
    <n v="0"/>
    <n v="0"/>
    <n v="0"/>
    <n v="0"/>
    <n v="0"/>
    <n v="0"/>
    <n v="0"/>
    <n v="0"/>
    <n v="0"/>
    <n v="1"/>
    <n v="0"/>
    <n v="0"/>
    <n v="0"/>
    <n v="0"/>
    <n v="0"/>
    <n v="0"/>
    <n v="0"/>
    <n v="0"/>
    <n v="0"/>
    <n v="0"/>
    <n v="0"/>
    <n v="0"/>
    <n v="1"/>
    <n v="0"/>
    <n v="0"/>
    <n v="0"/>
    <n v="0"/>
    <n v="0"/>
    <n v="1"/>
    <n v="0"/>
    <n v="0"/>
    <n v="0"/>
    <n v="0"/>
    <n v="0"/>
    <n v="0"/>
    <n v="0"/>
    <n v="0"/>
    <n v="1"/>
    <n v="0"/>
    <n v="0"/>
    <n v="1"/>
    <n v="0"/>
    <n v="0"/>
    <n v="0"/>
    <n v="0"/>
    <n v="1"/>
    <n v="0"/>
    <n v="0"/>
    <n v="0"/>
    <n v="0"/>
    <n v="0"/>
    <n v="0"/>
    <n v="0"/>
    <n v="0"/>
    <n v="0"/>
  </r>
  <r>
    <x v="17"/>
    <s v="Global"/>
    <x v="3"/>
    <n v="0"/>
    <n v="1"/>
    <n v="0"/>
    <n v="0"/>
    <n v="0"/>
    <n v="0"/>
    <n v="0"/>
    <n v="0"/>
    <n v="0"/>
    <n v="0"/>
    <n v="0"/>
    <n v="0"/>
    <n v="0"/>
    <n v="0"/>
    <n v="1"/>
    <n v="0"/>
    <n v="0"/>
    <n v="0"/>
    <n v="0"/>
    <n v="0"/>
    <n v="0"/>
    <n v="0"/>
    <n v="1"/>
    <n v="0"/>
    <n v="0"/>
    <n v="0"/>
    <n v="0"/>
    <n v="0"/>
    <n v="0"/>
    <n v="0"/>
    <n v="0"/>
    <n v="0"/>
    <n v="0"/>
    <n v="0"/>
    <n v="0"/>
    <n v="0"/>
    <n v="0"/>
    <n v="0"/>
    <n v="0"/>
    <n v="1"/>
    <n v="0"/>
    <n v="0"/>
    <n v="1"/>
    <n v="0"/>
    <n v="0"/>
    <n v="0"/>
    <n v="0"/>
    <n v="0"/>
    <n v="0"/>
    <n v="0"/>
    <n v="0"/>
    <n v="0"/>
    <n v="0"/>
    <n v="0"/>
    <n v="0"/>
    <n v="0"/>
    <n v="0"/>
    <n v="1"/>
    <n v="0"/>
    <n v="0"/>
    <n v="0"/>
    <n v="0"/>
    <n v="0"/>
    <n v="0"/>
    <n v="0"/>
    <n v="0"/>
    <n v="0"/>
    <n v="0"/>
    <n v="0"/>
    <n v="0"/>
    <n v="0"/>
  </r>
  <r>
    <x v="18"/>
    <s v="Global"/>
    <x v="3"/>
    <n v="0"/>
    <n v="1"/>
    <n v="0"/>
    <n v="0"/>
    <n v="0"/>
    <n v="0"/>
    <n v="0"/>
    <n v="0"/>
    <n v="0"/>
    <n v="0"/>
    <n v="1"/>
    <n v="1"/>
    <n v="0"/>
    <n v="0"/>
    <n v="0"/>
    <n v="0"/>
    <n v="0"/>
    <n v="0"/>
    <n v="0"/>
    <n v="0"/>
    <n v="0"/>
    <n v="0"/>
    <n v="0"/>
    <n v="1"/>
    <n v="0"/>
    <n v="0"/>
    <n v="0"/>
    <n v="0"/>
    <n v="1"/>
    <n v="0"/>
    <n v="0"/>
    <n v="0"/>
    <n v="0"/>
    <n v="0"/>
    <n v="1"/>
    <n v="1"/>
    <n v="0"/>
    <n v="0"/>
    <n v="0"/>
    <n v="0"/>
    <n v="0"/>
    <n v="0"/>
    <n v="0"/>
    <n v="0"/>
    <n v="1"/>
    <n v="0"/>
    <n v="0"/>
    <n v="0"/>
    <n v="0"/>
    <n v="0"/>
    <n v="0"/>
    <n v="0"/>
    <n v="0"/>
    <n v="0"/>
    <n v="0"/>
    <n v="1"/>
    <n v="0"/>
    <n v="0"/>
    <n v="0"/>
    <n v="1"/>
    <n v="0"/>
    <n v="0"/>
    <n v="0"/>
    <n v="0"/>
    <n v="0"/>
    <n v="0"/>
    <n v="0"/>
    <n v="0"/>
    <n v="0"/>
    <n v="0"/>
    <n v="0"/>
  </r>
  <r>
    <x v="19"/>
    <s v="Global"/>
    <x v="3"/>
    <n v="0"/>
    <n v="1"/>
    <n v="0"/>
    <n v="0"/>
    <n v="0"/>
    <n v="0"/>
    <n v="0"/>
    <n v="0"/>
    <n v="0"/>
    <n v="0"/>
    <n v="0"/>
    <n v="0"/>
    <n v="0"/>
    <n v="0"/>
    <n v="1"/>
    <n v="0"/>
    <n v="0"/>
    <n v="0"/>
    <n v="0"/>
    <n v="0"/>
    <n v="0"/>
    <n v="0"/>
    <n v="0"/>
    <n v="1"/>
    <n v="0"/>
    <n v="0"/>
    <n v="0"/>
    <n v="1"/>
    <n v="0"/>
    <n v="1"/>
    <n v="1"/>
    <n v="0"/>
    <n v="0"/>
    <n v="0"/>
    <n v="1"/>
    <n v="0"/>
    <n v="1"/>
    <n v="0"/>
    <n v="0"/>
    <n v="0"/>
    <n v="0"/>
    <n v="1"/>
    <n v="0"/>
    <n v="0"/>
    <n v="0"/>
    <n v="1"/>
    <n v="0"/>
    <n v="0"/>
    <n v="0"/>
    <n v="0"/>
    <n v="0"/>
    <n v="0"/>
    <n v="0"/>
    <n v="0"/>
    <n v="0"/>
    <n v="0"/>
    <n v="0"/>
    <n v="1"/>
    <n v="0"/>
    <n v="0"/>
    <n v="0"/>
    <n v="0"/>
    <n v="0"/>
    <n v="0"/>
    <n v="0"/>
    <n v="0"/>
    <n v="0"/>
    <n v="0"/>
    <n v="0"/>
    <n v="0"/>
    <n v="0"/>
  </r>
  <r>
    <x v="20"/>
    <s v="Global"/>
    <x v="3"/>
    <n v="1"/>
    <n v="0"/>
    <n v="0"/>
    <n v="0"/>
    <n v="0"/>
    <n v="0"/>
    <n v="1"/>
    <n v="1"/>
    <n v="0"/>
    <n v="1"/>
    <n v="0"/>
    <n v="0"/>
    <n v="0"/>
    <n v="0"/>
    <n v="0"/>
    <n v="0"/>
    <n v="0"/>
    <n v="0"/>
    <n v="0"/>
    <n v="0"/>
    <n v="0"/>
    <n v="0"/>
    <n v="1"/>
    <n v="0"/>
    <n v="0"/>
    <n v="0"/>
    <n v="0"/>
    <n v="0"/>
    <n v="0"/>
    <n v="0"/>
    <n v="0"/>
    <n v="0"/>
    <n v="0"/>
    <n v="0"/>
    <n v="0"/>
    <n v="0"/>
    <n v="1"/>
    <n v="0"/>
    <n v="0"/>
    <n v="0"/>
    <n v="1"/>
    <n v="0"/>
    <n v="0"/>
    <n v="0"/>
    <n v="1"/>
    <n v="0"/>
    <n v="0"/>
    <n v="0"/>
    <n v="0"/>
    <n v="0"/>
    <n v="0"/>
    <n v="0"/>
    <n v="0"/>
    <n v="0"/>
    <n v="1"/>
    <n v="1"/>
    <n v="1"/>
    <n v="0"/>
    <n v="1"/>
    <n v="0"/>
    <n v="0"/>
    <n v="0"/>
    <n v="1"/>
    <n v="0"/>
    <n v="0"/>
    <n v="0"/>
    <n v="0"/>
    <n v="0"/>
    <n v="0"/>
    <n v="0"/>
    <n v="0"/>
  </r>
  <r>
    <x v="21"/>
    <s v="Global"/>
    <x v="3"/>
    <n v="1"/>
    <n v="0"/>
    <n v="0"/>
    <n v="0"/>
    <n v="0"/>
    <n v="1"/>
    <n v="0"/>
    <n v="0"/>
    <n v="0"/>
    <n v="1"/>
    <n v="0"/>
    <n v="0"/>
    <n v="0"/>
    <n v="0"/>
    <n v="0"/>
    <n v="0"/>
    <n v="0"/>
    <n v="0"/>
    <n v="0"/>
    <n v="0"/>
    <n v="0"/>
    <n v="0"/>
    <n v="1"/>
    <n v="0"/>
    <n v="0"/>
    <n v="0"/>
    <n v="0"/>
    <n v="0"/>
    <n v="0"/>
    <n v="0"/>
    <n v="0"/>
    <n v="0"/>
    <n v="0"/>
    <n v="0"/>
    <n v="0"/>
    <n v="1"/>
    <n v="0"/>
    <n v="0"/>
    <n v="0"/>
    <n v="0"/>
    <n v="0"/>
    <n v="0"/>
    <n v="0"/>
    <n v="1"/>
    <n v="0"/>
    <n v="0"/>
    <n v="0"/>
    <n v="0"/>
    <n v="1"/>
    <n v="1"/>
    <n v="0"/>
    <n v="0"/>
    <n v="0"/>
    <n v="0"/>
    <n v="0"/>
    <n v="0"/>
    <n v="0"/>
    <n v="0"/>
    <n v="1"/>
    <n v="0"/>
    <n v="0"/>
    <n v="0"/>
    <n v="0"/>
    <n v="1"/>
    <n v="0"/>
    <n v="0"/>
    <n v="0"/>
    <n v="0"/>
    <n v="0"/>
    <n v="0"/>
    <n v="0"/>
  </r>
  <r>
    <x v="22"/>
    <s v="Global"/>
    <x v="3"/>
    <n v="0"/>
    <n v="1"/>
    <n v="0"/>
    <n v="0"/>
    <n v="0"/>
    <n v="0"/>
    <n v="0"/>
    <n v="0"/>
    <n v="0"/>
    <n v="0"/>
    <n v="1"/>
    <n v="1"/>
    <n v="0"/>
    <n v="0"/>
    <n v="0"/>
    <n v="0"/>
    <n v="0"/>
    <n v="0"/>
    <n v="0"/>
    <n v="0"/>
    <n v="0"/>
    <n v="0"/>
    <n v="1"/>
    <n v="0"/>
    <n v="0"/>
    <n v="0"/>
    <n v="0"/>
    <n v="0"/>
    <n v="0"/>
    <n v="0"/>
    <n v="0"/>
    <n v="0"/>
    <n v="0"/>
    <n v="0"/>
    <n v="0"/>
    <n v="1"/>
    <n v="0"/>
    <n v="0"/>
    <n v="0"/>
    <n v="0"/>
    <n v="0"/>
    <n v="0"/>
    <n v="0"/>
    <n v="1"/>
    <n v="0"/>
    <n v="0"/>
    <n v="0"/>
    <n v="1"/>
    <n v="0"/>
    <n v="1"/>
    <n v="0"/>
    <n v="0"/>
    <n v="0"/>
    <n v="0"/>
    <n v="0"/>
    <n v="0"/>
    <n v="0"/>
    <n v="1"/>
    <n v="0"/>
    <n v="0"/>
    <n v="0"/>
    <n v="0"/>
    <n v="0"/>
    <n v="0"/>
    <n v="0"/>
    <n v="0"/>
    <n v="0"/>
    <n v="0"/>
    <n v="0"/>
    <n v="0"/>
    <n v="0"/>
  </r>
  <r>
    <x v="23"/>
    <s v="North America"/>
    <x v="4"/>
    <n v="0"/>
    <n v="0"/>
    <n v="1"/>
    <n v="0"/>
    <n v="0"/>
    <n v="0"/>
    <n v="0"/>
    <n v="0"/>
    <n v="0"/>
    <n v="0"/>
    <n v="0"/>
    <n v="0"/>
    <n v="0"/>
    <n v="0"/>
    <n v="0"/>
    <n v="0"/>
    <n v="1"/>
    <n v="1"/>
    <n v="1"/>
    <n v="0"/>
    <n v="0"/>
    <n v="1"/>
    <n v="0"/>
    <n v="0"/>
    <n v="0"/>
    <n v="0"/>
    <n v="0"/>
    <n v="0"/>
    <n v="0"/>
    <n v="0"/>
    <n v="0"/>
    <n v="0"/>
    <n v="0"/>
    <n v="0"/>
    <n v="0"/>
    <n v="0"/>
    <n v="0"/>
    <n v="0"/>
    <n v="0"/>
    <n v="0"/>
    <n v="0"/>
    <n v="0"/>
    <n v="0"/>
    <n v="0"/>
    <n v="0"/>
    <n v="0"/>
    <n v="0"/>
    <n v="0"/>
    <n v="0"/>
    <n v="0"/>
    <n v="0"/>
    <n v="0"/>
    <n v="0"/>
    <n v="0"/>
    <n v="0"/>
    <n v="0"/>
    <n v="0"/>
    <n v="0"/>
    <n v="0"/>
    <n v="0"/>
    <n v="0"/>
    <n v="0"/>
    <n v="0"/>
    <n v="0"/>
    <n v="0"/>
    <n v="0"/>
    <n v="0"/>
    <n v="0"/>
    <n v="1"/>
    <n v="1"/>
    <n v="0"/>
  </r>
  <r>
    <x v="24"/>
    <s v="Middle East and Africa"/>
    <x v="5"/>
    <n v="0"/>
    <n v="1"/>
    <n v="0"/>
    <n v="0"/>
    <n v="0"/>
    <n v="0"/>
    <n v="0"/>
    <n v="0"/>
    <n v="0"/>
    <n v="0"/>
    <n v="0"/>
    <n v="0"/>
    <n v="0"/>
    <n v="0"/>
    <n v="0"/>
    <n v="1"/>
    <n v="0"/>
    <n v="0"/>
    <n v="0"/>
    <n v="0"/>
    <n v="0"/>
    <n v="0"/>
    <n v="1"/>
    <n v="0"/>
    <n v="0"/>
    <n v="0"/>
    <n v="0"/>
    <n v="0"/>
    <n v="0"/>
    <n v="0"/>
    <n v="0"/>
    <n v="0"/>
    <n v="0"/>
    <n v="0"/>
    <n v="0"/>
    <n v="1"/>
    <n v="0"/>
    <n v="0"/>
    <n v="0"/>
    <n v="0"/>
    <n v="0"/>
    <n v="0"/>
    <n v="1"/>
    <n v="0"/>
    <n v="0"/>
    <n v="0"/>
    <n v="0"/>
    <n v="0"/>
    <n v="0"/>
    <n v="0"/>
    <n v="0"/>
    <n v="0"/>
    <n v="0"/>
    <n v="0"/>
    <n v="0"/>
    <n v="0"/>
    <n v="0"/>
    <n v="1"/>
    <n v="0"/>
    <n v="0"/>
    <n v="0"/>
    <n v="0"/>
    <n v="0"/>
    <n v="0"/>
    <n v="0"/>
    <n v="0"/>
    <n v="0"/>
    <n v="0"/>
    <n v="0"/>
    <n v="0"/>
    <n v="0"/>
  </r>
  <r>
    <x v="25"/>
    <s v="Global"/>
    <x v="5"/>
    <n v="0"/>
    <n v="1"/>
    <n v="0"/>
    <n v="0"/>
    <n v="0"/>
    <n v="0"/>
    <n v="0"/>
    <n v="0"/>
    <n v="0"/>
    <n v="0"/>
    <n v="0"/>
    <n v="1"/>
    <n v="1"/>
    <n v="1"/>
    <n v="0"/>
    <n v="1"/>
    <n v="0"/>
    <n v="0"/>
    <n v="0"/>
    <n v="0"/>
    <n v="0"/>
    <n v="0"/>
    <n v="0"/>
    <n v="1"/>
    <n v="0"/>
    <n v="0"/>
    <n v="0"/>
    <n v="0"/>
    <n v="0"/>
    <n v="0"/>
    <n v="0"/>
    <n v="0"/>
    <n v="0"/>
    <n v="0"/>
    <n v="1"/>
    <n v="1"/>
    <n v="0"/>
    <n v="0"/>
    <n v="0"/>
    <n v="0"/>
    <n v="0"/>
    <n v="0"/>
    <n v="0"/>
    <n v="1"/>
    <n v="0"/>
    <n v="0"/>
    <n v="0"/>
    <n v="1"/>
    <n v="0"/>
    <n v="1"/>
    <n v="1"/>
    <n v="0"/>
    <n v="0"/>
    <n v="0"/>
    <n v="0"/>
    <n v="0"/>
    <n v="0"/>
    <n v="0"/>
    <n v="1"/>
    <n v="0"/>
    <n v="0"/>
    <n v="0"/>
    <n v="0"/>
    <n v="1"/>
    <n v="0"/>
    <n v="0"/>
    <n v="0"/>
    <n v="0"/>
    <n v="0"/>
    <n v="0"/>
    <n v="0"/>
  </r>
  <r>
    <x v="26"/>
    <s v="Asia Pacific"/>
    <x v="5"/>
    <n v="0"/>
    <n v="0"/>
    <n v="0"/>
    <n v="1"/>
    <n v="0"/>
    <n v="0"/>
    <n v="0"/>
    <n v="0"/>
    <n v="0"/>
    <n v="0"/>
    <n v="0"/>
    <n v="0"/>
    <n v="0"/>
    <n v="0"/>
    <n v="0"/>
    <n v="0"/>
    <n v="0"/>
    <n v="0"/>
    <n v="0"/>
    <n v="0"/>
    <n v="0"/>
    <n v="0"/>
    <n v="0"/>
    <n v="0"/>
    <n v="0"/>
    <n v="1"/>
    <n v="0"/>
    <n v="0"/>
    <n v="0"/>
    <n v="0"/>
    <n v="0"/>
    <n v="0"/>
    <n v="0"/>
    <n v="0"/>
    <n v="0"/>
    <n v="0"/>
    <n v="0"/>
    <n v="0"/>
    <n v="1"/>
    <n v="0"/>
    <n v="0"/>
    <n v="0"/>
    <n v="0"/>
    <n v="0"/>
    <n v="0"/>
    <n v="1"/>
    <n v="0"/>
    <n v="0"/>
    <n v="0"/>
    <n v="0"/>
    <n v="0"/>
    <n v="0"/>
    <n v="0"/>
    <n v="0"/>
    <n v="0"/>
    <n v="0"/>
    <n v="0"/>
    <n v="0"/>
    <n v="1"/>
    <n v="0"/>
    <n v="0"/>
    <n v="0"/>
    <n v="0"/>
    <n v="1"/>
    <n v="1"/>
    <n v="1"/>
    <n v="0"/>
    <n v="0"/>
    <n v="0"/>
    <n v="1"/>
    <n v="1"/>
  </r>
  <r>
    <x v="27"/>
    <s v="Asia Pacific"/>
    <x v="5"/>
    <n v="1"/>
    <n v="0"/>
    <n v="0"/>
    <n v="0"/>
    <n v="0"/>
    <n v="0"/>
    <n v="0"/>
    <n v="0"/>
    <n v="0"/>
    <n v="1"/>
    <n v="0"/>
    <n v="0"/>
    <n v="0"/>
    <n v="0"/>
    <n v="0"/>
    <n v="0"/>
    <n v="0"/>
    <n v="0"/>
    <n v="0"/>
    <n v="0"/>
    <n v="0"/>
    <n v="0"/>
    <n v="1"/>
    <n v="0"/>
    <n v="0"/>
    <n v="0"/>
    <n v="0"/>
    <n v="0"/>
    <n v="0"/>
    <n v="0"/>
    <n v="0"/>
    <n v="0"/>
    <n v="0"/>
    <n v="0"/>
    <n v="0"/>
    <n v="1"/>
    <n v="0"/>
    <n v="0"/>
    <n v="0"/>
    <n v="0"/>
    <n v="0"/>
    <n v="0"/>
    <n v="1"/>
    <n v="0"/>
    <n v="0"/>
    <n v="0"/>
    <n v="0"/>
    <n v="0"/>
    <n v="0"/>
    <n v="0"/>
    <n v="0"/>
    <n v="0"/>
    <n v="0"/>
    <n v="0"/>
    <n v="0"/>
    <n v="0"/>
    <n v="0"/>
    <n v="1"/>
    <n v="0"/>
    <n v="0"/>
    <n v="0"/>
    <n v="0"/>
    <n v="0"/>
    <n v="0"/>
    <n v="0"/>
    <n v="0"/>
    <n v="0"/>
    <n v="0"/>
    <n v="0"/>
    <n v="0"/>
    <n v="0"/>
  </r>
  <r>
    <x v="28"/>
    <s v="Europe"/>
    <x v="5"/>
    <n v="1"/>
    <n v="0"/>
    <n v="0"/>
    <n v="0"/>
    <n v="0"/>
    <n v="1"/>
    <n v="0"/>
    <n v="0"/>
    <n v="0"/>
    <n v="1"/>
    <n v="0"/>
    <n v="0"/>
    <n v="0"/>
    <n v="0"/>
    <n v="0"/>
    <n v="0"/>
    <n v="0"/>
    <n v="0"/>
    <n v="0"/>
    <n v="0"/>
    <n v="0"/>
    <n v="0"/>
    <n v="1"/>
    <n v="0"/>
    <n v="0"/>
    <n v="0"/>
    <n v="0"/>
    <n v="0"/>
    <n v="0"/>
    <n v="0"/>
    <n v="0"/>
    <n v="0"/>
    <n v="0"/>
    <n v="0"/>
    <n v="0"/>
    <n v="1"/>
    <n v="0"/>
    <n v="0"/>
    <n v="0"/>
    <n v="0"/>
    <n v="0"/>
    <n v="0"/>
    <n v="0"/>
    <n v="1"/>
    <n v="0"/>
    <n v="0"/>
    <n v="0"/>
    <n v="0"/>
    <n v="1"/>
    <n v="1"/>
    <n v="0"/>
    <n v="0"/>
    <n v="0"/>
    <n v="0"/>
    <n v="0"/>
    <n v="0"/>
    <n v="0"/>
    <n v="1"/>
    <n v="0"/>
    <n v="0"/>
    <n v="0"/>
    <n v="0"/>
    <n v="0"/>
    <n v="0"/>
    <n v="0"/>
    <n v="0"/>
    <n v="0"/>
    <n v="0"/>
    <n v="0"/>
    <n v="0"/>
    <n v="0"/>
  </r>
  <r>
    <x v="29"/>
    <s v="Middle East and Africa"/>
    <x v="5"/>
    <n v="1"/>
    <n v="0"/>
    <n v="0"/>
    <n v="0"/>
    <n v="0"/>
    <n v="0"/>
    <n v="0"/>
    <n v="0"/>
    <n v="0"/>
    <n v="1"/>
    <n v="0"/>
    <n v="0"/>
    <n v="0"/>
    <n v="0"/>
    <n v="0"/>
    <n v="0"/>
    <n v="0"/>
    <n v="0"/>
    <n v="0"/>
    <n v="0"/>
    <n v="0"/>
    <n v="0"/>
    <n v="0"/>
    <n v="1"/>
    <n v="0"/>
    <n v="0"/>
    <n v="0"/>
    <n v="0"/>
    <n v="0"/>
    <n v="0"/>
    <n v="0"/>
    <n v="0"/>
    <n v="0"/>
    <n v="0"/>
    <n v="1"/>
    <n v="1"/>
    <n v="0"/>
    <n v="0"/>
    <n v="0"/>
    <n v="0"/>
    <n v="0"/>
    <n v="0"/>
    <n v="1"/>
    <n v="0"/>
    <n v="0"/>
    <n v="0"/>
    <n v="0"/>
    <n v="0"/>
    <n v="0"/>
    <n v="0"/>
    <n v="0"/>
    <n v="0"/>
    <n v="0"/>
    <n v="0"/>
    <n v="0"/>
    <n v="0"/>
    <n v="0"/>
    <n v="0"/>
    <n v="1"/>
    <n v="0"/>
    <n v="0"/>
    <n v="0"/>
    <n v="0"/>
    <n v="1"/>
    <n v="0"/>
    <n v="0"/>
    <n v="0"/>
    <n v="0"/>
    <n v="0"/>
    <n v="0"/>
    <n v="0"/>
  </r>
  <r>
    <x v="30"/>
    <s v="Europe"/>
    <x v="5"/>
    <n v="1"/>
    <n v="0"/>
    <n v="0"/>
    <n v="0"/>
    <n v="0"/>
    <n v="0"/>
    <n v="0"/>
    <n v="0"/>
    <n v="0"/>
    <n v="1"/>
    <n v="0"/>
    <n v="0"/>
    <n v="0"/>
    <n v="0"/>
    <n v="0"/>
    <n v="0"/>
    <n v="0"/>
    <n v="0"/>
    <n v="0"/>
    <n v="0"/>
    <n v="0"/>
    <n v="0"/>
    <n v="1"/>
    <n v="0"/>
    <n v="0"/>
    <n v="0"/>
    <n v="0"/>
    <n v="0"/>
    <n v="0"/>
    <n v="0"/>
    <n v="0"/>
    <n v="0"/>
    <n v="0"/>
    <n v="0"/>
    <n v="0"/>
    <n v="1"/>
    <n v="0"/>
    <n v="0"/>
    <n v="0"/>
    <n v="0"/>
    <n v="0"/>
    <n v="0"/>
    <n v="0"/>
    <n v="0"/>
    <n v="1"/>
    <n v="0"/>
    <n v="0"/>
    <n v="0"/>
    <n v="0"/>
    <n v="0"/>
    <n v="0"/>
    <n v="0"/>
    <n v="0"/>
    <n v="0"/>
    <n v="0"/>
    <n v="0"/>
    <n v="1"/>
    <n v="0"/>
    <n v="1"/>
    <n v="0"/>
    <n v="0"/>
    <n v="0"/>
    <n v="1"/>
    <n v="0"/>
    <n v="0"/>
    <n v="0"/>
    <n v="0"/>
    <n v="0"/>
    <n v="0"/>
    <n v="0"/>
    <n v="0"/>
  </r>
  <r>
    <x v="31"/>
    <s v="Global"/>
    <x v="5"/>
    <n v="1"/>
    <n v="0"/>
    <n v="0"/>
    <n v="0"/>
    <n v="0"/>
    <n v="0"/>
    <n v="0"/>
    <n v="0"/>
    <n v="0"/>
    <n v="1"/>
    <n v="0"/>
    <n v="0"/>
    <n v="0"/>
    <n v="0"/>
    <n v="0"/>
    <n v="0"/>
    <n v="0"/>
    <n v="0"/>
    <n v="0"/>
    <n v="0"/>
    <n v="0"/>
    <n v="0"/>
    <n v="0"/>
    <n v="1"/>
    <n v="0"/>
    <n v="0"/>
    <n v="0"/>
    <n v="0"/>
    <n v="0"/>
    <n v="0"/>
    <n v="0"/>
    <n v="0"/>
    <n v="0"/>
    <n v="0"/>
    <n v="1"/>
    <n v="0"/>
    <n v="1"/>
    <n v="0"/>
    <n v="0"/>
    <n v="0"/>
    <n v="0"/>
    <n v="1"/>
    <n v="0"/>
    <n v="0"/>
    <n v="1"/>
    <n v="0"/>
    <n v="0"/>
    <n v="0"/>
    <n v="0"/>
    <n v="0"/>
    <n v="0"/>
    <n v="0"/>
    <n v="1"/>
    <n v="0"/>
    <n v="0"/>
    <n v="0"/>
    <n v="0"/>
    <n v="0"/>
    <n v="1"/>
    <n v="0"/>
    <n v="0"/>
    <n v="0"/>
    <n v="1"/>
    <n v="0"/>
    <n v="0"/>
    <n v="0"/>
    <n v="0"/>
    <n v="0"/>
    <n v="0"/>
    <n v="0"/>
    <n v="0"/>
  </r>
  <r>
    <x v="32"/>
    <s v="Asia Pacific"/>
    <x v="5"/>
    <n v="0"/>
    <n v="0"/>
    <n v="1"/>
    <n v="0"/>
    <n v="0"/>
    <n v="0"/>
    <n v="0"/>
    <n v="0"/>
    <n v="0"/>
    <n v="0"/>
    <n v="0"/>
    <n v="0"/>
    <n v="0"/>
    <n v="0"/>
    <n v="0"/>
    <n v="0"/>
    <n v="0"/>
    <n v="1"/>
    <n v="0"/>
    <n v="0"/>
    <n v="0"/>
    <n v="0"/>
    <n v="0"/>
    <n v="0"/>
    <n v="0"/>
    <n v="0"/>
    <n v="0"/>
    <n v="0"/>
    <n v="0"/>
    <n v="0"/>
    <n v="0"/>
    <n v="0"/>
    <n v="0"/>
    <n v="0"/>
    <n v="0"/>
    <n v="0"/>
    <n v="0"/>
    <n v="0"/>
    <n v="0"/>
    <n v="0"/>
    <n v="0"/>
    <n v="0"/>
    <n v="0"/>
    <n v="0"/>
    <n v="1"/>
    <n v="0"/>
    <n v="0"/>
    <n v="0"/>
    <n v="0"/>
    <n v="0"/>
    <n v="0"/>
    <n v="0"/>
    <n v="0"/>
    <n v="0"/>
    <n v="0"/>
    <n v="0"/>
    <n v="1"/>
    <n v="0"/>
    <n v="0"/>
    <n v="1"/>
    <n v="0"/>
    <n v="0"/>
    <n v="0"/>
    <n v="0"/>
    <n v="1"/>
    <n v="0"/>
    <n v="0"/>
    <n v="0"/>
    <n v="0"/>
    <n v="0"/>
    <n v="0"/>
  </r>
  <r>
    <x v="33"/>
    <s v="Asia Pacific"/>
    <x v="5"/>
    <n v="1"/>
    <n v="0"/>
    <n v="0"/>
    <n v="0"/>
    <n v="0"/>
    <n v="0"/>
    <n v="0"/>
    <n v="0"/>
    <n v="0"/>
    <n v="1"/>
    <n v="0"/>
    <n v="0"/>
    <n v="0"/>
    <n v="0"/>
    <n v="0"/>
    <n v="0"/>
    <n v="0"/>
    <n v="0"/>
    <n v="0"/>
    <n v="0"/>
    <n v="0"/>
    <n v="0"/>
    <n v="1"/>
    <n v="0"/>
    <n v="0"/>
    <n v="0"/>
    <n v="0"/>
    <n v="0"/>
    <n v="0"/>
    <n v="0"/>
    <n v="0"/>
    <n v="0"/>
    <n v="0"/>
    <n v="0"/>
    <n v="0"/>
    <n v="1"/>
    <n v="0"/>
    <n v="0"/>
    <n v="0"/>
    <n v="0"/>
    <n v="0"/>
    <n v="0"/>
    <n v="1"/>
    <n v="0"/>
    <n v="0"/>
    <n v="0"/>
    <n v="0"/>
    <n v="0"/>
    <n v="0"/>
    <n v="0"/>
    <n v="0"/>
    <n v="0"/>
    <n v="0"/>
    <n v="0"/>
    <n v="0"/>
    <n v="0"/>
    <n v="0"/>
    <n v="1"/>
    <n v="0"/>
    <n v="0"/>
    <n v="0"/>
    <n v="0"/>
    <n v="0"/>
    <n v="0"/>
    <n v="0"/>
    <n v="0"/>
    <n v="0"/>
    <n v="0"/>
    <n v="0"/>
    <n v="0"/>
    <n v="0"/>
  </r>
  <r>
    <x v="34"/>
    <s v="Middle East and Africa"/>
    <x v="5"/>
    <n v="1"/>
    <n v="0"/>
    <n v="0"/>
    <n v="0"/>
    <n v="0"/>
    <n v="0"/>
    <n v="1"/>
    <n v="0"/>
    <n v="0"/>
    <n v="0"/>
    <n v="0"/>
    <n v="0"/>
    <n v="0"/>
    <n v="0"/>
    <n v="0"/>
    <n v="0"/>
    <n v="0"/>
    <n v="0"/>
    <n v="0"/>
    <n v="0"/>
    <n v="0"/>
    <n v="0"/>
    <n v="1"/>
    <n v="0"/>
    <n v="0"/>
    <n v="0"/>
    <n v="0"/>
    <n v="0"/>
    <n v="0"/>
    <n v="0"/>
    <n v="0"/>
    <n v="0"/>
    <n v="0"/>
    <n v="0"/>
    <n v="0"/>
    <n v="1"/>
    <n v="0"/>
    <n v="0"/>
    <n v="0"/>
    <n v="0"/>
    <n v="0"/>
    <n v="0"/>
    <n v="0"/>
    <n v="0"/>
    <n v="1"/>
    <n v="0"/>
    <n v="0"/>
    <n v="0"/>
    <n v="0"/>
    <n v="0"/>
    <n v="0"/>
    <n v="0"/>
    <n v="1"/>
    <n v="0"/>
    <n v="0"/>
    <n v="0"/>
    <n v="0"/>
    <n v="0"/>
    <n v="0"/>
    <n v="0"/>
    <n v="0"/>
    <n v="1"/>
    <n v="0"/>
    <n v="0"/>
    <n v="0"/>
    <n v="0"/>
    <n v="0"/>
    <n v="0"/>
    <n v="0"/>
    <n v="0"/>
    <n v="0"/>
  </r>
  <r>
    <x v="35"/>
    <s v="Middle East and Africa"/>
    <x v="5"/>
    <n v="1"/>
    <n v="0"/>
    <n v="0"/>
    <n v="0"/>
    <n v="0"/>
    <n v="0"/>
    <n v="0"/>
    <n v="0"/>
    <n v="0"/>
    <n v="1"/>
    <n v="0"/>
    <n v="0"/>
    <n v="0"/>
    <n v="0"/>
    <n v="0"/>
    <n v="0"/>
    <n v="0"/>
    <n v="0"/>
    <n v="0"/>
    <n v="0"/>
    <n v="0"/>
    <n v="0"/>
    <n v="1"/>
    <n v="0"/>
    <n v="0"/>
    <n v="0"/>
    <n v="0"/>
    <n v="0"/>
    <n v="0"/>
    <n v="0"/>
    <n v="0"/>
    <n v="0"/>
    <n v="0"/>
    <n v="0"/>
    <n v="0"/>
    <n v="0"/>
    <n v="1"/>
    <n v="0"/>
    <n v="0"/>
    <n v="0"/>
    <n v="1"/>
    <n v="0"/>
    <n v="0"/>
    <n v="1"/>
    <n v="0"/>
    <n v="0"/>
    <n v="0"/>
    <n v="0"/>
    <n v="0"/>
    <n v="0"/>
    <n v="0"/>
    <n v="1"/>
    <n v="0"/>
    <n v="0"/>
    <n v="0"/>
    <n v="0"/>
    <n v="0"/>
    <n v="1"/>
    <n v="0"/>
    <n v="0"/>
    <n v="0"/>
    <n v="0"/>
    <n v="0"/>
    <n v="0"/>
    <n v="0"/>
    <n v="0"/>
    <n v="0"/>
    <n v="0"/>
    <n v="0"/>
    <n v="0"/>
    <n v="0"/>
  </r>
  <r>
    <x v="36"/>
    <s v="Middle East and Africa"/>
    <x v="5"/>
    <n v="0"/>
    <n v="1"/>
    <n v="0"/>
    <n v="0"/>
    <n v="0"/>
    <n v="0"/>
    <n v="0"/>
    <n v="0"/>
    <n v="0"/>
    <n v="0"/>
    <n v="1"/>
    <n v="0"/>
    <n v="1"/>
    <n v="1"/>
    <n v="1"/>
    <n v="1"/>
    <n v="0"/>
    <n v="0"/>
    <n v="0"/>
    <n v="0"/>
    <n v="0"/>
    <n v="0"/>
    <n v="0"/>
    <n v="1"/>
    <n v="0"/>
    <n v="0"/>
    <n v="0"/>
    <n v="0"/>
    <n v="1"/>
    <n v="0"/>
    <n v="0"/>
    <n v="0"/>
    <n v="1"/>
    <n v="0"/>
    <n v="1"/>
    <n v="1"/>
    <n v="0"/>
    <n v="0"/>
    <n v="0"/>
    <n v="0"/>
    <n v="0"/>
    <n v="0"/>
    <n v="1"/>
    <n v="0"/>
    <n v="0"/>
    <n v="0"/>
    <n v="0"/>
    <n v="0"/>
    <n v="0"/>
    <n v="0"/>
    <n v="0"/>
    <n v="0"/>
    <n v="0"/>
    <n v="0"/>
    <n v="0"/>
    <n v="0"/>
    <n v="0"/>
    <n v="1"/>
    <n v="0"/>
    <n v="0"/>
    <n v="0"/>
    <n v="0"/>
    <n v="0"/>
    <n v="0"/>
    <n v="0"/>
    <n v="0"/>
    <n v="0"/>
    <n v="0"/>
    <n v="0"/>
    <n v="0"/>
    <n v="0"/>
  </r>
  <r>
    <x v="37"/>
    <s v="Middle East and Africa"/>
    <x v="5"/>
    <n v="1"/>
    <n v="0"/>
    <n v="0"/>
    <n v="0"/>
    <n v="0"/>
    <n v="0"/>
    <n v="1"/>
    <n v="0"/>
    <n v="0"/>
    <n v="0"/>
    <n v="0"/>
    <n v="0"/>
    <n v="0"/>
    <n v="0"/>
    <n v="0"/>
    <n v="0"/>
    <n v="0"/>
    <n v="0"/>
    <n v="0"/>
    <n v="0"/>
    <n v="0"/>
    <n v="0"/>
    <n v="1"/>
    <n v="0"/>
    <n v="0"/>
    <n v="0"/>
    <n v="0"/>
    <n v="0"/>
    <n v="0"/>
    <n v="0"/>
    <n v="0"/>
    <n v="0"/>
    <n v="0"/>
    <n v="0"/>
    <n v="0"/>
    <n v="1"/>
    <n v="0"/>
    <n v="0"/>
    <n v="0"/>
    <n v="0"/>
    <n v="0"/>
    <n v="0"/>
    <n v="0"/>
    <n v="0"/>
    <n v="1"/>
    <n v="0"/>
    <n v="0"/>
    <n v="0"/>
    <n v="0"/>
    <n v="0"/>
    <n v="0"/>
    <n v="0"/>
    <n v="1"/>
    <n v="0"/>
    <n v="0"/>
    <n v="0"/>
    <n v="0"/>
    <n v="0"/>
    <n v="0"/>
    <n v="0"/>
    <n v="0"/>
    <n v="1"/>
    <n v="0"/>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s v="Global"/>
    <x v="0"/>
    <n v="1"/>
    <n v="0"/>
    <n v="0"/>
    <n v="0"/>
    <n v="0"/>
    <n v="0"/>
    <n v="0"/>
    <n v="0"/>
    <n v="1"/>
    <n v="1"/>
    <n v="0"/>
    <n v="0"/>
    <n v="0"/>
    <n v="0"/>
    <n v="0"/>
    <n v="0"/>
    <n v="0"/>
    <n v="0"/>
    <n v="0"/>
    <n v="0"/>
    <n v="0"/>
    <n v="0"/>
    <n v="0"/>
    <n v="0"/>
    <n v="1"/>
    <n v="0"/>
    <n v="0"/>
    <n v="1"/>
    <n v="0"/>
    <n v="0"/>
    <n v="0"/>
    <n v="0"/>
    <n v="0"/>
    <n v="0"/>
    <n v="0"/>
    <n v="0"/>
    <n v="0"/>
    <n v="1"/>
    <n v="0"/>
    <n v="0"/>
    <n v="0"/>
    <n v="0"/>
    <n v="0"/>
    <n v="0"/>
    <n v="0"/>
    <n v="0"/>
    <n v="1"/>
    <n v="0"/>
    <n v="0"/>
    <n v="0"/>
    <n v="0"/>
    <n v="0"/>
    <n v="0"/>
    <n v="0"/>
    <n v="0"/>
    <n v="0"/>
    <n v="0"/>
    <n v="0"/>
    <n v="0"/>
    <n v="0"/>
    <n v="0"/>
    <n v="1"/>
    <n v="0"/>
    <n v="0"/>
  </r>
  <r>
    <x v="1"/>
    <s v="Global"/>
    <x v="0"/>
    <n v="1"/>
    <n v="0"/>
    <n v="0"/>
    <n v="0"/>
    <n v="0"/>
    <n v="0"/>
    <n v="0"/>
    <n v="0"/>
    <n v="1"/>
    <n v="1"/>
    <n v="0"/>
    <n v="0"/>
    <n v="0"/>
    <n v="0"/>
    <n v="0"/>
    <n v="0"/>
    <n v="0"/>
    <n v="0"/>
    <n v="0"/>
    <n v="0"/>
    <n v="0"/>
    <n v="0"/>
    <n v="0"/>
    <n v="0"/>
    <n v="1"/>
    <n v="0"/>
    <n v="0"/>
    <n v="0"/>
    <n v="0"/>
    <n v="0"/>
    <n v="0"/>
    <n v="0"/>
    <n v="0"/>
    <n v="0"/>
    <n v="0"/>
    <n v="0"/>
    <n v="0"/>
    <n v="1"/>
    <n v="0"/>
    <n v="0"/>
    <n v="0"/>
    <n v="0"/>
    <n v="0"/>
    <n v="0"/>
    <n v="0"/>
    <n v="0"/>
    <n v="1"/>
    <n v="0"/>
    <n v="0"/>
    <n v="0"/>
    <n v="0"/>
    <n v="0"/>
    <n v="0"/>
    <n v="0"/>
    <n v="0"/>
    <n v="0"/>
    <n v="0"/>
    <n v="0"/>
    <n v="0"/>
    <n v="0"/>
    <n v="0"/>
    <n v="1"/>
    <n v="0"/>
    <n v="0"/>
  </r>
  <r>
    <x v="2"/>
    <s v="Middle East and Africa"/>
    <x v="1"/>
    <n v="0"/>
    <n v="1"/>
    <n v="0"/>
    <n v="0"/>
    <n v="0"/>
    <n v="0"/>
    <n v="0"/>
    <n v="0"/>
    <n v="0"/>
    <n v="0"/>
    <n v="1"/>
    <n v="0"/>
    <n v="0"/>
    <n v="0"/>
    <n v="0"/>
    <n v="0"/>
    <n v="0"/>
    <n v="0"/>
    <n v="0"/>
    <n v="0"/>
    <n v="0"/>
    <n v="0"/>
    <n v="1"/>
    <n v="0"/>
    <n v="0"/>
    <n v="0"/>
    <n v="0"/>
    <n v="0"/>
    <n v="0"/>
    <n v="0"/>
    <n v="0"/>
    <n v="0"/>
    <n v="0"/>
    <n v="0"/>
    <n v="0"/>
    <n v="0"/>
    <n v="1"/>
    <n v="0"/>
    <n v="0"/>
    <n v="0"/>
    <n v="1"/>
    <n v="0"/>
    <n v="0"/>
    <n v="1"/>
    <n v="0"/>
    <n v="0"/>
    <n v="0"/>
    <n v="0"/>
    <n v="0"/>
    <n v="0"/>
    <n v="0"/>
    <n v="1"/>
    <n v="0"/>
    <n v="0"/>
    <n v="0"/>
    <n v="0"/>
    <n v="0"/>
    <n v="1"/>
    <n v="0"/>
    <n v="0"/>
    <n v="0"/>
    <n v="0"/>
    <n v="0"/>
    <n v="0"/>
  </r>
  <r>
    <x v="3"/>
    <s v="Europe"/>
    <x v="1"/>
    <n v="1"/>
    <n v="0"/>
    <n v="0"/>
    <n v="0"/>
    <n v="0"/>
    <n v="0"/>
    <n v="0"/>
    <n v="0"/>
    <n v="0"/>
    <n v="1"/>
    <n v="0"/>
    <n v="0"/>
    <n v="0"/>
    <n v="0"/>
    <n v="0"/>
    <n v="0"/>
    <n v="0"/>
    <n v="0"/>
    <n v="0"/>
    <n v="0"/>
    <n v="0"/>
    <n v="0"/>
    <n v="0"/>
    <n v="0"/>
    <n v="1"/>
    <n v="0"/>
    <n v="0"/>
    <n v="1"/>
    <n v="0"/>
    <n v="0"/>
    <n v="0"/>
    <n v="0"/>
    <n v="0"/>
    <n v="0"/>
    <n v="0"/>
    <n v="0"/>
    <n v="0"/>
    <n v="1"/>
    <n v="0"/>
    <n v="0"/>
    <n v="0"/>
    <n v="0"/>
    <n v="0"/>
    <n v="0"/>
    <n v="0"/>
    <n v="0"/>
    <n v="1"/>
    <n v="0"/>
    <n v="0"/>
    <n v="0"/>
    <n v="0"/>
    <n v="0"/>
    <n v="0"/>
    <n v="0"/>
    <n v="0"/>
    <n v="0"/>
    <n v="0"/>
    <n v="0"/>
    <n v="0"/>
    <n v="0"/>
    <n v="0"/>
    <n v="1"/>
    <n v="0"/>
    <n v="0"/>
  </r>
  <r>
    <x v="4"/>
    <s v="Europe"/>
    <x v="1"/>
    <n v="1"/>
    <n v="0"/>
    <n v="0"/>
    <n v="0"/>
    <n v="0"/>
    <n v="1"/>
    <n v="0"/>
    <n v="0"/>
    <n v="0"/>
    <n v="0"/>
    <n v="0"/>
    <n v="0"/>
    <n v="0"/>
    <n v="0"/>
    <n v="0"/>
    <n v="0"/>
    <n v="0"/>
    <n v="0"/>
    <n v="0"/>
    <n v="0"/>
    <n v="0"/>
    <n v="0"/>
    <n v="0"/>
    <n v="1"/>
    <n v="0"/>
    <n v="0"/>
    <n v="0"/>
    <n v="0"/>
    <n v="0"/>
    <n v="1"/>
    <n v="0"/>
    <n v="0"/>
    <n v="0"/>
    <n v="0"/>
    <n v="0"/>
    <n v="1"/>
    <n v="0"/>
    <n v="0"/>
    <n v="0"/>
    <n v="0"/>
    <n v="0"/>
    <n v="0"/>
    <n v="0"/>
    <n v="1"/>
    <n v="0"/>
    <n v="0"/>
    <n v="0"/>
    <n v="0"/>
    <n v="0"/>
    <n v="0"/>
    <n v="0"/>
    <n v="1"/>
    <n v="0"/>
    <n v="0"/>
    <n v="0"/>
    <n v="0"/>
    <n v="0"/>
    <n v="0"/>
    <n v="1"/>
    <n v="0"/>
    <n v="0"/>
    <n v="0"/>
    <n v="0"/>
    <n v="1"/>
  </r>
  <r>
    <x v="5"/>
    <s v="Middle East and Africa"/>
    <x v="1"/>
    <n v="0"/>
    <n v="1"/>
    <n v="0"/>
    <n v="0"/>
    <n v="0"/>
    <n v="0"/>
    <n v="0"/>
    <n v="0"/>
    <n v="0"/>
    <n v="0"/>
    <n v="1"/>
    <n v="0"/>
    <n v="0"/>
    <n v="0"/>
    <n v="0"/>
    <n v="0"/>
    <n v="0"/>
    <n v="0"/>
    <n v="0"/>
    <n v="0"/>
    <n v="0"/>
    <n v="0"/>
    <n v="0"/>
    <n v="1"/>
    <n v="0"/>
    <n v="0"/>
    <n v="0"/>
    <n v="0"/>
    <n v="1"/>
    <n v="0"/>
    <n v="0"/>
    <n v="0"/>
    <n v="0"/>
    <n v="0"/>
    <n v="0"/>
    <n v="0"/>
    <n v="1"/>
    <n v="0"/>
    <n v="0"/>
    <n v="0"/>
    <n v="1"/>
    <n v="0"/>
    <n v="1"/>
    <n v="0"/>
    <n v="0"/>
    <n v="0"/>
    <n v="0"/>
    <n v="0"/>
    <n v="0"/>
    <n v="0"/>
    <n v="0"/>
    <n v="0"/>
    <n v="0"/>
    <n v="0"/>
    <n v="0"/>
    <n v="0"/>
    <n v="0"/>
    <n v="1"/>
    <n v="0"/>
    <n v="0"/>
    <n v="0"/>
    <n v="0"/>
    <n v="0"/>
    <n v="0"/>
  </r>
  <r>
    <x v="6"/>
    <s v="North America"/>
    <x v="1"/>
    <n v="0"/>
    <n v="0"/>
    <n v="0"/>
    <n v="0"/>
    <n v="1"/>
    <n v="0"/>
    <n v="0"/>
    <n v="0"/>
    <n v="0"/>
    <n v="0"/>
    <n v="0"/>
    <n v="0"/>
    <n v="0"/>
    <n v="0"/>
    <n v="0"/>
    <n v="0"/>
    <n v="0"/>
    <n v="0"/>
    <n v="0"/>
    <n v="0"/>
    <n v="0"/>
    <n v="0"/>
    <n v="0"/>
    <n v="0"/>
    <n v="0"/>
    <n v="0"/>
    <n v="0"/>
    <n v="0"/>
    <n v="0"/>
    <n v="0"/>
    <n v="0"/>
    <n v="0"/>
    <n v="0"/>
    <n v="0"/>
    <n v="0"/>
    <n v="0"/>
    <n v="0"/>
    <n v="0"/>
    <n v="0"/>
    <n v="0"/>
    <n v="0"/>
    <n v="0"/>
    <n v="0"/>
    <n v="0"/>
    <n v="0"/>
    <n v="0"/>
    <n v="1"/>
    <n v="0"/>
    <n v="0"/>
    <n v="0"/>
    <n v="0"/>
    <n v="0"/>
    <n v="0"/>
    <n v="0"/>
    <n v="0"/>
    <n v="0"/>
    <n v="0"/>
    <n v="0"/>
    <n v="0"/>
    <n v="0"/>
    <n v="0"/>
    <n v="1"/>
    <n v="0"/>
    <n v="0"/>
  </r>
  <r>
    <x v="7"/>
    <s v="North America"/>
    <x v="2"/>
    <n v="0"/>
    <n v="1"/>
    <n v="0"/>
    <n v="0"/>
    <n v="0"/>
    <n v="0"/>
    <n v="0"/>
    <n v="0"/>
    <n v="0"/>
    <n v="0"/>
    <n v="1"/>
    <n v="0"/>
    <n v="0"/>
    <n v="0"/>
    <n v="0"/>
    <n v="1"/>
    <n v="0"/>
    <n v="0"/>
    <n v="0"/>
    <n v="0"/>
    <n v="0"/>
    <n v="0"/>
    <n v="0"/>
    <n v="1"/>
    <n v="0"/>
    <n v="0"/>
    <n v="0"/>
    <n v="0"/>
    <n v="0"/>
    <n v="0"/>
    <n v="1"/>
    <n v="1"/>
    <n v="0"/>
    <n v="1"/>
    <n v="1"/>
    <n v="0"/>
    <n v="0"/>
    <n v="0"/>
    <n v="0"/>
    <n v="1"/>
    <n v="0"/>
    <n v="0"/>
    <n v="0"/>
    <n v="0"/>
    <n v="1"/>
    <n v="0"/>
    <n v="0"/>
    <n v="0"/>
    <n v="0"/>
    <n v="0"/>
    <n v="0"/>
    <n v="0"/>
    <n v="0"/>
    <n v="0"/>
    <n v="0"/>
    <n v="0"/>
    <n v="1"/>
    <n v="0"/>
    <n v="1"/>
    <n v="0"/>
    <n v="0"/>
    <n v="0"/>
    <n v="1"/>
    <n v="0"/>
  </r>
  <r>
    <x v="8"/>
    <s v="Asia Pacific"/>
    <x v="2"/>
    <n v="0"/>
    <n v="0"/>
    <n v="1"/>
    <n v="0"/>
    <n v="0"/>
    <n v="0"/>
    <n v="0"/>
    <n v="0"/>
    <n v="0"/>
    <n v="0"/>
    <n v="0"/>
    <n v="0"/>
    <n v="0"/>
    <n v="0"/>
    <n v="0"/>
    <n v="0"/>
    <n v="1"/>
    <n v="1"/>
    <n v="1"/>
    <n v="1"/>
    <n v="1"/>
    <n v="1"/>
    <n v="0"/>
    <n v="0"/>
    <n v="0"/>
    <n v="0"/>
    <n v="0"/>
    <n v="0"/>
    <n v="0"/>
    <n v="0"/>
    <n v="0"/>
    <n v="0"/>
    <n v="0"/>
    <n v="0"/>
    <n v="0"/>
    <n v="0"/>
    <n v="0"/>
    <n v="0"/>
    <n v="0"/>
    <n v="0"/>
    <n v="0"/>
    <n v="0"/>
    <n v="0"/>
    <n v="1"/>
    <n v="0"/>
    <n v="0"/>
    <n v="0"/>
    <n v="1"/>
    <n v="1"/>
    <n v="1"/>
    <n v="1"/>
    <n v="0"/>
    <n v="0"/>
    <n v="0"/>
    <n v="0"/>
    <n v="0"/>
    <n v="0"/>
    <n v="0"/>
    <n v="0"/>
    <n v="1"/>
    <n v="0"/>
    <n v="0"/>
    <n v="0"/>
    <n v="0"/>
  </r>
  <r>
    <x v="9"/>
    <s v="North America"/>
    <x v="2"/>
    <n v="0"/>
    <n v="1"/>
    <n v="0"/>
    <n v="0"/>
    <n v="0"/>
    <n v="0"/>
    <n v="0"/>
    <n v="0"/>
    <n v="0"/>
    <n v="0"/>
    <n v="1"/>
    <n v="0"/>
    <n v="0"/>
    <n v="0"/>
    <n v="0"/>
    <n v="0"/>
    <n v="0"/>
    <n v="0"/>
    <n v="0"/>
    <n v="0"/>
    <n v="0"/>
    <n v="0"/>
    <n v="1"/>
    <n v="0"/>
    <n v="0"/>
    <n v="0"/>
    <n v="0"/>
    <n v="0"/>
    <n v="0"/>
    <n v="0"/>
    <n v="0"/>
    <n v="0"/>
    <n v="0"/>
    <n v="0"/>
    <n v="0"/>
    <n v="0"/>
    <n v="0"/>
    <n v="1"/>
    <n v="0"/>
    <n v="0"/>
    <n v="0"/>
    <n v="0"/>
    <n v="0"/>
    <n v="0"/>
    <n v="0"/>
    <n v="1"/>
    <n v="0"/>
    <n v="0"/>
    <n v="0"/>
    <n v="0"/>
    <n v="0"/>
    <n v="0"/>
    <n v="0"/>
    <n v="0"/>
    <n v="0"/>
    <n v="0"/>
    <n v="0"/>
    <n v="0"/>
    <n v="0"/>
    <n v="0"/>
    <n v="1"/>
    <n v="0"/>
    <n v="0"/>
    <n v="0"/>
  </r>
  <r>
    <x v="10"/>
    <s v="Europe"/>
    <x v="2"/>
    <n v="0"/>
    <n v="1"/>
    <n v="0"/>
    <n v="0"/>
    <n v="0"/>
    <n v="0"/>
    <n v="0"/>
    <n v="0"/>
    <n v="0"/>
    <n v="0"/>
    <n v="0"/>
    <n v="1"/>
    <n v="0"/>
    <n v="0"/>
    <n v="0"/>
    <n v="1"/>
    <n v="0"/>
    <n v="0"/>
    <n v="0"/>
    <n v="0"/>
    <n v="0"/>
    <n v="0"/>
    <n v="0"/>
    <n v="0"/>
    <n v="0"/>
    <n v="0"/>
    <n v="1"/>
    <n v="0"/>
    <n v="0"/>
    <n v="0"/>
    <n v="0"/>
    <n v="0"/>
    <n v="0"/>
    <n v="0"/>
    <n v="0"/>
    <n v="0"/>
    <n v="0"/>
    <n v="0"/>
    <n v="0"/>
    <n v="1"/>
    <n v="0"/>
    <n v="0"/>
    <n v="0"/>
    <n v="0"/>
    <n v="0"/>
    <n v="1"/>
    <n v="0"/>
    <n v="0"/>
    <n v="0"/>
    <n v="0"/>
    <n v="0"/>
    <n v="0"/>
    <n v="0"/>
    <n v="0"/>
    <n v="0"/>
    <n v="0"/>
    <n v="0"/>
    <n v="0"/>
    <n v="1"/>
    <n v="0"/>
    <n v="0"/>
    <n v="0"/>
    <n v="0"/>
    <n v="1"/>
  </r>
  <r>
    <x v="11"/>
    <s v="South America"/>
    <x v="2"/>
    <n v="1"/>
    <n v="0"/>
    <n v="0"/>
    <n v="0"/>
    <n v="0"/>
    <n v="0"/>
    <n v="0"/>
    <n v="0"/>
    <n v="0"/>
    <n v="1"/>
    <n v="0"/>
    <n v="0"/>
    <n v="0"/>
    <n v="0"/>
    <n v="0"/>
    <n v="0"/>
    <n v="0"/>
    <n v="0"/>
    <n v="0"/>
    <n v="0"/>
    <n v="0"/>
    <n v="0"/>
    <n v="1"/>
    <n v="0"/>
    <n v="0"/>
    <n v="0"/>
    <n v="0"/>
    <n v="0"/>
    <n v="0"/>
    <n v="0"/>
    <n v="0"/>
    <n v="0"/>
    <n v="0"/>
    <n v="0"/>
    <n v="0"/>
    <n v="1"/>
    <n v="0"/>
    <n v="0"/>
    <n v="0"/>
    <n v="0"/>
    <n v="0"/>
    <n v="0"/>
    <n v="1"/>
    <n v="0"/>
    <n v="0"/>
    <n v="0"/>
    <n v="0"/>
    <n v="0"/>
    <n v="0"/>
    <n v="0"/>
    <n v="0"/>
    <n v="0"/>
    <n v="0"/>
    <n v="0"/>
    <n v="0"/>
    <n v="0"/>
    <n v="0"/>
    <n v="1"/>
    <n v="0"/>
    <n v="0"/>
    <n v="0"/>
    <n v="0"/>
    <n v="0"/>
    <n v="0"/>
  </r>
  <r>
    <x v="12"/>
    <s v="Asia Pacific"/>
    <x v="2"/>
    <n v="1"/>
    <n v="0"/>
    <n v="0"/>
    <n v="0"/>
    <n v="0"/>
    <n v="0"/>
    <n v="1"/>
    <n v="0"/>
    <n v="0"/>
    <n v="0"/>
    <n v="0"/>
    <n v="0"/>
    <n v="0"/>
    <n v="0"/>
    <n v="0"/>
    <n v="0"/>
    <n v="0"/>
    <n v="0"/>
    <n v="0"/>
    <n v="0"/>
    <n v="0"/>
    <n v="0"/>
    <n v="1"/>
    <n v="0"/>
    <n v="0"/>
    <n v="0"/>
    <n v="0"/>
    <n v="0"/>
    <n v="0"/>
    <n v="0"/>
    <n v="0"/>
    <n v="0"/>
    <n v="0"/>
    <n v="0"/>
    <n v="0"/>
    <n v="1"/>
    <n v="0"/>
    <n v="0"/>
    <n v="0"/>
    <n v="0"/>
    <n v="0"/>
    <n v="0"/>
    <n v="1"/>
    <n v="0"/>
    <n v="0"/>
    <n v="0"/>
    <n v="0"/>
    <n v="0"/>
    <n v="0"/>
    <n v="0"/>
    <n v="0"/>
    <n v="0"/>
    <n v="0"/>
    <n v="0"/>
    <n v="0"/>
    <n v="0"/>
    <n v="0"/>
    <n v="1"/>
    <n v="0"/>
    <n v="0"/>
    <n v="0"/>
    <n v="0"/>
    <n v="0"/>
    <n v="0"/>
  </r>
  <r>
    <x v="13"/>
    <s v="Europe"/>
    <x v="2"/>
    <n v="0"/>
    <n v="1"/>
    <n v="0"/>
    <n v="0"/>
    <n v="0"/>
    <n v="0"/>
    <n v="0"/>
    <n v="0"/>
    <n v="0"/>
    <n v="0"/>
    <n v="1"/>
    <n v="0"/>
    <n v="0"/>
    <n v="1"/>
    <n v="0"/>
    <n v="0"/>
    <n v="0"/>
    <n v="0"/>
    <n v="0"/>
    <n v="0"/>
    <n v="0"/>
    <n v="0"/>
    <n v="0"/>
    <n v="1"/>
    <n v="0"/>
    <n v="0"/>
    <n v="0"/>
    <n v="0"/>
    <n v="1"/>
    <n v="1"/>
    <n v="0"/>
    <n v="0"/>
    <n v="0"/>
    <n v="0"/>
    <n v="1"/>
    <n v="1"/>
    <n v="0"/>
    <n v="0"/>
    <n v="0"/>
    <n v="0"/>
    <n v="0"/>
    <n v="0"/>
    <n v="0"/>
    <n v="0"/>
    <n v="1"/>
    <n v="0"/>
    <n v="0"/>
    <n v="0"/>
    <n v="0"/>
    <n v="0"/>
    <n v="0"/>
    <n v="0"/>
    <n v="1"/>
    <n v="1"/>
    <n v="0"/>
    <n v="0"/>
    <n v="0"/>
    <n v="0"/>
    <n v="1"/>
    <n v="0"/>
    <n v="0"/>
    <n v="0"/>
    <n v="1"/>
    <n v="0"/>
  </r>
  <r>
    <x v="14"/>
    <s v="Asia Pacific"/>
    <x v="2"/>
    <n v="1"/>
    <n v="0"/>
    <n v="0"/>
    <n v="0"/>
    <n v="0"/>
    <n v="0"/>
    <n v="0"/>
    <n v="0"/>
    <n v="0"/>
    <n v="1"/>
    <n v="0"/>
    <n v="0"/>
    <n v="0"/>
    <n v="0"/>
    <n v="0"/>
    <n v="0"/>
    <n v="0"/>
    <n v="0"/>
    <n v="0"/>
    <n v="0"/>
    <n v="0"/>
    <n v="0"/>
    <n v="1"/>
    <n v="0"/>
    <n v="0"/>
    <n v="0"/>
    <n v="0"/>
    <n v="0"/>
    <n v="0"/>
    <n v="0"/>
    <n v="0"/>
    <n v="0"/>
    <n v="0"/>
    <n v="0"/>
    <n v="0"/>
    <n v="1"/>
    <n v="0"/>
    <n v="0"/>
    <n v="0"/>
    <n v="0"/>
    <n v="0"/>
    <n v="0"/>
    <n v="0"/>
    <n v="0"/>
    <n v="1"/>
    <n v="0"/>
    <n v="0"/>
    <n v="0"/>
    <n v="0"/>
    <n v="0"/>
    <n v="0"/>
    <n v="0"/>
    <n v="1"/>
    <n v="0"/>
    <n v="1"/>
    <n v="0"/>
    <n v="1"/>
    <n v="0"/>
    <n v="1"/>
    <n v="0"/>
    <n v="0"/>
    <n v="0"/>
    <n v="1"/>
    <n v="0"/>
  </r>
  <r>
    <x v="15"/>
    <s v="Asia Pacific"/>
    <x v="2"/>
    <n v="1"/>
    <n v="0"/>
    <n v="0"/>
    <n v="0"/>
    <n v="0"/>
    <n v="0"/>
    <n v="0"/>
    <n v="0"/>
    <n v="0"/>
    <n v="1"/>
    <n v="0"/>
    <n v="0"/>
    <n v="0"/>
    <n v="0"/>
    <n v="0"/>
    <n v="0"/>
    <n v="0"/>
    <n v="0"/>
    <n v="0"/>
    <n v="0"/>
    <n v="0"/>
    <n v="0"/>
    <n v="1"/>
    <n v="0"/>
    <n v="0"/>
    <n v="0"/>
    <n v="0"/>
    <n v="0"/>
    <n v="0"/>
    <n v="0"/>
    <n v="0"/>
    <n v="0"/>
    <n v="0"/>
    <n v="0"/>
    <n v="0"/>
    <n v="1"/>
    <n v="0"/>
    <n v="0"/>
    <n v="0"/>
    <n v="0"/>
    <n v="0"/>
    <n v="0"/>
    <n v="0"/>
    <n v="0"/>
    <n v="0"/>
    <n v="1"/>
    <n v="0"/>
    <n v="0"/>
    <n v="0"/>
    <n v="0"/>
    <n v="0"/>
    <n v="0"/>
    <n v="0"/>
    <n v="0"/>
    <n v="0"/>
    <n v="0"/>
    <n v="0"/>
    <n v="1"/>
    <n v="0"/>
    <n v="0"/>
    <n v="0"/>
    <n v="0"/>
    <n v="0"/>
    <n v="0"/>
  </r>
  <r>
    <x v="16"/>
    <s v="Asia Pacific"/>
    <x v="2"/>
    <n v="0"/>
    <n v="1"/>
    <n v="0"/>
    <n v="0"/>
    <n v="0"/>
    <n v="0"/>
    <n v="0"/>
    <n v="0"/>
    <n v="0"/>
    <n v="0"/>
    <n v="1"/>
    <n v="0"/>
    <n v="1"/>
    <n v="1"/>
    <n v="0"/>
    <n v="0"/>
    <n v="0"/>
    <n v="0"/>
    <n v="0"/>
    <n v="0"/>
    <n v="0"/>
    <n v="0"/>
    <n v="0"/>
    <n v="0"/>
    <n v="0"/>
    <n v="1"/>
    <n v="0"/>
    <n v="0"/>
    <n v="0"/>
    <n v="0"/>
    <n v="0"/>
    <n v="0"/>
    <n v="0"/>
    <n v="0"/>
    <n v="0"/>
    <n v="0"/>
    <n v="0"/>
    <n v="0"/>
    <n v="1"/>
    <n v="0"/>
    <n v="0"/>
    <n v="0"/>
    <n v="0"/>
    <n v="0"/>
    <n v="1"/>
    <n v="0"/>
    <n v="0"/>
    <n v="0"/>
    <n v="0"/>
    <n v="0"/>
    <n v="0"/>
    <n v="0"/>
    <n v="0"/>
    <n v="1"/>
    <n v="0"/>
    <n v="0"/>
    <n v="1"/>
    <n v="0"/>
    <n v="0"/>
    <n v="0"/>
    <n v="0"/>
    <n v="1"/>
    <n v="0"/>
    <n v="0"/>
  </r>
  <r>
    <x v="17"/>
    <s v="Global"/>
    <x v="3"/>
    <n v="0"/>
    <n v="1"/>
    <n v="0"/>
    <n v="0"/>
    <n v="0"/>
    <n v="0"/>
    <n v="0"/>
    <n v="0"/>
    <n v="0"/>
    <n v="0"/>
    <n v="0"/>
    <n v="0"/>
    <n v="0"/>
    <n v="0"/>
    <n v="1"/>
    <n v="0"/>
    <n v="0"/>
    <n v="0"/>
    <n v="0"/>
    <n v="0"/>
    <n v="0"/>
    <n v="0"/>
    <n v="1"/>
    <n v="0"/>
    <n v="0"/>
    <n v="0"/>
    <n v="0"/>
    <n v="0"/>
    <n v="0"/>
    <n v="0"/>
    <n v="0"/>
    <n v="0"/>
    <n v="0"/>
    <n v="0"/>
    <n v="0"/>
    <n v="0"/>
    <n v="0"/>
    <n v="0"/>
    <n v="0"/>
    <n v="1"/>
    <n v="0"/>
    <n v="0"/>
    <n v="1"/>
    <n v="0"/>
    <n v="0"/>
    <n v="0"/>
    <n v="0"/>
    <n v="0"/>
    <n v="0"/>
    <n v="0"/>
    <n v="0"/>
    <n v="0"/>
    <n v="0"/>
    <n v="0"/>
    <n v="0"/>
    <n v="0"/>
    <n v="0"/>
    <n v="1"/>
    <n v="0"/>
    <n v="0"/>
    <n v="0"/>
    <n v="0"/>
    <n v="0"/>
    <n v="0"/>
  </r>
  <r>
    <x v="18"/>
    <s v="Global"/>
    <x v="3"/>
    <n v="0"/>
    <n v="1"/>
    <n v="0"/>
    <n v="0"/>
    <n v="0"/>
    <n v="0"/>
    <n v="0"/>
    <n v="0"/>
    <n v="0"/>
    <n v="0"/>
    <n v="1"/>
    <n v="1"/>
    <n v="0"/>
    <n v="0"/>
    <n v="0"/>
    <n v="0"/>
    <n v="0"/>
    <n v="0"/>
    <n v="0"/>
    <n v="0"/>
    <n v="0"/>
    <n v="0"/>
    <n v="0"/>
    <n v="1"/>
    <n v="0"/>
    <n v="0"/>
    <n v="0"/>
    <n v="0"/>
    <n v="1"/>
    <n v="0"/>
    <n v="0"/>
    <n v="0"/>
    <n v="0"/>
    <n v="0"/>
    <n v="1"/>
    <n v="1"/>
    <n v="0"/>
    <n v="0"/>
    <n v="0"/>
    <n v="0"/>
    <n v="0"/>
    <n v="0"/>
    <n v="0"/>
    <n v="0"/>
    <n v="1"/>
    <n v="0"/>
    <n v="0"/>
    <n v="0"/>
    <n v="0"/>
    <n v="0"/>
    <n v="0"/>
    <n v="0"/>
    <n v="0"/>
    <n v="0"/>
    <n v="0"/>
    <n v="1"/>
    <n v="0"/>
    <n v="0"/>
    <n v="0"/>
    <n v="1"/>
    <n v="0"/>
    <n v="0"/>
    <n v="0"/>
    <n v="0"/>
  </r>
  <r>
    <x v="19"/>
    <s v="Global"/>
    <x v="3"/>
    <n v="0"/>
    <n v="1"/>
    <n v="0"/>
    <n v="0"/>
    <n v="0"/>
    <n v="0"/>
    <n v="0"/>
    <n v="0"/>
    <n v="0"/>
    <n v="0"/>
    <n v="0"/>
    <n v="0"/>
    <n v="0"/>
    <n v="0"/>
    <n v="1"/>
    <n v="0"/>
    <n v="0"/>
    <n v="0"/>
    <n v="0"/>
    <n v="0"/>
    <n v="0"/>
    <n v="0"/>
    <n v="0"/>
    <n v="1"/>
    <n v="0"/>
    <n v="0"/>
    <n v="0"/>
    <n v="1"/>
    <n v="0"/>
    <n v="1"/>
    <n v="1"/>
    <n v="0"/>
    <n v="0"/>
    <n v="0"/>
    <n v="1"/>
    <n v="0"/>
    <n v="1"/>
    <n v="0"/>
    <n v="0"/>
    <n v="0"/>
    <n v="0"/>
    <n v="1"/>
    <n v="0"/>
    <n v="0"/>
    <n v="0"/>
    <n v="1"/>
    <n v="0"/>
    <n v="0"/>
    <n v="0"/>
    <n v="0"/>
    <n v="0"/>
    <n v="0"/>
    <n v="0"/>
    <n v="0"/>
    <n v="0"/>
    <n v="0"/>
    <n v="0"/>
    <n v="1"/>
    <n v="0"/>
    <n v="0"/>
    <n v="0"/>
    <n v="0"/>
    <n v="0"/>
    <n v="0"/>
  </r>
  <r>
    <x v="20"/>
    <s v="Global"/>
    <x v="3"/>
    <n v="1"/>
    <n v="0"/>
    <n v="0"/>
    <n v="0"/>
    <n v="0"/>
    <n v="0"/>
    <n v="1"/>
    <n v="1"/>
    <n v="0"/>
    <n v="1"/>
    <n v="0"/>
    <n v="0"/>
    <n v="0"/>
    <n v="0"/>
    <n v="0"/>
    <n v="0"/>
    <n v="0"/>
    <n v="0"/>
    <n v="0"/>
    <n v="0"/>
    <n v="0"/>
    <n v="0"/>
    <n v="1"/>
    <n v="0"/>
    <n v="0"/>
    <n v="0"/>
    <n v="0"/>
    <n v="0"/>
    <n v="0"/>
    <n v="0"/>
    <n v="0"/>
    <n v="0"/>
    <n v="0"/>
    <n v="0"/>
    <n v="0"/>
    <n v="0"/>
    <n v="1"/>
    <n v="0"/>
    <n v="0"/>
    <n v="0"/>
    <n v="1"/>
    <n v="0"/>
    <n v="0"/>
    <n v="0"/>
    <n v="1"/>
    <n v="0"/>
    <n v="0"/>
    <n v="0"/>
    <n v="0"/>
    <n v="0"/>
    <n v="0"/>
    <n v="0"/>
    <n v="0"/>
    <n v="0"/>
    <n v="1"/>
    <n v="1"/>
    <n v="1"/>
    <n v="0"/>
    <n v="1"/>
    <n v="0"/>
    <n v="0"/>
    <n v="0"/>
    <n v="1"/>
    <n v="0"/>
  </r>
  <r>
    <x v="21"/>
    <s v="Global"/>
    <x v="3"/>
    <n v="1"/>
    <n v="0"/>
    <n v="0"/>
    <n v="0"/>
    <n v="0"/>
    <n v="1"/>
    <n v="0"/>
    <n v="0"/>
    <n v="0"/>
    <n v="1"/>
    <n v="0"/>
    <n v="0"/>
    <n v="0"/>
    <n v="0"/>
    <n v="0"/>
    <n v="0"/>
    <n v="0"/>
    <n v="0"/>
    <n v="0"/>
    <n v="0"/>
    <n v="0"/>
    <n v="0"/>
    <n v="1"/>
    <n v="0"/>
    <n v="0"/>
    <n v="0"/>
    <n v="0"/>
    <n v="0"/>
    <n v="0"/>
    <n v="0"/>
    <n v="0"/>
    <n v="0"/>
    <n v="0"/>
    <n v="0"/>
    <n v="0"/>
    <n v="1"/>
    <n v="0"/>
    <n v="0"/>
    <n v="0"/>
    <n v="0"/>
    <n v="0"/>
    <n v="0"/>
    <n v="0"/>
    <n v="1"/>
    <n v="0"/>
    <n v="0"/>
    <n v="0"/>
    <n v="0"/>
    <n v="1"/>
    <n v="1"/>
    <n v="0"/>
    <n v="0"/>
    <n v="0"/>
    <n v="0"/>
    <n v="0"/>
    <n v="0"/>
    <n v="0"/>
    <n v="0"/>
    <n v="1"/>
    <n v="0"/>
    <n v="0"/>
    <n v="0"/>
    <n v="0"/>
    <n v="1"/>
  </r>
  <r>
    <x v="22"/>
    <s v="Global"/>
    <x v="3"/>
    <n v="0"/>
    <n v="1"/>
    <n v="0"/>
    <n v="0"/>
    <n v="0"/>
    <n v="0"/>
    <n v="0"/>
    <n v="0"/>
    <n v="0"/>
    <n v="0"/>
    <n v="1"/>
    <n v="1"/>
    <n v="0"/>
    <n v="0"/>
    <n v="0"/>
    <n v="0"/>
    <n v="0"/>
    <n v="0"/>
    <n v="0"/>
    <n v="0"/>
    <n v="0"/>
    <n v="0"/>
    <n v="1"/>
    <n v="0"/>
    <n v="0"/>
    <n v="0"/>
    <n v="0"/>
    <n v="0"/>
    <n v="0"/>
    <n v="0"/>
    <n v="0"/>
    <n v="0"/>
    <n v="0"/>
    <n v="0"/>
    <n v="0"/>
    <n v="1"/>
    <n v="0"/>
    <n v="0"/>
    <n v="0"/>
    <n v="0"/>
    <n v="0"/>
    <n v="0"/>
    <n v="0"/>
    <n v="1"/>
    <n v="0"/>
    <n v="0"/>
    <n v="0"/>
    <n v="1"/>
    <n v="0"/>
    <n v="1"/>
    <n v="0"/>
    <n v="0"/>
    <n v="0"/>
    <n v="0"/>
    <n v="0"/>
    <n v="0"/>
    <n v="0"/>
    <n v="1"/>
    <n v="0"/>
    <n v="0"/>
    <n v="0"/>
    <n v="0"/>
    <n v="0"/>
    <n v="0"/>
  </r>
  <r>
    <x v="23"/>
    <s v="North America"/>
    <x v="4"/>
    <n v="0"/>
    <n v="0"/>
    <n v="1"/>
    <n v="0"/>
    <n v="0"/>
    <n v="0"/>
    <n v="0"/>
    <n v="0"/>
    <n v="0"/>
    <n v="0"/>
    <n v="0"/>
    <n v="0"/>
    <n v="0"/>
    <n v="0"/>
    <n v="0"/>
    <n v="0"/>
    <n v="1"/>
    <n v="1"/>
    <n v="1"/>
    <n v="0"/>
    <n v="0"/>
    <n v="1"/>
    <n v="0"/>
    <n v="0"/>
    <n v="0"/>
    <n v="0"/>
    <n v="0"/>
    <n v="0"/>
    <n v="0"/>
    <n v="0"/>
    <n v="0"/>
    <n v="0"/>
    <n v="0"/>
    <n v="0"/>
    <n v="0"/>
    <n v="0"/>
    <n v="0"/>
    <n v="0"/>
    <n v="0"/>
    <n v="0"/>
    <n v="0"/>
    <n v="0"/>
    <n v="0"/>
    <n v="0"/>
    <n v="0"/>
    <n v="0"/>
    <n v="1"/>
    <n v="0"/>
    <n v="0"/>
    <n v="0"/>
    <n v="0"/>
    <n v="0"/>
    <n v="0"/>
    <n v="0"/>
    <n v="0"/>
    <n v="0"/>
    <n v="0"/>
    <n v="0"/>
    <n v="0"/>
    <n v="0"/>
    <n v="0"/>
    <n v="1"/>
    <n v="0"/>
    <n v="0"/>
  </r>
  <r>
    <x v="24"/>
    <s v="Middle East and Africa"/>
    <x v="5"/>
    <n v="0"/>
    <n v="1"/>
    <n v="0"/>
    <n v="0"/>
    <n v="0"/>
    <n v="0"/>
    <n v="0"/>
    <n v="0"/>
    <n v="0"/>
    <n v="0"/>
    <n v="0"/>
    <n v="0"/>
    <n v="0"/>
    <n v="0"/>
    <n v="0"/>
    <n v="1"/>
    <n v="0"/>
    <n v="0"/>
    <n v="0"/>
    <n v="0"/>
    <n v="0"/>
    <n v="0"/>
    <n v="1"/>
    <n v="0"/>
    <n v="0"/>
    <n v="0"/>
    <n v="0"/>
    <n v="0"/>
    <n v="0"/>
    <n v="0"/>
    <n v="0"/>
    <n v="0"/>
    <n v="0"/>
    <n v="0"/>
    <n v="0"/>
    <n v="1"/>
    <n v="0"/>
    <n v="0"/>
    <n v="0"/>
    <n v="0"/>
    <n v="0"/>
    <n v="0"/>
    <n v="1"/>
    <n v="0"/>
    <n v="0"/>
    <n v="0"/>
    <n v="0"/>
    <n v="0"/>
    <n v="0"/>
    <n v="0"/>
    <n v="0"/>
    <n v="0"/>
    <n v="0"/>
    <n v="0"/>
    <n v="0"/>
    <n v="0"/>
    <n v="0"/>
    <n v="1"/>
    <n v="0"/>
    <n v="0"/>
    <n v="0"/>
    <n v="0"/>
    <n v="0"/>
    <n v="0"/>
  </r>
  <r>
    <x v="25"/>
    <s v="Global"/>
    <x v="5"/>
    <n v="0"/>
    <n v="1"/>
    <n v="0"/>
    <n v="0"/>
    <n v="0"/>
    <n v="0"/>
    <n v="0"/>
    <n v="0"/>
    <n v="0"/>
    <n v="0"/>
    <n v="0"/>
    <n v="1"/>
    <n v="1"/>
    <n v="1"/>
    <n v="0"/>
    <n v="1"/>
    <n v="0"/>
    <n v="0"/>
    <n v="0"/>
    <n v="0"/>
    <n v="0"/>
    <n v="0"/>
    <n v="0"/>
    <n v="1"/>
    <n v="0"/>
    <n v="0"/>
    <n v="0"/>
    <n v="0"/>
    <n v="0"/>
    <n v="0"/>
    <n v="0"/>
    <n v="0"/>
    <n v="0"/>
    <n v="0"/>
    <n v="1"/>
    <n v="1"/>
    <n v="0"/>
    <n v="0"/>
    <n v="0"/>
    <n v="0"/>
    <n v="0"/>
    <n v="0"/>
    <n v="0"/>
    <n v="1"/>
    <n v="0"/>
    <n v="0"/>
    <n v="0"/>
    <n v="1"/>
    <n v="0"/>
    <n v="1"/>
    <n v="1"/>
    <n v="0"/>
    <n v="0"/>
    <n v="0"/>
    <n v="0"/>
    <n v="0"/>
    <n v="0"/>
    <n v="0"/>
    <n v="1"/>
    <n v="0"/>
    <n v="0"/>
    <n v="0"/>
    <n v="0"/>
    <n v="1"/>
  </r>
  <r>
    <x v="26"/>
    <s v="Asia Pacific"/>
    <x v="5"/>
    <n v="0"/>
    <n v="0"/>
    <n v="0"/>
    <n v="1"/>
    <n v="0"/>
    <n v="0"/>
    <n v="0"/>
    <n v="0"/>
    <n v="0"/>
    <n v="0"/>
    <n v="0"/>
    <n v="0"/>
    <n v="0"/>
    <n v="0"/>
    <n v="0"/>
    <n v="0"/>
    <n v="0"/>
    <n v="0"/>
    <n v="0"/>
    <n v="0"/>
    <n v="0"/>
    <n v="0"/>
    <n v="0"/>
    <n v="0"/>
    <n v="0"/>
    <n v="1"/>
    <n v="0"/>
    <n v="0"/>
    <n v="0"/>
    <n v="0"/>
    <n v="0"/>
    <n v="0"/>
    <n v="0"/>
    <n v="0"/>
    <n v="0"/>
    <n v="0"/>
    <n v="0"/>
    <n v="0"/>
    <n v="1"/>
    <n v="0"/>
    <n v="0"/>
    <n v="0"/>
    <n v="0"/>
    <n v="0"/>
    <n v="0"/>
    <n v="1"/>
    <n v="0"/>
    <n v="0"/>
    <n v="0"/>
    <n v="0"/>
    <n v="0"/>
    <n v="0"/>
    <n v="0"/>
    <n v="0"/>
    <n v="0"/>
    <n v="0"/>
    <n v="0"/>
    <n v="0"/>
    <n v="1"/>
    <n v="0"/>
    <n v="0"/>
    <n v="0"/>
    <n v="0"/>
    <n v="1"/>
  </r>
  <r>
    <x v="27"/>
    <s v="Asia Pacific"/>
    <x v="5"/>
    <n v="1"/>
    <n v="0"/>
    <n v="0"/>
    <n v="0"/>
    <n v="0"/>
    <n v="0"/>
    <n v="0"/>
    <n v="0"/>
    <n v="0"/>
    <n v="1"/>
    <n v="0"/>
    <n v="0"/>
    <n v="0"/>
    <n v="0"/>
    <n v="0"/>
    <n v="0"/>
    <n v="0"/>
    <n v="0"/>
    <n v="0"/>
    <n v="0"/>
    <n v="0"/>
    <n v="0"/>
    <n v="1"/>
    <n v="0"/>
    <n v="0"/>
    <n v="0"/>
    <n v="0"/>
    <n v="0"/>
    <n v="0"/>
    <n v="0"/>
    <n v="0"/>
    <n v="0"/>
    <n v="0"/>
    <n v="0"/>
    <n v="0"/>
    <n v="1"/>
    <n v="0"/>
    <n v="0"/>
    <n v="0"/>
    <n v="0"/>
    <n v="0"/>
    <n v="0"/>
    <n v="1"/>
    <n v="0"/>
    <n v="0"/>
    <n v="0"/>
    <n v="0"/>
    <n v="0"/>
    <n v="0"/>
    <n v="0"/>
    <n v="0"/>
    <n v="0"/>
    <n v="0"/>
    <n v="0"/>
    <n v="0"/>
    <n v="0"/>
    <n v="0"/>
    <n v="1"/>
    <n v="0"/>
    <n v="0"/>
    <n v="0"/>
    <n v="0"/>
    <n v="0"/>
    <n v="0"/>
  </r>
  <r>
    <x v="28"/>
    <s v="Europe"/>
    <x v="5"/>
    <n v="1"/>
    <n v="0"/>
    <n v="0"/>
    <n v="0"/>
    <n v="0"/>
    <n v="1"/>
    <n v="0"/>
    <n v="0"/>
    <n v="0"/>
    <n v="1"/>
    <n v="0"/>
    <n v="0"/>
    <n v="0"/>
    <n v="0"/>
    <n v="0"/>
    <n v="0"/>
    <n v="0"/>
    <n v="0"/>
    <n v="0"/>
    <n v="0"/>
    <n v="0"/>
    <n v="0"/>
    <n v="1"/>
    <n v="0"/>
    <n v="0"/>
    <n v="0"/>
    <n v="0"/>
    <n v="0"/>
    <n v="0"/>
    <n v="0"/>
    <n v="0"/>
    <n v="0"/>
    <n v="0"/>
    <n v="0"/>
    <n v="0"/>
    <n v="1"/>
    <n v="0"/>
    <n v="0"/>
    <n v="0"/>
    <n v="0"/>
    <n v="0"/>
    <n v="0"/>
    <n v="0"/>
    <n v="1"/>
    <n v="0"/>
    <n v="0"/>
    <n v="0"/>
    <n v="0"/>
    <n v="1"/>
    <n v="1"/>
    <n v="0"/>
    <n v="0"/>
    <n v="0"/>
    <n v="0"/>
    <n v="0"/>
    <n v="0"/>
    <n v="0"/>
    <n v="1"/>
    <n v="0"/>
    <n v="0"/>
    <n v="0"/>
    <n v="0"/>
    <n v="0"/>
    <n v="0"/>
  </r>
  <r>
    <x v="29"/>
    <s v="Middle East and Africa"/>
    <x v="5"/>
    <n v="1"/>
    <n v="0"/>
    <n v="0"/>
    <n v="0"/>
    <n v="0"/>
    <n v="0"/>
    <n v="0"/>
    <n v="0"/>
    <n v="0"/>
    <n v="1"/>
    <n v="0"/>
    <n v="0"/>
    <n v="0"/>
    <n v="0"/>
    <n v="0"/>
    <n v="0"/>
    <n v="0"/>
    <n v="0"/>
    <n v="0"/>
    <n v="0"/>
    <n v="0"/>
    <n v="0"/>
    <n v="0"/>
    <n v="1"/>
    <n v="0"/>
    <n v="0"/>
    <n v="0"/>
    <n v="0"/>
    <n v="0"/>
    <n v="0"/>
    <n v="0"/>
    <n v="0"/>
    <n v="0"/>
    <n v="0"/>
    <n v="1"/>
    <n v="1"/>
    <n v="0"/>
    <n v="0"/>
    <n v="0"/>
    <n v="0"/>
    <n v="0"/>
    <n v="0"/>
    <n v="1"/>
    <n v="0"/>
    <n v="0"/>
    <n v="0"/>
    <n v="0"/>
    <n v="0"/>
    <n v="0"/>
    <n v="0"/>
    <n v="0"/>
    <n v="0"/>
    <n v="0"/>
    <n v="0"/>
    <n v="0"/>
    <n v="0"/>
    <n v="0"/>
    <n v="0"/>
    <n v="1"/>
    <n v="0"/>
    <n v="0"/>
    <n v="0"/>
    <n v="0"/>
    <n v="1"/>
  </r>
  <r>
    <x v="30"/>
    <s v="Europe"/>
    <x v="5"/>
    <n v="1"/>
    <n v="0"/>
    <n v="0"/>
    <n v="0"/>
    <n v="0"/>
    <n v="0"/>
    <n v="0"/>
    <n v="0"/>
    <n v="0"/>
    <n v="1"/>
    <n v="0"/>
    <n v="0"/>
    <n v="0"/>
    <n v="0"/>
    <n v="0"/>
    <n v="0"/>
    <n v="0"/>
    <n v="0"/>
    <n v="0"/>
    <n v="0"/>
    <n v="0"/>
    <n v="0"/>
    <n v="1"/>
    <n v="0"/>
    <n v="0"/>
    <n v="0"/>
    <n v="0"/>
    <n v="0"/>
    <n v="0"/>
    <n v="0"/>
    <n v="0"/>
    <n v="0"/>
    <n v="0"/>
    <n v="0"/>
    <n v="0"/>
    <n v="1"/>
    <n v="0"/>
    <n v="0"/>
    <n v="0"/>
    <n v="0"/>
    <n v="0"/>
    <n v="0"/>
    <n v="0"/>
    <n v="0"/>
    <n v="1"/>
    <n v="0"/>
    <n v="0"/>
    <n v="0"/>
    <n v="0"/>
    <n v="0"/>
    <n v="0"/>
    <n v="0"/>
    <n v="0"/>
    <n v="0"/>
    <n v="0"/>
    <n v="0"/>
    <n v="1"/>
    <n v="0"/>
    <n v="1"/>
    <n v="0"/>
    <n v="0"/>
    <n v="0"/>
    <n v="1"/>
    <n v="0"/>
  </r>
  <r>
    <x v="31"/>
    <s v="Global"/>
    <x v="5"/>
    <n v="1"/>
    <n v="0"/>
    <n v="0"/>
    <n v="0"/>
    <n v="0"/>
    <n v="0"/>
    <n v="0"/>
    <n v="0"/>
    <n v="0"/>
    <n v="1"/>
    <n v="0"/>
    <n v="0"/>
    <n v="0"/>
    <n v="0"/>
    <n v="0"/>
    <n v="0"/>
    <n v="0"/>
    <n v="0"/>
    <n v="0"/>
    <n v="0"/>
    <n v="0"/>
    <n v="0"/>
    <n v="0"/>
    <n v="1"/>
    <n v="0"/>
    <n v="0"/>
    <n v="0"/>
    <n v="0"/>
    <n v="0"/>
    <n v="0"/>
    <n v="0"/>
    <n v="0"/>
    <n v="0"/>
    <n v="0"/>
    <n v="1"/>
    <n v="0"/>
    <n v="1"/>
    <n v="0"/>
    <n v="0"/>
    <n v="0"/>
    <n v="0"/>
    <n v="1"/>
    <n v="0"/>
    <n v="0"/>
    <n v="1"/>
    <n v="0"/>
    <n v="0"/>
    <n v="0"/>
    <n v="0"/>
    <n v="0"/>
    <n v="0"/>
    <n v="0"/>
    <n v="1"/>
    <n v="0"/>
    <n v="0"/>
    <n v="0"/>
    <n v="0"/>
    <n v="0"/>
    <n v="1"/>
    <n v="0"/>
    <n v="0"/>
    <n v="0"/>
    <n v="1"/>
    <n v="0"/>
  </r>
  <r>
    <x v="32"/>
    <s v="Asia Pacific"/>
    <x v="5"/>
    <n v="0"/>
    <n v="0"/>
    <n v="1"/>
    <n v="0"/>
    <n v="0"/>
    <n v="0"/>
    <n v="0"/>
    <n v="0"/>
    <n v="0"/>
    <n v="0"/>
    <n v="0"/>
    <n v="0"/>
    <n v="0"/>
    <n v="0"/>
    <n v="0"/>
    <n v="0"/>
    <n v="0"/>
    <n v="1"/>
    <n v="0"/>
    <n v="0"/>
    <n v="0"/>
    <n v="0"/>
    <n v="0"/>
    <n v="0"/>
    <n v="0"/>
    <n v="0"/>
    <n v="0"/>
    <n v="0"/>
    <n v="0"/>
    <n v="0"/>
    <n v="0"/>
    <n v="0"/>
    <n v="0"/>
    <n v="0"/>
    <n v="0"/>
    <n v="0"/>
    <n v="0"/>
    <n v="0"/>
    <n v="0"/>
    <n v="0"/>
    <n v="0"/>
    <n v="0"/>
    <n v="0"/>
    <n v="0"/>
    <n v="1"/>
    <n v="0"/>
    <n v="0"/>
    <n v="0"/>
    <n v="0"/>
    <n v="0"/>
    <n v="0"/>
    <n v="0"/>
    <n v="0"/>
    <n v="0"/>
    <n v="0"/>
    <n v="0"/>
    <n v="1"/>
    <n v="0"/>
    <n v="0"/>
    <n v="1"/>
    <n v="0"/>
    <n v="0"/>
    <n v="0"/>
    <n v="0"/>
  </r>
  <r>
    <x v="33"/>
    <s v="Asia Pacific"/>
    <x v="5"/>
    <n v="1"/>
    <n v="0"/>
    <n v="0"/>
    <n v="0"/>
    <n v="0"/>
    <n v="0"/>
    <n v="0"/>
    <n v="0"/>
    <n v="0"/>
    <n v="1"/>
    <n v="0"/>
    <n v="0"/>
    <n v="0"/>
    <n v="0"/>
    <n v="0"/>
    <n v="0"/>
    <n v="0"/>
    <n v="0"/>
    <n v="0"/>
    <n v="0"/>
    <n v="0"/>
    <n v="0"/>
    <n v="1"/>
    <n v="0"/>
    <n v="0"/>
    <n v="0"/>
    <n v="0"/>
    <n v="0"/>
    <n v="0"/>
    <n v="0"/>
    <n v="0"/>
    <n v="0"/>
    <n v="0"/>
    <n v="0"/>
    <n v="0"/>
    <n v="1"/>
    <n v="0"/>
    <n v="0"/>
    <n v="0"/>
    <n v="0"/>
    <n v="0"/>
    <n v="0"/>
    <n v="1"/>
    <n v="0"/>
    <n v="0"/>
    <n v="0"/>
    <n v="0"/>
    <n v="0"/>
    <n v="0"/>
    <n v="0"/>
    <n v="0"/>
    <n v="0"/>
    <n v="0"/>
    <n v="0"/>
    <n v="0"/>
    <n v="0"/>
    <n v="0"/>
    <n v="1"/>
    <n v="0"/>
    <n v="0"/>
    <n v="0"/>
    <n v="0"/>
    <n v="0"/>
    <n v="0"/>
  </r>
  <r>
    <x v="34"/>
    <s v="Middle East and Africa"/>
    <x v="5"/>
    <n v="1"/>
    <n v="0"/>
    <n v="0"/>
    <n v="0"/>
    <n v="0"/>
    <n v="0"/>
    <n v="1"/>
    <n v="0"/>
    <n v="0"/>
    <n v="0"/>
    <n v="0"/>
    <n v="0"/>
    <n v="0"/>
    <n v="0"/>
    <n v="0"/>
    <n v="0"/>
    <n v="0"/>
    <n v="0"/>
    <n v="0"/>
    <n v="0"/>
    <n v="0"/>
    <n v="0"/>
    <n v="1"/>
    <n v="0"/>
    <n v="0"/>
    <n v="0"/>
    <n v="0"/>
    <n v="0"/>
    <n v="0"/>
    <n v="0"/>
    <n v="0"/>
    <n v="0"/>
    <n v="0"/>
    <n v="0"/>
    <n v="0"/>
    <n v="1"/>
    <n v="0"/>
    <n v="0"/>
    <n v="0"/>
    <n v="0"/>
    <n v="0"/>
    <n v="0"/>
    <n v="0"/>
    <n v="0"/>
    <n v="1"/>
    <n v="0"/>
    <n v="0"/>
    <n v="0"/>
    <n v="0"/>
    <n v="0"/>
    <n v="0"/>
    <n v="0"/>
    <n v="1"/>
    <n v="0"/>
    <n v="0"/>
    <n v="0"/>
    <n v="0"/>
    <n v="0"/>
    <n v="0"/>
    <n v="0"/>
    <n v="0"/>
    <n v="1"/>
    <n v="0"/>
    <n v="0"/>
  </r>
  <r>
    <x v="35"/>
    <s v="Middle East and Africa"/>
    <x v="5"/>
    <n v="1"/>
    <n v="0"/>
    <n v="0"/>
    <n v="0"/>
    <n v="0"/>
    <n v="0"/>
    <n v="0"/>
    <n v="0"/>
    <n v="0"/>
    <n v="1"/>
    <n v="0"/>
    <n v="0"/>
    <n v="0"/>
    <n v="0"/>
    <n v="0"/>
    <n v="0"/>
    <n v="0"/>
    <n v="0"/>
    <n v="0"/>
    <n v="0"/>
    <n v="0"/>
    <n v="0"/>
    <n v="1"/>
    <n v="0"/>
    <n v="0"/>
    <n v="0"/>
    <n v="0"/>
    <n v="0"/>
    <n v="0"/>
    <n v="0"/>
    <n v="0"/>
    <n v="0"/>
    <n v="0"/>
    <n v="0"/>
    <n v="0"/>
    <n v="0"/>
    <n v="1"/>
    <n v="0"/>
    <n v="0"/>
    <n v="0"/>
    <n v="1"/>
    <n v="0"/>
    <n v="0"/>
    <n v="1"/>
    <n v="0"/>
    <n v="0"/>
    <n v="0"/>
    <n v="0"/>
    <n v="0"/>
    <n v="0"/>
    <n v="0"/>
    <n v="1"/>
    <n v="0"/>
    <n v="0"/>
    <n v="0"/>
    <n v="0"/>
    <n v="0"/>
    <n v="1"/>
    <n v="0"/>
    <n v="0"/>
    <n v="0"/>
    <n v="0"/>
    <n v="0"/>
    <n v="0"/>
  </r>
  <r>
    <x v="36"/>
    <s v="Middle East and Africa"/>
    <x v="5"/>
    <n v="0"/>
    <n v="1"/>
    <n v="0"/>
    <n v="0"/>
    <n v="0"/>
    <n v="0"/>
    <n v="0"/>
    <n v="0"/>
    <n v="0"/>
    <n v="0"/>
    <n v="1"/>
    <n v="0"/>
    <n v="1"/>
    <n v="1"/>
    <n v="1"/>
    <n v="1"/>
    <n v="0"/>
    <n v="0"/>
    <n v="0"/>
    <n v="0"/>
    <n v="0"/>
    <n v="0"/>
    <n v="0"/>
    <n v="1"/>
    <n v="0"/>
    <n v="0"/>
    <n v="0"/>
    <n v="0"/>
    <n v="1"/>
    <n v="0"/>
    <n v="0"/>
    <n v="0"/>
    <n v="1"/>
    <n v="0"/>
    <n v="1"/>
    <n v="1"/>
    <n v="0"/>
    <n v="0"/>
    <n v="0"/>
    <n v="0"/>
    <n v="0"/>
    <n v="0"/>
    <n v="1"/>
    <n v="0"/>
    <n v="0"/>
    <n v="0"/>
    <n v="0"/>
    <n v="0"/>
    <n v="0"/>
    <n v="0"/>
    <n v="0"/>
    <n v="0"/>
    <n v="0"/>
    <n v="0"/>
    <n v="0"/>
    <n v="0"/>
    <n v="0"/>
    <n v="1"/>
    <n v="0"/>
    <n v="0"/>
    <n v="0"/>
    <n v="0"/>
    <n v="0"/>
    <n v="0"/>
  </r>
  <r>
    <x v="37"/>
    <s v="Middle East and Africa"/>
    <x v="5"/>
    <n v="1"/>
    <n v="0"/>
    <n v="0"/>
    <n v="0"/>
    <n v="0"/>
    <n v="0"/>
    <n v="1"/>
    <n v="0"/>
    <n v="0"/>
    <n v="0"/>
    <n v="0"/>
    <n v="0"/>
    <n v="0"/>
    <n v="0"/>
    <n v="0"/>
    <n v="0"/>
    <n v="0"/>
    <n v="0"/>
    <n v="0"/>
    <n v="0"/>
    <n v="0"/>
    <n v="0"/>
    <n v="1"/>
    <n v="0"/>
    <n v="0"/>
    <n v="0"/>
    <n v="0"/>
    <n v="0"/>
    <n v="0"/>
    <n v="0"/>
    <n v="0"/>
    <n v="0"/>
    <n v="0"/>
    <n v="0"/>
    <n v="0"/>
    <n v="1"/>
    <n v="0"/>
    <n v="0"/>
    <n v="0"/>
    <n v="0"/>
    <n v="0"/>
    <n v="0"/>
    <n v="0"/>
    <n v="0"/>
    <n v="1"/>
    <n v="0"/>
    <n v="0"/>
    <n v="0"/>
    <n v="0"/>
    <n v="0"/>
    <n v="0"/>
    <n v="0"/>
    <n v="1"/>
    <n v="0"/>
    <n v="0"/>
    <n v="0"/>
    <n v="0"/>
    <n v="0"/>
    <n v="0"/>
    <n v="0"/>
    <n v="0"/>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BDEEE2-B730-422E-9F4E-D8F5146E0DC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G17" firstHeaderRow="0" firstDataRow="1" firstDataCol="1"/>
  <pivotFields count="67">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7">
    <i>
      <x/>
    </i>
    <i>
      <x v="1"/>
    </i>
    <i>
      <x v="2"/>
    </i>
    <i>
      <x v="3"/>
    </i>
    <i>
      <x v="4"/>
    </i>
    <i>
      <x v="5"/>
    </i>
    <i t="grand">
      <x/>
    </i>
  </rowItems>
  <colFields count="1">
    <field x="-2"/>
  </colFields>
  <colItems count="5">
    <i>
      <x/>
    </i>
    <i i="1">
      <x v="1"/>
    </i>
    <i i="2">
      <x v="2"/>
    </i>
    <i i="3">
      <x v="3"/>
    </i>
    <i i="4">
      <x v="4"/>
    </i>
  </colItems>
  <dataFields count="5">
    <dataField name=" of 1.1. Agree" fld="3" baseField="2" baseItem="0"/>
    <dataField name=" 1.2. Agree with comments" fld="4" baseField="2" baseItem="0"/>
    <dataField name=" 1.3. Disagree" fld="5" baseField="2" baseItem="0"/>
    <dataField name=" 1.4. Neither agree nor disagree" fld="6" baseField="2" baseItem="0"/>
    <dataField name=" 1.5. No specific comment" fld="7" baseField="2" baseItem="0"/>
  </dataFields>
  <formats count="5">
    <format dxfId="78">
      <pivotArea field="2" type="button" dataOnly="0" labelOnly="1" outline="0" axis="axisRow" fieldPosition="0"/>
    </format>
    <format dxfId="77">
      <pivotArea dataOnly="0" labelOnly="1" outline="0" fieldPosition="0">
        <references count="1">
          <reference field="4294967294" count="5">
            <x v="0"/>
            <x v="1"/>
            <x v="2"/>
            <x v="3"/>
            <x v="4"/>
          </reference>
        </references>
      </pivotArea>
    </format>
    <format dxfId="76">
      <pivotArea field="2" type="button" dataOnly="0" labelOnly="1" outline="0" axis="axisRow" fieldPosition="0"/>
    </format>
    <format dxfId="75">
      <pivotArea outline="0" collapsedLevelsAreSubtotals="1" fieldPosition="0"/>
    </format>
    <format dxfId="74">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CC1611-2AA3-4275-ACB6-649DE24F63B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AA17" firstHeaderRow="0" firstDataRow="1" firstDataCol="1"/>
  <pivotFields count="67">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7">
    <i>
      <x/>
    </i>
    <i>
      <x v="1"/>
    </i>
    <i>
      <x v="2"/>
    </i>
    <i>
      <x v="3"/>
    </i>
    <i>
      <x v="4"/>
    </i>
    <i>
      <x v="5"/>
    </i>
    <i t="grand">
      <x/>
    </i>
  </rowItems>
  <colFields count="1">
    <field x="-2"/>
  </colFields>
  <colItems count="17">
    <i>
      <x/>
    </i>
    <i i="1">
      <x v="1"/>
    </i>
    <i i="2">
      <x v="2"/>
    </i>
    <i i="3">
      <x v="3"/>
    </i>
    <i i="4">
      <x v="4"/>
    </i>
    <i i="5">
      <x v="5"/>
    </i>
    <i i="6">
      <x v="6"/>
    </i>
    <i i="7">
      <x v="7"/>
    </i>
    <i i="8">
      <x v="8"/>
    </i>
    <i i="9">
      <x v="9"/>
    </i>
    <i i="10">
      <x v="10"/>
    </i>
    <i i="11">
      <x v="11"/>
    </i>
    <i i="12">
      <x v="12"/>
    </i>
    <i i="13">
      <x v="13"/>
    </i>
    <i i="14">
      <x v="14"/>
    </i>
    <i i="15">
      <x v="15"/>
    </i>
    <i i="16">
      <x v="16"/>
    </i>
  </colItems>
  <dataFields count="17">
    <dataField name=" 1.1.1. Clear mechanism to operationalize IESBA’s transparency requirement" fld="8" baseField="2" baseItem="0"/>
    <dataField name=" 1.1.2. Optimal mechanism in terms of timeliness, accessibility and consistency for" fld="9" baseField="2" baseItem="0"/>
    <dataField name=" 1.1.3. Preferable to other potential mechanisms" fld="10" baseField="2" baseItem="0"/>
    <dataField name=" 1.1.4. Support for close cooperation with IESBA" fld="11" baseField="2" baseItem="0"/>
    <dataField name=" 1.1.5. Other comments" fld="12" baseField="2" baseItem="0"/>
    <dataField name=" 1.2.1. Auditor's report may not always be in the public domain and s" fld="13" baseField="2" baseItem="0"/>
    <dataField name=" 1.2.2. Flexibility should be allowed when a jurisdiction determines" fld="14" baseField="2" baseItem="0"/>
    <dataField name=" 1.2.3. Concerns with length, boilerplate, new information and cumulative impact to the changes in the auditor's report" fld="15" baseField="2" baseItem="0"/>
    <dataField name=" 1.2.4. Disclosure is of limited value to users, may cause confusion" fld="16" baseField="2" baseItem="0"/>
    <dataField name=" 1.2.5. Limited other options available to provide the public disclosure" fld="17" baseField="2" baseItem="0"/>
    <dataField name=" 1.2.6. Other comments" fld="18" baseField="2" baseItem="0"/>
    <dataField name=" 1.3.1. Adopting the term public interest entity into the ISAs" fld="19" baseField="2" baseItem="0"/>
    <dataField name=" 1.3.2. Disclosure is of limited value to users, may cause confusion and increase" fld="20" baseField="2" baseItem="0"/>
    <dataField name=" 1.3.3. Concerns with length, boilerplate, new information and cumulative change" fld="21" baseField="2" baseItem="0"/>
    <dataField name=" 1.3.4. Flexibility should be allowed when a jurisdiction determines that there" fld="22" baseField="2" baseItem="0"/>
    <dataField name=" 1.3.5. Disclosure should not be provided in the Basis for Opinion" fld="23" baseField="2" baseItem="0"/>
    <dataField name=" 1.3.6. Other comments" fld="24" baseField="2" baseItem="0"/>
  </dataFields>
  <formats count="5">
    <format dxfId="83">
      <pivotArea field="2" type="button" dataOnly="0" labelOnly="1" outline="0" axis="axisRow" fieldPosition="0"/>
    </format>
    <format dxfId="82">
      <pivotArea dataOnly="0" labelOnly="1" outline="0" fieldPosition="0">
        <references count="1">
          <reference field="4294967294" count="17">
            <x v="0"/>
            <x v="1"/>
            <x v="2"/>
            <x v="3"/>
            <x v="4"/>
            <x v="5"/>
            <x v="6"/>
            <x v="7"/>
            <x v="8"/>
            <x v="9"/>
            <x v="10"/>
            <x v="11"/>
            <x v="12"/>
            <x v="13"/>
            <x v="14"/>
            <x v="15"/>
            <x v="16"/>
          </reference>
        </references>
      </pivotArea>
    </format>
    <format dxfId="81">
      <pivotArea field="2" type="button" dataOnly="0" labelOnly="1" outline="0" axis="axisRow" fieldPosition="0"/>
    </format>
    <format dxfId="80">
      <pivotArea outline="0" collapsedLevelsAreSubtotals="1" fieldPosition="0"/>
    </format>
    <format dxfId="79">
      <pivotArea dataOnly="0" labelOnly="1" outline="0" fieldPosition="0">
        <references count="1">
          <reference field="4294967294" count="17">
            <x v="0"/>
            <x v="1"/>
            <x v="2"/>
            <x v="3"/>
            <x v="4"/>
            <x v="5"/>
            <x v="6"/>
            <x v="7"/>
            <x v="8"/>
            <x v="9"/>
            <x v="10"/>
            <x v="11"/>
            <x v="12"/>
            <x v="13"/>
            <x v="14"/>
            <x v="15"/>
            <x v="1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0405D3-5735-43ED-8140-E0DD227E6728}"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I17" firstHeaderRow="0" firstDataRow="1" firstDataCol="1"/>
  <pivotFields count="74">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7">
    <i>
      <x/>
    </i>
    <i>
      <x v="1"/>
    </i>
    <i>
      <x v="2"/>
    </i>
    <i>
      <x v="3"/>
    </i>
    <i>
      <x v="4"/>
    </i>
    <i>
      <x v="5"/>
    </i>
    <i t="grand">
      <x/>
    </i>
  </rowItems>
  <colFields count="1">
    <field x="-2"/>
  </colFields>
  <colItems count="7">
    <i>
      <x/>
    </i>
    <i i="1">
      <x v="1"/>
    </i>
    <i i="2">
      <x v="2"/>
    </i>
    <i i="3">
      <x v="3"/>
    </i>
    <i i="4">
      <x v="4"/>
    </i>
    <i i="5">
      <x v="5"/>
    </i>
    <i i="6">
      <x v="6"/>
    </i>
  </colItems>
  <dataFields count="7">
    <dataField name=" 2B.1. Mechanism should be determined by each jurisdiction and relevant local bodies" fld="67" baseField="2" baseItem="0"/>
    <dataField name=" 2B.2. Basis for Opinion" fld="68" baseField="2" baseItem="0"/>
    <dataField name=" 2B.3. Support for conditional requirement should the IAASB determine that auditor's report is appropriate mechanism" fld="69" baseField="2" baseItem="0"/>
    <dataField name=" 2B.4. Guidance by IESBA on alternative mechanisms" fld="70" baseField="2" baseItem="0"/>
    <dataField name=" 2B.5. No alternative mechanism as it should be left to marketplace innovation" fld="71" baseField="2" baseItem="0"/>
    <dataField name=" 2B.6. Website, transparency report, written declaration of independence" fld="72" baseField="2" baseItem="0"/>
    <dataField name=" 2B.7. Other comments" fld="73" baseField="2" baseItem="0"/>
  </dataFields>
  <formats count="5">
    <format dxfId="73">
      <pivotArea field="2" type="button" dataOnly="0" labelOnly="1" outline="0" axis="axisRow" fieldPosition="0"/>
    </format>
    <format dxfId="72">
      <pivotArea dataOnly="0" labelOnly="1" outline="0" fieldPosition="0">
        <references count="1">
          <reference field="4294967294" count="7">
            <x v="0"/>
            <x v="1"/>
            <x v="2"/>
            <x v="3"/>
            <x v="4"/>
            <x v="5"/>
            <x v="6"/>
          </reference>
        </references>
      </pivotArea>
    </format>
    <format dxfId="71">
      <pivotArea field="2" type="button" dataOnly="0" labelOnly="1" outline="0" axis="axisRow" fieldPosition="0"/>
    </format>
    <format dxfId="70">
      <pivotArea dataOnly="0" labelOnly="1" outline="0" fieldPosition="0">
        <references count="1">
          <reference field="4294967294" count="7">
            <x v="0"/>
            <x v="1"/>
            <x v="2"/>
            <x v="3"/>
            <x v="4"/>
            <x v="5"/>
            <x v="6"/>
          </reference>
        </references>
      </pivotArea>
    </format>
    <format dxfId="69">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C47C16-10C2-4C37-81AB-CDAAE7CBAB2D}"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R17" firstHeaderRow="0" firstDataRow="1" firstDataCol="1"/>
  <pivotFields count="67">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7">
    <i>
      <x/>
    </i>
    <i>
      <x v="1"/>
    </i>
    <i>
      <x v="2"/>
    </i>
    <i>
      <x v="3"/>
    </i>
    <i>
      <x v="4"/>
    </i>
    <i>
      <x v="5"/>
    </i>
    <i t="grand">
      <x/>
    </i>
  </rowItems>
  <colFields count="1">
    <field x="-2"/>
  </colFields>
  <colItems count="8">
    <i>
      <x/>
    </i>
    <i i="1">
      <x v="1"/>
    </i>
    <i i="2">
      <x v="2"/>
    </i>
    <i i="3">
      <x v="3"/>
    </i>
    <i i="4">
      <x v="4"/>
    </i>
    <i i="5">
      <x v="5"/>
    </i>
    <i i="6">
      <x v="6"/>
    </i>
    <i i="7">
      <x v="7"/>
    </i>
  </colItems>
  <dataFields count="8">
    <dataField name=" 2A(a).2.1. Use of term differential requirements for certain entities" fld="30" baseField="2" baseItem="0"/>
    <dataField name=" 2A(a).2.2. Illustrative reports in the Appendix" fld="31" baseField="2" baseItem="0"/>
    <dataField name=" 2A(a).2.3. Risk that users may believe an entity is a PIE when it is not in instances of voluntary disclosure" fld="32" baseField="2" baseItem="0"/>
    <dataField name=" 2A(a).2.4. Application for group audits" fld="33" baseField="2" baseItem="0"/>
    <dataField name=" 2A(a).2.5. Comparative audited financial statement" fld="34" baseField="2" baseItem="0"/>
    <dataField name=" 2A(a).2.6. Proposed amendments to other ISAs" fld="35" baseField="2" baseItem="0"/>
    <dataField name=" 2A(a).2.7. Recommendations for guidance" fld="36" baseField="2" baseItem="0"/>
    <dataField name=" 2A(a).2.8. Other comments" fld="37" baseField="2" baseItem="0"/>
  </dataFields>
  <formats count="5">
    <format dxfId="64">
      <pivotArea field="2" type="button" dataOnly="0" labelOnly="1" outline="0" axis="axisRow" fieldPosition="0"/>
    </format>
    <format dxfId="63">
      <pivotArea dataOnly="0" labelOnly="1" outline="0" fieldPosition="0">
        <references count="1">
          <reference field="4294967294" count="8">
            <x v="0"/>
            <x v="1"/>
            <x v="2"/>
            <x v="3"/>
            <x v="4"/>
            <x v="5"/>
            <x v="6"/>
            <x v="7"/>
          </reference>
        </references>
      </pivotArea>
    </format>
    <format dxfId="62">
      <pivotArea field="2" type="button" dataOnly="0" labelOnly="1" outline="0" axis="axisRow" fieldPosition="0"/>
    </format>
    <format dxfId="61">
      <pivotArea outline="0" collapsedLevelsAreSubtotals="1" fieldPosition="0"/>
    </format>
    <format dxfId="60">
      <pivotArea dataOnly="0" labelOnly="1" outline="0" fieldPosition="0">
        <references count="1">
          <reference field="4294967294" count="8">
            <x v="0"/>
            <x v="1"/>
            <x v="2"/>
            <x v="3"/>
            <x v="4"/>
            <x v="5"/>
            <x v="6"/>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2E20CC-12AD-4C7E-9B5E-429474C0716D}"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G17" firstHeaderRow="0" firstDataRow="1" firstDataCol="1"/>
  <pivotFields count="67">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7">
    <i>
      <x/>
    </i>
    <i>
      <x v="1"/>
    </i>
    <i>
      <x v="2"/>
    </i>
    <i>
      <x v="3"/>
    </i>
    <i>
      <x v="4"/>
    </i>
    <i>
      <x v="5"/>
    </i>
    <i t="grand">
      <x/>
    </i>
  </rowItems>
  <colFields count="1">
    <field x="-2"/>
  </colFields>
  <colItems count="5">
    <i>
      <x/>
    </i>
    <i i="1">
      <x v="1"/>
    </i>
    <i i="2">
      <x v="2"/>
    </i>
    <i i="3">
      <x v="3"/>
    </i>
    <i i="4">
      <x v="4"/>
    </i>
  </colItems>
  <dataFields count="5">
    <dataField name=" 2A(a).1. Agree" fld="25" baseField="2" baseItem="0"/>
    <dataField name=" 2A(a).2. Agree with comments" fld="26" baseField="2" baseItem="0"/>
    <dataField name=" 2A(a).3. Disagree" fld="27" baseField="2" baseItem="0"/>
    <dataField name="  2A(a).4. Neither agree nor disagree" fld="28" baseField="2" baseItem="0"/>
    <dataField name=" 2A(a).5. No specific comments" fld="29" baseField="2" baseItem="0"/>
  </dataFields>
  <formats count="4">
    <format dxfId="68">
      <pivotArea field="2" type="button" dataOnly="0" labelOnly="1" outline="0" axis="axisRow" fieldPosition="0"/>
    </format>
    <format dxfId="67">
      <pivotArea dataOnly="0" labelOnly="1" outline="0" fieldPosition="0">
        <references count="1">
          <reference field="4294967294" count="5">
            <x v="0"/>
            <x v="1"/>
            <x v="2"/>
            <x v="3"/>
            <x v="4"/>
          </reference>
        </references>
      </pivotArea>
    </format>
    <format dxfId="66">
      <pivotArea field="2" type="button" dataOnly="0" labelOnly="1" outline="0" axis="axisRow" fieldPosition="0"/>
    </format>
    <format dxfId="65">
      <pivotArea dataOnly="0"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6C2C13-0436-45F0-A36D-311ED8418569}"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G17" firstHeaderRow="0" firstDataRow="1" firstDataCol="1"/>
  <pivotFields count="67">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7">
    <i>
      <x/>
    </i>
    <i>
      <x v="1"/>
    </i>
    <i>
      <x v="2"/>
    </i>
    <i>
      <x v="3"/>
    </i>
    <i>
      <x v="4"/>
    </i>
    <i>
      <x v="5"/>
    </i>
    <i t="grand">
      <x/>
    </i>
  </rowItems>
  <colFields count="1">
    <field x="-2"/>
  </colFields>
  <colItems count="5">
    <i>
      <x/>
    </i>
    <i i="1">
      <x v="1"/>
    </i>
    <i i="2">
      <x v="2"/>
    </i>
    <i i="3">
      <x v="3"/>
    </i>
    <i i="4">
      <x v="4"/>
    </i>
  </colItems>
  <dataFields count="5">
    <dataField name=" 2A(b).1. Agree" fld="38" baseField="2" baseItem="0"/>
    <dataField name=" 2A(b).2. Agree with comments" fld="39" baseField="2" baseItem="0"/>
    <dataField name=" 2A(b).3. Disagree" fld="40" baseField="2" baseItem="0"/>
    <dataField name=" 2A(b).4. Neither agree nor disagree" fld="41" baseField="2" baseItem="0"/>
    <dataField name=" A2(b).5. No specific comments" fld="42" baseField="2" baseItem="0"/>
  </dataFields>
  <formats count="5">
    <format dxfId="54">
      <pivotArea field="2" type="button" dataOnly="0" labelOnly="1" outline="0" axis="axisRow" fieldPosition="0"/>
    </format>
    <format dxfId="53">
      <pivotArea outline="0" collapsedLevelsAreSubtotals="1" fieldPosition="0"/>
    </format>
    <format dxfId="52">
      <pivotArea dataOnly="0" labelOnly="1" outline="0" fieldPosition="0">
        <references count="1">
          <reference field="4294967294" count="5">
            <x v="0"/>
            <x v="1"/>
            <x v="2"/>
            <x v="3"/>
            <x v="4"/>
          </reference>
        </references>
      </pivotArea>
    </format>
    <format dxfId="51">
      <pivotArea field="2" type="button" dataOnly="0" labelOnly="1" outline="0" axis="axisRow" fieldPosition="0"/>
    </format>
    <format dxfId="50">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246ADE-553B-4E93-819E-505401F0CA41}"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L17" firstHeaderRow="0" firstDataRow="1" firstDataCol="1"/>
  <pivotFields count="67">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7">
    <i>
      <x/>
    </i>
    <i>
      <x v="1"/>
    </i>
    <i>
      <x v="2"/>
    </i>
    <i>
      <x v="3"/>
    </i>
    <i>
      <x v="4"/>
    </i>
    <i>
      <x v="5"/>
    </i>
    <i t="grand">
      <x/>
    </i>
  </rowItems>
  <colFields count="1">
    <field x="-2"/>
  </colFields>
  <colItems count="2">
    <i>
      <x/>
    </i>
    <i i="1">
      <x v="1"/>
    </i>
  </colItems>
  <dataFields count="2">
    <dataField name=" 2A(b).2.1. Inconsistency in applicability of the requirement (for listed entities) and the application material (for PIEs" fld="43" baseField="2" baseItem="0"/>
    <dataField name=" 2A(b).2.2. Other comments and drafting suggestions" fld="44" baseField="2" baseItem="0"/>
  </dataFields>
  <formats count="5">
    <format dxfId="59">
      <pivotArea field="2" type="button" dataOnly="0" labelOnly="1" outline="0" axis="axisRow" fieldPosition="0"/>
    </format>
    <format dxfId="58">
      <pivotArea field="2" type="button" dataOnly="0" labelOnly="1" outline="0" axis="axisRow" fieldPosition="0"/>
    </format>
    <format dxfId="57">
      <pivotArea dataOnly="0" labelOnly="1" outline="0" fieldPosition="0">
        <references count="1">
          <reference field="4294967294" count="2">
            <x v="0"/>
            <x v="1"/>
          </reference>
        </references>
      </pivotArea>
    </format>
    <format dxfId="56">
      <pivotArea outline="0" collapsedLevelsAreSubtotals="1" fieldPosition="0"/>
    </format>
    <format dxfId="55">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93ADE3-2DB9-423F-94FF-0893B5D814CC}"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G17" firstHeaderRow="0" firstDataRow="1" firstDataCol="1"/>
  <pivotFields count="67">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7">
    <i>
      <x/>
    </i>
    <i>
      <x v="1"/>
    </i>
    <i>
      <x v="2"/>
    </i>
    <i>
      <x v="3"/>
    </i>
    <i>
      <x v="4"/>
    </i>
    <i>
      <x v="5"/>
    </i>
    <i t="grand">
      <x/>
    </i>
  </rowItems>
  <colFields count="1">
    <field x="-2"/>
  </colFields>
  <colItems count="5">
    <i>
      <x/>
    </i>
    <i i="1">
      <x v="1"/>
    </i>
    <i i="2">
      <x v="2"/>
    </i>
    <i i="3">
      <x v="3"/>
    </i>
    <i i="4">
      <x v="4"/>
    </i>
  </colItems>
  <dataFields count="5">
    <dataField name=" 3.1. Agree" fld="45" baseField="2" baseItem="0"/>
    <dataField name=" 3.2. Agree with comments" fld="46" baseField="2" baseItem="0"/>
    <dataField name=" 3.3. Disagree" fld="47" baseField="2" baseItem="0"/>
    <dataField name=" 3.4. Neither Agree or Disagree" fld="48" baseField="2" baseItem="0"/>
    <dataField name=" 3.5. No specific comments" fld="49" baseField="2" baseItem="0"/>
  </dataFields>
  <formats count="5">
    <format dxfId="44">
      <pivotArea field="2" type="button" dataOnly="0" labelOnly="1" outline="0" axis="axisRow" fieldPosition="0"/>
    </format>
    <format dxfId="43">
      <pivotArea dataOnly="0" labelOnly="1" outline="0" fieldPosition="0">
        <references count="1">
          <reference field="4294967294" count="5">
            <x v="0"/>
            <x v="1"/>
            <x v="2"/>
            <x v="3"/>
            <x v="4"/>
          </reference>
        </references>
      </pivotArea>
    </format>
    <format dxfId="42">
      <pivotArea field="2" type="button" dataOnly="0" labelOnly="1" outline="0" axis="axisRow" fieldPosition="0"/>
    </format>
    <format dxfId="41">
      <pivotArea dataOnly="0" labelOnly="1" outline="0" fieldPosition="0">
        <references count="1">
          <reference field="4294967294" count="5">
            <x v="0"/>
            <x v="1"/>
            <x v="2"/>
            <x v="3"/>
            <x v="4"/>
          </reference>
        </references>
      </pivotArea>
    </format>
    <format dxfId="4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AC3A4C-7CA1-43B2-B305-4095E77703B9}"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T17" firstHeaderRow="0" firstDataRow="1" firstDataCol="1"/>
  <pivotFields count="67">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s>
  <rowFields count="2">
    <field x="2"/>
    <field x="0"/>
  </rowFields>
  <rowItems count="7">
    <i>
      <x/>
    </i>
    <i>
      <x v="1"/>
    </i>
    <i>
      <x v="2"/>
    </i>
    <i>
      <x v="3"/>
    </i>
    <i>
      <x v="4"/>
    </i>
    <i>
      <x v="5"/>
    </i>
    <i t="grand">
      <x/>
    </i>
  </rowItems>
  <colFields count="1">
    <field x="-2"/>
  </colFields>
  <colItems count="10">
    <i>
      <x/>
    </i>
    <i i="1">
      <x v="1"/>
    </i>
    <i i="2">
      <x v="2"/>
    </i>
    <i i="3">
      <x v="3"/>
    </i>
    <i i="4">
      <x v="4"/>
    </i>
    <i i="5">
      <x v="5"/>
    </i>
    <i i="6">
      <x v="6"/>
    </i>
    <i i="7">
      <x v="7"/>
    </i>
    <i i="8">
      <x v="8"/>
    </i>
    <i i="9">
      <x v="9"/>
    </i>
  </colItems>
  <dataFields count="10">
    <dataField name=" 3.2.1. Consistency among review and audit reports" fld="50" baseField="2" baseItem="0"/>
    <dataField name=" 3.2.2. Necessary to comply with Part 4A of the IESBA Code" fld="51" baseField="2" baseItem="0"/>
    <dataField name=" 3.2.3. Revision of ISRE 2410 should also be considered" fld="52" baseField="2" baseItem="0"/>
    <dataField name=" 3.2.4. Broader revision and separate project should be considered in IAASB workplan" fld="53" baseField="2" baseItem="0"/>
    <dataField name=" 3.2.5. Other comments" fld="54" baseField="2" baseItem="0"/>
    <dataField name=" 3.3.1. Review engagements are rare for listed entities or PIEs" fld="55" baseField="2" baseItem="0"/>
    <dataField name=" 3.3.2. More relevant to consider a revision of ISRE 2410" fld="56" baseField="2" baseItem="0"/>
    <dataField name="  3.3.3. Support to revise the transparency requirement of the IESBA Code to apply only to audits" fld="57" baseField="2" baseItem="0"/>
    <dataField name=" 3.3.4. Not necessary to address transparency for review engagements" fld="58" baseField="2" baseItem="0"/>
    <dataField name=" 3.3.5. Other comments" fld="59" baseField="2" baseItem="0"/>
  </dataFields>
  <formats count="5">
    <format dxfId="49">
      <pivotArea field="2" type="button" dataOnly="0" labelOnly="1" outline="0" axis="axisRow" fieldPosition="0"/>
    </format>
    <format dxfId="48">
      <pivotArea dataOnly="0" labelOnly="1" outline="0" fieldPosition="0">
        <references count="1">
          <reference field="4294967294" count="10">
            <x v="0"/>
            <x v="1"/>
            <x v="2"/>
            <x v="3"/>
            <x v="4"/>
            <x v="5"/>
            <x v="6"/>
            <x v="7"/>
            <x v="8"/>
            <x v="9"/>
          </reference>
        </references>
      </pivotArea>
    </format>
    <format dxfId="47">
      <pivotArea field="2" type="button" dataOnly="0" labelOnly="1" outline="0" axis="axisRow" fieldPosition="0"/>
    </format>
    <format dxfId="46">
      <pivotArea dataOnly="0" labelOnly="1" outline="0" fieldPosition="0">
        <references count="1">
          <reference field="4294967294" count="10">
            <x v="0"/>
            <x v="1"/>
            <x v="2"/>
            <x v="3"/>
            <x v="4"/>
            <x v="5"/>
            <x v="6"/>
            <x v="7"/>
            <x v="8"/>
            <x v="9"/>
          </reference>
        </references>
      </pivotArea>
    </format>
    <format dxfId="4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68E052-F1AE-430F-8A4A-65AE0D603978}"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G17" firstHeaderRow="0" firstDataRow="1" firstDataCol="1"/>
  <pivotFields count="67">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s>
  <rowFields count="2">
    <field x="2"/>
    <field x="0"/>
  </rowFields>
  <rowItems count="7">
    <i>
      <x/>
    </i>
    <i>
      <x v="1"/>
    </i>
    <i>
      <x v="2"/>
    </i>
    <i>
      <x v="3"/>
    </i>
    <i>
      <x v="4"/>
    </i>
    <i>
      <x v="5"/>
    </i>
    <i t="grand">
      <x/>
    </i>
  </rowItems>
  <colFields count="1">
    <field x="-2"/>
  </colFields>
  <colItems count="5">
    <i>
      <x/>
    </i>
    <i i="1">
      <x v="1"/>
    </i>
    <i i="2">
      <x v="2"/>
    </i>
    <i i="3">
      <x v="3"/>
    </i>
    <i i="4">
      <x v="4"/>
    </i>
  </colItems>
  <dataFields count="5">
    <dataField name=" 4.1. Agree" fld="60" baseField="2" baseItem="0"/>
    <dataField name=" 4.2. Agree with comments" fld="61" baseField="2" baseItem="0"/>
    <dataField name=" 4.3. Disagree" fld="62" baseField="2" baseItem="0"/>
    <dataField name=" 4.4. Neither agree nor disagree" fld="63" baseField="2" baseItem="0"/>
    <dataField name=" 4.5. No specific comments" fld="64" baseField="2" baseItem="0"/>
  </dataFields>
  <formats count="5">
    <format dxfId="34">
      <pivotArea field="2" type="button" dataOnly="0" labelOnly="1" outline="0" axis="axisRow" fieldPosition="0"/>
    </format>
    <format dxfId="33">
      <pivotArea dataOnly="0" labelOnly="1" outline="0" fieldPosition="0">
        <references count="1">
          <reference field="4294967294" count="5">
            <x v="0"/>
            <x v="1"/>
            <x v="2"/>
            <x v="3"/>
            <x v="4"/>
          </reference>
        </references>
      </pivotArea>
    </format>
    <format dxfId="32">
      <pivotArea field="2" type="button" dataOnly="0" labelOnly="1" outline="0" axis="axisRow" fieldPosition="0"/>
    </format>
    <format dxfId="31">
      <pivotArea dataOnly="0" labelOnly="1" outline="0" fieldPosition="0">
        <references count="1">
          <reference field="4294967294" count="5">
            <x v="0"/>
            <x v="1"/>
            <x v="2"/>
            <x v="3"/>
            <x v="4"/>
          </reference>
        </references>
      </pivotArea>
    </format>
    <format dxfId="30">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5DE703-4EEC-42CC-A3AE-8F43E9CC5FB6}"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L17" firstHeaderRow="0" firstDataRow="1" firstDataCol="1"/>
  <pivotFields count="67">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axis="axisRow" showAll="0">
      <items count="7">
        <item sd="0" x="0"/>
        <item sd="0" x="1"/>
        <item sd="0" x="2"/>
        <item sd="0" x="3"/>
        <item sd="0" x="4"/>
        <item n="6. Member Bodies and Other Professional Organizations" sd="0"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2">
    <field x="2"/>
    <field x="0"/>
  </rowFields>
  <rowItems count="7">
    <i>
      <x/>
    </i>
    <i>
      <x v="1"/>
    </i>
    <i>
      <x v="2"/>
    </i>
    <i>
      <x v="3"/>
    </i>
    <i>
      <x v="4"/>
    </i>
    <i>
      <x v="5"/>
    </i>
    <i t="grand">
      <x/>
    </i>
  </rowItems>
  <colFields count="1">
    <field x="-2"/>
  </colFields>
  <colItems count="2">
    <i>
      <x/>
    </i>
    <i i="1">
      <x v="1"/>
    </i>
  </colItems>
  <dataFields count="2">
    <dataField name=" 4.2.1. Do not believe revision of ISRE 2400 (Revised) is necessary, but support consistent approach" fld="65" baseField="2" baseItem="0"/>
    <dataField name=" 4.2.2. Other comments" fld="66" baseField="2" baseItem="0"/>
  </dataFields>
  <formats count="5">
    <format dxfId="39">
      <pivotArea field="2" type="button" dataOnly="0" labelOnly="1" outline="0" axis="axisRow" fieldPosition="0"/>
    </format>
    <format dxfId="38">
      <pivotArea dataOnly="0" labelOnly="1" outline="0" fieldPosition="0">
        <references count="1">
          <reference field="4294967294" count="2">
            <x v="0"/>
            <x v="1"/>
          </reference>
        </references>
      </pivotArea>
    </format>
    <format dxfId="37">
      <pivotArea field="2" type="button" dataOnly="0" labelOnly="1" outline="0" axis="axisRow" fieldPosition="0"/>
    </format>
    <format dxfId="36">
      <pivotArea dataOnly="0" labelOnly="1" outline="0" fieldPosition="0">
        <references count="1">
          <reference field="4294967294" count="2">
            <x v="0"/>
            <x v="1"/>
          </reference>
        </references>
      </pivotArea>
    </format>
    <format dxfId="3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0B23-1864-4EDD-B401-6D69F63BB3A7}">
  <dimension ref="B1:AA17"/>
  <sheetViews>
    <sheetView tabSelected="1" topLeftCell="A3" zoomScale="80" zoomScaleNormal="80" workbookViewId="0">
      <selection activeCell="I15" sqref="I15"/>
    </sheetView>
  </sheetViews>
  <sheetFormatPr defaultRowHeight="14.5" x14ac:dyDescent="0.35"/>
  <cols>
    <col min="1" max="1" width="4.7265625" customWidth="1"/>
    <col min="2" max="2" width="52.81640625" bestFit="1" customWidth="1"/>
    <col min="3" max="8" width="20.26953125" customWidth="1"/>
    <col min="10" max="10" width="51.26953125" bestFit="1" customWidth="1"/>
    <col min="11" max="11" width="24" bestFit="1" customWidth="1"/>
    <col min="12" max="12" width="25.453125" bestFit="1" customWidth="1"/>
    <col min="13" max="13" width="23.26953125" bestFit="1" customWidth="1"/>
    <col min="14" max="14" width="21.54296875" bestFit="1" customWidth="1"/>
    <col min="15" max="15" width="21.36328125" bestFit="1" customWidth="1"/>
    <col min="16" max="17" width="24.7265625" bestFit="1" customWidth="1"/>
    <col min="18" max="18" width="30.54296875" bestFit="1" customWidth="1"/>
    <col min="19" max="19" width="25.453125" bestFit="1" customWidth="1"/>
    <col min="20" max="20" width="18.36328125" bestFit="1" customWidth="1"/>
    <col min="21" max="21" width="21.36328125" bestFit="1" customWidth="1"/>
    <col min="22" max="22" width="22.81640625" bestFit="1" customWidth="1"/>
    <col min="23" max="23" width="25.453125" bestFit="1" customWidth="1"/>
    <col min="24" max="24" width="21.54296875" bestFit="1" customWidth="1"/>
    <col min="25" max="25" width="24.7265625" bestFit="1" customWidth="1"/>
    <col min="26" max="26" width="21.90625" bestFit="1" customWidth="1"/>
    <col min="27" max="27" width="21.36328125" bestFit="1" customWidth="1"/>
  </cols>
  <sheetData>
    <row r="1" spans="2:27" ht="20" x14ac:dyDescent="0.4">
      <c r="B1" s="9" t="s">
        <v>29</v>
      </c>
      <c r="C1" s="10"/>
      <c r="D1" s="10"/>
      <c r="H1" s="11" t="s">
        <v>99</v>
      </c>
    </row>
    <row r="2" spans="2:27" ht="20" x14ac:dyDescent="0.4">
      <c r="B2" s="12"/>
      <c r="C2" s="10"/>
      <c r="D2" s="10"/>
      <c r="H2" s="11" t="s">
        <v>100</v>
      </c>
    </row>
    <row r="3" spans="2:27" ht="15" thickBot="1" x14ac:dyDescent="0.4">
      <c r="K3" t="s">
        <v>25</v>
      </c>
    </row>
    <row r="4" spans="2:27" ht="70.5" customHeight="1" thickBot="1" x14ac:dyDescent="0.4">
      <c r="B4" s="20" t="s">
        <v>30</v>
      </c>
      <c r="C4" s="21"/>
      <c r="D4" s="21"/>
      <c r="E4" s="21"/>
      <c r="F4" s="21"/>
      <c r="G4" s="21"/>
      <c r="H4" s="22"/>
      <c r="I4" s="13"/>
      <c r="J4" s="13"/>
      <c r="K4" s="13"/>
    </row>
    <row r="5" spans="2:27" x14ac:dyDescent="0.35">
      <c r="H5" s="13"/>
      <c r="I5" s="13"/>
      <c r="J5" s="13"/>
      <c r="K5" s="13"/>
    </row>
    <row r="6" spans="2:27" x14ac:dyDescent="0.35">
      <c r="H6" s="13"/>
      <c r="I6" s="13"/>
      <c r="J6" s="13"/>
      <c r="K6" s="13"/>
    </row>
    <row r="7" spans="2:27" x14ac:dyDescent="0.35">
      <c r="B7" s="14" t="s">
        <v>26</v>
      </c>
      <c r="H7" s="13"/>
      <c r="I7" s="13"/>
      <c r="J7" s="14" t="s">
        <v>27</v>
      </c>
      <c r="K7" s="23" t="s">
        <v>31</v>
      </c>
      <c r="L7" s="23"/>
      <c r="M7" s="23"/>
      <c r="N7" s="23"/>
      <c r="O7" s="23"/>
      <c r="P7" s="24" t="s">
        <v>32</v>
      </c>
      <c r="Q7" s="24"/>
      <c r="R7" s="24"/>
      <c r="S7" s="24"/>
      <c r="T7" s="24"/>
      <c r="U7" s="24"/>
      <c r="V7" s="25" t="s">
        <v>33</v>
      </c>
      <c r="W7" s="25"/>
      <c r="X7" s="25"/>
      <c r="Y7" s="25"/>
      <c r="Z7" s="25"/>
      <c r="AA7" s="25"/>
    </row>
    <row r="8" spans="2:27" x14ac:dyDescent="0.35">
      <c r="B8" s="15" t="s">
        <v>28</v>
      </c>
      <c r="C8" s="16">
        <f t="shared" ref="C8:G8" si="0">C17/$H$17</f>
        <v>0.5</v>
      </c>
      <c r="D8" s="16">
        <f t="shared" si="0"/>
        <v>0.36842105263157893</v>
      </c>
      <c r="E8" s="16">
        <f t="shared" si="0"/>
        <v>7.8947368421052627E-2</v>
      </c>
      <c r="F8" s="16">
        <f t="shared" si="0"/>
        <v>2.6315789473684209E-2</v>
      </c>
      <c r="G8" s="16">
        <f t="shared" si="0"/>
        <v>2.6315789473684209E-2</v>
      </c>
      <c r="H8" s="16">
        <f>H17/$H$17</f>
        <v>1</v>
      </c>
      <c r="I8" s="16"/>
    </row>
    <row r="9" spans="2:27" ht="15" thickBot="1" x14ac:dyDescent="0.4"/>
    <row r="10" spans="2:27" s="3" customFormat="1" ht="58" x14ac:dyDescent="0.35">
      <c r="B10" s="4" t="s">
        <v>6</v>
      </c>
      <c r="C10" s="3" t="s">
        <v>8</v>
      </c>
      <c r="D10" s="3" t="s">
        <v>9</v>
      </c>
      <c r="E10" s="3" t="s">
        <v>10</v>
      </c>
      <c r="F10" s="3" t="s">
        <v>11</v>
      </c>
      <c r="G10" s="3" t="s">
        <v>12</v>
      </c>
      <c r="H10" s="6" t="s">
        <v>5</v>
      </c>
      <c r="J10" s="4" t="s">
        <v>6</v>
      </c>
      <c r="K10" s="3" t="s">
        <v>13</v>
      </c>
      <c r="L10" s="3" t="s">
        <v>14</v>
      </c>
      <c r="M10" s="3" t="s">
        <v>15</v>
      </c>
      <c r="N10" s="3" t="s">
        <v>16</v>
      </c>
      <c r="O10" s="3" t="s">
        <v>17</v>
      </c>
      <c r="P10" s="3" t="s">
        <v>18</v>
      </c>
      <c r="Q10" s="3" t="s">
        <v>19</v>
      </c>
      <c r="R10" s="3" t="s">
        <v>86</v>
      </c>
      <c r="S10" s="3" t="s">
        <v>87</v>
      </c>
      <c r="T10" s="3" t="s">
        <v>88</v>
      </c>
      <c r="U10" s="3" t="s">
        <v>20</v>
      </c>
      <c r="V10" s="3" t="s">
        <v>21</v>
      </c>
      <c r="W10" s="3" t="s">
        <v>89</v>
      </c>
      <c r="X10" s="3" t="s">
        <v>22</v>
      </c>
      <c r="Y10" s="3" t="s">
        <v>23</v>
      </c>
      <c r="Z10" s="3" t="s">
        <v>90</v>
      </c>
      <c r="AA10" s="3" t="s">
        <v>24</v>
      </c>
    </row>
    <row r="11" spans="2:27" x14ac:dyDescent="0.35">
      <c r="B11" s="2" t="s">
        <v>4</v>
      </c>
      <c r="C11" s="5">
        <v>2</v>
      </c>
      <c r="D11" s="5">
        <v>0</v>
      </c>
      <c r="E11" s="5">
        <v>0</v>
      </c>
      <c r="F11" s="5">
        <v>0</v>
      </c>
      <c r="G11" s="5">
        <v>0</v>
      </c>
      <c r="H11" s="7">
        <f>SUM(C11:G11)</f>
        <v>2</v>
      </c>
      <c r="J11" s="2" t="s">
        <v>4</v>
      </c>
      <c r="K11" s="29">
        <v>0</v>
      </c>
      <c r="L11" s="29">
        <v>0</v>
      </c>
      <c r="M11" s="29">
        <v>0</v>
      </c>
      <c r="N11" s="29">
        <v>2</v>
      </c>
      <c r="O11" s="29">
        <v>2</v>
      </c>
      <c r="P11" s="29">
        <v>0</v>
      </c>
      <c r="Q11" s="29">
        <v>0</v>
      </c>
      <c r="R11" s="29">
        <v>0</v>
      </c>
      <c r="S11" s="29">
        <v>0</v>
      </c>
      <c r="T11" s="29">
        <v>0</v>
      </c>
      <c r="U11" s="29">
        <v>0</v>
      </c>
      <c r="V11" s="29">
        <v>0</v>
      </c>
      <c r="W11" s="29">
        <v>0</v>
      </c>
      <c r="X11" s="29">
        <v>0</v>
      </c>
      <c r="Y11" s="29">
        <v>0</v>
      </c>
      <c r="Z11" s="29">
        <v>0</v>
      </c>
      <c r="AA11" s="29">
        <v>0</v>
      </c>
    </row>
    <row r="12" spans="2:27" x14ac:dyDescent="0.35">
      <c r="B12" s="2" t="s">
        <v>1</v>
      </c>
      <c r="C12" s="5">
        <v>2</v>
      </c>
      <c r="D12" s="5">
        <v>2</v>
      </c>
      <c r="E12" s="5">
        <v>0</v>
      </c>
      <c r="F12" s="5">
        <v>0</v>
      </c>
      <c r="G12" s="5">
        <v>1</v>
      </c>
      <c r="H12" s="7">
        <f t="shared" ref="H12:H16" si="1">SUM(C12:G12)</f>
        <v>5</v>
      </c>
      <c r="J12" s="2" t="s">
        <v>1</v>
      </c>
      <c r="K12" s="29">
        <v>1</v>
      </c>
      <c r="L12" s="29">
        <v>0</v>
      </c>
      <c r="M12" s="29">
        <v>0</v>
      </c>
      <c r="N12" s="29">
        <v>0</v>
      </c>
      <c r="O12" s="29">
        <v>1</v>
      </c>
      <c r="P12" s="29">
        <v>2</v>
      </c>
      <c r="Q12" s="29">
        <v>0</v>
      </c>
      <c r="R12" s="29">
        <v>0</v>
      </c>
      <c r="S12" s="29">
        <v>0</v>
      </c>
      <c r="T12" s="29">
        <v>0</v>
      </c>
      <c r="U12" s="29">
        <v>0</v>
      </c>
      <c r="V12" s="29">
        <v>0</v>
      </c>
      <c r="W12" s="29">
        <v>0</v>
      </c>
      <c r="X12" s="29">
        <v>0</v>
      </c>
      <c r="Y12" s="29">
        <v>0</v>
      </c>
      <c r="Z12" s="29">
        <v>0</v>
      </c>
      <c r="AA12" s="29">
        <v>0</v>
      </c>
    </row>
    <row r="13" spans="2:27" x14ac:dyDescent="0.35">
      <c r="B13" s="2" t="s">
        <v>3</v>
      </c>
      <c r="C13" s="5">
        <v>4</v>
      </c>
      <c r="D13" s="5">
        <v>5</v>
      </c>
      <c r="E13" s="5">
        <v>1</v>
      </c>
      <c r="F13" s="5">
        <v>0</v>
      </c>
      <c r="G13" s="5">
        <v>0</v>
      </c>
      <c r="H13" s="7">
        <f t="shared" si="1"/>
        <v>10</v>
      </c>
      <c r="J13" s="2" t="s">
        <v>3</v>
      </c>
      <c r="K13" s="29">
        <v>0</v>
      </c>
      <c r="L13" s="29">
        <v>1</v>
      </c>
      <c r="M13" s="29">
        <v>0</v>
      </c>
      <c r="N13" s="29">
        <v>0</v>
      </c>
      <c r="O13" s="29">
        <v>3</v>
      </c>
      <c r="P13" s="29">
        <v>4</v>
      </c>
      <c r="Q13" s="29">
        <v>1</v>
      </c>
      <c r="R13" s="29">
        <v>1</v>
      </c>
      <c r="S13" s="29">
        <v>2</v>
      </c>
      <c r="T13" s="29">
        <v>0</v>
      </c>
      <c r="U13" s="29">
        <v>2</v>
      </c>
      <c r="V13" s="29">
        <v>1</v>
      </c>
      <c r="W13" s="29">
        <v>1</v>
      </c>
      <c r="X13" s="29">
        <v>1</v>
      </c>
      <c r="Y13" s="29">
        <v>1</v>
      </c>
      <c r="Z13" s="29">
        <v>1</v>
      </c>
      <c r="AA13" s="29">
        <v>1</v>
      </c>
    </row>
    <row r="14" spans="2:27" x14ac:dyDescent="0.35">
      <c r="B14" s="2" t="s">
        <v>2</v>
      </c>
      <c r="C14" s="5">
        <v>2</v>
      </c>
      <c r="D14" s="5">
        <v>4</v>
      </c>
      <c r="E14" s="5">
        <v>0</v>
      </c>
      <c r="F14" s="5">
        <v>0</v>
      </c>
      <c r="G14" s="5">
        <v>0</v>
      </c>
      <c r="H14" s="7">
        <f t="shared" si="1"/>
        <v>6</v>
      </c>
      <c r="J14" s="2" t="s">
        <v>2</v>
      </c>
      <c r="K14" s="29">
        <v>1</v>
      </c>
      <c r="L14" s="29">
        <v>1</v>
      </c>
      <c r="M14" s="29">
        <v>1</v>
      </c>
      <c r="N14" s="29">
        <v>0</v>
      </c>
      <c r="O14" s="29">
        <v>2</v>
      </c>
      <c r="P14" s="29">
        <v>2</v>
      </c>
      <c r="Q14" s="29">
        <v>2</v>
      </c>
      <c r="R14" s="29">
        <v>0</v>
      </c>
      <c r="S14" s="29">
        <v>0</v>
      </c>
      <c r="T14" s="29">
        <v>2</v>
      </c>
      <c r="U14" s="29">
        <v>0</v>
      </c>
      <c r="V14" s="29">
        <v>0</v>
      </c>
      <c r="W14" s="29">
        <v>0</v>
      </c>
      <c r="X14" s="29">
        <v>0</v>
      </c>
      <c r="Y14" s="29">
        <v>0</v>
      </c>
      <c r="Z14" s="29">
        <v>0</v>
      </c>
      <c r="AA14" s="29">
        <v>0</v>
      </c>
    </row>
    <row r="15" spans="2:27" x14ac:dyDescent="0.35">
      <c r="B15" s="2" t="s">
        <v>0</v>
      </c>
      <c r="C15" s="5">
        <v>0</v>
      </c>
      <c r="D15" s="5">
        <v>0</v>
      </c>
      <c r="E15" s="5">
        <v>1</v>
      </c>
      <c r="F15" s="5">
        <v>0</v>
      </c>
      <c r="G15" s="5">
        <v>0</v>
      </c>
      <c r="H15" s="7">
        <f t="shared" si="1"/>
        <v>1</v>
      </c>
      <c r="J15" s="2" t="s">
        <v>0</v>
      </c>
      <c r="K15" s="29">
        <v>0</v>
      </c>
      <c r="L15" s="29">
        <v>0</v>
      </c>
      <c r="M15" s="29">
        <v>0</v>
      </c>
      <c r="N15" s="29">
        <v>0</v>
      </c>
      <c r="O15" s="29">
        <v>0</v>
      </c>
      <c r="P15" s="29">
        <v>0</v>
      </c>
      <c r="Q15" s="29">
        <v>0</v>
      </c>
      <c r="R15" s="29">
        <v>0</v>
      </c>
      <c r="S15" s="29">
        <v>0</v>
      </c>
      <c r="T15" s="29">
        <v>0</v>
      </c>
      <c r="U15" s="29">
        <v>0</v>
      </c>
      <c r="V15" s="29">
        <v>1</v>
      </c>
      <c r="W15" s="29">
        <v>1</v>
      </c>
      <c r="X15" s="29">
        <v>1</v>
      </c>
      <c r="Y15" s="29">
        <v>0</v>
      </c>
      <c r="Z15" s="29">
        <v>0</v>
      </c>
      <c r="AA15" s="29">
        <v>1</v>
      </c>
    </row>
    <row r="16" spans="2:27" x14ac:dyDescent="0.35">
      <c r="B16" s="2" t="s">
        <v>85</v>
      </c>
      <c r="C16" s="5">
        <v>9</v>
      </c>
      <c r="D16" s="5">
        <v>3</v>
      </c>
      <c r="E16" s="5">
        <v>1</v>
      </c>
      <c r="F16" s="5">
        <v>1</v>
      </c>
      <c r="G16" s="5">
        <v>0</v>
      </c>
      <c r="H16" s="7">
        <f t="shared" si="1"/>
        <v>14</v>
      </c>
      <c r="J16" s="2" t="s">
        <v>85</v>
      </c>
      <c r="K16" s="29">
        <v>1</v>
      </c>
      <c r="L16" s="29">
        <v>2</v>
      </c>
      <c r="M16" s="29">
        <v>0</v>
      </c>
      <c r="N16" s="29">
        <v>0</v>
      </c>
      <c r="O16" s="29">
        <v>7</v>
      </c>
      <c r="P16" s="29">
        <v>1</v>
      </c>
      <c r="Q16" s="29">
        <v>1</v>
      </c>
      <c r="R16" s="29">
        <v>2</v>
      </c>
      <c r="S16" s="29">
        <v>2</v>
      </c>
      <c r="T16" s="29">
        <v>1</v>
      </c>
      <c r="U16" s="29">
        <v>3</v>
      </c>
      <c r="V16" s="29">
        <v>0</v>
      </c>
      <c r="W16" s="29">
        <v>1</v>
      </c>
      <c r="X16" s="29">
        <v>0</v>
      </c>
      <c r="Y16" s="29">
        <v>0</v>
      </c>
      <c r="Z16" s="29">
        <v>0</v>
      </c>
      <c r="AA16" s="29">
        <v>0</v>
      </c>
    </row>
    <row r="17" spans="2:27" ht="15" thickBot="1" x14ac:dyDescent="0.4">
      <c r="B17" s="2" t="s">
        <v>7</v>
      </c>
      <c r="C17" s="5">
        <v>19</v>
      </c>
      <c r="D17" s="5">
        <v>14</v>
      </c>
      <c r="E17" s="5">
        <v>3</v>
      </c>
      <c r="F17" s="5">
        <v>1</v>
      </c>
      <c r="G17" s="5">
        <v>1</v>
      </c>
      <c r="H17" s="8">
        <f>SUM(H11:H16)</f>
        <v>38</v>
      </c>
      <c r="J17" s="2" t="s">
        <v>7</v>
      </c>
      <c r="K17" s="29">
        <v>3</v>
      </c>
      <c r="L17" s="29">
        <v>4</v>
      </c>
      <c r="M17" s="29">
        <v>1</v>
      </c>
      <c r="N17" s="29">
        <v>2</v>
      </c>
      <c r="O17" s="29">
        <v>15</v>
      </c>
      <c r="P17" s="29">
        <v>9</v>
      </c>
      <c r="Q17" s="29">
        <v>4</v>
      </c>
      <c r="R17" s="29">
        <v>3</v>
      </c>
      <c r="S17" s="29">
        <v>4</v>
      </c>
      <c r="T17" s="29">
        <v>3</v>
      </c>
      <c r="U17" s="29">
        <v>5</v>
      </c>
      <c r="V17" s="29">
        <v>2</v>
      </c>
      <c r="W17" s="29">
        <v>3</v>
      </c>
      <c r="X17" s="29">
        <v>2</v>
      </c>
      <c r="Y17" s="29">
        <v>1</v>
      </c>
      <c r="Z17" s="29">
        <v>1</v>
      </c>
      <c r="AA17" s="29">
        <v>2</v>
      </c>
    </row>
  </sheetData>
  <mergeCells count="4">
    <mergeCell ref="B4:H4"/>
    <mergeCell ref="K7:O7"/>
    <mergeCell ref="P7:U7"/>
    <mergeCell ref="V7:AA7"/>
  </mergeCells>
  <pageMargins left="0.7" right="0.7" top="0.75" bottom="0.75" header="0.3" footer="0.3"/>
  <pageSetup orientation="portrait" horizontalDpi="360" verticalDpi="36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9ECB5-ACE4-4FF3-934D-F49BAC15BF54}">
  <dimension ref="B1:I17"/>
  <sheetViews>
    <sheetView zoomScale="80" zoomScaleNormal="80" workbookViewId="0">
      <selection activeCell="B6" sqref="B6"/>
    </sheetView>
  </sheetViews>
  <sheetFormatPr defaultRowHeight="14.5" x14ac:dyDescent="0.35"/>
  <cols>
    <col min="1" max="1" width="3.7265625" customWidth="1"/>
    <col min="2" max="2" width="52.81640625" bestFit="1" customWidth="1"/>
    <col min="3" max="9" width="32.1796875" customWidth="1"/>
  </cols>
  <sheetData>
    <row r="1" spans="2:9" ht="20" x14ac:dyDescent="0.4">
      <c r="B1" s="9" t="s">
        <v>29</v>
      </c>
      <c r="C1" s="10"/>
      <c r="D1" s="10"/>
      <c r="I1" s="11" t="s">
        <v>99</v>
      </c>
    </row>
    <row r="2" spans="2:9" ht="20" x14ac:dyDescent="0.4">
      <c r="B2" s="12"/>
      <c r="C2" s="10"/>
      <c r="D2" s="10"/>
      <c r="I2" s="11" t="s">
        <v>101</v>
      </c>
    </row>
    <row r="3" spans="2:9" ht="15" thickBot="1" x14ac:dyDescent="0.4"/>
    <row r="4" spans="2:9" ht="53.25" customHeight="1" thickBot="1" x14ac:dyDescent="0.4">
      <c r="B4" s="26" t="s">
        <v>59</v>
      </c>
      <c r="C4" s="27"/>
      <c r="D4" s="27"/>
      <c r="E4" s="27"/>
      <c r="F4" s="27"/>
      <c r="G4" s="27"/>
      <c r="H4" s="27"/>
      <c r="I4" s="28"/>
    </row>
    <row r="5" spans="2:9" x14ac:dyDescent="0.35">
      <c r="H5" s="13"/>
      <c r="I5" s="13"/>
    </row>
    <row r="6" spans="2:9" x14ac:dyDescent="0.35">
      <c r="H6" s="13"/>
      <c r="I6" s="13"/>
    </row>
    <row r="7" spans="2:9" x14ac:dyDescent="0.35">
      <c r="B7" s="14" t="s">
        <v>26</v>
      </c>
      <c r="H7" s="13"/>
      <c r="I7" s="13"/>
    </row>
    <row r="8" spans="2:9" x14ac:dyDescent="0.35">
      <c r="B8" s="15" t="s">
        <v>28</v>
      </c>
      <c r="C8" s="16"/>
      <c r="D8" s="16"/>
      <c r="E8" s="16"/>
      <c r="F8" s="16"/>
      <c r="G8" s="16"/>
      <c r="H8" s="16"/>
      <c r="I8" s="16"/>
    </row>
    <row r="10" spans="2:9" s="3" customFormat="1" ht="58" x14ac:dyDescent="0.35">
      <c r="B10" s="4" t="s">
        <v>6</v>
      </c>
      <c r="C10" s="3" t="s">
        <v>83</v>
      </c>
      <c r="D10" s="3" t="s">
        <v>54</v>
      </c>
      <c r="E10" s="3" t="s">
        <v>55</v>
      </c>
      <c r="F10" s="3" t="s">
        <v>56</v>
      </c>
      <c r="G10" s="3" t="s">
        <v>57</v>
      </c>
      <c r="H10" s="3" t="s">
        <v>84</v>
      </c>
      <c r="I10" s="3" t="s">
        <v>58</v>
      </c>
    </row>
    <row r="11" spans="2:9" x14ac:dyDescent="0.35">
      <c r="B11" s="2" t="s">
        <v>4</v>
      </c>
      <c r="C11" s="5">
        <v>0</v>
      </c>
      <c r="D11" s="5">
        <v>0</v>
      </c>
      <c r="E11" s="5">
        <v>0</v>
      </c>
      <c r="F11" s="5">
        <v>0</v>
      </c>
      <c r="G11" s="5">
        <v>0</v>
      </c>
      <c r="H11" s="5">
        <v>0</v>
      </c>
      <c r="I11" s="5">
        <v>0</v>
      </c>
    </row>
    <row r="12" spans="2:9" x14ac:dyDescent="0.35">
      <c r="B12" s="2" t="s">
        <v>1</v>
      </c>
      <c r="C12" s="5">
        <v>0</v>
      </c>
      <c r="D12" s="5">
        <v>0</v>
      </c>
      <c r="E12" s="5">
        <v>0</v>
      </c>
      <c r="F12" s="5">
        <v>0</v>
      </c>
      <c r="G12" s="5">
        <v>0</v>
      </c>
      <c r="H12" s="5">
        <v>0</v>
      </c>
      <c r="I12" s="5">
        <v>0</v>
      </c>
    </row>
    <row r="13" spans="2:9" x14ac:dyDescent="0.35">
      <c r="B13" s="2" t="s">
        <v>3</v>
      </c>
      <c r="C13" s="5">
        <v>1</v>
      </c>
      <c r="D13" s="5">
        <v>1</v>
      </c>
      <c r="E13" s="5">
        <v>1</v>
      </c>
      <c r="F13" s="5">
        <v>1</v>
      </c>
      <c r="G13" s="5">
        <v>0</v>
      </c>
      <c r="H13" s="5">
        <v>1</v>
      </c>
      <c r="I13" s="5">
        <v>0</v>
      </c>
    </row>
    <row r="14" spans="2:9" x14ac:dyDescent="0.35">
      <c r="B14" s="2" t="s">
        <v>2</v>
      </c>
      <c r="C14" s="5">
        <v>0</v>
      </c>
      <c r="D14" s="5">
        <v>0</v>
      </c>
      <c r="E14" s="5">
        <v>0</v>
      </c>
      <c r="F14" s="5">
        <v>0</v>
      </c>
      <c r="G14" s="5">
        <v>0</v>
      </c>
      <c r="H14" s="5">
        <v>0</v>
      </c>
      <c r="I14" s="5">
        <v>0</v>
      </c>
    </row>
    <row r="15" spans="2:9" x14ac:dyDescent="0.35">
      <c r="B15" s="2" t="s">
        <v>0</v>
      </c>
      <c r="C15" s="5">
        <v>0</v>
      </c>
      <c r="D15" s="5">
        <v>0</v>
      </c>
      <c r="E15" s="5">
        <v>0</v>
      </c>
      <c r="F15" s="5">
        <v>0</v>
      </c>
      <c r="G15" s="5">
        <v>1</v>
      </c>
      <c r="H15" s="5">
        <v>1</v>
      </c>
      <c r="I15" s="5">
        <v>0</v>
      </c>
    </row>
    <row r="16" spans="2:9" x14ac:dyDescent="0.35">
      <c r="B16" s="2" t="s">
        <v>85</v>
      </c>
      <c r="C16" s="5">
        <v>2</v>
      </c>
      <c r="D16" s="5">
        <v>1</v>
      </c>
      <c r="E16" s="5">
        <v>0</v>
      </c>
      <c r="F16" s="5">
        <v>0</v>
      </c>
      <c r="G16" s="5">
        <v>0</v>
      </c>
      <c r="H16" s="5">
        <v>1</v>
      </c>
      <c r="I16" s="5">
        <v>1</v>
      </c>
    </row>
    <row r="17" spans="2:9" x14ac:dyDescent="0.35">
      <c r="B17" s="2" t="s">
        <v>7</v>
      </c>
      <c r="C17" s="5">
        <v>3</v>
      </c>
      <c r="D17" s="5">
        <v>2</v>
      </c>
      <c r="E17" s="5">
        <v>1</v>
      </c>
      <c r="F17" s="5">
        <v>1</v>
      </c>
      <c r="G17" s="5">
        <v>1</v>
      </c>
      <c r="H17" s="5">
        <v>3</v>
      </c>
      <c r="I17" s="5">
        <v>1</v>
      </c>
    </row>
  </sheetData>
  <mergeCells count="1">
    <mergeCell ref="B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8AA58-2240-4604-A5F6-015FF5220860}">
  <dimension ref="B1:R22"/>
  <sheetViews>
    <sheetView zoomScale="80" zoomScaleNormal="80" workbookViewId="0">
      <selection activeCell="H3" sqref="H3"/>
    </sheetView>
  </sheetViews>
  <sheetFormatPr defaultRowHeight="14.5" x14ac:dyDescent="0.35"/>
  <cols>
    <col min="1" max="1" width="3" customWidth="1"/>
    <col min="2" max="2" width="52.81640625" bestFit="1" customWidth="1"/>
    <col min="3" max="8" width="20.54296875" customWidth="1"/>
    <col min="10" max="10" width="52.81640625" bestFit="1" customWidth="1"/>
    <col min="11" max="11" width="21.7265625" bestFit="1" customWidth="1"/>
    <col min="12" max="12" width="21.1796875" bestFit="1" customWidth="1"/>
    <col min="13" max="13" width="20.7265625" bestFit="1" customWidth="1"/>
    <col min="14" max="14" width="21" bestFit="1" customWidth="1"/>
    <col min="15" max="15" width="20" bestFit="1" customWidth="1"/>
    <col min="16" max="16" width="21.81640625" bestFit="1" customWidth="1"/>
    <col min="17" max="17" width="21" bestFit="1" customWidth="1"/>
    <col min="18" max="18" width="16" bestFit="1" customWidth="1"/>
  </cols>
  <sheetData>
    <row r="1" spans="2:18" ht="20" x14ac:dyDescent="0.4">
      <c r="B1" s="9" t="s">
        <v>29</v>
      </c>
      <c r="C1" s="10"/>
      <c r="D1" s="10"/>
      <c r="H1" s="11" t="s">
        <v>99</v>
      </c>
    </row>
    <row r="2" spans="2:18" ht="20" x14ac:dyDescent="0.4">
      <c r="B2" s="12"/>
      <c r="C2" s="10"/>
      <c r="D2" s="10"/>
      <c r="H2" s="11" t="s">
        <v>102</v>
      </c>
    </row>
    <row r="3" spans="2:18" ht="15" thickBot="1" x14ac:dyDescent="0.4"/>
    <row r="4" spans="2:18" ht="90" customHeight="1" thickBot="1" x14ac:dyDescent="0.4">
      <c r="B4" s="26" t="s">
        <v>44</v>
      </c>
      <c r="C4" s="27"/>
      <c r="D4" s="27"/>
      <c r="E4" s="27"/>
      <c r="F4" s="27"/>
      <c r="G4" s="27"/>
      <c r="H4" s="28"/>
      <c r="I4" s="13"/>
      <c r="J4" s="13"/>
    </row>
    <row r="5" spans="2:18" x14ac:dyDescent="0.35">
      <c r="H5" s="13"/>
      <c r="I5" s="13"/>
      <c r="J5" s="13"/>
    </row>
    <row r="6" spans="2:18" x14ac:dyDescent="0.35">
      <c r="H6" s="13"/>
      <c r="I6" s="13"/>
      <c r="J6" s="13"/>
    </row>
    <row r="7" spans="2:18" x14ac:dyDescent="0.35">
      <c r="B7" s="14" t="s">
        <v>26</v>
      </c>
      <c r="H7" s="13"/>
      <c r="I7" s="13"/>
      <c r="J7" s="14" t="s">
        <v>27</v>
      </c>
    </row>
    <row r="8" spans="2:18" x14ac:dyDescent="0.35">
      <c r="B8" s="15" t="s">
        <v>28</v>
      </c>
      <c r="C8" s="16">
        <f t="shared" ref="C8:G8" si="0">C17/$H$17</f>
        <v>0.52941176470588236</v>
      </c>
      <c r="D8" s="16">
        <f t="shared" si="0"/>
        <v>0.29411764705882354</v>
      </c>
      <c r="E8" s="16">
        <f t="shared" si="0"/>
        <v>8.8235294117647065E-2</v>
      </c>
      <c r="F8" s="16">
        <f t="shared" si="0"/>
        <v>5.8823529411764705E-2</v>
      </c>
      <c r="G8" s="16">
        <f t="shared" si="0"/>
        <v>2.9411764705882353E-2</v>
      </c>
      <c r="H8" s="16">
        <f>H17/$H$17</f>
        <v>1</v>
      </c>
      <c r="I8" s="16"/>
      <c r="K8" s="23" t="s">
        <v>45</v>
      </c>
      <c r="L8" s="23"/>
      <c r="M8" s="23"/>
      <c r="N8" s="23"/>
      <c r="O8" s="23"/>
      <c r="P8" s="23"/>
      <c r="Q8" s="23"/>
      <c r="R8" s="23"/>
    </row>
    <row r="9" spans="2:18" ht="15" thickBot="1" x14ac:dyDescent="0.4"/>
    <row r="10" spans="2:18" s="3" customFormat="1" ht="72.5" x14ac:dyDescent="0.35">
      <c r="B10" s="4" t="s">
        <v>6</v>
      </c>
      <c r="C10" s="3" t="s">
        <v>34</v>
      </c>
      <c r="D10" s="3" t="s">
        <v>35</v>
      </c>
      <c r="E10" s="3" t="s">
        <v>36</v>
      </c>
      <c r="F10" s="3" t="s">
        <v>37</v>
      </c>
      <c r="G10" s="3" t="s">
        <v>38</v>
      </c>
      <c r="H10" s="6"/>
      <c r="J10" s="4" t="s">
        <v>6</v>
      </c>
      <c r="K10" s="3" t="s">
        <v>39</v>
      </c>
      <c r="L10" s="3" t="s">
        <v>91</v>
      </c>
      <c r="M10" s="3" t="s">
        <v>40</v>
      </c>
      <c r="N10" s="3" t="s">
        <v>41</v>
      </c>
      <c r="O10" s="3" t="s">
        <v>92</v>
      </c>
      <c r="P10" s="3" t="s">
        <v>93</v>
      </c>
      <c r="Q10" s="3" t="s">
        <v>42</v>
      </c>
      <c r="R10" s="3" t="s">
        <v>43</v>
      </c>
    </row>
    <row r="11" spans="2:18" x14ac:dyDescent="0.35">
      <c r="B11" s="2" t="s">
        <v>4</v>
      </c>
      <c r="C11" s="5">
        <v>0</v>
      </c>
      <c r="D11" s="5">
        <v>0</v>
      </c>
      <c r="E11" s="5">
        <v>2</v>
      </c>
      <c r="F11" s="5">
        <v>0</v>
      </c>
      <c r="G11" s="5">
        <v>0</v>
      </c>
      <c r="H11" s="7">
        <f>SUM(C11:G11)</f>
        <v>2</v>
      </c>
      <c r="J11" s="2" t="s">
        <v>4</v>
      </c>
      <c r="K11" s="5">
        <v>1</v>
      </c>
      <c r="L11" s="5">
        <v>0</v>
      </c>
      <c r="M11" s="5">
        <v>0</v>
      </c>
      <c r="N11" s="5">
        <v>0</v>
      </c>
      <c r="O11" s="5">
        <v>0</v>
      </c>
      <c r="P11" s="5">
        <v>0</v>
      </c>
      <c r="Q11" s="5">
        <v>0</v>
      </c>
      <c r="R11" s="5">
        <v>0</v>
      </c>
    </row>
    <row r="12" spans="2:18" x14ac:dyDescent="0.35">
      <c r="B12" s="2" t="s">
        <v>1</v>
      </c>
      <c r="C12" s="5">
        <v>1</v>
      </c>
      <c r="D12" s="5">
        <v>2</v>
      </c>
      <c r="E12" s="5">
        <v>1</v>
      </c>
      <c r="F12" s="5">
        <v>0</v>
      </c>
      <c r="G12" s="5">
        <v>0</v>
      </c>
      <c r="H12" s="7">
        <f t="shared" ref="H12:H16" si="1">SUM(C12:G12)</f>
        <v>4</v>
      </c>
      <c r="J12" s="2" t="s">
        <v>1</v>
      </c>
      <c r="K12" s="5">
        <v>1</v>
      </c>
      <c r="L12" s="5">
        <v>1</v>
      </c>
      <c r="M12" s="5">
        <v>1</v>
      </c>
      <c r="N12" s="5">
        <v>0</v>
      </c>
      <c r="O12" s="5">
        <v>0</v>
      </c>
      <c r="P12" s="5">
        <v>0</v>
      </c>
      <c r="Q12" s="5">
        <v>0</v>
      </c>
      <c r="R12" s="5">
        <v>0</v>
      </c>
    </row>
    <row r="13" spans="2:18" x14ac:dyDescent="0.35">
      <c r="B13" s="2" t="s">
        <v>3</v>
      </c>
      <c r="C13" s="5">
        <v>5</v>
      </c>
      <c r="D13" s="5">
        <v>2</v>
      </c>
      <c r="E13" s="5">
        <v>0</v>
      </c>
      <c r="F13" s="5">
        <v>1</v>
      </c>
      <c r="G13" s="5">
        <v>1</v>
      </c>
      <c r="H13" s="7">
        <f t="shared" si="1"/>
        <v>9</v>
      </c>
      <c r="J13" s="2" t="s">
        <v>3</v>
      </c>
      <c r="K13" s="5">
        <v>0</v>
      </c>
      <c r="L13" s="5">
        <v>1</v>
      </c>
      <c r="M13" s="5">
        <v>1</v>
      </c>
      <c r="N13" s="5">
        <v>1</v>
      </c>
      <c r="O13" s="5">
        <v>1</v>
      </c>
      <c r="P13" s="5">
        <v>0</v>
      </c>
      <c r="Q13" s="5">
        <v>1</v>
      </c>
      <c r="R13" s="5">
        <v>2</v>
      </c>
    </row>
    <row r="14" spans="2:18" x14ac:dyDescent="0.35">
      <c r="B14" s="2" t="s">
        <v>2</v>
      </c>
      <c r="C14" s="5">
        <v>4</v>
      </c>
      <c r="D14" s="5">
        <v>2</v>
      </c>
      <c r="E14" s="5">
        <v>0</v>
      </c>
      <c r="F14" s="5">
        <v>0</v>
      </c>
      <c r="G14" s="5">
        <v>0</v>
      </c>
      <c r="H14" s="7">
        <f t="shared" si="1"/>
        <v>6</v>
      </c>
      <c r="J14" s="2" t="s">
        <v>2</v>
      </c>
      <c r="K14" s="5">
        <v>1</v>
      </c>
      <c r="L14" s="5">
        <v>1</v>
      </c>
      <c r="M14" s="5">
        <v>1</v>
      </c>
      <c r="N14" s="5">
        <v>1</v>
      </c>
      <c r="O14" s="5">
        <v>0</v>
      </c>
      <c r="P14" s="5">
        <v>0</v>
      </c>
      <c r="Q14" s="5">
        <v>0</v>
      </c>
      <c r="R14" s="5">
        <v>2</v>
      </c>
    </row>
    <row r="15" spans="2:18" x14ac:dyDescent="0.35">
      <c r="B15" s="2" t="s">
        <v>0</v>
      </c>
      <c r="C15" s="5">
        <v>0</v>
      </c>
      <c r="D15" s="5">
        <v>0</v>
      </c>
      <c r="E15" s="5">
        <v>0</v>
      </c>
      <c r="F15" s="5">
        <v>0</v>
      </c>
      <c r="G15" s="5">
        <v>0</v>
      </c>
      <c r="H15" s="7">
        <f t="shared" si="1"/>
        <v>0</v>
      </c>
      <c r="J15" s="2" t="s">
        <v>0</v>
      </c>
      <c r="K15" s="5">
        <v>0</v>
      </c>
      <c r="L15" s="5">
        <v>0</v>
      </c>
      <c r="M15" s="5">
        <v>0</v>
      </c>
      <c r="N15" s="5">
        <v>0</v>
      </c>
      <c r="O15" s="5">
        <v>0</v>
      </c>
      <c r="P15" s="5">
        <v>0</v>
      </c>
      <c r="Q15" s="5">
        <v>0</v>
      </c>
      <c r="R15" s="5">
        <v>0</v>
      </c>
    </row>
    <row r="16" spans="2:18" x14ac:dyDescent="0.35">
      <c r="B16" s="2" t="s">
        <v>85</v>
      </c>
      <c r="C16" s="5">
        <v>8</v>
      </c>
      <c r="D16" s="5">
        <v>4</v>
      </c>
      <c r="E16" s="5">
        <v>0</v>
      </c>
      <c r="F16" s="5">
        <v>1</v>
      </c>
      <c r="G16" s="5">
        <v>0</v>
      </c>
      <c r="H16" s="7">
        <f t="shared" si="1"/>
        <v>13</v>
      </c>
      <c r="J16" s="2" t="s">
        <v>85</v>
      </c>
      <c r="K16" s="5">
        <v>0</v>
      </c>
      <c r="L16" s="5">
        <v>1</v>
      </c>
      <c r="M16" s="5">
        <v>0</v>
      </c>
      <c r="N16" s="5">
        <v>0</v>
      </c>
      <c r="O16" s="5">
        <v>0</v>
      </c>
      <c r="P16" s="5">
        <v>1</v>
      </c>
      <c r="Q16" s="5">
        <v>0</v>
      </c>
      <c r="R16" s="5">
        <v>4</v>
      </c>
    </row>
    <row r="17" spans="2:18" ht="15" thickBot="1" x14ac:dyDescent="0.4">
      <c r="B17" s="2" t="s">
        <v>7</v>
      </c>
      <c r="C17" s="5">
        <v>18</v>
      </c>
      <c r="D17" s="5">
        <v>10</v>
      </c>
      <c r="E17" s="5">
        <v>3</v>
      </c>
      <c r="F17" s="5">
        <v>2</v>
      </c>
      <c r="G17" s="5">
        <v>1</v>
      </c>
      <c r="H17" s="17">
        <f>SUM(H11:H16)</f>
        <v>34</v>
      </c>
      <c r="J17" s="2" t="s">
        <v>7</v>
      </c>
      <c r="K17" s="5">
        <v>3</v>
      </c>
      <c r="L17" s="5">
        <v>4</v>
      </c>
      <c r="M17" s="5">
        <v>3</v>
      </c>
      <c r="N17" s="5">
        <v>2</v>
      </c>
      <c r="O17" s="5">
        <v>1</v>
      </c>
      <c r="P17" s="5">
        <v>1</v>
      </c>
      <c r="Q17" s="5">
        <v>1</v>
      </c>
      <c r="R17" s="5">
        <v>8</v>
      </c>
    </row>
    <row r="19" spans="2:18" x14ac:dyDescent="0.35">
      <c r="B19" s="19" t="s">
        <v>80</v>
      </c>
    </row>
    <row r="20" spans="2:18" x14ac:dyDescent="0.35">
      <c r="B20" s="2" t="s">
        <v>81</v>
      </c>
      <c r="C20">
        <f>H17</f>
        <v>34</v>
      </c>
    </row>
    <row r="21" spans="2:18" x14ac:dyDescent="0.35">
      <c r="B21" s="2" t="s">
        <v>98</v>
      </c>
      <c r="C21">
        <f>GETPIVOTDATA(" 1.3. Disagree",'Question 1'!$B$10)+GETPIVOTDATA(" 1.5. No specific comment",'Question 1'!$B$10)</f>
        <v>4</v>
      </c>
    </row>
    <row r="22" spans="2:18" x14ac:dyDescent="0.35">
      <c r="B22" s="18" t="s">
        <v>5</v>
      </c>
      <c r="C22" s="1">
        <f>C20+C21</f>
        <v>38</v>
      </c>
    </row>
  </sheetData>
  <mergeCells count="2">
    <mergeCell ref="B4:H4"/>
    <mergeCell ref="K8:R8"/>
  </mergeCell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6739C-51A3-4DE9-957C-37FB100F4778}">
  <dimension ref="B1:L23"/>
  <sheetViews>
    <sheetView zoomScale="80" zoomScaleNormal="80" workbookViewId="0">
      <selection activeCell="H3" sqref="H3"/>
    </sheetView>
  </sheetViews>
  <sheetFormatPr defaultRowHeight="14.5" x14ac:dyDescent="0.35"/>
  <cols>
    <col min="1" max="1" width="4.81640625" customWidth="1"/>
    <col min="2" max="2" width="52.81640625" bestFit="1" customWidth="1"/>
    <col min="3" max="8" width="24" customWidth="1"/>
    <col min="10" max="10" width="52.81640625" bestFit="1" customWidth="1"/>
    <col min="11" max="11" width="39.453125" bestFit="1" customWidth="1"/>
    <col min="12" max="12" width="38" bestFit="1" customWidth="1"/>
    <col min="13" max="14" width="30.453125" bestFit="1" customWidth="1"/>
  </cols>
  <sheetData>
    <row r="1" spans="2:12" ht="20" x14ac:dyDescent="0.4">
      <c r="B1" s="9" t="s">
        <v>29</v>
      </c>
      <c r="C1" s="10"/>
      <c r="D1" s="10"/>
      <c r="H1" s="11" t="s">
        <v>99</v>
      </c>
    </row>
    <row r="2" spans="2:12" ht="20" x14ac:dyDescent="0.4">
      <c r="B2" s="12"/>
      <c r="C2" s="10"/>
      <c r="D2" s="10"/>
      <c r="H2" s="11" t="s">
        <v>103</v>
      </c>
    </row>
    <row r="3" spans="2:12" ht="15" thickBot="1" x14ac:dyDescent="0.4"/>
    <row r="4" spans="2:12" ht="96" customHeight="1" thickBot="1" x14ac:dyDescent="0.4">
      <c r="B4" s="26" t="s">
        <v>53</v>
      </c>
      <c r="C4" s="27"/>
      <c r="D4" s="27"/>
      <c r="E4" s="27"/>
      <c r="F4" s="27"/>
      <c r="G4" s="27"/>
      <c r="H4" s="28"/>
      <c r="I4" s="13"/>
      <c r="J4" s="13"/>
    </row>
    <row r="5" spans="2:12" x14ac:dyDescent="0.35">
      <c r="H5" s="13"/>
      <c r="I5" s="13"/>
      <c r="J5" s="13"/>
    </row>
    <row r="6" spans="2:12" x14ac:dyDescent="0.35">
      <c r="H6" s="13"/>
      <c r="I6" s="13"/>
      <c r="J6" s="13"/>
    </row>
    <row r="7" spans="2:12" x14ac:dyDescent="0.35">
      <c r="B7" s="14" t="s">
        <v>26</v>
      </c>
      <c r="H7" s="13"/>
      <c r="I7" s="13"/>
      <c r="J7" s="14" t="s">
        <v>27</v>
      </c>
    </row>
    <row r="8" spans="2:12" x14ac:dyDescent="0.35">
      <c r="B8" s="15" t="s">
        <v>28</v>
      </c>
      <c r="C8" s="16">
        <f t="shared" ref="C8:G8" si="0">C17/$H$17</f>
        <v>0.55882352941176472</v>
      </c>
      <c r="D8" s="16">
        <f t="shared" si="0"/>
        <v>0.17647058823529413</v>
      </c>
      <c r="E8" s="16">
        <f t="shared" si="0"/>
        <v>0.11764705882352941</v>
      </c>
      <c r="F8" s="16">
        <f t="shared" si="0"/>
        <v>5.8823529411764705E-2</v>
      </c>
      <c r="G8" s="16">
        <f t="shared" si="0"/>
        <v>8.8235294117647065E-2</v>
      </c>
      <c r="H8" s="16">
        <f>H17/$H$17</f>
        <v>1</v>
      </c>
      <c r="I8" s="16"/>
      <c r="K8" s="23" t="s">
        <v>45</v>
      </c>
      <c r="L8" s="23"/>
    </row>
    <row r="9" spans="2:12" ht="15" thickBot="1" x14ac:dyDescent="0.4"/>
    <row r="10" spans="2:12" s="3" customFormat="1" ht="43.5" x14ac:dyDescent="0.35">
      <c r="B10" s="4" t="s">
        <v>6</v>
      </c>
      <c r="C10" s="3" t="s">
        <v>46</v>
      </c>
      <c r="D10" s="3" t="s">
        <v>47</v>
      </c>
      <c r="E10" s="3" t="s">
        <v>48</v>
      </c>
      <c r="F10" s="3" t="s">
        <v>49</v>
      </c>
      <c r="G10" s="3" t="s">
        <v>50</v>
      </c>
      <c r="H10" s="6" t="s">
        <v>5</v>
      </c>
      <c r="J10" s="4" t="s">
        <v>6</v>
      </c>
      <c r="K10" s="3" t="s">
        <v>51</v>
      </c>
      <c r="L10" s="3" t="s">
        <v>52</v>
      </c>
    </row>
    <row r="11" spans="2:12" x14ac:dyDescent="0.35">
      <c r="B11" s="2" t="s">
        <v>4</v>
      </c>
      <c r="C11" s="5">
        <v>0</v>
      </c>
      <c r="D11" s="5">
        <v>0</v>
      </c>
      <c r="E11" s="5">
        <v>2</v>
      </c>
      <c r="F11" s="5">
        <v>0</v>
      </c>
      <c r="G11" s="5">
        <v>0</v>
      </c>
      <c r="H11" s="7">
        <f>SUM(C11:G11)</f>
        <v>2</v>
      </c>
      <c r="J11" s="2" t="s">
        <v>4</v>
      </c>
      <c r="K11" s="5">
        <v>0</v>
      </c>
      <c r="L11" s="5">
        <v>0</v>
      </c>
    </row>
    <row r="12" spans="2:12" x14ac:dyDescent="0.35">
      <c r="B12" s="2" t="s">
        <v>1</v>
      </c>
      <c r="C12" s="5">
        <v>1</v>
      </c>
      <c r="D12" s="5">
        <v>2</v>
      </c>
      <c r="E12" s="5">
        <v>1</v>
      </c>
      <c r="F12" s="5">
        <v>0</v>
      </c>
      <c r="G12" s="5">
        <v>0</v>
      </c>
      <c r="H12" s="7">
        <f t="shared" ref="H12:H16" si="1">SUM(C12:G12)</f>
        <v>4</v>
      </c>
      <c r="J12" s="2" t="s">
        <v>1</v>
      </c>
      <c r="K12" s="5">
        <v>2</v>
      </c>
      <c r="L12" s="5">
        <v>0</v>
      </c>
    </row>
    <row r="13" spans="2:12" x14ac:dyDescent="0.35">
      <c r="B13" s="2" t="s">
        <v>3</v>
      </c>
      <c r="C13" s="5">
        <v>5</v>
      </c>
      <c r="D13" s="5">
        <v>0</v>
      </c>
      <c r="E13" s="5">
        <v>1</v>
      </c>
      <c r="F13" s="5">
        <v>1</v>
      </c>
      <c r="G13" s="5">
        <v>2</v>
      </c>
      <c r="H13" s="7">
        <f t="shared" si="1"/>
        <v>9</v>
      </c>
      <c r="J13" s="2" t="s">
        <v>3</v>
      </c>
      <c r="K13" s="5">
        <v>0</v>
      </c>
      <c r="L13" s="5">
        <v>0</v>
      </c>
    </row>
    <row r="14" spans="2:12" x14ac:dyDescent="0.35">
      <c r="B14" s="2" t="s">
        <v>2</v>
      </c>
      <c r="C14" s="5">
        <v>3</v>
      </c>
      <c r="D14" s="5">
        <v>2</v>
      </c>
      <c r="E14" s="5">
        <v>0</v>
      </c>
      <c r="F14" s="5">
        <v>0</v>
      </c>
      <c r="G14" s="5">
        <v>1</v>
      </c>
      <c r="H14" s="7">
        <f t="shared" si="1"/>
        <v>6</v>
      </c>
      <c r="J14" s="2" t="s">
        <v>2</v>
      </c>
      <c r="K14" s="5">
        <v>1</v>
      </c>
      <c r="L14" s="5">
        <v>1</v>
      </c>
    </row>
    <row r="15" spans="2:12" x14ac:dyDescent="0.35">
      <c r="B15" s="2" t="s">
        <v>0</v>
      </c>
      <c r="C15" s="5">
        <v>0</v>
      </c>
      <c r="D15" s="5">
        <v>0</v>
      </c>
      <c r="E15" s="5">
        <v>0</v>
      </c>
      <c r="F15" s="5">
        <v>0</v>
      </c>
      <c r="G15" s="5">
        <v>0</v>
      </c>
      <c r="H15" s="7">
        <f t="shared" si="1"/>
        <v>0</v>
      </c>
      <c r="J15" s="2" t="s">
        <v>0</v>
      </c>
      <c r="K15" s="5">
        <v>0</v>
      </c>
      <c r="L15" s="5">
        <v>0</v>
      </c>
    </row>
    <row r="16" spans="2:12" x14ac:dyDescent="0.35">
      <c r="B16" s="2" t="s">
        <v>85</v>
      </c>
      <c r="C16" s="5">
        <v>10</v>
      </c>
      <c r="D16" s="5">
        <v>2</v>
      </c>
      <c r="E16" s="5">
        <v>0</v>
      </c>
      <c r="F16" s="5">
        <v>1</v>
      </c>
      <c r="G16" s="5">
        <v>0</v>
      </c>
      <c r="H16" s="7">
        <f t="shared" si="1"/>
        <v>13</v>
      </c>
      <c r="J16" s="2" t="s">
        <v>85</v>
      </c>
      <c r="K16" s="5">
        <v>1</v>
      </c>
      <c r="L16" s="5">
        <v>1</v>
      </c>
    </row>
    <row r="17" spans="2:12" ht="15" thickBot="1" x14ac:dyDescent="0.4">
      <c r="B17" s="2" t="s">
        <v>7</v>
      </c>
      <c r="C17" s="5">
        <v>19</v>
      </c>
      <c r="D17" s="5">
        <v>6</v>
      </c>
      <c r="E17" s="5">
        <v>4</v>
      </c>
      <c r="F17" s="5">
        <v>2</v>
      </c>
      <c r="G17" s="5">
        <v>3</v>
      </c>
      <c r="H17" s="17">
        <f>SUM(H11:H16)</f>
        <v>34</v>
      </c>
      <c r="J17" s="2" t="s">
        <v>7</v>
      </c>
      <c r="K17" s="5">
        <v>4</v>
      </c>
      <c r="L17" s="5">
        <v>2</v>
      </c>
    </row>
    <row r="20" spans="2:12" x14ac:dyDescent="0.35">
      <c r="B20" s="19" t="s">
        <v>80</v>
      </c>
    </row>
    <row r="21" spans="2:12" x14ac:dyDescent="0.35">
      <c r="B21" s="2" t="s">
        <v>82</v>
      </c>
      <c r="C21">
        <f>H17</f>
        <v>34</v>
      </c>
    </row>
    <row r="22" spans="2:12" x14ac:dyDescent="0.35">
      <c r="B22" s="2" t="s">
        <v>98</v>
      </c>
      <c r="C22">
        <f>GETPIVOTDATA(" 1.3. Disagree",'Question 1'!$B$10)+GETPIVOTDATA(" 1.5. No specific comment",'Question 1'!$B$10)</f>
        <v>4</v>
      </c>
    </row>
    <row r="23" spans="2:12" x14ac:dyDescent="0.35">
      <c r="B23" s="18" t="s">
        <v>5</v>
      </c>
      <c r="C23" s="1">
        <f>C21+C22</f>
        <v>38</v>
      </c>
    </row>
  </sheetData>
  <mergeCells count="2">
    <mergeCell ref="B4:H4"/>
    <mergeCell ref="K8:L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282F-8D96-4AE3-8AEA-D02CAF689813}">
  <dimension ref="B1:T17"/>
  <sheetViews>
    <sheetView zoomScale="80" zoomScaleNormal="80" workbookViewId="0">
      <selection activeCell="D6" sqref="D6"/>
    </sheetView>
  </sheetViews>
  <sheetFormatPr defaultRowHeight="14.5" x14ac:dyDescent="0.35"/>
  <cols>
    <col min="1" max="1" width="3.26953125" customWidth="1"/>
    <col min="2" max="2" width="52.81640625" bestFit="1" customWidth="1"/>
    <col min="3" max="8" width="23.1796875" customWidth="1"/>
    <col min="10" max="10" width="52.81640625" bestFit="1" customWidth="1"/>
    <col min="11" max="11" width="24.54296875" bestFit="1" customWidth="1"/>
    <col min="12" max="12" width="27.1796875" bestFit="1" customWidth="1"/>
    <col min="13" max="13" width="26.7265625" bestFit="1" customWidth="1"/>
    <col min="14" max="14" width="25.81640625" bestFit="1" customWidth="1"/>
    <col min="15" max="15" width="22.26953125" bestFit="1" customWidth="1"/>
    <col min="16" max="16" width="26.7265625" bestFit="1" customWidth="1"/>
    <col min="17" max="17" width="25" bestFit="1" customWidth="1"/>
    <col min="18" max="18" width="27.1796875" bestFit="1" customWidth="1"/>
    <col min="19" max="20" width="22.26953125" bestFit="1" customWidth="1"/>
  </cols>
  <sheetData>
    <row r="1" spans="2:20" ht="20" x14ac:dyDescent="0.4">
      <c r="B1" s="9" t="s">
        <v>29</v>
      </c>
      <c r="C1" s="10"/>
      <c r="D1" s="10"/>
      <c r="H1" s="11" t="s">
        <v>99</v>
      </c>
    </row>
    <row r="2" spans="2:20" ht="20" x14ac:dyDescent="0.4">
      <c r="B2" s="12"/>
      <c r="C2" s="10"/>
      <c r="D2" s="10"/>
      <c r="H2" s="11" t="s">
        <v>104</v>
      </c>
    </row>
    <row r="3" spans="2:20" ht="15" thickBot="1" x14ac:dyDescent="0.4"/>
    <row r="4" spans="2:20" ht="63.75" customHeight="1" thickBot="1" x14ac:dyDescent="0.4">
      <c r="B4" s="26" t="s">
        <v>72</v>
      </c>
      <c r="C4" s="27"/>
      <c r="D4" s="27"/>
      <c r="E4" s="27"/>
      <c r="F4" s="27"/>
      <c r="G4" s="27"/>
      <c r="H4" s="28"/>
      <c r="I4" s="13"/>
      <c r="J4" s="13"/>
    </row>
    <row r="5" spans="2:20" x14ac:dyDescent="0.35">
      <c r="H5" s="13"/>
      <c r="I5" s="13"/>
      <c r="J5" s="13"/>
    </row>
    <row r="6" spans="2:20" x14ac:dyDescent="0.35">
      <c r="H6" s="13"/>
      <c r="I6" s="13"/>
      <c r="J6" s="13"/>
    </row>
    <row r="7" spans="2:20" x14ac:dyDescent="0.35">
      <c r="B7" s="14" t="s">
        <v>26</v>
      </c>
      <c r="H7" s="13"/>
      <c r="I7" s="13"/>
      <c r="J7" s="14" t="s">
        <v>27</v>
      </c>
    </row>
    <row r="8" spans="2:20" x14ac:dyDescent="0.35">
      <c r="B8" s="15" t="s">
        <v>28</v>
      </c>
      <c r="C8" s="16">
        <f t="shared" ref="C8:G8" si="0">C17/$H$17</f>
        <v>0.23684210526315788</v>
      </c>
      <c r="D8" s="16">
        <f t="shared" si="0"/>
        <v>0.21052631578947367</v>
      </c>
      <c r="E8" s="16">
        <f t="shared" si="0"/>
        <v>0.28947368421052633</v>
      </c>
      <c r="F8" s="16">
        <f t="shared" si="0"/>
        <v>0.13157894736842105</v>
      </c>
      <c r="G8" s="16">
        <f t="shared" si="0"/>
        <v>0.13157894736842105</v>
      </c>
      <c r="H8" s="16">
        <f>H17/$H$17</f>
        <v>1</v>
      </c>
      <c r="I8" s="16"/>
      <c r="K8" s="23" t="s">
        <v>45</v>
      </c>
      <c r="L8" s="23"/>
      <c r="M8" s="23"/>
      <c r="N8" s="23"/>
      <c r="O8" s="23"/>
      <c r="P8" s="25" t="s">
        <v>33</v>
      </c>
      <c r="Q8" s="25"/>
      <c r="R8" s="25"/>
      <c r="S8" s="25"/>
      <c r="T8" s="25"/>
    </row>
    <row r="9" spans="2:20" ht="15" thickBot="1" x14ac:dyDescent="0.4"/>
    <row r="10" spans="2:20" s="3" customFormat="1" ht="58" x14ac:dyDescent="0.35">
      <c r="B10" s="4" t="s">
        <v>6</v>
      </c>
      <c r="C10" s="3" t="s">
        <v>60</v>
      </c>
      <c r="D10" s="3" t="s">
        <v>61</v>
      </c>
      <c r="E10" s="3" t="s">
        <v>62</v>
      </c>
      <c r="F10" s="3" t="s">
        <v>63</v>
      </c>
      <c r="G10" s="3" t="s">
        <v>64</v>
      </c>
      <c r="H10" s="6" t="s">
        <v>5</v>
      </c>
      <c r="J10" s="4" t="s">
        <v>6</v>
      </c>
      <c r="K10" s="3" t="s">
        <v>65</v>
      </c>
      <c r="L10" s="3" t="s">
        <v>94</v>
      </c>
      <c r="M10" s="3" t="s">
        <v>66</v>
      </c>
      <c r="N10" s="3" t="s">
        <v>67</v>
      </c>
      <c r="O10" s="3" t="s">
        <v>68</v>
      </c>
      <c r="P10" s="3" t="s">
        <v>69</v>
      </c>
      <c r="Q10" s="3" t="s">
        <v>70</v>
      </c>
      <c r="R10" s="3" t="s">
        <v>95</v>
      </c>
      <c r="S10" s="3" t="s">
        <v>96</v>
      </c>
      <c r="T10" s="3" t="s">
        <v>71</v>
      </c>
    </row>
    <row r="11" spans="2:20" x14ac:dyDescent="0.35">
      <c r="B11" s="2" t="s">
        <v>4</v>
      </c>
      <c r="C11" s="5">
        <v>0</v>
      </c>
      <c r="D11" s="5">
        <v>0</v>
      </c>
      <c r="E11" s="5">
        <v>0</v>
      </c>
      <c r="F11" s="5">
        <v>0</v>
      </c>
      <c r="G11" s="5">
        <v>2</v>
      </c>
      <c r="H11" s="7">
        <f>SUM(C11:G11)</f>
        <v>2</v>
      </c>
      <c r="J11" s="2" t="s">
        <v>4</v>
      </c>
      <c r="K11" s="5">
        <v>0</v>
      </c>
      <c r="L11" s="5">
        <v>0</v>
      </c>
      <c r="M11" s="5">
        <v>0</v>
      </c>
      <c r="N11" s="5">
        <v>0</v>
      </c>
      <c r="O11" s="5">
        <v>0</v>
      </c>
      <c r="P11" s="5">
        <v>0</v>
      </c>
      <c r="Q11" s="5">
        <v>0</v>
      </c>
      <c r="R11" s="5">
        <v>0</v>
      </c>
      <c r="S11" s="5">
        <v>0</v>
      </c>
      <c r="T11" s="5">
        <v>0</v>
      </c>
    </row>
    <row r="12" spans="2:20" x14ac:dyDescent="0.35">
      <c r="B12" s="2" t="s">
        <v>1</v>
      </c>
      <c r="C12" s="5">
        <v>1</v>
      </c>
      <c r="D12" s="5">
        <v>2</v>
      </c>
      <c r="E12" s="5">
        <v>0</v>
      </c>
      <c r="F12" s="5">
        <v>0</v>
      </c>
      <c r="G12" s="5">
        <v>2</v>
      </c>
      <c r="H12" s="7">
        <f t="shared" ref="H12:H16" si="1">SUM(C12:G12)</f>
        <v>5</v>
      </c>
      <c r="J12" s="2" t="s">
        <v>1</v>
      </c>
      <c r="K12" s="5">
        <v>0</v>
      </c>
      <c r="L12" s="5">
        <v>0</v>
      </c>
      <c r="M12" s="5">
        <v>0</v>
      </c>
      <c r="N12" s="5">
        <v>0</v>
      </c>
      <c r="O12" s="5">
        <v>2</v>
      </c>
      <c r="P12" s="5">
        <v>0</v>
      </c>
      <c r="Q12" s="5">
        <v>0</v>
      </c>
      <c r="R12" s="5">
        <v>0</v>
      </c>
      <c r="S12" s="5">
        <v>0</v>
      </c>
      <c r="T12" s="5">
        <v>0</v>
      </c>
    </row>
    <row r="13" spans="2:20" x14ac:dyDescent="0.35">
      <c r="B13" s="2" t="s">
        <v>3</v>
      </c>
      <c r="C13" s="5">
        <v>2</v>
      </c>
      <c r="D13" s="5">
        <v>1</v>
      </c>
      <c r="E13" s="5">
        <v>4</v>
      </c>
      <c r="F13" s="5">
        <v>3</v>
      </c>
      <c r="G13" s="5">
        <v>0</v>
      </c>
      <c r="H13" s="7">
        <f t="shared" si="1"/>
        <v>10</v>
      </c>
      <c r="J13" s="2" t="s">
        <v>3</v>
      </c>
      <c r="K13" s="5">
        <v>1</v>
      </c>
      <c r="L13" s="5">
        <v>1</v>
      </c>
      <c r="M13" s="5">
        <v>1</v>
      </c>
      <c r="N13" s="5">
        <v>1</v>
      </c>
      <c r="O13" s="5">
        <v>0</v>
      </c>
      <c r="P13" s="5">
        <v>2</v>
      </c>
      <c r="Q13" s="5">
        <v>2</v>
      </c>
      <c r="R13" s="5">
        <v>1</v>
      </c>
      <c r="S13" s="5">
        <v>0</v>
      </c>
      <c r="T13" s="5">
        <v>3</v>
      </c>
    </row>
    <row r="14" spans="2:20" x14ac:dyDescent="0.35">
      <c r="B14" s="2" t="s">
        <v>2</v>
      </c>
      <c r="C14" s="5">
        <v>1</v>
      </c>
      <c r="D14" s="5">
        <v>2</v>
      </c>
      <c r="E14" s="5">
        <v>2</v>
      </c>
      <c r="F14" s="5">
        <v>1</v>
      </c>
      <c r="G14" s="5">
        <v>0</v>
      </c>
      <c r="H14" s="7">
        <f t="shared" si="1"/>
        <v>6</v>
      </c>
      <c r="J14" s="2" t="s">
        <v>2</v>
      </c>
      <c r="K14" s="5">
        <v>1</v>
      </c>
      <c r="L14" s="5">
        <v>1</v>
      </c>
      <c r="M14" s="5">
        <v>2</v>
      </c>
      <c r="N14" s="5">
        <v>0</v>
      </c>
      <c r="O14" s="5">
        <v>0</v>
      </c>
      <c r="P14" s="5">
        <v>0</v>
      </c>
      <c r="Q14" s="5">
        <v>0</v>
      </c>
      <c r="R14" s="5">
        <v>1</v>
      </c>
      <c r="S14" s="5">
        <v>2</v>
      </c>
      <c r="T14" s="5">
        <v>1</v>
      </c>
    </row>
    <row r="15" spans="2:20" x14ac:dyDescent="0.35">
      <c r="B15" s="2" t="s">
        <v>0</v>
      </c>
      <c r="C15" s="5">
        <v>0</v>
      </c>
      <c r="D15" s="5">
        <v>0</v>
      </c>
      <c r="E15" s="5">
        <v>0</v>
      </c>
      <c r="F15" s="5">
        <v>0</v>
      </c>
      <c r="G15" s="5">
        <v>1</v>
      </c>
      <c r="H15" s="7">
        <f t="shared" si="1"/>
        <v>1</v>
      </c>
      <c r="J15" s="2" t="s">
        <v>0</v>
      </c>
      <c r="K15" s="5">
        <v>0</v>
      </c>
      <c r="L15" s="5">
        <v>0</v>
      </c>
      <c r="M15" s="5">
        <v>0</v>
      </c>
      <c r="N15" s="5">
        <v>0</v>
      </c>
      <c r="O15" s="5">
        <v>0</v>
      </c>
      <c r="P15" s="5">
        <v>0</v>
      </c>
      <c r="Q15" s="5">
        <v>0</v>
      </c>
      <c r="R15" s="5">
        <v>0</v>
      </c>
      <c r="S15" s="5">
        <v>0</v>
      </c>
      <c r="T15" s="5">
        <v>0</v>
      </c>
    </row>
    <row r="16" spans="2:20" x14ac:dyDescent="0.35">
      <c r="B16" s="2" t="s">
        <v>85</v>
      </c>
      <c r="C16" s="5">
        <v>5</v>
      </c>
      <c r="D16" s="5">
        <v>3</v>
      </c>
      <c r="E16" s="5">
        <v>5</v>
      </c>
      <c r="F16" s="5">
        <v>1</v>
      </c>
      <c r="G16" s="5">
        <v>0</v>
      </c>
      <c r="H16" s="7">
        <f t="shared" si="1"/>
        <v>14</v>
      </c>
      <c r="J16" s="2" t="s">
        <v>85</v>
      </c>
      <c r="K16" s="5">
        <v>1</v>
      </c>
      <c r="L16" s="5">
        <v>1</v>
      </c>
      <c r="M16" s="5">
        <v>2</v>
      </c>
      <c r="N16" s="5">
        <v>1</v>
      </c>
      <c r="O16" s="5">
        <v>1</v>
      </c>
      <c r="P16" s="5">
        <v>3</v>
      </c>
      <c r="Q16" s="5">
        <v>0</v>
      </c>
      <c r="R16" s="5">
        <v>0</v>
      </c>
      <c r="S16" s="5">
        <v>0</v>
      </c>
      <c r="T16" s="5">
        <v>2</v>
      </c>
    </row>
    <row r="17" spans="2:20" ht="15" thickBot="1" x14ac:dyDescent="0.4">
      <c r="B17" s="2" t="s">
        <v>7</v>
      </c>
      <c r="C17" s="5">
        <v>9</v>
      </c>
      <c r="D17" s="5">
        <v>8</v>
      </c>
      <c r="E17" s="5">
        <v>11</v>
      </c>
      <c r="F17" s="5">
        <v>5</v>
      </c>
      <c r="G17" s="5">
        <v>5</v>
      </c>
      <c r="H17" s="8">
        <f>SUM(H11:H16)</f>
        <v>38</v>
      </c>
      <c r="J17" s="2" t="s">
        <v>7</v>
      </c>
      <c r="K17" s="5">
        <v>3</v>
      </c>
      <c r="L17" s="5">
        <v>3</v>
      </c>
      <c r="M17" s="5">
        <v>5</v>
      </c>
      <c r="N17" s="5">
        <v>2</v>
      </c>
      <c r="O17" s="5">
        <v>3</v>
      </c>
      <c r="P17" s="5">
        <v>5</v>
      </c>
      <c r="Q17" s="5">
        <v>2</v>
      </c>
      <c r="R17" s="5">
        <v>2</v>
      </c>
      <c r="S17" s="5">
        <v>2</v>
      </c>
      <c r="T17" s="5">
        <v>6</v>
      </c>
    </row>
  </sheetData>
  <mergeCells count="3">
    <mergeCell ref="B4:H4"/>
    <mergeCell ref="P8:T8"/>
    <mergeCell ref="K8:O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6015E-2116-49AF-99EC-6147BA82D764}">
  <dimension ref="B1:L17"/>
  <sheetViews>
    <sheetView zoomScale="80" zoomScaleNormal="80" workbookViewId="0">
      <selection activeCell="C7" sqref="C7"/>
    </sheetView>
  </sheetViews>
  <sheetFormatPr defaultRowHeight="14.5" x14ac:dyDescent="0.35"/>
  <cols>
    <col min="1" max="1" width="4.453125" customWidth="1"/>
    <col min="2" max="2" width="52.81640625" bestFit="1" customWidth="1"/>
    <col min="3" max="8" width="24.26953125" customWidth="1"/>
    <col min="10" max="10" width="52.81640625" bestFit="1" customWidth="1"/>
    <col min="11" max="12" width="32.1796875" customWidth="1"/>
    <col min="13" max="14" width="30.453125" bestFit="1" customWidth="1"/>
  </cols>
  <sheetData>
    <row r="1" spans="2:12" ht="20" x14ac:dyDescent="0.4">
      <c r="B1" s="9" t="s">
        <v>29</v>
      </c>
      <c r="C1" s="10"/>
      <c r="D1" s="10"/>
      <c r="H1" s="11" t="s">
        <v>99</v>
      </c>
    </row>
    <row r="2" spans="2:12" ht="20" x14ac:dyDescent="0.4">
      <c r="B2" s="12"/>
      <c r="C2" s="10"/>
      <c r="D2" s="10"/>
      <c r="H2" s="11" t="s">
        <v>105</v>
      </c>
    </row>
    <row r="3" spans="2:12" ht="15" thickBot="1" x14ac:dyDescent="0.4"/>
    <row r="4" spans="2:12" ht="76.5" customHeight="1" thickBot="1" x14ac:dyDescent="0.4">
      <c r="B4" s="26" t="s">
        <v>78</v>
      </c>
      <c r="C4" s="27"/>
      <c r="D4" s="27"/>
      <c r="E4" s="27"/>
      <c r="F4" s="27"/>
      <c r="G4" s="27"/>
      <c r="H4" s="28"/>
      <c r="I4" s="13"/>
      <c r="J4" s="13"/>
    </row>
    <row r="5" spans="2:12" x14ac:dyDescent="0.35">
      <c r="H5" s="13"/>
      <c r="I5" s="13"/>
      <c r="J5" s="13"/>
    </row>
    <row r="6" spans="2:12" x14ac:dyDescent="0.35">
      <c r="H6" s="13"/>
      <c r="I6" s="13"/>
      <c r="J6" s="13"/>
    </row>
    <row r="7" spans="2:12" x14ac:dyDescent="0.35">
      <c r="B7" s="14" t="s">
        <v>26</v>
      </c>
      <c r="H7" s="13"/>
      <c r="I7" s="13"/>
      <c r="J7" s="14" t="s">
        <v>27</v>
      </c>
    </row>
    <row r="8" spans="2:12" x14ac:dyDescent="0.35">
      <c r="B8" s="15" t="s">
        <v>28</v>
      </c>
      <c r="C8" s="16">
        <f t="shared" ref="C8:G8" si="0">C17/$H$17</f>
        <v>0.36842105263157893</v>
      </c>
      <c r="D8" s="16">
        <f t="shared" si="0"/>
        <v>0.31578947368421051</v>
      </c>
      <c r="E8" s="16">
        <f t="shared" si="0"/>
        <v>7.8947368421052627E-2</v>
      </c>
      <c r="F8" s="16">
        <f t="shared" si="0"/>
        <v>2.6315789473684209E-2</v>
      </c>
      <c r="G8" s="16">
        <f t="shared" si="0"/>
        <v>0.21052631578947367</v>
      </c>
      <c r="H8" s="16">
        <f>H17/$H$17</f>
        <v>1</v>
      </c>
      <c r="I8" s="16"/>
    </row>
    <row r="9" spans="2:12" ht="15" thickBot="1" x14ac:dyDescent="0.4"/>
    <row r="10" spans="2:12" s="3" customFormat="1" ht="43.5" x14ac:dyDescent="0.35">
      <c r="B10" s="4" t="s">
        <v>6</v>
      </c>
      <c r="C10" s="3" t="s">
        <v>73</v>
      </c>
      <c r="D10" s="3" t="s">
        <v>74</v>
      </c>
      <c r="E10" s="3" t="s">
        <v>75</v>
      </c>
      <c r="F10" s="3" t="s">
        <v>76</v>
      </c>
      <c r="G10" s="3" t="s">
        <v>77</v>
      </c>
      <c r="H10" s="6"/>
      <c r="J10" s="4" t="s">
        <v>6</v>
      </c>
      <c r="K10" s="3" t="s">
        <v>97</v>
      </c>
      <c r="L10" s="3" t="s">
        <v>79</v>
      </c>
    </row>
    <row r="11" spans="2:12" x14ac:dyDescent="0.35">
      <c r="B11" s="2" t="s">
        <v>4</v>
      </c>
      <c r="C11" s="5">
        <v>0</v>
      </c>
      <c r="D11" s="5">
        <v>0</v>
      </c>
      <c r="E11" s="5">
        <v>0</v>
      </c>
      <c r="F11" s="5">
        <v>0</v>
      </c>
      <c r="G11" s="5">
        <v>2</v>
      </c>
      <c r="H11" s="7">
        <f>SUM(C11:G11)</f>
        <v>2</v>
      </c>
      <c r="J11" s="2" t="s">
        <v>4</v>
      </c>
      <c r="K11" s="5">
        <v>0</v>
      </c>
      <c r="L11" s="5">
        <v>0</v>
      </c>
    </row>
    <row r="12" spans="2:12" x14ac:dyDescent="0.35">
      <c r="B12" s="2" t="s">
        <v>1</v>
      </c>
      <c r="C12" s="5">
        <v>2</v>
      </c>
      <c r="D12" s="5">
        <v>1</v>
      </c>
      <c r="E12" s="5">
        <v>0</v>
      </c>
      <c r="F12" s="5">
        <v>0</v>
      </c>
      <c r="G12" s="5">
        <v>2</v>
      </c>
      <c r="H12" s="7">
        <f t="shared" ref="H12:H16" si="1">SUM(C12:G12)</f>
        <v>5</v>
      </c>
      <c r="J12" s="2" t="s">
        <v>1</v>
      </c>
      <c r="K12" s="5">
        <v>0</v>
      </c>
      <c r="L12" s="5">
        <v>1</v>
      </c>
    </row>
    <row r="13" spans="2:12" x14ac:dyDescent="0.35">
      <c r="B13" s="2" t="s">
        <v>3</v>
      </c>
      <c r="C13" s="5">
        <v>3</v>
      </c>
      <c r="D13" s="5">
        <v>4</v>
      </c>
      <c r="E13" s="5">
        <v>1</v>
      </c>
      <c r="F13" s="5">
        <v>1</v>
      </c>
      <c r="G13" s="5">
        <v>1</v>
      </c>
      <c r="H13" s="7">
        <f t="shared" si="1"/>
        <v>10</v>
      </c>
      <c r="J13" s="2" t="s">
        <v>3</v>
      </c>
      <c r="K13" s="5">
        <v>3</v>
      </c>
      <c r="L13" s="5">
        <v>1</v>
      </c>
    </row>
    <row r="14" spans="2:12" x14ac:dyDescent="0.35">
      <c r="B14" s="2" t="s">
        <v>2</v>
      </c>
      <c r="C14" s="5">
        <v>3</v>
      </c>
      <c r="D14" s="5">
        <v>2</v>
      </c>
      <c r="E14" s="5">
        <v>1</v>
      </c>
      <c r="F14" s="5">
        <v>0</v>
      </c>
      <c r="G14" s="5">
        <v>0</v>
      </c>
      <c r="H14" s="7">
        <f t="shared" si="1"/>
        <v>6</v>
      </c>
      <c r="J14" s="2" t="s">
        <v>2</v>
      </c>
      <c r="K14" s="5">
        <v>1</v>
      </c>
      <c r="L14" s="5">
        <v>1</v>
      </c>
    </row>
    <row r="15" spans="2:12" x14ac:dyDescent="0.35">
      <c r="B15" s="2" t="s">
        <v>0</v>
      </c>
      <c r="C15" s="5">
        <v>0</v>
      </c>
      <c r="D15" s="5">
        <v>0</v>
      </c>
      <c r="E15" s="5">
        <v>0</v>
      </c>
      <c r="F15" s="5">
        <v>0</v>
      </c>
      <c r="G15" s="5">
        <v>1</v>
      </c>
      <c r="H15" s="7">
        <f t="shared" si="1"/>
        <v>1</v>
      </c>
      <c r="J15" s="2" t="s">
        <v>0</v>
      </c>
      <c r="K15" s="5">
        <v>0</v>
      </c>
      <c r="L15" s="5">
        <v>0</v>
      </c>
    </row>
    <row r="16" spans="2:12" x14ac:dyDescent="0.35">
      <c r="B16" s="2" t="s">
        <v>85</v>
      </c>
      <c r="C16" s="5">
        <v>6</v>
      </c>
      <c r="D16" s="5">
        <v>5</v>
      </c>
      <c r="E16" s="5">
        <v>1</v>
      </c>
      <c r="F16" s="5">
        <v>0</v>
      </c>
      <c r="G16" s="5">
        <v>2</v>
      </c>
      <c r="H16" s="7">
        <f t="shared" si="1"/>
        <v>14</v>
      </c>
      <c r="J16" s="2" t="s">
        <v>85</v>
      </c>
      <c r="K16" s="5">
        <v>2</v>
      </c>
      <c r="L16" s="5">
        <v>3</v>
      </c>
    </row>
    <row r="17" spans="2:12" ht="15" thickBot="1" x14ac:dyDescent="0.4">
      <c r="B17" s="2" t="s">
        <v>7</v>
      </c>
      <c r="C17" s="5">
        <v>14</v>
      </c>
      <c r="D17" s="5">
        <v>12</v>
      </c>
      <c r="E17" s="5">
        <v>3</v>
      </c>
      <c r="F17" s="5">
        <v>1</v>
      </c>
      <c r="G17" s="5">
        <v>8</v>
      </c>
      <c r="H17" s="8">
        <f>SUM(H11:H16)</f>
        <v>38</v>
      </c>
      <c r="J17" s="2" t="s">
        <v>7</v>
      </c>
      <c r="K17" s="5">
        <v>6</v>
      </c>
      <c r="L17" s="5">
        <v>6</v>
      </c>
    </row>
  </sheetData>
  <mergeCells count="1">
    <mergeCell ref="B4: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 1</vt:lpstr>
      <vt:lpstr>Question 2B</vt:lpstr>
      <vt:lpstr>Question 2A(a)</vt:lpstr>
      <vt:lpstr>Question 2A(b)</vt:lpstr>
      <vt:lpstr>Question 3</vt:lpstr>
      <vt:lpstr>Question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Kalina Shukarova Savovska</cp:lastModifiedBy>
  <dcterms:created xsi:type="dcterms:W3CDTF">2023-01-11T19:49:06Z</dcterms:created>
  <dcterms:modified xsi:type="dcterms:W3CDTF">2023-02-15T16:01:08Z</dcterms:modified>
</cp:coreProperties>
</file>