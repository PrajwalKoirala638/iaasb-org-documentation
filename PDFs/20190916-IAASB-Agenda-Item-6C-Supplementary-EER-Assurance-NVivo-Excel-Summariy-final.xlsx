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2.xml" ContentType="application/vnd.openxmlformats-officedocument.spreadsheetml.pivot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3.xml" ContentType="application/vnd.openxmlformats-officedocument.spreadsheetml.table+xml"/>
  <Override PartName="/xl/tables/table14.xml" ContentType="application/vnd.openxmlformats-officedocument.spreadsheetml.table+xml"/>
  <Override PartName="/xl/pivotTables/pivotTable11.xml" ContentType="application/vnd.openxmlformats-officedocument.spreadsheetml.pivotTable+xml"/>
  <Override PartName="/xl/tables/table15.xml" ContentType="application/vnd.openxmlformats-officedocument.spreadsheetml.table+xml"/>
  <Override PartName="/xl/pivotTables/pivotTable12.xml" ContentType="application/vnd.openxmlformats-officedocument.spreadsheetml.pivotTable+xml"/>
  <Override PartName="/xl/tables/table16.xml" ContentType="application/vnd.openxmlformats-officedocument.spreadsheetml.tab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S:\IAASB\Meetings\2019\September 2019\Agenda Papers\EER\"/>
    </mc:Choice>
  </mc:AlternateContent>
  <xr:revisionPtr revIDLastSave="0" documentId="13_ncr:1_{4EB69651-EF50-474E-820B-4D9DE9E772E6}" xr6:coauthVersionLast="41" xr6:coauthVersionMax="41" xr10:uidLastSave="{00000000-0000-0000-0000-000000000000}"/>
  <bookViews>
    <workbookView xWindow="23880" yWindow="-120" windowWidth="24240" windowHeight="13740" tabRatio="1000" firstSheet="2" activeTab="2" xr2:uid="{00000000-000D-0000-FFFF-FFFF00000000}"/>
  </bookViews>
  <sheets>
    <sheet name="Q1 Category Data" sheetId="32" state="hidden" r:id="rId1"/>
    <sheet name="Sheet6" sheetId="46" state="hidden" r:id="rId2"/>
    <sheet name="6C-1 Question 1" sheetId="19" r:id="rId3"/>
    <sheet name="Q1 Category-Data" sheetId="2" state="hidden" r:id="rId4"/>
    <sheet name="Q1 Theme Data" sheetId="39" state="hidden" r:id="rId5"/>
    <sheet name="Sheet2" sheetId="41" state="hidden" r:id="rId6"/>
    <sheet name="Sheet3" sheetId="43" state="hidden" r:id="rId7"/>
    <sheet name="Sheet4" sheetId="44" state="hidden" r:id="rId8"/>
    <sheet name="Sheet5" sheetId="45" state="hidden" r:id="rId9"/>
    <sheet name="Sheet7" sheetId="47" state="hidden" r:id="rId10"/>
    <sheet name="6C-1.1 Q 1 Themes" sheetId="20" r:id="rId11"/>
    <sheet name="Q1 Theme-Data" sheetId="4" state="hidden" r:id="rId12"/>
    <sheet name="Sheet8" sheetId="48" state="hidden" r:id="rId13"/>
    <sheet name="Sheet9" sheetId="49" state="hidden" r:id="rId14"/>
    <sheet name="Sheet10" sheetId="50" state="hidden" r:id="rId15"/>
    <sheet name="Sheet11" sheetId="51" state="hidden" r:id="rId16"/>
    <sheet name="6C-2 Question 2" sheetId="21" r:id="rId17"/>
    <sheet name="Q2 Category-Data" sheetId="1" state="hidden" r:id="rId18"/>
    <sheet name="6C-2.1 Q2 Themes" sheetId="22" r:id="rId19"/>
    <sheet name="Q2 Theme-Data" sheetId="5" state="hidden" r:id="rId20"/>
    <sheet name="6C-3 Question 3" sheetId="23" r:id="rId21"/>
    <sheet name="6C3.1 Q3 Themes" sheetId="24" r:id="rId22"/>
    <sheet name="6C-4 Question 4" sheetId="25" r:id="rId23"/>
    <sheet name="6C-4.1 Q4 Themes" sheetId="26" r:id="rId24"/>
    <sheet name="6C-5 Question 5" sheetId="27" r:id="rId25"/>
    <sheet name="6C-5.1 Q5 Themes" sheetId="28" r:id="rId26"/>
    <sheet name="Q6 Category Data" sheetId="37" state="hidden" r:id="rId27"/>
    <sheet name="Sheet12" sheetId="52" state="hidden" r:id="rId28"/>
    <sheet name="6C-6 Question 6" sheetId="29" r:id="rId29"/>
    <sheet name="Q6Theme Data" sheetId="38" state="hidden" r:id="rId30"/>
    <sheet name="6C6.1 Q6 Themes" sheetId="30" r:id="rId31"/>
    <sheet name="Q3 Category-Data" sheetId="6" state="hidden" r:id="rId32"/>
    <sheet name="Q3 Theme-Data" sheetId="7" state="hidden" r:id="rId33"/>
    <sheet name="Q4 Category-Data" sheetId="8" state="hidden" r:id="rId34"/>
    <sheet name="Q4 Theme-Data" sheetId="9" state="hidden" r:id="rId35"/>
    <sheet name="Q5 Category-Data" sheetId="10" state="hidden" r:id="rId36"/>
    <sheet name="Q5 Theme-Data" sheetId="11" state="hidden" r:id="rId37"/>
    <sheet name="Q6 Category-Data" sheetId="12" state="hidden" r:id="rId38"/>
    <sheet name="Q6 Theme-Data" sheetId="13" state="hidden" r:id="rId39"/>
    <sheet name="Q7 Category Data" sheetId="36" state="hidden" r:id="rId40"/>
    <sheet name="6C-7 Question 7" sheetId="31" r:id="rId41"/>
    <sheet name="Sheet1" sheetId="42" state="hidden" r:id="rId42"/>
    <sheet name="Respondent" sheetId="3" state="hidden" r:id="rId43"/>
    <sheet name="Q7 Category-Data" sheetId="15" state="hidden" r:id="rId44"/>
  </sheets>
  <definedNames>
    <definedName name="_xlnm.Print_Area" localSheetId="28">'6C-6 Question 6'!$A$1:$E$23</definedName>
    <definedName name="_xlnm.Print_Titles" localSheetId="2">'6C-1 Question 1'!$A:$A,'6C-1 Question 1'!$13:$15</definedName>
    <definedName name="_xlnm.Print_Titles" localSheetId="10">'6C-1.1 Q 1 Themes'!$A:$A,'6C-1.1 Q 1 Themes'!$15:$15</definedName>
    <definedName name="_xlnm.Print_Titles" localSheetId="16">'6C-2 Question 2'!$A:$A,'6C-2 Question 2'!$13:$15</definedName>
    <definedName name="_xlnm.Print_Titles" localSheetId="18">'6C-2.1 Q2 Themes'!$A:$A,'6C-2.1 Q2 Themes'!$15:$15</definedName>
    <definedName name="_xlnm.Print_Titles" localSheetId="20">'6C-3 Question 3'!$A:$A,'6C-3 Question 3'!$13:$15</definedName>
    <definedName name="_xlnm.Print_Titles" localSheetId="21">'6C3.1 Q3 Themes'!$A:$A,'6C3.1 Q3 Themes'!$15:$15</definedName>
    <definedName name="_xlnm.Print_Titles" localSheetId="22">'6C-4 Question 4'!$A:$A,'6C-4 Question 4'!$13:$15</definedName>
    <definedName name="_xlnm.Print_Titles" localSheetId="23">'6C-4.1 Q4 Themes'!$A:$A,'6C-4.1 Q4 Themes'!$15:$15</definedName>
    <definedName name="_xlnm.Print_Titles" localSheetId="24">'6C-5 Question 5'!$A:$A,'6C-5 Question 5'!$13:$15</definedName>
    <definedName name="_xlnm.Print_Titles" localSheetId="25">'6C-5.1 Q5 Themes'!$A:$A,'6C-5.1 Q5 Themes'!$15:$15</definedName>
    <definedName name="_xlnm.Print_Titles" localSheetId="28">'6C-6 Question 6'!$A:$A,'6C-6 Question 6'!$14:$14</definedName>
    <definedName name="_xlnm.Print_Titles" localSheetId="30">'6C6.1 Q6 Themes'!$A:$A,'6C6.1 Q6 Themes'!$15:$15</definedName>
    <definedName name="_xlnm.Print_Titles" localSheetId="40">'6C-7 Question 7'!$A:$A,'6C-7 Question 7'!$10:$12</definedName>
  </definedNames>
  <calcPr calcId="191029"/>
  <pivotCaches>
    <pivotCache cacheId="88" r:id="rId45"/>
    <pivotCache cacheId="92" r:id="rId46"/>
    <pivotCache cacheId="96" r:id="rId47"/>
    <pivotCache cacheId="100" r:id="rId48"/>
    <pivotCache cacheId="104" r:id="rId49"/>
    <pivotCache cacheId="108" r:id="rId50"/>
    <pivotCache cacheId="112" r:id="rId51"/>
    <pivotCache cacheId="116" r:id="rId52"/>
    <pivotCache cacheId="120" r:id="rId53"/>
    <pivotCache cacheId="124" r:id="rId54"/>
    <pivotCache cacheId="128" r:id="rId55"/>
    <pivotCache cacheId="132" r:id="rId56"/>
    <pivotCache cacheId="136" r:id="rId57"/>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55" i="32" l="1"/>
  <c r="G55" i="32"/>
  <c r="F55" i="32"/>
  <c r="E55" i="32"/>
  <c r="L55" i="38"/>
  <c r="F55" i="37"/>
  <c r="E55" i="37"/>
  <c r="G53" i="37"/>
  <c r="H53" i="37" s="1"/>
  <c r="G52" i="37"/>
  <c r="H52" i="37" s="1"/>
  <c r="G50" i="37"/>
  <c r="H50" i="37" s="1"/>
  <c r="G49" i="37"/>
  <c r="H49" i="37" s="1"/>
  <c r="G48" i="37"/>
  <c r="H48" i="37" s="1"/>
  <c r="G47" i="37"/>
  <c r="H47" i="37" s="1"/>
  <c r="G46" i="37"/>
  <c r="H46" i="37" s="1"/>
  <c r="G45" i="37"/>
  <c r="H45" i="37" s="1"/>
  <c r="G44" i="37"/>
  <c r="H44" i="37" s="1"/>
  <c r="G43" i="37"/>
  <c r="H43" i="37" s="1"/>
  <c r="G42" i="37"/>
  <c r="H42" i="37" s="1"/>
  <c r="G41" i="37"/>
  <c r="H41" i="37" s="1"/>
  <c r="G40" i="37"/>
  <c r="H40" i="37" s="1"/>
  <c r="G39" i="37"/>
  <c r="H39" i="37" s="1"/>
  <c r="G38" i="37"/>
  <c r="H38" i="37" s="1"/>
  <c r="G37" i="37"/>
  <c r="H37" i="37" s="1"/>
  <c r="G36" i="37"/>
  <c r="H36" i="37" s="1"/>
  <c r="G35" i="37"/>
  <c r="H35" i="37" s="1"/>
  <c r="G34" i="37"/>
  <c r="H34" i="37" s="1"/>
  <c r="G33" i="37"/>
  <c r="H33" i="37" s="1"/>
  <c r="G32" i="37"/>
  <c r="H32" i="37" s="1"/>
  <c r="G31" i="37"/>
  <c r="H31" i="37" s="1"/>
  <c r="G30" i="37"/>
  <c r="H30" i="37" s="1"/>
  <c r="G29" i="37"/>
  <c r="H29" i="37" s="1"/>
  <c r="G28" i="37"/>
  <c r="H28" i="37" s="1"/>
  <c r="G27" i="37"/>
  <c r="H27" i="37" s="1"/>
  <c r="G26" i="37"/>
  <c r="H26" i="37" s="1"/>
  <c r="G25" i="37"/>
  <c r="H25" i="37" s="1"/>
  <c r="G24" i="37"/>
  <c r="H24" i="37" s="1"/>
  <c r="G23" i="37"/>
  <c r="H23" i="37" s="1"/>
  <c r="G22" i="37"/>
  <c r="H22" i="37" s="1"/>
  <c r="G21" i="37"/>
  <c r="H21" i="37" s="1"/>
  <c r="G20" i="37"/>
  <c r="H20" i="37" s="1"/>
  <c r="G19" i="37"/>
  <c r="H19" i="37" s="1"/>
  <c r="G18" i="37"/>
  <c r="H18" i="37" s="1"/>
  <c r="G17" i="37"/>
  <c r="H17" i="37" s="1"/>
  <c r="G16" i="37"/>
  <c r="H16" i="37" s="1"/>
  <c r="G15" i="37"/>
  <c r="H15" i="37" s="1"/>
  <c r="G14" i="37"/>
  <c r="H14" i="37" s="1"/>
  <c r="G13" i="37"/>
  <c r="H13" i="37" s="1"/>
  <c r="G12" i="37"/>
  <c r="H12" i="37" s="1"/>
  <c r="G11" i="37"/>
  <c r="H11" i="37" s="1"/>
  <c r="G10" i="37"/>
  <c r="H10" i="37" s="1"/>
  <c r="G9" i="37"/>
  <c r="H9" i="37" s="1"/>
  <c r="G8" i="37"/>
  <c r="H8" i="37" s="1"/>
  <c r="G7" i="37"/>
  <c r="H7" i="37" s="1"/>
  <c r="G6" i="37"/>
  <c r="H6" i="37" s="1"/>
  <c r="G5" i="37"/>
  <c r="H5" i="37" s="1"/>
  <c r="G4" i="37"/>
  <c r="H4" i="37" s="1"/>
  <c r="G3" i="37"/>
  <c r="H3" i="37" s="1"/>
  <c r="G2" i="37"/>
  <c r="H2" i="37" s="1"/>
  <c r="G51" i="37"/>
  <c r="H51" i="37" s="1"/>
  <c r="J53" i="36"/>
  <c r="J52" i="36"/>
  <c r="J51" i="36"/>
  <c r="J50" i="36"/>
  <c r="J49" i="36"/>
  <c r="J48" i="36"/>
  <c r="J47" i="36"/>
  <c r="J46" i="36"/>
  <c r="J45" i="36"/>
  <c r="J44" i="36"/>
  <c r="J43" i="36"/>
  <c r="J42" i="36"/>
  <c r="J41" i="36"/>
  <c r="J40" i="36"/>
  <c r="J39" i="36"/>
  <c r="J38" i="36"/>
  <c r="J37" i="36"/>
  <c r="J36" i="36"/>
  <c r="J35" i="36"/>
  <c r="J34" i="36"/>
  <c r="J33" i="36"/>
  <c r="J32" i="36"/>
  <c r="J31" i="36"/>
  <c r="J30" i="36"/>
  <c r="J29" i="36"/>
  <c r="J28" i="36"/>
  <c r="J27" i="36"/>
  <c r="J26" i="36"/>
  <c r="J25" i="36"/>
  <c r="J24" i="36"/>
  <c r="J23" i="36"/>
  <c r="J22" i="36"/>
  <c r="J21" i="36"/>
  <c r="J20" i="36"/>
  <c r="J19" i="36"/>
  <c r="J18" i="36"/>
  <c r="J17" i="36"/>
  <c r="J16" i="36"/>
  <c r="J15" i="36"/>
  <c r="J14" i="36"/>
  <c r="J13" i="36"/>
  <c r="J12" i="36"/>
  <c r="J11" i="36"/>
  <c r="J10" i="36"/>
  <c r="J9" i="36"/>
  <c r="J8" i="36"/>
  <c r="J7" i="36"/>
  <c r="J6" i="36"/>
  <c r="J5" i="36"/>
  <c r="J4" i="36"/>
  <c r="J3" i="36"/>
  <c r="J2" i="36"/>
  <c r="C13" i="25"/>
  <c r="B13" i="27"/>
  <c r="D13" i="23"/>
  <c r="C13" i="27"/>
  <c r="B13" i="25"/>
  <c r="E13" i="27"/>
  <c r="C13" i="23"/>
  <c r="D13" i="27"/>
  <c r="E13" i="25"/>
  <c r="B13" i="23"/>
  <c r="D13" i="25"/>
  <c r="F13" i="25" l="1"/>
  <c r="E13" i="23"/>
  <c r="F13" i="27"/>
  <c r="H55" i="37"/>
  <c r="G55" i="37"/>
  <c r="J53" i="15"/>
  <c r="J52" i="15"/>
  <c r="J51" i="15"/>
  <c r="J50" i="15"/>
  <c r="J49" i="15"/>
  <c r="J48" i="15"/>
  <c r="J47" i="15"/>
  <c r="J46" i="15"/>
  <c r="J45" i="15"/>
  <c r="J44" i="15"/>
  <c r="J43" i="15"/>
  <c r="J42" i="15"/>
  <c r="J41" i="15"/>
  <c r="J40" i="15"/>
  <c r="J39" i="15"/>
  <c r="J38" i="15"/>
  <c r="J37" i="15"/>
  <c r="J36" i="15"/>
  <c r="J35" i="15"/>
  <c r="J34" i="15"/>
  <c r="J33" i="15"/>
  <c r="J32" i="15"/>
  <c r="J31" i="15"/>
  <c r="J30" i="15"/>
  <c r="J29" i="15"/>
  <c r="J28" i="15"/>
  <c r="J27" i="15"/>
  <c r="J26" i="15"/>
  <c r="J25" i="15"/>
  <c r="J24" i="15"/>
  <c r="J23" i="15"/>
  <c r="J22" i="15"/>
  <c r="J21" i="15"/>
  <c r="J20" i="15"/>
  <c r="J19" i="15"/>
  <c r="J18" i="15"/>
  <c r="J17" i="15"/>
  <c r="J16" i="15"/>
  <c r="J15" i="15"/>
  <c r="J14" i="15"/>
  <c r="J13" i="15"/>
  <c r="J12" i="15"/>
  <c r="J11" i="15"/>
  <c r="J10" i="15"/>
  <c r="J9" i="15"/>
  <c r="J8" i="15"/>
  <c r="J7" i="15"/>
  <c r="J6" i="15"/>
  <c r="J5" i="15"/>
  <c r="J4" i="15"/>
  <c r="J3" i="15"/>
  <c r="J2" i="15"/>
  <c r="H53" i="12" l="1"/>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H4" i="12"/>
  <c r="H3" i="12"/>
  <c r="H2" i="12"/>
  <c r="I53" i="10"/>
  <c r="I52" i="10"/>
  <c r="I51" i="10"/>
  <c r="I50" i="10"/>
  <c r="I49" i="10"/>
  <c r="I48" i="10"/>
  <c r="I47" i="10"/>
  <c r="I46" i="10"/>
  <c r="I45" i="10"/>
  <c r="I44" i="10"/>
  <c r="I43" i="10"/>
  <c r="I42" i="10"/>
  <c r="I41" i="10"/>
  <c r="I40" i="10"/>
  <c r="I39" i="10"/>
  <c r="I38" i="10"/>
  <c r="I37" i="10"/>
  <c r="I36" i="10"/>
  <c r="I35" i="10"/>
  <c r="I34" i="10"/>
  <c r="I33" i="10"/>
  <c r="I32" i="10"/>
  <c r="I31" i="10"/>
  <c r="I30" i="10"/>
  <c r="I29" i="10"/>
  <c r="I28" i="10"/>
  <c r="I27" i="10"/>
  <c r="I26" i="10"/>
  <c r="I25" i="10"/>
  <c r="I24" i="10"/>
  <c r="I23" i="10"/>
  <c r="I22" i="10"/>
  <c r="I21" i="10"/>
  <c r="I20" i="10"/>
  <c r="I19" i="10"/>
  <c r="I18" i="10"/>
  <c r="I17" i="10"/>
  <c r="I16" i="10"/>
  <c r="I15" i="10"/>
  <c r="I14" i="10"/>
  <c r="I13" i="10"/>
  <c r="I12" i="10"/>
  <c r="I11" i="10"/>
  <c r="I10" i="10"/>
  <c r="I9" i="10"/>
  <c r="I8" i="10"/>
  <c r="I7" i="10"/>
  <c r="I6" i="10"/>
  <c r="I5" i="10"/>
  <c r="I4" i="10"/>
  <c r="I3" i="10"/>
  <c r="I2" i="10"/>
  <c r="I53" i="8"/>
  <c r="I52" i="8"/>
  <c r="I51" i="8"/>
  <c r="I50" i="8"/>
  <c r="I49" i="8"/>
  <c r="I48" i="8"/>
  <c r="I47" i="8"/>
  <c r="I46" i="8"/>
  <c r="I45" i="8"/>
  <c r="I44" i="8"/>
  <c r="I43" i="8"/>
  <c r="I42" i="8"/>
  <c r="I41" i="8"/>
  <c r="I40" i="8"/>
  <c r="I39" i="8"/>
  <c r="I38" i="8"/>
  <c r="I37" i="8"/>
  <c r="I36" i="8"/>
  <c r="I35" i="8"/>
  <c r="I34"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I2" i="8"/>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6" i="6"/>
  <c r="H5" i="6"/>
  <c r="H4" i="6"/>
  <c r="H3" i="6"/>
  <c r="H2" i="6"/>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13" i="21"/>
  <c r="B13" i="21"/>
  <c r="D13" i="21"/>
  <c r="E13" i="21" l="1"/>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D13" i="19"/>
  <c r="C13" i="19"/>
  <c r="B13" i="19"/>
  <c r="E13" i="19" l="1"/>
</calcChain>
</file>

<file path=xl/sharedStrings.xml><?xml version="1.0" encoding="utf-8"?>
<sst xmlns="http://schemas.openxmlformats.org/spreadsheetml/2006/main" count="4720" uniqueCount="305">
  <si>
    <t>Asia Pacific</t>
  </si>
  <si>
    <t>Cases\\36. ICAEW</t>
  </si>
  <si>
    <t>Respondent</t>
  </si>
  <si>
    <t>7. Academics</t>
  </si>
  <si>
    <t>Cases\\37. ICAG</t>
  </si>
  <si>
    <t>Cases\\07. IDW</t>
  </si>
  <si>
    <t>Cases\\28. EFAA</t>
  </si>
  <si>
    <t>Cases\\38. ICAS</t>
  </si>
  <si>
    <t>Cases\\50. BARNARD</t>
  </si>
  <si>
    <t>Global</t>
  </si>
  <si>
    <t>Cases\\22. AE</t>
  </si>
  <si>
    <t>Cases\\14. DTT</t>
  </si>
  <si>
    <t>Cases\\24. AIPS</t>
  </si>
  <si>
    <t>South America</t>
  </si>
  <si>
    <t>Cases\\48. WPK</t>
  </si>
  <si>
    <t>Cases\\25. ASSIREVI</t>
  </si>
  <si>
    <t>Cases\\06. HKICPA</t>
  </si>
  <si>
    <t>Cases\\32. GRI</t>
  </si>
  <si>
    <t>Cases\\41. ISCA</t>
  </si>
  <si>
    <t>Cases\\30. FAR</t>
  </si>
  <si>
    <t>Cases\\39. ICPAU</t>
  </si>
  <si>
    <t>5. Public Sector Organizations</t>
  </si>
  <si>
    <t>Cases\\05. CNCC-CSOEC</t>
  </si>
  <si>
    <t>Cases\\08. JICPA</t>
  </si>
  <si>
    <t>Cases\\33. IAAA</t>
  </si>
  <si>
    <t>Cases\\27. CPAC</t>
  </si>
  <si>
    <t>Cases\\21. ACCA-CAANZ</t>
  </si>
  <si>
    <t>Cases\\43. NASBA</t>
  </si>
  <si>
    <t>Cases\\26. CPAA</t>
  </si>
  <si>
    <t>Cases\\20. GAO</t>
  </si>
  <si>
    <t>6. Member Bodies and Other Professional Organizations</t>
  </si>
  <si>
    <t>Cases\\47. WICI</t>
  </si>
  <si>
    <t>Middle East and Africa</t>
  </si>
  <si>
    <t>Cases\\09. MAASB</t>
  </si>
  <si>
    <t>2. Regulators and Oversight Authorities</t>
  </si>
  <si>
    <t>North America</t>
  </si>
  <si>
    <t>Cases\\13. CG</t>
  </si>
  <si>
    <t>Cases\\44. PAIB</t>
  </si>
  <si>
    <t>Cases\\40. IPA</t>
  </si>
  <si>
    <t>8. Individuals and Others</t>
  </si>
  <si>
    <t>Cases\\16. GTI</t>
  </si>
  <si>
    <t>Cases\\19. PwC</t>
  </si>
  <si>
    <t>Cases\\29. FACPCE</t>
  </si>
  <si>
    <t>Cases\\51. CAATAS</t>
  </si>
  <si>
    <t>Europe</t>
  </si>
  <si>
    <t>Cases\\52. SCHNEIDER</t>
  </si>
  <si>
    <t>Cases\\10. NBA</t>
  </si>
  <si>
    <t>Cases\\49. DU</t>
  </si>
  <si>
    <t>Cases\\04. AUASB</t>
  </si>
  <si>
    <t>Cases\\03. IRBA</t>
  </si>
  <si>
    <t>Cases\\15. EYG</t>
  </si>
  <si>
    <t>Cases\\34. IIA</t>
  </si>
  <si>
    <t>Cases\\01. CRUF</t>
  </si>
  <si>
    <t>Cases\\35. IIRC</t>
  </si>
  <si>
    <t>Cases\\18. MZS</t>
  </si>
  <si>
    <t>Cases\\12. BDO</t>
  </si>
  <si>
    <t>Cases\\02. CFC</t>
  </si>
  <si>
    <t>4. Accounting Firms</t>
  </si>
  <si>
    <t>1. Investors and Analysts</t>
  </si>
  <si>
    <t>Cases\\46. SASB</t>
  </si>
  <si>
    <t>Cases\\45. SAICA</t>
  </si>
  <si>
    <t>Cases\\11. NZAASB</t>
  </si>
  <si>
    <t>Region</t>
  </si>
  <si>
    <t>Cases\\17. KPMG</t>
  </si>
  <si>
    <t>3. National Auditing Standard Setters</t>
  </si>
  <si>
    <t>Classification</t>
  </si>
  <si>
    <t>Cases\\31. FSR</t>
  </si>
  <si>
    <t>Cases\\23. AICPA</t>
  </si>
  <si>
    <t>Cases\\42. MICPA</t>
  </si>
  <si>
    <t>1. Agreed</t>
  </si>
  <si>
    <t>2. Agree but with futher comments</t>
  </si>
  <si>
    <t>3. Disagreed</t>
  </si>
  <si>
    <t>01. CRUF</t>
  </si>
  <si>
    <t>02. CFC</t>
  </si>
  <si>
    <t>03. IRBA</t>
  </si>
  <si>
    <t>04. AUASB</t>
  </si>
  <si>
    <t>05. CNCC-CSOEC</t>
  </si>
  <si>
    <t>06. HKICPA</t>
  </si>
  <si>
    <t>07. IDW</t>
  </si>
  <si>
    <t>08. JICPA</t>
  </si>
  <si>
    <t>09. MAASB</t>
  </si>
  <si>
    <t>10. NBA</t>
  </si>
  <si>
    <t>11. NZAASB</t>
  </si>
  <si>
    <t>12. BDO</t>
  </si>
  <si>
    <t>13. CG</t>
  </si>
  <si>
    <t>14. DTT</t>
  </si>
  <si>
    <t>15. EYG</t>
  </si>
  <si>
    <t>16. GTI</t>
  </si>
  <si>
    <t>17. KPMG</t>
  </si>
  <si>
    <t>18. MZS</t>
  </si>
  <si>
    <t>19. PwC</t>
  </si>
  <si>
    <t>20. GAO</t>
  </si>
  <si>
    <t>21. ACCA-CAANZ</t>
  </si>
  <si>
    <t>22. AE</t>
  </si>
  <si>
    <t>23. AICPA</t>
  </si>
  <si>
    <t>24. AIPS</t>
  </si>
  <si>
    <t>25. ASSIREVI</t>
  </si>
  <si>
    <t>26. CPAA</t>
  </si>
  <si>
    <t>27. CPAC</t>
  </si>
  <si>
    <t>28. EFAA</t>
  </si>
  <si>
    <t>29. FACPCE</t>
  </si>
  <si>
    <t>30. FAR</t>
  </si>
  <si>
    <t>31. FSR</t>
  </si>
  <si>
    <t>32. GRI</t>
  </si>
  <si>
    <t>33. IAAA</t>
  </si>
  <si>
    <t>34. IIA</t>
  </si>
  <si>
    <t>35. IIRC</t>
  </si>
  <si>
    <t>36. ICAEW</t>
  </si>
  <si>
    <t>37. ICAG</t>
  </si>
  <si>
    <t>38. ICAS</t>
  </si>
  <si>
    <t>39. ICPAU</t>
  </si>
  <si>
    <t>40. IPA</t>
  </si>
  <si>
    <t>41. ISCA</t>
  </si>
  <si>
    <t>42. MICPA</t>
  </si>
  <si>
    <t>43. NASBA</t>
  </si>
  <si>
    <t>44. PAIB</t>
  </si>
  <si>
    <t>45. SAICA</t>
  </si>
  <si>
    <t>46. SASB</t>
  </si>
  <si>
    <t>47. WICI</t>
  </si>
  <si>
    <t>48. WPK</t>
  </si>
  <si>
    <t>49. DU</t>
  </si>
  <si>
    <t>50. BARNARD</t>
  </si>
  <si>
    <t>51. CAATAS</t>
  </si>
  <si>
    <t>52. SCHNEIDER</t>
  </si>
  <si>
    <t>Total</t>
  </si>
  <si>
    <t>Sum of 1. Agreed</t>
  </si>
  <si>
    <t>Grand Total</t>
  </si>
  <si>
    <t>Sum of 2. Agree but with futher comments</t>
  </si>
  <si>
    <t>Sum of 3. Disagreed</t>
  </si>
  <si>
    <t>Sum of Total</t>
  </si>
  <si>
    <t>Percentage</t>
  </si>
  <si>
    <t>Assertions</t>
  </si>
  <si>
    <t>Financial information in EER reports</t>
  </si>
  <si>
    <t>Governance and internal control</t>
  </si>
  <si>
    <t>Impact of technological advancements</t>
  </si>
  <si>
    <t>Limited and reasonable assurance</t>
  </si>
  <si>
    <t>Materiality considerations</t>
  </si>
  <si>
    <t>'Materiality process' for developing the criteria</t>
  </si>
  <si>
    <t>Narrative and future-oriented Information</t>
  </si>
  <si>
    <t>Other (non-project proposal or allocated to phase 2)</t>
  </si>
  <si>
    <t>Other information in an EER report</t>
  </si>
  <si>
    <t>Preconditions</t>
  </si>
  <si>
    <t>Quality control and ethics (ISQC 1 and IESBA)</t>
  </si>
  <si>
    <t>Scope of guidance - Clarify EER, intended audience and purpose</t>
  </si>
  <si>
    <t>Using the work of others</t>
  </si>
  <si>
    <t>Country specific considerations</t>
  </si>
  <si>
    <t>Practical application</t>
  </si>
  <si>
    <t>Scoping</t>
  </si>
  <si>
    <t>Sum of Assertions</t>
  </si>
  <si>
    <t>Sum of Financial information in EER reports</t>
  </si>
  <si>
    <t>Sum of Governance and internal control</t>
  </si>
  <si>
    <t>Sum of Impact of technological advancements</t>
  </si>
  <si>
    <t>Sum of Materiality considerations</t>
  </si>
  <si>
    <t>Sum of 'Materiality process' for developing the criteria</t>
  </si>
  <si>
    <t>Sum of Narrative and future-oriented Information</t>
  </si>
  <si>
    <t>Sum of Other (non-project proposal or allocated to phase 2)</t>
  </si>
  <si>
    <t>Sum of Other information in an EER report</t>
  </si>
  <si>
    <t>Sum of Preconditions</t>
  </si>
  <si>
    <t>Sum of Quality control and ethics (ISQC 1 and IESBA)</t>
  </si>
  <si>
    <t>Sum of Scope of guidance - Clarify EER, intended audience and purpose</t>
  </si>
  <si>
    <t>Sum of Using the work of others</t>
  </si>
  <si>
    <t>Sum of Country specific considerations</t>
  </si>
  <si>
    <t>Sum of Limited and reasonable assurance2</t>
  </si>
  <si>
    <t>Sum of Other (non-project proposal or allocated to phase 2)2</t>
  </si>
  <si>
    <t>Sum of Practical application</t>
  </si>
  <si>
    <t>Sum of Scoping</t>
  </si>
  <si>
    <t>Differentiate preparer and practitioner material</t>
  </si>
  <si>
    <t>Digitalize presentation including use of hyperlinks</t>
  </si>
  <si>
    <t>Examples and diagrams</t>
  </si>
  <si>
    <t>Guidance complex and conceptual</t>
  </si>
  <si>
    <t>Length of guidance</t>
  </si>
  <si>
    <t>Repetition of ISAE 3000 material</t>
  </si>
  <si>
    <t>Terminology</t>
  </si>
  <si>
    <t>Sum of Differentiate preparer and practitioner material</t>
  </si>
  <si>
    <t>Sum of Digitalize presentation including use of hyperlinks</t>
  </si>
  <si>
    <t>Sum of Examples and diagrams</t>
  </si>
  <si>
    <t>Sum of Guidance complex and conceptual</t>
  </si>
  <si>
    <t>Sum of Length of guidance</t>
  </si>
  <si>
    <t>Sum of Repetition of ISAE 3000 material</t>
  </si>
  <si>
    <t>Sum of Terminology</t>
  </si>
  <si>
    <t>1. Supports proposed structure</t>
  </si>
  <si>
    <t>2. Support proposed structure with suggestions for improvement</t>
  </si>
  <si>
    <t>3. Does not support proposed structure</t>
  </si>
  <si>
    <t>Sum of 1. Supports proposed structure</t>
  </si>
  <si>
    <t>Sum of 2. Support proposed structure with suggestions for improvement</t>
  </si>
  <si>
    <t>Sum of 3. Does not support proposed structure</t>
  </si>
  <si>
    <t>Assess proposed structure after phase  2 completed</t>
  </si>
  <si>
    <t>Clarify purpose of guidance</t>
  </si>
  <si>
    <t>Differentiate ISAE 3000 requirements or application material from guidance material</t>
  </si>
  <si>
    <t>Differentiate preparer and practitioner guidance</t>
  </si>
  <si>
    <t>Examples in a separate appendix</t>
  </si>
  <si>
    <t>Flow chart or signposting to navigate through guidance</t>
  </si>
  <si>
    <t>Linkages between chapters</t>
  </si>
  <si>
    <t>Sequencing suggestions</t>
  </si>
  <si>
    <t>Sum of Assess proposed structure after phase  2 completed</t>
  </si>
  <si>
    <t>Sum of Clarify purpose of guidance</t>
  </si>
  <si>
    <t>Sum of Differentiate ISAE 3000 requirements or application material from guidance material</t>
  </si>
  <si>
    <t>Sum of Differentiate preparer and practitioner guidance</t>
  </si>
  <si>
    <t>Sum of Examples in a separate appendix</t>
  </si>
  <si>
    <t>Sum of Flow chart or signposting to navigate through guidance</t>
  </si>
  <si>
    <t>Sum of Linkages between chapters</t>
  </si>
  <si>
    <t>Sum of Sequencing suggestions</t>
  </si>
  <si>
    <t>4. No comment or holding comment until phase 2</t>
  </si>
  <si>
    <t>Sum of 4. No comment or holding comment until phase 2</t>
  </si>
  <si>
    <t>Assertions described may not be sufficiently broad to remain framework neutral</t>
  </si>
  <si>
    <t>Avoid suggestion of requirements or best practice</t>
  </si>
  <si>
    <t>Clarify if guidance should be referred to in the assurance report</t>
  </si>
  <si>
    <t>Emphasis on controls suggests fully substantive approach not permitted</t>
  </si>
  <si>
    <t>Other standards to be addressed</t>
  </si>
  <si>
    <t>Specific conflicts or new requirements identified</t>
  </si>
  <si>
    <t>Sum of Assertions described may not be sufficiently broad to remain framework neutral</t>
  </si>
  <si>
    <t>Sum of Avoid suggestion of requirements or best practice</t>
  </si>
  <si>
    <t>Sum of Clarify if guidance should be referred to in the assurance report</t>
  </si>
  <si>
    <t>Sum of Emphasis on controls suggests fully substantive approach not permitted</t>
  </si>
  <si>
    <t>Sum of Other standards to be addressed</t>
  </si>
  <si>
    <t>Sum of Specific conflicts or new requirements identified</t>
  </si>
  <si>
    <t>4. Holding comment until phase 2</t>
  </si>
  <si>
    <t>Sum of 4. Holding comment until phase 2</t>
  </si>
  <si>
    <t>Align to the requirements of the standard</t>
  </si>
  <si>
    <t>Concerns about materiality process and assertions</t>
  </si>
  <si>
    <t>Consider updating ISAE 3000 (Revised)</t>
  </si>
  <si>
    <t>Engagements 'based on' ISAE 3000 should not refer to the standard</t>
  </si>
  <si>
    <t>Identification system to distinguish incremental guidance from standard</t>
  </si>
  <si>
    <t>Not the only way to address ISAE 3000 requirements</t>
  </si>
  <si>
    <t>Specific suggestions on specific items</t>
  </si>
  <si>
    <t>Suggestions for phase 2</t>
  </si>
  <si>
    <t>Sum of Align to the requirements of the standard</t>
  </si>
  <si>
    <t>Sum of Concerns about materiality process and assertions</t>
  </si>
  <si>
    <t>Sum of Consider updating ISAE 3000 (Revised)</t>
  </si>
  <si>
    <t>Sum of Engagements 'based on' ISAE 3000 should not refer to the standard</t>
  </si>
  <si>
    <t>Sum of Identification system to distinguish incremental guidance from standard</t>
  </si>
  <si>
    <t>Sum of Not the only way to address ISAE 3000 requirements</t>
  </si>
  <si>
    <t>Sum of Specific suggestions on specific items</t>
  </si>
  <si>
    <t>Sum of Suggestions for phase 2</t>
  </si>
  <si>
    <t>1. Material is useful or partially useful with some comments for improvement</t>
  </si>
  <si>
    <t>2. Publication of material not supported at all</t>
  </si>
  <si>
    <t>3. No comment</t>
  </si>
  <si>
    <t>Sum of 1. Material is useful or partially useful with some comments for improvement</t>
  </si>
  <si>
    <t>Sum of 2. Publication of material not supported at all</t>
  </si>
  <si>
    <t>Sum of 3. No comment</t>
  </si>
  <si>
    <t>Material should be appended to ISAE 3000 (Revised)</t>
  </si>
  <si>
    <t>Material should be incorporated into the guidance document</t>
  </si>
  <si>
    <t>Material should be published alongside guidance document</t>
  </si>
  <si>
    <t>Other comments on the additional papers</t>
  </si>
  <si>
    <t>Response does not address publication or does not have a preference</t>
  </si>
  <si>
    <t>Sum of Material should be appended to ISAE 3000 (Revised)</t>
  </si>
  <si>
    <t>Sum of Material should be incorporated into the guidance document</t>
  </si>
  <si>
    <t>Sum of Material should be published alongside guidance document</t>
  </si>
  <si>
    <t>Sum of Other comments on the additional papers</t>
  </si>
  <si>
    <t>Sum of Response does not address publication or does not have a preference</t>
  </si>
  <si>
    <t>1. Translation</t>
  </si>
  <si>
    <t>2. Stakeholder perspectives</t>
  </si>
  <si>
    <t>3. Developing nations</t>
  </si>
  <si>
    <t>4. No specific comments</t>
  </si>
  <si>
    <t>5. General comments</t>
  </si>
  <si>
    <t>Sum of 1. Translation</t>
  </si>
  <si>
    <t>Sum of 2. Stakeholder perspectives</t>
  </si>
  <si>
    <t>Sum of 3. Developing nations</t>
  </si>
  <si>
    <t>Sum of 4. No specific comments</t>
  </si>
  <si>
    <t>Sum of 5. General comments</t>
  </si>
  <si>
    <t>Respondent2</t>
  </si>
  <si>
    <t>Limited and reasonable assurance2</t>
  </si>
  <si>
    <t>Other (non-project proposal or allocated to phase 2)2</t>
  </si>
  <si>
    <t>IAASB Main Agenda (September 2019)</t>
  </si>
  <si>
    <t>EER Assurance: Summary of Feedback from Respondents</t>
  </si>
  <si>
    <t>Question 7</t>
  </si>
  <si>
    <t>In addition to the requests for specific comments above, the IAASB is also seeking comments on the matters set out below:</t>
  </si>
  <si>
    <t>c) Translation - Recognizing that many respondents may intend to translate the final guidance for adoption in their own environments, the IAASB welcomes comments on potential translation issues.</t>
  </si>
  <si>
    <t>Agenda Item 6C-7</t>
  </si>
  <si>
    <t>Agenda Item 6C-5</t>
  </si>
  <si>
    <t>Agenda Item 6C-4</t>
  </si>
  <si>
    <t>Question 6</t>
  </si>
  <si>
    <t>Do you agree that the additional papers contain further helpful information and that they should be published alongside the non-authoritative guidance document?</t>
  </si>
  <si>
    <t>Agenda Item 6C-6</t>
  </si>
  <si>
    <t>Question 5</t>
  </si>
  <si>
    <t>Do you agree with the way that the draft guidance covers matters that are not addressed in ISAE 3000 (Revised)?</t>
  </si>
  <si>
    <t>Agenda Item 6C-1</t>
  </si>
  <si>
    <t>Question 1</t>
  </si>
  <si>
    <t>Sum of Limited and reasonable assurance</t>
  </si>
  <si>
    <t>Agenda Item 6C-1.1</t>
  </si>
  <si>
    <t>Agenda Item 6C-2</t>
  </si>
  <si>
    <t>Agenda Item 6C-3</t>
  </si>
  <si>
    <t>Agenda Item 6C-2.1</t>
  </si>
  <si>
    <t>Agenda Item 6C-3.1</t>
  </si>
  <si>
    <t>Agenda Item 6C-4.1</t>
  </si>
  <si>
    <t>Agenda Item 6C-5.1</t>
  </si>
  <si>
    <t>Agenda Item 6C-6.1</t>
  </si>
  <si>
    <t>Does the draft guidance adequately address the challenges for practitioners that have been identified as within the scope of the draft guidance developed in phase 1? If not, where and how should it be improved?</t>
  </si>
  <si>
    <t>Question 2</t>
  </si>
  <si>
    <t>Is the draft guidance clear and easy to understand, including through the use of examples and diagrams, and the way terminology is used? If not, where and how should it be improved?</t>
  </si>
  <si>
    <t>Question 3</t>
  </si>
  <si>
    <t>Do you support the proposed structure of the draft guidance? If not, how could it be better structured?</t>
  </si>
  <si>
    <t>Question 4</t>
  </si>
  <si>
    <t>Do you agree that the draft guidance does not contradict or conflict with the requirements or application material of ISAE 3000 (Revised), and that the draft guidance does not introduce any new requirements?</t>
  </si>
  <si>
    <t>a) Stakeholder Perspectives - Respondents representing stakeholders such as preparers (including smaller entities) of EER reports, users of EER reports, and public sector entities are asked to comment on the questions above from their perspective.</t>
  </si>
  <si>
    <t>b) Developing Nations - Recognizing that many developing nations have adopted or are in the process of adopting the International Standards, the IAASB invites respondents from these nations to comment, in particular, on any foreseeable difficulties in using the draft guidance in a developing nation environment.</t>
  </si>
  <si>
    <t>Further analysis of 'Agree but with further comments' and 'Disagree'</t>
  </si>
  <si>
    <t xml:space="preserve">Further analysis of 'Support proposed structure with suggestions for improvement' </t>
  </si>
  <si>
    <t xml:space="preserve">Further analysis of 'Agree but with further comments' </t>
  </si>
  <si>
    <t>Further analysis of 'Material is useful or partially useful with some comments for improvement'</t>
  </si>
  <si>
    <t>Legend:</t>
  </si>
  <si>
    <t>Agree</t>
  </si>
  <si>
    <t>Agree but with further comments</t>
  </si>
  <si>
    <t>Disagree</t>
  </si>
  <si>
    <t>Unclear or no specific response or refer to another respondent's 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</si>
</sst>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color theme="1"/>
      <name val="Arial"/>
      <family val="2"/>
    </font>
    <font>
      <sz val="10"/>
      <name val="Arial"/>
      <family val="2"/>
    </font>
    <font>
      <b/>
      <sz val="10"/>
      <color theme="1"/>
      <name val="Arial"/>
      <family val="2"/>
    </font>
    <font>
      <b/>
      <sz val="10"/>
      <color rgb="FF000000"/>
      <name val="Arial"/>
      <family val="2"/>
    </font>
    <font>
      <sz val="11"/>
      <color theme="1"/>
      <name val="Calibri"/>
      <family val="2"/>
      <scheme val="minor"/>
    </font>
    <font>
      <sz val="10"/>
      <color rgb="FF000000"/>
      <name val="Arial"/>
      <family val="2"/>
    </font>
    <font>
      <sz val="10"/>
      <color rgb="FF3C5073"/>
      <name val="Arial"/>
      <family val="2"/>
    </font>
    <font>
      <b/>
      <sz val="16"/>
      <color theme="1"/>
      <name val="Arial"/>
      <family val="2"/>
    </font>
    <font>
      <b/>
      <sz val="12"/>
      <color theme="1"/>
      <name val="Arial"/>
      <family val="2"/>
    </font>
    <font>
      <i/>
      <sz val="10"/>
      <color theme="1"/>
      <name val="Arial"/>
      <family val="2"/>
    </font>
    <font>
      <sz val="10"/>
      <color theme="1"/>
      <name val="Calibri"/>
      <family val="2"/>
      <scheme val="minor"/>
    </font>
  </fonts>
  <fills count="11">
    <fill>
      <patternFill patternType="none"/>
    </fill>
    <fill>
      <patternFill patternType="gray125"/>
    </fill>
    <fill>
      <patternFill patternType="solid">
        <fgColor rgb="FFF0F0F0"/>
        <bgColor indexed="64"/>
      </patternFill>
    </fill>
    <fill>
      <patternFill patternType="solid">
        <fgColor indexed="67"/>
        <bgColor indexed="9"/>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tint="-0.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s>
  <cellStyleXfs count="2">
    <xf numFmtId="0" fontId="0" fillId="0" borderId="0"/>
    <xf numFmtId="9" fontId="5" fillId="0" borderId="0" applyFont="0" applyFill="0" applyBorder="0" applyAlignment="0" applyProtection="0"/>
  </cellStyleXfs>
  <cellXfs count="94">
    <xf numFmtId="0" fontId="0" fillId="0" borderId="0" xfId="0"/>
    <xf numFmtId="0" fontId="0" fillId="0" borderId="0" xfId="0" applyAlignment="1">
      <alignment wrapText="1"/>
    </xf>
    <xf numFmtId="0" fontId="1" fillId="0" borderId="0" xfId="0" applyFont="1" applyAlignment="1">
      <alignment wrapText="1"/>
    </xf>
    <xf numFmtId="0" fontId="1" fillId="3" borderId="2" xfId="0" applyFont="1" applyFill="1" applyBorder="1"/>
    <xf numFmtId="0" fontId="2" fillId="0" borderId="1" xfId="0" applyFont="1" applyBorder="1" applyAlignment="1">
      <alignment horizontal="right" vertical="top"/>
    </xf>
    <xf numFmtId="0" fontId="3" fillId="0" borderId="0" xfId="0" applyFont="1" applyAlignment="1">
      <alignment wrapText="1"/>
    </xf>
    <xf numFmtId="0" fontId="4" fillId="2" borderId="1" xfId="0" applyFont="1" applyFill="1" applyBorder="1" applyAlignment="1">
      <alignment horizontal="center" vertical="center" wrapText="1"/>
    </xf>
    <xf numFmtId="0" fontId="3" fillId="0" borderId="0" xfId="0" applyFont="1"/>
    <xf numFmtId="9" fontId="3" fillId="0" borderId="0" xfId="1" applyFont="1"/>
    <xf numFmtId="9" fontId="3" fillId="0" borderId="0" xfId="0" applyNumberFormat="1" applyFont="1"/>
    <xf numFmtId="0" fontId="1" fillId="0" borderId="0" xfId="0" applyFont="1"/>
    <xf numFmtId="0" fontId="6" fillId="2" borderId="1" xfId="0" applyFont="1" applyFill="1" applyBorder="1" applyAlignment="1">
      <alignment horizontal="center" vertical="center" wrapText="1"/>
    </xf>
    <xf numFmtId="0" fontId="7" fillId="2" borderId="1" xfId="0" applyFont="1" applyFill="1" applyBorder="1" applyAlignment="1">
      <alignment horizontal="right" vertical="top"/>
    </xf>
    <xf numFmtId="0" fontId="6"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8" fillId="0" borderId="0" xfId="0" applyFont="1" applyAlignment="1">
      <alignment vertical="top"/>
    </xf>
    <xf numFmtId="0" fontId="1" fillId="0" borderId="0" xfId="0" applyFont="1" applyFill="1"/>
    <xf numFmtId="0" fontId="3" fillId="0" borderId="0" xfId="0" applyFont="1" applyFill="1"/>
    <xf numFmtId="0" fontId="1" fillId="0" borderId="0" xfId="0" applyFont="1"/>
    <xf numFmtId="9" fontId="3" fillId="0" borderId="0" xfId="1" applyFont="1" applyFill="1"/>
    <xf numFmtId="9" fontId="3" fillId="0" borderId="0" xfId="0" applyNumberFormat="1" applyFont="1" applyFill="1"/>
    <xf numFmtId="0" fontId="1" fillId="0" borderId="0" xfId="0" applyFont="1" applyFill="1" applyBorder="1"/>
    <xf numFmtId="0" fontId="3" fillId="0" borderId="0" xfId="0" applyFont="1" applyFill="1" applyBorder="1" applyAlignment="1">
      <alignment horizontal="left" vertical="top"/>
    </xf>
    <xf numFmtId="0" fontId="3" fillId="9" borderId="3" xfId="0" applyFont="1" applyFill="1" applyBorder="1" applyAlignment="1">
      <alignment horizontal="left" vertical="top"/>
    </xf>
    <xf numFmtId="0" fontId="3" fillId="9" borderId="6" xfId="0" applyFont="1" applyFill="1" applyBorder="1" applyAlignment="1">
      <alignment horizontal="left" vertical="top"/>
    </xf>
    <xf numFmtId="0" fontId="1" fillId="9" borderId="8" xfId="0" applyFont="1" applyFill="1" applyBorder="1"/>
    <xf numFmtId="0" fontId="1" fillId="9" borderId="7" xfId="0" applyFont="1" applyFill="1" applyBorder="1"/>
    <xf numFmtId="0" fontId="1" fillId="0" borderId="0" xfId="0" applyFont="1" applyAlignment="1">
      <alignment horizontal="right" wrapText="1"/>
    </xf>
    <xf numFmtId="0" fontId="3" fillId="8" borderId="5" xfId="0" applyFont="1" applyFill="1" applyBorder="1" applyAlignment="1">
      <alignment vertical="top"/>
    </xf>
    <xf numFmtId="0" fontId="3" fillId="8" borderId="7" xfId="0" applyFont="1" applyFill="1" applyBorder="1" applyAlignment="1">
      <alignment vertical="top"/>
    </xf>
    <xf numFmtId="0" fontId="3" fillId="8" borderId="8" xfId="0" applyFont="1" applyFill="1" applyBorder="1" applyAlignment="1">
      <alignment vertical="top"/>
    </xf>
    <xf numFmtId="0" fontId="1" fillId="0" borderId="0" xfId="0" applyFont="1" applyFill="1" applyAlignment="1">
      <alignment wrapText="1"/>
    </xf>
    <xf numFmtId="0" fontId="3" fillId="9" borderId="8" xfId="0" applyFont="1" applyFill="1" applyBorder="1" applyAlignment="1">
      <alignment horizontal="left" vertical="top"/>
    </xf>
    <xf numFmtId="0" fontId="9" fillId="0" borderId="0" xfId="0" applyFont="1" applyAlignment="1">
      <alignment vertical="top"/>
    </xf>
    <xf numFmtId="0" fontId="10" fillId="5" borderId="1" xfId="0" applyFont="1" applyFill="1" applyBorder="1" applyAlignment="1">
      <alignment horizontal="right" wrapText="1"/>
    </xf>
    <xf numFmtId="0" fontId="10" fillId="6" borderId="1" xfId="0" applyFont="1" applyFill="1" applyBorder="1" applyAlignment="1">
      <alignment horizontal="right" wrapText="1"/>
    </xf>
    <xf numFmtId="0" fontId="3" fillId="9" borderId="7" xfId="0" applyFont="1" applyFill="1" applyBorder="1" applyAlignment="1">
      <alignment horizontal="left" vertical="top"/>
    </xf>
    <xf numFmtId="0" fontId="3" fillId="8" borderId="10" xfId="0" applyFont="1" applyFill="1" applyBorder="1" applyAlignment="1">
      <alignment horizontal="left" wrapText="1"/>
    </xf>
    <xf numFmtId="0" fontId="3" fillId="8" borderId="0" xfId="0" applyFont="1" applyFill="1" applyBorder="1" applyAlignment="1">
      <alignment horizontal="left" wrapText="1"/>
    </xf>
    <xf numFmtId="0" fontId="3" fillId="8" borderId="4" xfId="0" applyFont="1" applyFill="1" applyBorder="1" applyAlignment="1">
      <alignment horizontal="left" wrapText="1"/>
    </xf>
    <xf numFmtId="0" fontId="11" fillId="0" borderId="0" xfId="0" applyFont="1"/>
    <xf numFmtId="0" fontId="1" fillId="0" borderId="1" xfId="0" pivotButton="1" applyFont="1" applyBorder="1" applyAlignment="1">
      <alignment wrapText="1"/>
    </xf>
    <xf numFmtId="0" fontId="1" fillId="0" borderId="1" xfId="0" applyFont="1" applyBorder="1" applyAlignment="1">
      <alignment wrapText="1"/>
    </xf>
    <xf numFmtId="0" fontId="1" fillId="0" borderId="1" xfId="0" applyFont="1" applyBorder="1" applyAlignment="1">
      <alignment horizontal="left"/>
    </xf>
    <xf numFmtId="0" fontId="1" fillId="0" borderId="1" xfId="0" applyNumberFormat="1" applyFont="1" applyBorder="1"/>
    <xf numFmtId="0" fontId="1" fillId="0" borderId="1" xfId="0" applyFont="1" applyBorder="1" applyAlignment="1">
      <alignment horizontal="left" indent="1"/>
    </xf>
    <xf numFmtId="0" fontId="1" fillId="4" borderId="1" xfId="0" applyFont="1" applyFill="1" applyBorder="1" applyAlignment="1">
      <alignment wrapText="1"/>
    </xf>
    <xf numFmtId="0" fontId="1" fillId="6" borderId="1" xfId="0" applyFont="1" applyFill="1" applyBorder="1" applyAlignment="1">
      <alignment wrapText="1"/>
    </xf>
    <xf numFmtId="0" fontId="1" fillId="5" borderId="1" xfId="0" applyFont="1" applyFill="1" applyBorder="1" applyAlignment="1">
      <alignment wrapText="1"/>
    </xf>
    <xf numFmtId="0" fontId="1" fillId="5" borderId="1" xfId="0" applyFont="1" applyFill="1" applyBorder="1" applyAlignment="1">
      <alignment horizontal="right" wrapText="1"/>
    </xf>
    <xf numFmtId="0" fontId="1" fillId="6" borderId="1" xfId="0" applyFont="1" applyFill="1" applyBorder="1" applyAlignment="1">
      <alignment horizontal="right" wrapText="1"/>
    </xf>
    <xf numFmtId="0" fontId="1" fillId="7" borderId="1" xfId="0" applyFont="1" applyFill="1" applyBorder="1" applyAlignment="1">
      <alignment horizontal="right" wrapText="1"/>
    </xf>
    <xf numFmtId="0" fontId="1" fillId="0" borderId="1" xfId="0" pivotButton="1" applyFont="1" applyBorder="1" applyAlignment="1">
      <alignment horizontal="center" vertical="center" wrapText="1"/>
    </xf>
    <xf numFmtId="0" fontId="1" fillId="4" borderId="1" xfId="0" applyFont="1" applyFill="1" applyBorder="1" applyAlignment="1">
      <alignment horizontal="right" wrapText="1"/>
    </xf>
    <xf numFmtId="0" fontId="1" fillId="0" borderId="1" xfId="0" applyFont="1" applyBorder="1" applyAlignment="1">
      <alignment horizontal="right" wrapText="1"/>
    </xf>
    <xf numFmtId="0" fontId="1" fillId="4" borderId="0" xfId="0" applyFont="1" applyFill="1" applyAlignment="1">
      <alignment wrapText="1"/>
    </xf>
    <xf numFmtId="0" fontId="1" fillId="5" borderId="0" xfId="0" applyFont="1" applyFill="1" applyAlignment="1">
      <alignment wrapText="1"/>
    </xf>
    <xf numFmtId="0" fontId="1" fillId="6" borderId="0" xfId="0" applyFont="1" applyFill="1" applyAlignment="1">
      <alignment wrapText="1"/>
    </xf>
    <xf numFmtId="0" fontId="1" fillId="0" borderId="1" xfId="0" applyNumberFormat="1" applyFont="1" applyBorder="1" applyAlignment="1">
      <alignment wrapText="1"/>
    </xf>
    <xf numFmtId="0" fontId="1" fillId="0" borderId="1" xfId="0" applyNumberFormat="1" applyFont="1" applyFill="1" applyBorder="1" applyAlignment="1">
      <alignment wrapText="1"/>
    </xf>
    <xf numFmtId="0" fontId="1" fillId="4" borderId="1" xfId="0" applyFont="1" applyFill="1" applyBorder="1" applyAlignment="1">
      <alignment horizontal="left" wrapText="1" indent="1"/>
    </xf>
    <xf numFmtId="0" fontId="1" fillId="5" borderId="1" xfId="0" applyFont="1" applyFill="1" applyBorder="1" applyAlignment="1">
      <alignment horizontal="left" wrapText="1" indent="1"/>
    </xf>
    <xf numFmtId="0" fontId="1" fillId="6" borderId="1" xfId="0" applyFont="1" applyFill="1" applyBorder="1" applyAlignment="1">
      <alignment horizontal="left" wrapText="1" indent="1"/>
    </xf>
    <xf numFmtId="0" fontId="1" fillId="7" borderId="1" xfId="0" applyFont="1" applyFill="1" applyBorder="1" applyAlignment="1">
      <alignment horizontal="left" wrapText="1" indent="1"/>
    </xf>
    <xf numFmtId="0" fontId="1" fillId="0" borderId="1" xfId="0" applyFont="1" applyBorder="1" applyAlignment="1">
      <alignment horizontal="left" wrapText="1" indent="1"/>
    </xf>
    <xf numFmtId="0" fontId="1" fillId="0" borderId="1" xfId="0" applyNumberFormat="1" applyFont="1" applyBorder="1" applyAlignment="1">
      <alignment horizontal="left" indent="1"/>
    </xf>
    <xf numFmtId="0" fontId="1" fillId="0" borderId="0" xfId="0" applyFont="1" applyAlignment="1">
      <alignment vertical="top"/>
    </xf>
    <xf numFmtId="0" fontId="3" fillId="0" borderId="0" xfId="0" applyFont="1" applyFill="1" applyAlignment="1"/>
    <xf numFmtId="0" fontId="3" fillId="0" borderId="0" xfId="0" applyFont="1" applyFill="1" applyAlignment="1">
      <alignment horizontal="right"/>
    </xf>
    <xf numFmtId="0" fontId="3" fillId="0" borderId="0" xfId="0" applyFont="1" applyAlignment="1">
      <alignment vertical="top"/>
    </xf>
    <xf numFmtId="0" fontId="1" fillId="0" borderId="0" xfId="0" applyFont="1" applyAlignment="1">
      <alignment horizontal="center" vertical="top"/>
    </xf>
    <xf numFmtId="0" fontId="3" fillId="0" borderId="0" xfId="0" applyFont="1" applyAlignment="1">
      <alignment horizontal="right" vertical="top"/>
    </xf>
    <xf numFmtId="0" fontId="1" fillId="10" borderId="0" xfId="0" applyFont="1" applyFill="1" applyAlignment="1">
      <alignment wrapText="1"/>
    </xf>
    <xf numFmtId="0" fontId="1" fillId="0" borderId="0" xfId="0" applyFont="1" applyAlignment="1">
      <alignment horizontal="center" vertical="top"/>
    </xf>
    <xf numFmtId="0" fontId="3" fillId="9" borderId="7" xfId="0" applyFont="1" applyFill="1" applyBorder="1" applyAlignment="1">
      <alignment horizontal="left" vertical="top"/>
    </xf>
    <xf numFmtId="0" fontId="3" fillId="9" borderId="3" xfId="0" applyFont="1" applyFill="1" applyBorder="1" applyAlignment="1">
      <alignment horizontal="left" vertical="top" wrapText="1"/>
    </xf>
    <xf numFmtId="0" fontId="3" fillId="9" borderId="6" xfId="0" applyFont="1" applyFill="1" applyBorder="1" applyAlignment="1">
      <alignment horizontal="left" vertical="top" wrapText="1"/>
    </xf>
    <xf numFmtId="0" fontId="1" fillId="0" borderId="0" xfId="0" applyFont="1" applyAlignment="1">
      <alignment horizontal="center"/>
    </xf>
    <xf numFmtId="0" fontId="3" fillId="8" borderId="9" xfId="0" applyFont="1" applyFill="1" applyBorder="1" applyAlignment="1">
      <alignment horizontal="left" vertical="top"/>
    </xf>
    <xf numFmtId="0" fontId="3" fillId="8" borderId="3" xfId="0" applyFont="1" applyFill="1" applyBorder="1" applyAlignment="1">
      <alignment horizontal="left" vertical="top"/>
    </xf>
    <xf numFmtId="0" fontId="3" fillId="8" borderId="6" xfId="0" applyFont="1" applyFill="1" applyBorder="1" applyAlignment="1">
      <alignment horizontal="left" vertical="top"/>
    </xf>
    <xf numFmtId="0" fontId="3" fillId="8" borderId="9" xfId="0" applyFont="1" applyFill="1" applyBorder="1" applyAlignment="1">
      <alignment horizontal="left" vertical="top" wrapText="1"/>
    </xf>
    <xf numFmtId="0" fontId="3" fillId="8" borderId="3" xfId="0" applyFont="1" applyFill="1" applyBorder="1" applyAlignment="1">
      <alignment horizontal="left" vertical="top" wrapText="1"/>
    </xf>
    <xf numFmtId="0" fontId="3" fillId="8" borderId="6" xfId="0" applyFont="1" applyFill="1" applyBorder="1" applyAlignment="1">
      <alignment horizontal="left" vertical="top" wrapText="1"/>
    </xf>
    <xf numFmtId="0" fontId="3" fillId="8" borderId="10" xfId="0" applyFont="1" applyFill="1" applyBorder="1" applyAlignment="1">
      <alignment horizontal="left" vertical="top" wrapText="1"/>
    </xf>
    <xf numFmtId="0" fontId="3" fillId="8" borderId="0" xfId="0" applyFont="1" applyFill="1" applyBorder="1" applyAlignment="1">
      <alignment horizontal="left" vertical="top" wrapText="1"/>
    </xf>
    <xf numFmtId="0" fontId="3" fillId="8" borderId="4" xfId="0" applyFont="1" applyFill="1" applyBorder="1" applyAlignment="1">
      <alignment horizontal="left" vertical="top" wrapText="1"/>
    </xf>
    <xf numFmtId="0" fontId="3" fillId="8" borderId="5" xfId="0" applyFont="1" applyFill="1" applyBorder="1" applyAlignment="1">
      <alignment horizontal="left" vertical="top"/>
    </xf>
    <xf numFmtId="0" fontId="3" fillId="8" borderId="7" xfId="0" applyFont="1" applyFill="1" applyBorder="1" applyAlignment="1">
      <alignment horizontal="left" vertical="top"/>
    </xf>
    <xf numFmtId="0" fontId="3" fillId="8" borderId="8" xfId="0" applyFont="1" applyFill="1" applyBorder="1" applyAlignment="1">
      <alignment horizontal="left" vertical="top"/>
    </xf>
    <xf numFmtId="0" fontId="3" fillId="8" borderId="10" xfId="0" applyFont="1" applyFill="1" applyBorder="1" applyAlignment="1">
      <alignment horizontal="left" wrapText="1"/>
    </xf>
    <xf numFmtId="0" fontId="3" fillId="8" borderId="0" xfId="0" applyFont="1" applyFill="1" applyBorder="1" applyAlignment="1">
      <alignment horizontal="left" wrapText="1"/>
    </xf>
    <xf numFmtId="0" fontId="3" fillId="8" borderId="4" xfId="0" applyFont="1" applyFill="1" applyBorder="1" applyAlignment="1">
      <alignment horizontal="left" wrapText="1"/>
    </xf>
    <xf numFmtId="0" fontId="1" fillId="0" borderId="0" xfId="0" applyFont="1" applyAlignment="1">
      <alignment horizontal="center" wrapText="1"/>
    </xf>
  </cellXfs>
  <cellStyles count="2">
    <cellStyle name="Normal" xfId="0" builtinId="0"/>
    <cellStyle name="Percent" xfId="1" builtinId="5"/>
  </cellStyles>
  <dxfs count="912">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ont>
        <i/>
      </font>
    </dxf>
    <dxf>
      <fill>
        <patternFill patternType="solid">
          <bgColor rgb="FFFF0000"/>
        </patternFill>
      </fill>
    </dxf>
    <dxf>
      <fill>
        <patternFill patternType="solid">
          <bgColor theme="1" tint="0.34998626667073579"/>
        </patternFill>
      </fill>
    </dxf>
    <dxf>
      <fill>
        <patternFill>
          <bgColor rgb="FFFFC000"/>
        </patternFill>
      </fill>
    </dxf>
    <dxf>
      <fill>
        <patternFill>
          <bgColor theme="0" tint="-0.34998626667073579"/>
        </patternFill>
      </fill>
    </dxf>
    <dxf>
      <alignment horizontal="right"/>
    </dxf>
    <dxf>
      <alignment horizontal="center" vertical="center"/>
    </dxf>
    <dxf>
      <font>
        <sz val="10"/>
      </font>
    </dxf>
    <dxf>
      <font>
        <sz val="10"/>
      </font>
    </dxf>
    <dxf>
      <font>
        <sz val="10"/>
      </font>
    </dxf>
    <dxf>
      <font>
        <sz val="10"/>
      </font>
    </dxf>
    <dxf>
      <font>
        <sz val="10"/>
      </font>
    </dxf>
    <dxf>
      <font>
        <sz val="10"/>
      </font>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00B050"/>
        </patternFill>
      </fill>
    </dxf>
    <dxf>
      <fill>
        <patternFill patternType="solid">
          <bgColor rgb="FFFFC000"/>
        </patternFill>
      </fill>
    </dxf>
    <dxf>
      <fill>
        <patternFill patternType="solid">
          <bgColor rgb="FFFF0000"/>
        </patternFill>
      </fill>
    </dxf>
    <dxf>
      <alignment horizontal="right"/>
    </dxf>
    <dxf>
      <alignment horizontal="right"/>
    </dxf>
    <dxf>
      <alignment horizontal="right"/>
    </dxf>
    <dxf>
      <alignment horizontal="right"/>
    </dxf>
    <dxf>
      <alignment horizontal="center"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00B050"/>
        </patternFill>
      </fill>
    </dxf>
    <dxf>
      <fill>
        <patternFill patternType="solid">
          <bgColor rgb="FFFF0000"/>
        </patternFill>
      </fill>
    </dxf>
    <dxf>
      <fill>
        <patternFill>
          <bgColor rgb="FFFFC000"/>
        </patternFill>
      </fill>
    </dxf>
    <dxf>
      <font>
        <i/>
      </font>
    </dxf>
    <dxf>
      <fill>
        <patternFill patternType="solid">
          <bgColor rgb="FFFF0000"/>
        </patternFill>
      </fill>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horizontal="right"/>
    </dxf>
    <dxf>
      <alignment horizontal="center" vertic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fill>
        <patternFill patternType="solid">
          <bgColor rgb="FF00B050"/>
        </patternFill>
      </fill>
    </dxf>
    <dxf>
      <fill>
        <patternFill patternType="solid">
          <bgColor rgb="FFFFC000"/>
        </patternFill>
      </fill>
    </dxf>
    <dxf>
      <fill>
        <patternFill patternType="solid">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font>
    </dxf>
    <dxf>
      <font>
        <i/>
      </font>
    </dxf>
    <dxf>
      <alignment wrapText="1"/>
    </dxf>
    <dxf>
      <alignment wrapText="1"/>
    </dxf>
    <dxf>
      <alignment horizontal="right"/>
    </dxf>
    <dxf>
      <alignment horizontal="center" vertic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alignment wrapText="1"/>
    </dxf>
    <dxf>
      <alignment wrapText="1"/>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00B050"/>
        </patternFill>
      </fill>
    </dxf>
    <dxf>
      <fill>
        <patternFill patternType="solid">
          <bgColor rgb="FFFFC000"/>
        </patternFill>
      </fill>
    </dxf>
    <dxf>
      <fill>
        <patternFill patternType="solid">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horizontal="center"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fill>
        <patternFill patternType="solid">
          <bgColor rgb="FF00B050"/>
        </patternFill>
      </fill>
    </dxf>
    <dxf>
      <fill>
        <patternFill patternType="solid">
          <bgColor rgb="FFFFC000"/>
        </patternFill>
      </fill>
    </dxf>
    <dxf>
      <font>
        <i/>
      </font>
    </dxf>
    <dxf>
      <fill>
        <patternFill patternType="solid">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horizontal="right"/>
    </dxf>
    <dxf>
      <alignment horizontal="center" vertic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fill>
        <patternFill patternType="solid">
          <bgColor rgb="FFFF0000"/>
        </patternFill>
      </fill>
    </dxf>
    <dxf>
      <fill>
        <patternFill>
          <bgColor rgb="FF00B050"/>
        </patternFill>
      </fill>
    </dxf>
    <dxf>
      <fill>
        <patternFill patternType="solid">
          <bgColor rgb="FFFFC000"/>
        </patternFill>
      </fill>
    </dxf>
    <dxf>
      <fill>
        <patternFill patternType="solid">
          <bgColor rgb="FFFF0000"/>
        </patternFill>
      </fill>
    </dxf>
    <dxf>
      <fill>
        <patternFill patternType="solid">
          <bgColor theme="1"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0.34998626667073579"/>
        </patternFill>
      </fill>
    </dxf>
    <dxf>
      <alignment horizontal="right"/>
    </dxf>
    <dxf>
      <alignment horizontal="center" vertical="center"/>
    </dxf>
    <dxf>
      <font>
        <sz val="10"/>
      </font>
    </dxf>
    <dxf>
      <font>
        <sz val="10"/>
      </font>
    </dxf>
    <dxf>
      <font>
        <sz val="10"/>
      </font>
    </dxf>
    <dxf>
      <font>
        <sz val="10"/>
      </font>
    </dxf>
    <dxf>
      <font>
        <sz val="10"/>
      </font>
    </dxf>
    <dxf>
      <font>
        <sz val="10"/>
      </font>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00B050"/>
        </patternFill>
      </fill>
    </dxf>
    <dxf>
      <fill>
        <patternFill patternType="solid">
          <bgColor rgb="FFFFC000"/>
        </patternFill>
      </fill>
    </dxf>
    <dxf>
      <font>
        <i/>
      </font>
    </dxf>
    <dxf>
      <fill>
        <patternFill patternType="solid">
          <bgColor rgb="FFFF0000"/>
        </patternFill>
      </fill>
    </dxf>
    <dxf>
      <fill>
        <patternFill patternType="solid">
          <bgColor theme="1" tint="0.34998626667073579"/>
        </patternFill>
      </fill>
    </dxf>
    <dxf>
      <alignment wrapText="1"/>
    </dxf>
    <dxf>
      <alignment wrapText="1"/>
    </dxf>
    <dxf>
      <fill>
        <patternFill>
          <bgColor theme="0" tint="-0.34998626667073579"/>
        </patternFill>
      </fill>
    </dxf>
    <dxf>
      <alignment horizontal="right"/>
    </dxf>
    <dxf>
      <fill>
        <patternFill patternType="none">
          <bgColor auto="1"/>
        </patternFill>
      </fill>
    </dxf>
    <dxf>
      <fill>
        <patternFill>
          <bgColor auto="1"/>
        </patternFill>
      </fill>
    </dxf>
    <dxf>
      <alignment horizontal="center"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FFC000"/>
        </patternFill>
      </fill>
    </dxf>
    <dxf>
      <fill>
        <patternFill patternType="solid">
          <bgColor rgb="FFFF0000"/>
        </patternFill>
      </fill>
    </dxf>
    <dxf>
      <fill>
        <patternFill patternType="solid">
          <bgColor theme="1" tint="0.34998626667073579"/>
        </patternFill>
      </fill>
    </dxf>
    <dxf>
      <fill>
        <patternFill>
          <bgColor theme="0" tint="-0.34998626667073579"/>
        </patternFill>
      </fill>
    </dxf>
    <dxf>
      <alignment horizontal="left" relativeIndent="1"/>
    </dxf>
    <dxf>
      <alignment horizontal="center"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fill>
        <patternFill patternType="solid">
          <bgColor rgb="FF00B050"/>
        </patternFill>
      </fill>
    </dxf>
    <dxf>
      <fill>
        <patternFill patternType="solid">
          <bgColor rgb="FFFFC000"/>
        </patternFill>
      </fill>
    </dxf>
    <dxf>
      <font>
        <i/>
      </font>
    </dxf>
    <dxf>
      <fill>
        <patternFill patternType="solid">
          <bgColor rgb="FFFF0000"/>
        </patternFill>
      </fill>
    </dxf>
    <dxf>
      <fill>
        <patternFill patternType="solid">
          <bgColor theme="1"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fill>
        <patternFill>
          <bgColor theme="0" tint="-0.34998626667073579"/>
        </patternFill>
      </fill>
    </dxf>
    <dxf>
      <alignment horizontal="right"/>
    </dxf>
    <dxf>
      <alignment horizontal="center" vertic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00B050"/>
        </patternFill>
      </fill>
    </dxf>
    <dxf>
      <fill>
        <patternFill patternType="solid">
          <bgColor rgb="FFFFC000"/>
        </patternFill>
      </fill>
    </dxf>
    <dxf>
      <fill>
        <patternFill patternType="solid">
          <bgColor rgb="FFFF0000"/>
        </patternFill>
      </fill>
    </dxf>
    <dxf>
      <alignment horizontal="center"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theme="1" tint="0.34998626667073579"/>
        </patternFill>
      </fill>
    </dxf>
    <dxf>
      <fill>
        <patternFill>
          <bgColor theme="0"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vertical="bottom"/>
    </dxf>
    <dxf>
      <alignment horizontal="right"/>
    </dxf>
    <dxf>
      <alignment horizontal="center" vertic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B050"/>
        </patternFill>
      </fill>
    </dxf>
    <dxf>
      <fill>
        <patternFill patternType="solid">
          <bgColor rgb="FFFFC000"/>
        </patternFill>
      </fill>
    </dxf>
    <dxf>
      <fill>
        <patternFill patternType="solid">
          <bgColor rgb="FFFF0000"/>
        </patternFill>
      </fill>
    </dxf>
    <dxf>
      <fill>
        <patternFill>
          <bgColor rgb="FFFFC000"/>
        </patternFill>
      </fill>
    </dxf>
    <dxf>
      <fill>
        <patternFill>
          <bgColor rgb="FFFF0000"/>
        </patternFill>
      </fill>
    </dxf>
    <dxf>
      <fill>
        <patternFill>
          <bgColor theme="0" tint="-0.34998626667073579"/>
        </patternFill>
      </fill>
    </dxf>
    <dxf>
      <alignment horizontal="righ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vertical="center"/>
    </dxf>
    <dxf>
      <alignment horizontal="right"/>
    </dxf>
    <dxf>
      <alignment vertical="bottom"/>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0.34998626667073579"/>
        </patternFill>
      </fill>
    </dxf>
    <dxf>
      <fill>
        <patternFill patternType="solid">
          <bgColor theme="1" tint="0.34998626667073579"/>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center" vertical="center"/>
    </dxf>
    <dxf>
      <alignment horizontal="right"/>
    </dxf>
    <dxf>
      <fill>
        <patternFill>
          <bgColor theme="0" tint="-0.34998626667073579"/>
        </patternFill>
      </fill>
    </dxf>
    <dxf>
      <fill>
        <patternFill>
          <bgColor rgb="FFFFC000"/>
        </patternFill>
      </fill>
    </dxf>
    <dxf>
      <fill>
        <patternFill patternType="solid">
          <bgColor theme="1" tint="0.34998626667073579"/>
        </patternFill>
      </fill>
    </dxf>
    <dxf>
      <fill>
        <patternFill patternType="solid">
          <bgColor rgb="FFFF0000"/>
        </patternFill>
      </fill>
    </dxf>
    <dxf>
      <font>
        <i/>
      </font>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fill>
        <patternFill>
          <bgColor theme="0" tint="-0.34998626667073579"/>
        </patternFill>
      </fill>
    </dxf>
    <dxf>
      <fill>
        <patternFill>
          <bgColor rgb="FFFF0000"/>
        </patternFill>
      </fill>
    </dxf>
    <dxf>
      <fill>
        <patternFill>
          <bgColor rgb="FFFFC000"/>
        </patternFill>
      </fill>
    </dxf>
    <dxf>
      <fill>
        <patternFill patternType="solid">
          <bgColor rgb="FFFF0000"/>
        </patternFill>
      </fill>
    </dxf>
    <dxf>
      <fill>
        <patternFill patternType="solid">
          <bgColor rgb="FFFFC000"/>
        </patternFill>
      </fill>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vertical="center"/>
    </dxf>
    <dxf>
      <alignment horizontal="right"/>
    </dxf>
    <dxf>
      <fill>
        <patternFill>
          <bgColor theme="0" tint="-0.34998626667073579"/>
        </patternFill>
      </fill>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0.34998626667073579"/>
        </patternFill>
      </fill>
    </dxf>
    <dxf>
      <fill>
        <patternFill patternType="solid">
          <bgColor rgb="FFFF0000"/>
        </patternFill>
      </fill>
    </dxf>
    <dxf>
      <font>
        <i/>
      </font>
    </dxf>
    <dxf>
      <fill>
        <patternFill patternType="solid">
          <bgColor rgb="FFFFC000"/>
        </patternFill>
      </fill>
    </dxf>
    <dxf>
      <fill>
        <patternFill patternType="solid">
          <bgColor rgb="FF00B05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center" vertical="center"/>
    </dxf>
    <dxf>
      <alignment horizontal="left" relativeIndent="1"/>
    </dxf>
    <dxf>
      <fill>
        <patternFill>
          <bgColor theme="0" tint="-0.34998626667073579"/>
        </patternFill>
      </fill>
    </dxf>
    <dxf>
      <fill>
        <patternFill patternType="solid">
          <bgColor theme="1" tint="0.34998626667073579"/>
        </patternFill>
      </fill>
    </dxf>
    <dxf>
      <fill>
        <patternFill patternType="solid">
          <bgColor rgb="FFFF0000"/>
        </patternFill>
      </fill>
    </dxf>
    <dxf>
      <fill>
        <patternFill patternType="solid">
          <bgColor rgb="FFFFC000"/>
        </patternFill>
      </fill>
    </dxf>
    <dxf>
      <fill>
        <patternFill patternType="solid">
          <bgColor rgb="FF00B05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center" vertical="center"/>
    </dxf>
    <dxf>
      <fill>
        <patternFill>
          <bgColor auto="1"/>
        </patternFill>
      </fill>
    </dxf>
    <dxf>
      <fill>
        <patternFill patternType="none">
          <bgColor auto="1"/>
        </patternFill>
      </fill>
    </dxf>
    <dxf>
      <alignment horizontal="right"/>
    </dxf>
    <dxf>
      <fill>
        <patternFill>
          <bgColor theme="0" tint="-0.34998626667073579"/>
        </patternFill>
      </fill>
    </dxf>
    <dxf>
      <alignment wrapText="1"/>
    </dxf>
    <dxf>
      <alignment wrapText="1"/>
    </dxf>
    <dxf>
      <fill>
        <patternFill patternType="solid">
          <bgColor theme="1" tint="0.34998626667073579"/>
        </patternFill>
      </fill>
    </dxf>
    <dxf>
      <fill>
        <patternFill patternType="solid">
          <bgColor rgb="FFFF0000"/>
        </patternFill>
      </fill>
    </dxf>
    <dxf>
      <font>
        <i/>
      </font>
    </dxf>
    <dxf>
      <fill>
        <patternFill patternType="solid">
          <bgColor rgb="FFFFC000"/>
        </patternFill>
      </fill>
    </dxf>
    <dxf>
      <fill>
        <patternFill patternType="solid">
          <bgColor rgb="FF00B0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font>
        <sz val="10"/>
      </font>
    </dxf>
    <dxf>
      <font>
        <sz val="10"/>
      </font>
    </dxf>
    <dxf>
      <font>
        <sz val="10"/>
      </font>
    </dxf>
    <dxf>
      <font>
        <sz val="10"/>
      </font>
    </dxf>
    <dxf>
      <font>
        <sz val="10"/>
      </font>
    </dxf>
    <dxf>
      <font>
        <sz val="10"/>
      </font>
    </dxf>
    <dxf>
      <alignment horizontal="center" vertical="center"/>
    </dxf>
    <dxf>
      <alignment horizontal="right"/>
    </dxf>
    <dxf>
      <fill>
        <patternFill>
          <bgColor theme="0"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1" tint="0.34998626667073579"/>
        </patternFill>
      </fill>
    </dxf>
    <dxf>
      <fill>
        <patternFill patternType="solid">
          <bgColor rgb="FFFF0000"/>
        </patternFill>
      </fill>
    </dxf>
    <dxf>
      <fill>
        <patternFill patternType="solid">
          <bgColor rgb="FFFFC000"/>
        </patternFill>
      </fill>
    </dxf>
    <dxf>
      <fill>
        <patternFill>
          <bgColor rgb="FF00B050"/>
        </patternFill>
      </fill>
    </dxf>
    <dxf>
      <fill>
        <patternFill patternType="solid">
          <bgColor rgb="FFFF000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vertical="center"/>
    </dxf>
    <dxf>
      <alignment horizontal="right"/>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ont>
        <i/>
      </font>
    </dxf>
    <dxf>
      <fill>
        <patternFill patternType="solid">
          <bgColor rgb="FFFFC000"/>
        </patternFill>
      </fill>
    </dxf>
    <dxf>
      <fill>
        <patternFill patternType="solid">
          <bgColor rgb="FF00B05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center" vertical="center"/>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ill>
        <patternFill patternType="solid">
          <bgColor rgb="FFFFC000"/>
        </patternFill>
      </fill>
    </dxf>
    <dxf>
      <fill>
        <patternFill patternType="solid">
          <bgColor rgb="FF00B0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alignment wrapText="1"/>
    </dxf>
    <dxf>
      <alignment wrapText="1"/>
    </dxf>
    <dxf>
      <alignment horizontal="center" vertical="center"/>
    </dxf>
    <dxf>
      <alignment horizontal="right"/>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fill>
        <patternFill patternType="solid">
          <bgColor rgb="FFFF0000"/>
        </patternFill>
      </fill>
    </dxf>
    <dxf>
      <font>
        <i/>
      </font>
    </dxf>
    <dxf>
      <fill>
        <patternFill>
          <bgColor rgb="FFFFC000"/>
        </patternFill>
      </fill>
    </dxf>
    <dxf>
      <fill>
        <patternFill patternType="solid">
          <bgColor rgb="FFFF0000"/>
        </patternFill>
      </fill>
    </dxf>
    <dxf>
      <fill>
        <patternFill patternType="solid">
          <bgColor rgb="FF00B0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center" vertical="center"/>
    </dxf>
    <dxf>
      <alignment horizontal="right"/>
    </dxf>
    <dxf>
      <alignment horizontal="right"/>
    </dxf>
    <dxf>
      <alignment horizontal="right"/>
    </dxf>
    <dxf>
      <alignment horizontal="right"/>
    </dxf>
    <dxf>
      <fill>
        <patternFill patternType="solid">
          <bgColor rgb="FFFF0000"/>
        </patternFill>
      </fill>
    </dxf>
    <dxf>
      <fill>
        <patternFill patternType="solid">
          <bgColor rgb="FFFFC000"/>
        </patternFill>
      </fill>
    </dxf>
    <dxf>
      <fill>
        <patternFill patternType="solid">
          <bgColor rgb="FF00B0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vertical="center"/>
    </dxf>
    <dxf>
      <alignment horizontal="right"/>
    </dxf>
    <dxf>
      <alignment wrapText="1"/>
    </dxf>
    <dxf>
      <alignment wrapText="1"/>
    </dxf>
    <dxf>
      <font>
        <i/>
      </font>
    </dxf>
    <dxf>
      <font>
        <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0000"/>
        </patternFill>
      </fill>
    </dxf>
    <dxf>
      <fill>
        <patternFill patternType="solid">
          <bgColor rgb="FFFFC000"/>
        </patternFill>
      </fill>
    </dxf>
    <dxf>
      <fill>
        <patternFill patternType="solid">
          <bgColor rgb="FF00B050"/>
        </patternFill>
      </fill>
    </dxf>
    <dxf>
      <alignment wrapText="1"/>
    </dxf>
    <dxf>
      <alignment wrapText="1"/>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center" vertical="center"/>
    </dxf>
    <dxf>
      <fill>
        <patternFill patternType="solid">
          <bgColor rgb="FFFF0000"/>
        </patternFill>
      </fill>
    </dxf>
    <dxf>
      <fill>
        <patternFill patternType="solid">
          <bgColor rgb="FFFFC000"/>
        </patternFill>
      </fill>
    </dxf>
    <dxf>
      <fill>
        <patternFill patternType="solid">
          <bgColor rgb="FF00B05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s>
  <tableStyles count="0" defaultTableStyle="TableStyleMedium2" defaultPivotStyle="PivotStyleLight16"/>
  <colors>
    <mruColors>
      <color rgb="FFFF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pivotCacheDefinition" Target="pivotCache/pivotCacheDefinition3.xml"/><Relationship Id="rId50" Type="http://schemas.openxmlformats.org/officeDocument/2006/relationships/pivotCacheDefinition" Target="pivotCache/pivotCacheDefinition6.xml"/><Relationship Id="rId55" Type="http://schemas.openxmlformats.org/officeDocument/2006/relationships/pivotCacheDefinition" Target="pivotCache/pivotCacheDefinition11.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1.xml"/><Relationship Id="rId53" Type="http://schemas.openxmlformats.org/officeDocument/2006/relationships/pivotCacheDefinition" Target="pivotCache/pivotCacheDefinition9.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pivotCacheDefinition" Target="pivotCache/pivotCacheDefinition4.xml"/><Relationship Id="rId56" Type="http://schemas.openxmlformats.org/officeDocument/2006/relationships/pivotCacheDefinition" Target="pivotCache/pivotCacheDefinition12.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pivotCacheDefinition" Target="pivotCache/pivotCacheDefinition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2.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pivotCacheDefinition" Target="pivotCache/pivotCacheDefinition10.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5.xml"/><Relationship Id="rId57" Type="http://schemas.openxmlformats.org/officeDocument/2006/relationships/pivotCacheDefinition" Target="pivotCache/pivotCacheDefinition1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pivotCacheDefinition" Target="pivotCache/pivotCacheDefinition8.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87731481" createdVersion="6" refreshedVersion="6" minRefreshableVersion="3" recordCount="52" xr:uid="{1B098786-7594-48FA-8521-55A81EB7B8FC}">
  <cacheSource type="worksheet">
    <worksheetSource name="Table4"/>
  </cacheSource>
  <cacheFields count="8">
    <cacheField name="Respondent" numFmtId="0">
      <sharedItems/>
    </cacheField>
    <cacheField name="Respondent2"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Material is useful or partially useful with some comments for improvement" numFmtId="0">
      <sharedItems containsSemiMixedTypes="0" containsString="0" containsNumber="1" containsInteger="1" minValue="0" maxValue="1"/>
    </cacheField>
    <cacheField name="2. Publication of material not supported at all" numFmtId="0">
      <sharedItems containsSemiMixedTypes="0" containsString="0" containsNumber="1" containsInteger="1" minValue="0" maxValue="1"/>
    </cacheField>
    <cacheField name="3. No comment" numFmtId="0">
      <sharedItems containsSemiMixedTypes="0" containsString="0" containsNumber="1" containsInteger="1" minValue="0" maxValue="1"/>
    </cacheField>
    <cacheField name="Total"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88541666" createdVersion="6" refreshedVersion="6" minRefreshableVersion="3" recordCount="52" xr:uid="{710D91C6-3B0E-441C-BC81-F2242F74CE02}">
  <cacheSource type="worksheet">
    <worksheetSource name="Table3"/>
  </cacheSource>
  <cacheFields count="10">
    <cacheField name="Respondent" numFmtId="0">
      <sharedItems/>
    </cacheField>
    <cacheField name="Respondent2"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Translation" numFmtId="0">
      <sharedItems containsSemiMixedTypes="0" containsString="0" containsNumber="1" containsInteger="1" minValue="0" maxValue="1"/>
    </cacheField>
    <cacheField name="2. Stakeholder perspectives" numFmtId="0">
      <sharedItems containsSemiMixedTypes="0" containsString="0" containsNumber="1" containsInteger="1" minValue="0" maxValue="1"/>
    </cacheField>
    <cacheField name="3. Developing nations" numFmtId="0">
      <sharedItems containsSemiMixedTypes="0" containsString="0" containsNumber="1" containsInteger="1" minValue="0" maxValue="1"/>
    </cacheField>
    <cacheField name="4. No specific comments" numFmtId="0">
      <sharedItems containsSemiMixedTypes="0" containsString="0" containsNumber="1" containsInteger="1" minValue="0" maxValue="1"/>
    </cacheField>
    <cacheField name="5. General comments" numFmtId="0">
      <sharedItems containsSemiMixedTypes="0" containsString="0" containsNumber="1" containsInteger="1" minValue="0" maxValue="1"/>
    </cacheField>
    <cacheField name="Total"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89351851" createdVersion="6" refreshedVersion="6" minRefreshableVersion="3" recordCount="52" xr:uid="{DD7B181C-6D37-418E-A48D-7190B81DC6A9}">
  <cacheSource type="worksheet">
    <worksheetSource name="Table1"/>
  </cacheSource>
  <cacheFields count="8">
    <cacheField name="Respondent" numFmtId="0">
      <sharedItems/>
    </cacheField>
    <cacheField name="Respondent2"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Agreed" numFmtId="0">
      <sharedItems containsSemiMixedTypes="0" containsString="0" containsNumber="1" containsInteger="1" minValue="0" maxValue="1"/>
    </cacheField>
    <cacheField name="2. Agree but with futher comments" numFmtId="0">
      <sharedItems containsSemiMixedTypes="0" containsString="0" containsNumber="1" containsInteger="1" minValue="0" maxValue="1"/>
    </cacheField>
    <cacheField name="3. Disagreed" numFmtId="0">
      <sharedItems containsSemiMixedTypes="0" containsString="0" containsNumber="1" containsInteger="1" minValue="0" maxValue="1"/>
    </cacheField>
    <cacheField name="Total"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90277775" createdVersion="6" refreshedVersion="6" minRefreshableVersion="3" recordCount="52" xr:uid="{57F257B9-FBBC-42DD-A081-E55CD1F0E8D2}">
  <cacheSource type="worksheet">
    <worksheetSource ref="A1:P53" sheet="Q5 Theme-Data"/>
  </cacheSource>
  <cacheFields count="16">
    <cacheField name="Respondent" numFmtId="0">
      <sharedItems/>
    </cacheField>
    <cacheField name="Respondent2"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Agreed" numFmtId="0">
      <sharedItems containsSemiMixedTypes="0" containsString="0" containsNumber="1" containsInteger="1" minValue="0" maxValue="1"/>
    </cacheField>
    <cacheField name="2. Agree but with futher comments" numFmtId="0">
      <sharedItems containsSemiMixedTypes="0" containsString="0" containsNumber="1" containsInteger="1" minValue="0" maxValue="1"/>
    </cacheField>
    <cacheField name="Align to the requirements of the standard" numFmtId="0">
      <sharedItems containsSemiMixedTypes="0" containsString="0" containsNumber="1" containsInteger="1" minValue="0" maxValue="1"/>
    </cacheField>
    <cacheField name="Concerns about materiality process and assertions" numFmtId="0">
      <sharedItems containsSemiMixedTypes="0" containsString="0" containsNumber="1" containsInteger="1" minValue="0" maxValue="1"/>
    </cacheField>
    <cacheField name="Consider updating ISAE 3000 (Revised)" numFmtId="0">
      <sharedItems containsSemiMixedTypes="0" containsString="0" containsNumber="1" containsInteger="1" minValue="0" maxValue="1"/>
    </cacheField>
    <cacheField name="Engagements 'based on' ISAE 3000 should not refer to the standard" numFmtId="0">
      <sharedItems containsSemiMixedTypes="0" containsString="0" containsNumber="1" containsInteger="1" minValue="0" maxValue="1"/>
    </cacheField>
    <cacheField name="Identification system to distinguish incremental guidance from standard" numFmtId="0">
      <sharedItems containsSemiMixedTypes="0" containsString="0" containsNumber="1" containsInteger="1" minValue="0" maxValue="1"/>
    </cacheField>
    <cacheField name="Not the only way to address ISAE 3000 requirements" numFmtId="0">
      <sharedItems containsSemiMixedTypes="0" containsString="0" containsNumber="1" containsInteger="1" minValue="0" maxValue="1"/>
    </cacheField>
    <cacheField name="Specific suggestions on specific items" numFmtId="0">
      <sharedItems containsSemiMixedTypes="0" containsString="0" containsNumber="1" containsInteger="1" minValue="0" maxValue="1"/>
    </cacheField>
    <cacheField name="Suggestions for phase 2" numFmtId="0">
      <sharedItems containsSemiMixedTypes="0" containsString="0" containsNumber="1" containsInteger="1" minValue="0" maxValue="1"/>
    </cacheField>
    <cacheField name="3. Disagreed" numFmtId="0">
      <sharedItems containsSemiMixedTypes="0" containsString="0" containsNumber="1" containsInteger="1" minValue="0" maxValue="1"/>
    </cacheField>
    <cacheField name="4. Holding comment until phase 2"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9108796" createdVersion="6" refreshedVersion="6" minRefreshableVersion="3" recordCount="52" xr:uid="{4E82933D-3E17-4197-91DB-74505E686C65}">
  <cacheSource type="worksheet">
    <worksheetSource ref="A1:I53" sheet="Q5 Category-Data"/>
  </cacheSource>
  <cacheFields count="9">
    <cacheField name="Respondent" numFmtId="0">
      <sharedItems/>
    </cacheField>
    <cacheField name="Respondent2"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Agreed" numFmtId="0">
      <sharedItems containsSemiMixedTypes="0" containsString="0" containsNumber="1" containsInteger="1" minValue="0" maxValue="1"/>
    </cacheField>
    <cacheField name="2. Agree but with futher comments" numFmtId="0">
      <sharedItems containsSemiMixedTypes="0" containsString="0" containsNumber="1" containsInteger="1" minValue="0" maxValue="1"/>
    </cacheField>
    <cacheField name="3. Disagreed" numFmtId="0">
      <sharedItems containsSemiMixedTypes="0" containsString="0" containsNumber="1" containsInteger="1" minValue="0" maxValue="1"/>
    </cacheField>
    <cacheField name="4. Holding comment until phase 2" numFmtId="0">
      <sharedItems containsSemiMixedTypes="0" containsString="0" containsNumber="1" containsInteger="1" minValue="0" maxValue="1"/>
    </cacheField>
    <cacheField name="Total"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91782407" createdVersion="6" refreshedVersion="6" minRefreshableVersion="3" recordCount="52" xr:uid="{97C3FD0F-BDE4-4433-BB90-CAA98D7A08D5}">
  <cacheSource type="worksheet">
    <worksheetSource ref="A1:N53" sheet="Q4 Theme-Data"/>
  </cacheSource>
  <cacheFields count="14">
    <cacheField name="Respondent" numFmtId="0">
      <sharedItems/>
    </cacheField>
    <cacheField name="Respondent2"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Agreed" numFmtId="0">
      <sharedItems containsSemiMixedTypes="0" containsString="0" containsNumber="1" containsInteger="1" minValue="0" maxValue="1"/>
    </cacheField>
    <cacheField name="2. Agree but with futher comments" numFmtId="0">
      <sharedItems containsSemiMixedTypes="0" containsString="0" containsNumber="1" containsInteger="1" minValue="0" maxValue="1"/>
    </cacheField>
    <cacheField name="Assertions described may not be sufficiently broad to remain framework neutral" numFmtId="0">
      <sharedItems containsSemiMixedTypes="0" containsString="0" containsNumber="1" containsInteger="1" minValue="0" maxValue="1"/>
    </cacheField>
    <cacheField name="Avoid suggestion of requirements or best practice" numFmtId="0">
      <sharedItems containsSemiMixedTypes="0" containsString="0" containsNumber="1" containsInteger="1" minValue="0" maxValue="1"/>
    </cacheField>
    <cacheField name="Clarify if guidance should be referred to in the assurance report" numFmtId="0">
      <sharedItems containsSemiMixedTypes="0" containsString="0" containsNumber="1" containsInteger="1" minValue="0" maxValue="1"/>
    </cacheField>
    <cacheField name="Emphasis on controls suggests fully substantive approach not permitted" numFmtId="0">
      <sharedItems containsSemiMixedTypes="0" containsString="0" containsNumber="1" containsInteger="1" minValue="0" maxValue="1"/>
    </cacheField>
    <cacheField name="Other standards to be addressed" numFmtId="0">
      <sharedItems containsSemiMixedTypes="0" containsString="0" containsNumber="1" containsInteger="1" minValue="0" maxValue="1"/>
    </cacheField>
    <cacheField name="Specific conflicts or new requirements identified" numFmtId="0">
      <sharedItems containsSemiMixedTypes="0" containsString="0" containsNumber="1" containsInteger="1" minValue="0" maxValue="1"/>
    </cacheField>
    <cacheField name="3. Disagreed" numFmtId="0">
      <sharedItems containsSemiMixedTypes="0" containsString="0" containsNumber="1" containsInteger="1" minValue="0" maxValue="1"/>
    </cacheField>
    <cacheField name="4. No comment or holding comment until phase 2"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92592592" createdVersion="6" refreshedVersion="6" minRefreshableVersion="3" recordCount="52" xr:uid="{E017874F-9659-4F28-B355-5A030F097EB5}">
  <cacheSource type="worksheet">
    <worksheetSource ref="A1:I53" sheet="Q4 Category-Data"/>
  </cacheSource>
  <cacheFields count="9">
    <cacheField name="Respondent" numFmtId="0">
      <sharedItems/>
    </cacheField>
    <cacheField name="Respondent2"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Agreed" numFmtId="0">
      <sharedItems containsSemiMixedTypes="0" containsString="0" containsNumber="1" containsInteger="1" minValue="0" maxValue="1"/>
    </cacheField>
    <cacheField name="2. Agree but with futher comments" numFmtId="0">
      <sharedItems containsSemiMixedTypes="0" containsString="0" containsNumber="1" containsInteger="1" minValue="0" maxValue="1"/>
    </cacheField>
    <cacheField name="3. Disagreed" numFmtId="0">
      <sharedItems containsSemiMixedTypes="0" containsString="0" containsNumber="1" containsInteger="1" minValue="0" maxValue="1"/>
    </cacheField>
    <cacheField name="4. No comment or holding comment until phase 2" numFmtId="0">
      <sharedItems containsSemiMixedTypes="0" containsString="0" containsNumber="1" containsInteger="1" minValue="0" maxValue="1"/>
    </cacheField>
    <cacheField name="Total"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93518515" createdVersion="6" refreshedVersion="6" minRefreshableVersion="3" recordCount="52" xr:uid="{1808BAA7-AF29-460B-B2F1-E36E9FF0EAE5}">
  <cacheSource type="worksheet">
    <worksheetSource ref="A1:O53" sheet="Q3 Theme-Data"/>
  </cacheSource>
  <cacheFields count="15">
    <cacheField name="Respondent" numFmtId="0">
      <sharedItems/>
    </cacheField>
    <cacheField name="Respondent2"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Supports proposed structure" numFmtId="0">
      <sharedItems containsSemiMixedTypes="0" containsString="0" containsNumber="1" containsInteger="1" minValue="0" maxValue="1"/>
    </cacheField>
    <cacheField name="2. Support proposed structure with suggestions for improvement" numFmtId="0">
      <sharedItems containsSemiMixedTypes="0" containsString="0" containsNumber="1" containsInteger="1" minValue="0" maxValue="1"/>
    </cacheField>
    <cacheField name="Assess proposed structure after phase  2 completed" numFmtId="0">
      <sharedItems containsSemiMixedTypes="0" containsString="0" containsNumber="1" containsInteger="1" minValue="0" maxValue="1"/>
    </cacheField>
    <cacheField name="Clarify purpose of guidance" numFmtId="0">
      <sharedItems containsSemiMixedTypes="0" containsString="0" containsNumber="1" containsInteger="1" minValue="0" maxValue="1"/>
    </cacheField>
    <cacheField name="Differentiate ISAE 3000 requirements or application material from guidance material" numFmtId="0">
      <sharedItems containsSemiMixedTypes="0" containsString="0" containsNumber="1" containsInteger="1" minValue="0" maxValue="1"/>
    </cacheField>
    <cacheField name="Differentiate preparer and practitioner guidance" numFmtId="0">
      <sharedItems containsSemiMixedTypes="0" containsString="0" containsNumber="1" containsInteger="1" minValue="0" maxValue="1"/>
    </cacheField>
    <cacheField name="Examples in a separate appendix" numFmtId="0">
      <sharedItems containsSemiMixedTypes="0" containsString="0" containsNumber="1" containsInteger="1" minValue="0" maxValue="1"/>
    </cacheField>
    <cacheField name="Flow chart or signposting to navigate through guidance" numFmtId="0">
      <sharedItems containsSemiMixedTypes="0" containsString="0" containsNumber="1" containsInteger="1" minValue="0" maxValue="1"/>
    </cacheField>
    <cacheField name="Linkages between chapters" numFmtId="0">
      <sharedItems containsSemiMixedTypes="0" containsString="0" containsNumber="1" containsInteger="1" minValue="0" maxValue="1"/>
    </cacheField>
    <cacheField name="Sequencing suggestions" numFmtId="0">
      <sharedItems containsSemiMixedTypes="0" containsString="0" containsNumber="1" containsInteger="1" minValue="0" maxValue="1"/>
    </cacheField>
    <cacheField name="3. Does not support proposed structur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94444447" createdVersion="6" refreshedVersion="6" minRefreshableVersion="3" recordCount="52" xr:uid="{79AABFF5-5C21-4B5D-AA80-D4F5D1718B46}">
  <cacheSource type="worksheet">
    <worksheetSource ref="A1:H53" sheet="Q3 Category-Data"/>
  </cacheSource>
  <cacheFields count="8">
    <cacheField name="Respondent" numFmtId="0">
      <sharedItems/>
    </cacheField>
    <cacheField name="Respondent2"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Supports proposed structure" numFmtId="0">
      <sharedItems containsSemiMixedTypes="0" containsString="0" containsNumber="1" containsInteger="1" minValue="0" maxValue="1"/>
    </cacheField>
    <cacheField name="2. Support proposed structure with suggestions for improvement" numFmtId="0">
      <sharedItems containsSemiMixedTypes="0" containsString="0" containsNumber="1" containsInteger="1" minValue="0" maxValue="1"/>
    </cacheField>
    <cacheField name="3. Does not support proposed structure" numFmtId="0">
      <sharedItems containsSemiMixedTypes="0" containsString="0" containsNumber="1" containsInteger="1" minValue="0" maxValue="1"/>
    </cacheField>
    <cacheField name="Total"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95138886" createdVersion="6" refreshedVersion="6" minRefreshableVersion="3" recordCount="52" xr:uid="{D53375C5-7DDC-466E-880F-F8FF97B70B4A}">
  <cacheSource type="worksheet">
    <worksheetSource name="Table6"/>
  </cacheSource>
  <cacheFields count="26">
    <cacheField name="Respondent" numFmtId="0">
      <sharedItems/>
    </cacheField>
    <cacheField name="Respondent2"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Agreed" numFmtId="0">
      <sharedItems containsSemiMixedTypes="0" containsString="0" containsNumber="1" containsInteger="1" minValue="0" maxValue="1"/>
    </cacheField>
    <cacheField name="2. Agree but with futher comments" numFmtId="0">
      <sharedItems containsSemiMixedTypes="0" containsString="0" containsNumber="1" containsInteger="1" minValue="0" maxValue="1"/>
    </cacheField>
    <cacheField name="Assertions" numFmtId="0">
      <sharedItems containsSemiMixedTypes="0" containsString="0" containsNumber="1" containsInteger="1" minValue="0" maxValue="1"/>
    </cacheField>
    <cacheField name="Financial information in EER reports" numFmtId="0">
      <sharedItems containsSemiMixedTypes="0" containsString="0" containsNumber="1" containsInteger="1" minValue="0" maxValue="1"/>
    </cacheField>
    <cacheField name="Governance and internal control" numFmtId="0">
      <sharedItems containsSemiMixedTypes="0" containsString="0" containsNumber="1" containsInteger="1" minValue="0" maxValue="1"/>
    </cacheField>
    <cacheField name="Impact of technological advancements" numFmtId="0">
      <sharedItems containsSemiMixedTypes="0" containsString="0" containsNumber="1" containsInteger="1" minValue="0" maxValue="1"/>
    </cacheField>
    <cacheField name="Limited and reasonable assurance" numFmtId="0">
      <sharedItems containsSemiMixedTypes="0" containsString="0" containsNumber="1" containsInteger="1" minValue="0" maxValue="1"/>
    </cacheField>
    <cacheField name="Materiality considerations" numFmtId="0">
      <sharedItems containsSemiMixedTypes="0" containsString="0" containsNumber="1" containsInteger="1" minValue="0" maxValue="1"/>
    </cacheField>
    <cacheField name="'Materiality process' for developing the criteria" numFmtId="0">
      <sharedItems containsSemiMixedTypes="0" containsString="0" containsNumber="1" containsInteger="1" minValue="0" maxValue="1"/>
    </cacheField>
    <cacheField name="Narrative and future-oriented Information" numFmtId="0">
      <sharedItems containsSemiMixedTypes="0" containsString="0" containsNumber="1" containsInteger="1" minValue="0" maxValue="1"/>
    </cacheField>
    <cacheField name="Other (non-project proposal or allocated to phase 2)" numFmtId="0">
      <sharedItems containsSemiMixedTypes="0" containsString="0" containsNumber="1" containsInteger="1" minValue="0" maxValue="1"/>
    </cacheField>
    <cacheField name="Other information in an EER report" numFmtId="0">
      <sharedItems containsSemiMixedTypes="0" containsString="0" containsNumber="1" containsInteger="1" minValue="0" maxValue="1"/>
    </cacheField>
    <cacheField name="Preconditions" numFmtId="0">
      <sharedItems containsSemiMixedTypes="0" containsString="0" containsNumber="1" containsInteger="1" minValue="0" maxValue="1"/>
    </cacheField>
    <cacheField name="Quality control and ethics (ISQC 1 and IESBA)" numFmtId="0">
      <sharedItems containsSemiMixedTypes="0" containsString="0" containsNumber="1" containsInteger="1" minValue="0" maxValue="1"/>
    </cacheField>
    <cacheField name="Scope of guidance - Clarify EER, intended audience and purpose" numFmtId="0">
      <sharedItems containsSemiMixedTypes="0" containsString="0" containsNumber="1" containsInteger="1" minValue="0" maxValue="1"/>
    </cacheField>
    <cacheField name="Using the work of others" numFmtId="0">
      <sharedItems containsSemiMixedTypes="0" containsString="0" containsNumber="1" containsInteger="1" minValue="0" maxValue="1"/>
    </cacheField>
    <cacheField name="3. Disagreed" numFmtId="0">
      <sharedItems containsSemiMixedTypes="0" containsString="0" containsNumber="1" containsInteger="1" minValue="0" maxValue="1"/>
    </cacheField>
    <cacheField name="Country specific considerations" numFmtId="0">
      <sharedItems containsSemiMixedTypes="0" containsString="0" containsNumber="1" containsInteger="1" minValue="0" maxValue="1"/>
    </cacheField>
    <cacheField name="Limited and reasonable assurance2" numFmtId="0">
      <sharedItems containsSemiMixedTypes="0" containsString="0" containsNumber="1" containsInteger="1" minValue="0" maxValue="1"/>
    </cacheField>
    <cacheField name="Other (non-project proposal or allocated to phase 2)2" numFmtId="0">
      <sharedItems containsSemiMixedTypes="0" containsString="0" containsNumber="1" containsInteger="1" minValue="0" maxValue="1"/>
    </cacheField>
    <cacheField name="Practical application" numFmtId="0">
      <sharedItems containsSemiMixedTypes="0" containsString="0" containsNumber="1" containsInteger="1" minValue="0" maxValue="1"/>
    </cacheField>
    <cacheField name="Scoping"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95949071" createdVersion="6" refreshedVersion="6" minRefreshableVersion="3" recordCount="52" xr:uid="{565FA944-B97F-4AB5-B860-A420E8962012}">
  <cacheSource type="worksheet">
    <worksheetSource ref="A1:N53" sheet="Q2 Theme-Data"/>
  </cacheSource>
  <cacheFields count="14">
    <cacheField name="Respondent" numFmtId="0">
      <sharedItems/>
    </cacheField>
    <cacheField name="Respondent2"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Agreed" numFmtId="0">
      <sharedItems containsSemiMixedTypes="0" containsString="0" containsNumber="1" containsInteger="1" minValue="0" maxValue="1"/>
    </cacheField>
    <cacheField name="2. Agree but with futher comments" numFmtId="0">
      <sharedItems containsSemiMixedTypes="0" containsString="0" containsNumber="1" containsInteger="1" minValue="0" maxValue="1"/>
    </cacheField>
    <cacheField name="Differentiate preparer and practitioner material" numFmtId="0">
      <sharedItems containsSemiMixedTypes="0" containsString="0" containsNumber="1" containsInteger="1" minValue="0" maxValue="1"/>
    </cacheField>
    <cacheField name="Digitalize presentation including use of hyperlinks" numFmtId="0">
      <sharedItems containsSemiMixedTypes="0" containsString="0" containsNumber="1" containsInteger="1" minValue="0" maxValue="1"/>
    </cacheField>
    <cacheField name="Examples and diagrams" numFmtId="0">
      <sharedItems containsSemiMixedTypes="0" containsString="0" containsNumber="1" containsInteger="1" minValue="0" maxValue="1"/>
    </cacheField>
    <cacheField name="Guidance complex and conceptual" numFmtId="0">
      <sharedItems containsSemiMixedTypes="0" containsString="0" containsNumber="1" containsInteger="1" minValue="0" maxValue="1"/>
    </cacheField>
    <cacheField name="Length of guidance" numFmtId="0">
      <sharedItems containsSemiMixedTypes="0" containsString="0" containsNumber="1" containsInteger="1" minValue="0" maxValue="1"/>
    </cacheField>
    <cacheField name="Repetition of ISAE 3000 material" numFmtId="0">
      <sharedItems containsSemiMixedTypes="0" containsString="0" containsNumber="1" containsInteger="1" minValue="0" maxValue="1"/>
    </cacheField>
    <cacheField name="Terminology" numFmtId="0">
      <sharedItems containsSemiMixedTypes="0" containsString="0" containsNumber="1" containsInteger="1" minValue="0" maxValue="1"/>
    </cacheField>
    <cacheField name="3. Disagre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96759256" createdVersion="6" refreshedVersion="6" minRefreshableVersion="3" recordCount="52" xr:uid="{6CA0D36A-9F1D-4FEB-8AA8-D0BAC43263CB}">
  <cacheSource type="worksheet">
    <worksheetSource ref="B1:H53" sheet="Q2 Category-Data"/>
  </cacheSource>
  <cacheFields count="7">
    <cacheField name="Respondent"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Agreed" numFmtId="0">
      <sharedItems containsSemiMixedTypes="0" containsString="0" containsNumber="1" containsInteger="1" minValue="0" maxValue="1"/>
    </cacheField>
    <cacheField name="2. Agree but with futher comments" numFmtId="0">
      <sharedItems containsSemiMixedTypes="0" containsString="0" containsNumber="1" containsInteger="1" minValue="0" maxValue="1"/>
    </cacheField>
    <cacheField name="3. Disagreed" numFmtId="0">
      <sharedItems containsSemiMixedTypes="0" containsString="0" containsNumber="1" containsInteger="1" minValue="0" maxValue="1"/>
    </cacheField>
    <cacheField name="Total"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rmand Kotze" refreshedDate="43717.476797453703" createdVersion="6" refreshedVersion="6" minRefreshableVersion="3" recordCount="52" xr:uid="{B74DF24D-C40E-4E37-8829-EAEE547053FC}">
  <cacheSource type="worksheet">
    <worksheetSource name="Table5"/>
  </cacheSource>
  <cacheFields count="12">
    <cacheField name="Respondent" numFmtId="0">
      <sharedItems/>
    </cacheField>
    <cacheField name="Respondent2" numFmtId="0">
      <sharedItems count="52">
        <s v="01. CRUF"/>
        <s v="02. CFC"/>
        <s v="03. IRBA"/>
        <s v="04. AUASB"/>
        <s v="05. CNCC-CSOEC"/>
        <s v="06. HKICPA"/>
        <s v="07. IDW"/>
        <s v="08. JICPA"/>
        <s v="09. MAASB"/>
        <s v="10. NBA"/>
        <s v="11. NZAASB"/>
        <s v="12. BDO"/>
        <s v="13. CG"/>
        <s v="14. DTT"/>
        <s v="15. EYG"/>
        <s v="16. GTI"/>
        <s v="17. KPMG"/>
        <s v="18. MZS"/>
        <s v="19. PwC"/>
        <s v="20. GAO"/>
        <s v="21. ACCA-CAANZ"/>
        <s v="22. AE"/>
        <s v="23. AICPA"/>
        <s v="24. AIPS"/>
        <s v="25. ASSIREVI"/>
        <s v="26. CPAA"/>
        <s v="27. CPAC"/>
        <s v="28. EFAA"/>
        <s v="29. FACPCE"/>
        <s v="30. FAR"/>
        <s v="31. FSR"/>
        <s v="32. GRI"/>
        <s v="33. IAAA"/>
        <s v="34. IIA"/>
        <s v="35. IIRC"/>
        <s v="36. ICAEW"/>
        <s v="37. ICAG"/>
        <s v="38. ICAS"/>
        <s v="39. ICPAU"/>
        <s v="40. IPA"/>
        <s v="41. ISCA"/>
        <s v="42. MICPA"/>
        <s v="43. NASBA"/>
        <s v="44. PAIB"/>
        <s v="45. SAICA"/>
        <s v="46. SASB"/>
        <s v="47. WICI"/>
        <s v="48. WPK"/>
        <s v="49. DU"/>
        <s v="50. BARNARD"/>
        <s v="51. CAATAS"/>
        <s v="52. SCHNEIDER"/>
      </sharedItems>
    </cacheField>
    <cacheField name="Classification" numFmtId="0">
      <sharedItems count="8">
        <s v="1. Investors and Analysts"/>
        <s v="2. Regulators and Oversight Authorities"/>
        <s v="3. National Auditing Standard Setters"/>
        <s v="4. Accounting Firms"/>
        <s v="5. Public Sector Organizations"/>
        <s v="6. Member Bodies and Other Professional Organizations"/>
        <s v="7. Academics"/>
        <s v="8. Individuals and Others"/>
      </sharedItems>
    </cacheField>
    <cacheField name="Region" numFmtId="0">
      <sharedItems/>
    </cacheField>
    <cacheField name="1. Material is useful or partially useful with some comments for improvement" numFmtId="0">
      <sharedItems containsSemiMixedTypes="0" containsString="0" containsNumber="1" containsInteger="1" minValue="0" maxValue="1"/>
    </cacheField>
    <cacheField name="Material should be appended to ISAE 3000 (Revised)" numFmtId="0">
      <sharedItems containsSemiMixedTypes="0" containsString="0" containsNumber="1" containsInteger="1" minValue="0" maxValue="1"/>
    </cacheField>
    <cacheField name="Material should be incorporated into the guidance document" numFmtId="0">
      <sharedItems containsSemiMixedTypes="0" containsString="0" containsNumber="1" containsInteger="1" minValue="0" maxValue="1"/>
    </cacheField>
    <cacheField name="Material should be published alongside guidance document" numFmtId="0">
      <sharedItems containsSemiMixedTypes="0" containsString="0" containsNumber="1" containsInteger="1" minValue="0" maxValue="1"/>
    </cacheField>
    <cacheField name="Other comments on the additional papers" numFmtId="0">
      <sharedItems containsSemiMixedTypes="0" containsString="0" containsNumber="1" containsInteger="1" minValue="0" maxValue="1"/>
    </cacheField>
    <cacheField name="Response does not address publication or does not have a preference" numFmtId="0">
      <sharedItems containsSemiMixedTypes="0" containsString="0" containsNumber="1" containsInteger="1" minValue="0" maxValue="1"/>
    </cacheField>
    <cacheField name="2. Publication of material not supported at all" numFmtId="0">
      <sharedItems containsSemiMixedTypes="0" containsString="0" containsNumber="1" containsInteger="1" minValue="0" maxValue="1"/>
    </cacheField>
    <cacheField name="3. No comment"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Cases\\01. CRUF"/>
    <x v="0"/>
    <x v="0"/>
    <s v="Global"/>
    <n v="0"/>
    <n v="0"/>
    <n v="1"/>
    <n v="1"/>
  </r>
  <r>
    <s v="Cases\\02. CFC"/>
    <x v="1"/>
    <x v="1"/>
    <s v="South America"/>
    <n v="1"/>
    <n v="0"/>
    <n v="0"/>
    <n v="1"/>
  </r>
  <r>
    <s v="Cases\\03. IRBA"/>
    <x v="2"/>
    <x v="1"/>
    <s v="Middle East and Africa"/>
    <n v="1"/>
    <n v="0"/>
    <n v="0"/>
    <n v="1"/>
  </r>
  <r>
    <s v="Cases\\04. AUASB"/>
    <x v="3"/>
    <x v="2"/>
    <s v="Asia Pacific"/>
    <n v="1"/>
    <n v="0"/>
    <n v="0"/>
    <n v="1"/>
  </r>
  <r>
    <s v="Cases\\05. CNCC-CSOEC"/>
    <x v="4"/>
    <x v="2"/>
    <s v="Europe"/>
    <n v="1"/>
    <n v="0"/>
    <n v="0"/>
    <n v="1"/>
  </r>
  <r>
    <s v="Cases\\06. HKICPA"/>
    <x v="5"/>
    <x v="2"/>
    <s v="Asia Pacific"/>
    <n v="1"/>
    <n v="0"/>
    <n v="0"/>
    <n v="1"/>
  </r>
  <r>
    <s v="Cases\\07. IDW"/>
    <x v="6"/>
    <x v="2"/>
    <s v="Europe"/>
    <n v="1"/>
    <n v="0"/>
    <n v="0"/>
    <n v="1"/>
  </r>
  <r>
    <s v="Cases\\08. JICPA"/>
    <x v="7"/>
    <x v="2"/>
    <s v="Asia Pacific"/>
    <n v="1"/>
    <n v="0"/>
    <n v="0"/>
    <n v="1"/>
  </r>
  <r>
    <s v="Cases\\09. MAASB"/>
    <x v="8"/>
    <x v="2"/>
    <s v="Asia Pacific"/>
    <n v="1"/>
    <n v="0"/>
    <n v="0"/>
    <n v="1"/>
  </r>
  <r>
    <s v="Cases\\10. NBA"/>
    <x v="9"/>
    <x v="2"/>
    <s v="Europe"/>
    <n v="1"/>
    <n v="0"/>
    <n v="0"/>
    <n v="1"/>
  </r>
  <r>
    <s v="Cases\\11. NZAASB"/>
    <x v="10"/>
    <x v="2"/>
    <s v="Asia Pacific"/>
    <n v="1"/>
    <n v="0"/>
    <n v="0"/>
    <n v="1"/>
  </r>
  <r>
    <s v="Cases\\12. BDO"/>
    <x v="11"/>
    <x v="3"/>
    <s v="Global"/>
    <n v="1"/>
    <n v="0"/>
    <n v="0"/>
    <n v="1"/>
  </r>
  <r>
    <s v="Cases\\13. CG"/>
    <x v="12"/>
    <x v="3"/>
    <s v="Global"/>
    <n v="1"/>
    <n v="0"/>
    <n v="0"/>
    <n v="1"/>
  </r>
  <r>
    <s v="Cases\\14. DTT"/>
    <x v="13"/>
    <x v="3"/>
    <s v="Global"/>
    <n v="1"/>
    <n v="0"/>
    <n v="0"/>
    <n v="1"/>
  </r>
  <r>
    <s v="Cases\\15. EYG"/>
    <x v="14"/>
    <x v="3"/>
    <s v="Global"/>
    <n v="1"/>
    <n v="0"/>
    <n v="0"/>
    <n v="1"/>
  </r>
  <r>
    <s v="Cases\\16. GTI"/>
    <x v="15"/>
    <x v="3"/>
    <s v="Global"/>
    <n v="0"/>
    <n v="0"/>
    <n v="1"/>
    <n v="1"/>
  </r>
  <r>
    <s v="Cases\\17. KPMG"/>
    <x v="16"/>
    <x v="3"/>
    <s v="Global"/>
    <n v="1"/>
    <n v="0"/>
    <n v="0"/>
    <n v="1"/>
  </r>
  <r>
    <s v="Cases\\18. MZS"/>
    <x v="17"/>
    <x v="3"/>
    <s v="Global"/>
    <n v="1"/>
    <n v="0"/>
    <n v="0"/>
    <n v="1"/>
  </r>
  <r>
    <s v="Cases\\19. PwC"/>
    <x v="18"/>
    <x v="3"/>
    <s v="Global"/>
    <n v="1"/>
    <n v="0"/>
    <n v="0"/>
    <n v="1"/>
  </r>
  <r>
    <s v="Cases\\20. GAO"/>
    <x v="19"/>
    <x v="4"/>
    <s v="North America"/>
    <n v="1"/>
    <n v="0"/>
    <n v="0"/>
    <n v="1"/>
  </r>
  <r>
    <s v="Cases\\21. ACCA-CAANZ"/>
    <x v="20"/>
    <x v="5"/>
    <s v="Global"/>
    <n v="1"/>
    <n v="0"/>
    <n v="0"/>
    <n v="1"/>
  </r>
  <r>
    <s v="Cases\\22. AE"/>
    <x v="21"/>
    <x v="5"/>
    <s v="Europe"/>
    <n v="1"/>
    <n v="0"/>
    <n v="0"/>
    <n v="1"/>
  </r>
  <r>
    <s v="Cases\\23. AICPA"/>
    <x v="22"/>
    <x v="5"/>
    <s v="North America"/>
    <n v="1"/>
    <n v="0"/>
    <n v="0"/>
    <n v="1"/>
  </r>
  <r>
    <s v="Cases\\24. AIPS"/>
    <x v="23"/>
    <x v="5"/>
    <s v="Asia Pacific"/>
    <n v="0"/>
    <n v="0"/>
    <n v="1"/>
    <n v="1"/>
  </r>
  <r>
    <s v="Cases\\25. ASSIREVI"/>
    <x v="24"/>
    <x v="5"/>
    <s v="Europe"/>
    <n v="1"/>
    <n v="0"/>
    <n v="0"/>
    <n v="1"/>
  </r>
  <r>
    <s v="Cases\\26. CPAA"/>
    <x v="25"/>
    <x v="5"/>
    <s v="Asia Pacific"/>
    <n v="1"/>
    <n v="0"/>
    <n v="0"/>
    <n v="1"/>
  </r>
  <r>
    <s v="Cases\\27. CPAC"/>
    <x v="26"/>
    <x v="5"/>
    <s v="North America"/>
    <n v="0"/>
    <n v="0"/>
    <n v="1"/>
    <n v="1"/>
  </r>
  <r>
    <s v="Cases\\28. EFAA"/>
    <x v="27"/>
    <x v="5"/>
    <s v="Europe"/>
    <n v="1"/>
    <n v="0"/>
    <n v="0"/>
    <n v="1"/>
  </r>
  <r>
    <s v="Cases\\29. FACPCE"/>
    <x v="28"/>
    <x v="5"/>
    <s v="South America"/>
    <n v="1"/>
    <n v="0"/>
    <n v="0"/>
    <n v="1"/>
  </r>
  <r>
    <s v="Cases\\30. FAR"/>
    <x v="29"/>
    <x v="5"/>
    <s v="Europe"/>
    <n v="0"/>
    <n v="0"/>
    <n v="1"/>
    <n v="1"/>
  </r>
  <r>
    <s v="Cases\\31. FSR"/>
    <x v="30"/>
    <x v="5"/>
    <s v="Europe"/>
    <n v="1"/>
    <n v="0"/>
    <n v="0"/>
    <n v="1"/>
  </r>
  <r>
    <s v="Cases\\32. GRI"/>
    <x v="31"/>
    <x v="5"/>
    <s v="Global"/>
    <n v="1"/>
    <n v="0"/>
    <n v="0"/>
    <n v="1"/>
  </r>
  <r>
    <s v="Cases\\33. IAAA"/>
    <x v="32"/>
    <x v="5"/>
    <s v="South America"/>
    <n v="1"/>
    <n v="0"/>
    <n v="0"/>
    <n v="1"/>
  </r>
  <r>
    <s v="Cases\\34. IIA"/>
    <x v="33"/>
    <x v="5"/>
    <s v="Global"/>
    <n v="0"/>
    <n v="0"/>
    <n v="1"/>
    <n v="1"/>
  </r>
  <r>
    <s v="Cases\\35. IIRC"/>
    <x v="34"/>
    <x v="5"/>
    <s v="Global"/>
    <n v="0"/>
    <n v="0"/>
    <n v="1"/>
    <n v="1"/>
  </r>
  <r>
    <s v="Cases\\36. ICAEW"/>
    <x v="35"/>
    <x v="5"/>
    <s v="Europe"/>
    <n v="1"/>
    <n v="0"/>
    <n v="0"/>
    <n v="1"/>
  </r>
  <r>
    <s v="Cases\\37. ICAG"/>
    <x v="36"/>
    <x v="5"/>
    <s v="Middle East and Africa"/>
    <n v="1"/>
    <n v="0"/>
    <n v="0"/>
    <n v="1"/>
  </r>
  <r>
    <s v="Cases\\38. ICAS"/>
    <x v="37"/>
    <x v="5"/>
    <s v="Europe"/>
    <n v="1"/>
    <n v="0"/>
    <n v="0"/>
    <n v="1"/>
  </r>
  <r>
    <s v="Cases\\39. ICPAU"/>
    <x v="38"/>
    <x v="5"/>
    <s v="Middle East and Africa"/>
    <n v="1"/>
    <n v="0"/>
    <n v="0"/>
    <n v="1"/>
  </r>
  <r>
    <s v="Cases\\40. IPA"/>
    <x v="39"/>
    <x v="5"/>
    <s v="Asia Pacific"/>
    <n v="1"/>
    <n v="0"/>
    <n v="0"/>
    <n v="1"/>
  </r>
  <r>
    <s v="Cases\\41. ISCA"/>
    <x v="40"/>
    <x v="5"/>
    <s v="Asia Pacific"/>
    <n v="0"/>
    <n v="0"/>
    <n v="1"/>
    <n v="1"/>
  </r>
  <r>
    <s v="Cases\\42. MICPA"/>
    <x v="41"/>
    <x v="5"/>
    <s v="Asia Pacific"/>
    <n v="1"/>
    <n v="0"/>
    <n v="0"/>
    <n v="1"/>
  </r>
  <r>
    <s v="Cases\\43. NASBA"/>
    <x v="42"/>
    <x v="5"/>
    <s v="North America"/>
    <n v="1"/>
    <n v="0"/>
    <n v="0"/>
    <n v="1"/>
  </r>
  <r>
    <s v="Cases\\44. PAIB"/>
    <x v="43"/>
    <x v="5"/>
    <s v="Global"/>
    <n v="1"/>
    <n v="0"/>
    <n v="0"/>
    <n v="1"/>
  </r>
  <r>
    <s v="Cases\\45. SAICA"/>
    <x v="44"/>
    <x v="5"/>
    <s v="Middle East and Africa"/>
    <n v="1"/>
    <n v="0"/>
    <n v="0"/>
    <n v="1"/>
  </r>
  <r>
    <s v="Cases\\46. SASB"/>
    <x v="45"/>
    <x v="5"/>
    <s v="Global"/>
    <n v="0"/>
    <n v="0"/>
    <n v="1"/>
    <n v="1"/>
  </r>
  <r>
    <s v="Cases\\47. WICI"/>
    <x v="46"/>
    <x v="5"/>
    <s v="Global"/>
    <n v="0"/>
    <n v="0"/>
    <n v="1"/>
    <n v="1"/>
  </r>
  <r>
    <s v="Cases\\48. WPK"/>
    <x v="47"/>
    <x v="5"/>
    <s v="Europe"/>
    <n v="0"/>
    <n v="1"/>
    <n v="0"/>
    <n v="1"/>
  </r>
  <r>
    <s v="Cases\\49. DU"/>
    <x v="48"/>
    <x v="6"/>
    <s v="Asia Pacific"/>
    <n v="0"/>
    <n v="0"/>
    <n v="1"/>
    <n v="1"/>
  </r>
  <r>
    <s v="Cases\\50. BARNARD"/>
    <x v="49"/>
    <x v="7"/>
    <s v="Europe"/>
    <n v="0"/>
    <n v="0"/>
    <n v="1"/>
    <n v="1"/>
  </r>
  <r>
    <s v="Cases\\51. CAATAS"/>
    <x v="50"/>
    <x v="7"/>
    <s v="Middle East and Africa"/>
    <n v="1"/>
    <n v="0"/>
    <n v="0"/>
    <n v="1"/>
  </r>
  <r>
    <s v="Cases\\52. SCHNEIDER"/>
    <x v="51"/>
    <x v="7"/>
    <s v="North America"/>
    <n v="1"/>
    <n v="0"/>
    <n v="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Cases\\01. CRUF"/>
    <x v="0"/>
    <x v="0"/>
    <s v="Global"/>
    <n v="0"/>
    <n v="1"/>
    <n v="0"/>
    <n v="0"/>
    <n v="0"/>
    <n v="1"/>
  </r>
  <r>
    <s v="Cases\\02. CFC"/>
    <x v="1"/>
    <x v="1"/>
    <s v="South America"/>
    <n v="0"/>
    <n v="0"/>
    <n v="0"/>
    <n v="0"/>
    <n v="0"/>
    <n v="0"/>
  </r>
  <r>
    <s v="Cases\\03. IRBA"/>
    <x v="2"/>
    <x v="1"/>
    <s v="Middle East and Africa"/>
    <n v="1"/>
    <n v="1"/>
    <n v="1"/>
    <n v="0"/>
    <n v="0"/>
    <n v="1"/>
  </r>
  <r>
    <s v="Cases\\04. AUASB"/>
    <x v="3"/>
    <x v="2"/>
    <s v="Asia Pacific"/>
    <n v="0"/>
    <n v="0"/>
    <n v="0"/>
    <n v="0"/>
    <n v="0"/>
    <n v="0"/>
  </r>
  <r>
    <s v="Cases\\05. CNCC-CSOEC"/>
    <x v="4"/>
    <x v="2"/>
    <s v="Europe"/>
    <n v="0"/>
    <n v="0"/>
    <n v="0"/>
    <n v="0"/>
    <n v="0"/>
    <n v="0"/>
  </r>
  <r>
    <s v="Cases\\06. HKICPA"/>
    <x v="5"/>
    <x v="2"/>
    <s v="Asia Pacific"/>
    <n v="0"/>
    <n v="0"/>
    <n v="0"/>
    <n v="0"/>
    <n v="0"/>
    <n v="0"/>
  </r>
  <r>
    <s v="Cases\\07. IDW"/>
    <x v="6"/>
    <x v="2"/>
    <s v="Europe"/>
    <n v="1"/>
    <n v="1"/>
    <n v="1"/>
    <n v="0"/>
    <n v="0"/>
    <n v="1"/>
  </r>
  <r>
    <s v="Cases\\08. JICPA"/>
    <x v="7"/>
    <x v="2"/>
    <s v="Asia Pacific"/>
    <n v="0"/>
    <n v="0"/>
    <n v="0"/>
    <n v="0"/>
    <n v="0"/>
    <n v="0"/>
  </r>
  <r>
    <s v="Cases\\09. MAASB"/>
    <x v="8"/>
    <x v="2"/>
    <s v="Asia Pacific"/>
    <n v="0"/>
    <n v="0"/>
    <n v="0"/>
    <n v="1"/>
    <n v="0"/>
    <n v="1"/>
  </r>
  <r>
    <s v="Cases\\10. NBA"/>
    <x v="9"/>
    <x v="2"/>
    <s v="Europe"/>
    <n v="1"/>
    <n v="1"/>
    <n v="1"/>
    <n v="0"/>
    <n v="0"/>
    <n v="1"/>
  </r>
  <r>
    <s v="Cases\\11. NZAASB"/>
    <x v="10"/>
    <x v="2"/>
    <s v="Asia Pacific"/>
    <n v="0"/>
    <n v="0"/>
    <n v="0"/>
    <n v="0"/>
    <n v="0"/>
    <n v="0"/>
  </r>
  <r>
    <s v="Cases\\12. BDO"/>
    <x v="11"/>
    <x v="3"/>
    <s v="Global"/>
    <n v="0"/>
    <n v="0"/>
    <n v="1"/>
    <n v="1"/>
    <n v="0"/>
    <n v="1"/>
  </r>
  <r>
    <s v="Cases\\13. CG"/>
    <x v="12"/>
    <x v="3"/>
    <s v="Global"/>
    <n v="0"/>
    <n v="0"/>
    <n v="0"/>
    <n v="1"/>
    <n v="0"/>
    <n v="1"/>
  </r>
  <r>
    <s v="Cases\\14. DTT"/>
    <x v="13"/>
    <x v="3"/>
    <s v="Global"/>
    <n v="0"/>
    <n v="0"/>
    <n v="0"/>
    <n v="0"/>
    <n v="0"/>
    <n v="0"/>
  </r>
  <r>
    <s v="Cases\\15. EYG"/>
    <x v="14"/>
    <x v="3"/>
    <s v="Global"/>
    <n v="0"/>
    <n v="0"/>
    <n v="0"/>
    <n v="0"/>
    <n v="0"/>
    <n v="0"/>
  </r>
  <r>
    <s v="Cases\\16. GTI"/>
    <x v="15"/>
    <x v="3"/>
    <s v="Global"/>
    <n v="0"/>
    <n v="0"/>
    <n v="0"/>
    <n v="0"/>
    <n v="0"/>
    <n v="0"/>
  </r>
  <r>
    <s v="Cases\\17. KPMG"/>
    <x v="16"/>
    <x v="3"/>
    <s v="Global"/>
    <n v="0"/>
    <n v="0"/>
    <n v="0"/>
    <n v="0"/>
    <n v="0"/>
    <n v="0"/>
  </r>
  <r>
    <s v="Cases\\18. MZS"/>
    <x v="17"/>
    <x v="3"/>
    <s v="Global"/>
    <n v="1"/>
    <n v="1"/>
    <n v="1"/>
    <n v="0"/>
    <n v="0"/>
    <n v="1"/>
  </r>
  <r>
    <s v="Cases\\19. PwC"/>
    <x v="18"/>
    <x v="3"/>
    <s v="Global"/>
    <n v="0"/>
    <n v="0"/>
    <n v="0"/>
    <n v="1"/>
    <n v="0"/>
    <n v="1"/>
  </r>
  <r>
    <s v="Cases\\20. GAO"/>
    <x v="19"/>
    <x v="4"/>
    <s v="North America"/>
    <n v="0"/>
    <n v="0"/>
    <n v="0"/>
    <n v="0"/>
    <n v="1"/>
    <n v="1"/>
  </r>
  <r>
    <s v="Cases\\21. ACCA-CAANZ"/>
    <x v="20"/>
    <x v="5"/>
    <s v="Global"/>
    <n v="0"/>
    <n v="0"/>
    <n v="0"/>
    <n v="0"/>
    <n v="0"/>
    <n v="0"/>
  </r>
  <r>
    <s v="Cases\\22. AE"/>
    <x v="21"/>
    <x v="5"/>
    <s v="Europe"/>
    <n v="0"/>
    <n v="0"/>
    <n v="0"/>
    <n v="0"/>
    <n v="0"/>
    <n v="0"/>
  </r>
  <r>
    <s v="Cases\\23. AICPA"/>
    <x v="22"/>
    <x v="5"/>
    <s v="North America"/>
    <n v="0"/>
    <n v="0"/>
    <n v="0"/>
    <n v="0"/>
    <n v="0"/>
    <n v="0"/>
  </r>
  <r>
    <s v="Cases\\24. AIPS"/>
    <x v="23"/>
    <x v="5"/>
    <s v="Asia Pacific"/>
    <n v="0"/>
    <n v="0"/>
    <n v="0"/>
    <n v="0"/>
    <n v="0"/>
    <n v="0"/>
  </r>
  <r>
    <s v="Cases\\25. ASSIREVI"/>
    <x v="24"/>
    <x v="5"/>
    <s v="Europe"/>
    <n v="1"/>
    <n v="0"/>
    <n v="0"/>
    <n v="0"/>
    <n v="0"/>
    <n v="1"/>
  </r>
  <r>
    <s v="Cases\\26. CPAA"/>
    <x v="25"/>
    <x v="5"/>
    <s v="Asia Pacific"/>
    <n v="0"/>
    <n v="0"/>
    <n v="0"/>
    <n v="0"/>
    <n v="0"/>
    <n v="0"/>
  </r>
  <r>
    <s v="Cases\\27. CPAC"/>
    <x v="26"/>
    <x v="5"/>
    <s v="North America"/>
    <n v="0"/>
    <n v="0"/>
    <n v="0"/>
    <n v="0"/>
    <n v="0"/>
    <n v="0"/>
  </r>
  <r>
    <s v="Cases\\28. EFAA"/>
    <x v="27"/>
    <x v="5"/>
    <s v="Europe"/>
    <n v="0"/>
    <n v="1"/>
    <n v="0"/>
    <n v="0"/>
    <n v="0"/>
    <n v="1"/>
  </r>
  <r>
    <s v="Cases\\29. FACPCE"/>
    <x v="28"/>
    <x v="5"/>
    <s v="South America"/>
    <n v="1"/>
    <n v="0"/>
    <n v="0"/>
    <n v="0"/>
    <n v="0"/>
    <n v="1"/>
  </r>
  <r>
    <s v="Cases\\30. FAR"/>
    <x v="29"/>
    <x v="5"/>
    <s v="Europe"/>
    <n v="0"/>
    <n v="0"/>
    <n v="0"/>
    <n v="0"/>
    <n v="0"/>
    <n v="0"/>
  </r>
  <r>
    <s v="Cases\\31. FSR"/>
    <x v="30"/>
    <x v="5"/>
    <s v="Europe"/>
    <n v="0"/>
    <n v="0"/>
    <n v="0"/>
    <n v="0"/>
    <n v="0"/>
    <n v="0"/>
  </r>
  <r>
    <s v="Cases\\32. GRI"/>
    <x v="31"/>
    <x v="5"/>
    <s v="Global"/>
    <n v="0"/>
    <n v="0"/>
    <n v="0"/>
    <n v="0"/>
    <n v="0"/>
    <n v="0"/>
  </r>
  <r>
    <s v="Cases\\33. IAAA"/>
    <x v="32"/>
    <x v="5"/>
    <s v="South America"/>
    <n v="1"/>
    <n v="1"/>
    <n v="1"/>
    <n v="0"/>
    <n v="0"/>
    <n v="1"/>
  </r>
  <r>
    <s v="Cases\\34. IIA"/>
    <x v="33"/>
    <x v="5"/>
    <s v="Global"/>
    <n v="0"/>
    <n v="1"/>
    <n v="0"/>
    <n v="0"/>
    <n v="0"/>
    <n v="1"/>
  </r>
  <r>
    <s v="Cases\\35. IIRC"/>
    <x v="34"/>
    <x v="5"/>
    <s v="Global"/>
    <n v="0"/>
    <n v="0"/>
    <n v="0"/>
    <n v="0"/>
    <n v="0"/>
    <n v="0"/>
  </r>
  <r>
    <s v="Cases\\36. ICAEW"/>
    <x v="35"/>
    <x v="5"/>
    <s v="Europe"/>
    <n v="1"/>
    <n v="0"/>
    <n v="0"/>
    <n v="0"/>
    <n v="0"/>
    <n v="1"/>
  </r>
  <r>
    <s v="Cases\\37. ICAG"/>
    <x v="36"/>
    <x v="5"/>
    <s v="Middle East and Africa"/>
    <n v="0"/>
    <n v="0"/>
    <n v="0"/>
    <n v="0"/>
    <n v="0"/>
    <n v="0"/>
  </r>
  <r>
    <s v="Cases\\38. ICAS"/>
    <x v="37"/>
    <x v="5"/>
    <s v="Europe"/>
    <n v="0"/>
    <n v="0"/>
    <n v="0"/>
    <n v="0"/>
    <n v="0"/>
    <n v="0"/>
  </r>
  <r>
    <s v="Cases\\39. ICPAU"/>
    <x v="38"/>
    <x v="5"/>
    <s v="Middle East and Africa"/>
    <n v="0"/>
    <n v="0"/>
    <n v="0"/>
    <n v="0"/>
    <n v="0"/>
    <n v="0"/>
  </r>
  <r>
    <s v="Cases\\40. IPA"/>
    <x v="39"/>
    <x v="5"/>
    <s v="Asia Pacific"/>
    <n v="0"/>
    <n v="0"/>
    <n v="0"/>
    <n v="1"/>
    <n v="0"/>
    <n v="1"/>
  </r>
  <r>
    <s v="Cases\\41. ISCA"/>
    <x v="40"/>
    <x v="5"/>
    <s v="Asia Pacific"/>
    <n v="0"/>
    <n v="0"/>
    <n v="0"/>
    <n v="0"/>
    <n v="0"/>
    <n v="0"/>
  </r>
  <r>
    <s v="Cases\\42. MICPA"/>
    <x v="41"/>
    <x v="5"/>
    <s v="Asia Pacific"/>
    <n v="1"/>
    <n v="0"/>
    <n v="1"/>
    <n v="0"/>
    <n v="1"/>
    <n v="1"/>
  </r>
  <r>
    <s v="Cases\\43. NASBA"/>
    <x v="42"/>
    <x v="5"/>
    <s v="North America"/>
    <n v="0"/>
    <n v="0"/>
    <n v="0"/>
    <n v="1"/>
    <n v="0"/>
    <n v="1"/>
  </r>
  <r>
    <s v="Cases\\44. PAIB"/>
    <x v="43"/>
    <x v="5"/>
    <s v="Global"/>
    <n v="0"/>
    <n v="0"/>
    <n v="0"/>
    <n v="0"/>
    <n v="0"/>
    <n v="0"/>
  </r>
  <r>
    <s v="Cases\\45. SAICA"/>
    <x v="44"/>
    <x v="5"/>
    <s v="Middle East and Africa"/>
    <n v="0"/>
    <n v="0"/>
    <n v="0"/>
    <n v="1"/>
    <n v="0"/>
    <n v="1"/>
  </r>
  <r>
    <s v="Cases\\46. SASB"/>
    <x v="45"/>
    <x v="5"/>
    <s v="Global"/>
    <n v="0"/>
    <n v="0"/>
    <n v="0"/>
    <n v="0"/>
    <n v="0"/>
    <n v="0"/>
  </r>
  <r>
    <s v="Cases\\47. WICI"/>
    <x v="46"/>
    <x v="5"/>
    <s v="Global"/>
    <n v="0"/>
    <n v="0"/>
    <n v="0"/>
    <n v="0"/>
    <n v="0"/>
    <n v="0"/>
  </r>
  <r>
    <s v="Cases\\48. WPK"/>
    <x v="47"/>
    <x v="5"/>
    <s v="Europe"/>
    <n v="0"/>
    <n v="0"/>
    <n v="0"/>
    <n v="0"/>
    <n v="0"/>
    <n v="0"/>
  </r>
  <r>
    <s v="Cases\\49. DU"/>
    <x v="48"/>
    <x v="6"/>
    <s v="Asia Pacific"/>
    <n v="0"/>
    <n v="0"/>
    <n v="0"/>
    <n v="0"/>
    <n v="0"/>
    <n v="0"/>
  </r>
  <r>
    <s v="Cases\\50. BARNARD"/>
    <x v="49"/>
    <x v="7"/>
    <s v="Europe"/>
    <n v="0"/>
    <n v="0"/>
    <n v="0"/>
    <n v="0"/>
    <n v="0"/>
    <n v="0"/>
  </r>
  <r>
    <s v="Cases\\51. CAATAS"/>
    <x v="50"/>
    <x v="7"/>
    <s v="Middle East and Africa"/>
    <n v="1"/>
    <n v="1"/>
    <n v="1"/>
    <n v="0"/>
    <n v="0"/>
    <n v="1"/>
  </r>
  <r>
    <s v="Cases\\52. SCHNEIDER"/>
    <x v="51"/>
    <x v="7"/>
    <s v="North America"/>
    <n v="0"/>
    <n v="0"/>
    <n v="0"/>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Cases\\01. CRUF"/>
    <x v="0"/>
    <x v="0"/>
    <s v="Global"/>
    <n v="0"/>
    <n v="1"/>
    <n v="0"/>
    <n v="1"/>
  </r>
  <r>
    <s v="Cases\\02. CFC"/>
    <x v="1"/>
    <x v="1"/>
    <s v="South America"/>
    <n v="0"/>
    <n v="1"/>
    <n v="0"/>
    <n v="1"/>
  </r>
  <r>
    <s v="Cases\\03. IRBA"/>
    <x v="2"/>
    <x v="1"/>
    <s v="Middle East and Africa"/>
    <n v="0"/>
    <n v="1"/>
    <n v="0"/>
    <n v="1"/>
  </r>
  <r>
    <s v="Cases\\04. AUASB"/>
    <x v="3"/>
    <x v="2"/>
    <s v="Asia Pacific"/>
    <n v="0"/>
    <n v="1"/>
    <n v="0"/>
    <n v="1"/>
  </r>
  <r>
    <s v="Cases\\05. CNCC-CSOEC"/>
    <x v="4"/>
    <x v="2"/>
    <s v="Europe"/>
    <n v="0"/>
    <n v="1"/>
    <n v="0"/>
    <n v="1"/>
  </r>
  <r>
    <s v="Cases\\06. HKICPA"/>
    <x v="5"/>
    <x v="2"/>
    <s v="Asia Pacific"/>
    <n v="0"/>
    <n v="1"/>
    <n v="0"/>
    <n v="1"/>
  </r>
  <r>
    <s v="Cases\\07. IDW"/>
    <x v="6"/>
    <x v="2"/>
    <s v="Europe"/>
    <n v="0"/>
    <n v="1"/>
    <n v="0"/>
    <n v="1"/>
  </r>
  <r>
    <s v="Cases\\08. JICPA"/>
    <x v="7"/>
    <x v="2"/>
    <s v="Asia Pacific"/>
    <n v="0"/>
    <n v="1"/>
    <n v="0"/>
    <n v="1"/>
  </r>
  <r>
    <s v="Cases\\09. MAASB"/>
    <x v="8"/>
    <x v="2"/>
    <s v="Asia Pacific"/>
    <n v="0"/>
    <n v="1"/>
    <n v="0"/>
    <n v="1"/>
  </r>
  <r>
    <s v="Cases\\10. NBA"/>
    <x v="9"/>
    <x v="2"/>
    <s v="Europe"/>
    <n v="0"/>
    <n v="1"/>
    <n v="0"/>
    <n v="1"/>
  </r>
  <r>
    <s v="Cases\\11. NZAASB"/>
    <x v="10"/>
    <x v="2"/>
    <s v="Asia Pacific"/>
    <n v="0"/>
    <n v="1"/>
    <n v="0"/>
    <n v="1"/>
  </r>
  <r>
    <s v="Cases\\12. BDO"/>
    <x v="11"/>
    <x v="3"/>
    <s v="Global"/>
    <n v="1"/>
    <n v="0"/>
    <n v="0"/>
    <n v="1"/>
  </r>
  <r>
    <s v="Cases\\13. CG"/>
    <x v="12"/>
    <x v="3"/>
    <s v="Global"/>
    <n v="1"/>
    <n v="0"/>
    <n v="0"/>
    <n v="1"/>
  </r>
  <r>
    <s v="Cases\\14. DTT"/>
    <x v="13"/>
    <x v="3"/>
    <s v="Global"/>
    <n v="0"/>
    <n v="1"/>
    <n v="0"/>
    <n v="1"/>
  </r>
  <r>
    <s v="Cases\\15. EYG"/>
    <x v="14"/>
    <x v="3"/>
    <s v="Global"/>
    <n v="0"/>
    <n v="1"/>
    <n v="0"/>
    <n v="1"/>
  </r>
  <r>
    <s v="Cases\\16. GTI"/>
    <x v="15"/>
    <x v="3"/>
    <s v="Global"/>
    <n v="0"/>
    <n v="1"/>
    <n v="0"/>
    <n v="1"/>
  </r>
  <r>
    <s v="Cases\\17. KPMG"/>
    <x v="16"/>
    <x v="3"/>
    <s v="Global"/>
    <n v="0"/>
    <n v="1"/>
    <n v="0"/>
    <n v="1"/>
  </r>
  <r>
    <s v="Cases\\18. MZS"/>
    <x v="17"/>
    <x v="3"/>
    <s v="Global"/>
    <n v="0"/>
    <n v="1"/>
    <n v="0"/>
    <n v="1"/>
  </r>
  <r>
    <s v="Cases\\19. PwC"/>
    <x v="18"/>
    <x v="3"/>
    <s v="Global"/>
    <n v="0"/>
    <n v="1"/>
    <n v="0"/>
    <n v="1"/>
  </r>
  <r>
    <s v="Cases\\20. GAO"/>
    <x v="19"/>
    <x v="4"/>
    <s v="North America"/>
    <n v="0"/>
    <n v="1"/>
    <n v="0"/>
    <n v="1"/>
  </r>
  <r>
    <s v="Cases\\21. ACCA-CAANZ"/>
    <x v="20"/>
    <x v="5"/>
    <s v="Global"/>
    <n v="0"/>
    <n v="1"/>
    <n v="0"/>
    <n v="1"/>
  </r>
  <r>
    <s v="Cases\\22. AE"/>
    <x v="21"/>
    <x v="5"/>
    <s v="Europe"/>
    <n v="0"/>
    <n v="1"/>
    <n v="0"/>
    <n v="1"/>
  </r>
  <r>
    <s v="Cases\\23. AICPA"/>
    <x v="22"/>
    <x v="5"/>
    <s v="North America"/>
    <n v="0"/>
    <n v="1"/>
    <n v="0"/>
    <n v="1"/>
  </r>
  <r>
    <s v="Cases\\24. AIPS"/>
    <x v="23"/>
    <x v="5"/>
    <s v="Asia Pacific"/>
    <n v="0"/>
    <n v="1"/>
    <n v="0"/>
    <n v="1"/>
  </r>
  <r>
    <s v="Cases\\25. ASSIREVI"/>
    <x v="24"/>
    <x v="5"/>
    <s v="Europe"/>
    <n v="0"/>
    <n v="1"/>
    <n v="0"/>
    <n v="1"/>
  </r>
  <r>
    <s v="Cases\\26. CPAA"/>
    <x v="25"/>
    <x v="5"/>
    <s v="Asia Pacific"/>
    <n v="0"/>
    <n v="1"/>
    <n v="0"/>
    <n v="1"/>
  </r>
  <r>
    <s v="Cases\\27. CPAC"/>
    <x v="26"/>
    <x v="5"/>
    <s v="North America"/>
    <n v="0"/>
    <n v="1"/>
    <n v="0"/>
    <n v="1"/>
  </r>
  <r>
    <s v="Cases\\28. EFAA"/>
    <x v="27"/>
    <x v="5"/>
    <s v="Europe"/>
    <n v="0"/>
    <n v="1"/>
    <n v="0"/>
    <n v="1"/>
  </r>
  <r>
    <s v="Cases\\29. FACPCE"/>
    <x v="28"/>
    <x v="5"/>
    <s v="South America"/>
    <n v="0"/>
    <n v="1"/>
    <n v="0"/>
    <n v="1"/>
  </r>
  <r>
    <s v="Cases\\30. FAR"/>
    <x v="29"/>
    <x v="5"/>
    <s v="Europe"/>
    <n v="0"/>
    <n v="1"/>
    <n v="0"/>
    <n v="1"/>
  </r>
  <r>
    <s v="Cases\\31. FSR"/>
    <x v="30"/>
    <x v="5"/>
    <s v="Europe"/>
    <n v="0"/>
    <n v="1"/>
    <n v="0"/>
    <n v="1"/>
  </r>
  <r>
    <s v="Cases\\32. GRI"/>
    <x v="31"/>
    <x v="5"/>
    <s v="Global"/>
    <n v="0"/>
    <n v="1"/>
    <n v="0"/>
    <n v="1"/>
  </r>
  <r>
    <s v="Cases\\33. IAAA"/>
    <x v="32"/>
    <x v="5"/>
    <s v="South America"/>
    <n v="0"/>
    <n v="1"/>
    <n v="0"/>
    <n v="1"/>
  </r>
  <r>
    <s v="Cases\\34. IIA"/>
    <x v="33"/>
    <x v="5"/>
    <s v="Global"/>
    <n v="0"/>
    <n v="1"/>
    <n v="0"/>
    <n v="1"/>
  </r>
  <r>
    <s v="Cases\\35. IIRC"/>
    <x v="34"/>
    <x v="5"/>
    <s v="Global"/>
    <n v="0"/>
    <n v="1"/>
    <n v="0"/>
    <n v="1"/>
  </r>
  <r>
    <s v="Cases\\36. ICAEW"/>
    <x v="35"/>
    <x v="5"/>
    <s v="Europe"/>
    <n v="0"/>
    <n v="1"/>
    <n v="0"/>
    <n v="1"/>
  </r>
  <r>
    <s v="Cases\\37. ICAG"/>
    <x v="36"/>
    <x v="5"/>
    <s v="Middle East and Africa"/>
    <n v="0"/>
    <n v="1"/>
    <n v="0"/>
    <n v="1"/>
  </r>
  <r>
    <s v="Cases\\38. ICAS"/>
    <x v="37"/>
    <x v="5"/>
    <s v="Europe"/>
    <n v="0"/>
    <n v="1"/>
    <n v="0"/>
    <n v="1"/>
  </r>
  <r>
    <s v="Cases\\39. ICPAU"/>
    <x v="38"/>
    <x v="5"/>
    <s v="Middle East and Africa"/>
    <n v="0"/>
    <n v="0"/>
    <n v="1"/>
    <n v="1"/>
  </r>
  <r>
    <s v="Cases\\40. IPA"/>
    <x v="39"/>
    <x v="5"/>
    <s v="Asia Pacific"/>
    <n v="0"/>
    <n v="1"/>
    <n v="0"/>
    <n v="1"/>
  </r>
  <r>
    <s v="Cases\\41. ISCA"/>
    <x v="40"/>
    <x v="5"/>
    <s v="Asia Pacific"/>
    <n v="0"/>
    <n v="0"/>
    <n v="1"/>
    <n v="1"/>
  </r>
  <r>
    <s v="Cases\\42. MICPA"/>
    <x v="41"/>
    <x v="5"/>
    <s v="Asia Pacific"/>
    <n v="1"/>
    <n v="0"/>
    <n v="0"/>
    <n v="1"/>
  </r>
  <r>
    <s v="Cases\\43. NASBA"/>
    <x v="42"/>
    <x v="5"/>
    <s v="North America"/>
    <n v="0"/>
    <n v="1"/>
    <n v="0"/>
    <n v="1"/>
  </r>
  <r>
    <s v="Cases\\44. PAIB"/>
    <x v="43"/>
    <x v="5"/>
    <s v="Global"/>
    <n v="0"/>
    <n v="1"/>
    <n v="0"/>
    <n v="1"/>
  </r>
  <r>
    <s v="Cases\\45. SAICA"/>
    <x v="44"/>
    <x v="5"/>
    <s v="Middle East and Africa"/>
    <n v="0"/>
    <n v="1"/>
    <n v="0"/>
    <n v="1"/>
  </r>
  <r>
    <s v="Cases\\46. SASB"/>
    <x v="45"/>
    <x v="5"/>
    <s v="Global"/>
    <n v="0"/>
    <n v="1"/>
    <n v="0"/>
    <n v="1"/>
  </r>
  <r>
    <s v="Cases\\47. WICI"/>
    <x v="46"/>
    <x v="5"/>
    <s v="Global"/>
    <n v="0"/>
    <n v="1"/>
    <n v="0"/>
    <n v="1"/>
  </r>
  <r>
    <s v="Cases\\48. WPK"/>
    <x v="47"/>
    <x v="5"/>
    <s v="Europe"/>
    <n v="0"/>
    <n v="1"/>
    <n v="0"/>
    <n v="1"/>
  </r>
  <r>
    <s v="Cases\\49. DU"/>
    <x v="48"/>
    <x v="6"/>
    <s v="Asia Pacific"/>
    <n v="0"/>
    <n v="0"/>
    <n v="1"/>
    <n v="1"/>
  </r>
  <r>
    <s v="Cases\\50. BARNARD"/>
    <x v="49"/>
    <x v="7"/>
    <s v="Europe"/>
    <n v="0"/>
    <n v="1"/>
    <n v="0"/>
    <n v="1"/>
  </r>
  <r>
    <s v="Cases\\51. CAATAS"/>
    <x v="50"/>
    <x v="7"/>
    <s v="Middle East and Africa"/>
    <n v="1"/>
    <n v="0"/>
    <n v="0"/>
    <n v="1"/>
  </r>
  <r>
    <s v="Cases\\52. SCHNEIDER"/>
    <x v="51"/>
    <x v="7"/>
    <s v="North America"/>
    <n v="0"/>
    <n v="1"/>
    <n v="0"/>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Cases\\01. CRUF"/>
    <x v="0"/>
    <x v="0"/>
    <s v="Global"/>
    <n v="0"/>
    <n v="1"/>
    <n v="0"/>
    <n v="0"/>
    <n v="0"/>
    <n v="0"/>
    <n v="0"/>
    <n v="0"/>
    <n v="0"/>
    <n v="1"/>
    <n v="0"/>
    <n v="0"/>
  </r>
  <r>
    <s v="Cases\\02. CFC"/>
    <x v="1"/>
    <x v="1"/>
    <s v="South America"/>
    <n v="0"/>
    <n v="1"/>
    <n v="0"/>
    <n v="0"/>
    <n v="1"/>
    <n v="0"/>
    <n v="0"/>
    <n v="0"/>
    <n v="0"/>
    <n v="0"/>
    <n v="0"/>
    <n v="0"/>
  </r>
  <r>
    <s v="Cases\\03. IRBA"/>
    <x v="2"/>
    <x v="1"/>
    <s v="Middle East and Africa"/>
    <n v="0"/>
    <n v="1"/>
    <n v="0"/>
    <n v="0"/>
    <n v="0"/>
    <n v="0"/>
    <n v="1"/>
    <n v="0"/>
    <n v="0"/>
    <n v="0"/>
    <n v="0"/>
    <n v="0"/>
  </r>
  <r>
    <s v="Cases\\04. AUASB"/>
    <x v="3"/>
    <x v="2"/>
    <s v="Asia Pacific"/>
    <n v="0"/>
    <n v="0"/>
    <n v="0"/>
    <n v="0"/>
    <n v="0"/>
    <n v="0"/>
    <n v="0"/>
    <n v="0"/>
    <n v="0"/>
    <n v="0"/>
    <n v="0"/>
    <n v="0"/>
  </r>
  <r>
    <s v="Cases\\05. CNCC-CSOEC"/>
    <x v="4"/>
    <x v="2"/>
    <s v="Europe"/>
    <n v="0"/>
    <n v="0"/>
    <n v="0"/>
    <n v="0"/>
    <n v="0"/>
    <n v="0"/>
    <n v="0"/>
    <n v="0"/>
    <n v="0"/>
    <n v="0"/>
    <n v="0"/>
    <n v="0"/>
  </r>
  <r>
    <s v="Cases\\06. HKICPA"/>
    <x v="5"/>
    <x v="2"/>
    <s v="Asia Pacific"/>
    <n v="0"/>
    <n v="1"/>
    <n v="0"/>
    <n v="0"/>
    <n v="1"/>
    <n v="1"/>
    <n v="0"/>
    <n v="0"/>
    <n v="0"/>
    <n v="0"/>
    <n v="0"/>
    <n v="0"/>
  </r>
  <r>
    <s v="Cases\\07. IDW"/>
    <x v="6"/>
    <x v="2"/>
    <s v="Europe"/>
    <n v="0"/>
    <n v="1"/>
    <n v="0"/>
    <n v="0"/>
    <n v="0"/>
    <n v="0"/>
    <n v="0"/>
    <n v="1"/>
    <n v="1"/>
    <n v="0"/>
    <n v="0"/>
    <n v="0"/>
  </r>
  <r>
    <s v="Cases\\08. JICPA"/>
    <x v="7"/>
    <x v="2"/>
    <s v="Asia Pacific"/>
    <n v="0"/>
    <n v="1"/>
    <n v="0"/>
    <n v="0"/>
    <n v="0"/>
    <n v="0"/>
    <n v="0"/>
    <n v="0"/>
    <n v="1"/>
    <n v="0"/>
    <n v="0"/>
    <n v="0"/>
  </r>
  <r>
    <s v="Cases\\09. MAASB"/>
    <x v="8"/>
    <x v="2"/>
    <s v="Asia Pacific"/>
    <n v="1"/>
    <n v="0"/>
    <n v="0"/>
    <n v="0"/>
    <n v="0"/>
    <n v="0"/>
    <n v="0"/>
    <n v="0"/>
    <n v="0"/>
    <n v="0"/>
    <n v="0"/>
    <n v="0"/>
  </r>
  <r>
    <s v="Cases\\10. NBA"/>
    <x v="9"/>
    <x v="2"/>
    <s v="Europe"/>
    <n v="0"/>
    <n v="0"/>
    <n v="0"/>
    <n v="0"/>
    <n v="0"/>
    <n v="0"/>
    <n v="0"/>
    <n v="0"/>
    <n v="0"/>
    <n v="0"/>
    <n v="0"/>
    <n v="0"/>
  </r>
  <r>
    <s v="Cases\\11. NZAASB"/>
    <x v="10"/>
    <x v="2"/>
    <s v="Asia Pacific"/>
    <n v="0"/>
    <n v="1"/>
    <n v="1"/>
    <n v="0"/>
    <n v="0"/>
    <n v="0"/>
    <n v="0"/>
    <n v="0"/>
    <n v="0"/>
    <n v="1"/>
    <n v="0"/>
    <n v="0"/>
  </r>
  <r>
    <s v="Cases\\12. BDO"/>
    <x v="11"/>
    <x v="3"/>
    <s v="Global"/>
    <n v="1"/>
    <n v="0"/>
    <n v="0"/>
    <n v="0"/>
    <n v="0"/>
    <n v="0"/>
    <n v="0"/>
    <n v="0"/>
    <n v="0"/>
    <n v="0"/>
    <n v="0"/>
    <n v="0"/>
  </r>
  <r>
    <s v="Cases\\13. CG"/>
    <x v="12"/>
    <x v="3"/>
    <s v="Global"/>
    <n v="1"/>
    <n v="0"/>
    <n v="0"/>
    <n v="0"/>
    <n v="0"/>
    <n v="0"/>
    <n v="0"/>
    <n v="0"/>
    <n v="0"/>
    <n v="0"/>
    <n v="0"/>
    <n v="0"/>
  </r>
  <r>
    <s v="Cases\\14. DTT"/>
    <x v="13"/>
    <x v="3"/>
    <s v="Global"/>
    <n v="0"/>
    <n v="1"/>
    <n v="0"/>
    <n v="0"/>
    <n v="1"/>
    <n v="0"/>
    <n v="0"/>
    <n v="0"/>
    <n v="1"/>
    <n v="0"/>
    <n v="0"/>
    <n v="0"/>
  </r>
  <r>
    <s v="Cases\\15. EYG"/>
    <x v="14"/>
    <x v="3"/>
    <s v="Global"/>
    <n v="0"/>
    <n v="1"/>
    <n v="1"/>
    <n v="0"/>
    <n v="0"/>
    <n v="0"/>
    <n v="0"/>
    <n v="0"/>
    <n v="0"/>
    <n v="0"/>
    <n v="0"/>
    <n v="0"/>
  </r>
  <r>
    <s v="Cases\\16. GTI"/>
    <x v="15"/>
    <x v="3"/>
    <s v="Global"/>
    <n v="0"/>
    <n v="1"/>
    <n v="0"/>
    <n v="0"/>
    <n v="1"/>
    <n v="0"/>
    <n v="0"/>
    <n v="0"/>
    <n v="0"/>
    <n v="0"/>
    <n v="0"/>
    <n v="0"/>
  </r>
  <r>
    <s v="Cases\\17. KPMG"/>
    <x v="16"/>
    <x v="3"/>
    <s v="Global"/>
    <n v="0"/>
    <n v="1"/>
    <n v="0"/>
    <n v="0"/>
    <n v="0"/>
    <n v="0"/>
    <n v="0"/>
    <n v="0"/>
    <n v="0"/>
    <n v="0"/>
    <n v="0"/>
    <n v="0"/>
  </r>
  <r>
    <s v="Cases\\18. MZS"/>
    <x v="17"/>
    <x v="3"/>
    <s v="Global"/>
    <n v="0"/>
    <n v="1"/>
    <n v="0"/>
    <n v="0"/>
    <n v="0"/>
    <n v="0"/>
    <n v="0"/>
    <n v="0"/>
    <n v="1"/>
    <n v="0"/>
    <n v="0"/>
    <n v="0"/>
  </r>
  <r>
    <s v="Cases\\19. PwC"/>
    <x v="18"/>
    <x v="3"/>
    <s v="Global"/>
    <n v="0"/>
    <n v="1"/>
    <n v="0"/>
    <n v="0"/>
    <n v="0"/>
    <n v="0"/>
    <n v="0"/>
    <n v="0"/>
    <n v="0"/>
    <n v="0"/>
    <n v="0"/>
    <n v="0"/>
  </r>
  <r>
    <s v="Cases\\20. GAO"/>
    <x v="19"/>
    <x v="4"/>
    <s v="North America"/>
    <n v="0"/>
    <n v="1"/>
    <n v="0"/>
    <n v="0"/>
    <n v="1"/>
    <n v="0"/>
    <n v="0"/>
    <n v="0"/>
    <n v="0"/>
    <n v="0"/>
    <n v="0"/>
    <n v="0"/>
  </r>
  <r>
    <s v="Cases\\21. ACCA-CAANZ"/>
    <x v="20"/>
    <x v="5"/>
    <s v="Global"/>
    <n v="0"/>
    <n v="0"/>
    <n v="0"/>
    <n v="0"/>
    <n v="0"/>
    <n v="0"/>
    <n v="0"/>
    <n v="0"/>
    <n v="0"/>
    <n v="0"/>
    <n v="0"/>
    <n v="0"/>
  </r>
  <r>
    <s v="Cases\\22. AE"/>
    <x v="21"/>
    <x v="5"/>
    <s v="Europe"/>
    <n v="0"/>
    <n v="1"/>
    <n v="0"/>
    <n v="0"/>
    <n v="0"/>
    <n v="0"/>
    <n v="0"/>
    <n v="0"/>
    <n v="0"/>
    <n v="0"/>
    <n v="0"/>
    <n v="0"/>
  </r>
  <r>
    <s v="Cases\\23. AICPA"/>
    <x v="22"/>
    <x v="5"/>
    <s v="North America"/>
    <n v="0"/>
    <n v="1"/>
    <n v="1"/>
    <n v="0"/>
    <n v="0"/>
    <n v="0"/>
    <n v="0"/>
    <n v="0"/>
    <n v="0"/>
    <n v="0"/>
    <n v="0"/>
    <n v="0"/>
  </r>
  <r>
    <s v="Cases\\24. AIPS"/>
    <x v="23"/>
    <x v="5"/>
    <s v="Asia Pacific"/>
    <n v="0"/>
    <n v="0"/>
    <n v="0"/>
    <n v="0"/>
    <n v="0"/>
    <n v="0"/>
    <n v="0"/>
    <n v="0"/>
    <n v="0"/>
    <n v="0"/>
    <n v="0"/>
    <n v="0"/>
  </r>
  <r>
    <s v="Cases\\25. ASSIREVI"/>
    <x v="24"/>
    <x v="5"/>
    <s v="Europe"/>
    <n v="0"/>
    <n v="1"/>
    <n v="1"/>
    <n v="1"/>
    <n v="0"/>
    <n v="0"/>
    <n v="0"/>
    <n v="0"/>
    <n v="0"/>
    <n v="0"/>
    <n v="0"/>
    <n v="0"/>
  </r>
  <r>
    <s v="Cases\\26. CPAA"/>
    <x v="25"/>
    <x v="5"/>
    <s v="Asia Pacific"/>
    <n v="0"/>
    <n v="1"/>
    <n v="0"/>
    <n v="0"/>
    <n v="0"/>
    <n v="0"/>
    <n v="0"/>
    <n v="0"/>
    <n v="0"/>
    <n v="0"/>
    <n v="0"/>
    <n v="0"/>
  </r>
  <r>
    <s v="Cases\\27. CPAC"/>
    <x v="26"/>
    <x v="5"/>
    <s v="North America"/>
    <n v="0"/>
    <n v="0"/>
    <n v="0"/>
    <n v="0"/>
    <n v="0"/>
    <n v="0"/>
    <n v="0"/>
    <n v="0"/>
    <n v="0"/>
    <n v="0"/>
    <n v="0"/>
    <n v="0"/>
  </r>
  <r>
    <s v="Cases\\28. EFAA"/>
    <x v="27"/>
    <x v="5"/>
    <s v="Europe"/>
    <n v="0"/>
    <n v="1"/>
    <n v="0"/>
    <n v="0"/>
    <n v="0"/>
    <n v="0"/>
    <n v="0"/>
    <n v="0"/>
    <n v="0"/>
    <n v="0"/>
    <n v="0"/>
    <n v="0"/>
  </r>
  <r>
    <s v="Cases\\29. FACPCE"/>
    <x v="28"/>
    <x v="5"/>
    <s v="South America"/>
    <n v="0"/>
    <n v="1"/>
    <n v="0"/>
    <n v="0"/>
    <n v="0"/>
    <n v="0"/>
    <n v="0"/>
    <n v="0"/>
    <n v="0"/>
    <n v="0"/>
    <n v="0"/>
    <n v="0"/>
  </r>
  <r>
    <s v="Cases\\30. FAR"/>
    <x v="29"/>
    <x v="5"/>
    <s v="Europe"/>
    <n v="0"/>
    <n v="0"/>
    <n v="0"/>
    <n v="0"/>
    <n v="0"/>
    <n v="0"/>
    <n v="0"/>
    <n v="0"/>
    <n v="0"/>
    <n v="0"/>
    <n v="0"/>
    <n v="0"/>
  </r>
  <r>
    <s v="Cases\\31. FSR"/>
    <x v="30"/>
    <x v="5"/>
    <s v="Europe"/>
    <n v="0"/>
    <n v="1"/>
    <n v="0"/>
    <n v="0"/>
    <n v="0"/>
    <n v="0"/>
    <n v="1"/>
    <n v="0"/>
    <n v="0"/>
    <n v="0"/>
    <n v="0"/>
    <n v="0"/>
  </r>
  <r>
    <s v="Cases\\32. GRI"/>
    <x v="31"/>
    <x v="5"/>
    <s v="Global"/>
    <n v="0"/>
    <n v="1"/>
    <n v="0"/>
    <n v="0"/>
    <n v="0"/>
    <n v="0"/>
    <n v="0"/>
    <n v="0"/>
    <n v="0"/>
    <n v="0"/>
    <n v="0"/>
    <n v="0"/>
  </r>
  <r>
    <s v="Cases\\33. IAAA"/>
    <x v="32"/>
    <x v="5"/>
    <s v="South America"/>
    <n v="1"/>
    <n v="0"/>
    <n v="0"/>
    <n v="0"/>
    <n v="0"/>
    <n v="0"/>
    <n v="0"/>
    <n v="0"/>
    <n v="0"/>
    <n v="0"/>
    <n v="0"/>
    <n v="0"/>
  </r>
  <r>
    <s v="Cases\\34. IIA"/>
    <x v="33"/>
    <x v="5"/>
    <s v="Global"/>
    <n v="0"/>
    <n v="0"/>
    <n v="0"/>
    <n v="0"/>
    <n v="0"/>
    <n v="0"/>
    <n v="0"/>
    <n v="0"/>
    <n v="0"/>
    <n v="0"/>
    <n v="0"/>
    <n v="0"/>
  </r>
  <r>
    <s v="Cases\\35. IIRC"/>
    <x v="34"/>
    <x v="5"/>
    <s v="Global"/>
    <n v="0"/>
    <n v="1"/>
    <n v="0"/>
    <n v="0"/>
    <n v="0"/>
    <n v="0"/>
    <n v="1"/>
    <n v="0"/>
    <n v="0"/>
    <n v="0"/>
    <n v="0"/>
    <n v="0"/>
  </r>
  <r>
    <s v="Cases\\36. ICAEW"/>
    <x v="35"/>
    <x v="5"/>
    <s v="Europe"/>
    <n v="0"/>
    <n v="1"/>
    <n v="0"/>
    <n v="1"/>
    <n v="0"/>
    <n v="0"/>
    <n v="0"/>
    <n v="0"/>
    <n v="0"/>
    <n v="0"/>
    <n v="0"/>
    <n v="0"/>
  </r>
  <r>
    <s v="Cases\\37. ICAG"/>
    <x v="36"/>
    <x v="5"/>
    <s v="Middle East and Africa"/>
    <n v="0"/>
    <n v="1"/>
    <n v="0"/>
    <n v="1"/>
    <n v="0"/>
    <n v="0"/>
    <n v="0"/>
    <n v="0"/>
    <n v="0"/>
    <n v="0"/>
    <n v="0"/>
    <n v="0"/>
  </r>
  <r>
    <s v="Cases\\38. ICAS"/>
    <x v="37"/>
    <x v="5"/>
    <s v="Europe"/>
    <n v="0"/>
    <n v="1"/>
    <n v="0"/>
    <n v="0"/>
    <n v="0"/>
    <n v="0"/>
    <n v="0"/>
    <n v="0"/>
    <n v="0"/>
    <n v="0"/>
    <n v="0"/>
    <n v="0"/>
  </r>
  <r>
    <s v="Cases\\39. ICPAU"/>
    <x v="38"/>
    <x v="5"/>
    <s v="Middle East and Africa"/>
    <n v="0"/>
    <n v="0"/>
    <n v="0"/>
    <n v="0"/>
    <n v="0"/>
    <n v="0"/>
    <n v="0"/>
    <n v="0"/>
    <n v="0"/>
    <n v="0"/>
    <n v="1"/>
    <n v="0"/>
  </r>
  <r>
    <s v="Cases\\40. IPA"/>
    <x v="39"/>
    <x v="5"/>
    <s v="Asia Pacific"/>
    <n v="0"/>
    <n v="0"/>
    <n v="0"/>
    <n v="0"/>
    <n v="0"/>
    <n v="0"/>
    <n v="0"/>
    <n v="0"/>
    <n v="0"/>
    <n v="0"/>
    <n v="1"/>
    <n v="0"/>
  </r>
  <r>
    <s v="Cases\\41. ISCA"/>
    <x v="40"/>
    <x v="5"/>
    <s v="Asia Pacific"/>
    <n v="0"/>
    <n v="0"/>
    <n v="0"/>
    <n v="0"/>
    <n v="0"/>
    <n v="0"/>
    <n v="0"/>
    <n v="0"/>
    <n v="0"/>
    <n v="0"/>
    <n v="0"/>
    <n v="0"/>
  </r>
  <r>
    <s v="Cases\\42. MICPA"/>
    <x v="41"/>
    <x v="5"/>
    <s v="Asia Pacific"/>
    <n v="1"/>
    <n v="0"/>
    <n v="0"/>
    <n v="0"/>
    <n v="0"/>
    <n v="0"/>
    <n v="0"/>
    <n v="0"/>
    <n v="0"/>
    <n v="0"/>
    <n v="0"/>
    <n v="0"/>
  </r>
  <r>
    <s v="Cases\\43. NASBA"/>
    <x v="42"/>
    <x v="5"/>
    <s v="North America"/>
    <n v="0"/>
    <n v="1"/>
    <n v="1"/>
    <n v="0"/>
    <n v="0"/>
    <n v="0"/>
    <n v="0"/>
    <n v="0"/>
    <n v="0"/>
    <n v="0"/>
    <n v="0"/>
    <n v="0"/>
  </r>
  <r>
    <s v="Cases\\44. PAIB"/>
    <x v="43"/>
    <x v="5"/>
    <s v="Global"/>
    <n v="0"/>
    <n v="1"/>
    <n v="0"/>
    <n v="0"/>
    <n v="0"/>
    <n v="0"/>
    <n v="1"/>
    <n v="0"/>
    <n v="0"/>
    <n v="0"/>
    <n v="0"/>
    <n v="0"/>
  </r>
  <r>
    <s v="Cases\\45. SAICA"/>
    <x v="44"/>
    <x v="5"/>
    <s v="Middle East and Africa"/>
    <n v="0"/>
    <n v="1"/>
    <n v="0"/>
    <n v="0"/>
    <n v="0"/>
    <n v="0"/>
    <n v="0"/>
    <n v="1"/>
    <n v="0"/>
    <n v="0"/>
    <n v="0"/>
    <n v="0"/>
  </r>
  <r>
    <s v="Cases\\46. SASB"/>
    <x v="45"/>
    <x v="5"/>
    <s v="Global"/>
    <n v="0"/>
    <n v="0"/>
    <n v="0"/>
    <n v="0"/>
    <n v="0"/>
    <n v="0"/>
    <n v="0"/>
    <n v="0"/>
    <n v="0"/>
    <n v="0"/>
    <n v="0"/>
    <n v="1"/>
  </r>
  <r>
    <s v="Cases\\47. WICI"/>
    <x v="46"/>
    <x v="5"/>
    <s v="Global"/>
    <n v="0"/>
    <n v="1"/>
    <n v="0"/>
    <n v="1"/>
    <n v="0"/>
    <n v="0"/>
    <n v="0"/>
    <n v="0"/>
    <n v="0"/>
    <n v="0"/>
    <n v="0"/>
    <n v="0"/>
  </r>
  <r>
    <s v="Cases\\48. WPK"/>
    <x v="47"/>
    <x v="5"/>
    <s v="Europe"/>
    <n v="0"/>
    <n v="1"/>
    <n v="1"/>
    <n v="0"/>
    <n v="0"/>
    <n v="0"/>
    <n v="0"/>
    <n v="0"/>
    <n v="0"/>
    <n v="0"/>
    <n v="0"/>
    <n v="0"/>
  </r>
  <r>
    <s v="Cases\\49. DU"/>
    <x v="48"/>
    <x v="6"/>
    <s v="Asia Pacific"/>
    <n v="0"/>
    <n v="0"/>
    <n v="0"/>
    <n v="0"/>
    <n v="0"/>
    <n v="0"/>
    <n v="0"/>
    <n v="0"/>
    <n v="0"/>
    <n v="0"/>
    <n v="0"/>
    <n v="0"/>
  </r>
  <r>
    <s v="Cases\\50. BARNARD"/>
    <x v="49"/>
    <x v="7"/>
    <s v="Europe"/>
    <n v="0"/>
    <n v="0"/>
    <n v="0"/>
    <n v="0"/>
    <n v="0"/>
    <n v="0"/>
    <n v="0"/>
    <n v="0"/>
    <n v="0"/>
    <n v="0"/>
    <n v="0"/>
    <n v="0"/>
  </r>
  <r>
    <s v="Cases\\51. CAATAS"/>
    <x v="50"/>
    <x v="7"/>
    <s v="Middle East and Africa"/>
    <n v="1"/>
    <n v="0"/>
    <n v="0"/>
    <n v="0"/>
    <n v="0"/>
    <n v="0"/>
    <n v="0"/>
    <n v="0"/>
    <n v="0"/>
    <n v="0"/>
    <n v="0"/>
    <n v="0"/>
  </r>
  <r>
    <s v="Cases\\52. SCHNEIDER"/>
    <x v="51"/>
    <x v="7"/>
    <s v="North America"/>
    <n v="0"/>
    <n v="1"/>
    <n v="0"/>
    <n v="0"/>
    <n v="0"/>
    <n v="1"/>
    <n v="0"/>
    <n v="0"/>
    <n v="0"/>
    <n v="0"/>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Cases\\01. CRUF"/>
    <x v="0"/>
    <x v="0"/>
    <s v="Global"/>
    <n v="0"/>
    <n v="1"/>
    <n v="0"/>
    <n v="0"/>
    <n v="1"/>
  </r>
  <r>
    <s v="Cases\\02. CFC"/>
    <x v="1"/>
    <x v="1"/>
    <s v="South America"/>
    <n v="0"/>
    <n v="1"/>
    <n v="0"/>
    <n v="0"/>
    <n v="1"/>
  </r>
  <r>
    <s v="Cases\\03. IRBA"/>
    <x v="2"/>
    <x v="1"/>
    <s v="Middle East and Africa"/>
    <n v="0"/>
    <n v="1"/>
    <n v="0"/>
    <n v="0"/>
    <n v="1"/>
  </r>
  <r>
    <s v="Cases\\04. AUASB"/>
    <x v="3"/>
    <x v="2"/>
    <s v="Asia Pacific"/>
    <n v="0"/>
    <n v="0"/>
    <n v="0"/>
    <n v="0"/>
    <n v="0"/>
  </r>
  <r>
    <s v="Cases\\05. CNCC-CSOEC"/>
    <x v="4"/>
    <x v="2"/>
    <s v="Europe"/>
    <n v="0"/>
    <n v="0"/>
    <n v="0"/>
    <n v="0"/>
    <n v="0"/>
  </r>
  <r>
    <s v="Cases\\06. HKICPA"/>
    <x v="5"/>
    <x v="2"/>
    <s v="Asia Pacific"/>
    <n v="0"/>
    <n v="1"/>
    <n v="0"/>
    <n v="0"/>
    <n v="1"/>
  </r>
  <r>
    <s v="Cases\\07. IDW"/>
    <x v="6"/>
    <x v="2"/>
    <s v="Europe"/>
    <n v="0"/>
    <n v="1"/>
    <n v="0"/>
    <n v="0"/>
    <n v="1"/>
  </r>
  <r>
    <s v="Cases\\08. JICPA"/>
    <x v="7"/>
    <x v="2"/>
    <s v="Asia Pacific"/>
    <n v="0"/>
    <n v="1"/>
    <n v="0"/>
    <n v="0"/>
    <n v="1"/>
  </r>
  <r>
    <s v="Cases\\09. MAASB"/>
    <x v="8"/>
    <x v="2"/>
    <s v="Asia Pacific"/>
    <n v="1"/>
    <n v="0"/>
    <n v="0"/>
    <n v="0"/>
    <n v="1"/>
  </r>
  <r>
    <s v="Cases\\10. NBA"/>
    <x v="9"/>
    <x v="2"/>
    <s v="Europe"/>
    <n v="0"/>
    <n v="0"/>
    <n v="0"/>
    <n v="0"/>
    <n v="0"/>
  </r>
  <r>
    <s v="Cases\\11. NZAASB"/>
    <x v="10"/>
    <x v="2"/>
    <s v="Asia Pacific"/>
    <n v="0"/>
    <n v="1"/>
    <n v="0"/>
    <n v="0"/>
    <n v="1"/>
  </r>
  <r>
    <s v="Cases\\12. BDO"/>
    <x v="11"/>
    <x v="3"/>
    <s v="Global"/>
    <n v="1"/>
    <n v="0"/>
    <n v="0"/>
    <n v="0"/>
    <n v="1"/>
  </r>
  <r>
    <s v="Cases\\13. CG"/>
    <x v="12"/>
    <x v="3"/>
    <s v="Global"/>
    <n v="1"/>
    <n v="0"/>
    <n v="0"/>
    <n v="0"/>
    <n v="1"/>
  </r>
  <r>
    <s v="Cases\\14. DTT"/>
    <x v="13"/>
    <x v="3"/>
    <s v="Global"/>
    <n v="0"/>
    <n v="1"/>
    <n v="0"/>
    <n v="0"/>
    <n v="1"/>
  </r>
  <r>
    <s v="Cases\\15. EYG"/>
    <x v="14"/>
    <x v="3"/>
    <s v="Global"/>
    <n v="0"/>
    <n v="1"/>
    <n v="0"/>
    <n v="0"/>
    <n v="1"/>
  </r>
  <r>
    <s v="Cases\\16. GTI"/>
    <x v="15"/>
    <x v="3"/>
    <s v="Global"/>
    <n v="0"/>
    <n v="1"/>
    <n v="0"/>
    <n v="0"/>
    <n v="1"/>
  </r>
  <r>
    <s v="Cases\\17. KPMG"/>
    <x v="16"/>
    <x v="3"/>
    <s v="Global"/>
    <n v="0"/>
    <n v="1"/>
    <n v="0"/>
    <n v="0"/>
    <n v="1"/>
  </r>
  <r>
    <s v="Cases\\18. MZS"/>
    <x v="17"/>
    <x v="3"/>
    <s v="Global"/>
    <n v="0"/>
    <n v="1"/>
    <n v="0"/>
    <n v="0"/>
    <n v="1"/>
  </r>
  <r>
    <s v="Cases\\19. PwC"/>
    <x v="18"/>
    <x v="3"/>
    <s v="Global"/>
    <n v="0"/>
    <n v="1"/>
    <n v="0"/>
    <n v="0"/>
    <n v="1"/>
  </r>
  <r>
    <s v="Cases\\20. GAO"/>
    <x v="19"/>
    <x v="4"/>
    <s v="North America"/>
    <n v="0"/>
    <n v="1"/>
    <n v="0"/>
    <n v="0"/>
    <n v="1"/>
  </r>
  <r>
    <s v="Cases\\21. ACCA-CAANZ"/>
    <x v="20"/>
    <x v="5"/>
    <s v="Global"/>
    <n v="0"/>
    <n v="0"/>
    <n v="0"/>
    <n v="0"/>
    <n v="0"/>
  </r>
  <r>
    <s v="Cases\\22. AE"/>
    <x v="21"/>
    <x v="5"/>
    <s v="Europe"/>
    <n v="0"/>
    <n v="1"/>
    <n v="0"/>
    <n v="0"/>
    <n v="1"/>
  </r>
  <r>
    <s v="Cases\\23. AICPA"/>
    <x v="22"/>
    <x v="5"/>
    <s v="North America"/>
    <n v="0"/>
    <n v="1"/>
    <n v="0"/>
    <n v="0"/>
    <n v="1"/>
  </r>
  <r>
    <s v="Cases\\24. AIPS"/>
    <x v="23"/>
    <x v="5"/>
    <s v="Asia Pacific"/>
    <n v="0"/>
    <n v="0"/>
    <n v="0"/>
    <n v="0"/>
    <n v="0"/>
  </r>
  <r>
    <s v="Cases\\25. ASSIREVI"/>
    <x v="24"/>
    <x v="5"/>
    <s v="Europe"/>
    <n v="0"/>
    <n v="1"/>
    <n v="0"/>
    <n v="0"/>
    <n v="1"/>
  </r>
  <r>
    <s v="Cases\\26. CPAA"/>
    <x v="25"/>
    <x v="5"/>
    <s v="Asia Pacific"/>
    <n v="0"/>
    <n v="1"/>
    <n v="0"/>
    <n v="0"/>
    <n v="1"/>
  </r>
  <r>
    <s v="Cases\\27. CPAC"/>
    <x v="26"/>
    <x v="5"/>
    <s v="North America"/>
    <n v="0"/>
    <n v="0"/>
    <n v="0"/>
    <n v="0"/>
    <n v="0"/>
  </r>
  <r>
    <s v="Cases\\28. EFAA"/>
    <x v="27"/>
    <x v="5"/>
    <s v="Europe"/>
    <n v="0"/>
    <n v="1"/>
    <n v="0"/>
    <n v="0"/>
    <n v="1"/>
  </r>
  <r>
    <s v="Cases\\29. FACPCE"/>
    <x v="28"/>
    <x v="5"/>
    <s v="South America"/>
    <n v="0"/>
    <n v="1"/>
    <n v="0"/>
    <n v="0"/>
    <n v="1"/>
  </r>
  <r>
    <s v="Cases\\30. FAR"/>
    <x v="29"/>
    <x v="5"/>
    <s v="Europe"/>
    <n v="0"/>
    <n v="0"/>
    <n v="0"/>
    <n v="0"/>
    <n v="0"/>
  </r>
  <r>
    <s v="Cases\\31. FSR"/>
    <x v="30"/>
    <x v="5"/>
    <s v="Europe"/>
    <n v="0"/>
    <n v="1"/>
    <n v="0"/>
    <n v="0"/>
    <n v="1"/>
  </r>
  <r>
    <s v="Cases\\32. GRI"/>
    <x v="31"/>
    <x v="5"/>
    <s v="Global"/>
    <n v="0"/>
    <n v="1"/>
    <n v="0"/>
    <n v="0"/>
    <n v="1"/>
  </r>
  <r>
    <s v="Cases\\33. IAAA"/>
    <x v="32"/>
    <x v="5"/>
    <s v="South America"/>
    <n v="1"/>
    <n v="0"/>
    <n v="0"/>
    <n v="0"/>
    <n v="1"/>
  </r>
  <r>
    <s v="Cases\\34. IIA"/>
    <x v="33"/>
    <x v="5"/>
    <s v="Global"/>
    <n v="0"/>
    <n v="0"/>
    <n v="0"/>
    <n v="0"/>
    <n v="0"/>
  </r>
  <r>
    <s v="Cases\\35. IIRC"/>
    <x v="34"/>
    <x v="5"/>
    <s v="Global"/>
    <n v="0"/>
    <n v="1"/>
    <n v="0"/>
    <n v="0"/>
    <n v="1"/>
  </r>
  <r>
    <s v="Cases\\36. ICAEW"/>
    <x v="35"/>
    <x v="5"/>
    <s v="Europe"/>
    <n v="0"/>
    <n v="1"/>
    <n v="0"/>
    <n v="0"/>
    <n v="1"/>
  </r>
  <r>
    <s v="Cases\\37. ICAG"/>
    <x v="36"/>
    <x v="5"/>
    <s v="Middle East and Africa"/>
    <n v="0"/>
    <n v="1"/>
    <n v="0"/>
    <n v="0"/>
    <n v="1"/>
  </r>
  <r>
    <s v="Cases\\38. ICAS"/>
    <x v="37"/>
    <x v="5"/>
    <s v="Europe"/>
    <n v="0"/>
    <n v="1"/>
    <n v="0"/>
    <n v="0"/>
    <n v="1"/>
  </r>
  <r>
    <s v="Cases\\39. ICPAU"/>
    <x v="38"/>
    <x v="5"/>
    <s v="Middle East and Africa"/>
    <n v="0"/>
    <n v="0"/>
    <n v="1"/>
    <n v="0"/>
    <n v="1"/>
  </r>
  <r>
    <s v="Cases\\40. IPA"/>
    <x v="39"/>
    <x v="5"/>
    <s v="Asia Pacific"/>
    <n v="0"/>
    <n v="0"/>
    <n v="1"/>
    <n v="0"/>
    <n v="1"/>
  </r>
  <r>
    <s v="Cases\\41. ISCA"/>
    <x v="40"/>
    <x v="5"/>
    <s v="Asia Pacific"/>
    <n v="0"/>
    <n v="0"/>
    <n v="0"/>
    <n v="0"/>
    <n v="0"/>
  </r>
  <r>
    <s v="Cases\\42. MICPA"/>
    <x v="41"/>
    <x v="5"/>
    <s v="Asia Pacific"/>
    <n v="1"/>
    <n v="0"/>
    <n v="0"/>
    <n v="0"/>
    <n v="1"/>
  </r>
  <r>
    <s v="Cases\\43. NASBA"/>
    <x v="42"/>
    <x v="5"/>
    <s v="North America"/>
    <n v="0"/>
    <n v="1"/>
    <n v="0"/>
    <n v="0"/>
    <n v="1"/>
  </r>
  <r>
    <s v="Cases\\44. PAIB"/>
    <x v="43"/>
    <x v="5"/>
    <s v="Global"/>
    <n v="0"/>
    <n v="1"/>
    <n v="0"/>
    <n v="0"/>
    <n v="1"/>
  </r>
  <r>
    <s v="Cases\\45. SAICA"/>
    <x v="44"/>
    <x v="5"/>
    <s v="Middle East and Africa"/>
    <n v="0"/>
    <n v="1"/>
    <n v="0"/>
    <n v="0"/>
    <n v="1"/>
  </r>
  <r>
    <s v="Cases\\46. SASB"/>
    <x v="45"/>
    <x v="5"/>
    <s v="Global"/>
    <n v="0"/>
    <n v="0"/>
    <n v="0"/>
    <n v="1"/>
    <n v="1"/>
  </r>
  <r>
    <s v="Cases\\47. WICI"/>
    <x v="46"/>
    <x v="5"/>
    <s v="Global"/>
    <n v="0"/>
    <n v="1"/>
    <n v="0"/>
    <n v="0"/>
    <n v="1"/>
  </r>
  <r>
    <s v="Cases\\48. WPK"/>
    <x v="47"/>
    <x v="5"/>
    <s v="Europe"/>
    <n v="0"/>
    <n v="1"/>
    <n v="0"/>
    <n v="0"/>
    <n v="1"/>
  </r>
  <r>
    <s v="Cases\\49. DU"/>
    <x v="48"/>
    <x v="6"/>
    <s v="Asia Pacific"/>
    <n v="0"/>
    <n v="0"/>
    <n v="0"/>
    <n v="0"/>
    <n v="0"/>
  </r>
  <r>
    <s v="Cases\\50. BARNARD"/>
    <x v="49"/>
    <x v="7"/>
    <s v="Europe"/>
    <n v="0"/>
    <n v="0"/>
    <n v="0"/>
    <n v="0"/>
    <n v="0"/>
  </r>
  <r>
    <s v="Cases\\51. CAATAS"/>
    <x v="50"/>
    <x v="7"/>
    <s v="Middle East and Africa"/>
    <n v="1"/>
    <n v="0"/>
    <n v="0"/>
    <n v="0"/>
    <n v="1"/>
  </r>
  <r>
    <s v="Cases\\52. SCHNEIDER"/>
    <x v="51"/>
    <x v="7"/>
    <s v="North America"/>
    <n v="0"/>
    <n v="1"/>
    <n v="0"/>
    <n v="0"/>
    <n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Cases\\01. CRUF"/>
    <x v="0"/>
    <x v="0"/>
    <s v="Global"/>
    <n v="0"/>
    <n v="0"/>
    <n v="0"/>
    <n v="0"/>
    <n v="0"/>
    <n v="0"/>
    <n v="0"/>
    <n v="0"/>
    <n v="0"/>
    <n v="0"/>
  </r>
  <r>
    <s v="Cases\\02. CFC"/>
    <x v="1"/>
    <x v="1"/>
    <s v="South America"/>
    <n v="0"/>
    <n v="1"/>
    <n v="0"/>
    <n v="0"/>
    <n v="0"/>
    <n v="0"/>
    <n v="0"/>
    <n v="0"/>
    <n v="0"/>
    <n v="0"/>
  </r>
  <r>
    <s v="Cases\\03. IRBA"/>
    <x v="2"/>
    <x v="1"/>
    <s v="Middle East and Africa"/>
    <n v="0"/>
    <n v="1"/>
    <n v="0"/>
    <n v="1"/>
    <n v="0"/>
    <n v="0"/>
    <n v="0"/>
    <n v="0"/>
    <n v="0"/>
    <n v="0"/>
  </r>
  <r>
    <s v="Cases\\04. AUASB"/>
    <x v="3"/>
    <x v="2"/>
    <s v="Asia Pacific"/>
    <n v="0"/>
    <n v="1"/>
    <n v="1"/>
    <n v="0"/>
    <n v="0"/>
    <n v="0"/>
    <n v="0"/>
    <n v="0"/>
    <n v="0"/>
    <n v="0"/>
  </r>
  <r>
    <s v="Cases\\05. CNCC-CSOEC"/>
    <x v="4"/>
    <x v="2"/>
    <s v="Europe"/>
    <n v="0"/>
    <n v="1"/>
    <n v="0"/>
    <n v="1"/>
    <n v="0"/>
    <n v="0"/>
    <n v="0"/>
    <n v="0"/>
    <n v="0"/>
    <n v="0"/>
  </r>
  <r>
    <s v="Cases\\06. HKICPA"/>
    <x v="5"/>
    <x v="2"/>
    <s v="Asia Pacific"/>
    <n v="1"/>
    <n v="0"/>
    <n v="0"/>
    <n v="0"/>
    <n v="0"/>
    <n v="0"/>
    <n v="0"/>
    <n v="0"/>
    <n v="0"/>
    <n v="0"/>
  </r>
  <r>
    <s v="Cases\\07. IDW"/>
    <x v="6"/>
    <x v="2"/>
    <s v="Europe"/>
    <n v="0"/>
    <n v="1"/>
    <n v="0"/>
    <n v="0"/>
    <n v="0"/>
    <n v="0"/>
    <n v="0"/>
    <n v="1"/>
    <n v="0"/>
    <n v="0"/>
  </r>
  <r>
    <s v="Cases\\08. JICPA"/>
    <x v="7"/>
    <x v="2"/>
    <s v="Asia Pacific"/>
    <n v="1"/>
    <n v="0"/>
    <n v="0"/>
    <n v="0"/>
    <n v="0"/>
    <n v="0"/>
    <n v="0"/>
    <n v="0"/>
    <n v="0"/>
    <n v="0"/>
  </r>
  <r>
    <s v="Cases\\09. MAASB"/>
    <x v="8"/>
    <x v="2"/>
    <s v="Asia Pacific"/>
    <n v="0"/>
    <n v="1"/>
    <n v="0"/>
    <n v="0"/>
    <n v="0"/>
    <n v="0"/>
    <n v="0"/>
    <n v="0"/>
    <n v="0"/>
    <n v="0"/>
  </r>
  <r>
    <s v="Cases\\10. NBA"/>
    <x v="9"/>
    <x v="2"/>
    <s v="Europe"/>
    <n v="0"/>
    <n v="1"/>
    <n v="0"/>
    <n v="1"/>
    <n v="0"/>
    <n v="0"/>
    <n v="0"/>
    <n v="0"/>
    <n v="0"/>
    <n v="0"/>
  </r>
  <r>
    <s v="Cases\\11. NZAASB"/>
    <x v="10"/>
    <x v="2"/>
    <s v="Asia Pacific"/>
    <n v="0"/>
    <n v="1"/>
    <n v="1"/>
    <n v="0"/>
    <n v="0"/>
    <n v="1"/>
    <n v="0"/>
    <n v="0"/>
    <n v="0"/>
    <n v="0"/>
  </r>
  <r>
    <s v="Cases\\12. BDO"/>
    <x v="11"/>
    <x v="3"/>
    <s v="Global"/>
    <n v="1"/>
    <n v="0"/>
    <n v="0"/>
    <n v="0"/>
    <n v="0"/>
    <n v="0"/>
    <n v="0"/>
    <n v="0"/>
    <n v="0"/>
    <n v="0"/>
  </r>
  <r>
    <s v="Cases\\13. CG"/>
    <x v="12"/>
    <x v="3"/>
    <s v="Global"/>
    <n v="1"/>
    <n v="0"/>
    <n v="0"/>
    <n v="0"/>
    <n v="0"/>
    <n v="0"/>
    <n v="0"/>
    <n v="0"/>
    <n v="0"/>
    <n v="0"/>
  </r>
  <r>
    <s v="Cases\\14. DTT"/>
    <x v="13"/>
    <x v="3"/>
    <s v="Global"/>
    <n v="0"/>
    <n v="1"/>
    <n v="0"/>
    <n v="1"/>
    <n v="0"/>
    <n v="0"/>
    <n v="0"/>
    <n v="1"/>
    <n v="0"/>
    <n v="0"/>
  </r>
  <r>
    <s v="Cases\\15. EYG"/>
    <x v="14"/>
    <x v="3"/>
    <s v="Global"/>
    <n v="0"/>
    <n v="1"/>
    <n v="0"/>
    <n v="1"/>
    <n v="0"/>
    <n v="0"/>
    <n v="0"/>
    <n v="0"/>
    <n v="0"/>
    <n v="0"/>
  </r>
  <r>
    <s v="Cases\\16. GTI"/>
    <x v="15"/>
    <x v="3"/>
    <s v="Global"/>
    <n v="0"/>
    <n v="1"/>
    <n v="0"/>
    <n v="0"/>
    <n v="0"/>
    <n v="1"/>
    <n v="0"/>
    <n v="0"/>
    <n v="0"/>
    <n v="0"/>
  </r>
  <r>
    <s v="Cases\\17. KPMG"/>
    <x v="16"/>
    <x v="3"/>
    <s v="Global"/>
    <n v="0"/>
    <n v="1"/>
    <n v="0"/>
    <n v="1"/>
    <n v="0"/>
    <n v="0"/>
    <n v="0"/>
    <n v="0"/>
    <n v="0"/>
    <n v="0"/>
  </r>
  <r>
    <s v="Cases\\18. MZS"/>
    <x v="17"/>
    <x v="3"/>
    <s v="Global"/>
    <n v="0"/>
    <n v="1"/>
    <n v="0"/>
    <n v="0"/>
    <n v="0"/>
    <n v="0"/>
    <n v="0"/>
    <n v="0"/>
    <n v="0"/>
    <n v="0"/>
  </r>
  <r>
    <s v="Cases\\19. PwC"/>
    <x v="18"/>
    <x v="3"/>
    <s v="Global"/>
    <n v="0"/>
    <n v="1"/>
    <n v="0"/>
    <n v="1"/>
    <n v="0"/>
    <n v="0"/>
    <n v="0"/>
    <n v="0"/>
    <n v="0"/>
    <n v="0"/>
  </r>
  <r>
    <s v="Cases\\20. GAO"/>
    <x v="19"/>
    <x v="4"/>
    <s v="North America"/>
    <n v="0"/>
    <n v="0"/>
    <n v="0"/>
    <n v="0"/>
    <n v="0"/>
    <n v="0"/>
    <n v="0"/>
    <n v="0"/>
    <n v="0"/>
    <n v="1"/>
  </r>
  <r>
    <s v="Cases\\21. ACCA-CAANZ"/>
    <x v="20"/>
    <x v="5"/>
    <s v="Global"/>
    <n v="0"/>
    <n v="0"/>
    <n v="0"/>
    <n v="0"/>
    <n v="0"/>
    <n v="0"/>
    <n v="0"/>
    <n v="0"/>
    <n v="0"/>
    <n v="0"/>
  </r>
  <r>
    <s v="Cases\\22. AE"/>
    <x v="21"/>
    <x v="5"/>
    <s v="Europe"/>
    <n v="0"/>
    <n v="1"/>
    <n v="0"/>
    <n v="1"/>
    <n v="0"/>
    <n v="0"/>
    <n v="0"/>
    <n v="0"/>
    <n v="0"/>
    <n v="0"/>
  </r>
  <r>
    <s v="Cases\\23. AICPA"/>
    <x v="22"/>
    <x v="5"/>
    <s v="North America"/>
    <n v="0"/>
    <n v="1"/>
    <n v="0"/>
    <n v="0"/>
    <n v="0"/>
    <n v="0"/>
    <n v="0"/>
    <n v="1"/>
    <n v="0"/>
    <n v="0"/>
  </r>
  <r>
    <s v="Cases\\24. AIPS"/>
    <x v="23"/>
    <x v="5"/>
    <s v="Asia Pacific"/>
    <n v="0"/>
    <n v="0"/>
    <n v="0"/>
    <n v="0"/>
    <n v="0"/>
    <n v="0"/>
    <n v="0"/>
    <n v="0"/>
    <n v="0"/>
    <n v="0"/>
  </r>
  <r>
    <s v="Cases\\25. ASSIREVI"/>
    <x v="24"/>
    <x v="5"/>
    <s v="Europe"/>
    <n v="0"/>
    <n v="1"/>
    <n v="0"/>
    <n v="0"/>
    <n v="0"/>
    <n v="0"/>
    <n v="0"/>
    <n v="0"/>
    <n v="0"/>
    <n v="0"/>
  </r>
  <r>
    <s v="Cases\\26. CPAA"/>
    <x v="25"/>
    <x v="5"/>
    <s v="Asia Pacific"/>
    <n v="0"/>
    <n v="1"/>
    <n v="0"/>
    <n v="0"/>
    <n v="0"/>
    <n v="0"/>
    <n v="0"/>
    <n v="0"/>
    <n v="0"/>
    <n v="0"/>
  </r>
  <r>
    <s v="Cases\\27. CPAC"/>
    <x v="26"/>
    <x v="5"/>
    <s v="North America"/>
    <n v="0"/>
    <n v="0"/>
    <n v="0"/>
    <n v="0"/>
    <n v="0"/>
    <n v="0"/>
    <n v="0"/>
    <n v="0"/>
    <n v="0"/>
    <n v="0"/>
  </r>
  <r>
    <s v="Cases\\28. EFAA"/>
    <x v="27"/>
    <x v="5"/>
    <s v="Europe"/>
    <n v="0"/>
    <n v="1"/>
    <n v="0"/>
    <n v="1"/>
    <n v="0"/>
    <n v="0"/>
    <n v="0"/>
    <n v="1"/>
    <n v="0"/>
    <n v="0"/>
  </r>
  <r>
    <s v="Cases\\29. FACPCE"/>
    <x v="28"/>
    <x v="5"/>
    <s v="South America"/>
    <n v="1"/>
    <n v="0"/>
    <n v="0"/>
    <n v="0"/>
    <n v="0"/>
    <n v="0"/>
    <n v="0"/>
    <n v="0"/>
    <n v="0"/>
    <n v="0"/>
  </r>
  <r>
    <s v="Cases\\30. FAR"/>
    <x v="29"/>
    <x v="5"/>
    <s v="Europe"/>
    <n v="0"/>
    <n v="1"/>
    <n v="0"/>
    <n v="0"/>
    <n v="0"/>
    <n v="1"/>
    <n v="1"/>
    <n v="0"/>
    <n v="0"/>
    <n v="0"/>
  </r>
  <r>
    <s v="Cases\\31. FSR"/>
    <x v="30"/>
    <x v="5"/>
    <s v="Europe"/>
    <n v="0"/>
    <n v="1"/>
    <n v="0"/>
    <n v="0"/>
    <n v="1"/>
    <n v="0"/>
    <n v="0"/>
    <n v="0"/>
    <n v="0"/>
    <n v="0"/>
  </r>
  <r>
    <s v="Cases\\32. GRI"/>
    <x v="31"/>
    <x v="5"/>
    <s v="Global"/>
    <n v="0"/>
    <n v="1"/>
    <n v="0"/>
    <n v="1"/>
    <n v="0"/>
    <n v="0"/>
    <n v="0"/>
    <n v="0"/>
    <n v="0"/>
    <n v="0"/>
  </r>
  <r>
    <s v="Cases\\33. IAAA"/>
    <x v="32"/>
    <x v="5"/>
    <s v="South America"/>
    <n v="1"/>
    <n v="0"/>
    <n v="0"/>
    <n v="0"/>
    <n v="0"/>
    <n v="0"/>
    <n v="0"/>
    <n v="0"/>
    <n v="0"/>
    <n v="0"/>
  </r>
  <r>
    <s v="Cases\\34. IIA"/>
    <x v="33"/>
    <x v="5"/>
    <s v="Global"/>
    <n v="0"/>
    <n v="0"/>
    <n v="0"/>
    <n v="0"/>
    <n v="0"/>
    <n v="0"/>
    <n v="0"/>
    <n v="0"/>
    <n v="0"/>
    <n v="0"/>
  </r>
  <r>
    <s v="Cases\\35. IIRC"/>
    <x v="34"/>
    <x v="5"/>
    <s v="Global"/>
    <n v="0"/>
    <n v="0"/>
    <n v="0"/>
    <n v="0"/>
    <n v="0"/>
    <n v="0"/>
    <n v="0"/>
    <n v="0"/>
    <n v="0"/>
    <n v="0"/>
  </r>
  <r>
    <s v="Cases\\36. ICAEW"/>
    <x v="35"/>
    <x v="5"/>
    <s v="Europe"/>
    <n v="0"/>
    <n v="1"/>
    <n v="0"/>
    <n v="1"/>
    <n v="0"/>
    <n v="0"/>
    <n v="0"/>
    <n v="0"/>
    <n v="0"/>
    <n v="0"/>
  </r>
  <r>
    <s v="Cases\\37. ICAG"/>
    <x v="36"/>
    <x v="5"/>
    <s v="Middle East and Africa"/>
    <n v="1"/>
    <n v="0"/>
    <n v="0"/>
    <n v="0"/>
    <n v="0"/>
    <n v="0"/>
    <n v="0"/>
    <n v="0"/>
    <n v="0"/>
    <n v="0"/>
  </r>
  <r>
    <s v="Cases\\38. ICAS"/>
    <x v="37"/>
    <x v="5"/>
    <s v="Europe"/>
    <n v="0"/>
    <n v="1"/>
    <n v="0"/>
    <n v="0"/>
    <n v="0"/>
    <n v="0"/>
    <n v="0"/>
    <n v="0"/>
    <n v="0"/>
    <n v="0"/>
  </r>
  <r>
    <s v="Cases\\39. ICPAU"/>
    <x v="38"/>
    <x v="5"/>
    <s v="Middle East and Africa"/>
    <n v="1"/>
    <n v="0"/>
    <n v="0"/>
    <n v="0"/>
    <n v="0"/>
    <n v="0"/>
    <n v="0"/>
    <n v="0"/>
    <n v="0"/>
    <n v="0"/>
  </r>
  <r>
    <s v="Cases\\40. IPA"/>
    <x v="39"/>
    <x v="5"/>
    <s v="Asia Pacific"/>
    <n v="0"/>
    <n v="0"/>
    <n v="0"/>
    <n v="0"/>
    <n v="0"/>
    <n v="0"/>
    <n v="0"/>
    <n v="0"/>
    <n v="1"/>
    <n v="0"/>
  </r>
  <r>
    <s v="Cases\\41. ISCA"/>
    <x v="40"/>
    <x v="5"/>
    <s v="Asia Pacific"/>
    <n v="0"/>
    <n v="0"/>
    <n v="0"/>
    <n v="0"/>
    <n v="0"/>
    <n v="0"/>
    <n v="0"/>
    <n v="0"/>
    <n v="0"/>
    <n v="0"/>
  </r>
  <r>
    <s v="Cases\\42. MICPA"/>
    <x v="41"/>
    <x v="5"/>
    <s v="Asia Pacific"/>
    <n v="1"/>
    <n v="0"/>
    <n v="0"/>
    <n v="0"/>
    <n v="0"/>
    <n v="0"/>
    <n v="0"/>
    <n v="0"/>
    <n v="0"/>
    <n v="0"/>
  </r>
  <r>
    <s v="Cases\\43. NASBA"/>
    <x v="42"/>
    <x v="5"/>
    <s v="North America"/>
    <n v="0"/>
    <n v="0"/>
    <n v="0"/>
    <n v="0"/>
    <n v="0"/>
    <n v="0"/>
    <n v="0"/>
    <n v="0"/>
    <n v="1"/>
    <n v="0"/>
  </r>
  <r>
    <s v="Cases\\44. PAIB"/>
    <x v="43"/>
    <x v="5"/>
    <s v="Global"/>
    <n v="1"/>
    <n v="0"/>
    <n v="0"/>
    <n v="0"/>
    <n v="0"/>
    <n v="0"/>
    <n v="0"/>
    <n v="0"/>
    <n v="0"/>
    <n v="0"/>
  </r>
  <r>
    <s v="Cases\\45. SAICA"/>
    <x v="44"/>
    <x v="5"/>
    <s v="Middle East and Africa"/>
    <n v="1"/>
    <n v="0"/>
    <n v="0"/>
    <n v="0"/>
    <n v="0"/>
    <n v="0"/>
    <n v="0"/>
    <n v="0"/>
    <n v="0"/>
    <n v="0"/>
  </r>
  <r>
    <s v="Cases\\46. SASB"/>
    <x v="45"/>
    <x v="5"/>
    <s v="Global"/>
    <n v="0"/>
    <n v="0"/>
    <n v="0"/>
    <n v="0"/>
    <n v="0"/>
    <n v="0"/>
    <n v="0"/>
    <n v="0"/>
    <n v="0"/>
    <n v="1"/>
  </r>
  <r>
    <s v="Cases\\47. WICI"/>
    <x v="46"/>
    <x v="5"/>
    <s v="Global"/>
    <n v="0"/>
    <n v="0"/>
    <n v="0"/>
    <n v="0"/>
    <n v="0"/>
    <n v="0"/>
    <n v="0"/>
    <n v="0"/>
    <n v="1"/>
    <n v="0"/>
  </r>
  <r>
    <s v="Cases\\48. WPK"/>
    <x v="47"/>
    <x v="5"/>
    <s v="Europe"/>
    <n v="0"/>
    <n v="1"/>
    <n v="0"/>
    <n v="1"/>
    <n v="0"/>
    <n v="0"/>
    <n v="0"/>
    <n v="1"/>
    <n v="0"/>
    <n v="0"/>
  </r>
  <r>
    <s v="Cases\\49. DU"/>
    <x v="48"/>
    <x v="6"/>
    <s v="Asia Pacific"/>
    <n v="0"/>
    <n v="0"/>
    <n v="0"/>
    <n v="0"/>
    <n v="0"/>
    <n v="0"/>
    <n v="0"/>
    <n v="0"/>
    <n v="0"/>
    <n v="0"/>
  </r>
  <r>
    <s v="Cases\\50. BARNARD"/>
    <x v="49"/>
    <x v="7"/>
    <s v="Europe"/>
    <n v="0"/>
    <n v="0"/>
    <n v="0"/>
    <n v="0"/>
    <n v="0"/>
    <n v="0"/>
    <n v="0"/>
    <n v="0"/>
    <n v="0"/>
    <n v="0"/>
  </r>
  <r>
    <s v="Cases\\51. CAATAS"/>
    <x v="50"/>
    <x v="7"/>
    <s v="Middle East and Africa"/>
    <n v="1"/>
    <n v="0"/>
    <n v="0"/>
    <n v="0"/>
    <n v="0"/>
    <n v="0"/>
    <n v="0"/>
    <n v="0"/>
    <n v="0"/>
    <n v="0"/>
  </r>
  <r>
    <s v="Cases\\52. SCHNEIDER"/>
    <x v="51"/>
    <x v="7"/>
    <s v="North America"/>
    <n v="0"/>
    <n v="0"/>
    <n v="0"/>
    <n v="0"/>
    <n v="0"/>
    <n v="0"/>
    <n v="0"/>
    <n v="0"/>
    <n v="1"/>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Cases\\01. CRUF"/>
    <x v="0"/>
    <x v="0"/>
    <s v="Global"/>
    <n v="0"/>
    <n v="0"/>
    <n v="0"/>
    <n v="0"/>
    <n v="0"/>
  </r>
  <r>
    <s v="Cases\\02. CFC"/>
    <x v="1"/>
    <x v="1"/>
    <s v="South America"/>
    <n v="0"/>
    <n v="1"/>
    <n v="0"/>
    <n v="0"/>
    <n v="1"/>
  </r>
  <r>
    <s v="Cases\\03. IRBA"/>
    <x v="2"/>
    <x v="1"/>
    <s v="Middle East and Africa"/>
    <n v="0"/>
    <n v="1"/>
    <n v="0"/>
    <n v="0"/>
    <n v="1"/>
  </r>
  <r>
    <s v="Cases\\04. AUASB"/>
    <x v="3"/>
    <x v="2"/>
    <s v="Asia Pacific"/>
    <n v="0"/>
    <n v="1"/>
    <n v="0"/>
    <n v="0"/>
    <n v="1"/>
  </r>
  <r>
    <s v="Cases\\05. CNCC-CSOEC"/>
    <x v="4"/>
    <x v="2"/>
    <s v="Europe"/>
    <n v="0"/>
    <n v="1"/>
    <n v="0"/>
    <n v="0"/>
    <n v="1"/>
  </r>
  <r>
    <s v="Cases\\06. HKICPA"/>
    <x v="5"/>
    <x v="2"/>
    <s v="Asia Pacific"/>
    <n v="1"/>
    <n v="0"/>
    <n v="0"/>
    <n v="0"/>
    <n v="1"/>
  </r>
  <r>
    <s v="Cases\\07. IDW"/>
    <x v="6"/>
    <x v="2"/>
    <s v="Europe"/>
    <n v="0"/>
    <n v="1"/>
    <n v="0"/>
    <n v="0"/>
    <n v="1"/>
  </r>
  <r>
    <s v="Cases\\08. JICPA"/>
    <x v="7"/>
    <x v="2"/>
    <s v="Asia Pacific"/>
    <n v="1"/>
    <n v="0"/>
    <n v="0"/>
    <n v="0"/>
    <n v="1"/>
  </r>
  <r>
    <s v="Cases\\09. MAASB"/>
    <x v="8"/>
    <x v="2"/>
    <s v="Asia Pacific"/>
    <n v="0"/>
    <n v="1"/>
    <n v="0"/>
    <n v="0"/>
    <n v="1"/>
  </r>
  <r>
    <s v="Cases\\10. NBA"/>
    <x v="9"/>
    <x v="2"/>
    <s v="Europe"/>
    <n v="0"/>
    <n v="1"/>
    <n v="0"/>
    <n v="0"/>
    <n v="1"/>
  </r>
  <r>
    <s v="Cases\\11. NZAASB"/>
    <x v="10"/>
    <x v="2"/>
    <s v="Asia Pacific"/>
    <n v="0"/>
    <n v="1"/>
    <n v="0"/>
    <n v="0"/>
    <n v="1"/>
  </r>
  <r>
    <s v="Cases\\12. BDO"/>
    <x v="11"/>
    <x v="3"/>
    <s v="Global"/>
    <n v="1"/>
    <n v="0"/>
    <n v="0"/>
    <n v="0"/>
    <n v="1"/>
  </r>
  <r>
    <s v="Cases\\13. CG"/>
    <x v="12"/>
    <x v="3"/>
    <s v="Global"/>
    <n v="1"/>
    <n v="0"/>
    <n v="0"/>
    <n v="0"/>
    <n v="1"/>
  </r>
  <r>
    <s v="Cases\\14. DTT"/>
    <x v="13"/>
    <x v="3"/>
    <s v="Global"/>
    <n v="0"/>
    <n v="1"/>
    <n v="0"/>
    <n v="0"/>
    <n v="1"/>
  </r>
  <r>
    <s v="Cases\\15. EYG"/>
    <x v="14"/>
    <x v="3"/>
    <s v="Global"/>
    <n v="0"/>
    <n v="1"/>
    <n v="0"/>
    <n v="0"/>
    <n v="1"/>
  </r>
  <r>
    <s v="Cases\\16. GTI"/>
    <x v="15"/>
    <x v="3"/>
    <s v="Global"/>
    <n v="0"/>
    <n v="1"/>
    <n v="0"/>
    <n v="0"/>
    <n v="1"/>
  </r>
  <r>
    <s v="Cases\\17. KPMG"/>
    <x v="16"/>
    <x v="3"/>
    <s v="Global"/>
    <n v="0"/>
    <n v="1"/>
    <n v="0"/>
    <n v="0"/>
    <n v="1"/>
  </r>
  <r>
    <s v="Cases\\18. MZS"/>
    <x v="17"/>
    <x v="3"/>
    <s v="Global"/>
    <n v="0"/>
    <n v="1"/>
    <n v="0"/>
    <n v="0"/>
    <n v="1"/>
  </r>
  <r>
    <s v="Cases\\19. PwC"/>
    <x v="18"/>
    <x v="3"/>
    <s v="Global"/>
    <n v="0"/>
    <n v="1"/>
    <n v="0"/>
    <n v="0"/>
    <n v="1"/>
  </r>
  <r>
    <s v="Cases\\20. GAO"/>
    <x v="19"/>
    <x v="4"/>
    <s v="North America"/>
    <n v="0"/>
    <n v="0"/>
    <n v="0"/>
    <n v="1"/>
    <n v="1"/>
  </r>
  <r>
    <s v="Cases\\21. ACCA-CAANZ"/>
    <x v="20"/>
    <x v="5"/>
    <s v="Global"/>
    <n v="0"/>
    <n v="0"/>
    <n v="0"/>
    <n v="0"/>
    <n v="0"/>
  </r>
  <r>
    <s v="Cases\\22. AE"/>
    <x v="21"/>
    <x v="5"/>
    <s v="Europe"/>
    <n v="0"/>
    <n v="1"/>
    <n v="0"/>
    <n v="0"/>
    <n v="1"/>
  </r>
  <r>
    <s v="Cases\\23. AICPA"/>
    <x v="22"/>
    <x v="5"/>
    <s v="North America"/>
    <n v="0"/>
    <n v="1"/>
    <n v="0"/>
    <n v="0"/>
    <n v="1"/>
  </r>
  <r>
    <s v="Cases\\24. AIPS"/>
    <x v="23"/>
    <x v="5"/>
    <s v="Asia Pacific"/>
    <n v="0"/>
    <n v="0"/>
    <n v="0"/>
    <n v="0"/>
    <n v="0"/>
  </r>
  <r>
    <s v="Cases\\25. ASSIREVI"/>
    <x v="24"/>
    <x v="5"/>
    <s v="Europe"/>
    <n v="0"/>
    <n v="1"/>
    <n v="0"/>
    <n v="0"/>
    <n v="1"/>
  </r>
  <r>
    <s v="Cases\\26. CPAA"/>
    <x v="25"/>
    <x v="5"/>
    <s v="Asia Pacific"/>
    <n v="0"/>
    <n v="1"/>
    <n v="0"/>
    <n v="0"/>
    <n v="1"/>
  </r>
  <r>
    <s v="Cases\\27. CPAC"/>
    <x v="26"/>
    <x v="5"/>
    <s v="North America"/>
    <n v="0"/>
    <n v="0"/>
    <n v="0"/>
    <n v="0"/>
    <n v="0"/>
  </r>
  <r>
    <s v="Cases\\28. EFAA"/>
    <x v="27"/>
    <x v="5"/>
    <s v="Europe"/>
    <n v="0"/>
    <n v="1"/>
    <n v="0"/>
    <n v="0"/>
    <n v="1"/>
  </r>
  <r>
    <s v="Cases\\29. FACPCE"/>
    <x v="28"/>
    <x v="5"/>
    <s v="South America"/>
    <n v="1"/>
    <n v="0"/>
    <n v="0"/>
    <n v="0"/>
    <n v="1"/>
  </r>
  <r>
    <s v="Cases\\30. FAR"/>
    <x v="29"/>
    <x v="5"/>
    <s v="Europe"/>
    <n v="0"/>
    <n v="1"/>
    <n v="0"/>
    <n v="0"/>
    <n v="1"/>
  </r>
  <r>
    <s v="Cases\\31. FSR"/>
    <x v="30"/>
    <x v="5"/>
    <s v="Europe"/>
    <n v="0"/>
    <n v="1"/>
    <n v="0"/>
    <n v="0"/>
    <n v="1"/>
  </r>
  <r>
    <s v="Cases\\32. GRI"/>
    <x v="31"/>
    <x v="5"/>
    <s v="Global"/>
    <n v="0"/>
    <n v="1"/>
    <n v="0"/>
    <n v="0"/>
    <n v="1"/>
  </r>
  <r>
    <s v="Cases\\33. IAAA"/>
    <x v="32"/>
    <x v="5"/>
    <s v="South America"/>
    <n v="1"/>
    <n v="0"/>
    <n v="0"/>
    <n v="0"/>
    <n v="1"/>
  </r>
  <r>
    <s v="Cases\\34. IIA"/>
    <x v="33"/>
    <x v="5"/>
    <s v="Global"/>
    <n v="0"/>
    <n v="0"/>
    <n v="0"/>
    <n v="0"/>
    <n v="0"/>
  </r>
  <r>
    <s v="Cases\\35. IIRC"/>
    <x v="34"/>
    <x v="5"/>
    <s v="Global"/>
    <n v="0"/>
    <n v="0"/>
    <n v="0"/>
    <n v="0"/>
    <n v="0"/>
  </r>
  <r>
    <s v="Cases\\36. ICAEW"/>
    <x v="35"/>
    <x v="5"/>
    <s v="Europe"/>
    <n v="0"/>
    <n v="1"/>
    <n v="0"/>
    <n v="0"/>
    <n v="1"/>
  </r>
  <r>
    <s v="Cases\\37. ICAG"/>
    <x v="36"/>
    <x v="5"/>
    <s v="Middle East and Africa"/>
    <n v="1"/>
    <n v="0"/>
    <n v="0"/>
    <n v="0"/>
    <n v="1"/>
  </r>
  <r>
    <s v="Cases\\38. ICAS"/>
    <x v="37"/>
    <x v="5"/>
    <s v="Europe"/>
    <n v="0"/>
    <n v="1"/>
    <n v="0"/>
    <n v="0"/>
    <n v="1"/>
  </r>
  <r>
    <s v="Cases\\39. ICPAU"/>
    <x v="38"/>
    <x v="5"/>
    <s v="Middle East and Africa"/>
    <n v="1"/>
    <n v="0"/>
    <n v="0"/>
    <n v="0"/>
    <n v="1"/>
  </r>
  <r>
    <s v="Cases\\40. IPA"/>
    <x v="39"/>
    <x v="5"/>
    <s v="Asia Pacific"/>
    <n v="0"/>
    <n v="0"/>
    <n v="1"/>
    <n v="0"/>
    <n v="1"/>
  </r>
  <r>
    <s v="Cases\\41. ISCA"/>
    <x v="40"/>
    <x v="5"/>
    <s v="Asia Pacific"/>
    <n v="0"/>
    <n v="0"/>
    <n v="0"/>
    <n v="0"/>
    <n v="0"/>
  </r>
  <r>
    <s v="Cases\\42. MICPA"/>
    <x v="41"/>
    <x v="5"/>
    <s v="Asia Pacific"/>
    <n v="1"/>
    <n v="0"/>
    <n v="0"/>
    <n v="0"/>
    <n v="1"/>
  </r>
  <r>
    <s v="Cases\\43. NASBA"/>
    <x v="42"/>
    <x v="5"/>
    <s v="North America"/>
    <n v="0"/>
    <n v="0"/>
    <n v="1"/>
    <n v="0"/>
    <n v="1"/>
  </r>
  <r>
    <s v="Cases\\44. PAIB"/>
    <x v="43"/>
    <x v="5"/>
    <s v="Global"/>
    <n v="1"/>
    <n v="0"/>
    <n v="0"/>
    <n v="0"/>
    <n v="1"/>
  </r>
  <r>
    <s v="Cases\\45. SAICA"/>
    <x v="44"/>
    <x v="5"/>
    <s v="Middle East and Africa"/>
    <n v="1"/>
    <n v="0"/>
    <n v="0"/>
    <n v="0"/>
    <n v="1"/>
  </r>
  <r>
    <s v="Cases\\46. SASB"/>
    <x v="45"/>
    <x v="5"/>
    <s v="Global"/>
    <n v="0"/>
    <n v="0"/>
    <n v="0"/>
    <n v="1"/>
    <n v="1"/>
  </r>
  <r>
    <s v="Cases\\47. WICI"/>
    <x v="46"/>
    <x v="5"/>
    <s v="Global"/>
    <n v="0"/>
    <n v="0"/>
    <n v="1"/>
    <n v="0"/>
    <n v="1"/>
  </r>
  <r>
    <s v="Cases\\48. WPK"/>
    <x v="47"/>
    <x v="5"/>
    <s v="Europe"/>
    <n v="0"/>
    <n v="1"/>
    <n v="0"/>
    <n v="0"/>
    <n v="1"/>
  </r>
  <r>
    <s v="Cases\\49. DU"/>
    <x v="48"/>
    <x v="6"/>
    <s v="Asia Pacific"/>
    <n v="0"/>
    <n v="0"/>
    <n v="0"/>
    <n v="0"/>
    <n v="0"/>
  </r>
  <r>
    <s v="Cases\\50. BARNARD"/>
    <x v="49"/>
    <x v="7"/>
    <s v="Europe"/>
    <n v="0"/>
    <n v="0"/>
    <n v="0"/>
    <n v="0"/>
    <n v="0"/>
  </r>
  <r>
    <s v="Cases\\51. CAATAS"/>
    <x v="50"/>
    <x v="7"/>
    <s v="Middle East and Africa"/>
    <n v="1"/>
    <n v="0"/>
    <n v="0"/>
    <n v="0"/>
    <n v="1"/>
  </r>
  <r>
    <s v="Cases\\52. SCHNEIDER"/>
    <x v="51"/>
    <x v="7"/>
    <s v="North America"/>
    <n v="0"/>
    <n v="0"/>
    <n v="1"/>
    <n v="0"/>
    <n v="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Cases\\01. CRUF"/>
    <x v="0"/>
    <x v="0"/>
    <s v="Global"/>
    <n v="0"/>
    <n v="0"/>
    <n v="0"/>
    <n v="0"/>
    <n v="0"/>
    <n v="0"/>
    <n v="0"/>
    <n v="0"/>
    <n v="0"/>
    <n v="0"/>
    <n v="0"/>
  </r>
  <r>
    <s v="Cases\\02. CFC"/>
    <x v="1"/>
    <x v="1"/>
    <s v="South America"/>
    <n v="0"/>
    <n v="1"/>
    <n v="0"/>
    <n v="0"/>
    <n v="0"/>
    <n v="0"/>
    <n v="0"/>
    <n v="0"/>
    <n v="0"/>
    <n v="0"/>
    <n v="0"/>
  </r>
  <r>
    <s v="Cases\\03. IRBA"/>
    <x v="2"/>
    <x v="1"/>
    <s v="Middle East and Africa"/>
    <n v="0"/>
    <n v="1"/>
    <n v="0"/>
    <n v="0"/>
    <n v="0"/>
    <n v="0"/>
    <n v="0"/>
    <n v="0"/>
    <n v="0"/>
    <n v="0"/>
    <n v="0"/>
  </r>
  <r>
    <s v="Cases\\04. AUASB"/>
    <x v="3"/>
    <x v="2"/>
    <s v="Asia Pacific"/>
    <n v="0"/>
    <n v="1"/>
    <n v="0"/>
    <n v="1"/>
    <n v="0"/>
    <n v="1"/>
    <n v="1"/>
    <n v="1"/>
    <n v="0"/>
    <n v="1"/>
    <n v="0"/>
  </r>
  <r>
    <s v="Cases\\05. CNCC-CSOEC"/>
    <x v="4"/>
    <x v="2"/>
    <s v="Europe"/>
    <n v="0"/>
    <n v="1"/>
    <n v="0"/>
    <n v="0"/>
    <n v="1"/>
    <n v="0"/>
    <n v="0"/>
    <n v="0"/>
    <n v="0"/>
    <n v="0"/>
    <n v="0"/>
  </r>
  <r>
    <s v="Cases\\06. HKICPA"/>
    <x v="5"/>
    <x v="2"/>
    <s v="Asia Pacific"/>
    <n v="0"/>
    <n v="1"/>
    <n v="0"/>
    <n v="0"/>
    <n v="1"/>
    <n v="1"/>
    <n v="0"/>
    <n v="1"/>
    <n v="0"/>
    <n v="0"/>
    <n v="0"/>
  </r>
  <r>
    <s v="Cases\\07. IDW"/>
    <x v="6"/>
    <x v="2"/>
    <s v="Europe"/>
    <n v="0"/>
    <n v="1"/>
    <n v="0"/>
    <n v="0"/>
    <n v="0"/>
    <n v="0"/>
    <n v="0"/>
    <n v="0"/>
    <n v="0"/>
    <n v="1"/>
    <n v="0"/>
  </r>
  <r>
    <s v="Cases\\08. JICPA"/>
    <x v="7"/>
    <x v="2"/>
    <s v="Asia Pacific"/>
    <n v="0"/>
    <n v="1"/>
    <n v="0"/>
    <n v="0"/>
    <n v="0"/>
    <n v="0"/>
    <n v="0"/>
    <n v="0"/>
    <n v="1"/>
    <n v="0"/>
    <n v="0"/>
  </r>
  <r>
    <s v="Cases\\09. MAASB"/>
    <x v="8"/>
    <x v="2"/>
    <s v="Asia Pacific"/>
    <n v="0"/>
    <n v="1"/>
    <n v="0"/>
    <n v="0"/>
    <n v="0"/>
    <n v="0"/>
    <n v="0"/>
    <n v="0"/>
    <n v="0"/>
    <n v="1"/>
    <n v="0"/>
  </r>
  <r>
    <s v="Cases\\10. NBA"/>
    <x v="9"/>
    <x v="2"/>
    <s v="Europe"/>
    <n v="0"/>
    <n v="1"/>
    <n v="0"/>
    <n v="0"/>
    <n v="0"/>
    <n v="1"/>
    <n v="1"/>
    <n v="0"/>
    <n v="0"/>
    <n v="1"/>
    <n v="0"/>
  </r>
  <r>
    <s v="Cases\\11. NZAASB"/>
    <x v="10"/>
    <x v="2"/>
    <s v="Asia Pacific"/>
    <n v="0"/>
    <n v="1"/>
    <n v="1"/>
    <n v="1"/>
    <n v="0"/>
    <n v="1"/>
    <n v="0"/>
    <n v="1"/>
    <n v="0"/>
    <n v="0"/>
    <n v="0"/>
  </r>
  <r>
    <s v="Cases\\12. BDO"/>
    <x v="11"/>
    <x v="3"/>
    <s v="Global"/>
    <n v="1"/>
    <n v="0"/>
    <n v="0"/>
    <n v="0"/>
    <n v="0"/>
    <n v="0"/>
    <n v="0"/>
    <n v="0"/>
    <n v="0"/>
    <n v="0"/>
    <n v="0"/>
  </r>
  <r>
    <s v="Cases\\13. CG"/>
    <x v="12"/>
    <x v="3"/>
    <s v="Global"/>
    <n v="1"/>
    <n v="0"/>
    <n v="0"/>
    <n v="0"/>
    <n v="0"/>
    <n v="0"/>
    <n v="0"/>
    <n v="0"/>
    <n v="0"/>
    <n v="0"/>
    <n v="0"/>
  </r>
  <r>
    <s v="Cases\\14. DTT"/>
    <x v="13"/>
    <x v="3"/>
    <s v="Global"/>
    <n v="0"/>
    <n v="1"/>
    <n v="0"/>
    <n v="0"/>
    <n v="1"/>
    <n v="0"/>
    <n v="0"/>
    <n v="0"/>
    <n v="0"/>
    <n v="0"/>
    <n v="0"/>
  </r>
  <r>
    <s v="Cases\\15. EYG"/>
    <x v="14"/>
    <x v="3"/>
    <s v="Global"/>
    <n v="0"/>
    <n v="1"/>
    <n v="0"/>
    <n v="1"/>
    <n v="0"/>
    <n v="0"/>
    <n v="1"/>
    <n v="0"/>
    <n v="0"/>
    <n v="0"/>
    <n v="0"/>
  </r>
  <r>
    <s v="Cases\\16. GTI"/>
    <x v="15"/>
    <x v="3"/>
    <s v="Global"/>
    <n v="0"/>
    <n v="0"/>
    <n v="0"/>
    <n v="0"/>
    <n v="0"/>
    <n v="0"/>
    <n v="0"/>
    <n v="0"/>
    <n v="0"/>
    <n v="0"/>
    <n v="0"/>
  </r>
  <r>
    <s v="Cases\\17. KPMG"/>
    <x v="16"/>
    <x v="3"/>
    <s v="Global"/>
    <n v="0"/>
    <n v="1"/>
    <n v="0"/>
    <n v="1"/>
    <n v="0"/>
    <n v="0"/>
    <n v="0"/>
    <n v="0"/>
    <n v="0"/>
    <n v="0"/>
    <n v="0"/>
  </r>
  <r>
    <s v="Cases\\18. MZS"/>
    <x v="17"/>
    <x v="3"/>
    <s v="Global"/>
    <n v="0"/>
    <n v="1"/>
    <n v="0"/>
    <n v="0"/>
    <n v="0"/>
    <n v="1"/>
    <n v="1"/>
    <n v="0"/>
    <n v="0"/>
    <n v="1"/>
    <n v="0"/>
  </r>
  <r>
    <s v="Cases\\19. PwC"/>
    <x v="18"/>
    <x v="3"/>
    <s v="Global"/>
    <n v="0"/>
    <n v="1"/>
    <n v="0"/>
    <n v="0"/>
    <n v="0"/>
    <n v="0"/>
    <n v="0"/>
    <n v="0"/>
    <n v="1"/>
    <n v="1"/>
    <n v="0"/>
  </r>
  <r>
    <s v="Cases\\20. GAO"/>
    <x v="19"/>
    <x v="4"/>
    <s v="North America"/>
    <n v="0"/>
    <n v="1"/>
    <n v="0"/>
    <n v="0"/>
    <n v="0"/>
    <n v="0"/>
    <n v="0"/>
    <n v="0"/>
    <n v="0"/>
    <n v="1"/>
    <n v="0"/>
  </r>
  <r>
    <s v="Cases\\21. ACCA-CAANZ"/>
    <x v="20"/>
    <x v="5"/>
    <s v="Global"/>
    <n v="0"/>
    <n v="1"/>
    <n v="0"/>
    <n v="0"/>
    <n v="0"/>
    <n v="0"/>
    <n v="0"/>
    <n v="0"/>
    <n v="0"/>
    <n v="1"/>
    <n v="0"/>
  </r>
  <r>
    <s v="Cases\\22. AE"/>
    <x v="21"/>
    <x v="5"/>
    <s v="Europe"/>
    <n v="0"/>
    <n v="1"/>
    <n v="0"/>
    <n v="1"/>
    <n v="1"/>
    <n v="1"/>
    <n v="1"/>
    <n v="1"/>
    <n v="0"/>
    <n v="0"/>
    <n v="0"/>
  </r>
  <r>
    <s v="Cases\\23. AICPA"/>
    <x v="22"/>
    <x v="5"/>
    <s v="North America"/>
    <n v="0"/>
    <n v="1"/>
    <n v="0"/>
    <n v="0"/>
    <n v="0"/>
    <n v="0"/>
    <n v="0"/>
    <n v="0"/>
    <n v="0"/>
    <n v="1"/>
    <n v="0"/>
  </r>
  <r>
    <s v="Cases\\24. AIPS"/>
    <x v="23"/>
    <x v="5"/>
    <s v="Asia Pacific"/>
    <n v="0"/>
    <n v="0"/>
    <n v="0"/>
    <n v="0"/>
    <n v="0"/>
    <n v="0"/>
    <n v="0"/>
    <n v="0"/>
    <n v="0"/>
    <n v="0"/>
    <n v="0"/>
  </r>
  <r>
    <s v="Cases\\25. ASSIREVI"/>
    <x v="24"/>
    <x v="5"/>
    <s v="Europe"/>
    <n v="0"/>
    <n v="0"/>
    <n v="0"/>
    <n v="0"/>
    <n v="0"/>
    <n v="0"/>
    <n v="0"/>
    <n v="0"/>
    <n v="0"/>
    <n v="0"/>
    <n v="0"/>
  </r>
  <r>
    <s v="Cases\\26. CPAA"/>
    <x v="25"/>
    <x v="5"/>
    <s v="Asia Pacific"/>
    <n v="0"/>
    <n v="1"/>
    <n v="0"/>
    <n v="0"/>
    <n v="0"/>
    <n v="0"/>
    <n v="1"/>
    <n v="0"/>
    <n v="0"/>
    <n v="1"/>
    <n v="0"/>
  </r>
  <r>
    <s v="Cases\\27. CPAC"/>
    <x v="26"/>
    <x v="5"/>
    <s v="North America"/>
    <n v="0"/>
    <n v="1"/>
    <n v="0"/>
    <n v="0"/>
    <n v="0"/>
    <n v="0"/>
    <n v="0"/>
    <n v="0"/>
    <n v="0"/>
    <n v="0"/>
    <n v="0"/>
  </r>
  <r>
    <s v="Cases\\28. EFAA"/>
    <x v="27"/>
    <x v="5"/>
    <s v="Europe"/>
    <n v="0"/>
    <n v="1"/>
    <n v="0"/>
    <n v="0"/>
    <n v="1"/>
    <n v="0"/>
    <n v="0"/>
    <n v="0"/>
    <n v="0"/>
    <n v="1"/>
    <n v="0"/>
  </r>
  <r>
    <s v="Cases\\29. FACPCE"/>
    <x v="28"/>
    <x v="5"/>
    <s v="South America"/>
    <n v="1"/>
    <n v="0"/>
    <n v="0"/>
    <n v="0"/>
    <n v="0"/>
    <n v="0"/>
    <n v="0"/>
    <n v="0"/>
    <n v="0"/>
    <n v="0"/>
    <n v="0"/>
  </r>
  <r>
    <s v="Cases\\30. FAR"/>
    <x v="29"/>
    <x v="5"/>
    <s v="Europe"/>
    <n v="0"/>
    <n v="1"/>
    <n v="0"/>
    <n v="1"/>
    <n v="0"/>
    <n v="0"/>
    <n v="0"/>
    <n v="0"/>
    <n v="0"/>
    <n v="0"/>
    <n v="0"/>
  </r>
  <r>
    <s v="Cases\\31. FSR"/>
    <x v="30"/>
    <x v="5"/>
    <s v="Europe"/>
    <n v="0"/>
    <n v="1"/>
    <n v="1"/>
    <n v="1"/>
    <n v="0"/>
    <n v="0"/>
    <n v="1"/>
    <n v="0"/>
    <n v="0"/>
    <n v="0"/>
    <n v="0"/>
  </r>
  <r>
    <s v="Cases\\32. GRI"/>
    <x v="31"/>
    <x v="5"/>
    <s v="Global"/>
    <n v="0"/>
    <n v="1"/>
    <n v="0"/>
    <n v="0"/>
    <n v="0"/>
    <n v="0"/>
    <n v="0"/>
    <n v="0"/>
    <n v="0"/>
    <n v="0"/>
    <n v="0"/>
  </r>
  <r>
    <s v="Cases\\33. IAAA"/>
    <x v="32"/>
    <x v="5"/>
    <s v="South America"/>
    <n v="0"/>
    <n v="1"/>
    <n v="1"/>
    <n v="0"/>
    <n v="0"/>
    <n v="0"/>
    <n v="0"/>
    <n v="0"/>
    <n v="0"/>
    <n v="0"/>
    <n v="0"/>
  </r>
  <r>
    <s v="Cases\\34. IIA"/>
    <x v="33"/>
    <x v="5"/>
    <s v="Global"/>
    <n v="0"/>
    <n v="1"/>
    <n v="0"/>
    <n v="0"/>
    <n v="0"/>
    <n v="0"/>
    <n v="0"/>
    <n v="1"/>
    <n v="0"/>
    <n v="0"/>
    <n v="0"/>
  </r>
  <r>
    <s v="Cases\\35. IIRC"/>
    <x v="34"/>
    <x v="5"/>
    <s v="Global"/>
    <n v="0"/>
    <n v="1"/>
    <n v="0"/>
    <n v="0"/>
    <n v="1"/>
    <n v="0"/>
    <n v="0"/>
    <n v="0"/>
    <n v="0"/>
    <n v="0"/>
    <n v="0"/>
  </r>
  <r>
    <s v="Cases\\36. ICAEW"/>
    <x v="35"/>
    <x v="5"/>
    <s v="Europe"/>
    <n v="0"/>
    <n v="1"/>
    <n v="1"/>
    <n v="0"/>
    <n v="0"/>
    <n v="0"/>
    <n v="0"/>
    <n v="0"/>
    <n v="1"/>
    <n v="0"/>
    <n v="0"/>
  </r>
  <r>
    <s v="Cases\\37. ICAG"/>
    <x v="36"/>
    <x v="5"/>
    <s v="Middle East and Africa"/>
    <n v="1"/>
    <n v="0"/>
    <n v="0"/>
    <n v="0"/>
    <n v="0"/>
    <n v="0"/>
    <n v="0"/>
    <n v="0"/>
    <n v="0"/>
    <n v="0"/>
    <n v="0"/>
  </r>
  <r>
    <s v="Cases\\38. ICAS"/>
    <x v="37"/>
    <x v="5"/>
    <s v="Europe"/>
    <n v="0"/>
    <n v="1"/>
    <n v="0"/>
    <n v="0"/>
    <n v="0"/>
    <n v="0"/>
    <n v="0"/>
    <n v="1"/>
    <n v="0"/>
    <n v="0"/>
    <n v="0"/>
  </r>
  <r>
    <s v="Cases\\39. ICPAU"/>
    <x v="38"/>
    <x v="5"/>
    <s v="Middle East and Africa"/>
    <n v="1"/>
    <n v="0"/>
    <n v="0"/>
    <n v="0"/>
    <n v="0"/>
    <n v="0"/>
    <n v="0"/>
    <n v="0"/>
    <n v="0"/>
    <n v="0"/>
    <n v="0"/>
  </r>
  <r>
    <s v="Cases\\40. IPA"/>
    <x v="39"/>
    <x v="5"/>
    <s v="Asia Pacific"/>
    <n v="0"/>
    <n v="0"/>
    <n v="0"/>
    <n v="0"/>
    <n v="0"/>
    <n v="0"/>
    <n v="0"/>
    <n v="0"/>
    <n v="0"/>
    <n v="0"/>
    <n v="1"/>
  </r>
  <r>
    <s v="Cases\\41. ISCA"/>
    <x v="40"/>
    <x v="5"/>
    <s v="Asia Pacific"/>
    <n v="0"/>
    <n v="0"/>
    <n v="0"/>
    <n v="0"/>
    <n v="0"/>
    <n v="0"/>
    <n v="0"/>
    <n v="0"/>
    <n v="0"/>
    <n v="0"/>
    <n v="0"/>
  </r>
  <r>
    <s v="Cases\\42. MICPA"/>
    <x v="41"/>
    <x v="5"/>
    <s v="Asia Pacific"/>
    <n v="1"/>
    <n v="0"/>
    <n v="0"/>
    <n v="0"/>
    <n v="0"/>
    <n v="0"/>
    <n v="0"/>
    <n v="0"/>
    <n v="0"/>
    <n v="0"/>
    <n v="0"/>
  </r>
  <r>
    <s v="Cases\\43. NASBA"/>
    <x v="42"/>
    <x v="5"/>
    <s v="North America"/>
    <n v="1"/>
    <n v="0"/>
    <n v="0"/>
    <n v="0"/>
    <n v="0"/>
    <n v="0"/>
    <n v="0"/>
    <n v="0"/>
    <n v="0"/>
    <n v="0"/>
    <n v="0"/>
  </r>
  <r>
    <s v="Cases\\44. PAIB"/>
    <x v="43"/>
    <x v="5"/>
    <s v="Global"/>
    <n v="1"/>
    <n v="0"/>
    <n v="0"/>
    <n v="0"/>
    <n v="0"/>
    <n v="0"/>
    <n v="0"/>
    <n v="0"/>
    <n v="0"/>
    <n v="0"/>
    <n v="0"/>
  </r>
  <r>
    <s v="Cases\\45. SAICA"/>
    <x v="44"/>
    <x v="5"/>
    <s v="Middle East and Africa"/>
    <n v="0"/>
    <n v="1"/>
    <n v="1"/>
    <n v="0"/>
    <n v="0"/>
    <n v="0"/>
    <n v="1"/>
    <n v="0"/>
    <n v="0"/>
    <n v="0"/>
    <n v="0"/>
  </r>
  <r>
    <s v="Cases\\46. SASB"/>
    <x v="45"/>
    <x v="5"/>
    <s v="Global"/>
    <n v="1"/>
    <n v="0"/>
    <n v="0"/>
    <n v="0"/>
    <n v="0"/>
    <n v="0"/>
    <n v="0"/>
    <n v="0"/>
    <n v="0"/>
    <n v="0"/>
    <n v="0"/>
  </r>
  <r>
    <s v="Cases\\47. WICI"/>
    <x v="46"/>
    <x v="5"/>
    <s v="Global"/>
    <n v="0"/>
    <n v="1"/>
    <n v="0"/>
    <n v="1"/>
    <n v="1"/>
    <n v="0"/>
    <n v="0"/>
    <n v="0"/>
    <n v="0"/>
    <n v="0"/>
    <n v="0"/>
  </r>
  <r>
    <s v="Cases\\48. WPK"/>
    <x v="47"/>
    <x v="5"/>
    <s v="Europe"/>
    <n v="0"/>
    <n v="1"/>
    <n v="0"/>
    <n v="0"/>
    <n v="1"/>
    <n v="0"/>
    <n v="0"/>
    <n v="0"/>
    <n v="0"/>
    <n v="0"/>
    <n v="0"/>
  </r>
  <r>
    <s v="Cases\\49. DU"/>
    <x v="48"/>
    <x v="6"/>
    <s v="Asia Pacific"/>
    <n v="0"/>
    <n v="1"/>
    <n v="0"/>
    <n v="0"/>
    <n v="0"/>
    <n v="0"/>
    <n v="0"/>
    <n v="0"/>
    <n v="0"/>
    <n v="0"/>
    <n v="0"/>
  </r>
  <r>
    <s v="Cases\\50. BARNARD"/>
    <x v="49"/>
    <x v="7"/>
    <s v="Europe"/>
    <n v="0"/>
    <n v="0"/>
    <n v="0"/>
    <n v="0"/>
    <n v="0"/>
    <n v="0"/>
    <n v="0"/>
    <n v="0"/>
    <n v="0"/>
    <n v="0"/>
    <n v="0"/>
  </r>
  <r>
    <s v="Cases\\51. CAATAS"/>
    <x v="50"/>
    <x v="7"/>
    <s v="Middle East and Africa"/>
    <n v="1"/>
    <n v="0"/>
    <n v="0"/>
    <n v="0"/>
    <n v="0"/>
    <n v="0"/>
    <n v="0"/>
    <n v="0"/>
    <n v="0"/>
    <n v="0"/>
    <n v="0"/>
  </r>
  <r>
    <s v="Cases\\52. SCHNEIDER"/>
    <x v="51"/>
    <x v="7"/>
    <s v="North America"/>
    <n v="1"/>
    <n v="0"/>
    <n v="0"/>
    <n v="0"/>
    <n v="0"/>
    <n v="0"/>
    <n v="0"/>
    <n v="0"/>
    <n v="0"/>
    <n v="0"/>
    <n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Cases\\01. CRUF"/>
    <x v="0"/>
    <x v="0"/>
    <s v="Global"/>
    <n v="0"/>
    <n v="0"/>
    <n v="0"/>
    <n v="0"/>
  </r>
  <r>
    <s v="Cases\\02. CFC"/>
    <x v="1"/>
    <x v="1"/>
    <s v="South America"/>
    <n v="0"/>
    <n v="1"/>
    <n v="0"/>
    <n v="1"/>
  </r>
  <r>
    <s v="Cases\\03. IRBA"/>
    <x v="2"/>
    <x v="1"/>
    <s v="Middle East and Africa"/>
    <n v="0"/>
    <n v="1"/>
    <n v="0"/>
    <n v="1"/>
  </r>
  <r>
    <s v="Cases\\04. AUASB"/>
    <x v="3"/>
    <x v="2"/>
    <s v="Asia Pacific"/>
    <n v="0"/>
    <n v="1"/>
    <n v="0"/>
    <n v="1"/>
  </r>
  <r>
    <s v="Cases\\05. CNCC-CSOEC"/>
    <x v="4"/>
    <x v="2"/>
    <s v="Europe"/>
    <n v="0"/>
    <n v="1"/>
    <n v="0"/>
    <n v="1"/>
  </r>
  <r>
    <s v="Cases\\06. HKICPA"/>
    <x v="5"/>
    <x v="2"/>
    <s v="Asia Pacific"/>
    <n v="0"/>
    <n v="1"/>
    <n v="0"/>
    <n v="1"/>
  </r>
  <r>
    <s v="Cases\\07. IDW"/>
    <x v="6"/>
    <x v="2"/>
    <s v="Europe"/>
    <n v="0"/>
    <n v="1"/>
    <n v="0"/>
    <n v="1"/>
  </r>
  <r>
    <s v="Cases\\08. JICPA"/>
    <x v="7"/>
    <x v="2"/>
    <s v="Asia Pacific"/>
    <n v="0"/>
    <n v="1"/>
    <n v="0"/>
    <n v="1"/>
  </r>
  <r>
    <s v="Cases\\09. MAASB"/>
    <x v="8"/>
    <x v="2"/>
    <s v="Asia Pacific"/>
    <n v="0"/>
    <n v="1"/>
    <n v="0"/>
    <n v="1"/>
  </r>
  <r>
    <s v="Cases\\10. NBA"/>
    <x v="9"/>
    <x v="2"/>
    <s v="Europe"/>
    <n v="0"/>
    <n v="1"/>
    <n v="0"/>
    <n v="1"/>
  </r>
  <r>
    <s v="Cases\\11. NZAASB"/>
    <x v="10"/>
    <x v="2"/>
    <s v="Asia Pacific"/>
    <n v="0"/>
    <n v="1"/>
    <n v="0"/>
    <n v="1"/>
  </r>
  <r>
    <s v="Cases\\12. BDO"/>
    <x v="11"/>
    <x v="3"/>
    <s v="Global"/>
    <n v="1"/>
    <n v="0"/>
    <n v="0"/>
    <n v="1"/>
  </r>
  <r>
    <s v="Cases\\13. CG"/>
    <x v="12"/>
    <x v="3"/>
    <s v="Global"/>
    <n v="1"/>
    <n v="0"/>
    <n v="0"/>
    <n v="1"/>
  </r>
  <r>
    <s v="Cases\\14. DTT"/>
    <x v="13"/>
    <x v="3"/>
    <s v="Global"/>
    <n v="0"/>
    <n v="1"/>
    <n v="0"/>
    <n v="1"/>
  </r>
  <r>
    <s v="Cases\\15. EYG"/>
    <x v="14"/>
    <x v="3"/>
    <s v="Global"/>
    <n v="0"/>
    <n v="1"/>
    <n v="0"/>
    <n v="1"/>
  </r>
  <r>
    <s v="Cases\\16. GTI"/>
    <x v="15"/>
    <x v="3"/>
    <s v="Global"/>
    <n v="0"/>
    <n v="0"/>
    <n v="0"/>
    <n v="0"/>
  </r>
  <r>
    <s v="Cases\\17. KPMG"/>
    <x v="16"/>
    <x v="3"/>
    <s v="Global"/>
    <n v="0"/>
    <n v="1"/>
    <n v="0"/>
    <n v="1"/>
  </r>
  <r>
    <s v="Cases\\18. MZS"/>
    <x v="17"/>
    <x v="3"/>
    <s v="Global"/>
    <n v="0"/>
    <n v="1"/>
    <n v="0"/>
    <n v="1"/>
  </r>
  <r>
    <s v="Cases\\19. PwC"/>
    <x v="18"/>
    <x v="3"/>
    <s v="Global"/>
    <n v="0"/>
    <n v="1"/>
    <n v="0"/>
    <n v="1"/>
  </r>
  <r>
    <s v="Cases\\20. GAO"/>
    <x v="19"/>
    <x v="4"/>
    <s v="North America"/>
    <n v="0"/>
    <n v="1"/>
    <n v="0"/>
    <n v="1"/>
  </r>
  <r>
    <s v="Cases\\21. ACCA-CAANZ"/>
    <x v="20"/>
    <x v="5"/>
    <s v="Global"/>
    <n v="0"/>
    <n v="1"/>
    <n v="0"/>
    <n v="1"/>
  </r>
  <r>
    <s v="Cases\\22. AE"/>
    <x v="21"/>
    <x v="5"/>
    <s v="Europe"/>
    <n v="0"/>
    <n v="1"/>
    <n v="0"/>
    <n v="1"/>
  </r>
  <r>
    <s v="Cases\\23. AICPA"/>
    <x v="22"/>
    <x v="5"/>
    <s v="North America"/>
    <n v="0"/>
    <n v="1"/>
    <n v="0"/>
    <n v="1"/>
  </r>
  <r>
    <s v="Cases\\24. AIPS"/>
    <x v="23"/>
    <x v="5"/>
    <s v="Asia Pacific"/>
    <n v="0"/>
    <n v="0"/>
    <n v="0"/>
    <n v="0"/>
  </r>
  <r>
    <s v="Cases\\25. ASSIREVI"/>
    <x v="24"/>
    <x v="5"/>
    <s v="Europe"/>
    <n v="0"/>
    <n v="0"/>
    <n v="0"/>
    <n v="0"/>
  </r>
  <r>
    <s v="Cases\\26. CPAA"/>
    <x v="25"/>
    <x v="5"/>
    <s v="Asia Pacific"/>
    <n v="0"/>
    <n v="1"/>
    <n v="0"/>
    <n v="1"/>
  </r>
  <r>
    <s v="Cases\\27. CPAC"/>
    <x v="26"/>
    <x v="5"/>
    <s v="North America"/>
    <n v="0"/>
    <n v="1"/>
    <n v="0"/>
    <n v="1"/>
  </r>
  <r>
    <s v="Cases\\28. EFAA"/>
    <x v="27"/>
    <x v="5"/>
    <s v="Europe"/>
    <n v="0"/>
    <n v="1"/>
    <n v="0"/>
    <n v="1"/>
  </r>
  <r>
    <s v="Cases\\29. FACPCE"/>
    <x v="28"/>
    <x v="5"/>
    <s v="South America"/>
    <n v="1"/>
    <n v="0"/>
    <n v="0"/>
    <n v="1"/>
  </r>
  <r>
    <s v="Cases\\30. FAR"/>
    <x v="29"/>
    <x v="5"/>
    <s v="Europe"/>
    <n v="0"/>
    <n v="1"/>
    <n v="0"/>
    <n v="1"/>
  </r>
  <r>
    <s v="Cases\\31. FSR"/>
    <x v="30"/>
    <x v="5"/>
    <s v="Europe"/>
    <n v="0"/>
    <n v="1"/>
    <n v="0"/>
    <n v="1"/>
  </r>
  <r>
    <s v="Cases\\32. GRI"/>
    <x v="31"/>
    <x v="5"/>
    <s v="Global"/>
    <n v="0"/>
    <n v="1"/>
    <n v="0"/>
    <n v="1"/>
  </r>
  <r>
    <s v="Cases\\33. IAAA"/>
    <x v="32"/>
    <x v="5"/>
    <s v="South America"/>
    <n v="0"/>
    <n v="1"/>
    <n v="0"/>
    <n v="1"/>
  </r>
  <r>
    <s v="Cases\\34. IIA"/>
    <x v="33"/>
    <x v="5"/>
    <s v="Global"/>
    <n v="0"/>
    <n v="1"/>
    <n v="0"/>
    <n v="1"/>
  </r>
  <r>
    <s v="Cases\\35. IIRC"/>
    <x v="34"/>
    <x v="5"/>
    <s v="Global"/>
    <n v="0"/>
    <n v="1"/>
    <n v="0"/>
    <n v="1"/>
  </r>
  <r>
    <s v="Cases\\36. ICAEW"/>
    <x v="35"/>
    <x v="5"/>
    <s v="Europe"/>
    <n v="0"/>
    <n v="1"/>
    <n v="0"/>
    <n v="1"/>
  </r>
  <r>
    <s v="Cases\\37. ICAG"/>
    <x v="36"/>
    <x v="5"/>
    <s v="Middle East and Africa"/>
    <n v="1"/>
    <n v="0"/>
    <n v="0"/>
    <n v="1"/>
  </r>
  <r>
    <s v="Cases\\38. ICAS"/>
    <x v="37"/>
    <x v="5"/>
    <s v="Europe"/>
    <n v="0"/>
    <n v="1"/>
    <n v="0"/>
    <n v="1"/>
  </r>
  <r>
    <s v="Cases\\39. ICPAU"/>
    <x v="38"/>
    <x v="5"/>
    <s v="Middle East and Africa"/>
    <n v="1"/>
    <n v="0"/>
    <n v="0"/>
    <n v="1"/>
  </r>
  <r>
    <s v="Cases\\40. IPA"/>
    <x v="39"/>
    <x v="5"/>
    <s v="Asia Pacific"/>
    <n v="0"/>
    <n v="0"/>
    <n v="1"/>
    <n v="1"/>
  </r>
  <r>
    <s v="Cases\\41. ISCA"/>
    <x v="40"/>
    <x v="5"/>
    <s v="Asia Pacific"/>
    <n v="0"/>
    <n v="0"/>
    <n v="0"/>
    <n v="0"/>
  </r>
  <r>
    <s v="Cases\\42. MICPA"/>
    <x v="41"/>
    <x v="5"/>
    <s v="Asia Pacific"/>
    <n v="1"/>
    <n v="0"/>
    <n v="0"/>
    <n v="1"/>
  </r>
  <r>
    <s v="Cases\\43. NASBA"/>
    <x v="42"/>
    <x v="5"/>
    <s v="North America"/>
    <n v="1"/>
    <n v="0"/>
    <n v="0"/>
    <n v="1"/>
  </r>
  <r>
    <s v="Cases\\44. PAIB"/>
    <x v="43"/>
    <x v="5"/>
    <s v="Global"/>
    <n v="1"/>
    <n v="0"/>
    <n v="0"/>
    <n v="1"/>
  </r>
  <r>
    <s v="Cases\\45. SAICA"/>
    <x v="44"/>
    <x v="5"/>
    <s v="Middle East and Africa"/>
    <n v="0"/>
    <n v="1"/>
    <n v="0"/>
    <n v="1"/>
  </r>
  <r>
    <s v="Cases\\46. SASB"/>
    <x v="45"/>
    <x v="5"/>
    <s v="Global"/>
    <n v="1"/>
    <n v="0"/>
    <n v="0"/>
    <n v="1"/>
  </r>
  <r>
    <s v="Cases\\47. WICI"/>
    <x v="46"/>
    <x v="5"/>
    <s v="Global"/>
    <n v="0"/>
    <n v="1"/>
    <n v="0"/>
    <n v="1"/>
  </r>
  <r>
    <s v="Cases\\48. WPK"/>
    <x v="47"/>
    <x v="5"/>
    <s v="Europe"/>
    <n v="0"/>
    <n v="1"/>
    <n v="0"/>
    <n v="1"/>
  </r>
  <r>
    <s v="Cases\\49. DU"/>
    <x v="48"/>
    <x v="6"/>
    <s v="Asia Pacific"/>
    <n v="0"/>
    <n v="1"/>
    <n v="0"/>
    <n v="1"/>
  </r>
  <r>
    <s v="Cases\\50. BARNARD"/>
    <x v="49"/>
    <x v="7"/>
    <s v="Europe"/>
    <n v="0"/>
    <n v="0"/>
    <n v="0"/>
    <n v="0"/>
  </r>
  <r>
    <s v="Cases\\51. CAATAS"/>
    <x v="50"/>
    <x v="7"/>
    <s v="Middle East and Africa"/>
    <n v="1"/>
    <n v="0"/>
    <n v="0"/>
    <n v="1"/>
  </r>
  <r>
    <s v="Cases\\52. SCHNEIDER"/>
    <x v="51"/>
    <x v="7"/>
    <s v="North America"/>
    <n v="1"/>
    <n v="0"/>
    <n v="0"/>
    <n v="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Cases\\01. CRUF"/>
    <x v="0"/>
    <x v="0"/>
    <s v="Global"/>
    <n v="0"/>
    <n v="1"/>
    <n v="0"/>
    <n v="0"/>
    <n v="0"/>
    <n v="0"/>
    <n v="0"/>
    <n v="1"/>
    <n v="0"/>
    <n v="1"/>
    <n v="0"/>
    <n v="0"/>
    <n v="1"/>
    <n v="0"/>
    <n v="0"/>
    <n v="0"/>
    <n v="0"/>
    <n v="0"/>
    <n v="0"/>
    <n v="0"/>
    <n v="0"/>
    <n v="0"/>
  </r>
  <r>
    <s v="Cases\\02. CFC"/>
    <x v="1"/>
    <x v="1"/>
    <s v="South America"/>
    <n v="0"/>
    <n v="1"/>
    <n v="0"/>
    <n v="0"/>
    <n v="1"/>
    <n v="0"/>
    <n v="0"/>
    <n v="1"/>
    <n v="0"/>
    <n v="1"/>
    <n v="0"/>
    <n v="0"/>
    <n v="0"/>
    <n v="0"/>
    <n v="1"/>
    <n v="0"/>
    <n v="0"/>
    <n v="0"/>
    <n v="0"/>
    <n v="0"/>
    <n v="0"/>
    <n v="0"/>
  </r>
  <r>
    <s v="Cases\\03. IRBA"/>
    <x v="2"/>
    <x v="1"/>
    <s v="Middle East and Africa"/>
    <n v="0"/>
    <n v="1"/>
    <n v="1"/>
    <n v="0"/>
    <n v="0"/>
    <n v="0"/>
    <n v="0"/>
    <n v="1"/>
    <n v="1"/>
    <n v="1"/>
    <n v="0"/>
    <n v="0"/>
    <n v="1"/>
    <n v="0"/>
    <n v="1"/>
    <n v="0"/>
    <n v="0"/>
    <n v="0"/>
    <n v="0"/>
    <n v="0"/>
    <n v="0"/>
    <n v="0"/>
  </r>
  <r>
    <s v="Cases\\04. AUASB"/>
    <x v="3"/>
    <x v="2"/>
    <s v="Asia Pacific"/>
    <n v="0"/>
    <n v="1"/>
    <n v="1"/>
    <n v="0"/>
    <n v="1"/>
    <n v="0"/>
    <n v="1"/>
    <n v="1"/>
    <n v="1"/>
    <n v="1"/>
    <n v="1"/>
    <n v="1"/>
    <n v="1"/>
    <n v="0"/>
    <n v="1"/>
    <n v="1"/>
    <n v="0"/>
    <n v="0"/>
    <n v="0"/>
    <n v="0"/>
    <n v="0"/>
    <n v="0"/>
  </r>
  <r>
    <s v="Cases\\05. CNCC-CSOEC"/>
    <x v="4"/>
    <x v="2"/>
    <s v="Europe"/>
    <n v="0"/>
    <n v="1"/>
    <n v="0"/>
    <n v="0"/>
    <n v="0"/>
    <n v="0"/>
    <n v="1"/>
    <n v="0"/>
    <n v="0"/>
    <n v="0"/>
    <n v="1"/>
    <n v="0"/>
    <n v="1"/>
    <n v="0"/>
    <n v="0"/>
    <n v="1"/>
    <n v="0"/>
    <n v="0"/>
    <n v="0"/>
    <n v="0"/>
    <n v="0"/>
    <n v="0"/>
  </r>
  <r>
    <s v="Cases\\06. HKICPA"/>
    <x v="5"/>
    <x v="2"/>
    <s v="Asia Pacific"/>
    <n v="0"/>
    <n v="1"/>
    <n v="0"/>
    <n v="0"/>
    <n v="0"/>
    <n v="0"/>
    <n v="0"/>
    <n v="0"/>
    <n v="0"/>
    <n v="0"/>
    <n v="1"/>
    <n v="0"/>
    <n v="1"/>
    <n v="1"/>
    <n v="0"/>
    <n v="0"/>
    <n v="0"/>
    <n v="0"/>
    <n v="0"/>
    <n v="0"/>
    <n v="0"/>
    <n v="0"/>
  </r>
  <r>
    <s v="Cases\\07. IDW"/>
    <x v="6"/>
    <x v="2"/>
    <s v="Europe"/>
    <n v="0"/>
    <n v="1"/>
    <n v="1"/>
    <n v="0"/>
    <n v="0"/>
    <n v="0"/>
    <n v="0"/>
    <n v="1"/>
    <n v="0"/>
    <n v="0"/>
    <n v="0"/>
    <n v="0"/>
    <n v="0"/>
    <n v="1"/>
    <n v="1"/>
    <n v="0"/>
    <n v="0"/>
    <n v="0"/>
    <n v="0"/>
    <n v="0"/>
    <n v="0"/>
    <n v="0"/>
  </r>
  <r>
    <s v="Cases\\08. JICPA"/>
    <x v="7"/>
    <x v="2"/>
    <s v="Asia Pacific"/>
    <n v="0"/>
    <n v="1"/>
    <n v="0"/>
    <n v="0"/>
    <n v="0"/>
    <n v="0"/>
    <n v="0"/>
    <n v="1"/>
    <n v="1"/>
    <n v="1"/>
    <n v="0"/>
    <n v="0"/>
    <n v="1"/>
    <n v="0"/>
    <n v="0"/>
    <n v="0"/>
    <n v="0"/>
    <n v="0"/>
    <n v="0"/>
    <n v="0"/>
    <n v="0"/>
    <n v="0"/>
  </r>
  <r>
    <s v="Cases\\09. MAASB"/>
    <x v="8"/>
    <x v="2"/>
    <s v="Asia Pacific"/>
    <n v="0"/>
    <n v="1"/>
    <n v="0"/>
    <n v="0"/>
    <n v="0"/>
    <n v="0"/>
    <n v="0"/>
    <n v="1"/>
    <n v="0"/>
    <n v="0"/>
    <n v="1"/>
    <n v="0"/>
    <n v="1"/>
    <n v="0"/>
    <n v="0"/>
    <n v="0"/>
    <n v="0"/>
    <n v="0"/>
    <n v="0"/>
    <n v="0"/>
    <n v="0"/>
    <n v="0"/>
  </r>
  <r>
    <s v="Cases\\10. NBA"/>
    <x v="9"/>
    <x v="2"/>
    <s v="Europe"/>
    <n v="0"/>
    <n v="1"/>
    <n v="0"/>
    <n v="1"/>
    <n v="0"/>
    <n v="1"/>
    <n v="1"/>
    <n v="1"/>
    <n v="1"/>
    <n v="1"/>
    <n v="0"/>
    <n v="0"/>
    <n v="1"/>
    <n v="0"/>
    <n v="0"/>
    <n v="1"/>
    <n v="0"/>
    <n v="0"/>
    <n v="0"/>
    <n v="0"/>
    <n v="0"/>
    <n v="0"/>
  </r>
  <r>
    <s v="Cases\\11. NZAASB"/>
    <x v="10"/>
    <x v="2"/>
    <s v="Asia Pacific"/>
    <n v="0"/>
    <n v="1"/>
    <n v="1"/>
    <n v="0"/>
    <n v="1"/>
    <n v="0"/>
    <n v="0"/>
    <n v="1"/>
    <n v="1"/>
    <n v="1"/>
    <n v="0"/>
    <n v="1"/>
    <n v="1"/>
    <n v="0"/>
    <n v="0"/>
    <n v="1"/>
    <n v="0"/>
    <n v="0"/>
    <n v="0"/>
    <n v="0"/>
    <n v="0"/>
    <n v="0"/>
  </r>
  <r>
    <s v="Cases\\12. BDO"/>
    <x v="11"/>
    <x v="3"/>
    <s v="Global"/>
    <n v="1"/>
    <n v="0"/>
    <n v="0"/>
    <n v="0"/>
    <n v="0"/>
    <n v="0"/>
    <n v="0"/>
    <n v="0"/>
    <n v="0"/>
    <n v="0"/>
    <n v="0"/>
    <n v="0"/>
    <n v="0"/>
    <n v="0"/>
    <n v="0"/>
    <n v="0"/>
    <n v="0"/>
    <n v="0"/>
    <n v="0"/>
    <n v="0"/>
    <n v="0"/>
    <n v="0"/>
  </r>
  <r>
    <s v="Cases\\13. CG"/>
    <x v="12"/>
    <x v="3"/>
    <s v="Global"/>
    <n v="1"/>
    <n v="0"/>
    <n v="0"/>
    <n v="0"/>
    <n v="0"/>
    <n v="0"/>
    <n v="0"/>
    <n v="0"/>
    <n v="0"/>
    <n v="0"/>
    <n v="0"/>
    <n v="0"/>
    <n v="0"/>
    <n v="0"/>
    <n v="0"/>
    <n v="0"/>
    <n v="0"/>
    <n v="0"/>
    <n v="0"/>
    <n v="0"/>
    <n v="0"/>
    <n v="0"/>
  </r>
  <r>
    <s v="Cases\\14. DTT"/>
    <x v="13"/>
    <x v="3"/>
    <s v="Global"/>
    <n v="0"/>
    <n v="1"/>
    <n v="1"/>
    <n v="0"/>
    <n v="1"/>
    <n v="0"/>
    <n v="1"/>
    <n v="1"/>
    <n v="1"/>
    <n v="1"/>
    <n v="1"/>
    <n v="1"/>
    <n v="1"/>
    <n v="0"/>
    <n v="1"/>
    <n v="0"/>
    <n v="0"/>
    <n v="0"/>
    <n v="0"/>
    <n v="0"/>
    <n v="0"/>
    <n v="0"/>
  </r>
  <r>
    <s v="Cases\\15. EYG"/>
    <x v="14"/>
    <x v="3"/>
    <s v="Global"/>
    <n v="0"/>
    <n v="1"/>
    <n v="1"/>
    <n v="1"/>
    <n v="0"/>
    <n v="0"/>
    <n v="1"/>
    <n v="1"/>
    <n v="1"/>
    <n v="0"/>
    <n v="0"/>
    <n v="0"/>
    <n v="1"/>
    <n v="0"/>
    <n v="1"/>
    <n v="1"/>
    <n v="0"/>
    <n v="0"/>
    <n v="0"/>
    <n v="0"/>
    <n v="0"/>
    <n v="0"/>
  </r>
  <r>
    <s v="Cases\\16. GTI"/>
    <x v="15"/>
    <x v="3"/>
    <s v="Global"/>
    <n v="0"/>
    <n v="1"/>
    <n v="1"/>
    <n v="0"/>
    <n v="0"/>
    <n v="0"/>
    <n v="0"/>
    <n v="0"/>
    <n v="0"/>
    <n v="0"/>
    <n v="0"/>
    <n v="0"/>
    <n v="1"/>
    <n v="0"/>
    <n v="0"/>
    <n v="0"/>
    <n v="0"/>
    <n v="0"/>
    <n v="0"/>
    <n v="0"/>
    <n v="0"/>
    <n v="0"/>
  </r>
  <r>
    <s v="Cases\\17. KPMG"/>
    <x v="16"/>
    <x v="3"/>
    <s v="Global"/>
    <n v="0"/>
    <n v="1"/>
    <n v="1"/>
    <n v="1"/>
    <n v="1"/>
    <n v="0"/>
    <n v="1"/>
    <n v="1"/>
    <n v="1"/>
    <n v="1"/>
    <n v="1"/>
    <n v="1"/>
    <n v="1"/>
    <n v="1"/>
    <n v="1"/>
    <n v="0"/>
    <n v="0"/>
    <n v="0"/>
    <n v="0"/>
    <n v="0"/>
    <n v="0"/>
    <n v="0"/>
  </r>
  <r>
    <s v="Cases\\18. MZS"/>
    <x v="17"/>
    <x v="3"/>
    <s v="Global"/>
    <n v="0"/>
    <n v="1"/>
    <n v="1"/>
    <n v="0"/>
    <n v="0"/>
    <n v="1"/>
    <n v="1"/>
    <n v="1"/>
    <n v="1"/>
    <n v="1"/>
    <n v="1"/>
    <n v="0"/>
    <n v="1"/>
    <n v="0"/>
    <n v="1"/>
    <n v="1"/>
    <n v="0"/>
    <n v="0"/>
    <n v="0"/>
    <n v="0"/>
    <n v="0"/>
    <n v="0"/>
  </r>
  <r>
    <s v="Cases\\19. PwC"/>
    <x v="18"/>
    <x v="3"/>
    <s v="Global"/>
    <n v="0"/>
    <n v="1"/>
    <n v="1"/>
    <n v="0"/>
    <n v="0"/>
    <n v="0"/>
    <n v="0"/>
    <n v="1"/>
    <n v="1"/>
    <n v="1"/>
    <n v="1"/>
    <n v="0"/>
    <n v="1"/>
    <n v="0"/>
    <n v="0"/>
    <n v="0"/>
    <n v="0"/>
    <n v="0"/>
    <n v="0"/>
    <n v="0"/>
    <n v="0"/>
    <n v="0"/>
  </r>
  <r>
    <s v="Cases\\20. GAO"/>
    <x v="19"/>
    <x v="4"/>
    <s v="North America"/>
    <n v="0"/>
    <n v="1"/>
    <n v="0"/>
    <n v="0"/>
    <n v="0"/>
    <n v="0"/>
    <n v="0"/>
    <n v="0"/>
    <n v="1"/>
    <n v="0"/>
    <n v="0"/>
    <n v="0"/>
    <n v="0"/>
    <n v="0"/>
    <n v="0"/>
    <n v="0"/>
    <n v="0"/>
    <n v="0"/>
    <n v="0"/>
    <n v="0"/>
    <n v="0"/>
    <n v="0"/>
  </r>
  <r>
    <s v="Cases\\21. ACCA-CAANZ"/>
    <x v="20"/>
    <x v="5"/>
    <s v="Global"/>
    <n v="0"/>
    <n v="1"/>
    <n v="1"/>
    <n v="0"/>
    <n v="0"/>
    <n v="0"/>
    <n v="1"/>
    <n v="1"/>
    <n v="1"/>
    <n v="0"/>
    <n v="0"/>
    <n v="0"/>
    <n v="1"/>
    <n v="0"/>
    <n v="0"/>
    <n v="0"/>
    <n v="0"/>
    <n v="0"/>
    <n v="0"/>
    <n v="0"/>
    <n v="0"/>
    <n v="0"/>
  </r>
  <r>
    <s v="Cases\\22. AE"/>
    <x v="21"/>
    <x v="5"/>
    <s v="Europe"/>
    <n v="0"/>
    <n v="1"/>
    <n v="1"/>
    <n v="0"/>
    <n v="0"/>
    <n v="1"/>
    <n v="1"/>
    <n v="1"/>
    <n v="0"/>
    <n v="1"/>
    <n v="0"/>
    <n v="0"/>
    <n v="1"/>
    <n v="0"/>
    <n v="0"/>
    <n v="1"/>
    <n v="0"/>
    <n v="0"/>
    <n v="0"/>
    <n v="0"/>
    <n v="0"/>
    <n v="0"/>
  </r>
  <r>
    <s v="Cases\\23. AICPA"/>
    <x v="22"/>
    <x v="5"/>
    <s v="North America"/>
    <n v="0"/>
    <n v="1"/>
    <n v="1"/>
    <n v="0"/>
    <n v="0"/>
    <n v="0"/>
    <n v="0"/>
    <n v="1"/>
    <n v="1"/>
    <n v="1"/>
    <n v="0"/>
    <n v="0"/>
    <n v="1"/>
    <n v="0"/>
    <n v="1"/>
    <n v="0"/>
    <n v="0"/>
    <n v="0"/>
    <n v="0"/>
    <n v="0"/>
    <n v="0"/>
    <n v="0"/>
  </r>
  <r>
    <s v="Cases\\24. AIPS"/>
    <x v="23"/>
    <x v="5"/>
    <s v="Asia Pacific"/>
    <n v="0"/>
    <n v="1"/>
    <n v="0"/>
    <n v="0"/>
    <n v="1"/>
    <n v="0"/>
    <n v="0"/>
    <n v="1"/>
    <n v="1"/>
    <n v="1"/>
    <n v="0"/>
    <n v="0"/>
    <n v="1"/>
    <n v="0"/>
    <n v="0"/>
    <n v="0"/>
    <n v="0"/>
    <n v="0"/>
    <n v="0"/>
    <n v="0"/>
    <n v="0"/>
    <n v="0"/>
  </r>
  <r>
    <s v="Cases\\25. ASSIREVI"/>
    <x v="24"/>
    <x v="5"/>
    <s v="Europe"/>
    <n v="0"/>
    <n v="1"/>
    <n v="1"/>
    <n v="0"/>
    <n v="1"/>
    <n v="0"/>
    <n v="1"/>
    <n v="1"/>
    <n v="1"/>
    <n v="0"/>
    <n v="1"/>
    <n v="0"/>
    <n v="1"/>
    <n v="0"/>
    <n v="0"/>
    <n v="0"/>
    <n v="0"/>
    <n v="0"/>
    <n v="0"/>
    <n v="0"/>
    <n v="0"/>
    <n v="0"/>
  </r>
  <r>
    <s v="Cases\\26. CPAA"/>
    <x v="25"/>
    <x v="5"/>
    <s v="Asia Pacific"/>
    <n v="0"/>
    <n v="1"/>
    <n v="0"/>
    <n v="0"/>
    <n v="0"/>
    <n v="0"/>
    <n v="0"/>
    <n v="0"/>
    <n v="0"/>
    <n v="0"/>
    <n v="0"/>
    <n v="0"/>
    <n v="1"/>
    <n v="0"/>
    <n v="1"/>
    <n v="0"/>
    <n v="0"/>
    <n v="0"/>
    <n v="0"/>
    <n v="0"/>
    <n v="0"/>
    <n v="0"/>
  </r>
  <r>
    <s v="Cases\\27. CPAC"/>
    <x v="26"/>
    <x v="5"/>
    <s v="North America"/>
    <n v="0"/>
    <n v="1"/>
    <n v="0"/>
    <n v="0"/>
    <n v="0"/>
    <n v="0"/>
    <n v="0"/>
    <n v="0"/>
    <n v="1"/>
    <n v="1"/>
    <n v="0"/>
    <n v="0"/>
    <n v="0"/>
    <n v="0"/>
    <n v="1"/>
    <n v="0"/>
    <n v="0"/>
    <n v="0"/>
    <n v="0"/>
    <n v="0"/>
    <n v="0"/>
    <n v="0"/>
  </r>
  <r>
    <s v="Cases\\28. EFAA"/>
    <x v="27"/>
    <x v="5"/>
    <s v="Europe"/>
    <n v="0"/>
    <n v="1"/>
    <n v="0"/>
    <n v="0"/>
    <n v="0"/>
    <n v="1"/>
    <n v="0"/>
    <n v="0"/>
    <n v="0"/>
    <n v="0"/>
    <n v="1"/>
    <n v="0"/>
    <n v="0"/>
    <n v="0"/>
    <n v="0"/>
    <n v="1"/>
    <n v="0"/>
    <n v="0"/>
    <n v="0"/>
    <n v="0"/>
    <n v="0"/>
    <n v="0"/>
  </r>
  <r>
    <s v="Cases\\29. FACPCE"/>
    <x v="28"/>
    <x v="5"/>
    <s v="South America"/>
    <n v="0"/>
    <n v="1"/>
    <n v="0"/>
    <n v="0"/>
    <n v="1"/>
    <n v="0"/>
    <n v="0"/>
    <n v="0"/>
    <n v="0"/>
    <n v="0"/>
    <n v="1"/>
    <n v="0"/>
    <n v="1"/>
    <n v="0"/>
    <n v="1"/>
    <n v="0"/>
    <n v="0"/>
    <n v="0"/>
    <n v="0"/>
    <n v="0"/>
    <n v="0"/>
    <n v="0"/>
  </r>
  <r>
    <s v="Cases\\30. FAR"/>
    <x v="29"/>
    <x v="5"/>
    <s v="Europe"/>
    <n v="0"/>
    <n v="1"/>
    <n v="0"/>
    <n v="0"/>
    <n v="0"/>
    <n v="1"/>
    <n v="0"/>
    <n v="0"/>
    <n v="0"/>
    <n v="0"/>
    <n v="1"/>
    <n v="0"/>
    <n v="0"/>
    <n v="0"/>
    <n v="1"/>
    <n v="0"/>
    <n v="0"/>
    <n v="0"/>
    <n v="0"/>
    <n v="0"/>
    <n v="0"/>
    <n v="0"/>
  </r>
  <r>
    <s v="Cases\\31. FSR"/>
    <x v="30"/>
    <x v="5"/>
    <s v="Europe"/>
    <n v="0"/>
    <n v="1"/>
    <n v="1"/>
    <n v="0"/>
    <n v="0"/>
    <n v="1"/>
    <n v="1"/>
    <n v="1"/>
    <n v="0"/>
    <n v="1"/>
    <n v="1"/>
    <n v="0"/>
    <n v="1"/>
    <n v="0"/>
    <n v="1"/>
    <n v="0"/>
    <n v="0"/>
    <n v="0"/>
    <n v="0"/>
    <n v="0"/>
    <n v="0"/>
    <n v="0"/>
  </r>
  <r>
    <s v="Cases\\32. GRI"/>
    <x v="31"/>
    <x v="5"/>
    <s v="Global"/>
    <n v="0"/>
    <n v="1"/>
    <n v="1"/>
    <n v="0"/>
    <n v="0"/>
    <n v="0"/>
    <n v="0"/>
    <n v="1"/>
    <n v="1"/>
    <n v="1"/>
    <n v="0"/>
    <n v="0"/>
    <n v="1"/>
    <n v="0"/>
    <n v="0"/>
    <n v="1"/>
    <n v="0"/>
    <n v="0"/>
    <n v="0"/>
    <n v="0"/>
    <n v="0"/>
    <n v="0"/>
  </r>
  <r>
    <s v="Cases\\33. IAAA"/>
    <x v="32"/>
    <x v="5"/>
    <s v="South America"/>
    <n v="0"/>
    <n v="1"/>
    <n v="0"/>
    <n v="0"/>
    <n v="0"/>
    <n v="0"/>
    <n v="0"/>
    <n v="0"/>
    <n v="0"/>
    <n v="0"/>
    <n v="0"/>
    <n v="0"/>
    <n v="0"/>
    <n v="0"/>
    <n v="0"/>
    <n v="0"/>
    <n v="0"/>
    <n v="0"/>
    <n v="0"/>
    <n v="0"/>
    <n v="0"/>
    <n v="0"/>
  </r>
  <r>
    <s v="Cases\\34. IIA"/>
    <x v="33"/>
    <x v="5"/>
    <s v="Global"/>
    <n v="0"/>
    <n v="1"/>
    <n v="0"/>
    <n v="0"/>
    <n v="0"/>
    <n v="0"/>
    <n v="0"/>
    <n v="0"/>
    <n v="0"/>
    <n v="0"/>
    <n v="1"/>
    <n v="0"/>
    <n v="1"/>
    <n v="0"/>
    <n v="0"/>
    <n v="0"/>
    <n v="0"/>
    <n v="0"/>
    <n v="0"/>
    <n v="0"/>
    <n v="0"/>
    <n v="0"/>
  </r>
  <r>
    <s v="Cases\\35. IIRC"/>
    <x v="34"/>
    <x v="5"/>
    <s v="Global"/>
    <n v="0"/>
    <n v="1"/>
    <n v="0"/>
    <n v="0"/>
    <n v="1"/>
    <n v="0"/>
    <n v="0"/>
    <n v="0"/>
    <n v="0"/>
    <n v="1"/>
    <n v="0"/>
    <n v="0"/>
    <n v="1"/>
    <n v="0"/>
    <n v="1"/>
    <n v="0"/>
    <n v="0"/>
    <n v="0"/>
    <n v="0"/>
    <n v="0"/>
    <n v="0"/>
    <n v="0"/>
  </r>
  <r>
    <s v="Cases\\36. ICAEW"/>
    <x v="35"/>
    <x v="5"/>
    <s v="Europe"/>
    <n v="0"/>
    <n v="1"/>
    <n v="1"/>
    <n v="0"/>
    <n v="1"/>
    <n v="0"/>
    <n v="1"/>
    <n v="1"/>
    <n v="1"/>
    <n v="1"/>
    <n v="0"/>
    <n v="0"/>
    <n v="1"/>
    <n v="0"/>
    <n v="1"/>
    <n v="0"/>
    <n v="0"/>
    <n v="0"/>
    <n v="0"/>
    <n v="0"/>
    <n v="0"/>
    <n v="0"/>
  </r>
  <r>
    <s v="Cases\\37. ICAG"/>
    <x v="36"/>
    <x v="5"/>
    <s v="Middle East and Africa"/>
    <n v="0"/>
    <n v="1"/>
    <n v="1"/>
    <n v="0"/>
    <n v="0"/>
    <n v="0"/>
    <n v="0"/>
    <n v="0"/>
    <n v="1"/>
    <n v="0"/>
    <n v="0"/>
    <n v="0"/>
    <n v="1"/>
    <n v="0"/>
    <n v="1"/>
    <n v="0"/>
    <n v="0"/>
    <n v="0"/>
    <n v="0"/>
    <n v="0"/>
    <n v="0"/>
    <n v="0"/>
  </r>
  <r>
    <s v="Cases\\38. ICAS"/>
    <x v="37"/>
    <x v="5"/>
    <s v="Europe"/>
    <n v="0"/>
    <n v="1"/>
    <n v="1"/>
    <n v="0"/>
    <n v="0"/>
    <n v="1"/>
    <n v="0"/>
    <n v="1"/>
    <n v="0"/>
    <n v="1"/>
    <n v="0"/>
    <n v="0"/>
    <n v="1"/>
    <n v="0"/>
    <n v="0"/>
    <n v="0"/>
    <n v="0"/>
    <n v="0"/>
    <n v="0"/>
    <n v="0"/>
    <n v="0"/>
    <n v="0"/>
  </r>
  <r>
    <s v="Cases\\39. ICPAU"/>
    <x v="38"/>
    <x v="5"/>
    <s v="Middle East and Africa"/>
    <n v="0"/>
    <n v="0"/>
    <n v="0"/>
    <n v="0"/>
    <n v="0"/>
    <n v="0"/>
    <n v="0"/>
    <n v="0"/>
    <n v="0"/>
    <n v="0"/>
    <n v="0"/>
    <n v="0"/>
    <n v="0"/>
    <n v="0"/>
    <n v="0"/>
    <n v="0"/>
    <n v="1"/>
    <n v="0"/>
    <n v="0"/>
    <n v="1"/>
    <n v="0"/>
    <n v="1"/>
  </r>
  <r>
    <s v="Cases\\40. IPA"/>
    <x v="39"/>
    <x v="5"/>
    <s v="Asia Pacific"/>
    <n v="0"/>
    <n v="1"/>
    <n v="0"/>
    <n v="0"/>
    <n v="1"/>
    <n v="0"/>
    <n v="0"/>
    <n v="1"/>
    <n v="0"/>
    <n v="1"/>
    <n v="0"/>
    <n v="0"/>
    <n v="1"/>
    <n v="0"/>
    <n v="0"/>
    <n v="0"/>
    <n v="0"/>
    <n v="0"/>
    <n v="0"/>
    <n v="0"/>
    <n v="0"/>
    <n v="0"/>
  </r>
  <r>
    <s v="Cases\\41. ISCA"/>
    <x v="40"/>
    <x v="5"/>
    <s v="Asia Pacific"/>
    <n v="0"/>
    <n v="0"/>
    <n v="0"/>
    <n v="0"/>
    <n v="0"/>
    <n v="0"/>
    <n v="0"/>
    <n v="0"/>
    <n v="0"/>
    <n v="0"/>
    <n v="0"/>
    <n v="0"/>
    <n v="0"/>
    <n v="0"/>
    <n v="0"/>
    <n v="0"/>
    <n v="1"/>
    <n v="0"/>
    <n v="0"/>
    <n v="0"/>
    <n v="1"/>
    <n v="0"/>
  </r>
  <r>
    <s v="Cases\\42. MICPA"/>
    <x v="41"/>
    <x v="5"/>
    <s v="Asia Pacific"/>
    <n v="1"/>
    <n v="0"/>
    <n v="0"/>
    <n v="0"/>
    <n v="0"/>
    <n v="0"/>
    <n v="0"/>
    <n v="0"/>
    <n v="0"/>
    <n v="0"/>
    <n v="0"/>
    <n v="0"/>
    <n v="0"/>
    <n v="0"/>
    <n v="0"/>
    <n v="0"/>
    <n v="0"/>
    <n v="0"/>
    <n v="0"/>
    <n v="0"/>
    <n v="0"/>
    <n v="0"/>
  </r>
  <r>
    <s v="Cases\\43. NASBA"/>
    <x v="42"/>
    <x v="5"/>
    <s v="North America"/>
    <n v="0"/>
    <n v="1"/>
    <n v="1"/>
    <n v="0"/>
    <n v="0"/>
    <n v="0"/>
    <n v="0"/>
    <n v="0"/>
    <n v="1"/>
    <n v="0"/>
    <n v="1"/>
    <n v="0"/>
    <n v="1"/>
    <n v="0"/>
    <n v="1"/>
    <n v="0"/>
    <n v="0"/>
    <n v="0"/>
    <n v="0"/>
    <n v="0"/>
    <n v="0"/>
    <n v="0"/>
  </r>
  <r>
    <s v="Cases\\44. PAIB"/>
    <x v="43"/>
    <x v="5"/>
    <s v="Global"/>
    <n v="0"/>
    <n v="1"/>
    <n v="0"/>
    <n v="0"/>
    <n v="0"/>
    <n v="0"/>
    <n v="0"/>
    <n v="0"/>
    <n v="0"/>
    <n v="0"/>
    <n v="0"/>
    <n v="0"/>
    <n v="0"/>
    <n v="0"/>
    <n v="0"/>
    <n v="0"/>
    <n v="0"/>
    <n v="0"/>
    <n v="0"/>
    <n v="0"/>
    <n v="0"/>
    <n v="0"/>
  </r>
  <r>
    <s v="Cases\\45. SAICA"/>
    <x v="44"/>
    <x v="5"/>
    <s v="Middle East and Africa"/>
    <n v="0"/>
    <n v="1"/>
    <n v="1"/>
    <n v="0"/>
    <n v="1"/>
    <n v="0"/>
    <n v="0"/>
    <n v="1"/>
    <n v="1"/>
    <n v="1"/>
    <n v="0"/>
    <n v="0"/>
    <n v="1"/>
    <n v="0"/>
    <n v="0"/>
    <n v="0"/>
    <n v="0"/>
    <n v="0"/>
    <n v="0"/>
    <n v="0"/>
    <n v="0"/>
    <n v="0"/>
  </r>
  <r>
    <s v="Cases\\46. SASB"/>
    <x v="45"/>
    <x v="5"/>
    <s v="Global"/>
    <n v="0"/>
    <n v="1"/>
    <n v="0"/>
    <n v="0"/>
    <n v="1"/>
    <n v="0"/>
    <n v="0"/>
    <n v="0"/>
    <n v="0"/>
    <n v="0"/>
    <n v="0"/>
    <n v="0"/>
    <n v="0"/>
    <n v="0"/>
    <n v="0"/>
    <n v="0"/>
    <n v="0"/>
    <n v="0"/>
    <n v="0"/>
    <n v="0"/>
    <n v="0"/>
    <n v="0"/>
  </r>
  <r>
    <s v="Cases\\47. WICI"/>
    <x v="46"/>
    <x v="5"/>
    <s v="Global"/>
    <n v="0"/>
    <n v="1"/>
    <n v="1"/>
    <n v="0"/>
    <n v="0"/>
    <n v="0"/>
    <n v="0"/>
    <n v="0"/>
    <n v="0"/>
    <n v="0"/>
    <n v="0"/>
    <n v="0"/>
    <n v="0"/>
    <n v="0"/>
    <n v="1"/>
    <n v="0"/>
    <n v="0"/>
    <n v="0"/>
    <n v="0"/>
    <n v="0"/>
    <n v="0"/>
    <n v="0"/>
  </r>
  <r>
    <s v="Cases\\48. WPK"/>
    <x v="47"/>
    <x v="5"/>
    <s v="Europe"/>
    <n v="0"/>
    <n v="1"/>
    <n v="0"/>
    <n v="0"/>
    <n v="0"/>
    <n v="0"/>
    <n v="1"/>
    <n v="0"/>
    <n v="0"/>
    <n v="1"/>
    <n v="0"/>
    <n v="0"/>
    <n v="1"/>
    <n v="0"/>
    <n v="0"/>
    <n v="0"/>
    <n v="0"/>
    <n v="0"/>
    <n v="0"/>
    <n v="0"/>
    <n v="0"/>
    <n v="0"/>
  </r>
  <r>
    <s v="Cases\\49. DU"/>
    <x v="48"/>
    <x v="6"/>
    <s v="Asia Pacific"/>
    <n v="0"/>
    <n v="0"/>
    <n v="0"/>
    <n v="0"/>
    <n v="0"/>
    <n v="0"/>
    <n v="0"/>
    <n v="0"/>
    <n v="0"/>
    <n v="0"/>
    <n v="0"/>
    <n v="0"/>
    <n v="0"/>
    <n v="0"/>
    <n v="0"/>
    <n v="0"/>
    <n v="1"/>
    <n v="1"/>
    <n v="1"/>
    <n v="1"/>
    <n v="0"/>
    <n v="0"/>
  </r>
  <r>
    <s v="Cases\\50. BARNARD"/>
    <x v="49"/>
    <x v="7"/>
    <s v="Europe"/>
    <n v="0"/>
    <n v="1"/>
    <n v="0"/>
    <n v="0"/>
    <n v="0"/>
    <n v="0"/>
    <n v="0"/>
    <n v="1"/>
    <n v="0"/>
    <n v="0"/>
    <n v="0"/>
    <n v="0"/>
    <n v="0"/>
    <n v="0"/>
    <n v="0"/>
    <n v="0"/>
    <n v="0"/>
    <n v="0"/>
    <n v="0"/>
    <n v="0"/>
    <n v="0"/>
    <n v="0"/>
  </r>
  <r>
    <s v="Cases\\51. CAATAS"/>
    <x v="50"/>
    <x v="7"/>
    <s v="Middle East and Africa"/>
    <n v="1"/>
    <n v="0"/>
    <n v="0"/>
    <n v="0"/>
    <n v="0"/>
    <n v="0"/>
    <n v="0"/>
    <n v="0"/>
    <n v="0"/>
    <n v="0"/>
    <n v="0"/>
    <n v="0"/>
    <n v="0"/>
    <n v="0"/>
    <n v="0"/>
    <n v="0"/>
    <n v="0"/>
    <n v="0"/>
    <n v="0"/>
    <n v="0"/>
    <n v="0"/>
    <n v="0"/>
  </r>
  <r>
    <s v="Cases\\52. SCHNEIDER"/>
    <x v="51"/>
    <x v="7"/>
    <s v="North America"/>
    <n v="0"/>
    <n v="1"/>
    <n v="1"/>
    <n v="0"/>
    <n v="0"/>
    <n v="0"/>
    <n v="0"/>
    <n v="0"/>
    <n v="0"/>
    <n v="1"/>
    <n v="1"/>
    <n v="0"/>
    <n v="1"/>
    <n v="1"/>
    <n v="0"/>
    <n v="0"/>
    <n v="0"/>
    <n v="0"/>
    <n v="0"/>
    <n v="0"/>
    <n v="0"/>
    <n v="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Cases\\01. CRUF"/>
    <x v="0"/>
    <x v="0"/>
    <s v="Global"/>
    <n v="0"/>
    <n v="0"/>
    <n v="0"/>
    <n v="0"/>
    <n v="0"/>
    <n v="0"/>
    <n v="0"/>
    <n v="0"/>
    <n v="0"/>
    <n v="0"/>
  </r>
  <r>
    <s v="Cases\\02. CFC"/>
    <x v="1"/>
    <x v="1"/>
    <s v="South America"/>
    <n v="0"/>
    <n v="1"/>
    <n v="0"/>
    <n v="0"/>
    <n v="1"/>
    <n v="0"/>
    <n v="0"/>
    <n v="0"/>
    <n v="1"/>
    <n v="0"/>
  </r>
  <r>
    <s v="Cases\\03. IRBA"/>
    <x v="2"/>
    <x v="1"/>
    <s v="Middle East and Africa"/>
    <n v="0"/>
    <n v="1"/>
    <n v="0"/>
    <n v="0"/>
    <n v="1"/>
    <n v="0"/>
    <n v="0"/>
    <n v="0"/>
    <n v="1"/>
    <n v="0"/>
  </r>
  <r>
    <s v="Cases\\04. AUASB"/>
    <x v="3"/>
    <x v="2"/>
    <s v="Asia Pacific"/>
    <n v="0"/>
    <n v="1"/>
    <n v="1"/>
    <n v="1"/>
    <n v="1"/>
    <n v="1"/>
    <n v="1"/>
    <n v="0"/>
    <n v="1"/>
    <n v="0"/>
  </r>
  <r>
    <s v="Cases\\05. CNCC-CSOEC"/>
    <x v="4"/>
    <x v="2"/>
    <s v="Europe"/>
    <n v="0"/>
    <n v="1"/>
    <n v="0"/>
    <n v="0"/>
    <n v="1"/>
    <n v="1"/>
    <n v="1"/>
    <n v="0"/>
    <n v="1"/>
    <n v="0"/>
  </r>
  <r>
    <s v="Cases\\06. HKICPA"/>
    <x v="5"/>
    <x v="2"/>
    <s v="Asia Pacific"/>
    <n v="0"/>
    <n v="1"/>
    <n v="0"/>
    <n v="0"/>
    <n v="1"/>
    <n v="0"/>
    <n v="1"/>
    <n v="0"/>
    <n v="1"/>
    <n v="0"/>
  </r>
  <r>
    <s v="Cases\\07. IDW"/>
    <x v="6"/>
    <x v="2"/>
    <s v="Europe"/>
    <n v="0"/>
    <n v="1"/>
    <n v="0"/>
    <n v="0"/>
    <n v="0"/>
    <n v="0"/>
    <n v="0"/>
    <n v="0"/>
    <n v="1"/>
    <n v="0"/>
  </r>
  <r>
    <s v="Cases\\08. JICPA"/>
    <x v="7"/>
    <x v="2"/>
    <s v="Asia Pacific"/>
    <n v="0"/>
    <n v="1"/>
    <n v="0"/>
    <n v="0"/>
    <n v="1"/>
    <n v="0"/>
    <n v="0"/>
    <n v="0"/>
    <n v="1"/>
    <n v="0"/>
  </r>
  <r>
    <s v="Cases\\09. MAASB"/>
    <x v="8"/>
    <x v="2"/>
    <s v="Asia Pacific"/>
    <n v="0"/>
    <n v="1"/>
    <n v="0"/>
    <n v="0"/>
    <n v="1"/>
    <n v="0"/>
    <n v="0"/>
    <n v="0"/>
    <n v="1"/>
    <n v="0"/>
  </r>
  <r>
    <s v="Cases\\10. NBA"/>
    <x v="9"/>
    <x v="2"/>
    <s v="Europe"/>
    <n v="0"/>
    <n v="1"/>
    <n v="1"/>
    <n v="0"/>
    <n v="1"/>
    <n v="0"/>
    <n v="1"/>
    <n v="1"/>
    <n v="1"/>
    <n v="0"/>
  </r>
  <r>
    <s v="Cases\\11. NZAASB"/>
    <x v="10"/>
    <x v="2"/>
    <s v="Asia Pacific"/>
    <n v="0"/>
    <n v="1"/>
    <n v="1"/>
    <n v="1"/>
    <n v="1"/>
    <n v="0"/>
    <n v="1"/>
    <n v="1"/>
    <n v="1"/>
    <n v="0"/>
  </r>
  <r>
    <s v="Cases\\12. BDO"/>
    <x v="11"/>
    <x v="3"/>
    <s v="Global"/>
    <n v="0"/>
    <n v="1"/>
    <n v="0"/>
    <n v="0"/>
    <n v="0"/>
    <n v="0"/>
    <n v="0"/>
    <n v="0"/>
    <n v="1"/>
    <n v="0"/>
  </r>
  <r>
    <s v="Cases\\13. CG"/>
    <x v="12"/>
    <x v="3"/>
    <s v="Global"/>
    <n v="1"/>
    <n v="0"/>
    <n v="0"/>
    <n v="0"/>
    <n v="0"/>
    <n v="0"/>
    <n v="0"/>
    <n v="0"/>
    <n v="0"/>
    <n v="0"/>
  </r>
  <r>
    <s v="Cases\\14. DTT"/>
    <x v="13"/>
    <x v="3"/>
    <s v="Global"/>
    <n v="0"/>
    <n v="1"/>
    <n v="0"/>
    <n v="0"/>
    <n v="1"/>
    <n v="0"/>
    <n v="0"/>
    <n v="0"/>
    <n v="1"/>
    <n v="0"/>
  </r>
  <r>
    <s v="Cases\\15. EYG"/>
    <x v="14"/>
    <x v="3"/>
    <s v="Global"/>
    <n v="0"/>
    <n v="1"/>
    <n v="0"/>
    <n v="0"/>
    <n v="1"/>
    <n v="0"/>
    <n v="1"/>
    <n v="0"/>
    <n v="0"/>
    <n v="0"/>
  </r>
  <r>
    <s v="Cases\\16. GTI"/>
    <x v="15"/>
    <x v="3"/>
    <s v="Global"/>
    <n v="0"/>
    <n v="1"/>
    <n v="0"/>
    <n v="0"/>
    <n v="1"/>
    <n v="0"/>
    <n v="0"/>
    <n v="1"/>
    <n v="1"/>
    <n v="0"/>
  </r>
  <r>
    <s v="Cases\\17. KPMG"/>
    <x v="16"/>
    <x v="3"/>
    <s v="Global"/>
    <n v="0"/>
    <n v="1"/>
    <n v="0"/>
    <n v="1"/>
    <n v="1"/>
    <n v="0"/>
    <n v="1"/>
    <n v="0"/>
    <n v="1"/>
    <n v="0"/>
  </r>
  <r>
    <s v="Cases\\18. MZS"/>
    <x v="17"/>
    <x v="3"/>
    <s v="Global"/>
    <n v="0"/>
    <n v="1"/>
    <n v="1"/>
    <n v="1"/>
    <n v="1"/>
    <n v="0"/>
    <n v="1"/>
    <n v="1"/>
    <n v="1"/>
    <n v="0"/>
  </r>
  <r>
    <s v="Cases\\19. PwC"/>
    <x v="18"/>
    <x v="3"/>
    <s v="Global"/>
    <n v="0"/>
    <n v="1"/>
    <n v="0"/>
    <n v="0"/>
    <n v="1"/>
    <n v="1"/>
    <n v="1"/>
    <n v="0"/>
    <n v="1"/>
    <n v="0"/>
  </r>
  <r>
    <s v="Cases\\20. GAO"/>
    <x v="19"/>
    <x v="4"/>
    <s v="North America"/>
    <n v="0"/>
    <n v="1"/>
    <n v="0"/>
    <n v="0"/>
    <n v="1"/>
    <n v="0"/>
    <n v="0"/>
    <n v="0"/>
    <n v="0"/>
    <n v="0"/>
  </r>
  <r>
    <s v="Cases\\21. ACCA-CAANZ"/>
    <x v="20"/>
    <x v="5"/>
    <s v="Global"/>
    <n v="0"/>
    <n v="1"/>
    <n v="0"/>
    <n v="1"/>
    <n v="1"/>
    <n v="0"/>
    <n v="1"/>
    <n v="1"/>
    <n v="1"/>
    <n v="0"/>
  </r>
  <r>
    <s v="Cases\\22. AE"/>
    <x v="21"/>
    <x v="5"/>
    <s v="Europe"/>
    <n v="0"/>
    <n v="1"/>
    <n v="1"/>
    <n v="1"/>
    <n v="1"/>
    <n v="0"/>
    <n v="1"/>
    <n v="0"/>
    <n v="1"/>
    <n v="0"/>
  </r>
  <r>
    <s v="Cases\\23. AICPA"/>
    <x v="22"/>
    <x v="5"/>
    <s v="North America"/>
    <n v="0"/>
    <n v="1"/>
    <n v="1"/>
    <n v="0"/>
    <n v="1"/>
    <n v="1"/>
    <n v="0"/>
    <n v="0"/>
    <n v="1"/>
    <n v="0"/>
  </r>
  <r>
    <s v="Cases\\24. AIPS"/>
    <x v="23"/>
    <x v="5"/>
    <s v="Asia Pacific"/>
    <n v="0"/>
    <n v="0"/>
    <n v="0"/>
    <n v="0"/>
    <n v="0"/>
    <n v="0"/>
    <n v="0"/>
    <n v="0"/>
    <n v="0"/>
    <n v="0"/>
  </r>
  <r>
    <s v="Cases\\25. ASSIREVI"/>
    <x v="24"/>
    <x v="5"/>
    <s v="Europe"/>
    <n v="0"/>
    <n v="1"/>
    <n v="0"/>
    <n v="0"/>
    <n v="1"/>
    <n v="0"/>
    <n v="0"/>
    <n v="0"/>
    <n v="1"/>
    <n v="0"/>
  </r>
  <r>
    <s v="Cases\\26. CPAA"/>
    <x v="25"/>
    <x v="5"/>
    <s v="Asia Pacific"/>
    <n v="0"/>
    <n v="1"/>
    <n v="0"/>
    <n v="1"/>
    <n v="1"/>
    <n v="1"/>
    <n v="1"/>
    <n v="1"/>
    <n v="0"/>
    <n v="0"/>
  </r>
  <r>
    <s v="Cases\\27. CPAC"/>
    <x v="26"/>
    <x v="5"/>
    <s v="North America"/>
    <n v="0"/>
    <n v="0"/>
    <n v="0"/>
    <n v="0"/>
    <n v="0"/>
    <n v="0"/>
    <n v="0"/>
    <n v="0"/>
    <n v="0"/>
    <n v="0"/>
  </r>
  <r>
    <s v="Cases\\28. EFAA"/>
    <x v="27"/>
    <x v="5"/>
    <s v="Europe"/>
    <n v="0"/>
    <n v="1"/>
    <n v="1"/>
    <n v="0"/>
    <n v="1"/>
    <n v="0"/>
    <n v="1"/>
    <n v="1"/>
    <n v="1"/>
    <n v="0"/>
  </r>
  <r>
    <s v="Cases\\29. FACPCE"/>
    <x v="28"/>
    <x v="5"/>
    <s v="South America"/>
    <n v="0"/>
    <n v="1"/>
    <n v="0"/>
    <n v="0"/>
    <n v="1"/>
    <n v="0"/>
    <n v="0"/>
    <n v="0"/>
    <n v="0"/>
    <n v="0"/>
  </r>
  <r>
    <s v="Cases\\30. FAR"/>
    <x v="29"/>
    <x v="5"/>
    <s v="Europe"/>
    <n v="0"/>
    <n v="1"/>
    <n v="0"/>
    <n v="0"/>
    <n v="0"/>
    <n v="0"/>
    <n v="1"/>
    <n v="1"/>
    <n v="1"/>
    <n v="0"/>
  </r>
  <r>
    <s v="Cases\\31. FSR"/>
    <x v="30"/>
    <x v="5"/>
    <s v="Europe"/>
    <n v="0"/>
    <n v="1"/>
    <n v="0"/>
    <n v="1"/>
    <n v="1"/>
    <n v="0"/>
    <n v="0"/>
    <n v="0"/>
    <n v="1"/>
    <n v="0"/>
  </r>
  <r>
    <s v="Cases\\32. GRI"/>
    <x v="31"/>
    <x v="5"/>
    <s v="Global"/>
    <n v="0"/>
    <n v="1"/>
    <n v="0"/>
    <n v="0"/>
    <n v="1"/>
    <n v="0"/>
    <n v="1"/>
    <n v="0"/>
    <n v="0"/>
    <n v="0"/>
  </r>
  <r>
    <s v="Cases\\33. IAAA"/>
    <x v="32"/>
    <x v="5"/>
    <s v="South America"/>
    <n v="1"/>
    <n v="0"/>
    <n v="0"/>
    <n v="0"/>
    <n v="0"/>
    <n v="0"/>
    <n v="0"/>
    <n v="0"/>
    <n v="0"/>
    <n v="0"/>
  </r>
  <r>
    <s v="Cases\\34. IIA"/>
    <x v="33"/>
    <x v="5"/>
    <s v="Global"/>
    <n v="0"/>
    <n v="0"/>
    <n v="0"/>
    <n v="0"/>
    <n v="0"/>
    <n v="0"/>
    <n v="0"/>
    <n v="0"/>
    <n v="0"/>
    <n v="0"/>
  </r>
  <r>
    <s v="Cases\\35. IIRC"/>
    <x v="34"/>
    <x v="5"/>
    <s v="Global"/>
    <n v="0"/>
    <n v="1"/>
    <n v="0"/>
    <n v="0"/>
    <n v="1"/>
    <n v="1"/>
    <n v="0"/>
    <n v="0"/>
    <n v="1"/>
    <n v="0"/>
  </r>
  <r>
    <s v="Cases\\36. ICAEW"/>
    <x v="35"/>
    <x v="5"/>
    <s v="Europe"/>
    <n v="0"/>
    <n v="1"/>
    <n v="0"/>
    <n v="0"/>
    <n v="1"/>
    <n v="0"/>
    <n v="1"/>
    <n v="0"/>
    <n v="1"/>
    <n v="0"/>
  </r>
  <r>
    <s v="Cases\\37. ICAG"/>
    <x v="36"/>
    <x v="5"/>
    <s v="Middle East and Africa"/>
    <n v="0"/>
    <n v="1"/>
    <n v="0"/>
    <n v="0"/>
    <n v="0"/>
    <n v="0"/>
    <n v="0"/>
    <n v="0"/>
    <n v="1"/>
    <n v="0"/>
  </r>
  <r>
    <s v="Cases\\38. ICAS"/>
    <x v="37"/>
    <x v="5"/>
    <s v="Europe"/>
    <n v="0"/>
    <n v="1"/>
    <n v="0"/>
    <n v="0"/>
    <n v="0"/>
    <n v="0"/>
    <n v="1"/>
    <n v="0"/>
    <n v="1"/>
    <n v="0"/>
  </r>
  <r>
    <s v="Cases\\39. ICPAU"/>
    <x v="38"/>
    <x v="5"/>
    <s v="Middle East and Africa"/>
    <n v="1"/>
    <n v="0"/>
    <n v="0"/>
    <n v="0"/>
    <n v="0"/>
    <n v="0"/>
    <n v="0"/>
    <n v="0"/>
    <n v="0"/>
    <n v="0"/>
  </r>
  <r>
    <s v="Cases\\40. IPA"/>
    <x v="39"/>
    <x v="5"/>
    <s v="Asia Pacific"/>
    <n v="0"/>
    <n v="0"/>
    <n v="0"/>
    <n v="0"/>
    <n v="0"/>
    <n v="0"/>
    <n v="0"/>
    <n v="0"/>
    <n v="0"/>
    <n v="1"/>
  </r>
  <r>
    <s v="Cases\\41. ISCA"/>
    <x v="40"/>
    <x v="5"/>
    <s v="Asia Pacific"/>
    <n v="0"/>
    <n v="0"/>
    <n v="0"/>
    <n v="0"/>
    <n v="0"/>
    <n v="0"/>
    <n v="0"/>
    <n v="0"/>
    <n v="0"/>
    <n v="0"/>
  </r>
  <r>
    <s v="Cases\\42. MICPA"/>
    <x v="41"/>
    <x v="5"/>
    <s v="Asia Pacific"/>
    <n v="1"/>
    <n v="0"/>
    <n v="0"/>
    <n v="0"/>
    <n v="0"/>
    <n v="0"/>
    <n v="0"/>
    <n v="0"/>
    <n v="0"/>
    <n v="0"/>
  </r>
  <r>
    <s v="Cases\\43. NASBA"/>
    <x v="42"/>
    <x v="5"/>
    <s v="North America"/>
    <n v="0"/>
    <n v="1"/>
    <n v="0"/>
    <n v="0"/>
    <n v="0"/>
    <n v="0"/>
    <n v="0"/>
    <n v="0"/>
    <n v="1"/>
    <n v="0"/>
  </r>
  <r>
    <s v="Cases\\44. PAIB"/>
    <x v="43"/>
    <x v="5"/>
    <s v="Global"/>
    <n v="0"/>
    <n v="1"/>
    <n v="1"/>
    <n v="0"/>
    <n v="1"/>
    <n v="1"/>
    <n v="0"/>
    <n v="1"/>
    <n v="0"/>
    <n v="0"/>
  </r>
  <r>
    <s v="Cases\\45. SAICA"/>
    <x v="44"/>
    <x v="5"/>
    <s v="Middle East and Africa"/>
    <n v="0"/>
    <n v="1"/>
    <n v="0"/>
    <n v="0"/>
    <n v="1"/>
    <n v="0"/>
    <n v="0"/>
    <n v="0"/>
    <n v="1"/>
    <n v="0"/>
  </r>
  <r>
    <s v="Cases\\46. SASB"/>
    <x v="45"/>
    <x v="5"/>
    <s v="Global"/>
    <n v="1"/>
    <n v="0"/>
    <n v="0"/>
    <n v="0"/>
    <n v="0"/>
    <n v="0"/>
    <n v="0"/>
    <n v="0"/>
    <n v="0"/>
    <n v="0"/>
  </r>
  <r>
    <s v="Cases\\47. WICI"/>
    <x v="46"/>
    <x v="5"/>
    <s v="Global"/>
    <n v="0"/>
    <n v="1"/>
    <n v="0"/>
    <n v="0"/>
    <n v="1"/>
    <n v="1"/>
    <n v="1"/>
    <n v="0"/>
    <n v="1"/>
    <n v="0"/>
  </r>
  <r>
    <s v="Cases\\48. WPK"/>
    <x v="47"/>
    <x v="5"/>
    <s v="Europe"/>
    <n v="0"/>
    <n v="1"/>
    <n v="0"/>
    <n v="0"/>
    <n v="0"/>
    <n v="0"/>
    <n v="0"/>
    <n v="1"/>
    <n v="1"/>
    <n v="0"/>
  </r>
  <r>
    <s v="Cases\\49. DU"/>
    <x v="48"/>
    <x v="6"/>
    <s v="Asia Pacific"/>
    <n v="0"/>
    <n v="0"/>
    <n v="0"/>
    <n v="0"/>
    <n v="0"/>
    <n v="0"/>
    <n v="0"/>
    <n v="0"/>
    <n v="0"/>
    <n v="1"/>
  </r>
  <r>
    <s v="Cases\\50. BARNARD"/>
    <x v="49"/>
    <x v="7"/>
    <s v="Europe"/>
    <n v="0"/>
    <n v="1"/>
    <n v="0"/>
    <n v="0"/>
    <n v="1"/>
    <n v="0"/>
    <n v="0"/>
    <n v="0"/>
    <n v="0"/>
    <n v="0"/>
  </r>
  <r>
    <s v="Cases\\51. CAATAS"/>
    <x v="50"/>
    <x v="7"/>
    <s v="Middle East and Africa"/>
    <n v="1"/>
    <n v="0"/>
    <n v="0"/>
    <n v="0"/>
    <n v="0"/>
    <n v="0"/>
    <n v="0"/>
    <n v="0"/>
    <n v="0"/>
    <n v="0"/>
  </r>
  <r>
    <s v="Cases\\52. SCHNEIDER"/>
    <x v="51"/>
    <x v="7"/>
    <s v="North America"/>
    <n v="0"/>
    <n v="1"/>
    <n v="0"/>
    <n v="0"/>
    <n v="1"/>
    <n v="0"/>
    <n v="0"/>
    <n v="0"/>
    <n v="1"/>
    <n v="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s v="Global"/>
    <n v="0"/>
    <n v="0"/>
    <n v="0"/>
    <n v="0"/>
  </r>
  <r>
    <x v="1"/>
    <x v="1"/>
    <s v="South America"/>
    <n v="0"/>
    <n v="1"/>
    <n v="0"/>
    <n v="1"/>
  </r>
  <r>
    <x v="2"/>
    <x v="1"/>
    <s v="Middle East and Africa"/>
    <n v="0"/>
    <n v="1"/>
    <n v="0"/>
    <n v="1"/>
  </r>
  <r>
    <x v="3"/>
    <x v="2"/>
    <s v="Asia Pacific"/>
    <n v="0"/>
    <n v="1"/>
    <n v="0"/>
    <n v="1"/>
  </r>
  <r>
    <x v="4"/>
    <x v="2"/>
    <s v="Europe"/>
    <n v="0"/>
    <n v="1"/>
    <n v="0"/>
    <n v="1"/>
  </r>
  <r>
    <x v="5"/>
    <x v="2"/>
    <s v="Asia Pacific"/>
    <n v="0"/>
    <n v="1"/>
    <n v="0"/>
    <n v="1"/>
  </r>
  <r>
    <x v="6"/>
    <x v="2"/>
    <s v="Europe"/>
    <n v="0"/>
    <n v="1"/>
    <n v="0"/>
    <n v="1"/>
  </r>
  <r>
    <x v="7"/>
    <x v="2"/>
    <s v="Asia Pacific"/>
    <n v="0"/>
    <n v="1"/>
    <n v="0"/>
    <n v="1"/>
  </r>
  <r>
    <x v="8"/>
    <x v="2"/>
    <s v="Asia Pacific"/>
    <n v="0"/>
    <n v="1"/>
    <n v="0"/>
    <n v="1"/>
  </r>
  <r>
    <x v="9"/>
    <x v="2"/>
    <s v="Europe"/>
    <n v="0"/>
    <n v="1"/>
    <n v="0"/>
    <n v="1"/>
  </r>
  <r>
    <x v="10"/>
    <x v="2"/>
    <s v="Asia Pacific"/>
    <n v="0"/>
    <n v="1"/>
    <n v="0"/>
    <n v="1"/>
  </r>
  <r>
    <x v="11"/>
    <x v="3"/>
    <s v="Global"/>
    <n v="0"/>
    <n v="1"/>
    <n v="0"/>
    <n v="1"/>
  </r>
  <r>
    <x v="12"/>
    <x v="3"/>
    <s v="Global"/>
    <n v="1"/>
    <n v="0"/>
    <n v="0"/>
    <n v="1"/>
  </r>
  <r>
    <x v="13"/>
    <x v="3"/>
    <s v="Global"/>
    <n v="0"/>
    <n v="1"/>
    <n v="0"/>
    <n v="1"/>
  </r>
  <r>
    <x v="14"/>
    <x v="3"/>
    <s v="Global"/>
    <n v="0"/>
    <n v="1"/>
    <n v="0"/>
    <n v="1"/>
  </r>
  <r>
    <x v="15"/>
    <x v="3"/>
    <s v="Global"/>
    <n v="0"/>
    <n v="1"/>
    <n v="0"/>
    <n v="1"/>
  </r>
  <r>
    <x v="16"/>
    <x v="3"/>
    <s v="Global"/>
    <n v="0"/>
    <n v="1"/>
    <n v="0"/>
    <n v="1"/>
  </r>
  <r>
    <x v="17"/>
    <x v="3"/>
    <s v="Global"/>
    <n v="0"/>
    <n v="1"/>
    <n v="0"/>
    <n v="1"/>
  </r>
  <r>
    <x v="18"/>
    <x v="3"/>
    <s v="Global"/>
    <n v="0"/>
    <n v="1"/>
    <n v="0"/>
    <n v="1"/>
  </r>
  <r>
    <x v="19"/>
    <x v="4"/>
    <s v="North America"/>
    <n v="0"/>
    <n v="1"/>
    <n v="0"/>
    <n v="1"/>
  </r>
  <r>
    <x v="20"/>
    <x v="5"/>
    <s v="Global"/>
    <n v="0"/>
    <n v="1"/>
    <n v="0"/>
    <n v="1"/>
  </r>
  <r>
    <x v="21"/>
    <x v="5"/>
    <s v="Europe"/>
    <n v="0"/>
    <n v="1"/>
    <n v="0"/>
    <n v="1"/>
  </r>
  <r>
    <x v="22"/>
    <x v="5"/>
    <s v="North America"/>
    <n v="0"/>
    <n v="1"/>
    <n v="0"/>
    <n v="1"/>
  </r>
  <r>
    <x v="23"/>
    <x v="5"/>
    <s v="Asia Pacific"/>
    <n v="0"/>
    <n v="0"/>
    <n v="0"/>
    <n v="0"/>
  </r>
  <r>
    <x v="24"/>
    <x v="5"/>
    <s v="Europe"/>
    <n v="0"/>
    <n v="1"/>
    <n v="0"/>
    <n v="1"/>
  </r>
  <r>
    <x v="25"/>
    <x v="5"/>
    <s v="Asia Pacific"/>
    <n v="0"/>
    <n v="1"/>
    <n v="0"/>
    <n v="1"/>
  </r>
  <r>
    <x v="26"/>
    <x v="5"/>
    <s v="North America"/>
    <n v="0"/>
    <n v="0"/>
    <n v="0"/>
    <n v="0"/>
  </r>
  <r>
    <x v="27"/>
    <x v="5"/>
    <s v="Europe"/>
    <n v="0"/>
    <n v="1"/>
    <n v="0"/>
    <n v="1"/>
  </r>
  <r>
    <x v="28"/>
    <x v="5"/>
    <s v="South America"/>
    <n v="0"/>
    <n v="1"/>
    <n v="0"/>
    <n v="1"/>
  </r>
  <r>
    <x v="29"/>
    <x v="5"/>
    <s v="Europe"/>
    <n v="0"/>
    <n v="1"/>
    <n v="0"/>
    <n v="1"/>
  </r>
  <r>
    <x v="30"/>
    <x v="5"/>
    <s v="Europe"/>
    <n v="0"/>
    <n v="1"/>
    <n v="0"/>
    <n v="1"/>
  </r>
  <r>
    <x v="31"/>
    <x v="5"/>
    <s v="Global"/>
    <n v="0"/>
    <n v="1"/>
    <n v="0"/>
    <n v="1"/>
  </r>
  <r>
    <x v="32"/>
    <x v="5"/>
    <s v="South America"/>
    <n v="1"/>
    <n v="0"/>
    <n v="0"/>
    <n v="1"/>
  </r>
  <r>
    <x v="33"/>
    <x v="5"/>
    <s v="Global"/>
    <n v="0"/>
    <n v="0"/>
    <n v="0"/>
    <n v="0"/>
  </r>
  <r>
    <x v="34"/>
    <x v="5"/>
    <s v="Global"/>
    <n v="0"/>
    <n v="1"/>
    <n v="0"/>
    <n v="1"/>
  </r>
  <r>
    <x v="35"/>
    <x v="5"/>
    <s v="Europe"/>
    <n v="0"/>
    <n v="1"/>
    <n v="0"/>
    <n v="1"/>
  </r>
  <r>
    <x v="36"/>
    <x v="5"/>
    <s v="Middle East and Africa"/>
    <n v="0"/>
    <n v="1"/>
    <n v="0"/>
    <n v="1"/>
  </r>
  <r>
    <x v="37"/>
    <x v="5"/>
    <s v="Europe"/>
    <n v="0"/>
    <n v="1"/>
    <n v="0"/>
    <n v="1"/>
  </r>
  <r>
    <x v="38"/>
    <x v="5"/>
    <s v="Middle East and Africa"/>
    <n v="1"/>
    <n v="0"/>
    <n v="0"/>
    <n v="1"/>
  </r>
  <r>
    <x v="39"/>
    <x v="5"/>
    <s v="Asia Pacific"/>
    <n v="0"/>
    <n v="0"/>
    <n v="1"/>
    <n v="1"/>
  </r>
  <r>
    <x v="40"/>
    <x v="5"/>
    <s v="Asia Pacific"/>
    <n v="0"/>
    <n v="0"/>
    <n v="0"/>
    <n v="0"/>
  </r>
  <r>
    <x v="41"/>
    <x v="5"/>
    <s v="Asia Pacific"/>
    <n v="1"/>
    <n v="0"/>
    <n v="0"/>
    <n v="1"/>
  </r>
  <r>
    <x v="42"/>
    <x v="5"/>
    <s v="North America"/>
    <n v="0"/>
    <n v="1"/>
    <n v="0"/>
    <n v="1"/>
  </r>
  <r>
    <x v="43"/>
    <x v="5"/>
    <s v="Global"/>
    <n v="0"/>
    <n v="1"/>
    <n v="0"/>
    <n v="1"/>
  </r>
  <r>
    <x v="44"/>
    <x v="5"/>
    <s v="Middle East and Africa"/>
    <n v="0"/>
    <n v="1"/>
    <n v="0"/>
    <n v="1"/>
  </r>
  <r>
    <x v="45"/>
    <x v="5"/>
    <s v="Global"/>
    <n v="1"/>
    <n v="0"/>
    <n v="0"/>
    <n v="1"/>
  </r>
  <r>
    <x v="46"/>
    <x v="5"/>
    <s v="Global"/>
    <n v="0"/>
    <n v="1"/>
    <n v="0"/>
    <n v="1"/>
  </r>
  <r>
    <x v="47"/>
    <x v="5"/>
    <s v="Europe"/>
    <n v="0"/>
    <n v="1"/>
    <n v="0"/>
    <n v="1"/>
  </r>
  <r>
    <x v="48"/>
    <x v="6"/>
    <s v="Asia Pacific"/>
    <n v="0"/>
    <n v="0"/>
    <n v="1"/>
    <n v="1"/>
  </r>
  <r>
    <x v="49"/>
    <x v="7"/>
    <s v="Europe"/>
    <n v="0"/>
    <n v="1"/>
    <n v="0"/>
    <n v="1"/>
  </r>
  <r>
    <x v="50"/>
    <x v="7"/>
    <s v="Middle East and Africa"/>
    <n v="1"/>
    <n v="0"/>
    <n v="0"/>
    <n v="1"/>
  </r>
  <r>
    <x v="51"/>
    <x v="7"/>
    <s v="North America"/>
    <n v="0"/>
    <n v="1"/>
    <n v="0"/>
    <n v="1"/>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s v="Cases\\01. CRUF"/>
    <x v="0"/>
    <x v="0"/>
    <s v="Global"/>
    <n v="0"/>
    <n v="0"/>
    <n v="0"/>
    <n v="0"/>
    <n v="0"/>
    <n v="0"/>
    <n v="0"/>
    <n v="1"/>
  </r>
  <r>
    <s v="Cases\\02. CFC"/>
    <x v="1"/>
    <x v="1"/>
    <s v="South America"/>
    <n v="1"/>
    <n v="0"/>
    <n v="0"/>
    <n v="1"/>
    <n v="0"/>
    <n v="0"/>
    <n v="0"/>
    <n v="0"/>
  </r>
  <r>
    <s v="Cases\\03. IRBA"/>
    <x v="2"/>
    <x v="1"/>
    <s v="Middle East and Africa"/>
    <n v="1"/>
    <n v="0"/>
    <n v="1"/>
    <n v="0"/>
    <n v="0"/>
    <n v="0"/>
    <n v="0"/>
    <n v="0"/>
  </r>
  <r>
    <s v="Cases\\04. AUASB"/>
    <x v="3"/>
    <x v="2"/>
    <s v="Asia Pacific"/>
    <n v="1"/>
    <n v="0"/>
    <n v="0"/>
    <n v="1"/>
    <n v="0"/>
    <n v="0"/>
    <n v="0"/>
    <n v="0"/>
  </r>
  <r>
    <s v="Cases\\05. CNCC-CSOEC"/>
    <x v="4"/>
    <x v="2"/>
    <s v="Europe"/>
    <n v="1"/>
    <n v="0"/>
    <n v="0"/>
    <n v="0"/>
    <n v="0"/>
    <n v="0"/>
    <n v="0"/>
    <n v="0"/>
  </r>
  <r>
    <s v="Cases\\06. HKICPA"/>
    <x v="5"/>
    <x v="2"/>
    <s v="Asia Pacific"/>
    <n v="1"/>
    <n v="0"/>
    <n v="0"/>
    <n v="0"/>
    <n v="1"/>
    <n v="0"/>
    <n v="0"/>
    <n v="0"/>
  </r>
  <r>
    <s v="Cases\\07. IDW"/>
    <x v="6"/>
    <x v="2"/>
    <s v="Europe"/>
    <n v="1"/>
    <n v="0"/>
    <n v="0"/>
    <n v="1"/>
    <n v="1"/>
    <n v="0"/>
    <n v="0"/>
    <n v="0"/>
  </r>
  <r>
    <s v="Cases\\08. JICPA"/>
    <x v="7"/>
    <x v="2"/>
    <s v="Asia Pacific"/>
    <n v="1"/>
    <n v="0"/>
    <n v="0"/>
    <n v="1"/>
    <n v="1"/>
    <n v="0"/>
    <n v="0"/>
    <n v="0"/>
  </r>
  <r>
    <s v="Cases\\09. MAASB"/>
    <x v="8"/>
    <x v="2"/>
    <s v="Asia Pacific"/>
    <n v="1"/>
    <n v="0"/>
    <n v="0"/>
    <n v="1"/>
    <n v="0"/>
    <n v="0"/>
    <n v="0"/>
    <n v="0"/>
  </r>
  <r>
    <s v="Cases\\10. NBA"/>
    <x v="9"/>
    <x v="2"/>
    <s v="Europe"/>
    <n v="1"/>
    <n v="0"/>
    <n v="0"/>
    <n v="0"/>
    <n v="0"/>
    <n v="0"/>
    <n v="0"/>
    <n v="0"/>
  </r>
  <r>
    <s v="Cases\\11. NZAASB"/>
    <x v="10"/>
    <x v="2"/>
    <s v="Asia Pacific"/>
    <n v="1"/>
    <n v="0"/>
    <n v="0"/>
    <n v="1"/>
    <n v="1"/>
    <n v="0"/>
    <n v="0"/>
    <n v="0"/>
  </r>
  <r>
    <s v="Cases\\12. BDO"/>
    <x v="11"/>
    <x v="3"/>
    <s v="Global"/>
    <n v="1"/>
    <n v="0"/>
    <n v="0"/>
    <n v="1"/>
    <n v="0"/>
    <n v="0"/>
    <n v="0"/>
    <n v="0"/>
  </r>
  <r>
    <s v="Cases\\13. CG"/>
    <x v="12"/>
    <x v="3"/>
    <s v="Global"/>
    <n v="1"/>
    <n v="0"/>
    <n v="0"/>
    <n v="1"/>
    <n v="0"/>
    <n v="0"/>
    <n v="0"/>
    <n v="0"/>
  </r>
  <r>
    <s v="Cases\\14. DTT"/>
    <x v="13"/>
    <x v="3"/>
    <s v="Global"/>
    <n v="1"/>
    <n v="0"/>
    <n v="0"/>
    <n v="1"/>
    <n v="1"/>
    <n v="0"/>
    <n v="0"/>
    <n v="0"/>
  </r>
  <r>
    <s v="Cases\\15. EYG"/>
    <x v="14"/>
    <x v="3"/>
    <s v="Global"/>
    <n v="1"/>
    <n v="0"/>
    <n v="0"/>
    <n v="1"/>
    <n v="0"/>
    <n v="0"/>
    <n v="0"/>
    <n v="0"/>
  </r>
  <r>
    <s v="Cases\\16. GTI"/>
    <x v="15"/>
    <x v="3"/>
    <s v="Global"/>
    <n v="0"/>
    <n v="0"/>
    <n v="0"/>
    <n v="0"/>
    <n v="0"/>
    <n v="0"/>
    <n v="0"/>
    <n v="1"/>
  </r>
  <r>
    <s v="Cases\\17. KPMG"/>
    <x v="16"/>
    <x v="3"/>
    <s v="Global"/>
    <n v="1"/>
    <n v="0"/>
    <n v="0"/>
    <n v="1"/>
    <n v="0"/>
    <n v="0"/>
    <n v="0"/>
    <n v="0"/>
  </r>
  <r>
    <s v="Cases\\18. MZS"/>
    <x v="17"/>
    <x v="3"/>
    <s v="Global"/>
    <n v="1"/>
    <n v="0"/>
    <n v="0"/>
    <n v="1"/>
    <n v="0"/>
    <n v="0"/>
    <n v="0"/>
    <n v="0"/>
  </r>
  <r>
    <s v="Cases\\19. PwC"/>
    <x v="18"/>
    <x v="3"/>
    <s v="Global"/>
    <n v="1"/>
    <n v="0"/>
    <n v="0"/>
    <n v="1"/>
    <n v="1"/>
    <n v="0"/>
    <n v="0"/>
    <n v="0"/>
  </r>
  <r>
    <s v="Cases\\20. GAO"/>
    <x v="19"/>
    <x v="4"/>
    <s v="North America"/>
    <n v="1"/>
    <n v="0"/>
    <n v="0"/>
    <n v="0"/>
    <n v="1"/>
    <n v="1"/>
    <n v="0"/>
    <n v="0"/>
  </r>
  <r>
    <s v="Cases\\21. ACCA-CAANZ"/>
    <x v="20"/>
    <x v="5"/>
    <s v="Global"/>
    <n v="1"/>
    <n v="0"/>
    <n v="0"/>
    <n v="1"/>
    <n v="0"/>
    <n v="0"/>
    <n v="0"/>
    <n v="0"/>
  </r>
  <r>
    <s v="Cases\\22. AE"/>
    <x v="21"/>
    <x v="5"/>
    <s v="Europe"/>
    <n v="1"/>
    <n v="0"/>
    <n v="0"/>
    <n v="1"/>
    <n v="0"/>
    <n v="0"/>
    <n v="0"/>
    <n v="0"/>
  </r>
  <r>
    <s v="Cases\\23. AICPA"/>
    <x v="22"/>
    <x v="5"/>
    <s v="North America"/>
    <n v="1"/>
    <n v="0"/>
    <n v="0"/>
    <n v="1"/>
    <n v="1"/>
    <n v="0"/>
    <n v="0"/>
    <n v="0"/>
  </r>
  <r>
    <s v="Cases\\24. AIPS"/>
    <x v="23"/>
    <x v="5"/>
    <s v="Asia Pacific"/>
    <n v="0"/>
    <n v="0"/>
    <n v="0"/>
    <n v="0"/>
    <n v="0"/>
    <n v="0"/>
    <n v="0"/>
    <n v="1"/>
  </r>
  <r>
    <s v="Cases\\25. ASSIREVI"/>
    <x v="24"/>
    <x v="5"/>
    <s v="Europe"/>
    <n v="1"/>
    <n v="0"/>
    <n v="0"/>
    <n v="1"/>
    <n v="0"/>
    <n v="0"/>
    <n v="0"/>
    <n v="0"/>
  </r>
  <r>
    <s v="Cases\\26. CPAA"/>
    <x v="25"/>
    <x v="5"/>
    <s v="Asia Pacific"/>
    <n v="1"/>
    <n v="0"/>
    <n v="0"/>
    <n v="1"/>
    <n v="0"/>
    <n v="0"/>
    <n v="0"/>
    <n v="0"/>
  </r>
  <r>
    <s v="Cases\\27. CPAC"/>
    <x v="26"/>
    <x v="5"/>
    <s v="North America"/>
    <n v="0"/>
    <n v="0"/>
    <n v="0"/>
    <n v="0"/>
    <n v="0"/>
    <n v="0"/>
    <n v="0"/>
    <n v="1"/>
  </r>
  <r>
    <s v="Cases\\28. EFAA"/>
    <x v="27"/>
    <x v="5"/>
    <s v="Europe"/>
    <n v="1"/>
    <n v="0"/>
    <n v="1"/>
    <n v="0"/>
    <n v="0"/>
    <n v="0"/>
    <n v="0"/>
    <n v="0"/>
  </r>
  <r>
    <s v="Cases\\29. FACPCE"/>
    <x v="28"/>
    <x v="5"/>
    <s v="South America"/>
    <n v="1"/>
    <n v="0"/>
    <n v="0"/>
    <n v="1"/>
    <n v="0"/>
    <n v="0"/>
    <n v="0"/>
    <n v="0"/>
  </r>
  <r>
    <s v="Cases\\30. FAR"/>
    <x v="29"/>
    <x v="5"/>
    <s v="Europe"/>
    <n v="0"/>
    <n v="0"/>
    <n v="0"/>
    <n v="0"/>
    <n v="0"/>
    <n v="0"/>
    <n v="0"/>
    <n v="1"/>
  </r>
  <r>
    <s v="Cases\\31. FSR"/>
    <x v="30"/>
    <x v="5"/>
    <s v="Europe"/>
    <n v="1"/>
    <n v="0"/>
    <n v="1"/>
    <n v="0"/>
    <n v="1"/>
    <n v="0"/>
    <n v="0"/>
    <n v="0"/>
  </r>
  <r>
    <s v="Cases\\32. GRI"/>
    <x v="31"/>
    <x v="5"/>
    <s v="Global"/>
    <n v="1"/>
    <n v="0"/>
    <n v="0"/>
    <n v="1"/>
    <n v="0"/>
    <n v="0"/>
    <n v="0"/>
    <n v="0"/>
  </r>
  <r>
    <s v="Cases\\33. IAAA"/>
    <x v="32"/>
    <x v="5"/>
    <s v="South America"/>
    <n v="1"/>
    <n v="0"/>
    <n v="0"/>
    <n v="1"/>
    <n v="0"/>
    <n v="0"/>
    <n v="0"/>
    <n v="0"/>
  </r>
  <r>
    <s v="Cases\\34. IIA"/>
    <x v="33"/>
    <x v="5"/>
    <s v="Global"/>
    <n v="0"/>
    <n v="0"/>
    <n v="0"/>
    <n v="0"/>
    <n v="0"/>
    <n v="0"/>
    <n v="0"/>
    <n v="1"/>
  </r>
  <r>
    <s v="Cases\\35. IIRC"/>
    <x v="34"/>
    <x v="5"/>
    <s v="Global"/>
    <n v="0"/>
    <n v="0"/>
    <n v="0"/>
    <n v="0"/>
    <n v="0"/>
    <n v="0"/>
    <n v="0"/>
    <n v="1"/>
  </r>
  <r>
    <s v="Cases\\36. ICAEW"/>
    <x v="35"/>
    <x v="5"/>
    <s v="Europe"/>
    <n v="1"/>
    <n v="0"/>
    <n v="0"/>
    <n v="0"/>
    <n v="1"/>
    <n v="0"/>
    <n v="0"/>
    <n v="0"/>
  </r>
  <r>
    <s v="Cases\\37. ICAG"/>
    <x v="36"/>
    <x v="5"/>
    <s v="Middle East and Africa"/>
    <n v="1"/>
    <n v="0"/>
    <n v="0"/>
    <n v="0"/>
    <n v="0"/>
    <n v="1"/>
    <n v="0"/>
    <n v="0"/>
  </r>
  <r>
    <s v="Cases\\38. ICAS"/>
    <x v="37"/>
    <x v="5"/>
    <s v="Europe"/>
    <n v="1"/>
    <n v="0"/>
    <n v="0"/>
    <n v="0"/>
    <n v="0"/>
    <n v="1"/>
    <n v="0"/>
    <n v="0"/>
  </r>
  <r>
    <s v="Cases\\39. ICPAU"/>
    <x v="38"/>
    <x v="5"/>
    <s v="Middle East and Africa"/>
    <n v="1"/>
    <n v="0"/>
    <n v="0"/>
    <n v="1"/>
    <n v="0"/>
    <n v="0"/>
    <n v="0"/>
    <n v="0"/>
  </r>
  <r>
    <s v="Cases\\40. IPA"/>
    <x v="39"/>
    <x v="5"/>
    <s v="Asia Pacific"/>
    <n v="1"/>
    <n v="1"/>
    <n v="0"/>
    <n v="0"/>
    <n v="0"/>
    <n v="0"/>
    <n v="0"/>
    <n v="0"/>
  </r>
  <r>
    <s v="Cases\\41. ISCA"/>
    <x v="40"/>
    <x v="5"/>
    <s v="Asia Pacific"/>
    <n v="0"/>
    <n v="0"/>
    <n v="0"/>
    <n v="0"/>
    <n v="0"/>
    <n v="0"/>
    <n v="0"/>
    <n v="1"/>
  </r>
  <r>
    <s v="Cases\\42. MICPA"/>
    <x v="41"/>
    <x v="5"/>
    <s v="Asia Pacific"/>
    <n v="1"/>
    <n v="0"/>
    <n v="0"/>
    <n v="1"/>
    <n v="0"/>
    <n v="0"/>
    <n v="0"/>
    <n v="0"/>
  </r>
  <r>
    <s v="Cases\\43. NASBA"/>
    <x v="42"/>
    <x v="5"/>
    <s v="North America"/>
    <n v="1"/>
    <n v="0"/>
    <n v="1"/>
    <n v="1"/>
    <n v="0"/>
    <n v="0"/>
    <n v="0"/>
    <n v="0"/>
  </r>
  <r>
    <s v="Cases\\44. PAIB"/>
    <x v="43"/>
    <x v="5"/>
    <s v="Global"/>
    <n v="1"/>
    <n v="0"/>
    <n v="0"/>
    <n v="1"/>
    <n v="0"/>
    <n v="1"/>
    <n v="0"/>
    <n v="0"/>
  </r>
  <r>
    <s v="Cases\\45. SAICA"/>
    <x v="44"/>
    <x v="5"/>
    <s v="Middle East and Africa"/>
    <n v="1"/>
    <n v="0"/>
    <n v="1"/>
    <n v="0"/>
    <n v="0"/>
    <n v="0"/>
    <n v="0"/>
    <n v="0"/>
  </r>
  <r>
    <s v="Cases\\46. SASB"/>
    <x v="45"/>
    <x v="5"/>
    <s v="Global"/>
    <n v="0"/>
    <n v="0"/>
    <n v="0"/>
    <n v="0"/>
    <n v="0"/>
    <n v="0"/>
    <n v="0"/>
    <n v="1"/>
  </r>
  <r>
    <s v="Cases\\47. WICI"/>
    <x v="46"/>
    <x v="5"/>
    <s v="Global"/>
    <n v="0"/>
    <n v="0"/>
    <n v="0"/>
    <n v="0"/>
    <n v="0"/>
    <n v="0"/>
    <n v="0"/>
    <n v="1"/>
  </r>
  <r>
    <s v="Cases\\48. WPK"/>
    <x v="47"/>
    <x v="5"/>
    <s v="Europe"/>
    <n v="0"/>
    <n v="0"/>
    <n v="0"/>
    <n v="0"/>
    <n v="0"/>
    <n v="0"/>
    <n v="1"/>
    <n v="0"/>
  </r>
  <r>
    <s v="Cases\\49. DU"/>
    <x v="48"/>
    <x v="6"/>
    <s v="Asia Pacific"/>
    <n v="0"/>
    <n v="0"/>
    <n v="0"/>
    <n v="0"/>
    <n v="0"/>
    <n v="0"/>
    <n v="0"/>
    <n v="1"/>
  </r>
  <r>
    <s v="Cases\\50. BARNARD"/>
    <x v="49"/>
    <x v="7"/>
    <s v="Europe"/>
    <n v="0"/>
    <n v="0"/>
    <n v="0"/>
    <n v="0"/>
    <n v="0"/>
    <n v="0"/>
    <n v="0"/>
    <n v="1"/>
  </r>
  <r>
    <s v="Cases\\51. CAATAS"/>
    <x v="50"/>
    <x v="7"/>
    <s v="Middle East and Africa"/>
    <n v="1"/>
    <n v="0"/>
    <n v="0"/>
    <n v="1"/>
    <n v="0"/>
    <n v="0"/>
    <n v="0"/>
    <n v="0"/>
  </r>
  <r>
    <s v="Cases\\52. SCHNEIDER"/>
    <x v="51"/>
    <x v="7"/>
    <s v="North America"/>
    <n v="1"/>
    <n v="0"/>
    <n v="0"/>
    <n v="1"/>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F92F05-A242-4E24-944C-F70216F49CB6}" name="PivotTable6" cacheId="9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5:E24" firstHeaderRow="0" firstDataRow="1" firstDataCol="1"/>
  <pivotFields count="8">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sd="0" x="6"/>
        <item sd="0" x="7"/>
        <item t="default"/>
      </items>
    </pivotField>
    <pivotField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4">
    <i>
      <x/>
    </i>
    <i i="1">
      <x v="1"/>
    </i>
    <i i="2">
      <x v="2"/>
    </i>
    <i i="3">
      <x v="3"/>
    </i>
  </colItems>
  <dataFields count="4">
    <dataField name="Sum of 1. Agreed" fld="4" baseField="0" baseItem="0"/>
    <dataField name="Sum of 2. Agree but with futher comments" fld="5" baseField="0" baseItem="0"/>
    <dataField name="Sum of 3. Disagreed" fld="6" baseField="0" baseItem="0"/>
    <dataField name="Sum of Total" fld="7" baseField="0" baseItem="0"/>
  </dataFields>
  <formats count="27">
    <format dxfId="911">
      <pivotArea field="2" type="button" dataOnly="0" labelOnly="1" outline="0" axis="axisRow" fieldPosition="0"/>
    </format>
    <format dxfId="910">
      <pivotArea dataOnly="0" labelOnly="1" outline="0" fieldPosition="0">
        <references count="1">
          <reference field="4294967294" count="4">
            <x v="0"/>
            <x v="1"/>
            <x v="2"/>
            <x v="3"/>
          </reference>
        </references>
      </pivotArea>
    </format>
    <format dxfId="909">
      <pivotArea type="all" dataOnly="0" outline="0" fieldPosition="0"/>
    </format>
    <format dxfId="908">
      <pivotArea outline="0" collapsedLevelsAreSubtotals="1" fieldPosition="0"/>
    </format>
    <format dxfId="907">
      <pivotArea field="2" type="button" dataOnly="0" labelOnly="1" outline="0" axis="axisRow" fieldPosition="0"/>
    </format>
    <format dxfId="906">
      <pivotArea dataOnly="0" labelOnly="1" fieldPosition="0">
        <references count="1">
          <reference field="2" count="0"/>
        </references>
      </pivotArea>
    </format>
    <format dxfId="905">
      <pivotArea dataOnly="0" labelOnly="1" grandRow="1" outline="0" fieldPosition="0"/>
    </format>
    <format dxfId="904">
      <pivotArea dataOnly="0" labelOnly="1" outline="0" fieldPosition="0">
        <references count="1">
          <reference field="4294967294" count="4">
            <x v="0"/>
            <x v="1"/>
            <x v="2"/>
            <x v="3"/>
          </reference>
        </references>
      </pivotArea>
    </format>
    <format dxfId="903">
      <pivotArea type="all" dataOnly="0" outline="0" fieldPosition="0"/>
    </format>
    <format dxfId="902">
      <pivotArea field="2" type="button" dataOnly="0" labelOnly="1" outline="0" axis="axisRow" fieldPosition="0"/>
    </format>
    <format dxfId="901">
      <pivotArea dataOnly="0" labelOnly="1" outline="0" fieldPosition="0">
        <references count="1">
          <reference field="4294967294" count="4">
            <x v="0"/>
            <x v="1"/>
            <x v="2"/>
            <x v="3"/>
          </reference>
        </references>
      </pivotArea>
    </format>
    <format dxfId="900">
      <pivotArea type="all" dataOnly="0" outline="0" fieldPosition="0"/>
    </format>
    <format dxfId="899">
      <pivotArea outline="0" collapsedLevelsAreSubtotals="1" fieldPosition="0"/>
    </format>
    <format dxfId="898">
      <pivotArea field="2" type="button" dataOnly="0" labelOnly="1" outline="0" axis="axisRow" fieldPosition="0"/>
    </format>
    <format dxfId="897">
      <pivotArea dataOnly="0" labelOnly="1" fieldPosition="0">
        <references count="1">
          <reference field="2" count="0"/>
        </references>
      </pivotArea>
    </format>
    <format dxfId="896">
      <pivotArea dataOnly="0" labelOnly="1" grandRow="1" outline="0" fieldPosition="0"/>
    </format>
    <format dxfId="895">
      <pivotArea dataOnly="0" labelOnly="1" outline="0" fieldPosition="0">
        <references count="1">
          <reference field="4294967294" count="4">
            <x v="0"/>
            <x v="1"/>
            <x v="2"/>
            <x v="3"/>
          </reference>
        </references>
      </pivotArea>
    </format>
    <format dxfId="894">
      <pivotArea dataOnly="0" labelOnly="1" outline="0" fieldPosition="0">
        <references count="1">
          <reference field="4294967294" count="1">
            <x v="0"/>
          </reference>
        </references>
      </pivotArea>
    </format>
    <format dxfId="893">
      <pivotArea dataOnly="0" labelOnly="1" outline="0" fieldPosition="0">
        <references count="1">
          <reference field="4294967294" count="1">
            <x v="1"/>
          </reference>
        </references>
      </pivotArea>
    </format>
    <format dxfId="892">
      <pivotArea dataOnly="0" labelOnly="1" outline="0" fieldPosition="0">
        <references count="1">
          <reference field="4294967294" count="1">
            <x v="2"/>
          </reference>
        </references>
      </pivotArea>
    </format>
    <format dxfId="891">
      <pivotArea field="2" type="button" dataOnly="0" labelOnly="1" outline="0" axis="axisRow" fieldPosition="0"/>
    </format>
    <format dxfId="890">
      <pivotArea type="all" dataOnly="0" outline="0" fieldPosition="0"/>
    </format>
    <format dxfId="889">
      <pivotArea outline="0" collapsedLevelsAreSubtotals="1" fieldPosition="0"/>
    </format>
    <format dxfId="888">
      <pivotArea field="2" type="button" dataOnly="0" labelOnly="1" outline="0" axis="axisRow" fieldPosition="0"/>
    </format>
    <format dxfId="887">
      <pivotArea dataOnly="0" labelOnly="1" fieldPosition="0">
        <references count="1">
          <reference field="2" count="0"/>
        </references>
      </pivotArea>
    </format>
    <format dxfId="886">
      <pivotArea dataOnly="0" labelOnly="1" grandRow="1" outline="0" fieldPosition="0"/>
    </format>
    <format dxfId="88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3F4EFD-9117-4B3B-AB8E-67335DA6C8EC}" name="PivotTable2" cacheId="1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5:W24" firstHeaderRow="0" firstDataRow="1" firstDataCol="1"/>
  <pivotFields count="26">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sd="0" x="6"/>
        <item sd="0" x="7"/>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22">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colItems>
  <dataFields count="22">
    <dataField name="Sum of 1. Agreed" fld="4" baseField="0" baseItem="0"/>
    <dataField name="Sum of 2. Agree but with futher comments" fld="5" baseField="0" baseItem="0"/>
    <dataField name="Sum of Assertions" fld="6" baseField="0" baseItem="0"/>
    <dataField name="Sum of Financial information in EER reports" fld="7" baseField="0" baseItem="0"/>
    <dataField name="Sum of Governance and internal control" fld="8" baseField="0" baseItem="0"/>
    <dataField name="Sum of Impact of technological advancements" fld="9" baseField="0" baseItem="0"/>
    <dataField name="Sum of Limited and reasonable assurance" fld="10" baseField="2" baseItem="0"/>
    <dataField name="Sum of Materiality considerations" fld="11" baseField="0" baseItem="0"/>
    <dataField name="Sum of 'Materiality process' for developing the criteria" fld="12" baseField="0" baseItem="0"/>
    <dataField name="Sum of Narrative and future-oriented Information" fld="13" baseField="0" baseItem="0"/>
    <dataField name="Sum of Other (non-project proposal or allocated to phase 2)" fld="14" baseField="0" baseItem="0"/>
    <dataField name="Sum of Other information in an EER report" fld="15" baseField="0" baseItem="0"/>
    <dataField name="Sum of Preconditions" fld="16" baseField="0" baseItem="0"/>
    <dataField name="Sum of Quality control and ethics (ISQC 1 and IESBA)" fld="17" baseField="0" baseItem="0"/>
    <dataField name="Sum of Scope of guidance - Clarify EER, intended audience and purpose" fld="18" baseField="0" baseItem="0"/>
    <dataField name="Sum of Using the work of others" fld="19" baseField="0" baseItem="0"/>
    <dataField name="Sum of 3. Disagreed" fld="20" baseField="0" baseItem="0"/>
    <dataField name="Sum of Country specific considerations" fld="21" baseField="0" baseItem="0"/>
    <dataField name="Sum of Limited and reasonable assurance2" fld="22" baseField="0" baseItem="0"/>
    <dataField name="Sum of Other (non-project proposal or allocated to phase 2)2" fld="23" baseField="0" baseItem="0"/>
    <dataField name="Sum of Practical application" fld="24" baseField="0" baseItem="0"/>
    <dataField name="Sum of Scoping" fld="25" baseField="0" baseItem="0"/>
  </dataFields>
  <formats count="43">
    <format dxfId="884">
      <pivotArea type="all" dataOnly="0" outline="0" fieldPosition="0"/>
    </format>
    <format dxfId="883">
      <pivotArea outline="0" collapsedLevelsAreSubtotals="1" fieldPosition="0"/>
    </format>
    <format dxfId="882">
      <pivotArea field="2" type="button" dataOnly="0" labelOnly="1" outline="0" axis="axisRow" fieldPosition="0"/>
    </format>
    <format dxfId="881">
      <pivotArea dataOnly="0" labelOnly="1" fieldPosition="0">
        <references count="1">
          <reference field="2" count="0"/>
        </references>
      </pivotArea>
    </format>
    <format dxfId="880">
      <pivotArea dataOnly="0" labelOnly="1" grandRow="1" outline="0" fieldPosition="0"/>
    </format>
    <format dxfId="879">
      <pivotArea dataOnly="0" labelOnly="1" outline="0" fieldPosition="0">
        <references count="1">
          <reference field="4294967294" count="22">
            <x v="0"/>
            <x v="1"/>
            <x v="2"/>
            <x v="3"/>
            <x v="4"/>
            <x v="5"/>
            <x v="6"/>
            <x v="7"/>
            <x v="8"/>
            <x v="9"/>
            <x v="10"/>
            <x v="11"/>
            <x v="12"/>
            <x v="13"/>
            <x v="14"/>
            <x v="15"/>
            <x v="16"/>
            <x v="17"/>
            <x v="18"/>
            <x v="19"/>
            <x v="20"/>
            <x v="21"/>
          </reference>
        </references>
      </pivotArea>
    </format>
    <format dxfId="878">
      <pivotArea type="all" dataOnly="0" outline="0" fieldPosition="0"/>
    </format>
    <format dxfId="877">
      <pivotArea outline="0" collapsedLevelsAreSubtotals="1" fieldPosition="0"/>
    </format>
    <format dxfId="876">
      <pivotArea field="2" type="button" dataOnly="0" labelOnly="1" outline="0" axis="axisRow" fieldPosition="0"/>
    </format>
    <format dxfId="875">
      <pivotArea dataOnly="0" labelOnly="1" fieldPosition="0">
        <references count="1">
          <reference field="2" count="0"/>
        </references>
      </pivotArea>
    </format>
    <format dxfId="874">
      <pivotArea dataOnly="0" labelOnly="1" grandRow="1" outline="0" fieldPosition="0"/>
    </format>
    <format dxfId="873">
      <pivotArea dataOnly="0" labelOnly="1" outline="0" fieldPosition="0">
        <references count="1">
          <reference field="4294967294" count="22">
            <x v="0"/>
            <x v="1"/>
            <x v="2"/>
            <x v="3"/>
            <x v="4"/>
            <x v="5"/>
            <x v="6"/>
            <x v="7"/>
            <x v="8"/>
            <x v="9"/>
            <x v="10"/>
            <x v="11"/>
            <x v="12"/>
            <x v="13"/>
            <x v="14"/>
            <x v="15"/>
            <x v="16"/>
            <x v="17"/>
            <x v="18"/>
            <x v="19"/>
            <x v="20"/>
            <x v="21"/>
          </reference>
        </references>
      </pivotArea>
    </format>
    <format dxfId="872">
      <pivotArea field="2" type="button" dataOnly="0" labelOnly="1" outline="0" axis="axisRow" fieldPosition="0"/>
    </format>
    <format dxfId="871">
      <pivotArea dataOnly="0" labelOnly="1" outline="0" fieldPosition="0">
        <references count="1">
          <reference field="4294967294" count="22">
            <x v="0"/>
            <x v="1"/>
            <x v="2"/>
            <x v="3"/>
            <x v="4"/>
            <x v="5"/>
            <x v="6"/>
            <x v="7"/>
            <x v="8"/>
            <x v="9"/>
            <x v="10"/>
            <x v="11"/>
            <x v="12"/>
            <x v="13"/>
            <x v="14"/>
            <x v="15"/>
            <x v="16"/>
            <x v="17"/>
            <x v="18"/>
            <x v="19"/>
            <x v="20"/>
            <x v="21"/>
          </reference>
        </references>
      </pivotArea>
    </format>
    <format dxfId="870">
      <pivotArea dataOnly="0" labelOnly="1" outline="0" fieldPosition="0">
        <references count="1">
          <reference field="4294967294" count="1">
            <x v="0"/>
          </reference>
        </references>
      </pivotArea>
    </format>
    <format dxfId="869">
      <pivotArea dataOnly="0" labelOnly="1" outline="0" fieldPosition="0">
        <references count="1">
          <reference field="4294967294" count="15">
            <x v="1"/>
            <x v="2"/>
            <x v="3"/>
            <x v="4"/>
            <x v="5"/>
            <x v="6"/>
            <x v="7"/>
            <x v="8"/>
            <x v="9"/>
            <x v="10"/>
            <x v="11"/>
            <x v="12"/>
            <x v="13"/>
            <x v="14"/>
            <x v="15"/>
          </reference>
        </references>
      </pivotArea>
    </format>
    <format dxfId="868">
      <pivotArea dataOnly="0" labelOnly="1" outline="0" fieldPosition="0">
        <references count="1">
          <reference field="4294967294" count="6">
            <x v="16"/>
            <x v="17"/>
            <x v="18"/>
            <x v="19"/>
            <x v="20"/>
            <x v="21"/>
          </reference>
        </references>
      </pivotArea>
    </format>
    <format dxfId="867">
      <pivotArea type="all" dataOnly="0" outline="0" fieldPosition="0"/>
    </format>
    <format dxfId="866">
      <pivotArea outline="0" collapsedLevelsAreSubtotals="1" fieldPosition="0"/>
    </format>
    <format dxfId="865">
      <pivotArea field="2" type="button" dataOnly="0" labelOnly="1" outline="0" axis="axisRow" fieldPosition="0"/>
    </format>
    <format dxfId="864">
      <pivotArea dataOnly="0" labelOnly="1" fieldPosition="0">
        <references count="1">
          <reference field="2" count="0"/>
        </references>
      </pivotArea>
    </format>
    <format dxfId="863">
      <pivotArea dataOnly="0" labelOnly="1" grandRow="1" outline="0" fieldPosition="0"/>
    </format>
    <format dxfId="862">
      <pivotArea dataOnly="0" labelOnly="1" outline="0" fieldPosition="0">
        <references count="1">
          <reference field="4294967294" count="22">
            <x v="0"/>
            <x v="1"/>
            <x v="2"/>
            <x v="3"/>
            <x v="4"/>
            <x v="5"/>
            <x v="6"/>
            <x v="7"/>
            <x v="8"/>
            <x v="9"/>
            <x v="10"/>
            <x v="11"/>
            <x v="12"/>
            <x v="13"/>
            <x v="14"/>
            <x v="15"/>
            <x v="16"/>
            <x v="17"/>
            <x v="18"/>
            <x v="19"/>
            <x v="20"/>
            <x v="21"/>
          </reference>
        </references>
      </pivotArea>
    </format>
    <format dxfId="861">
      <pivotArea dataOnly="0" labelOnly="1" outline="0" fieldPosition="0">
        <references count="1">
          <reference field="4294967294" count="14">
            <x v="2"/>
            <x v="3"/>
            <x v="4"/>
            <x v="5"/>
            <x v="6"/>
            <x v="7"/>
            <x v="8"/>
            <x v="9"/>
            <x v="10"/>
            <x v="11"/>
            <x v="12"/>
            <x v="13"/>
            <x v="14"/>
            <x v="15"/>
          </reference>
        </references>
      </pivotArea>
    </format>
    <format dxfId="860">
      <pivotArea dataOnly="0" labelOnly="1" outline="0" fieldPosition="0">
        <references count="1">
          <reference field="4294967294" count="5">
            <x v="17"/>
            <x v="18"/>
            <x v="19"/>
            <x v="20"/>
            <x v="21"/>
          </reference>
        </references>
      </pivotArea>
    </format>
    <format dxfId="859">
      <pivotArea field="2" type="button" dataOnly="0" labelOnly="1" outline="0" axis="axisRow" fieldPosition="0"/>
    </format>
    <format dxfId="858">
      <pivotArea dataOnly="0" labelOnly="1" outline="0" fieldPosition="0">
        <references count="1">
          <reference field="4294967294" count="22">
            <x v="0"/>
            <x v="1"/>
            <x v="2"/>
            <x v="3"/>
            <x v="4"/>
            <x v="5"/>
            <x v="6"/>
            <x v="7"/>
            <x v="8"/>
            <x v="9"/>
            <x v="10"/>
            <x v="11"/>
            <x v="12"/>
            <x v="13"/>
            <x v="14"/>
            <x v="15"/>
            <x v="16"/>
            <x v="17"/>
            <x v="18"/>
            <x v="19"/>
            <x v="20"/>
            <x v="21"/>
          </reference>
        </references>
      </pivotArea>
    </format>
    <format dxfId="857">
      <pivotArea dataOnly="0" labelOnly="1" outline="0" fieldPosition="0">
        <references count="1">
          <reference field="4294967294" count="22">
            <x v="0"/>
            <x v="1"/>
            <x v="2"/>
            <x v="3"/>
            <x v="4"/>
            <x v="5"/>
            <x v="6"/>
            <x v="7"/>
            <x v="8"/>
            <x v="9"/>
            <x v="10"/>
            <x v="11"/>
            <x v="12"/>
            <x v="13"/>
            <x v="14"/>
            <x v="15"/>
            <x v="16"/>
            <x v="17"/>
            <x v="18"/>
            <x v="19"/>
            <x v="20"/>
            <x v="21"/>
          </reference>
        </references>
      </pivotArea>
    </format>
    <format dxfId="856">
      <pivotArea field="2" type="button" dataOnly="0" labelOnly="1" outline="0" axis="axisRow" fieldPosition="0"/>
    </format>
    <format dxfId="855">
      <pivotArea type="all" dataOnly="0" outline="0" fieldPosition="0"/>
    </format>
    <format dxfId="854">
      <pivotArea outline="0" collapsedLevelsAreSubtotals="1" fieldPosition="0"/>
    </format>
    <format dxfId="853">
      <pivotArea field="2" type="button" dataOnly="0" labelOnly="1" outline="0" axis="axisRow" fieldPosition="0"/>
    </format>
    <format dxfId="852">
      <pivotArea dataOnly="0" labelOnly="1" fieldPosition="0">
        <references count="1">
          <reference field="2" count="0"/>
        </references>
      </pivotArea>
    </format>
    <format dxfId="851">
      <pivotArea dataOnly="0" labelOnly="1" grandRow="1" outline="0" fieldPosition="0"/>
    </format>
    <format dxfId="850">
      <pivotArea dataOnly="0" labelOnly="1" fieldPosition="0">
        <references count="2">
          <reference field="1" count="1">
            <x v="48"/>
          </reference>
          <reference field="2" count="1" selected="0">
            <x v="6"/>
          </reference>
        </references>
      </pivotArea>
    </format>
    <format dxfId="849">
      <pivotArea dataOnly="0" labelOnly="1" outline="0" fieldPosition="0">
        <references count="1">
          <reference field="4294967294" count="22">
            <x v="0"/>
            <x v="1"/>
            <x v="2"/>
            <x v="3"/>
            <x v="4"/>
            <x v="5"/>
            <x v="6"/>
            <x v="7"/>
            <x v="8"/>
            <x v="9"/>
            <x v="10"/>
            <x v="11"/>
            <x v="12"/>
            <x v="13"/>
            <x v="14"/>
            <x v="15"/>
            <x v="16"/>
            <x v="17"/>
            <x v="18"/>
            <x v="19"/>
            <x v="20"/>
            <x v="21"/>
          </reference>
        </references>
      </pivotArea>
    </format>
    <format dxfId="848">
      <pivotArea type="all" dataOnly="0" outline="0" fieldPosition="0"/>
    </format>
    <format dxfId="847">
      <pivotArea outline="0" collapsedLevelsAreSubtotals="1" fieldPosition="0"/>
    </format>
    <format dxfId="846">
      <pivotArea field="2" type="button" dataOnly="0" labelOnly="1" outline="0" axis="axisRow" fieldPosition="0"/>
    </format>
    <format dxfId="845">
      <pivotArea dataOnly="0" labelOnly="1" fieldPosition="0">
        <references count="1">
          <reference field="2" count="0"/>
        </references>
      </pivotArea>
    </format>
    <format dxfId="844">
      <pivotArea dataOnly="0" labelOnly="1" grandRow="1" outline="0" fieldPosition="0"/>
    </format>
    <format dxfId="843">
      <pivotArea dataOnly="0" labelOnly="1" fieldPosition="0">
        <references count="2">
          <reference field="1" count="1">
            <x v="48"/>
          </reference>
          <reference field="2" count="1" selected="0">
            <x v="6"/>
          </reference>
        </references>
      </pivotArea>
    </format>
    <format dxfId="842">
      <pivotArea dataOnly="0" labelOnly="1" outline="0" fieldPosition="0">
        <references count="1">
          <reference field="4294967294" count="22">
            <x v="0"/>
            <x v="1"/>
            <x v="2"/>
            <x v="3"/>
            <x v="4"/>
            <x v="5"/>
            <x v="6"/>
            <x v="7"/>
            <x v="8"/>
            <x v="9"/>
            <x v="10"/>
            <x v="11"/>
            <x v="12"/>
            <x v="13"/>
            <x v="14"/>
            <x v="15"/>
            <x v="16"/>
            <x v="17"/>
            <x v="18"/>
            <x v="19"/>
            <x v="20"/>
            <x v="2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5812A2-CD93-4D38-B2D0-AA6DE1832F2C}" name="PivotTable4" cacheId="13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5:E25" firstHeaderRow="0" firstDataRow="1" firstDataCol="1"/>
  <pivotFields count="7">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x="6"/>
        <item sd="0" x="7"/>
        <item t="default" sd="0"/>
      </items>
    </pivotField>
    <pivotField showAll="0"/>
    <pivotField dataField="1" showAll="0"/>
    <pivotField dataField="1" showAll="0"/>
    <pivotField dataField="1" showAll="0"/>
    <pivotField dataField="1" showAll="0"/>
  </pivotFields>
  <rowFields count="2">
    <field x="1"/>
    <field x="0"/>
  </rowFields>
  <rowItems count="10">
    <i>
      <x/>
    </i>
    <i>
      <x v="1"/>
    </i>
    <i>
      <x v="2"/>
    </i>
    <i>
      <x v="3"/>
    </i>
    <i>
      <x v="4"/>
    </i>
    <i>
      <x v="5"/>
    </i>
    <i>
      <x v="6"/>
    </i>
    <i r="1">
      <x v="48"/>
    </i>
    <i>
      <x v="7"/>
    </i>
    <i t="grand">
      <x/>
    </i>
  </rowItems>
  <colFields count="1">
    <field x="-2"/>
  </colFields>
  <colItems count="4">
    <i>
      <x/>
    </i>
    <i i="1">
      <x v="1"/>
    </i>
    <i i="2">
      <x v="2"/>
    </i>
    <i i="3">
      <x v="3"/>
    </i>
  </colItems>
  <dataFields count="4">
    <dataField name="Sum of 1. Agreed" fld="3" baseField="0" baseItem="0"/>
    <dataField name="Sum of 2. Agree but with futher comments" fld="4" baseField="0" baseItem="0"/>
    <dataField name="Sum of 3. Disagreed" fld="5" baseField="0" baseItem="0"/>
    <dataField name="Sum of Total" fld="6" baseField="0" baseItem="0"/>
  </dataFields>
  <formats count="32">
    <format dxfId="841">
      <pivotArea field="1" type="button" dataOnly="0" labelOnly="1" outline="0" axis="axisRow" fieldPosition="0"/>
    </format>
    <format dxfId="840">
      <pivotArea dataOnly="0" labelOnly="1" outline="0" fieldPosition="0">
        <references count="1">
          <reference field="4294967294" count="4">
            <x v="0"/>
            <x v="1"/>
            <x v="2"/>
            <x v="3"/>
          </reference>
        </references>
      </pivotArea>
    </format>
    <format dxfId="839">
      <pivotArea type="all" dataOnly="0" outline="0" fieldPosition="0"/>
    </format>
    <format dxfId="838">
      <pivotArea outline="0" collapsedLevelsAreSubtotals="1" fieldPosition="0"/>
    </format>
    <format dxfId="837">
      <pivotArea field="1" type="button" dataOnly="0" labelOnly="1" outline="0" axis="axisRow" fieldPosition="0"/>
    </format>
    <format dxfId="836">
      <pivotArea dataOnly="0" labelOnly="1" fieldPosition="0">
        <references count="1">
          <reference field="1" count="0"/>
        </references>
      </pivotArea>
    </format>
    <format dxfId="835">
      <pivotArea dataOnly="0" labelOnly="1" grandRow="1" outline="0" fieldPosition="0"/>
    </format>
    <format dxfId="834">
      <pivotArea dataOnly="0" labelOnly="1" outline="0" fieldPosition="0">
        <references count="1">
          <reference field="4294967294" count="4">
            <x v="0"/>
            <x v="1"/>
            <x v="2"/>
            <x v="3"/>
          </reference>
        </references>
      </pivotArea>
    </format>
    <format dxfId="833">
      <pivotArea type="all" dataOnly="0" outline="0" fieldPosition="0"/>
    </format>
    <format dxfId="832">
      <pivotArea field="1" type="button" dataOnly="0" labelOnly="1" outline="0" axis="axisRow" fieldPosition="0"/>
    </format>
    <format dxfId="831">
      <pivotArea dataOnly="0" labelOnly="1" outline="0" fieldPosition="0">
        <references count="1">
          <reference field="4294967294" count="4">
            <x v="0"/>
            <x v="1"/>
            <x v="2"/>
            <x v="3"/>
          </reference>
        </references>
      </pivotArea>
    </format>
    <format dxfId="830">
      <pivotArea type="all" dataOnly="0" outline="0" fieldPosition="0"/>
    </format>
    <format dxfId="829">
      <pivotArea outline="0" collapsedLevelsAreSubtotals="1" fieldPosition="0"/>
    </format>
    <format dxfId="828">
      <pivotArea field="1" type="button" dataOnly="0" labelOnly="1" outline="0" axis="axisRow" fieldPosition="0"/>
    </format>
    <format dxfId="827">
      <pivotArea dataOnly="0" labelOnly="1" fieldPosition="0">
        <references count="1">
          <reference field="1" count="0"/>
        </references>
      </pivotArea>
    </format>
    <format dxfId="826">
      <pivotArea dataOnly="0" labelOnly="1" grandRow="1" outline="0" fieldPosition="0"/>
    </format>
    <format dxfId="825">
      <pivotArea dataOnly="0" labelOnly="1" outline="0" fieldPosition="0">
        <references count="1">
          <reference field="4294967294" count="4">
            <x v="0"/>
            <x v="1"/>
            <x v="2"/>
            <x v="3"/>
          </reference>
        </references>
      </pivotArea>
    </format>
    <format dxfId="824">
      <pivotArea dataOnly="0" labelOnly="1" outline="0" fieldPosition="0">
        <references count="1">
          <reference field="4294967294" count="1">
            <x v="0"/>
          </reference>
        </references>
      </pivotArea>
    </format>
    <format dxfId="823">
      <pivotArea dataOnly="0" labelOnly="1" outline="0" fieldPosition="0">
        <references count="1">
          <reference field="4294967294" count="1">
            <x v="1"/>
          </reference>
        </references>
      </pivotArea>
    </format>
    <format dxfId="822">
      <pivotArea dataOnly="0" labelOnly="1" outline="0" fieldPosition="0">
        <references count="1">
          <reference field="4294967294" count="1">
            <x v="2"/>
          </reference>
        </references>
      </pivotArea>
    </format>
    <format dxfId="821">
      <pivotArea dataOnly="0" labelOnly="1" outline="0" fieldPosition="0">
        <references count="1">
          <reference field="4294967294" count="1">
            <x v="0"/>
          </reference>
        </references>
      </pivotArea>
    </format>
    <format dxfId="820">
      <pivotArea dataOnly="0" labelOnly="1" outline="0" fieldPosition="0">
        <references count="1">
          <reference field="4294967294" count="1">
            <x v="1"/>
          </reference>
        </references>
      </pivotArea>
    </format>
    <format dxfId="819">
      <pivotArea dataOnly="0" labelOnly="1" outline="0" fieldPosition="0">
        <references count="1">
          <reference field="4294967294" count="1">
            <x v="2"/>
          </reference>
        </references>
      </pivotArea>
    </format>
    <format dxfId="818">
      <pivotArea dataOnly="0" labelOnly="1" outline="0" fieldPosition="0">
        <references count="1">
          <reference field="4294967294" count="1">
            <x v="3"/>
          </reference>
        </references>
      </pivotArea>
    </format>
    <format dxfId="817">
      <pivotArea field="1" type="button" dataOnly="0" labelOnly="1" outline="0" axis="axisRow" fieldPosition="0"/>
    </format>
    <format dxfId="816">
      <pivotArea type="all" dataOnly="0" outline="0" fieldPosition="0"/>
    </format>
    <format dxfId="815">
      <pivotArea outline="0" collapsedLevelsAreSubtotals="1" fieldPosition="0"/>
    </format>
    <format dxfId="814">
      <pivotArea field="1" type="button" dataOnly="0" labelOnly="1" outline="0" axis="axisRow" fieldPosition="0"/>
    </format>
    <format dxfId="813">
      <pivotArea dataOnly="0" labelOnly="1" fieldPosition="0">
        <references count="1">
          <reference field="1" count="0"/>
        </references>
      </pivotArea>
    </format>
    <format dxfId="812">
      <pivotArea dataOnly="0" labelOnly="1" grandRow="1" outline="0" fieldPosition="0"/>
    </format>
    <format dxfId="811">
      <pivotArea dataOnly="0" labelOnly="1" fieldPosition="0">
        <references count="2">
          <reference field="0" count="1">
            <x v="48"/>
          </reference>
          <reference field="1" count="1" selected="0">
            <x v="6"/>
          </reference>
        </references>
      </pivotArea>
    </format>
    <format dxfId="81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9E8D58-510F-44C3-8B3A-9CAB0C3197BF}" name="PivotTable6" cacheId="12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5:K24" firstHeaderRow="0" firstDataRow="1" firstDataCol="1"/>
  <pivotFields count="14">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sd="0" x="6"/>
        <item sd="0" x="7"/>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10">
    <i>
      <x/>
    </i>
    <i i="1">
      <x v="1"/>
    </i>
    <i i="2">
      <x v="2"/>
    </i>
    <i i="3">
      <x v="3"/>
    </i>
    <i i="4">
      <x v="4"/>
    </i>
    <i i="5">
      <x v="5"/>
    </i>
    <i i="6">
      <x v="6"/>
    </i>
    <i i="7">
      <x v="7"/>
    </i>
    <i i="8">
      <x v="8"/>
    </i>
    <i i="9">
      <x v="9"/>
    </i>
  </colItems>
  <dataFields count="10">
    <dataField name="Sum of 1. Agreed" fld="4" baseField="0" baseItem="0"/>
    <dataField name="Sum of 2. Agree but with futher comments" fld="5" baseField="0" baseItem="0"/>
    <dataField name="Sum of Differentiate preparer and practitioner material" fld="6" baseField="0" baseItem="0"/>
    <dataField name="Sum of Digitalize presentation including use of hyperlinks" fld="7" baseField="0" baseItem="0"/>
    <dataField name="Sum of Examples and diagrams" fld="8" baseField="0" baseItem="0"/>
    <dataField name="Sum of Guidance complex and conceptual" fld="9" baseField="0" baseItem="0"/>
    <dataField name="Sum of Length of guidance" fld="10" baseField="0" baseItem="0"/>
    <dataField name="Sum of Repetition of ISAE 3000 material" fld="11" baseField="0" baseItem="0"/>
    <dataField name="Sum of Terminology" fld="12" baseField="0" baseItem="0"/>
    <dataField name="Sum of 3. Disagreed" fld="13" baseField="0" baseItem="0"/>
  </dataFields>
  <formats count="29">
    <format dxfId="809">
      <pivotArea type="all" dataOnly="0" outline="0" fieldPosition="0"/>
    </format>
    <format dxfId="808">
      <pivotArea outline="0" collapsedLevelsAreSubtotals="1" fieldPosition="0"/>
    </format>
    <format dxfId="807">
      <pivotArea field="2" type="button" dataOnly="0" labelOnly="1" outline="0" axis="axisRow" fieldPosition="0"/>
    </format>
    <format dxfId="806">
      <pivotArea dataOnly="0" labelOnly="1" fieldPosition="0">
        <references count="1">
          <reference field="2" count="0"/>
        </references>
      </pivotArea>
    </format>
    <format dxfId="805">
      <pivotArea dataOnly="0" labelOnly="1" grandRow="1" outline="0" fieldPosition="0"/>
    </format>
    <format dxfId="804">
      <pivotArea dataOnly="0" labelOnly="1" outline="0" fieldPosition="0">
        <references count="1">
          <reference field="4294967294" count="10">
            <x v="0"/>
            <x v="1"/>
            <x v="2"/>
            <x v="3"/>
            <x v="4"/>
            <x v="5"/>
            <x v="6"/>
            <x v="7"/>
            <x v="8"/>
            <x v="9"/>
          </reference>
        </references>
      </pivotArea>
    </format>
    <format dxfId="803">
      <pivotArea type="all" dataOnly="0" outline="0" fieldPosition="0"/>
    </format>
    <format dxfId="802">
      <pivotArea outline="0" collapsedLevelsAreSubtotals="1" fieldPosition="0"/>
    </format>
    <format dxfId="801">
      <pivotArea field="2" type="button" dataOnly="0" labelOnly="1" outline="0" axis="axisRow" fieldPosition="0"/>
    </format>
    <format dxfId="800">
      <pivotArea dataOnly="0" labelOnly="1" fieldPosition="0">
        <references count="1">
          <reference field="2" count="0"/>
        </references>
      </pivotArea>
    </format>
    <format dxfId="799">
      <pivotArea dataOnly="0" labelOnly="1" grandRow="1" outline="0" fieldPosition="0"/>
    </format>
    <format dxfId="798">
      <pivotArea dataOnly="0" labelOnly="1" outline="0" fieldPosition="0">
        <references count="1">
          <reference field="4294967294" count="10">
            <x v="0"/>
            <x v="1"/>
            <x v="2"/>
            <x v="3"/>
            <x v="4"/>
            <x v="5"/>
            <x v="6"/>
            <x v="7"/>
            <x v="8"/>
            <x v="9"/>
          </reference>
        </references>
      </pivotArea>
    </format>
    <format dxfId="797">
      <pivotArea dataOnly="0" labelOnly="1" outline="0" fieldPosition="0">
        <references count="1">
          <reference field="4294967294" count="1">
            <x v="0"/>
          </reference>
        </references>
      </pivotArea>
    </format>
    <format dxfId="796">
      <pivotArea dataOnly="0" labelOnly="1" outline="0" fieldPosition="0">
        <references count="1">
          <reference field="4294967294" count="8">
            <x v="1"/>
            <x v="2"/>
            <x v="3"/>
            <x v="4"/>
            <x v="5"/>
            <x v="6"/>
            <x v="7"/>
            <x v="8"/>
          </reference>
        </references>
      </pivotArea>
    </format>
    <format dxfId="795">
      <pivotArea dataOnly="0" labelOnly="1" outline="0" fieldPosition="0">
        <references count="1">
          <reference field="4294967294" count="8">
            <x v="1"/>
            <x v="2"/>
            <x v="3"/>
            <x v="4"/>
            <x v="5"/>
            <x v="6"/>
            <x v="7"/>
            <x v="8"/>
          </reference>
        </references>
      </pivotArea>
    </format>
    <format dxfId="794">
      <pivotArea dataOnly="0" labelOnly="1" outline="0" fieldPosition="0">
        <references count="1">
          <reference field="4294967294" count="7">
            <x v="2"/>
            <x v="3"/>
            <x v="4"/>
            <x v="5"/>
            <x v="6"/>
            <x v="7"/>
            <x v="8"/>
          </reference>
        </references>
      </pivotArea>
    </format>
    <format dxfId="793">
      <pivotArea dataOnly="0" labelOnly="1" outline="0" fieldPosition="0">
        <references count="1">
          <reference field="4294967294" count="1">
            <x v="9"/>
          </reference>
        </references>
      </pivotArea>
    </format>
    <format dxfId="792">
      <pivotArea field="2" type="button" dataOnly="0" labelOnly="1" outline="0" axis="axisRow" fieldPosition="0"/>
    </format>
    <format dxfId="791">
      <pivotArea dataOnly="0" labelOnly="1" outline="0" fieldPosition="0">
        <references count="1">
          <reference field="4294967294" count="10">
            <x v="0"/>
            <x v="1"/>
            <x v="2"/>
            <x v="3"/>
            <x v="4"/>
            <x v="5"/>
            <x v="6"/>
            <x v="7"/>
            <x v="8"/>
            <x v="9"/>
          </reference>
        </references>
      </pivotArea>
    </format>
    <format dxfId="790">
      <pivotArea type="all" dataOnly="0" outline="0" fieldPosition="0"/>
    </format>
    <format dxfId="789">
      <pivotArea outline="0" collapsedLevelsAreSubtotals="1" fieldPosition="0"/>
    </format>
    <format dxfId="788">
      <pivotArea field="2" type="button" dataOnly="0" labelOnly="1" outline="0" axis="axisRow" fieldPosition="0"/>
    </format>
    <format dxfId="787">
      <pivotArea dataOnly="0" labelOnly="1" fieldPosition="0">
        <references count="1">
          <reference field="2" count="0"/>
        </references>
      </pivotArea>
    </format>
    <format dxfId="786">
      <pivotArea dataOnly="0" labelOnly="1" grandRow="1" outline="0" fieldPosition="0"/>
    </format>
    <format dxfId="785">
      <pivotArea dataOnly="0" labelOnly="1" outline="0" fieldPosition="0">
        <references count="1">
          <reference field="4294967294" count="10">
            <x v="0"/>
            <x v="1"/>
            <x v="2"/>
            <x v="3"/>
            <x v="4"/>
            <x v="5"/>
            <x v="6"/>
            <x v="7"/>
            <x v="8"/>
            <x v="9"/>
          </reference>
        </references>
      </pivotArea>
    </format>
    <format dxfId="784">
      <pivotArea field="2" type="button" dataOnly="0" labelOnly="1" outline="0" axis="axisRow" fieldPosition="0"/>
    </format>
    <format dxfId="783">
      <pivotArea dataOnly="0" labelOnly="1" outline="0" fieldPosition="0">
        <references count="1">
          <reference field="4294967294" count="10">
            <x v="0"/>
            <x v="1"/>
            <x v="2"/>
            <x v="3"/>
            <x v="4"/>
            <x v="5"/>
            <x v="6"/>
            <x v="7"/>
            <x v="8"/>
            <x v="9"/>
          </reference>
        </references>
      </pivotArea>
    </format>
    <format dxfId="782">
      <pivotArea dataOnly="0" labelOnly="1" outline="0" fieldPosition="0">
        <references count="1">
          <reference field="4294967294" count="10">
            <x v="0"/>
            <x v="1"/>
            <x v="2"/>
            <x v="3"/>
            <x v="4"/>
            <x v="5"/>
            <x v="6"/>
            <x v="7"/>
            <x v="8"/>
            <x v="9"/>
          </reference>
        </references>
      </pivotArea>
    </format>
    <format dxfId="781">
      <pivotArea field="2"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D5B516-2A3E-4977-8029-69ABDAADB94C}" name="PivotTable8" cacheId="12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5:E24" firstHeaderRow="0" firstDataRow="1" firstDataCol="1"/>
  <pivotFields count="8">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sd="0" x="6"/>
        <item sd="0" x="7"/>
        <item t="default" sd="0"/>
      </items>
    </pivotField>
    <pivotField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4">
    <i>
      <x/>
    </i>
    <i i="1">
      <x v="1"/>
    </i>
    <i i="2">
      <x v="2"/>
    </i>
    <i i="3">
      <x v="3"/>
    </i>
  </colItems>
  <dataFields count="4">
    <dataField name="Sum of 1. Supports proposed structure" fld="4" baseField="0" baseItem="0"/>
    <dataField name="Sum of 2. Support proposed structure with suggestions for improvement" fld="5" baseField="0" baseItem="0"/>
    <dataField name="Sum of 3. Does not support proposed structure" fld="6" baseField="0" baseItem="0"/>
    <dataField name="Sum of Total" fld="7" baseField="0" baseItem="0"/>
  </dataFields>
  <formats count="36">
    <format dxfId="780">
      <pivotArea field="2" type="button" dataOnly="0" labelOnly="1" outline="0" axis="axisRow" fieldPosition="0"/>
    </format>
    <format dxfId="779">
      <pivotArea dataOnly="0" labelOnly="1" outline="0" fieldPosition="0">
        <references count="1">
          <reference field="4294967294" count="4">
            <x v="0"/>
            <x v="1"/>
            <x v="2"/>
            <x v="3"/>
          </reference>
        </references>
      </pivotArea>
    </format>
    <format dxfId="778">
      <pivotArea type="all" dataOnly="0" outline="0" fieldPosition="0"/>
    </format>
    <format dxfId="777">
      <pivotArea outline="0" collapsedLevelsAreSubtotals="1" fieldPosition="0"/>
    </format>
    <format dxfId="776">
      <pivotArea field="2" type="button" dataOnly="0" labelOnly="1" outline="0" axis="axisRow" fieldPosition="0"/>
    </format>
    <format dxfId="775">
      <pivotArea dataOnly="0" labelOnly="1" fieldPosition="0">
        <references count="1">
          <reference field="2" count="0"/>
        </references>
      </pivotArea>
    </format>
    <format dxfId="774">
      <pivotArea dataOnly="0" labelOnly="1" grandRow="1" outline="0" fieldPosition="0"/>
    </format>
    <format dxfId="773">
      <pivotArea dataOnly="0" labelOnly="1" outline="0" fieldPosition="0">
        <references count="1">
          <reference field="4294967294" count="4">
            <x v="0"/>
            <x v="1"/>
            <x v="2"/>
            <x v="3"/>
          </reference>
        </references>
      </pivotArea>
    </format>
    <format dxfId="772">
      <pivotArea type="all" dataOnly="0" outline="0" fieldPosition="0"/>
    </format>
    <format dxfId="771">
      <pivotArea outline="0" collapsedLevelsAreSubtotals="1" fieldPosition="0"/>
    </format>
    <format dxfId="770">
      <pivotArea field="2" type="button" dataOnly="0" labelOnly="1" outline="0" axis="axisRow" fieldPosition="0"/>
    </format>
    <format dxfId="769">
      <pivotArea dataOnly="0" labelOnly="1" fieldPosition="0">
        <references count="1">
          <reference field="2" count="0"/>
        </references>
      </pivotArea>
    </format>
    <format dxfId="768">
      <pivotArea dataOnly="0" labelOnly="1" grandRow="1" outline="0" fieldPosition="0"/>
    </format>
    <format dxfId="767">
      <pivotArea dataOnly="0" labelOnly="1" outline="0" fieldPosition="0">
        <references count="1">
          <reference field="4294967294" count="4">
            <x v="0"/>
            <x v="1"/>
            <x v="2"/>
            <x v="3"/>
          </reference>
        </references>
      </pivotArea>
    </format>
    <format dxfId="766">
      <pivotArea dataOnly="0" labelOnly="1" outline="0" fieldPosition="0">
        <references count="1">
          <reference field="4294967294" count="1">
            <x v="0"/>
          </reference>
        </references>
      </pivotArea>
    </format>
    <format dxfId="765">
      <pivotArea dataOnly="0" labelOnly="1" outline="0" fieldPosition="0">
        <references count="1">
          <reference field="4294967294" count="1">
            <x v="1"/>
          </reference>
        </references>
      </pivotArea>
    </format>
    <format dxfId="764">
      <pivotArea dataOnly="0" labelOnly="1" outline="0" fieldPosition="0">
        <references count="1">
          <reference field="4294967294" count="1">
            <x v="2"/>
          </reference>
        </references>
      </pivotArea>
    </format>
    <format dxfId="763">
      <pivotArea type="all" dataOnly="0" outline="0" fieldPosition="0"/>
    </format>
    <format dxfId="762">
      <pivotArea outline="0" collapsedLevelsAreSubtotals="1" fieldPosition="0"/>
    </format>
    <format dxfId="761">
      <pivotArea field="2" type="button" dataOnly="0" labelOnly="1" outline="0" axis="axisRow" fieldPosition="0"/>
    </format>
    <format dxfId="760">
      <pivotArea dataOnly="0" labelOnly="1" fieldPosition="0">
        <references count="1">
          <reference field="2" count="0"/>
        </references>
      </pivotArea>
    </format>
    <format dxfId="759">
      <pivotArea dataOnly="0" labelOnly="1" grandRow="1" outline="0" fieldPosition="0"/>
    </format>
    <format dxfId="758">
      <pivotArea dataOnly="0" labelOnly="1" outline="0" fieldPosition="0">
        <references count="1">
          <reference field="4294967294" count="4">
            <x v="0"/>
            <x v="1"/>
            <x v="2"/>
            <x v="3"/>
          </reference>
        </references>
      </pivotArea>
    </format>
    <format dxfId="757">
      <pivotArea dataOnly="0" labelOnly="1" outline="0" fieldPosition="0">
        <references count="1">
          <reference field="4294967294" count="4">
            <x v="0"/>
            <x v="1"/>
            <x v="2"/>
            <x v="3"/>
          </reference>
        </references>
      </pivotArea>
    </format>
    <format dxfId="756">
      <pivotArea field="2" type="button" dataOnly="0" labelOnly="1" outline="0" axis="axisRow" fieldPosition="0"/>
    </format>
    <format dxfId="755">
      <pivotArea type="all" dataOnly="0" outline="0" fieldPosition="0"/>
    </format>
    <format dxfId="754">
      <pivotArea outline="0" collapsedLevelsAreSubtotals="1" fieldPosition="0"/>
    </format>
    <format dxfId="753">
      <pivotArea field="2" type="button" dataOnly="0" labelOnly="1" outline="0" axis="axisRow" fieldPosition="0"/>
    </format>
    <format dxfId="752">
      <pivotArea dataOnly="0" labelOnly="1" fieldPosition="0">
        <references count="1">
          <reference field="2" count="0"/>
        </references>
      </pivotArea>
    </format>
    <format dxfId="751">
      <pivotArea dataOnly="0" labelOnly="1" grandRow="1" outline="0" fieldPosition="0"/>
    </format>
    <format dxfId="750">
      <pivotArea dataOnly="0" labelOnly="1" fieldPosition="0">
        <references count="2">
          <reference field="1" count="1">
            <x v="0"/>
          </reference>
          <reference field="2" count="1" selected="0">
            <x v="0"/>
          </reference>
        </references>
      </pivotArea>
    </format>
    <format dxfId="749">
      <pivotArea dataOnly="0" labelOnly="1" fieldPosition="0">
        <references count="2">
          <reference field="1" count="2">
            <x v="1"/>
            <x v="2"/>
          </reference>
          <reference field="2" count="1" selected="0">
            <x v="1"/>
          </reference>
        </references>
      </pivotArea>
    </format>
    <format dxfId="748">
      <pivotArea dataOnly="0" labelOnly="1" fieldPosition="0">
        <references count="2">
          <reference field="1" count="8">
            <x v="3"/>
            <x v="4"/>
            <x v="5"/>
            <x v="6"/>
            <x v="7"/>
            <x v="8"/>
            <x v="9"/>
            <x v="10"/>
          </reference>
          <reference field="2" count="1" selected="0">
            <x v="2"/>
          </reference>
        </references>
      </pivotArea>
    </format>
    <format dxfId="747">
      <pivotArea dataOnly="0" labelOnly="1" fieldPosition="0">
        <references count="2">
          <reference field="1" count="8">
            <x v="11"/>
            <x v="12"/>
            <x v="13"/>
            <x v="14"/>
            <x v="15"/>
            <x v="16"/>
            <x v="17"/>
            <x v="18"/>
          </reference>
          <reference field="2" count="1" selected="0">
            <x v="3"/>
          </reference>
        </references>
      </pivotArea>
    </format>
    <format dxfId="746">
      <pivotArea dataOnly="0" labelOnly="1" fieldPosition="0">
        <references count="2">
          <reference field="1" count="28">
            <x v="20"/>
            <x v="21"/>
            <x v="22"/>
            <x v="23"/>
            <x v="24"/>
            <x v="25"/>
            <x v="26"/>
            <x v="27"/>
            <x v="28"/>
            <x v="29"/>
            <x v="30"/>
            <x v="31"/>
            <x v="32"/>
            <x v="33"/>
            <x v="34"/>
            <x v="35"/>
            <x v="36"/>
            <x v="37"/>
            <x v="38"/>
            <x v="39"/>
            <x v="40"/>
            <x v="41"/>
            <x v="42"/>
            <x v="43"/>
            <x v="44"/>
            <x v="45"/>
            <x v="46"/>
            <x v="47"/>
          </reference>
          <reference field="2" count="1" selected="0">
            <x v="5"/>
          </reference>
        </references>
      </pivotArea>
    </format>
    <format dxfId="74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B441E4-AA06-466C-AD0A-C23F92EA3747}" name="PivotTable10" cacheId="11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5:L24" firstHeaderRow="0" firstDataRow="1" firstDataCol="1"/>
  <pivotFields count="15">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sd="0" x="6"/>
        <item sd="0" x="7"/>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11">
    <i>
      <x/>
    </i>
    <i i="1">
      <x v="1"/>
    </i>
    <i i="2">
      <x v="2"/>
    </i>
    <i i="3">
      <x v="3"/>
    </i>
    <i i="4">
      <x v="4"/>
    </i>
    <i i="5">
      <x v="5"/>
    </i>
    <i i="6">
      <x v="6"/>
    </i>
    <i i="7">
      <x v="7"/>
    </i>
    <i i="8">
      <x v="8"/>
    </i>
    <i i="9">
      <x v="9"/>
    </i>
    <i i="10">
      <x v="10"/>
    </i>
  </colItems>
  <dataFields count="11">
    <dataField name="Sum of 1. Supports proposed structure" fld="4" baseField="0" baseItem="0"/>
    <dataField name="Sum of 2. Support proposed structure with suggestions for improvement" fld="5" baseField="0" baseItem="0"/>
    <dataField name="Sum of Assess proposed structure after phase  2 completed" fld="6" baseField="0" baseItem="0"/>
    <dataField name="Sum of Clarify purpose of guidance" fld="7" baseField="0" baseItem="0"/>
    <dataField name="Sum of Differentiate ISAE 3000 requirements or application material from guidance material" fld="8" baseField="0" baseItem="0"/>
    <dataField name="Sum of Differentiate preparer and practitioner guidance" fld="9" baseField="0" baseItem="0"/>
    <dataField name="Sum of Examples in a separate appendix" fld="10" baseField="0" baseItem="0"/>
    <dataField name="Sum of Flow chart or signposting to navigate through guidance" fld="11" baseField="0" baseItem="0"/>
    <dataField name="Sum of Linkages between chapters" fld="12" baseField="0" baseItem="0"/>
    <dataField name="Sum of Sequencing suggestions" fld="13" baseField="0" baseItem="0"/>
    <dataField name="Sum of 3. Does not support proposed structure" fld="14" baseField="0" baseItem="0"/>
  </dataFields>
  <formats count="40">
    <format dxfId="744">
      <pivotArea type="all" dataOnly="0" outline="0" fieldPosition="0"/>
    </format>
    <format dxfId="743">
      <pivotArea outline="0" collapsedLevelsAreSubtotals="1" fieldPosition="0"/>
    </format>
    <format dxfId="742">
      <pivotArea field="2" type="button" dataOnly="0" labelOnly="1" outline="0" axis="axisRow" fieldPosition="0"/>
    </format>
    <format dxfId="741">
      <pivotArea dataOnly="0" labelOnly="1" fieldPosition="0">
        <references count="1">
          <reference field="2" count="0"/>
        </references>
      </pivotArea>
    </format>
    <format dxfId="740">
      <pivotArea dataOnly="0" labelOnly="1" grandRow="1" outline="0" fieldPosition="0"/>
    </format>
    <format dxfId="739">
      <pivotArea dataOnly="0" labelOnly="1" outline="0" fieldPosition="0">
        <references count="1">
          <reference field="4294967294" count="11">
            <x v="0"/>
            <x v="1"/>
            <x v="2"/>
            <x v="3"/>
            <x v="4"/>
            <x v="5"/>
            <x v="6"/>
            <x v="7"/>
            <x v="8"/>
            <x v="9"/>
            <x v="10"/>
          </reference>
        </references>
      </pivotArea>
    </format>
    <format dxfId="738">
      <pivotArea type="all" dataOnly="0" outline="0" fieldPosition="0"/>
    </format>
    <format dxfId="737">
      <pivotArea outline="0" collapsedLevelsAreSubtotals="1" fieldPosition="0"/>
    </format>
    <format dxfId="736">
      <pivotArea field="2" type="button" dataOnly="0" labelOnly="1" outline="0" axis="axisRow" fieldPosition="0"/>
    </format>
    <format dxfId="735">
      <pivotArea dataOnly="0" labelOnly="1" fieldPosition="0">
        <references count="1">
          <reference field="2" count="0"/>
        </references>
      </pivotArea>
    </format>
    <format dxfId="734">
      <pivotArea dataOnly="0" labelOnly="1" grandRow="1" outline="0" fieldPosition="0"/>
    </format>
    <format dxfId="733">
      <pivotArea dataOnly="0" labelOnly="1" outline="0" fieldPosition="0">
        <references count="1">
          <reference field="4294967294" count="11">
            <x v="0"/>
            <x v="1"/>
            <x v="2"/>
            <x v="3"/>
            <x v="4"/>
            <x v="5"/>
            <x v="6"/>
            <x v="7"/>
            <x v="8"/>
            <x v="9"/>
            <x v="10"/>
          </reference>
        </references>
      </pivotArea>
    </format>
    <format dxfId="732">
      <pivotArea field="2" type="button" dataOnly="0" labelOnly="1" outline="0" axis="axisRow" fieldPosition="0"/>
    </format>
    <format dxfId="731">
      <pivotArea dataOnly="0" labelOnly="1" outline="0" fieldPosition="0">
        <references count="1">
          <reference field="4294967294" count="11">
            <x v="0"/>
            <x v="1"/>
            <x v="2"/>
            <x v="3"/>
            <x v="4"/>
            <x v="5"/>
            <x v="6"/>
            <x v="7"/>
            <x v="8"/>
            <x v="9"/>
            <x v="10"/>
          </reference>
        </references>
      </pivotArea>
    </format>
    <format dxfId="730">
      <pivotArea dataOnly="0" labelOnly="1" outline="0" fieldPosition="0">
        <references count="1">
          <reference field="4294967294" count="1">
            <x v="0"/>
          </reference>
        </references>
      </pivotArea>
    </format>
    <format dxfId="729">
      <pivotArea dataOnly="0" labelOnly="1" outline="0" fieldPosition="0">
        <references count="1">
          <reference field="4294967294" count="9">
            <x v="1"/>
            <x v="2"/>
            <x v="3"/>
            <x v="4"/>
            <x v="5"/>
            <x v="6"/>
            <x v="7"/>
            <x v="8"/>
            <x v="9"/>
          </reference>
        </references>
      </pivotArea>
    </format>
    <format dxfId="728">
      <pivotArea dataOnly="0" labelOnly="1" outline="0" fieldPosition="0">
        <references count="1">
          <reference field="4294967294" count="8">
            <x v="2"/>
            <x v="3"/>
            <x v="4"/>
            <x v="5"/>
            <x v="6"/>
            <x v="7"/>
            <x v="8"/>
            <x v="9"/>
          </reference>
        </references>
      </pivotArea>
    </format>
    <format dxfId="727">
      <pivotArea dataOnly="0" labelOnly="1" outline="0" fieldPosition="0">
        <references count="1">
          <reference field="4294967294" count="1">
            <x v="10"/>
          </reference>
        </references>
      </pivotArea>
    </format>
    <format dxfId="726">
      <pivotArea type="all" dataOnly="0" outline="0" fieldPosition="0"/>
    </format>
    <format dxfId="725">
      <pivotArea outline="0" collapsedLevelsAreSubtotals="1" fieldPosition="0"/>
    </format>
    <format dxfId="724">
      <pivotArea field="2" type="button" dataOnly="0" labelOnly="1" outline="0" axis="axisRow" fieldPosition="0"/>
    </format>
    <format dxfId="723">
      <pivotArea dataOnly="0" labelOnly="1" fieldPosition="0">
        <references count="1">
          <reference field="2" count="0"/>
        </references>
      </pivotArea>
    </format>
    <format dxfId="722">
      <pivotArea dataOnly="0" labelOnly="1" grandRow="1" outline="0" fieldPosition="0"/>
    </format>
    <format dxfId="721">
      <pivotArea dataOnly="0" labelOnly="1" outline="0" fieldPosition="0">
        <references count="1">
          <reference field="4294967294" count="11">
            <x v="0"/>
            <x v="1"/>
            <x v="2"/>
            <x v="3"/>
            <x v="4"/>
            <x v="5"/>
            <x v="6"/>
            <x v="7"/>
            <x v="8"/>
            <x v="9"/>
            <x v="10"/>
          </reference>
        </references>
      </pivotArea>
    </format>
    <format dxfId="720">
      <pivotArea field="2" type="button" dataOnly="0" labelOnly="1" outline="0" axis="axisRow" fieldPosition="0"/>
    </format>
    <format dxfId="719">
      <pivotArea dataOnly="0" labelOnly="1" outline="0" fieldPosition="0">
        <references count="1">
          <reference field="4294967294" count="11">
            <x v="0"/>
            <x v="1"/>
            <x v="2"/>
            <x v="3"/>
            <x v="4"/>
            <x v="5"/>
            <x v="6"/>
            <x v="7"/>
            <x v="8"/>
            <x v="9"/>
            <x v="10"/>
          </reference>
        </references>
      </pivotArea>
    </format>
    <format dxfId="718">
      <pivotArea dataOnly="0" labelOnly="1" outline="0" fieldPosition="0">
        <references count="1">
          <reference field="4294967294" count="11">
            <x v="0"/>
            <x v="1"/>
            <x v="2"/>
            <x v="3"/>
            <x v="4"/>
            <x v="5"/>
            <x v="6"/>
            <x v="7"/>
            <x v="8"/>
            <x v="9"/>
            <x v="10"/>
          </reference>
        </references>
      </pivotArea>
    </format>
    <format dxfId="717">
      <pivotArea field="2" type="button" dataOnly="0" labelOnly="1" outline="0" axis="axisRow" fieldPosition="0"/>
    </format>
    <format dxfId="716">
      <pivotArea type="all" dataOnly="0" outline="0" fieldPosition="0"/>
    </format>
    <format dxfId="715">
      <pivotArea outline="0" collapsedLevelsAreSubtotals="1" fieldPosition="0"/>
    </format>
    <format dxfId="714">
      <pivotArea field="2" type="button" dataOnly="0" labelOnly="1" outline="0" axis="axisRow" fieldPosition="0"/>
    </format>
    <format dxfId="713">
      <pivotArea dataOnly="0" labelOnly="1" fieldPosition="0">
        <references count="1">
          <reference field="2" count="0"/>
        </references>
      </pivotArea>
    </format>
    <format dxfId="712">
      <pivotArea dataOnly="0" labelOnly="1" grandRow="1" outline="0" fieldPosition="0"/>
    </format>
    <format dxfId="711">
      <pivotArea dataOnly="0" labelOnly="1" outline="0" fieldPosition="0">
        <references count="1">
          <reference field="4294967294" count="11">
            <x v="0"/>
            <x v="1"/>
            <x v="2"/>
            <x v="3"/>
            <x v="4"/>
            <x v="5"/>
            <x v="6"/>
            <x v="7"/>
            <x v="8"/>
            <x v="9"/>
            <x v="10"/>
          </reference>
        </references>
      </pivotArea>
    </format>
    <format dxfId="710">
      <pivotArea type="all" dataOnly="0" outline="0" fieldPosition="0"/>
    </format>
    <format dxfId="709">
      <pivotArea outline="0" collapsedLevelsAreSubtotals="1" fieldPosition="0"/>
    </format>
    <format dxfId="708">
      <pivotArea field="2" type="button" dataOnly="0" labelOnly="1" outline="0" axis="axisRow" fieldPosition="0"/>
    </format>
    <format dxfId="707">
      <pivotArea dataOnly="0" labelOnly="1" fieldPosition="0">
        <references count="1">
          <reference field="2" count="0"/>
        </references>
      </pivotArea>
    </format>
    <format dxfId="706">
      <pivotArea dataOnly="0" labelOnly="1" grandRow="1" outline="0" fieldPosition="0"/>
    </format>
    <format dxfId="705">
      <pivotArea dataOnly="0" labelOnly="1" outline="0" fieldPosition="0">
        <references count="1">
          <reference field="4294967294" count="11">
            <x v="0"/>
            <x v="1"/>
            <x v="2"/>
            <x v="3"/>
            <x v="4"/>
            <x v="5"/>
            <x v="6"/>
            <x v="7"/>
            <x v="8"/>
            <x v="9"/>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893F19-BA47-4934-81BF-3A581F1EC76F}" name="PivotTable12" cacheId="1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5:F24" firstHeaderRow="0" firstDataRow="1" firstDataCol="1"/>
  <pivotFields count="9">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sd="0" x="6"/>
        <item sd="0" x="7"/>
        <item t="default"/>
      </items>
    </pivotField>
    <pivotField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5">
    <i>
      <x/>
    </i>
    <i i="1">
      <x v="1"/>
    </i>
    <i i="2">
      <x v="2"/>
    </i>
    <i i="3">
      <x v="3"/>
    </i>
    <i i="4">
      <x v="4"/>
    </i>
  </colItems>
  <dataFields count="5">
    <dataField name="Sum of 1. Agreed" fld="4" baseField="0" baseItem="0"/>
    <dataField name="Sum of 2. Agree but with futher comments" fld="5" baseField="0" baseItem="0"/>
    <dataField name="Sum of 3. Disagreed" fld="6" baseField="0" baseItem="0"/>
    <dataField name="Sum of 4. No comment or holding comment until phase 2" fld="7" baseField="0" baseItem="0"/>
    <dataField name="Sum of Total" fld="8" baseField="0" baseItem="0"/>
  </dataFields>
  <formats count="34">
    <format dxfId="704">
      <pivotArea type="all" dataOnly="0" outline="0" fieldPosition="0"/>
    </format>
    <format dxfId="703">
      <pivotArea outline="0" collapsedLevelsAreSubtotals="1" fieldPosition="0"/>
    </format>
    <format dxfId="702">
      <pivotArea field="2" type="button" dataOnly="0" labelOnly="1" outline="0" axis="axisRow" fieldPosition="0"/>
    </format>
    <format dxfId="701">
      <pivotArea dataOnly="0" labelOnly="1" fieldPosition="0">
        <references count="1">
          <reference field="2" count="0"/>
        </references>
      </pivotArea>
    </format>
    <format dxfId="700">
      <pivotArea dataOnly="0" labelOnly="1" grandRow="1" outline="0" fieldPosition="0"/>
    </format>
    <format dxfId="699">
      <pivotArea dataOnly="0" labelOnly="1" outline="0" fieldPosition="0">
        <references count="1">
          <reference field="4294967294" count="5">
            <x v="0"/>
            <x v="1"/>
            <x v="2"/>
            <x v="3"/>
            <x v="4"/>
          </reference>
        </references>
      </pivotArea>
    </format>
    <format dxfId="698">
      <pivotArea type="all" dataOnly="0" outline="0" fieldPosition="0"/>
    </format>
    <format dxfId="697">
      <pivotArea outline="0" collapsedLevelsAreSubtotals="1" fieldPosition="0"/>
    </format>
    <format dxfId="696">
      <pivotArea field="2" type="button" dataOnly="0" labelOnly="1" outline="0" axis="axisRow" fieldPosition="0"/>
    </format>
    <format dxfId="695">
      <pivotArea dataOnly="0" labelOnly="1" fieldPosition="0">
        <references count="1">
          <reference field="2" count="0"/>
        </references>
      </pivotArea>
    </format>
    <format dxfId="694">
      <pivotArea dataOnly="0" labelOnly="1" grandRow="1" outline="0" fieldPosition="0"/>
    </format>
    <format dxfId="693">
      <pivotArea dataOnly="0" labelOnly="1" outline="0" fieldPosition="0">
        <references count="1">
          <reference field="4294967294" count="5">
            <x v="0"/>
            <x v="1"/>
            <x v="2"/>
            <x v="3"/>
            <x v="4"/>
          </reference>
        </references>
      </pivotArea>
    </format>
    <format dxfId="692">
      <pivotArea field="2" type="button" dataOnly="0" labelOnly="1" outline="0" axis="axisRow" fieldPosition="0"/>
    </format>
    <format dxfId="691">
      <pivotArea dataOnly="0" labelOnly="1" outline="0" fieldPosition="0">
        <references count="1">
          <reference field="4294967294" count="5">
            <x v="0"/>
            <x v="1"/>
            <x v="2"/>
            <x v="3"/>
            <x v="4"/>
          </reference>
        </references>
      </pivotArea>
    </format>
    <format dxfId="690">
      <pivotArea dataOnly="0" labelOnly="1" outline="0" fieldPosition="0">
        <references count="1">
          <reference field="4294967294" count="1">
            <x v="0"/>
          </reference>
        </references>
      </pivotArea>
    </format>
    <format dxfId="689">
      <pivotArea dataOnly="0" labelOnly="1" outline="0" fieldPosition="0">
        <references count="1">
          <reference field="4294967294" count="1">
            <x v="0"/>
          </reference>
        </references>
      </pivotArea>
    </format>
    <format dxfId="688">
      <pivotArea dataOnly="0" labelOnly="1" outline="0" fieldPosition="0">
        <references count="1">
          <reference field="4294967294" count="1">
            <x v="1"/>
          </reference>
        </references>
      </pivotArea>
    </format>
    <format dxfId="687">
      <pivotArea dataOnly="0" labelOnly="1" outline="0" fieldPosition="0">
        <references count="1">
          <reference field="4294967294" count="1">
            <x v="2"/>
          </reference>
        </references>
      </pivotArea>
    </format>
    <format dxfId="686">
      <pivotArea dataOnly="0" labelOnly="1" outline="0" fieldPosition="0">
        <references count="1">
          <reference field="4294967294" count="1">
            <x v="3"/>
          </reference>
        </references>
      </pivotArea>
    </format>
    <format dxfId="685">
      <pivotArea type="all" dataOnly="0" outline="0" fieldPosition="0"/>
    </format>
    <format dxfId="684">
      <pivotArea outline="0" collapsedLevelsAreSubtotals="1" fieldPosition="0"/>
    </format>
    <format dxfId="683">
      <pivotArea field="2" type="button" dataOnly="0" labelOnly="1" outline="0" axis="axisRow" fieldPosition="0"/>
    </format>
    <format dxfId="682">
      <pivotArea dataOnly="0" labelOnly="1" fieldPosition="0">
        <references count="1">
          <reference field="2" count="0"/>
        </references>
      </pivotArea>
    </format>
    <format dxfId="681">
      <pivotArea dataOnly="0" labelOnly="1" grandRow="1" outline="0" fieldPosition="0"/>
    </format>
    <format dxfId="680">
      <pivotArea dataOnly="0" labelOnly="1" outline="0" fieldPosition="0">
        <references count="1">
          <reference field="4294967294" count="5">
            <x v="0"/>
            <x v="1"/>
            <x v="2"/>
            <x v="3"/>
            <x v="4"/>
          </reference>
        </references>
      </pivotArea>
    </format>
    <format dxfId="679">
      <pivotArea dataOnly="0" labelOnly="1" outline="0" fieldPosition="0">
        <references count="1">
          <reference field="4294967294" count="1">
            <x v="3"/>
          </reference>
        </references>
      </pivotArea>
    </format>
    <format dxfId="678">
      <pivotArea dataOnly="0" labelOnly="1" outline="0" fieldPosition="0">
        <references count="1">
          <reference field="4294967294" count="5">
            <x v="0"/>
            <x v="1"/>
            <x v="2"/>
            <x v="3"/>
            <x v="4"/>
          </reference>
        </references>
      </pivotArea>
    </format>
    <format dxfId="677">
      <pivotArea field="2" type="button" dataOnly="0" labelOnly="1" outline="0" axis="axisRow" fieldPosition="0"/>
    </format>
    <format dxfId="676">
      <pivotArea type="all" dataOnly="0" outline="0" fieldPosition="0"/>
    </format>
    <format dxfId="675">
      <pivotArea outline="0" collapsedLevelsAreSubtotals="1" fieldPosition="0"/>
    </format>
    <format dxfId="674">
      <pivotArea field="2" type="button" dataOnly="0" labelOnly="1" outline="0" axis="axisRow" fieldPosition="0"/>
    </format>
    <format dxfId="673">
      <pivotArea dataOnly="0" labelOnly="1" fieldPosition="0">
        <references count="1">
          <reference field="2" count="0"/>
        </references>
      </pivotArea>
    </format>
    <format dxfId="672">
      <pivotArea dataOnly="0" labelOnly="1" grandRow="1" outline="0" fieldPosition="0"/>
    </format>
    <format dxfId="671">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F281FE-87C8-4722-9246-D969C3A3CFE7}" name="PivotTable14" cacheId="10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5:K24" firstHeaderRow="0" firstDataRow="1" firstDataCol="1"/>
  <pivotFields count="14">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sd="0" x="6"/>
        <item sd="0" x="7"/>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10">
    <i>
      <x/>
    </i>
    <i i="1">
      <x v="1"/>
    </i>
    <i i="2">
      <x v="2"/>
    </i>
    <i i="3">
      <x v="3"/>
    </i>
    <i i="4">
      <x v="4"/>
    </i>
    <i i="5">
      <x v="5"/>
    </i>
    <i i="6">
      <x v="6"/>
    </i>
    <i i="7">
      <x v="7"/>
    </i>
    <i i="8">
      <x v="8"/>
    </i>
    <i i="9">
      <x v="9"/>
    </i>
  </colItems>
  <dataFields count="10">
    <dataField name="Sum of 1. Agreed" fld="4" baseField="0" baseItem="0"/>
    <dataField name="Sum of 2. Agree but with futher comments" fld="5" baseField="0" baseItem="0"/>
    <dataField name="Sum of Assertions described may not be sufficiently broad to remain framework neutral" fld="6" baseField="0" baseItem="0"/>
    <dataField name="Sum of Avoid suggestion of requirements or best practice" fld="7" baseField="0" baseItem="0"/>
    <dataField name="Sum of Clarify if guidance should be referred to in the assurance report" fld="8" baseField="0" baseItem="0"/>
    <dataField name="Sum of Emphasis on controls suggests fully substantive approach not permitted" fld="9" baseField="0" baseItem="0"/>
    <dataField name="Sum of Other standards to be addressed" fld="10" baseField="0" baseItem="0"/>
    <dataField name="Sum of Specific conflicts or new requirements identified" fld="11" baseField="0" baseItem="0"/>
    <dataField name="Sum of 3. Disagreed" fld="12" baseField="0" baseItem="0"/>
    <dataField name="Sum of 4. No comment or holding comment until phase 2" fld="13" baseField="0" baseItem="0"/>
  </dataFields>
  <formats count="36">
    <format dxfId="670">
      <pivotArea field="2" type="button" dataOnly="0" labelOnly="1" outline="0" axis="axisRow" fieldPosition="0"/>
    </format>
    <format dxfId="669">
      <pivotArea outline="0" collapsedLevelsAreSubtotals="1" fieldPosition="0"/>
    </format>
    <format dxfId="668">
      <pivotArea dataOnly="0" labelOnly="1" outline="0" fieldPosition="0">
        <references count="1">
          <reference field="4294967294" count="10">
            <x v="0"/>
            <x v="1"/>
            <x v="2"/>
            <x v="3"/>
            <x v="4"/>
            <x v="5"/>
            <x v="6"/>
            <x v="7"/>
            <x v="8"/>
            <x v="9"/>
          </reference>
        </references>
      </pivotArea>
    </format>
    <format dxfId="667">
      <pivotArea type="all" dataOnly="0" outline="0" fieldPosition="0"/>
    </format>
    <format dxfId="666">
      <pivotArea outline="0" collapsedLevelsAreSubtotals="1" fieldPosition="0"/>
    </format>
    <format dxfId="665">
      <pivotArea field="2" type="button" dataOnly="0" labelOnly="1" outline="0" axis="axisRow" fieldPosition="0"/>
    </format>
    <format dxfId="664">
      <pivotArea dataOnly="0" labelOnly="1" fieldPosition="0">
        <references count="1">
          <reference field="2" count="0"/>
        </references>
      </pivotArea>
    </format>
    <format dxfId="663">
      <pivotArea dataOnly="0" labelOnly="1" grandRow="1" outline="0" fieldPosition="0"/>
    </format>
    <format dxfId="662">
      <pivotArea dataOnly="0" labelOnly="1" outline="0" fieldPosition="0">
        <references count="1">
          <reference field="4294967294" count="10">
            <x v="0"/>
            <x v="1"/>
            <x v="2"/>
            <x v="3"/>
            <x v="4"/>
            <x v="5"/>
            <x v="6"/>
            <x v="7"/>
            <x v="8"/>
            <x v="9"/>
          </reference>
        </references>
      </pivotArea>
    </format>
    <format dxfId="661">
      <pivotArea type="all" dataOnly="0" outline="0" fieldPosition="0"/>
    </format>
    <format dxfId="660">
      <pivotArea field="2" type="button" dataOnly="0" labelOnly="1" outline="0" axis="axisRow" fieldPosition="0"/>
    </format>
    <format dxfId="659">
      <pivotArea dataOnly="0" labelOnly="1" outline="0" fieldPosition="0">
        <references count="1">
          <reference field="4294967294" count="10">
            <x v="0"/>
            <x v="1"/>
            <x v="2"/>
            <x v="3"/>
            <x v="4"/>
            <x v="5"/>
            <x v="6"/>
            <x v="7"/>
            <x v="8"/>
            <x v="9"/>
          </reference>
        </references>
      </pivotArea>
    </format>
    <format dxfId="658">
      <pivotArea type="all" dataOnly="0" outline="0" fieldPosition="0"/>
    </format>
    <format dxfId="657">
      <pivotArea outline="0" collapsedLevelsAreSubtotals="1" fieldPosition="0"/>
    </format>
    <format dxfId="656">
      <pivotArea field="2" type="button" dataOnly="0" labelOnly="1" outline="0" axis="axisRow" fieldPosition="0"/>
    </format>
    <format dxfId="655">
      <pivotArea dataOnly="0" labelOnly="1" fieldPosition="0">
        <references count="1">
          <reference field="2" count="0"/>
        </references>
      </pivotArea>
    </format>
    <format dxfId="654">
      <pivotArea dataOnly="0" labelOnly="1" grandRow="1" outline="0" fieldPosition="0"/>
    </format>
    <format dxfId="653">
      <pivotArea dataOnly="0" labelOnly="1" outline="0" fieldPosition="0">
        <references count="1">
          <reference field="4294967294" count="10">
            <x v="0"/>
            <x v="1"/>
            <x v="2"/>
            <x v="3"/>
            <x v="4"/>
            <x v="5"/>
            <x v="6"/>
            <x v="7"/>
            <x v="8"/>
            <x v="9"/>
          </reference>
        </references>
      </pivotArea>
    </format>
    <format dxfId="652">
      <pivotArea dataOnly="0" labelOnly="1" outline="0" fieldPosition="0">
        <references count="1">
          <reference field="4294967294" count="1">
            <x v="0"/>
          </reference>
        </references>
      </pivotArea>
    </format>
    <format dxfId="651">
      <pivotArea dataOnly="0" labelOnly="1" outline="0" fieldPosition="0">
        <references count="1">
          <reference field="4294967294" count="7">
            <x v="1"/>
            <x v="2"/>
            <x v="3"/>
            <x v="4"/>
            <x v="5"/>
            <x v="6"/>
            <x v="7"/>
          </reference>
        </references>
      </pivotArea>
    </format>
    <format dxfId="650">
      <pivotArea dataOnly="0" labelOnly="1" outline="0" fieldPosition="0">
        <references count="1">
          <reference field="4294967294" count="6">
            <x v="2"/>
            <x v="3"/>
            <x v="4"/>
            <x v="5"/>
            <x v="6"/>
            <x v="7"/>
          </reference>
        </references>
      </pivotArea>
    </format>
    <format dxfId="649">
      <pivotArea dataOnly="0" labelOnly="1" outline="0" fieldPosition="0">
        <references count="1">
          <reference field="4294967294" count="1">
            <x v="8"/>
          </reference>
        </references>
      </pivotArea>
    </format>
    <format dxfId="648">
      <pivotArea dataOnly="0" labelOnly="1" outline="0" fieldPosition="0">
        <references count="1">
          <reference field="4294967294" count="1">
            <x v="9"/>
          </reference>
        </references>
      </pivotArea>
    </format>
    <format dxfId="647">
      <pivotArea field="2" type="button" dataOnly="0" labelOnly="1" outline="0" axis="axisRow" fieldPosition="0"/>
    </format>
    <format dxfId="646">
      <pivotArea dataOnly="0" labelOnly="1" outline="0" fieldPosition="0">
        <references count="1">
          <reference field="4294967294" count="10">
            <x v="0"/>
            <x v="1"/>
            <x v="2"/>
            <x v="3"/>
            <x v="4"/>
            <x v="5"/>
            <x v="6"/>
            <x v="7"/>
            <x v="8"/>
            <x v="9"/>
          </reference>
        </references>
      </pivotArea>
    </format>
    <format dxfId="645">
      <pivotArea dataOnly="0" labelOnly="1" outline="0" fieldPosition="0">
        <references count="1">
          <reference field="4294967294" count="1">
            <x v="9"/>
          </reference>
        </references>
      </pivotArea>
    </format>
    <format dxfId="644">
      <pivotArea dataOnly="0" labelOnly="1" outline="0" fieldPosition="0">
        <references count="1">
          <reference field="4294967294" count="10">
            <x v="0"/>
            <x v="1"/>
            <x v="2"/>
            <x v="3"/>
            <x v="4"/>
            <x v="5"/>
            <x v="6"/>
            <x v="7"/>
            <x v="8"/>
            <x v="9"/>
          </reference>
        </references>
      </pivotArea>
    </format>
    <format dxfId="643">
      <pivotArea collapsedLevelsAreSubtotals="1" fieldPosition="0">
        <references count="2">
          <reference field="4294967294" count="1" selected="0">
            <x v="9"/>
          </reference>
          <reference field="2" count="1">
            <x v="0"/>
          </reference>
        </references>
      </pivotArea>
    </format>
    <format dxfId="642">
      <pivotArea collapsedLevelsAreSubtotals="1" fieldPosition="0">
        <references count="2">
          <reference field="4294967294" count="1" selected="0">
            <x v="9"/>
          </reference>
          <reference field="2" count="1">
            <x v="0"/>
          </reference>
        </references>
      </pivotArea>
    </format>
    <format dxfId="641">
      <pivotArea field="2" type="button" dataOnly="0" labelOnly="1" outline="0" axis="axisRow" fieldPosition="0"/>
    </format>
    <format dxfId="640">
      <pivotArea type="all" dataOnly="0" outline="0" fieldPosition="0"/>
    </format>
    <format dxfId="639">
      <pivotArea outline="0" collapsedLevelsAreSubtotals="1" fieldPosition="0"/>
    </format>
    <format dxfId="638">
      <pivotArea field="2" type="button" dataOnly="0" labelOnly="1" outline="0" axis="axisRow" fieldPosition="0"/>
    </format>
    <format dxfId="637">
      <pivotArea dataOnly="0" labelOnly="1" fieldPosition="0">
        <references count="1">
          <reference field="2" count="0"/>
        </references>
      </pivotArea>
    </format>
    <format dxfId="636">
      <pivotArea dataOnly="0" labelOnly="1" grandRow="1" outline="0" fieldPosition="0"/>
    </format>
    <format dxfId="635">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DEE620-06E9-43D6-9F33-DB34B9DB2521}" name="PivotTable16" cacheId="10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5:F24" firstHeaderRow="0" firstDataRow="1" firstDataCol="1"/>
  <pivotFields count="9">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sd="0" x="6"/>
        <item sd="0" x="7"/>
        <item t="default" sd="0"/>
      </items>
    </pivotField>
    <pivotField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5">
    <i>
      <x/>
    </i>
    <i i="1">
      <x v="1"/>
    </i>
    <i i="2">
      <x v="2"/>
    </i>
    <i i="3">
      <x v="3"/>
    </i>
    <i i="4">
      <x v="4"/>
    </i>
  </colItems>
  <dataFields count="5">
    <dataField name="Sum of 1. Agreed" fld="4" baseField="0" baseItem="0"/>
    <dataField name="Sum of 2. Agree but with futher comments" fld="5" baseField="0" baseItem="0"/>
    <dataField name="Sum of 3. Disagreed" fld="6" baseField="0" baseItem="0"/>
    <dataField name="Sum of 4. Holding comment until phase 2" fld="7" baseField="0" baseItem="0"/>
    <dataField name="Sum of Total" fld="8" baseField="0" baseItem="0"/>
  </dataFields>
  <formats count="33">
    <format dxfId="634">
      <pivotArea type="all" dataOnly="0" outline="0" fieldPosition="0"/>
    </format>
    <format dxfId="633">
      <pivotArea outline="0" collapsedLevelsAreSubtotals="1" fieldPosition="0"/>
    </format>
    <format dxfId="632">
      <pivotArea field="2" type="button" dataOnly="0" labelOnly="1" outline="0" axis="axisRow" fieldPosition="0"/>
    </format>
    <format dxfId="631">
      <pivotArea dataOnly="0" labelOnly="1" fieldPosition="0">
        <references count="1">
          <reference field="2" count="0"/>
        </references>
      </pivotArea>
    </format>
    <format dxfId="630">
      <pivotArea dataOnly="0" labelOnly="1" grandRow="1" outline="0" fieldPosition="0"/>
    </format>
    <format dxfId="629">
      <pivotArea dataOnly="0" labelOnly="1" outline="0" fieldPosition="0">
        <references count="1">
          <reference field="4294967294" count="5">
            <x v="0"/>
            <x v="1"/>
            <x v="2"/>
            <x v="3"/>
            <x v="4"/>
          </reference>
        </references>
      </pivotArea>
    </format>
    <format dxfId="628">
      <pivotArea type="all" dataOnly="0" outline="0" fieldPosition="0"/>
    </format>
    <format dxfId="627">
      <pivotArea outline="0" collapsedLevelsAreSubtotals="1" fieldPosition="0"/>
    </format>
    <format dxfId="626">
      <pivotArea field="2" type="button" dataOnly="0" labelOnly="1" outline="0" axis="axisRow" fieldPosition="0"/>
    </format>
    <format dxfId="625">
      <pivotArea dataOnly="0" labelOnly="1" fieldPosition="0">
        <references count="1">
          <reference field="2" count="0"/>
        </references>
      </pivotArea>
    </format>
    <format dxfId="624">
      <pivotArea dataOnly="0" labelOnly="1" grandRow="1" outline="0" fieldPosition="0"/>
    </format>
    <format dxfId="623">
      <pivotArea dataOnly="0" labelOnly="1" outline="0" fieldPosition="0">
        <references count="1">
          <reference field="4294967294" count="5">
            <x v="0"/>
            <x v="1"/>
            <x v="2"/>
            <x v="3"/>
            <x v="4"/>
          </reference>
        </references>
      </pivotArea>
    </format>
    <format dxfId="622">
      <pivotArea field="2" type="button" dataOnly="0" labelOnly="1" outline="0" axis="axisRow" fieldPosition="0"/>
    </format>
    <format dxfId="621">
      <pivotArea dataOnly="0" labelOnly="1" outline="0" fieldPosition="0">
        <references count="1">
          <reference field="4294967294" count="5">
            <x v="0"/>
            <x v="1"/>
            <x v="2"/>
            <x v="3"/>
            <x v="4"/>
          </reference>
        </references>
      </pivotArea>
    </format>
    <format dxfId="620">
      <pivotArea type="all" dataOnly="0" outline="0" fieldPosition="0"/>
    </format>
    <format dxfId="619">
      <pivotArea outline="0" collapsedLevelsAreSubtotals="1" fieldPosition="0"/>
    </format>
    <format dxfId="618">
      <pivotArea field="2" type="button" dataOnly="0" labelOnly="1" outline="0" axis="axisRow" fieldPosition="0"/>
    </format>
    <format dxfId="617">
      <pivotArea dataOnly="0" labelOnly="1" fieldPosition="0">
        <references count="1">
          <reference field="2" count="0"/>
        </references>
      </pivotArea>
    </format>
    <format dxfId="616">
      <pivotArea dataOnly="0" labelOnly="1" grandRow="1" outline="0" fieldPosition="0"/>
    </format>
    <format dxfId="615">
      <pivotArea dataOnly="0" labelOnly="1" outline="0" fieldPosition="0">
        <references count="1">
          <reference field="4294967294" count="5">
            <x v="0"/>
            <x v="1"/>
            <x v="2"/>
            <x v="3"/>
            <x v="4"/>
          </reference>
        </references>
      </pivotArea>
    </format>
    <format dxfId="614">
      <pivotArea dataOnly="0" labelOnly="1" outline="0" fieldPosition="0">
        <references count="1">
          <reference field="4294967294" count="1">
            <x v="0"/>
          </reference>
        </references>
      </pivotArea>
    </format>
    <format dxfId="613">
      <pivotArea dataOnly="0" labelOnly="1" outline="0" fieldPosition="0">
        <references count="1">
          <reference field="4294967294" count="1">
            <x v="1"/>
          </reference>
        </references>
      </pivotArea>
    </format>
    <format dxfId="612">
      <pivotArea dataOnly="0" labelOnly="1" outline="0" fieldPosition="0">
        <references count="1">
          <reference field="4294967294" count="1">
            <x v="2"/>
          </reference>
        </references>
      </pivotArea>
    </format>
    <format dxfId="611">
      <pivotArea dataOnly="0" labelOnly="1" outline="0" fieldPosition="0">
        <references count="1">
          <reference field="4294967294" count="1">
            <x v="3"/>
          </reference>
        </references>
      </pivotArea>
    </format>
    <format dxfId="610">
      <pivotArea dataOnly="0" labelOnly="1" outline="0" fieldPosition="0">
        <references count="1">
          <reference field="4294967294" count="1">
            <x v="3"/>
          </reference>
        </references>
      </pivotArea>
    </format>
    <format dxfId="609">
      <pivotArea dataOnly="0" outline="0" fieldPosition="0">
        <references count="1">
          <reference field="4294967294" count="5">
            <x v="0"/>
            <x v="1"/>
            <x v="2"/>
            <x v="3"/>
            <x v="4"/>
          </reference>
        </references>
      </pivotArea>
    </format>
    <format dxfId="608">
      <pivotArea field="2" type="button" dataOnly="0" labelOnly="1" outline="0" axis="axisRow" fieldPosition="0"/>
    </format>
    <format dxfId="607">
      <pivotArea type="all" dataOnly="0" outline="0" fieldPosition="0"/>
    </format>
    <format dxfId="606">
      <pivotArea outline="0" collapsedLevelsAreSubtotals="1" fieldPosition="0"/>
    </format>
    <format dxfId="605">
      <pivotArea field="2" type="button" dataOnly="0" labelOnly="1" outline="0" axis="axisRow" fieldPosition="0"/>
    </format>
    <format dxfId="604">
      <pivotArea dataOnly="0" labelOnly="1" fieldPosition="0">
        <references count="1">
          <reference field="2" count="0"/>
        </references>
      </pivotArea>
    </format>
    <format dxfId="603">
      <pivotArea dataOnly="0" labelOnly="1" grandRow="1" outline="0" fieldPosition="0"/>
    </format>
    <format dxfId="602">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CD1546-EEFD-4DAB-8CBB-585BBC9DC102}" name="PivotTable18" cacheId="10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5:M24" firstHeaderRow="0" firstDataRow="1" firstDataCol="1"/>
  <pivotFields count="16">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sd="0" x="6"/>
        <item sd="0" x="7"/>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12">
    <i>
      <x/>
    </i>
    <i i="1">
      <x v="1"/>
    </i>
    <i i="2">
      <x v="2"/>
    </i>
    <i i="3">
      <x v="3"/>
    </i>
    <i i="4">
      <x v="4"/>
    </i>
    <i i="5">
      <x v="5"/>
    </i>
    <i i="6">
      <x v="6"/>
    </i>
    <i i="7">
      <x v="7"/>
    </i>
    <i i="8">
      <x v="8"/>
    </i>
    <i i="9">
      <x v="9"/>
    </i>
    <i i="10">
      <x v="10"/>
    </i>
    <i i="11">
      <x v="11"/>
    </i>
  </colItems>
  <dataFields count="12">
    <dataField name="Sum of 1. Agreed" fld="4" baseField="0" baseItem="0"/>
    <dataField name="Sum of 2. Agree but with futher comments" fld="5" baseField="0" baseItem="0"/>
    <dataField name="Sum of Align to the requirements of the standard" fld="6" baseField="0" baseItem="0"/>
    <dataField name="Sum of Concerns about materiality process and assertions" fld="7" baseField="0" baseItem="0"/>
    <dataField name="Sum of Consider updating ISAE 3000 (Revised)" fld="8" baseField="0" baseItem="0"/>
    <dataField name="Sum of Engagements 'based on' ISAE 3000 should not refer to the standard" fld="9" baseField="0" baseItem="0"/>
    <dataField name="Sum of Identification system to distinguish incremental guidance from standard" fld="10" baseField="0" baseItem="0"/>
    <dataField name="Sum of Not the only way to address ISAE 3000 requirements" fld="11" baseField="0" baseItem="0"/>
    <dataField name="Sum of Specific suggestions on specific items" fld="12" baseField="0" baseItem="0"/>
    <dataField name="Sum of Suggestions for phase 2" fld="13" baseField="0" baseItem="0"/>
    <dataField name="Sum of 3. Disagreed" fld="14" baseField="0" baseItem="0"/>
    <dataField name="Sum of 4. Holding comment until phase 2" fld="15" baseField="0" baseItem="0"/>
  </dataFields>
  <formats count="42">
    <format dxfId="601">
      <pivotArea type="all" dataOnly="0" outline="0" fieldPosition="0"/>
    </format>
    <format dxfId="600">
      <pivotArea outline="0" collapsedLevelsAreSubtotals="1" fieldPosition="0"/>
    </format>
    <format dxfId="599">
      <pivotArea field="2" type="button" dataOnly="0" labelOnly="1" outline="0" axis="axisRow" fieldPosition="0"/>
    </format>
    <format dxfId="598">
      <pivotArea dataOnly="0" labelOnly="1" fieldPosition="0">
        <references count="1">
          <reference field="2" count="0"/>
        </references>
      </pivotArea>
    </format>
    <format dxfId="597">
      <pivotArea dataOnly="0" labelOnly="1" grandRow="1" outline="0" fieldPosition="0"/>
    </format>
    <format dxfId="596">
      <pivotArea dataOnly="0" labelOnly="1" outline="0" fieldPosition="0">
        <references count="1">
          <reference field="4294967294" count="12">
            <x v="0"/>
            <x v="1"/>
            <x v="2"/>
            <x v="3"/>
            <x v="4"/>
            <x v="5"/>
            <x v="6"/>
            <x v="7"/>
            <x v="8"/>
            <x v="9"/>
            <x v="10"/>
            <x v="11"/>
          </reference>
        </references>
      </pivotArea>
    </format>
    <format dxfId="595">
      <pivotArea type="all" dataOnly="0" outline="0" fieldPosition="0"/>
    </format>
    <format dxfId="594">
      <pivotArea outline="0" collapsedLevelsAreSubtotals="1" fieldPosition="0"/>
    </format>
    <format dxfId="593">
      <pivotArea field="2" type="button" dataOnly="0" labelOnly="1" outline="0" axis="axisRow" fieldPosition="0"/>
    </format>
    <format dxfId="592">
      <pivotArea dataOnly="0" labelOnly="1" fieldPosition="0">
        <references count="1">
          <reference field="2" count="0"/>
        </references>
      </pivotArea>
    </format>
    <format dxfId="591">
      <pivotArea dataOnly="0" labelOnly="1" grandRow="1" outline="0" fieldPosition="0"/>
    </format>
    <format dxfId="590">
      <pivotArea dataOnly="0" labelOnly="1" outline="0" fieldPosition="0">
        <references count="1">
          <reference field="4294967294" count="12">
            <x v="0"/>
            <x v="1"/>
            <x v="2"/>
            <x v="3"/>
            <x v="4"/>
            <x v="5"/>
            <x v="6"/>
            <x v="7"/>
            <x v="8"/>
            <x v="9"/>
            <x v="10"/>
            <x v="11"/>
          </reference>
        </references>
      </pivotArea>
    </format>
    <format dxfId="589">
      <pivotArea field="2" type="button" dataOnly="0" labelOnly="1" outline="0" axis="axisRow" fieldPosition="0"/>
    </format>
    <format dxfId="588">
      <pivotArea dataOnly="0" labelOnly="1" outline="0" fieldPosition="0">
        <references count="1">
          <reference field="4294967294" count="12">
            <x v="0"/>
            <x v="1"/>
            <x v="2"/>
            <x v="3"/>
            <x v="4"/>
            <x v="5"/>
            <x v="6"/>
            <x v="7"/>
            <x v="8"/>
            <x v="9"/>
            <x v="10"/>
            <x v="11"/>
          </reference>
        </references>
      </pivotArea>
    </format>
    <format dxfId="587">
      <pivotArea dataOnly="0" labelOnly="1" outline="0" fieldPosition="0">
        <references count="1">
          <reference field="4294967294" count="1">
            <x v="0"/>
          </reference>
        </references>
      </pivotArea>
    </format>
    <format dxfId="586">
      <pivotArea dataOnly="0" labelOnly="1" outline="0" fieldPosition="0">
        <references count="1">
          <reference field="4294967294" count="9">
            <x v="1"/>
            <x v="2"/>
            <x v="3"/>
            <x v="4"/>
            <x v="5"/>
            <x v="6"/>
            <x v="7"/>
            <x v="8"/>
            <x v="9"/>
          </reference>
        </references>
      </pivotArea>
    </format>
    <format dxfId="585">
      <pivotArea dataOnly="0" labelOnly="1" outline="0" fieldPosition="0">
        <references count="1">
          <reference field="4294967294" count="8">
            <x v="2"/>
            <x v="3"/>
            <x v="4"/>
            <x v="5"/>
            <x v="6"/>
            <x v="7"/>
            <x v="8"/>
            <x v="9"/>
          </reference>
        </references>
      </pivotArea>
    </format>
    <format dxfId="584">
      <pivotArea dataOnly="0" labelOnly="1" outline="0" fieldPosition="0">
        <references count="1">
          <reference field="4294967294" count="1">
            <x v="10"/>
          </reference>
        </references>
      </pivotArea>
    </format>
    <format dxfId="583">
      <pivotArea dataOnly="0" labelOnly="1" outline="0" fieldPosition="0">
        <references count="1">
          <reference field="4294967294" count="1">
            <x v="11"/>
          </reference>
        </references>
      </pivotArea>
    </format>
    <format dxfId="582">
      <pivotArea type="all" dataOnly="0" outline="0" fieldPosition="0"/>
    </format>
    <format dxfId="581">
      <pivotArea outline="0" collapsedLevelsAreSubtotals="1" fieldPosition="0"/>
    </format>
    <format dxfId="580">
      <pivotArea field="2" type="button" dataOnly="0" labelOnly="1" outline="0" axis="axisRow" fieldPosition="0"/>
    </format>
    <format dxfId="579">
      <pivotArea dataOnly="0" labelOnly="1" fieldPosition="0">
        <references count="1">
          <reference field="2" count="0"/>
        </references>
      </pivotArea>
    </format>
    <format dxfId="578">
      <pivotArea dataOnly="0" labelOnly="1" grandRow="1" outline="0" fieldPosition="0"/>
    </format>
    <format dxfId="577">
      <pivotArea dataOnly="0" labelOnly="1" outline="0" fieldPosition="0">
        <references count="1">
          <reference field="4294967294" count="12">
            <x v="0"/>
            <x v="1"/>
            <x v="2"/>
            <x v="3"/>
            <x v="4"/>
            <x v="5"/>
            <x v="6"/>
            <x v="7"/>
            <x v="8"/>
            <x v="9"/>
            <x v="10"/>
            <x v="11"/>
          </reference>
        </references>
      </pivotArea>
    </format>
    <format dxfId="576">
      <pivotArea field="2" type="button" dataOnly="0" labelOnly="1" outline="0" axis="axisRow" fieldPosition="0"/>
    </format>
    <format dxfId="575">
      <pivotArea dataOnly="0" labelOnly="1" outline="0" fieldPosition="0">
        <references count="1">
          <reference field="4294967294" count="12">
            <x v="0"/>
            <x v="1"/>
            <x v="2"/>
            <x v="3"/>
            <x v="4"/>
            <x v="5"/>
            <x v="6"/>
            <x v="7"/>
            <x v="8"/>
            <x v="9"/>
            <x v="10"/>
            <x v="11"/>
          </reference>
        </references>
      </pivotArea>
    </format>
    <format dxfId="574">
      <pivotArea dataOnly="0" labelOnly="1" outline="0" fieldPosition="0">
        <references count="1">
          <reference field="4294967294" count="1">
            <x v="11"/>
          </reference>
        </references>
      </pivotArea>
    </format>
    <format dxfId="573">
      <pivotArea dataOnly="0" labelOnly="1" outline="0" fieldPosition="0">
        <references count="1">
          <reference field="4294967294" count="12">
            <x v="0"/>
            <x v="1"/>
            <x v="2"/>
            <x v="3"/>
            <x v="4"/>
            <x v="5"/>
            <x v="6"/>
            <x v="7"/>
            <x v="8"/>
            <x v="9"/>
            <x v="10"/>
            <x v="11"/>
          </reference>
        </references>
      </pivotArea>
    </format>
    <format dxfId="572">
      <pivotArea field="2" type="button" dataOnly="0" labelOnly="1" outline="0" axis="axisRow" fieldPosition="0"/>
    </format>
    <format dxfId="571">
      <pivotArea type="all" dataOnly="0" outline="0" fieldPosition="0"/>
    </format>
    <format dxfId="570">
      <pivotArea outline="0" collapsedLevelsAreSubtotals="1" fieldPosition="0"/>
    </format>
    <format dxfId="569">
      <pivotArea field="2" type="button" dataOnly="0" labelOnly="1" outline="0" axis="axisRow" fieldPosition="0"/>
    </format>
    <format dxfId="568">
      <pivotArea dataOnly="0" labelOnly="1" fieldPosition="0">
        <references count="1">
          <reference field="2" count="0"/>
        </references>
      </pivotArea>
    </format>
    <format dxfId="567">
      <pivotArea dataOnly="0" labelOnly="1" grandRow="1" outline="0" fieldPosition="0"/>
    </format>
    <format dxfId="566">
      <pivotArea dataOnly="0" labelOnly="1" outline="0" fieldPosition="0">
        <references count="1">
          <reference field="4294967294" count="12">
            <x v="0"/>
            <x v="1"/>
            <x v="2"/>
            <x v="3"/>
            <x v="4"/>
            <x v="5"/>
            <x v="6"/>
            <x v="7"/>
            <x v="8"/>
            <x v="9"/>
            <x v="10"/>
            <x v="11"/>
          </reference>
        </references>
      </pivotArea>
    </format>
    <format dxfId="565">
      <pivotArea type="all" dataOnly="0" outline="0" fieldPosition="0"/>
    </format>
    <format dxfId="564">
      <pivotArea outline="0" collapsedLevelsAreSubtotals="1" fieldPosition="0"/>
    </format>
    <format dxfId="563">
      <pivotArea field="2" type="button" dataOnly="0" labelOnly="1" outline="0" axis="axisRow" fieldPosition="0"/>
    </format>
    <format dxfId="562">
      <pivotArea dataOnly="0" labelOnly="1" fieldPosition="0">
        <references count="1">
          <reference field="2" count="0"/>
        </references>
      </pivotArea>
    </format>
    <format dxfId="561">
      <pivotArea dataOnly="0" labelOnly="1" grandRow="1" outline="0" fieldPosition="0"/>
    </format>
    <format dxfId="560">
      <pivotArea dataOnly="0" labelOnly="1" outline="0" fieldPosition="0">
        <references count="1">
          <reference field="4294967294" count="12">
            <x v="0"/>
            <x v="1"/>
            <x v="2"/>
            <x v="3"/>
            <x v="4"/>
            <x v="5"/>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5E58C5-6ADB-423E-9C9E-DC531A053E32}" name="PivotTable20" cacheId="8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4:E23" firstHeaderRow="0" firstDataRow="1" firstDataCol="1"/>
  <pivotFields count="8">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sd="0" x="6"/>
        <item sd="0" x="7"/>
        <item t="default" sd="0"/>
      </items>
    </pivotField>
    <pivotField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4">
    <i>
      <x/>
    </i>
    <i i="1">
      <x v="1"/>
    </i>
    <i i="2">
      <x v="2"/>
    </i>
    <i i="3">
      <x v="3"/>
    </i>
  </colItems>
  <dataFields count="4">
    <dataField name="Sum of 1. Material is useful or partially useful with some comments for improvement" fld="4" baseField="0" baseItem="0"/>
    <dataField name="Sum of 2. Publication of material not supported at all" fld="5" baseField="0" baseItem="0"/>
    <dataField name="Sum of 3. No comment" fld="6" baseField="2" baseItem="0"/>
    <dataField name="Sum of Total" fld="7" baseField="0" baseItem="0"/>
  </dataFields>
  <formats count="33">
    <format dxfId="559">
      <pivotArea type="all" dataOnly="0" outline="0" fieldPosition="0"/>
    </format>
    <format dxfId="558">
      <pivotArea outline="0" collapsedLevelsAreSubtotals="1" fieldPosition="0"/>
    </format>
    <format dxfId="557">
      <pivotArea field="2" type="button" dataOnly="0" labelOnly="1" outline="0" axis="axisRow" fieldPosition="0"/>
    </format>
    <format dxfId="556">
      <pivotArea dataOnly="0" labelOnly="1" fieldPosition="0">
        <references count="1">
          <reference field="2" count="0"/>
        </references>
      </pivotArea>
    </format>
    <format dxfId="555">
      <pivotArea dataOnly="0" labelOnly="1" grandRow="1" outline="0" fieldPosition="0"/>
    </format>
    <format dxfId="554">
      <pivotArea dataOnly="0" labelOnly="1" outline="0" fieldPosition="0">
        <references count="1">
          <reference field="4294967294" count="4">
            <x v="0"/>
            <x v="1"/>
            <x v="2"/>
            <x v="3"/>
          </reference>
        </references>
      </pivotArea>
    </format>
    <format dxfId="553">
      <pivotArea type="all" dataOnly="0" outline="0" fieldPosition="0"/>
    </format>
    <format dxfId="552">
      <pivotArea outline="0" collapsedLevelsAreSubtotals="1" fieldPosition="0"/>
    </format>
    <format dxfId="551">
      <pivotArea field="2" type="button" dataOnly="0" labelOnly="1" outline="0" axis="axisRow" fieldPosition="0"/>
    </format>
    <format dxfId="550">
      <pivotArea dataOnly="0" labelOnly="1" fieldPosition="0">
        <references count="1">
          <reference field="2" count="0"/>
        </references>
      </pivotArea>
    </format>
    <format dxfId="549">
      <pivotArea dataOnly="0" labelOnly="1" grandRow="1" outline="0" fieldPosition="0"/>
    </format>
    <format dxfId="548">
      <pivotArea dataOnly="0" labelOnly="1" outline="0" fieldPosition="0">
        <references count="1">
          <reference field="4294967294" count="4">
            <x v="0"/>
            <x v="1"/>
            <x v="2"/>
            <x v="3"/>
          </reference>
        </references>
      </pivotArea>
    </format>
    <format dxfId="547">
      <pivotArea field="2" type="button" dataOnly="0" labelOnly="1" outline="0" axis="axisRow" fieldPosition="0"/>
    </format>
    <format dxfId="546">
      <pivotArea dataOnly="0" labelOnly="1" outline="0" fieldPosition="0">
        <references count="1">
          <reference field="4294967294" count="4">
            <x v="0"/>
            <x v="1"/>
            <x v="2"/>
            <x v="3"/>
          </reference>
        </references>
      </pivotArea>
    </format>
    <format dxfId="545">
      <pivotArea type="all" dataOnly="0" outline="0" fieldPosition="0"/>
    </format>
    <format dxfId="544">
      <pivotArea outline="0" collapsedLevelsAreSubtotals="1" fieldPosition="0"/>
    </format>
    <format dxfId="543">
      <pivotArea field="2" type="button" dataOnly="0" labelOnly="1" outline="0" axis="axisRow" fieldPosition="0"/>
    </format>
    <format dxfId="542">
      <pivotArea dataOnly="0" labelOnly="1" fieldPosition="0">
        <references count="1">
          <reference field="2" count="0"/>
        </references>
      </pivotArea>
    </format>
    <format dxfId="541">
      <pivotArea dataOnly="0" labelOnly="1" grandRow="1" outline="0" fieldPosition="0"/>
    </format>
    <format dxfId="540">
      <pivotArea dataOnly="0" labelOnly="1" outline="0" fieldPosition="0">
        <references count="1">
          <reference field="4294967294" count="4">
            <x v="0"/>
            <x v="1"/>
            <x v="2"/>
            <x v="3"/>
          </reference>
        </references>
      </pivotArea>
    </format>
    <format dxfId="539">
      <pivotArea dataOnly="0" labelOnly="1" outline="0" fieldPosition="0">
        <references count="1">
          <reference field="4294967294" count="1">
            <x v="0"/>
          </reference>
        </references>
      </pivotArea>
    </format>
    <format dxfId="538">
      <pivotArea dataOnly="0" labelOnly="1" outline="0" fieldPosition="0">
        <references count="1">
          <reference field="4294967294" count="1">
            <x v="1"/>
          </reference>
        </references>
      </pivotArea>
    </format>
    <format dxfId="537">
      <pivotArea dataOnly="0" labelOnly="1" outline="0" fieldPosition="0">
        <references count="1">
          <reference field="4294967294" count="1">
            <x v="2"/>
          </reference>
        </references>
      </pivotArea>
    </format>
    <format dxfId="536">
      <pivotArea dataOnly="0" labelOnly="1" outline="0" fieldPosition="0">
        <references count="1">
          <reference field="4294967294" count="1">
            <x v="0"/>
          </reference>
        </references>
      </pivotArea>
    </format>
    <format dxfId="535">
      <pivotArea dataOnly="0" labelOnly="1" outline="0" fieldPosition="0">
        <references count="1">
          <reference field="4294967294" count="1">
            <x v="1"/>
          </reference>
        </references>
      </pivotArea>
    </format>
    <format dxfId="534">
      <pivotArea dataOnly="0" labelOnly="1" outline="0" fieldPosition="0">
        <references count="1">
          <reference field="4294967294" count="1">
            <x v="2"/>
          </reference>
        </references>
      </pivotArea>
    </format>
    <format dxfId="533">
      <pivotArea dataOnly="0" labelOnly="1" outline="0" fieldPosition="0">
        <references count="1">
          <reference field="4294967294" count="4">
            <x v="0"/>
            <x v="1"/>
            <x v="2"/>
            <x v="3"/>
          </reference>
        </references>
      </pivotArea>
    </format>
    <format dxfId="532">
      <pivotArea type="all" dataOnly="0" outline="0" fieldPosition="0"/>
    </format>
    <format dxfId="531">
      <pivotArea outline="0" collapsedLevelsAreSubtotals="1" fieldPosition="0"/>
    </format>
    <format dxfId="530">
      <pivotArea field="2" type="button" dataOnly="0" labelOnly="1" outline="0" axis="axisRow" fieldPosition="0"/>
    </format>
    <format dxfId="529">
      <pivotArea dataOnly="0" labelOnly="1" fieldPosition="0">
        <references count="1">
          <reference field="2" count="0"/>
        </references>
      </pivotArea>
    </format>
    <format dxfId="528">
      <pivotArea dataOnly="0" labelOnly="1" grandRow="1" outline="0" fieldPosition="0"/>
    </format>
    <format dxfId="52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5C454F-5784-4941-8064-88FF29EE06AD}" name="PivotTable22" cacheId="13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5:I24" firstHeaderRow="0" firstDataRow="1" firstDataCol="1"/>
  <pivotFields count="12">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sd="0" x="6"/>
        <item sd="0" x="7"/>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8">
    <i>
      <x/>
    </i>
    <i i="1">
      <x v="1"/>
    </i>
    <i i="2">
      <x v="2"/>
    </i>
    <i i="3">
      <x v="3"/>
    </i>
    <i i="4">
      <x v="4"/>
    </i>
    <i i="5">
      <x v="5"/>
    </i>
    <i i="6">
      <x v="6"/>
    </i>
    <i i="7">
      <x v="7"/>
    </i>
  </colItems>
  <dataFields count="8">
    <dataField name="Sum of 1. Material is useful or partially useful with some comments for improvement" fld="4" baseField="0" baseItem="0"/>
    <dataField name="Sum of Material should be appended to ISAE 3000 (Revised)" fld="5" baseField="0" baseItem="0"/>
    <dataField name="Sum of Material should be incorporated into the guidance document" fld="6" baseField="0" baseItem="0"/>
    <dataField name="Sum of Material should be published alongside guidance document" fld="7" baseField="0" baseItem="0"/>
    <dataField name="Sum of Other comments on the additional papers" fld="8" baseField="0" baseItem="0"/>
    <dataField name="Sum of Response does not address publication or does not have a preference" fld="9" baseField="0" baseItem="0"/>
    <dataField name="Sum of 2. Publication of material not supported at all" fld="10" baseField="0" baseItem="0"/>
    <dataField name="Sum of 3. No comment" fld="11" baseField="0" baseItem="0"/>
  </dataFields>
  <formats count="34">
    <format dxfId="526">
      <pivotArea type="all" dataOnly="0" outline="0" fieldPosition="0"/>
    </format>
    <format dxfId="525">
      <pivotArea outline="0" collapsedLevelsAreSubtotals="1" fieldPosition="0"/>
    </format>
    <format dxfId="524">
      <pivotArea field="2" type="button" dataOnly="0" labelOnly="1" outline="0" axis="axisRow" fieldPosition="0"/>
    </format>
    <format dxfId="523">
      <pivotArea dataOnly="0" labelOnly="1" fieldPosition="0">
        <references count="1">
          <reference field="2" count="0"/>
        </references>
      </pivotArea>
    </format>
    <format dxfId="522">
      <pivotArea dataOnly="0" labelOnly="1" grandRow="1" outline="0" fieldPosition="0"/>
    </format>
    <format dxfId="521">
      <pivotArea dataOnly="0" labelOnly="1" outline="0" fieldPosition="0">
        <references count="1">
          <reference field="4294967294" count="8">
            <x v="0"/>
            <x v="1"/>
            <x v="2"/>
            <x v="3"/>
            <x v="4"/>
            <x v="5"/>
            <x v="6"/>
            <x v="7"/>
          </reference>
        </references>
      </pivotArea>
    </format>
    <format dxfId="520">
      <pivotArea type="all" dataOnly="0" outline="0" fieldPosition="0"/>
    </format>
    <format dxfId="519">
      <pivotArea outline="0" collapsedLevelsAreSubtotals="1" fieldPosition="0"/>
    </format>
    <format dxfId="518">
      <pivotArea field="2" type="button" dataOnly="0" labelOnly="1" outline="0" axis="axisRow" fieldPosition="0"/>
    </format>
    <format dxfId="517">
      <pivotArea dataOnly="0" labelOnly="1" fieldPosition="0">
        <references count="1">
          <reference field="2" count="0"/>
        </references>
      </pivotArea>
    </format>
    <format dxfId="516">
      <pivotArea dataOnly="0" labelOnly="1" grandRow="1" outline="0" fieldPosition="0"/>
    </format>
    <format dxfId="515">
      <pivotArea dataOnly="0" labelOnly="1" outline="0" fieldPosition="0">
        <references count="1">
          <reference field="4294967294" count="8">
            <x v="0"/>
            <x v="1"/>
            <x v="2"/>
            <x v="3"/>
            <x v="4"/>
            <x v="5"/>
            <x v="6"/>
            <x v="7"/>
          </reference>
        </references>
      </pivotArea>
    </format>
    <format dxfId="514">
      <pivotArea field="2" type="button" dataOnly="0" labelOnly="1" outline="0" axis="axisRow" fieldPosition="0"/>
    </format>
    <format dxfId="513">
      <pivotArea dataOnly="0" labelOnly="1" outline="0" fieldPosition="0">
        <references count="1">
          <reference field="4294967294" count="8">
            <x v="0"/>
            <x v="1"/>
            <x v="2"/>
            <x v="3"/>
            <x v="4"/>
            <x v="5"/>
            <x v="6"/>
            <x v="7"/>
          </reference>
        </references>
      </pivotArea>
    </format>
    <format dxfId="512">
      <pivotArea type="all" dataOnly="0" outline="0" fieldPosition="0"/>
    </format>
    <format dxfId="511">
      <pivotArea outline="0" collapsedLevelsAreSubtotals="1" fieldPosition="0"/>
    </format>
    <format dxfId="510">
      <pivotArea field="2" type="button" dataOnly="0" labelOnly="1" outline="0" axis="axisRow" fieldPosition="0"/>
    </format>
    <format dxfId="509">
      <pivotArea dataOnly="0" labelOnly="1" fieldPosition="0">
        <references count="1">
          <reference field="2" count="0"/>
        </references>
      </pivotArea>
    </format>
    <format dxfId="508">
      <pivotArea dataOnly="0" labelOnly="1" grandRow="1" outline="0" fieldPosition="0"/>
    </format>
    <format dxfId="507">
      <pivotArea dataOnly="0" labelOnly="1" outline="0" fieldPosition="0">
        <references count="1">
          <reference field="4294967294" count="8">
            <x v="0"/>
            <x v="1"/>
            <x v="2"/>
            <x v="3"/>
            <x v="4"/>
            <x v="5"/>
            <x v="6"/>
            <x v="7"/>
          </reference>
        </references>
      </pivotArea>
    </format>
    <format dxfId="506">
      <pivotArea dataOnly="0" labelOnly="1" outline="0" fieldPosition="0">
        <references count="1">
          <reference field="4294967294" count="6">
            <x v="0"/>
            <x v="1"/>
            <x v="2"/>
            <x v="3"/>
            <x v="4"/>
            <x v="5"/>
          </reference>
        </references>
      </pivotArea>
    </format>
    <format dxfId="505">
      <pivotArea dataOnly="0" labelOnly="1" outline="0" fieldPosition="0">
        <references count="1">
          <reference field="4294967294" count="5">
            <x v="1"/>
            <x v="2"/>
            <x v="3"/>
            <x v="4"/>
            <x v="5"/>
          </reference>
        </references>
      </pivotArea>
    </format>
    <format dxfId="504">
      <pivotArea dataOnly="0" labelOnly="1" outline="0" fieldPosition="0">
        <references count="1">
          <reference field="4294967294" count="1">
            <x v="6"/>
          </reference>
        </references>
      </pivotArea>
    </format>
    <format dxfId="503">
      <pivotArea dataOnly="0" labelOnly="1" outline="0" fieldPosition="0">
        <references count="1">
          <reference field="4294967294" count="1">
            <x v="7"/>
          </reference>
        </references>
      </pivotArea>
    </format>
    <format dxfId="502">
      <pivotArea dataOnly="0" labelOnly="1" outline="0" fieldPosition="0">
        <references count="1">
          <reference field="4294967294" count="6">
            <x v="0"/>
            <x v="1"/>
            <x v="2"/>
            <x v="3"/>
            <x v="4"/>
            <x v="5"/>
          </reference>
        </references>
      </pivotArea>
    </format>
    <format dxfId="501">
      <pivotArea dataOnly="0" labelOnly="1" outline="0" fieldPosition="0">
        <references count="1">
          <reference field="4294967294" count="1">
            <x v="7"/>
          </reference>
        </references>
      </pivotArea>
    </format>
    <format dxfId="500">
      <pivotArea dataOnly="0" labelOnly="1" outline="0" fieldPosition="0">
        <references count="1">
          <reference field="4294967294" count="8">
            <x v="0"/>
            <x v="1"/>
            <x v="2"/>
            <x v="3"/>
            <x v="4"/>
            <x v="5"/>
            <x v="6"/>
            <x v="7"/>
          </reference>
        </references>
      </pivotArea>
    </format>
    <format dxfId="499">
      <pivotArea field="2" type="button" dataOnly="0" labelOnly="1" outline="0" axis="axisRow" fieldPosition="0"/>
    </format>
    <format dxfId="498">
      <pivotArea type="all" dataOnly="0" outline="0" fieldPosition="0"/>
    </format>
    <format dxfId="497">
      <pivotArea outline="0" collapsedLevelsAreSubtotals="1" fieldPosition="0"/>
    </format>
    <format dxfId="496">
      <pivotArea field="2" type="button" dataOnly="0" labelOnly="1" outline="0" axis="axisRow" fieldPosition="0"/>
    </format>
    <format dxfId="495">
      <pivotArea dataOnly="0" labelOnly="1" fieldPosition="0">
        <references count="1">
          <reference field="2" count="0"/>
        </references>
      </pivotArea>
    </format>
    <format dxfId="494">
      <pivotArea dataOnly="0" labelOnly="1" grandRow="1" outline="0" fieldPosition="0"/>
    </format>
    <format dxfId="493">
      <pivotArea dataOnly="0" labelOnly="1" outline="0" fieldPosition="0">
        <references count="1">
          <reference field="4294967294" count="8">
            <x v="0"/>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A51DED-19BB-4C2D-9571-8A9E4CB15EF3}" name="PivotTable24" cacheId="9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spondent">
  <location ref="A12:G21" firstHeaderRow="0" firstDataRow="1" firstDataCol="1"/>
  <pivotFields count="10">
    <pivotField showAll="0"/>
    <pivotField axis="axisRow" showAll="0">
      <items count="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axis="axisRow" showAll="0">
      <items count="9">
        <item sd="0" x="0"/>
        <item sd="0" x="1"/>
        <item sd="0" x="2"/>
        <item sd="0" x="3"/>
        <item sd="0" x="4"/>
        <item sd="0" x="5"/>
        <item sd="0" x="6"/>
        <item sd="0" x="7"/>
        <item t="default" sd="0"/>
      </items>
    </pivotField>
    <pivotField showAll="0"/>
    <pivotField dataField="1" showAll="0"/>
    <pivotField dataField="1" showAll="0"/>
    <pivotField dataField="1" showAll="0"/>
    <pivotField dataField="1" showAll="0"/>
    <pivotField dataField="1" showAll="0"/>
    <pivotField dataField="1" showAll="0"/>
  </pivotFields>
  <rowFields count="2">
    <field x="2"/>
    <field x="1"/>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1. Translation" fld="4" baseField="0" baseItem="0"/>
    <dataField name="Sum of 2. Stakeholder perspectives" fld="5" baseField="0" baseItem="0"/>
    <dataField name="Sum of 3. Developing nations" fld="6" baseField="0" baseItem="0"/>
    <dataField name="Sum of 4. No specific comments" fld="7" baseField="0" baseItem="0"/>
    <dataField name="Sum of 5. General comments" fld="8" baseField="0" baseItem="0"/>
    <dataField name="Sum of Total" fld="9" baseField="0" baseItem="0"/>
  </dataFields>
  <formats count="37">
    <format dxfId="492">
      <pivotArea type="all" dataOnly="0" outline="0" fieldPosition="0"/>
    </format>
    <format dxfId="491">
      <pivotArea outline="0" collapsedLevelsAreSubtotals="1" fieldPosition="0"/>
    </format>
    <format dxfId="490">
      <pivotArea field="2" type="button" dataOnly="0" labelOnly="1" outline="0" axis="axisRow" fieldPosition="0"/>
    </format>
    <format dxfId="489">
      <pivotArea dataOnly="0" labelOnly="1" fieldPosition="0">
        <references count="1">
          <reference field="2" count="0"/>
        </references>
      </pivotArea>
    </format>
    <format dxfId="488">
      <pivotArea dataOnly="0" labelOnly="1" grandRow="1" outline="0" fieldPosition="0"/>
    </format>
    <format dxfId="487">
      <pivotArea dataOnly="0" labelOnly="1" outline="0" fieldPosition="0">
        <references count="1">
          <reference field="4294967294" count="6">
            <x v="0"/>
            <x v="1"/>
            <x v="2"/>
            <x v="3"/>
            <x v="4"/>
            <x v="5"/>
          </reference>
        </references>
      </pivotArea>
    </format>
    <format dxfId="486">
      <pivotArea type="all" dataOnly="0" outline="0" fieldPosition="0"/>
    </format>
    <format dxfId="485">
      <pivotArea outline="0" collapsedLevelsAreSubtotals="1" fieldPosition="0"/>
    </format>
    <format dxfId="484">
      <pivotArea field="2" type="button" dataOnly="0" labelOnly="1" outline="0" axis="axisRow" fieldPosition="0"/>
    </format>
    <format dxfId="483">
      <pivotArea dataOnly="0" labelOnly="1" fieldPosition="0">
        <references count="1">
          <reference field="2" count="0"/>
        </references>
      </pivotArea>
    </format>
    <format dxfId="482">
      <pivotArea dataOnly="0" labelOnly="1" grandRow="1" outline="0" fieldPosition="0"/>
    </format>
    <format dxfId="481">
      <pivotArea dataOnly="0" labelOnly="1" outline="0" fieldPosition="0">
        <references count="1">
          <reference field="4294967294" count="6">
            <x v="0"/>
            <x v="1"/>
            <x v="2"/>
            <x v="3"/>
            <x v="4"/>
            <x v="5"/>
          </reference>
        </references>
      </pivotArea>
    </format>
    <format dxfId="480">
      <pivotArea dataOnly="0" labelOnly="1" outline="0" fieldPosition="0">
        <references count="1">
          <reference field="4294967294" count="5">
            <x v="0"/>
            <x v="1"/>
            <x v="2"/>
            <x v="3"/>
            <x v="4"/>
          </reference>
        </references>
      </pivotArea>
    </format>
    <format dxfId="479">
      <pivotArea dataOnly="0" labelOnly="1" outline="0" fieldPosition="0">
        <references count="1">
          <reference field="4294967294" count="5">
            <x v="0"/>
            <x v="1"/>
            <x v="2"/>
            <x v="3"/>
            <x v="4"/>
          </reference>
        </references>
      </pivotArea>
    </format>
    <format dxfId="478">
      <pivotArea type="all" dataOnly="0" outline="0" fieldPosition="0"/>
    </format>
    <format dxfId="477">
      <pivotArea outline="0" collapsedLevelsAreSubtotals="1" fieldPosition="0"/>
    </format>
    <format dxfId="476">
      <pivotArea field="2" type="button" dataOnly="0" labelOnly="1" outline="0" axis="axisRow" fieldPosition="0"/>
    </format>
    <format dxfId="475">
      <pivotArea dataOnly="0" labelOnly="1" fieldPosition="0">
        <references count="1">
          <reference field="2" count="0"/>
        </references>
      </pivotArea>
    </format>
    <format dxfId="474">
      <pivotArea dataOnly="0" labelOnly="1" grandRow="1" outline="0" fieldPosition="0"/>
    </format>
    <format dxfId="473">
      <pivotArea dataOnly="0" labelOnly="1" outline="0" fieldPosition="0">
        <references count="1">
          <reference field="4294967294" count="6">
            <x v="0"/>
            <x v="1"/>
            <x v="2"/>
            <x v="3"/>
            <x v="4"/>
            <x v="5"/>
          </reference>
        </references>
      </pivotArea>
    </format>
    <format dxfId="472">
      <pivotArea field="2" type="button" dataOnly="0" labelOnly="1" outline="0" axis="axisRow" fieldPosition="0"/>
    </format>
    <format dxfId="471">
      <pivotArea dataOnly="0" labelOnly="1" outline="0" fieldPosition="0">
        <references count="1">
          <reference field="4294967294" count="6">
            <x v="0"/>
            <x v="1"/>
            <x v="2"/>
            <x v="3"/>
            <x v="4"/>
            <x v="5"/>
          </reference>
        </references>
      </pivotArea>
    </format>
    <format dxfId="470">
      <pivotArea dataOnly="0" labelOnly="1" outline="0" fieldPosition="0">
        <references count="1">
          <reference field="4294967294" count="6">
            <x v="0"/>
            <x v="1"/>
            <x v="2"/>
            <x v="3"/>
            <x v="4"/>
            <x v="5"/>
          </reference>
        </references>
      </pivotArea>
    </format>
    <format dxfId="469">
      <pivotArea dataOnly="0" labelOnly="1" outline="0" fieldPosition="0">
        <references count="1">
          <reference field="4294967294" count="6">
            <x v="0"/>
            <x v="1"/>
            <x v="2"/>
            <x v="3"/>
            <x v="4"/>
            <x v="5"/>
          </reference>
        </references>
      </pivotArea>
    </format>
    <format dxfId="468">
      <pivotArea field="2" type="button" dataOnly="0" labelOnly="1" outline="0" axis="axisRow" fieldPosition="0"/>
    </format>
    <format dxfId="467">
      <pivotArea type="all" dataOnly="0" outline="0" fieldPosition="0"/>
    </format>
    <format dxfId="466">
      <pivotArea outline="0" collapsedLevelsAreSubtotals="1" fieldPosition="0"/>
    </format>
    <format dxfId="465">
      <pivotArea field="2" type="button" dataOnly="0" labelOnly="1" outline="0" axis="axisRow" fieldPosition="0"/>
    </format>
    <format dxfId="464">
      <pivotArea dataOnly="0" labelOnly="1" fieldPosition="0">
        <references count="1">
          <reference field="2" count="0"/>
        </references>
      </pivotArea>
    </format>
    <format dxfId="463">
      <pivotArea dataOnly="0" labelOnly="1" grandRow="1" outline="0" fieldPosition="0"/>
    </format>
    <format dxfId="462">
      <pivotArea dataOnly="0" labelOnly="1" outline="0" fieldPosition="0">
        <references count="1">
          <reference field="4294967294" count="6">
            <x v="0"/>
            <x v="1"/>
            <x v="2"/>
            <x v="3"/>
            <x v="4"/>
            <x v="5"/>
          </reference>
        </references>
      </pivotArea>
    </format>
    <format dxfId="461">
      <pivotArea type="all" dataOnly="0" outline="0" fieldPosition="0"/>
    </format>
    <format dxfId="460">
      <pivotArea outline="0" collapsedLevelsAreSubtotals="1" fieldPosition="0"/>
    </format>
    <format dxfId="459">
      <pivotArea field="2" type="button" dataOnly="0" labelOnly="1" outline="0" axis="axisRow" fieldPosition="0"/>
    </format>
    <format dxfId="458">
      <pivotArea dataOnly="0" labelOnly="1" fieldPosition="0">
        <references count="1">
          <reference field="2" count="0"/>
        </references>
      </pivotArea>
    </format>
    <format dxfId="457">
      <pivotArea dataOnly="0" labelOnly="1" grandRow="1" outline="0" fieldPosition="0"/>
    </format>
    <format dxfId="456">
      <pivotArea dataOnly="0" labelOnly="1" outline="0" fieldPosition="0">
        <references count="1">
          <reference field="4294967294" count="6">
            <x v="0"/>
            <x v="1"/>
            <x v="2"/>
            <x v="3"/>
            <x v="4"/>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289776-6594-441C-89DE-E611343907FD}" name="Table1" displayName="Table1" ref="A1:H53" totalsRowShown="0">
  <autoFilter ref="A1:H53" xr:uid="{46646872-E545-43B1-B43C-2468489F7042}"/>
  <tableColumns count="8">
    <tableColumn id="1" xr3:uid="{FF32C4C3-B7B9-4A1B-BECC-7F8E0EEE5608}" name="Respondent"/>
    <tableColumn id="2" xr3:uid="{123B3BE2-B92F-4792-83E3-25DB8F409711}" name="Respondent2"/>
    <tableColumn id="3" xr3:uid="{EB228C32-0B4D-415D-90A8-7568B9D0BA51}" name="Classification"/>
    <tableColumn id="4" xr3:uid="{3D640BAD-6EEB-43AD-9158-6BBC77260B01}" name="Region"/>
    <tableColumn id="5" xr3:uid="{8B8C3DA5-15C0-41A1-BC49-0155C7EBEC28}" name="1. Agreed"/>
    <tableColumn id="6" xr3:uid="{B930D676-C235-4AD3-B58B-CB8ECF99E711}" name="2. Agree but with futher comments"/>
    <tableColumn id="7" xr3:uid="{B3F9553E-108D-49F9-934A-722304EB4FF3}" name="3. Disagreed"/>
    <tableColumn id="8" xr3:uid="{92580BB1-FB1F-49D8-9661-7802F6777F9C}" name="Tot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7AB6A6C-87B3-4689-A13A-4442D02D1200}" name="Table10" displayName="Table10" ref="A1:H2" totalsRowShown="0">
  <autoFilter ref="A1:H2" xr:uid="{EB1FE4A2-F3D2-47AF-A90D-2B1AE44D55C2}"/>
  <tableColumns count="8">
    <tableColumn id="1" xr3:uid="{E507CC74-18B4-4EE9-BE24-6E5DE2957471}" name="Respondent"/>
    <tableColumn id="2" xr3:uid="{001B4B59-7EEE-42B0-AF6B-2697EB4D1418}" name="Respondent2"/>
    <tableColumn id="3" xr3:uid="{BF251A03-F7F4-4C42-ABC1-0A1E2E24B2A7}" name="Classification"/>
    <tableColumn id="4" xr3:uid="{8FB43990-20D2-4864-B3CE-5D75DB8FA519}" name="Region"/>
    <tableColumn id="5" xr3:uid="{93C2C16E-3D76-4B27-A031-E045CDEB91BD}" name="1. Agreed"/>
    <tableColumn id="6" xr3:uid="{F8704838-8A87-4DD6-80C1-6049ED683D98}" name="2. Agree but with futher comments"/>
    <tableColumn id="7" xr3:uid="{4F0B7F7B-A43E-4BC6-8FD6-03282AFC6E80}" name="3. Disagreed"/>
    <tableColumn id="8" xr3:uid="{FA63DDA4-5ACF-4194-9AD1-D1A13745785A}" name="Tot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F275FC-E90E-4B94-A57C-6671CE29712E}" name="Table6" displayName="Table6" ref="A1:Z53" totalsRowShown="0">
  <autoFilter ref="A1:Z53" xr:uid="{2CA10711-82C8-441E-98F0-E3A4C94D34C9}"/>
  <tableColumns count="26">
    <tableColumn id="1" xr3:uid="{8A4239D7-50BC-4F1B-9329-EF6101E53B9E}" name="Respondent"/>
    <tableColumn id="2" xr3:uid="{647381A6-4AF9-49AA-A0DF-2F4A7393693B}" name="Respondent2"/>
    <tableColumn id="3" xr3:uid="{A605DCBA-184E-485A-9B19-0CCFF8CDA9A0}" name="Classification"/>
    <tableColumn id="4" xr3:uid="{43A6E375-7312-4313-8369-EDABBCB28D6B}" name="Region"/>
    <tableColumn id="5" xr3:uid="{D89E6A40-D19B-4316-ACCD-28B099C05BB2}" name="1. Agreed"/>
    <tableColumn id="6" xr3:uid="{7B91C448-E8E4-4607-8F3B-E0711FE9506F}" name="2. Agree but with futher comments"/>
    <tableColumn id="7" xr3:uid="{C27D540A-AFF5-4685-9491-3B6027D492A3}" name="Assertions"/>
    <tableColumn id="8" xr3:uid="{6579132B-26EE-4614-BB12-C4E5169C1D7C}" name="Financial information in EER reports"/>
    <tableColumn id="9" xr3:uid="{9DD63339-02B0-473C-881C-67624F639C07}" name="Governance and internal control"/>
    <tableColumn id="10" xr3:uid="{19054A00-364C-4840-91B1-D05E85C3C10D}" name="Impact of technological advancements"/>
    <tableColumn id="11" xr3:uid="{2349B4A7-2935-400B-84EF-B0D6A289EDB1}" name="Limited and reasonable assurance"/>
    <tableColumn id="12" xr3:uid="{334789EC-6BF9-46C6-AAC3-DE57939D671A}" name="Materiality considerations"/>
    <tableColumn id="13" xr3:uid="{B0E1146F-60A7-4FC9-BCD7-2FECAD34450A}" name="'Materiality process' for developing the criteria"/>
    <tableColumn id="14" xr3:uid="{4EBD7820-6D4D-4EED-B139-519F968BFFF0}" name="Narrative and future-oriented Information"/>
    <tableColumn id="15" xr3:uid="{D7A2A7C2-A56A-4A23-BA56-8B068AA2239D}" name="Other (non-project proposal or allocated to phase 2)"/>
    <tableColumn id="16" xr3:uid="{669D1631-0B32-4FD1-B8F3-89D4D2071747}" name="Other information in an EER report"/>
    <tableColumn id="17" xr3:uid="{672D2349-7EDC-4DED-8325-7EA1C9F3C010}" name="Preconditions"/>
    <tableColumn id="18" xr3:uid="{462F9BD2-7B7D-407B-808B-F4CBBAC6BF1A}" name="Quality control and ethics (ISQC 1 and IESBA)"/>
    <tableColumn id="19" xr3:uid="{C95B4B0C-1B1B-495B-A0F4-890C5E02645F}" name="Scope of guidance - Clarify EER, intended audience and purpose"/>
    <tableColumn id="20" xr3:uid="{E189AEB7-B3CC-49EE-BDA1-2B8C92CABFFC}" name="Using the work of others"/>
    <tableColumn id="21" xr3:uid="{4FC2F732-2DED-4472-B7EF-C4286E81C5DC}" name="3. Disagreed"/>
    <tableColumn id="22" xr3:uid="{73393119-81C5-4B41-87C6-CEB7A04A394A}" name="Country specific considerations"/>
    <tableColumn id="23" xr3:uid="{643B3C22-A7B9-4B2C-B893-2BD0A33AF78F}" name="Limited and reasonable assurance2"/>
    <tableColumn id="24" xr3:uid="{874D10F3-D87F-4D56-B1FF-0F58AB9360A7}" name="Other (non-project proposal or allocated to phase 2)2"/>
    <tableColumn id="25" xr3:uid="{BC96AF35-ACD9-4F60-92AF-133C5006A472}" name="Practical application"/>
    <tableColumn id="26" xr3:uid="{5776FDE4-77CC-4FD3-8E9C-8E396E04E1F9}" name="Scop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813D51-54E7-4485-BFCC-330BD94F69D1}" name="Table2" displayName="Table2" ref="A1:Z2" totalsRowShown="0">
  <autoFilter ref="A1:Z2" xr:uid="{E78DC01A-D651-4B94-9F37-62184A84E757}"/>
  <tableColumns count="26">
    <tableColumn id="1" xr3:uid="{DB20103E-1D11-45C2-B9F5-F494D063DC2B}" name="Respondent"/>
    <tableColumn id="2" xr3:uid="{D994380A-445B-4B73-A931-D2DB6AD31DD1}" name="Respondent2"/>
    <tableColumn id="3" xr3:uid="{069C0714-0FF4-441C-A6FF-79658F8C6354}" name="Classification"/>
    <tableColumn id="4" xr3:uid="{26BFBFAF-90CC-4563-9373-F0EE405D8D1E}" name="Region"/>
    <tableColumn id="5" xr3:uid="{66D0FAA5-5615-46DE-89DB-0F77E493D4C6}" name="1. Agreed"/>
    <tableColumn id="6" xr3:uid="{F5CAA42E-3672-4281-9934-FA416C3D5BF7}" name="2. Agree but with futher comments"/>
    <tableColumn id="7" xr3:uid="{970C8F71-A6C6-40A9-A665-48B5D1D80E00}" name="Assertions"/>
    <tableColumn id="8" xr3:uid="{1A7E48D4-AA56-45CB-8437-C46FC17F6FAC}" name="Financial information in EER reports"/>
    <tableColumn id="9" xr3:uid="{3FD0600E-9C54-417E-BF1A-B1EBCC3BF7F7}" name="Governance and internal control"/>
    <tableColumn id="10" xr3:uid="{FA5CED39-5484-4EEE-86C5-CACCE3BCEC73}" name="Impact of technological advancements"/>
    <tableColumn id="11" xr3:uid="{D502100F-5681-43DB-823C-D8713578AA59}" name="Limited and reasonable assurance"/>
    <tableColumn id="12" xr3:uid="{05809F62-367A-46D0-9ACC-0C5B81B3359E}" name="Materiality considerations"/>
    <tableColumn id="13" xr3:uid="{09344CC0-0330-4BD8-9051-C982AD3FCB86}" name="'Materiality process' for developing the criteria"/>
    <tableColumn id="14" xr3:uid="{DBEE97F0-1E8C-4FC1-AB29-306AA05B96E2}" name="Narrative and future-oriented Information"/>
    <tableColumn id="15" xr3:uid="{AFA5F08B-6A4C-4588-8747-5EF85F3BD5B7}" name="Other (non-project proposal or allocated to phase 2)"/>
    <tableColumn id="16" xr3:uid="{6F6A74C8-1E61-48EA-A240-3373F33D3E2D}" name="Other information in an EER report"/>
    <tableColumn id="17" xr3:uid="{86BF9B2B-F56C-4FA0-84F9-96314CE88072}" name="Preconditions"/>
    <tableColumn id="18" xr3:uid="{7E110C3D-9301-4360-A5B8-3CC83E261D8F}" name="Quality control and ethics (ISQC 1 and IESBA)"/>
    <tableColumn id="19" xr3:uid="{1D459F38-DE04-4CB8-AFF2-FD057C06D7FC}" name="Scope of guidance - Clarify EER, intended audience and purpose"/>
    <tableColumn id="20" xr3:uid="{8432E9E8-FB2B-4583-9EBF-E81853290C80}" name="Using the work of others"/>
    <tableColumn id="21" xr3:uid="{98F12B72-DEC4-4F48-8A53-6D595936959E}" name="3. Disagreed"/>
    <tableColumn id="22" xr3:uid="{A027E94E-738C-4DC4-A926-4F7509194522}" name="Country specific considerations"/>
    <tableColumn id="23" xr3:uid="{EDAC130A-33DB-4E1D-8845-A26976E6B384}" name="Limited and reasonable assurance2"/>
    <tableColumn id="24" xr3:uid="{0150C178-59C9-46F0-B6ED-992E4A50AF56}" name="Other (non-project proposal or allocated to phase 2)2"/>
    <tableColumn id="25" xr3:uid="{1F034CC6-4A22-427C-B8C0-5A79E081B68F}" name="Practical application"/>
    <tableColumn id="26" xr3:uid="{41F1BF7C-E979-4E4C-A266-7CCECD31506A}" name="Scop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9CABE99-6C50-47A6-BCE2-8B73CF3BC0F2}" name="Table7" displayName="Table7" ref="A1:Z2" totalsRowShown="0">
  <autoFilter ref="A1:Z2" xr:uid="{9A7A484A-889B-425E-99B8-676218731EC9}"/>
  <tableColumns count="26">
    <tableColumn id="1" xr3:uid="{71A26B9A-1F28-48A6-B5E4-005BCBF76FC2}" name="Respondent"/>
    <tableColumn id="2" xr3:uid="{7EFF572E-EDC5-4DD7-8EAF-6E27EFFFB9AE}" name="Respondent2"/>
    <tableColumn id="3" xr3:uid="{C4981DAA-6C72-4A65-AEF4-5A08CA26052A}" name="Classification"/>
    <tableColumn id="4" xr3:uid="{72DDEF41-3FE0-410C-B921-DB3FBF5170C5}" name="Region"/>
    <tableColumn id="5" xr3:uid="{372960DA-24F9-4214-B901-9FFDAA98BE0B}" name="1. Agreed"/>
    <tableColumn id="6" xr3:uid="{2542131F-C7A4-4C5B-892D-DA19B4C729DE}" name="2. Agree but with futher comments"/>
    <tableColumn id="7" xr3:uid="{9A06B63A-911F-492E-A5BC-92866412C59F}" name="Assertions"/>
    <tableColumn id="8" xr3:uid="{5ECB8911-0C10-4AED-A1C8-3F52AA9156CA}" name="Financial information in EER reports"/>
    <tableColumn id="9" xr3:uid="{A8CB6A78-B67F-453A-AE02-E4C6878B9024}" name="Governance and internal control"/>
    <tableColumn id="10" xr3:uid="{A5BB3734-B62F-4896-88C8-F135E5CCC613}" name="Impact of technological advancements"/>
    <tableColumn id="11" xr3:uid="{4AF7965D-FF91-4BB6-A196-2C3510FAE341}" name="Limited and reasonable assurance"/>
    <tableColumn id="12" xr3:uid="{A6E33ED6-469D-480A-8A73-317A71054546}" name="Materiality considerations"/>
    <tableColumn id="13" xr3:uid="{AFD53F19-527D-47B4-9B30-F7FA7C7A3BC1}" name="'Materiality process' for developing the criteria"/>
    <tableColumn id="14" xr3:uid="{40CD69A7-AB14-4EFC-A6A8-D22F8E42CA88}" name="Narrative and future-oriented Information"/>
    <tableColumn id="15" xr3:uid="{3F275DCA-F629-44FC-9104-CE0CBA6F1DE0}" name="Other (non-project proposal or allocated to phase 2)"/>
    <tableColumn id="16" xr3:uid="{79ADEA61-2A31-4F96-AEA8-6C588D5C77FE}" name="Other information in an EER report"/>
    <tableColumn id="17" xr3:uid="{0C39A752-1EC2-4579-B51C-69823103AAEB}" name="Preconditions"/>
    <tableColumn id="18" xr3:uid="{2878BD8E-9FA0-4A1F-B0C0-73D8F491CAE3}" name="Quality control and ethics (ISQC 1 and IESBA)"/>
    <tableColumn id="19" xr3:uid="{FE913177-283D-46F3-9A6E-777DB2ADBDC6}" name="Scope of guidance - Clarify EER, intended audience and purpose"/>
    <tableColumn id="20" xr3:uid="{D6AC4BE6-1427-41CE-89C5-0CB154EFD4D0}" name="Using the work of others"/>
    <tableColumn id="21" xr3:uid="{AD25DCE1-13D4-4AAB-B97C-228D0680596C}" name="3. Disagreed"/>
    <tableColumn id="22" xr3:uid="{50868A97-5856-44F8-923D-B1FB7ED48BC8}" name="Country specific considerations"/>
    <tableColumn id="23" xr3:uid="{332C7E16-31AD-4313-A974-805E3B9D5427}" name="Limited and reasonable assurance2"/>
    <tableColumn id="24" xr3:uid="{A06B1AED-F1D5-41F6-B1AD-2FC40974918C}" name="Other (non-project proposal or allocated to phase 2)2"/>
    <tableColumn id="25" xr3:uid="{4F0D29C5-A2A2-4BAF-A202-7F9B7366739C}" name="Practical application"/>
    <tableColumn id="26" xr3:uid="{C1DD2BEB-894E-4130-9D67-F67180A2023A}" name="Scopin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C544D2-4041-4049-AA0E-00C4C518449E}" name="Table8" displayName="Table8" ref="A1:Z2" totalsRowShown="0">
  <autoFilter ref="A1:Z2" xr:uid="{4ECAFBB3-7052-405D-AAB8-9BEBA3438DD8}"/>
  <tableColumns count="26">
    <tableColumn id="1" xr3:uid="{116F7D2E-D693-4959-846F-C182A359A339}" name="Respondent"/>
    <tableColumn id="2" xr3:uid="{C145F2CF-B431-4EC7-861D-6F166C7252B6}" name="Respondent2"/>
    <tableColumn id="3" xr3:uid="{68F5E30C-A7D9-4BDC-8962-E6690F9AE0F4}" name="Classification"/>
    <tableColumn id="4" xr3:uid="{7E569E8E-9D01-4627-ACB7-5F77FB74E69B}" name="Region"/>
    <tableColumn id="5" xr3:uid="{703598B3-FFA1-4C60-83B2-296A89B9B684}" name="1. Agreed"/>
    <tableColumn id="6" xr3:uid="{20BFA324-BC34-489F-9469-6068C7C341BB}" name="2. Agree but with futher comments"/>
    <tableColumn id="7" xr3:uid="{8C85B9BA-1078-4976-B1C5-422223742D75}" name="Assertions"/>
    <tableColumn id="8" xr3:uid="{D35D3AAC-FD91-431C-8F65-8B902D631CFF}" name="Financial information in EER reports"/>
    <tableColumn id="9" xr3:uid="{1515CE2C-C153-4A87-B950-28E619C549A6}" name="Governance and internal control"/>
    <tableColumn id="10" xr3:uid="{02722EB7-D22B-4227-978E-8F5781F17DFE}" name="Impact of technological advancements"/>
    <tableColumn id="11" xr3:uid="{F51FBCCC-0D1C-4D98-8B5D-974262BF9426}" name="Limited and reasonable assurance"/>
    <tableColumn id="12" xr3:uid="{1FB725BE-BACF-4650-BB9C-E420739BDCB5}" name="Materiality considerations"/>
    <tableColumn id="13" xr3:uid="{E6411A6F-A27D-4CD7-868B-6E1EE6069047}" name="'Materiality process' for developing the criteria"/>
    <tableColumn id="14" xr3:uid="{91445FF2-11D5-4D2D-9859-A431B31D0094}" name="Narrative and future-oriented Information"/>
    <tableColumn id="15" xr3:uid="{961D60B6-EBCA-4B23-A2B8-234AAE8FF5E1}" name="Other (non-project proposal or allocated to phase 2)"/>
    <tableColumn id="16" xr3:uid="{CC5E6E4C-0775-4CD3-8403-BF2F326F9CBF}" name="Other information in an EER report"/>
    <tableColumn id="17" xr3:uid="{72C4196D-CA4D-4B3A-BB54-088999A8804C}" name="Preconditions"/>
    <tableColumn id="18" xr3:uid="{4512C106-FA74-4039-87D8-0182C03ECCEF}" name="Quality control and ethics (ISQC 1 and IESBA)"/>
    <tableColumn id="19" xr3:uid="{B9F9BC71-C8F7-45DD-97FB-B532C0720532}" name="Scope of guidance - Clarify EER, intended audience and purpose"/>
    <tableColumn id="20" xr3:uid="{0CF97E77-9D09-46E8-8793-9EB79A7BDA6F}" name="Using the work of others"/>
    <tableColumn id="21" xr3:uid="{3F02341E-949A-4157-BAD2-5DB7D007D1D8}" name="3. Disagreed"/>
    <tableColumn id="22" xr3:uid="{0AA317C7-28C1-4BD7-AD66-3A01E340F100}" name="Country specific considerations"/>
    <tableColumn id="23" xr3:uid="{792C9AE9-6E2A-4AD5-AC46-4BB895E8AB53}" name="Limited and reasonable assurance2"/>
    <tableColumn id="24" xr3:uid="{725F1210-F52A-423F-82E4-A8473D504D6A}" name="Other (non-project proposal or allocated to phase 2)2"/>
    <tableColumn id="25" xr3:uid="{EEC8FA4C-0082-4C9A-AFF3-3A47D05EF0F0}" name="Practical application"/>
    <tableColumn id="26" xr3:uid="{FC62DB2D-383F-4052-8131-BD0CFACC4C0B}" name="Scoping"/>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7A5FC3E-D07C-47BD-80F7-AA230DCBEF4E}" name="Table9" displayName="Table9" ref="A1:Z2" totalsRowShown="0">
  <autoFilter ref="A1:Z2" xr:uid="{32B96906-3551-4F34-A46D-174E14D9E7B3}"/>
  <tableColumns count="26">
    <tableColumn id="1" xr3:uid="{573C7DC3-9E65-49DF-907D-F21E3342B273}" name="Respondent"/>
    <tableColumn id="2" xr3:uid="{C6E3E239-0600-40C6-B75C-A25E50BCEA16}" name="Respondent2"/>
    <tableColumn id="3" xr3:uid="{88A5CF92-9744-4AC2-9CD4-AF7C6FE72F34}" name="Classification"/>
    <tableColumn id="4" xr3:uid="{DF3301B7-2561-4F35-9921-4527D23CFA72}" name="Region"/>
    <tableColumn id="5" xr3:uid="{B809C2E5-FD23-4DCC-93DE-ECB26E90FC1B}" name="1. Agreed"/>
    <tableColumn id="6" xr3:uid="{A36DBFC2-194A-4EFD-87BB-7D95A46863E0}" name="2. Agree but with futher comments"/>
    <tableColumn id="7" xr3:uid="{1EFF4BF6-78B4-42A4-9D33-1AEEC5DAFD06}" name="Assertions"/>
    <tableColumn id="8" xr3:uid="{728257F5-933F-45BA-8E06-F7E6A960E000}" name="Financial information in EER reports"/>
    <tableColumn id="9" xr3:uid="{9900AE90-F0BE-4E8C-B688-B4E18A268DAC}" name="Governance and internal control"/>
    <tableColumn id="10" xr3:uid="{AD846F4C-32E1-4993-8E63-0737635106A0}" name="Impact of technological advancements"/>
    <tableColumn id="11" xr3:uid="{F4E7E009-2D64-43AF-85BB-9390C6F510C2}" name="Limited and reasonable assurance"/>
    <tableColumn id="12" xr3:uid="{9DC890B6-357A-4BF1-941A-24A42B5DBD34}" name="Materiality considerations"/>
    <tableColumn id="13" xr3:uid="{AC898764-3927-4B11-B966-E2C26F091272}" name="'Materiality process' for developing the criteria"/>
    <tableColumn id="14" xr3:uid="{6163A20F-AE3F-4EF9-A399-B9516084CC2D}" name="Narrative and future-oriented Information"/>
    <tableColumn id="15" xr3:uid="{52D76BA0-C6F7-40D0-9358-1D3ECF4FCC77}" name="Other (non-project proposal or allocated to phase 2)"/>
    <tableColumn id="16" xr3:uid="{3ED27121-A80C-40DE-8AC2-12E7D52D6B2E}" name="Other information in an EER report"/>
    <tableColumn id="17" xr3:uid="{7A02D781-C5D0-4488-8028-58F7AC8E5E8E}" name="Preconditions"/>
    <tableColumn id="18" xr3:uid="{99ECF209-4913-4927-8924-6ED77B0E75C0}" name="Quality control and ethics (ISQC 1 and IESBA)"/>
    <tableColumn id="19" xr3:uid="{8E3B238E-DD24-4A33-97A9-4A1534D394A0}" name="Scope of guidance - Clarify EER, intended audience and purpose"/>
    <tableColumn id="20" xr3:uid="{4F8D4B6D-FB81-4974-B03E-DF24217E4F77}" name="Using the work of others"/>
    <tableColumn id="21" xr3:uid="{0070CE4F-11AD-420F-A4F8-B934E193BF47}" name="3. Disagreed"/>
    <tableColumn id="22" xr3:uid="{D0032F4B-F2DD-42A3-AF0B-1CB8D97FF31B}" name="Country specific considerations"/>
    <tableColumn id="23" xr3:uid="{C7D8EEA7-680A-4DA9-98A5-BD039ECC1AF6}" name="Limited and reasonable assurance2"/>
    <tableColumn id="24" xr3:uid="{C792900C-15ED-4BF9-9395-8BA4CD92C728}" name="Other (non-project proposal or allocated to phase 2)2"/>
    <tableColumn id="25" xr3:uid="{1208C496-CEE6-41C3-9E58-EBCE478AC903}" name="Practical application"/>
    <tableColumn id="26" xr3:uid="{9A68748D-F1DA-4A76-AACC-E40AAB7D2DBE}" name="Scoping"/>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5FF2EC9-0516-42BF-AF95-78E92F2DBBEF}" name="Table11" displayName="Table11" ref="A1:Z4" totalsRowShown="0">
  <autoFilter ref="A1:Z4" xr:uid="{E06AE5BF-A2C9-4160-9BAD-577B1DFD54C8}"/>
  <tableColumns count="26">
    <tableColumn id="1" xr3:uid="{76938F7D-B39D-4950-BC27-464FCFE80947}" name="Respondent"/>
    <tableColumn id="2" xr3:uid="{56EF57B0-E60E-49E7-9AD7-E8D36E31B9CE}" name="Respondent2"/>
    <tableColumn id="3" xr3:uid="{D5180BD5-E1E1-446F-91A7-90C516196B9B}" name="Classification"/>
    <tableColumn id="4" xr3:uid="{C2EB229A-F52C-470C-AF6D-CBECC6E1F3CA}" name="Region"/>
    <tableColumn id="5" xr3:uid="{6D31973A-CCB1-48F1-BD4E-70C2AF9A0CC7}" name="1. Agreed"/>
    <tableColumn id="6" xr3:uid="{7CC33A8A-7868-4C44-B121-5FF13654C983}" name="2. Agree but with futher comments"/>
    <tableColumn id="7" xr3:uid="{7215A90D-DB88-41A8-967B-1FFAB84482CD}" name="Assertions"/>
    <tableColumn id="8" xr3:uid="{3D02DC61-6A0C-4581-9995-56F7DAD7C215}" name="Financial information in EER reports"/>
    <tableColumn id="9" xr3:uid="{7BE66BB4-C64A-44FE-9B55-23FA9A69FA5B}" name="Governance and internal control"/>
    <tableColumn id="10" xr3:uid="{26DC0D2C-8144-41F3-A0FA-7A69FF6D2825}" name="Impact of technological advancements"/>
    <tableColumn id="11" xr3:uid="{9B17A42A-1AB1-4553-B980-39E776577E1B}" name="Limited and reasonable assurance"/>
    <tableColumn id="12" xr3:uid="{B0BE82D7-9315-4DA5-B5D4-B461C734C3C3}" name="Materiality considerations"/>
    <tableColumn id="13" xr3:uid="{DAB13C20-E270-43FB-9CE8-EA7DACD88E83}" name="'Materiality process' for developing the criteria"/>
    <tableColumn id="14" xr3:uid="{61D4E4EC-8D69-41B7-8873-1A0B138ECE2A}" name="Narrative and future-oriented Information"/>
    <tableColumn id="15" xr3:uid="{461ABC71-AA48-4C2B-9E15-332B873E5ED2}" name="Other (non-project proposal or allocated to phase 2)"/>
    <tableColumn id="16" xr3:uid="{5BBAA106-667B-4295-835B-9E06AF05703C}" name="Other information in an EER report"/>
    <tableColumn id="17" xr3:uid="{976379AA-C18A-4C26-AA28-F83ACA9E2F05}" name="Preconditions"/>
    <tableColumn id="18" xr3:uid="{5BA3B57E-431C-43A6-B652-EC160E3C7FD3}" name="Quality control and ethics (ISQC 1 and IESBA)"/>
    <tableColumn id="19" xr3:uid="{BE82FF56-FAC5-48E9-9FEB-989CAC62D024}" name="Scope of guidance - Clarify EER, intended audience and purpose"/>
    <tableColumn id="20" xr3:uid="{0F09559E-A06C-493F-8062-98DD103C7D12}" name="Using the work of others"/>
    <tableColumn id="21" xr3:uid="{C775225A-C12C-4ED2-BAF1-7FBEB3F32939}" name="3. Disagreed"/>
    <tableColumn id="22" xr3:uid="{BB904C98-9D94-4573-8127-839E0552F169}" name="Country specific considerations"/>
    <tableColumn id="23" xr3:uid="{B7FB2855-E0D9-41A1-A9DD-4CE7C61FA008}" name="Limited and reasonable assurance2"/>
    <tableColumn id="24" xr3:uid="{AA97C10E-BE41-4321-981A-46EB3D3BC37F}" name="Other (non-project proposal or allocated to phase 2)2"/>
    <tableColumn id="25" xr3:uid="{EB6FFBC1-10D9-4BFC-8CDA-7E6D94EA2004}" name="Practical application"/>
    <tableColumn id="26" xr3:uid="{9C907D90-E56E-40F7-ACE5-62494DB4EE65}" name="Scoping"/>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8B48460-BEBD-4AFA-B4BD-B0A45470CB30}" name="Table12" displayName="Table12" ref="A1:G2" totalsRowShown="0">
  <autoFilter ref="A1:G2" xr:uid="{167FD755-B1C0-4076-84FD-8F111B33EC55}"/>
  <tableColumns count="7">
    <tableColumn id="1" xr3:uid="{5FE2E8B1-6210-4D80-A404-867610E61D0B}" name="Respondent"/>
    <tableColumn id="2" xr3:uid="{AE3798DE-BC33-4A5B-BAB0-B4A91232A6FE}" name="Classification"/>
    <tableColumn id="3" xr3:uid="{6216CD93-81C8-4316-8CA6-CB1BEA569462}" name="Region"/>
    <tableColumn id="4" xr3:uid="{395671AF-379C-48F3-9D0C-BB54DD9E5450}" name="1. Agreed"/>
    <tableColumn id="5" xr3:uid="{CF189FA5-0CF2-4094-9D86-0F763F3988F3}" name="2. Agree but with futher comments"/>
    <tableColumn id="6" xr3:uid="{AFD5E3D7-957C-4476-9516-759A056EC2AE}" name="3. Disagreed"/>
    <tableColumn id="7" xr3:uid="{2F3FC732-9CE7-4B76-8A6E-32ECBDEB8EB9}" name="Total"/>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4FAA80A-9008-44ED-9130-D48F7B7102E3}" name="Table13" displayName="Table13" ref="A1:G2" totalsRowShown="0">
  <autoFilter ref="A1:G2" xr:uid="{ADB29D69-D440-45A4-99BA-DBDA2ABD3B0C}"/>
  <tableColumns count="7">
    <tableColumn id="1" xr3:uid="{212D6BF4-3C39-487F-B7C0-CA1F9A349BDA}" name="Respondent"/>
    <tableColumn id="2" xr3:uid="{183E2B8C-2D86-48F2-A574-21122A163669}" name="Classification"/>
    <tableColumn id="3" xr3:uid="{E12104B8-9AF8-4061-B07D-4FB9119A6806}" name="Region"/>
    <tableColumn id="4" xr3:uid="{107A6A66-CD53-417A-80A5-BE0890636EE1}" name="1. Agreed"/>
    <tableColumn id="5" xr3:uid="{CF81553D-2C30-43D4-9A40-44C936B978DA}" name="2. Agree but with futher comments"/>
    <tableColumn id="6" xr3:uid="{0EDFF8BE-A38F-4F23-A258-1442D96E79C0}" name="3. Disagreed"/>
    <tableColumn id="7" xr3:uid="{581E5D2C-3A3D-490E-BF4B-E4AC7F50AED8}" name="Total"/>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E254D88-E674-469B-A194-DF16834D6EC2}" name="Table14" displayName="Table14" ref="A1:G2" totalsRowShown="0">
  <autoFilter ref="A1:G2" xr:uid="{D65E98BD-10DD-4529-ACB4-1253CEC10CF3}"/>
  <tableColumns count="7">
    <tableColumn id="1" xr3:uid="{95944D22-952E-4623-908C-E8E296850C8D}" name="Respondent"/>
    <tableColumn id="2" xr3:uid="{1CF5F1D7-1C5E-4E8E-A08F-635EAA1E48CD}" name="Classification"/>
    <tableColumn id="3" xr3:uid="{3D50C395-4FF5-4C91-BFF2-059FCD6FB5BC}" name="Region"/>
    <tableColumn id="4" xr3:uid="{616B7584-BF77-4437-AEE2-30CB37D13D06}" name="1. Agreed"/>
    <tableColumn id="5" xr3:uid="{C5D3ECA2-EAD1-44ED-B945-0800B80C4F21}" name="2. Agree but with futher comments"/>
    <tableColumn id="6" xr3:uid="{5368A715-0029-4FAD-89A2-5B3FC5B3D8CB}" name="3. Disagreed"/>
    <tableColumn id="7" xr3:uid="{138E67C1-C571-4AE5-B78A-08AE82F2661D}" name="Total"/>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D9628A2-BAC2-4584-8D78-ABFE94EC7BB1}" name="Table15" displayName="Table15" ref="A1:G2" totalsRowShown="0">
  <autoFilter ref="A1:G2" xr:uid="{28299635-76A7-4B2F-9B69-DE8068300CDE}"/>
  <tableColumns count="7">
    <tableColumn id="1" xr3:uid="{E912BE16-D358-4468-91E9-0DA99F00C070}" name="Respondent"/>
    <tableColumn id="2" xr3:uid="{6DFCB981-8F1C-4826-A036-8A9EFC0F808A}" name="Classification"/>
    <tableColumn id="3" xr3:uid="{EC978826-3B85-4C87-8214-6C8589ED9BBB}" name="Region"/>
    <tableColumn id="4" xr3:uid="{579E814B-F12E-43C6-B256-14788ED73CF2}" name="1. Agreed"/>
    <tableColumn id="5" xr3:uid="{F4B1AEC8-FA03-425C-A4EC-B634AD3A6D33}" name="2. Agree but with futher comments"/>
    <tableColumn id="6" xr3:uid="{5526A268-CF90-43AF-9003-8F94A175BCA4}" name="3. Disagreed"/>
    <tableColumn id="7" xr3:uid="{80E569AA-1372-4858-BE3F-AE5DEB5A2C67}" name="Total"/>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478037-9F03-4EE6-9D8C-4C06C6668E4F}" name="Table4" displayName="Table4" ref="A1:H53" totalsRowShown="0">
  <autoFilter ref="A1:H53" xr:uid="{BCB058A9-DA73-4B41-A4BE-A5C3AF497E96}"/>
  <tableColumns count="8">
    <tableColumn id="1" xr3:uid="{A1652AB7-D6D6-4BBC-9B73-1C61CAC68210}" name="Respondent"/>
    <tableColumn id="2" xr3:uid="{11666EDA-DD8F-4748-ABC4-29C0D40B8627}" name="Respondent2"/>
    <tableColumn id="3" xr3:uid="{EB7B9059-1DBE-4BCD-A866-263990580A1C}" name="Classification"/>
    <tableColumn id="4" xr3:uid="{259CED16-FF6B-4FE0-ACF7-BAC01C9C5CD0}" name="Region"/>
    <tableColumn id="5" xr3:uid="{0371ECCD-6E05-48D8-AA78-219C84DB6C2D}" name="1. Material is useful or partially useful with some comments for improvement"/>
    <tableColumn id="6" xr3:uid="{F89179B5-E5AF-48B2-B559-C20E1ECA3A57}" name="2. Publication of material not supported at all"/>
    <tableColumn id="7" xr3:uid="{64E5B783-BD23-4B72-B599-00DCB956A843}" name="3. No comment">
      <calculatedColumnFormula>IF(SUM(Table4[[#This Row],[1. Material is useful or partially useful with some comments for improvement]:[2. Publication of material not supported at all]])=0,1,0)</calculatedColumnFormula>
    </tableColumn>
    <tableColumn id="8" xr3:uid="{55D61245-CB34-4927-BB40-A83B96FB597A}" name="Total">
      <calculatedColumnFormula>SUM(Table4[[#This Row],[1. Material is useful or partially useful with some comments for improvement]:[3. No comment]])</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1E62813-F409-47AD-98DE-D4933CAA0FA0}" name="Table16" displayName="Table16" ref="A1:H2" totalsRowShown="0">
  <autoFilter ref="A1:H2" xr:uid="{A3FE399E-009D-41C0-A652-AC011C78B183}"/>
  <tableColumns count="8">
    <tableColumn id="1" xr3:uid="{8B0C73A3-BE91-4CF0-86DF-4E5548724659}" name="Respondent"/>
    <tableColumn id="2" xr3:uid="{94899ED2-6AD8-4B12-9C04-EEF35B401644}" name="Respondent2"/>
    <tableColumn id="3" xr3:uid="{D1F54414-0508-40B0-9323-887A5612DC95}" name="Classification"/>
    <tableColumn id="4" xr3:uid="{C79886BD-68B8-43F8-9297-C0DBB8620220}" name="Region"/>
    <tableColumn id="5" xr3:uid="{A7A8BDF0-0E92-4769-80FC-11C339FCE9E8}" name="1. Material is useful or partially useful with some comments for improvement"/>
    <tableColumn id="6" xr3:uid="{4A023D6A-8241-40C2-82C0-7A4EA45FFA67}" name="2. Publication of material not supported at all"/>
    <tableColumn id="7" xr3:uid="{39EC173E-ED34-4D5E-8E62-523E0E5FE873}" name="3. No comment"/>
    <tableColumn id="8" xr3:uid="{FBB4B372-B987-4E7F-9669-BBD90D04604B}" name="Total"/>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2DBA09-EC5C-4349-96D6-8AE11862B289}" name="Table5" displayName="Table5" ref="A1:L53" totalsRowShown="0">
  <autoFilter ref="A1:L53" xr:uid="{6985BC64-57AB-48E1-B9BE-4BA990F8E7C6}"/>
  <tableColumns count="12">
    <tableColumn id="1" xr3:uid="{762C08FA-38AF-4AAB-B916-380126D88005}" name="Respondent"/>
    <tableColumn id="2" xr3:uid="{E1D7864C-C967-4CDB-BEBB-100389171658}" name="Respondent2"/>
    <tableColumn id="3" xr3:uid="{8BB7305D-9F6A-4101-9238-70C836788DA8}" name="Classification"/>
    <tableColumn id="4" xr3:uid="{29BCE7FB-8EC7-4AA3-8F07-BAD502A67CC9}" name="Region"/>
    <tableColumn id="5" xr3:uid="{1E87F591-0329-45D5-BECD-B934828F7997}" name="1. Material is useful or partially useful with some comments for improvement"/>
    <tableColumn id="6" xr3:uid="{A12B773E-2BD8-4694-BA26-67F7CE3CF69E}" name="Material should be appended to ISAE 3000 (Revised)"/>
    <tableColumn id="7" xr3:uid="{61C84470-2BA0-4433-91E5-1271B3CD807C}" name="Material should be incorporated into the guidance document"/>
    <tableColumn id="8" xr3:uid="{50438EBC-457E-4263-8717-F98DB7DB0E3F}" name="Material should be published alongside guidance document"/>
    <tableColumn id="9" xr3:uid="{168F2BCD-0CB1-43DC-8EAE-CF0CC7DCD8C4}" name="Other comments on the additional papers"/>
    <tableColumn id="10" xr3:uid="{2B356086-C9E2-4064-A717-E05F1B78BCFF}" name="Response does not address publication or does not have a preference"/>
    <tableColumn id="11" xr3:uid="{0676D19A-30B9-4EF8-8C46-FCDAC5C42A0F}" name="2. Publication of material not supported at all"/>
    <tableColumn id="12" xr3:uid="{03CE7FE6-DEE1-451D-848E-3165FAB7219A}" name="3. No comment"/>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98052B-A800-40F9-934B-32F8857C10CF}" name="Table3" displayName="Table3" ref="A1:J53" totalsRowShown="0">
  <autoFilter ref="A1:J53" xr:uid="{7A782821-08B5-4AB7-9863-D90FF5CF0B64}"/>
  <tableColumns count="10">
    <tableColumn id="1" xr3:uid="{C64DA885-4917-46C5-9E25-9AF690336E62}" name="Respondent"/>
    <tableColumn id="2" xr3:uid="{47F7CD93-E58A-4481-A222-883EC82EF58E}" name="Respondent2"/>
    <tableColumn id="3" xr3:uid="{9E80240E-8D03-4C2D-A0D9-FCE67A11AA99}" name="Classification"/>
    <tableColumn id="4" xr3:uid="{21246455-4E08-46CA-A625-5A2AF05A196C}" name="Region"/>
    <tableColumn id="5" xr3:uid="{BCDC464D-BE3E-46BA-B244-B77132719350}" name="1. Translation"/>
    <tableColumn id="6" xr3:uid="{E977EABD-9F34-4EE7-8959-C6CA39227DBE}" name="2. Stakeholder perspectives"/>
    <tableColumn id="7" xr3:uid="{FDD44C12-28EE-4F46-AC46-9FA5CE8FBCAE}" name="3. Developing nations"/>
    <tableColumn id="8" xr3:uid="{C396CC5C-5D9D-4A3E-AF6D-67AA4B18D26E}" name="4. No specific comments"/>
    <tableColumn id="9" xr3:uid="{3BAE3F5A-F28E-4113-A248-21ACCBC0D624}" name="5. General comments"/>
    <tableColumn id="10" xr3:uid="{2320EBC4-7499-4362-8A41-62012252EDD2}" name="Tot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8.xml"/></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9.xm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10.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11.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2.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924E8-BC25-40DB-941D-71016947767C}">
  <dimension ref="A1:H55"/>
  <sheetViews>
    <sheetView workbookViewId="0">
      <selection activeCell="A41" sqref="A41"/>
    </sheetView>
  </sheetViews>
  <sheetFormatPr defaultRowHeight="15" x14ac:dyDescent="0.25"/>
  <cols>
    <col min="1" max="1" width="36.7109375" customWidth="1"/>
    <col min="2" max="2" width="13.85546875" customWidth="1"/>
    <col min="3" max="3" width="13.7109375" customWidth="1"/>
    <col min="5" max="5" width="10.7109375" customWidth="1"/>
    <col min="6" max="6" width="32.28515625" customWidth="1"/>
    <col min="7" max="7" width="13.140625" customWidth="1"/>
  </cols>
  <sheetData>
    <row r="1" spans="1:8" x14ac:dyDescent="0.25">
      <c r="A1" t="s">
        <v>2</v>
      </c>
      <c r="B1" t="s">
        <v>260</v>
      </c>
      <c r="C1" t="s">
        <v>65</v>
      </c>
      <c r="D1" t="s">
        <v>62</v>
      </c>
      <c r="E1" t="s">
        <v>69</v>
      </c>
      <c r="F1" t="s">
        <v>70</v>
      </c>
      <c r="G1" t="s">
        <v>71</v>
      </c>
      <c r="H1" t="s">
        <v>124</v>
      </c>
    </row>
    <row r="2" spans="1:8" x14ac:dyDescent="0.25">
      <c r="A2" t="s">
        <v>52</v>
      </c>
      <c r="B2" t="s">
        <v>72</v>
      </c>
      <c r="C2" t="s">
        <v>58</v>
      </c>
      <c r="D2" t="s">
        <v>9</v>
      </c>
      <c r="E2">
        <v>0</v>
      </c>
      <c r="F2">
        <v>1</v>
      </c>
      <c r="G2">
        <v>0</v>
      </c>
      <c r="H2">
        <v>1</v>
      </c>
    </row>
    <row r="3" spans="1:8" x14ac:dyDescent="0.25">
      <c r="A3" t="s">
        <v>56</v>
      </c>
      <c r="B3" t="s">
        <v>73</v>
      </c>
      <c r="C3" t="s">
        <v>34</v>
      </c>
      <c r="D3" t="s">
        <v>13</v>
      </c>
      <c r="E3">
        <v>0</v>
      </c>
      <c r="F3">
        <v>1</v>
      </c>
      <c r="G3">
        <v>0</v>
      </c>
      <c r="H3">
        <v>1</v>
      </c>
    </row>
    <row r="4" spans="1:8" x14ac:dyDescent="0.25">
      <c r="A4" t="s">
        <v>49</v>
      </c>
      <c r="B4" t="s">
        <v>74</v>
      </c>
      <c r="C4" t="s">
        <v>34</v>
      </c>
      <c r="D4" t="s">
        <v>32</v>
      </c>
      <c r="E4">
        <v>0</v>
      </c>
      <c r="F4">
        <v>1</v>
      </c>
      <c r="G4">
        <v>0</v>
      </c>
      <c r="H4">
        <v>1</v>
      </c>
    </row>
    <row r="5" spans="1:8" x14ac:dyDescent="0.25">
      <c r="A5" t="s">
        <v>48</v>
      </c>
      <c r="B5" t="s">
        <v>75</v>
      </c>
      <c r="C5" t="s">
        <v>64</v>
      </c>
      <c r="D5" t="s">
        <v>0</v>
      </c>
      <c r="E5">
        <v>0</v>
      </c>
      <c r="F5">
        <v>1</v>
      </c>
      <c r="G5">
        <v>0</v>
      </c>
      <c r="H5">
        <v>1</v>
      </c>
    </row>
    <row r="6" spans="1:8" x14ac:dyDescent="0.25">
      <c r="A6" t="s">
        <v>22</v>
      </c>
      <c r="B6" t="s">
        <v>76</v>
      </c>
      <c r="C6" t="s">
        <v>64</v>
      </c>
      <c r="D6" t="s">
        <v>44</v>
      </c>
      <c r="E6">
        <v>0</v>
      </c>
      <c r="F6">
        <v>1</v>
      </c>
      <c r="G6">
        <v>0</v>
      </c>
      <c r="H6">
        <v>1</v>
      </c>
    </row>
    <row r="7" spans="1:8" x14ac:dyDescent="0.25">
      <c r="A7" t="s">
        <v>16</v>
      </c>
      <c r="B7" t="s">
        <v>77</v>
      </c>
      <c r="C7" t="s">
        <v>64</v>
      </c>
      <c r="D7" t="s">
        <v>0</v>
      </c>
      <c r="E7">
        <v>0</v>
      </c>
      <c r="F7">
        <v>1</v>
      </c>
      <c r="G7">
        <v>0</v>
      </c>
      <c r="H7">
        <v>1</v>
      </c>
    </row>
    <row r="8" spans="1:8" x14ac:dyDescent="0.25">
      <c r="A8" t="s">
        <v>5</v>
      </c>
      <c r="B8" t="s">
        <v>78</v>
      </c>
      <c r="C8" t="s">
        <v>64</v>
      </c>
      <c r="D8" t="s">
        <v>44</v>
      </c>
      <c r="E8">
        <v>0</v>
      </c>
      <c r="F8">
        <v>1</v>
      </c>
      <c r="G8">
        <v>0</v>
      </c>
      <c r="H8">
        <v>1</v>
      </c>
    </row>
    <row r="9" spans="1:8" x14ac:dyDescent="0.25">
      <c r="A9" t="s">
        <v>23</v>
      </c>
      <c r="B9" t="s">
        <v>79</v>
      </c>
      <c r="C9" t="s">
        <v>64</v>
      </c>
      <c r="D9" t="s">
        <v>0</v>
      </c>
      <c r="E9">
        <v>0</v>
      </c>
      <c r="F9">
        <v>1</v>
      </c>
      <c r="G9">
        <v>0</v>
      </c>
      <c r="H9">
        <v>1</v>
      </c>
    </row>
    <row r="10" spans="1:8" x14ac:dyDescent="0.25">
      <c r="A10" t="s">
        <v>33</v>
      </c>
      <c r="B10" t="s">
        <v>80</v>
      </c>
      <c r="C10" t="s">
        <v>64</v>
      </c>
      <c r="D10" t="s">
        <v>0</v>
      </c>
      <c r="E10">
        <v>0</v>
      </c>
      <c r="F10">
        <v>1</v>
      </c>
      <c r="G10">
        <v>0</v>
      </c>
      <c r="H10">
        <v>1</v>
      </c>
    </row>
    <row r="11" spans="1:8" x14ac:dyDescent="0.25">
      <c r="A11" t="s">
        <v>46</v>
      </c>
      <c r="B11" t="s">
        <v>81</v>
      </c>
      <c r="C11" t="s">
        <v>64</v>
      </c>
      <c r="D11" t="s">
        <v>44</v>
      </c>
      <c r="E11">
        <v>0</v>
      </c>
      <c r="F11">
        <v>1</v>
      </c>
      <c r="G11">
        <v>0</v>
      </c>
      <c r="H11">
        <v>1</v>
      </c>
    </row>
    <row r="12" spans="1:8" x14ac:dyDescent="0.25">
      <c r="A12" t="s">
        <v>61</v>
      </c>
      <c r="B12" t="s">
        <v>82</v>
      </c>
      <c r="C12" t="s">
        <v>64</v>
      </c>
      <c r="D12" t="s">
        <v>0</v>
      </c>
      <c r="E12">
        <v>0</v>
      </c>
      <c r="F12">
        <v>1</v>
      </c>
      <c r="G12">
        <v>0</v>
      </c>
      <c r="H12">
        <v>1</v>
      </c>
    </row>
    <row r="13" spans="1:8" x14ac:dyDescent="0.25">
      <c r="A13" t="s">
        <v>55</v>
      </c>
      <c r="B13" t="s">
        <v>83</v>
      </c>
      <c r="C13" t="s">
        <v>57</v>
      </c>
      <c r="D13" t="s">
        <v>9</v>
      </c>
      <c r="E13">
        <v>1</v>
      </c>
      <c r="F13">
        <v>0</v>
      </c>
      <c r="G13">
        <v>0</v>
      </c>
      <c r="H13">
        <v>1</v>
      </c>
    </row>
    <row r="14" spans="1:8" x14ac:dyDescent="0.25">
      <c r="A14" t="s">
        <v>36</v>
      </c>
      <c r="B14" t="s">
        <v>84</v>
      </c>
      <c r="C14" t="s">
        <v>57</v>
      </c>
      <c r="D14" t="s">
        <v>9</v>
      </c>
      <c r="E14">
        <v>1</v>
      </c>
      <c r="F14">
        <v>0</v>
      </c>
      <c r="G14">
        <v>0</v>
      </c>
      <c r="H14">
        <v>1</v>
      </c>
    </row>
    <row r="15" spans="1:8" x14ac:dyDescent="0.25">
      <c r="A15" t="s">
        <v>11</v>
      </c>
      <c r="B15" t="s">
        <v>85</v>
      </c>
      <c r="C15" t="s">
        <v>57</v>
      </c>
      <c r="D15" t="s">
        <v>9</v>
      </c>
      <c r="E15">
        <v>0</v>
      </c>
      <c r="F15">
        <v>1</v>
      </c>
      <c r="G15">
        <v>0</v>
      </c>
      <c r="H15">
        <v>1</v>
      </c>
    </row>
    <row r="16" spans="1:8" x14ac:dyDescent="0.25">
      <c r="A16" t="s">
        <v>50</v>
      </c>
      <c r="B16" t="s">
        <v>86</v>
      </c>
      <c r="C16" t="s">
        <v>57</v>
      </c>
      <c r="D16" t="s">
        <v>9</v>
      </c>
      <c r="E16">
        <v>0</v>
      </c>
      <c r="F16">
        <v>1</v>
      </c>
      <c r="G16">
        <v>0</v>
      </c>
      <c r="H16">
        <v>1</v>
      </c>
    </row>
    <row r="17" spans="1:8" x14ac:dyDescent="0.25">
      <c r="A17" t="s">
        <v>40</v>
      </c>
      <c r="B17" t="s">
        <v>87</v>
      </c>
      <c r="C17" t="s">
        <v>57</v>
      </c>
      <c r="D17" t="s">
        <v>9</v>
      </c>
      <c r="E17">
        <v>0</v>
      </c>
      <c r="F17">
        <v>1</v>
      </c>
      <c r="G17">
        <v>0</v>
      </c>
      <c r="H17">
        <v>1</v>
      </c>
    </row>
    <row r="18" spans="1:8" x14ac:dyDescent="0.25">
      <c r="A18" t="s">
        <v>63</v>
      </c>
      <c r="B18" t="s">
        <v>88</v>
      </c>
      <c r="C18" t="s">
        <v>57</v>
      </c>
      <c r="D18" t="s">
        <v>9</v>
      </c>
      <c r="E18">
        <v>0</v>
      </c>
      <c r="F18">
        <v>1</v>
      </c>
      <c r="G18">
        <v>0</v>
      </c>
      <c r="H18">
        <v>1</v>
      </c>
    </row>
    <row r="19" spans="1:8" x14ac:dyDescent="0.25">
      <c r="A19" t="s">
        <v>54</v>
      </c>
      <c r="B19" t="s">
        <v>89</v>
      </c>
      <c r="C19" t="s">
        <v>57</v>
      </c>
      <c r="D19" t="s">
        <v>9</v>
      </c>
      <c r="E19">
        <v>0</v>
      </c>
      <c r="F19">
        <v>1</v>
      </c>
      <c r="G19">
        <v>0</v>
      </c>
      <c r="H19">
        <v>1</v>
      </c>
    </row>
    <row r="20" spans="1:8" x14ac:dyDescent="0.25">
      <c r="A20" t="s">
        <v>41</v>
      </c>
      <c r="B20" t="s">
        <v>90</v>
      </c>
      <c r="C20" t="s">
        <v>57</v>
      </c>
      <c r="D20" t="s">
        <v>9</v>
      </c>
      <c r="E20">
        <v>0</v>
      </c>
      <c r="F20">
        <v>1</v>
      </c>
      <c r="G20">
        <v>0</v>
      </c>
      <c r="H20">
        <v>1</v>
      </c>
    </row>
    <row r="21" spans="1:8" x14ac:dyDescent="0.25">
      <c r="A21" t="s">
        <v>29</v>
      </c>
      <c r="B21" t="s">
        <v>91</v>
      </c>
      <c r="C21" t="s">
        <v>21</v>
      </c>
      <c r="D21" t="s">
        <v>35</v>
      </c>
      <c r="E21">
        <v>0</v>
      </c>
      <c r="F21">
        <v>1</v>
      </c>
      <c r="G21">
        <v>0</v>
      </c>
      <c r="H21">
        <v>1</v>
      </c>
    </row>
    <row r="22" spans="1:8" x14ac:dyDescent="0.25">
      <c r="A22" t="s">
        <v>26</v>
      </c>
      <c r="B22" t="s">
        <v>92</v>
      </c>
      <c r="C22" t="s">
        <v>30</v>
      </c>
      <c r="D22" t="s">
        <v>9</v>
      </c>
      <c r="E22">
        <v>0</v>
      </c>
      <c r="F22">
        <v>1</v>
      </c>
      <c r="G22">
        <v>0</v>
      </c>
      <c r="H22">
        <v>1</v>
      </c>
    </row>
    <row r="23" spans="1:8" x14ac:dyDescent="0.25">
      <c r="A23" t="s">
        <v>10</v>
      </c>
      <c r="B23" t="s">
        <v>93</v>
      </c>
      <c r="C23" t="s">
        <v>30</v>
      </c>
      <c r="D23" t="s">
        <v>44</v>
      </c>
      <c r="E23">
        <v>0</v>
      </c>
      <c r="F23">
        <v>1</v>
      </c>
      <c r="G23">
        <v>0</v>
      </c>
      <c r="H23">
        <v>1</v>
      </c>
    </row>
    <row r="24" spans="1:8" x14ac:dyDescent="0.25">
      <c r="A24" t="s">
        <v>67</v>
      </c>
      <c r="B24" t="s">
        <v>94</v>
      </c>
      <c r="C24" t="s">
        <v>30</v>
      </c>
      <c r="D24" t="s">
        <v>35</v>
      </c>
      <c r="E24">
        <v>0</v>
      </c>
      <c r="F24">
        <v>1</v>
      </c>
      <c r="G24">
        <v>0</v>
      </c>
      <c r="H24">
        <v>1</v>
      </c>
    </row>
    <row r="25" spans="1:8" x14ac:dyDescent="0.25">
      <c r="A25" t="s">
        <v>12</v>
      </c>
      <c r="B25" t="s">
        <v>95</v>
      </c>
      <c r="C25" t="s">
        <v>30</v>
      </c>
      <c r="D25" t="s">
        <v>0</v>
      </c>
      <c r="E25">
        <v>0</v>
      </c>
      <c r="F25">
        <v>1</v>
      </c>
      <c r="G25">
        <v>0</v>
      </c>
      <c r="H25">
        <v>1</v>
      </c>
    </row>
    <row r="26" spans="1:8" x14ac:dyDescent="0.25">
      <c r="A26" t="s">
        <v>15</v>
      </c>
      <c r="B26" t="s">
        <v>96</v>
      </c>
      <c r="C26" t="s">
        <v>30</v>
      </c>
      <c r="D26" t="s">
        <v>44</v>
      </c>
      <c r="E26">
        <v>0</v>
      </c>
      <c r="F26">
        <v>1</v>
      </c>
      <c r="G26">
        <v>0</v>
      </c>
      <c r="H26">
        <v>1</v>
      </c>
    </row>
    <row r="27" spans="1:8" x14ac:dyDescent="0.25">
      <c r="A27" t="s">
        <v>28</v>
      </c>
      <c r="B27" t="s">
        <v>97</v>
      </c>
      <c r="C27" t="s">
        <v>30</v>
      </c>
      <c r="D27" t="s">
        <v>0</v>
      </c>
      <c r="E27">
        <v>0</v>
      </c>
      <c r="F27">
        <v>1</v>
      </c>
      <c r="G27">
        <v>0</v>
      </c>
      <c r="H27">
        <v>1</v>
      </c>
    </row>
    <row r="28" spans="1:8" x14ac:dyDescent="0.25">
      <c r="A28" t="s">
        <v>25</v>
      </c>
      <c r="B28" t="s">
        <v>98</v>
      </c>
      <c r="C28" t="s">
        <v>30</v>
      </c>
      <c r="D28" t="s">
        <v>35</v>
      </c>
      <c r="E28">
        <v>0</v>
      </c>
      <c r="F28">
        <v>1</v>
      </c>
      <c r="G28">
        <v>0</v>
      </c>
      <c r="H28">
        <v>1</v>
      </c>
    </row>
    <row r="29" spans="1:8" x14ac:dyDescent="0.25">
      <c r="A29" t="s">
        <v>6</v>
      </c>
      <c r="B29" t="s">
        <v>99</v>
      </c>
      <c r="C29" t="s">
        <v>30</v>
      </c>
      <c r="D29" t="s">
        <v>44</v>
      </c>
      <c r="E29">
        <v>0</v>
      </c>
      <c r="F29">
        <v>1</v>
      </c>
      <c r="G29">
        <v>0</v>
      </c>
      <c r="H29">
        <v>1</v>
      </c>
    </row>
    <row r="30" spans="1:8" x14ac:dyDescent="0.25">
      <c r="A30" t="s">
        <v>42</v>
      </c>
      <c r="B30" t="s">
        <v>100</v>
      </c>
      <c r="C30" t="s">
        <v>30</v>
      </c>
      <c r="D30" t="s">
        <v>13</v>
      </c>
      <c r="E30">
        <v>0</v>
      </c>
      <c r="F30">
        <v>1</v>
      </c>
      <c r="G30">
        <v>0</v>
      </c>
      <c r="H30">
        <v>1</v>
      </c>
    </row>
    <row r="31" spans="1:8" x14ac:dyDescent="0.25">
      <c r="A31" t="s">
        <v>19</v>
      </c>
      <c r="B31" t="s">
        <v>101</v>
      </c>
      <c r="C31" t="s">
        <v>30</v>
      </c>
      <c r="D31" t="s">
        <v>44</v>
      </c>
      <c r="E31">
        <v>0</v>
      </c>
      <c r="F31">
        <v>1</v>
      </c>
      <c r="G31">
        <v>0</v>
      </c>
      <c r="H31">
        <v>1</v>
      </c>
    </row>
    <row r="32" spans="1:8" x14ac:dyDescent="0.25">
      <c r="A32" t="s">
        <v>66</v>
      </c>
      <c r="B32" t="s">
        <v>102</v>
      </c>
      <c r="C32" t="s">
        <v>30</v>
      </c>
      <c r="D32" t="s">
        <v>44</v>
      </c>
      <c r="E32">
        <v>0</v>
      </c>
      <c r="F32">
        <v>1</v>
      </c>
      <c r="G32">
        <v>0</v>
      </c>
      <c r="H32">
        <v>1</v>
      </c>
    </row>
    <row r="33" spans="1:8" x14ac:dyDescent="0.25">
      <c r="A33" t="s">
        <v>17</v>
      </c>
      <c r="B33" t="s">
        <v>103</v>
      </c>
      <c r="C33" t="s">
        <v>30</v>
      </c>
      <c r="D33" t="s">
        <v>9</v>
      </c>
      <c r="E33">
        <v>0</v>
      </c>
      <c r="F33">
        <v>1</v>
      </c>
      <c r="G33">
        <v>0</v>
      </c>
      <c r="H33">
        <v>1</v>
      </c>
    </row>
    <row r="34" spans="1:8" x14ac:dyDescent="0.25">
      <c r="A34" t="s">
        <v>24</v>
      </c>
      <c r="B34" t="s">
        <v>104</v>
      </c>
      <c r="C34" t="s">
        <v>30</v>
      </c>
      <c r="D34" t="s">
        <v>13</v>
      </c>
      <c r="E34">
        <v>0</v>
      </c>
      <c r="F34">
        <v>1</v>
      </c>
      <c r="G34">
        <v>0</v>
      </c>
      <c r="H34">
        <v>1</v>
      </c>
    </row>
    <row r="35" spans="1:8" x14ac:dyDescent="0.25">
      <c r="A35" t="s">
        <v>51</v>
      </c>
      <c r="B35" t="s">
        <v>105</v>
      </c>
      <c r="C35" t="s">
        <v>30</v>
      </c>
      <c r="D35" t="s">
        <v>9</v>
      </c>
      <c r="E35">
        <v>0</v>
      </c>
      <c r="F35">
        <v>1</v>
      </c>
      <c r="G35">
        <v>0</v>
      </c>
      <c r="H35">
        <v>1</v>
      </c>
    </row>
    <row r="36" spans="1:8" x14ac:dyDescent="0.25">
      <c r="A36" t="s">
        <v>53</v>
      </c>
      <c r="B36" t="s">
        <v>106</v>
      </c>
      <c r="C36" t="s">
        <v>30</v>
      </c>
      <c r="D36" t="s">
        <v>9</v>
      </c>
      <c r="E36">
        <v>0</v>
      </c>
      <c r="F36">
        <v>1</v>
      </c>
      <c r="G36">
        <v>0</v>
      </c>
      <c r="H36">
        <v>1</v>
      </c>
    </row>
    <row r="37" spans="1:8" x14ac:dyDescent="0.25">
      <c r="A37" t="s">
        <v>1</v>
      </c>
      <c r="B37" t="s">
        <v>107</v>
      </c>
      <c r="C37" t="s">
        <v>30</v>
      </c>
      <c r="D37" t="s">
        <v>44</v>
      </c>
      <c r="E37">
        <v>0</v>
      </c>
      <c r="F37">
        <v>1</v>
      </c>
      <c r="G37">
        <v>0</v>
      </c>
      <c r="H37">
        <v>1</v>
      </c>
    </row>
    <row r="38" spans="1:8" x14ac:dyDescent="0.25">
      <c r="A38" t="s">
        <v>4</v>
      </c>
      <c r="B38" t="s">
        <v>108</v>
      </c>
      <c r="C38" t="s">
        <v>30</v>
      </c>
      <c r="D38" t="s">
        <v>32</v>
      </c>
      <c r="E38">
        <v>0</v>
      </c>
      <c r="F38">
        <v>1</v>
      </c>
      <c r="G38">
        <v>0</v>
      </c>
      <c r="H38">
        <v>1</v>
      </c>
    </row>
    <row r="39" spans="1:8" x14ac:dyDescent="0.25">
      <c r="A39" t="s">
        <v>7</v>
      </c>
      <c r="B39" t="s">
        <v>109</v>
      </c>
      <c r="C39" t="s">
        <v>30</v>
      </c>
      <c r="D39" t="s">
        <v>44</v>
      </c>
      <c r="E39">
        <v>0</v>
      </c>
      <c r="F39">
        <v>1</v>
      </c>
      <c r="G39">
        <v>0</v>
      </c>
      <c r="H39">
        <v>1</v>
      </c>
    </row>
    <row r="40" spans="1:8" x14ac:dyDescent="0.25">
      <c r="A40" t="s">
        <v>20</v>
      </c>
      <c r="B40" t="s">
        <v>110</v>
      </c>
      <c r="C40" t="s">
        <v>30</v>
      </c>
      <c r="D40" t="s">
        <v>32</v>
      </c>
      <c r="E40">
        <v>0</v>
      </c>
      <c r="F40">
        <v>0</v>
      </c>
      <c r="G40">
        <v>1</v>
      </c>
      <c r="H40">
        <v>1</v>
      </c>
    </row>
    <row r="41" spans="1:8" x14ac:dyDescent="0.25">
      <c r="A41" t="s">
        <v>38</v>
      </c>
      <c r="B41" t="s">
        <v>111</v>
      </c>
      <c r="C41" t="s">
        <v>30</v>
      </c>
      <c r="D41" t="s">
        <v>0</v>
      </c>
      <c r="E41">
        <v>0</v>
      </c>
      <c r="F41">
        <v>1</v>
      </c>
      <c r="G41">
        <v>0</v>
      </c>
      <c r="H41">
        <v>1</v>
      </c>
    </row>
    <row r="42" spans="1:8" x14ac:dyDescent="0.25">
      <c r="A42" t="s">
        <v>18</v>
      </c>
      <c r="B42" t="s">
        <v>112</v>
      </c>
      <c r="C42" t="s">
        <v>30</v>
      </c>
      <c r="D42" t="s">
        <v>0</v>
      </c>
      <c r="E42">
        <v>0</v>
      </c>
      <c r="F42">
        <v>0</v>
      </c>
      <c r="G42">
        <v>1</v>
      </c>
      <c r="H42">
        <v>1</v>
      </c>
    </row>
    <row r="43" spans="1:8" x14ac:dyDescent="0.25">
      <c r="A43" t="s">
        <v>68</v>
      </c>
      <c r="B43" t="s">
        <v>113</v>
      </c>
      <c r="C43" t="s">
        <v>30</v>
      </c>
      <c r="D43" t="s">
        <v>0</v>
      </c>
      <c r="E43">
        <v>1</v>
      </c>
      <c r="F43">
        <v>0</v>
      </c>
      <c r="G43">
        <v>0</v>
      </c>
      <c r="H43">
        <v>1</v>
      </c>
    </row>
    <row r="44" spans="1:8" x14ac:dyDescent="0.25">
      <c r="A44" t="s">
        <v>27</v>
      </c>
      <c r="B44" t="s">
        <v>114</v>
      </c>
      <c r="C44" t="s">
        <v>30</v>
      </c>
      <c r="D44" t="s">
        <v>35</v>
      </c>
      <c r="E44">
        <v>0</v>
      </c>
      <c r="F44">
        <v>1</v>
      </c>
      <c r="G44">
        <v>0</v>
      </c>
      <c r="H44">
        <v>1</v>
      </c>
    </row>
    <row r="45" spans="1:8" x14ac:dyDescent="0.25">
      <c r="A45" t="s">
        <v>37</v>
      </c>
      <c r="B45" t="s">
        <v>115</v>
      </c>
      <c r="C45" t="s">
        <v>30</v>
      </c>
      <c r="D45" t="s">
        <v>9</v>
      </c>
      <c r="E45">
        <v>0</v>
      </c>
      <c r="F45">
        <v>1</v>
      </c>
      <c r="G45">
        <v>0</v>
      </c>
      <c r="H45">
        <v>1</v>
      </c>
    </row>
    <row r="46" spans="1:8" x14ac:dyDescent="0.25">
      <c r="A46" t="s">
        <v>60</v>
      </c>
      <c r="B46" t="s">
        <v>116</v>
      </c>
      <c r="C46" t="s">
        <v>30</v>
      </c>
      <c r="D46" t="s">
        <v>32</v>
      </c>
      <c r="E46">
        <v>0</v>
      </c>
      <c r="F46">
        <v>1</v>
      </c>
      <c r="G46">
        <v>0</v>
      </c>
      <c r="H46">
        <v>1</v>
      </c>
    </row>
    <row r="47" spans="1:8" x14ac:dyDescent="0.25">
      <c r="A47" t="s">
        <v>59</v>
      </c>
      <c r="B47" t="s">
        <v>117</v>
      </c>
      <c r="C47" t="s">
        <v>30</v>
      </c>
      <c r="D47" t="s">
        <v>9</v>
      </c>
      <c r="E47">
        <v>0</v>
      </c>
      <c r="F47">
        <v>1</v>
      </c>
      <c r="G47">
        <v>0</v>
      </c>
      <c r="H47">
        <v>1</v>
      </c>
    </row>
    <row r="48" spans="1:8" x14ac:dyDescent="0.25">
      <c r="A48" t="s">
        <v>31</v>
      </c>
      <c r="B48" t="s">
        <v>118</v>
      </c>
      <c r="C48" t="s">
        <v>30</v>
      </c>
      <c r="D48" t="s">
        <v>9</v>
      </c>
      <c r="E48">
        <v>0</v>
      </c>
      <c r="F48">
        <v>1</v>
      </c>
      <c r="G48">
        <v>0</v>
      </c>
      <c r="H48">
        <v>1</v>
      </c>
    </row>
    <row r="49" spans="1:8" x14ac:dyDescent="0.25">
      <c r="A49" t="s">
        <v>14</v>
      </c>
      <c r="B49" t="s">
        <v>119</v>
      </c>
      <c r="C49" t="s">
        <v>30</v>
      </c>
      <c r="D49" t="s">
        <v>44</v>
      </c>
      <c r="E49">
        <v>0</v>
      </c>
      <c r="F49">
        <v>1</v>
      </c>
      <c r="G49">
        <v>0</v>
      </c>
      <c r="H49">
        <v>1</v>
      </c>
    </row>
    <row r="50" spans="1:8" x14ac:dyDescent="0.25">
      <c r="A50" t="s">
        <v>47</v>
      </c>
      <c r="B50" t="s">
        <v>120</v>
      </c>
      <c r="C50" t="s">
        <v>3</v>
      </c>
      <c r="D50" t="s">
        <v>0</v>
      </c>
      <c r="E50">
        <v>0</v>
      </c>
      <c r="F50">
        <v>0</v>
      </c>
      <c r="G50">
        <v>1</v>
      </c>
      <c r="H50">
        <v>1</v>
      </c>
    </row>
    <row r="51" spans="1:8" x14ac:dyDescent="0.25">
      <c r="A51" t="s">
        <v>8</v>
      </c>
      <c r="B51" t="s">
        <v>121</v>
      </c>
      <c r="C51" t="s">
        <v>39</v>
      </c>
      <c r="D51" t="s">
        <v>44</v>
      </c>
      <c r="E51">
        <v>0</v>
      </c>
      <c r="F51">
        <v>1</v>
      </c>
      <c r="G51">
        <v>0</v>
      </c>
      <c r="H51">
        <v>1</v>
      </c>
    </row>
    <row r="52" spans="1:8" x14ac:dyDescent="0.25">
      <c r="A52" t="s">
        <v>43</v>
      </c>
      <c r="B52" t="s">
        <v>122</v>
      </c>
      <c r="C52" t="s">
        <v>39</v>
      </c>
      <c r="D52" t="s">
        <v>32</v>
      </c>
      <c r="E52">
        <v>1</v>
      </c>
      <c r="F52">
        <v>0</v>
      </c>
      <c r="G52">
        <v>0</v>
      </c>
      <c r="H52">
        <v>1</v>
      </c>
    </row>
    <row r="53" spans="1:8" x14ac:dyDescent="0.25">
      <c r="A53" t="s">
        <v>45</v>
      </c>
      <c r="B53" t="s">
        <v>123</v>
      </c>
      <c r="C53" t="s">
        <v>39</v>
      </c>
      <c r="D53" t="s">
        <v>35</v>
      </c>
      <c r="E53">
        <v>0</v>
      </c>
      <c r="F53">
        <v>1</v>
      </c>
      <c r="G53">
        <v>0</v>
      </c>
      <c r="H53">
        <v>1</v>
      </c>
    </row>
    <row r="55" spans="1:8" x14ac:dyDescent="0.25">
      <c r="E55">
        <f>SUM(Table1[1. Agreed])</f>
        <v>4</v>
      </c>
      <c r="F55">
        <f>SUM(Table1[2. Agree but with futher comments])</f>
        <v>45</v>
      </c>
      <c r="G55">
        <f>SUM(Table1[3. Disagreed])</f>
        <v>3</v>
      </c>
      <c r="H55">
        <f>SUM(Table1[Total])</f>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6CCEC-330A-4F38-84B1-D7442875671D}">
  <dimension ref="A1:H2"/>
  <sheetViews>
    <sheetView workbookViewId="0"/>
  </sheetViews>
  <sheetFormatPr defaultRowHeight="15" x14ac:dyDescent="0.25"/>
  <cols>
    <col min="1" max="1" width="13" customWidth="1"/>
    <col min="2" max="2" width="14" customWidth="1"/>
    <col min="3" max="3" width="13.7109375" customWidth="1"/>
    <col min="5" max="5" width="10.85546875" customWidth="1"/>
    <col min="6" max="6" width="32.28515625" customWidth="1"/>
    <col min="7" max="7" width="13.140625" customWidth="1"/>
  </cols>
  <sheetData>
    <row r="1" spans="1:8" x14ac:dyDescent="0.25">
      <c r="A1" t="s">
        <v>2</v>
      </c>
      <c r="B1" t="s">
        <v>260</v>
      </c>
      <c r="C1" t="s">
        <v>65</v>
      </c>
      <c r="D1" t="s">
        <v>62</v>
      </c>
      <c r="E1" t="s">
        <v>69</v>
      </c>
      <c r="F1" t="s">
        <v>70</v>
      </c>
      <c r="G1" t="s">
        <v>71</v>
      </c>
      <c r="H1" t="s">
        <v>124</v>
      </c>
    </row>
    <row r="2" spans="1:8" x14ac:dyDescent="0.25">
      <c r="A2" t="s">
        <v>47</v>
      </c>
      <c r="B2" t="s">
        <v>120</v>
      </c>
      <c r="C2" t="s">
        <v>3</v>
      </c>
      <c r="D2" t="s">
        <v>0</v>
      </c>
      <c r="E2">
        <v>0</v>
      </c>
      <c r="F2">
        <v>0</v>
      </c>
      <c r="G2">
        <v>1</v>
      </c>
      <c r="H2">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F78B-D8E5-4990-840E-258398C9E851}">
  <sheetPr>
    <pageSetUpPr fitToPage="1"/>
  </sheetPr>
  <dimension ref="A1:K76"/>
  <sheetViews>
    <sheetView tabSelected="1" view="pageBreakPreview" zoomScale="80" zoomScaleNormal="80" zoomScaleSheetLayoutView="80" workbookViewId="0">
      <pane xSplit="1" ySplit="15" topLeftCell="B16" activePane="bottomRight" state="frozen"/>
      <selection pane="topRight" activeCell="B1" sqref="B1"/>
      <selection pane="bottomLeft" activeCell="A4" sqref="A4"/>
      <selection pane="bottomRight" activeCell="C32" sqref="C32"/>
    </sheetView>
  </sheetViews>
  <sheetFormatPr defaultColWidth="8.85546875" defaultRowHeight="12.75" x14ac:dyDescent="0.2"/>
  <cols>
    <col min="1" max="1" width="59.7109375" style="18" bestFit="1" customWidth="1"/>
    <col min="2" max="2" width="10.28515625" style="18" bestFit="1" customWidth="1"/>
    <col min="3" max="3" width="17.140625" style="18" bestFit="1" customWidth="1"/>
    <col min="4" max="4" width="11.28515625" style="18" bestFit="1" customWidth="1"/>
    <col min="5" max="5" width="13.5703125" style="18" bestFit="1" customWidth="1"/>
    <col min="6" max="10" width="8.85546875" style="18" customWidth="1"/>
    <col min="11" max="11" width="20.5703125" style="18" customWidth="1"/>
    <col min="12" max="16384" width="8.85546875" style="18"/>
  </cols>
  <sheetData>
    <row r="1" spans="1:11" x14ac:dyDescent="0.2">
      <c r="B1" s="73" t="s">
        <v>263</v>
      </c>
      <c r="C1" s="73"/>
      <c r="D1" s="73"/>
      <c r="E1" s="73"/>
      <c r="F1" s="66"/>
      <c r="J1" s="67"/>
      <c r="K1" s="68" t="s">
        <v>276</v>
      </c>
    </row>
    <row r="2" spans="1:11" x14ac:dyDescent="0.2">
      <c r="A2" s="69" t="s">
        <v>264</v>
      </c>
      <c r="B2" s="69"/>
      <c r="C2" s="69"/>
      <c r="D2" s="69"/>
      <c r="E2" s="69"/>
      <c r="F2" s="69"/>
      <c r="G2" s="69"/>
      <c r="H2" s="69"/>
      <c r="I2" s="69"/>
      <c r="J2" s="69"/>
    </row>
    <row r="3" spans="1:11" ht="15.75" customHeight="1" x14ac:dyDescent="0.2">
      <c r="A3" s="69"/>
      <c r="B3" s="69"/>
      <c r="C3" s="69"/>
      <c r="D3" s="69"/>
      <c r="E3" s="69"/>
      <c r="F3" s="69"/>
      <c r="G3" s="69"/>
      <c r="H3" s="69"/>
      <c r="I3" s="69"/>
      <c r="J3" s="69"/>
    </row>
    <row r="4" spans="1:11" x14ac:dyDescent="0.2">
      <c r="A4" s="74" t="s">
        <v>277</v>
      </c>
      <c r="B4" s="74"/>
      <c r="C4" s="74"/>
      <c r="D4" s="74"/>
      <c r="E4" s="74"/>
      <c r="F4" s="74"/>
      <c r="G4" s="74"/>
      <c r="H4" s="74"/>
      <c r="I4" s="74"/>
      <c r="J4" s="26"/>
      <c r="K4" s="25"/>
    </row>
    <row r="5" spans="1:11" ht="33.75" customHeight="1" x14ac:dyDescent="0.2">
      <c r="A5" s="75" t="s">
        <v>287</v>
      </c>
      <c r="B5" s="75"/>
      <c r="C5" s="75"/>
      <c r="D5" s="75"/>
      <c r="E5" s="75"/>
      <c r="F5" s="75"/>
      <c r="G5" s="75"/>
      <c r="H5" s="75"/>
      <c r="I5" s="75"/>
      <c r="J5" s="75"/>
      <c r="K5" s="76"/>
    </row>
    <row r="6" spans="1:11" ht="13.9" customHeight="1" x14ac:dyDescent="0.2">
      <c r="A6" s="69"/>
      <c r="B6" s="69"/>
      <c r="C6" s="69"/>
      <c r="D6" s="69"/>
      <c r="E6" s="69"/>
      <c r="F6" s="69"/>
      <c r="G6" s="69"/>
      <c r="H6" s="69"/>
      <c r="I6" s="69"/>
      <c r="J6" s="69"/>
    </row>
    <row r="7" spans="1:11" ht="13.9" customHeight="1" x14ac:dyDescent="0.2">
      <c r="A7" s="7" t="s">
        <v>300</v>
      </c>
      <c r="B7" s="69"/>
      <c r="C7" s="69"/>
      <c r="D7" s="69"/>
      <c r="E7" s="69"/>
      <c r="F7" s="69"/>
      <c r="G7" s="69"/>
      <c r="H7" s="69"/>
      <c r="I7" s="69"/>
      <c r="J7" s="69"/>
    </row>
    <row r="8" spans="1:11" ht="13.9" customHeight="1" x14ac:dyDescent="0.2">
      <c r="A8" s="55" t="s">
        <v>301</v>
      </c>
      <c r="B8" s="69"/>
      <c r="C8" s="69"/>
      <c r="D8" s="69"/>
      <c r="E8" s="69"/>
      <c r="F8" s="69"/>
      <c r="G8" s="69"/>
      <c r="H8" s="69"/>
      <c r="I8" s="69"/>
      <c r="J8" s="69"/>
    </row>
    <row r="9" spans="1:11" ht="13.9" customHeight="1" x14ac:dyDescent="0.2">
      <c r="A9" s="56" t="s">
        <v>302</v>
      </c>
      <c r="B9" s="69"/>
      <c r="C9" s="69"/>
      <c r="D9" s="69"/>
      <c r="E9" s="69"/>
      <c r="F9" s="69"/>
      <c r="G9" s="69"/>
      <c r="H9" s="69"/>
      <c r="I9" s="69"/>
      <c r="J9" s="69"/>
    </row>
    <row r="10" spans="1:11" ht="13.9" customHeight="1" x14ac:dyDescent="0.2">
      <c r="A10" s="57" t="s">
        <v>303</v>
      </c>
      <c r="B10" s="69"/>
      <c r="C10" s="69"/>
      <c r="D10" s="69"/>
      <c r="E10" s="69"/>
      <c r="F10" s="69"/>
      <c r="G10" s="69"/>
      <c r="H10" s="69"/>
      <c r="I10" s="69"/>
      <c r="J10" s="69"/>
    </row>
    <row r="11" spans="1:11" ht="25.5" x14ac:dyDescent="0.2">
      <c r="A11" s="72" t="s">
        <v>304</v>
      </c>
      <c r="B11" s="69"/>
      <c r="C11" s="69"/>
      <c r="D11" s="69"/>
      <c r="E11" s="69"/>
      <c r="F11" s="69"/>
      <c r="G11" s="69"/>
      <c r="H11" s="69"/>
      <c r="I11" s="69"/>
      <c r="J11" s="69"/>
    </row>
    <row r="12" spans="1:11" ht="13.9" customHeight="1" x14ac:dyDescent="0.2">
      <c r="A12" s="69"/>
      <c r="B12" s="69"/>
      <c r="C12" s="69"/>
      <c r="D12" s="69"/>
      <c r="E12" s="69"/>
      <c r="F12" s="69"/>
      <c r="G12" s="69"/>
      <c r="H12" s="69"/>
      <c r="I12" s="69"/>
      <c r="J12" s="69"/>
    </row>
    <row r="13" spans="1:11" x14ac:dyDescent="0.2">
      <c r="A13" s="7" t="s">
        <v>130</v>
      </c>
      <c r="B13" s="8">
        <f>GETPIVOTDATA("Sum of 1. Agreed",$A$15)/GETPIVOTDATA("Sum of Total",$A$15)</f>
        <v>7.6923076923076927E-2</v>
      </c>
      <c r="C13" s="8">
        <f>GETPIVOTDATA("Sum of 2. Agree but with futher comments",$A$15)/GETPIVOTDATA("Sum of Total",$A$15)</f>
        <v>0.86538461538461542</v>
      </c>
      <c r="D13" s="8">
        <f>GETPIVOTDATA("Sum of 3. Disagreed",$A$15)/GETPIVOTDATA("Sum of Total",$A$15)</f>
        <v>5.7692307692307696E-2</v>
      </c>
      <c r="E13" s="9">
        <f>SUM(B13:D13)</f>
        <v>1</v>
      </c>
    </row>
    <row r="15" spans="1:11" s="2" customFormat="1" ht="51.75" customHeight="1" x14ac:dyDescent="0.2">
      <c r="A15" s="52" t="s">
        <v>2</v>
      </c>
      <c r="B15" s="46" t="s">
        <v>125</v>
      </c>
      <c r="C15" s="48" t="s">
        <v>127</v>
      </c>
      <c r="D15" s="47" t="s">
        <v>128</v>
      </c>
      <c r="E15" s="42" t="s">
        <v>129</v>
      </c>
    </row>
    <row r="16" spans="1:11" x14ac:dyDescent="0.2">
      <c r="A16" s="43" t="s">
        <v>58</v>
      </c>
      <c r="B16" s="44">
        <v>0</v>
      </c>
      <c r="C16" s="44">
        <v>1</v>
      </c>
      <c r="D16" s="44">
        <v>0</v>
      </c>
      <c r="E16" s="44">
        <v>1</v>
      </c>
    </row>
    <row r="17" spans="1:5" x14ac:dyDescent="0.2">
      <c r="A17" s="43" t="s">
        <v>34</v>
      </c>
      <c r="B17" s="44">
        <v>0</v>
      </c>
      <c r="C17" s="44">
        <v>2</v>
      </c>
      <c r="D17" s="44">
        <v>0</v>
      </c>
      <c r="E17" s="44">
        <v>2</v>
      </c>
    </row>
    <row r="18" spans="1:5" x14ac:dyDescent="0.2">
      <c r="A18" s="43" t="s">
        <v>64</v>
      </c>
      <c r="B18" s="44">
        <v>0</v>
      </c>
      <c r="C18" s="44">
        <v>8</v>
      </c>
      <c r="D18" s="44">
        <v>0</v>
      </c>
      <c r="E18" s="44">
        <v>8</v>
      </c>
    </row>
    <row r="19" spans="1:5" x14ac:dyDescent="0.2">
      <c r="A19" s="43" t="s">
        <v>57</v>
      </c>
      <c r="B19" s="44">
        <v>2</v>
      </c>
      <c r="C19" s="44">
        <v>6</v>
      </c>
      <c r="D19" s="44">
        <v>0</v>
      </c>
      <c r="E19" s="44">
        <v>8</v>
      </c>
    </row>
    <row r="20" spans="1:5" x14ac:dyDescent="0.2">
      <c r="A20" s="43" t="s">
        <v>21</v>
      </c>
      <c r="B20" s="44">
        <v>0</v>
      </c>
      <c r="C20" s="44">
        <v>1</v>
      </c>
      <c r="D20" s="44">
        <v>0</v>
      </c>
      <c r="E20" s="44">
        <v>1</v>
      </c>
    </row>
    <row r="21" spans="1:5" x14ac:dyDescent="0.2">
      <c r="A21" s="43" t="s">
        <v>30</v>
      </c>
      <c r="B21" s="44">
        <v>1</v>
      </c>
      <c r="C21" s="44">
        <v>25</v>
      </c>
      <c r="D21" s="44">
        <v>2</v>
      </c>
      <c r="E21" s="44">
        <v>28</v>
      </c>
    </row>
    <row r="22" spans="1:5" x14ac:dyDescent="0.2">
      <c r="A22" s="43" t="s">
        <v>3</v>
      </c>
      <c r="B22" s="44">
        <v>0</v>
      </c>
      <c r="C22" s="44">
        <v>0</v>
      </c>
      <c r="D22" s="44">
        <v>1</v>
      </c>
      <c r="E22" s="44">
        <v>1</v>
      </c>
    </row>
    <row r="23" spans="1:5" x14ac:dyDescent="0.2">
      <c r="A23" s="43" t="s">
        <v>39</v>
      </c>
      <c r="B23" s="44">
        <v>1</v>
      </c>
      <c r="C23" s="44">
        <v>2</v>
      </c>
      <c r="D23" s="44">
        <v>0</v>
      </c>
      <c r="E23" s="44">
        <v>3</v>
      </c>
    </row>
    <row r="24" spans="1:5" x14ac:dyDescent="0.2">
      <c r="A24" s="43" t="s">
        <v>126</v>
      </c>
      <c r="B24" s="44">
        <v>4</v>
      </c>
      <c r="C24" s="44">
        <v>45</v>
      </c>
      <c r="D24" s="44">
        <v>3</v>
      </c>
      <c r="E24" s="44">
        <v>52</v>
      </c>
    </row>
    <row r="25" spans="1:5" x14ac:dyDescent="0.2">
      <c r="A25" s="40"/>
      <c r="B25" s="40"/>
      <c r="C25" s="40"/>
      <c r="D25" s="40"/>
      <c r="E25" s="40"/>
    </row>
    <row r="26" spans="1:5" x14ac:dyDescent="0.2">
      <c r="A26" s="40"/>
      <c r="B26" s="40"/>
      <c r="C26" s="40"/>
      <c r="D26" s="40"/>
      <c r="E26" s="40"/>
    </row>
    <row r="27" spans="1:5" x14ac:dyDescent="0.2">
      <c r="A27" s="40"/>
      <c r="B27" s="40"/>
      <c r="C27" s="40"/>
      <c r="D27" s="40"/>
      <c r="E27" s="40"/>
    </row>
    <row r="28" spans="1:5" x14ac:dyDescent="0.2">
      <c r="A28" s="40"/>
      <c r="B28" s="40"/>
      <c r="C28" s="40"/>
      <c r="D28" s="40"/>
      <c r="E28" s="40"/>
    </row>
    <row r="29" spans="1:5" x14ac:dyDescent="0.2">
      <c r="A29" s="40"/>
      <c r="B29" s="40"/>
      <c r="C29" s="40"/>
      <c r="D29" s="40"/>
      <c r="E29" s="40"/>
    </row>
    <row r="30" spans="1:5" x14ac:dyDescent="0.2">
      <c r="A30" s="40"/>
      <c r="B30" s="40"/>
      <c r="C30" s="40"/>
      <c r="D30" s="40"/>
      <c r="E30" s="40"/>
    </row>
    <row r="31" spans="1:5" x14ac:dyDescent="0.2">
      <c r="A31" s="40"/>
      <c r="B31" s="40"/>
      <c r="C31" s="40"/>
      <c r="D31" s="40"/>
      <c r="E31" s="40"/>
    </row>
    <row r="32" spans="1:5" x14ac:dyDescent="0.2">
      <c r="A32" s="40"/>
      <c r="B32" s="40"/>
      <c r="C32" s="40"/>
      <c r="D32" s="40"/>
      <c r="E32" s="40"/>
    </row>
    <row r="33" spans="1:5" x14ac:dyDescent="0.2">
      <c r="A33" s="40"/>
      <c r="B33" s="40"/>
      <c r="C33" s="40"/>
      <c r="D33" s="40"/>
      <c r="E33" s="40"/>
    </row>
    <row r="34" spans="1:5" x14ac:dyDescent="0.2">
      <c r="A34" s="40"/>
      <c r="B34" s="40"/>
      <c r="C34" s="40"/>
      <c r="D34" s="40"/>
      <c r="E34" s="40"/>
    </row>
    <row r="35" spans="1:5" x14ac:dyDescent="0.2">
      <c r="A35" s="40"/>
      <c r="B35" s="40"/>
      <c r="C35" s="40"/>
      <c r="D35" s="40"/>
      <c r="E35" s="40"/>
    </row>
    <row r="36" spans="1:5" x14ac:dyDescent="0.2">
      <c r="A36" s="40"/>
      <c r="B36" s="40"/>
      <c r="C36" s="40"/>
      <c r="D36" s="40"/>
      <c r="E36" s="40"/>
    </row>
    <row r="37" spans="1:5" x14ac:dyDescent="0.2">
      <c r="A37" s="40"/>
      <c r="B37" s="40"/>
      <c r="C37" s="40"/>
      <c r="D37" s="40"/>
      <c r="E37" s="40"/>
    </row>
    <row r="38" spans="1:5" x14ac:dyDescent="0.2">
      <c r="A38" s="40"/>
      <c r="B38" s="40"/>
      <c r="C38" s="40"/>
      <c r="D38" s="40"/>
      <c r="E38" s="40"/>
    </row>
    <row r="39" spans="1:5" x14ac:dyDescent="0.2">
      <c r="A39" s="40"/>
      <c r="B39" s="40"/>
      <c r="C39" s="40"/>
      <c r="D39" s="40"/>
      <c r="E39" s="40"/>
    </row>
    <row r="40" spans="1:5" x14ac:dyDescent="0.2">
      <c r="A40" s="40"/>
      <c r="B40" s="40"/>
      <c r="C40" s="40"/>
      <c r="D40" s="40"/>
      <c r="E40" s="40"/>
    </row>
    <row r="41" spans="1:5" x14ac:dyDescent="0.2">
      <c r="A41" s="40"/>
      <c r="B41" s="40"/>
      <c r="C41" s="40"/>
      <c r="D41" s="40"/>
      <c r="E41" s="40"/>
    </row>
    <row r="42" spans="1:5" x14ac:dyDescent="0.2">
      <c r="A42" s="40"/>
      <c r="B42" s="40"/>
      <c r="C42" s="40"/>
      <c r="D42" s="40"/>
      <c r="E42" s="40"/>
    </row>
    <row r="43" spans="1:5" x14ac:dyDescent="0.2">
      <c r="A43" s="40"/>
      <c r="B43" s="40"/>
      <c r="C43" s="40"/>
      <c r="D43" s="40"/>
      <c r="E43" s="40"/>
    </row>
    <row r="44" spans="1:5" x14ac:dyDescent="0.2">
      <c r="A44" s="40"/>
      <c r="B44" s="40"/>
      <c r="C44" s="40"/>
      <c r="D44" s="40"/>
      <c r="E44" s="40"/>
    </row>
    <row r="45" spans="1:5" x14ac:dyDescent="0.2">
      <c r="A45" s="40"/>
      <c r="B45" s="40"/>
      <c r="C45" s="40"/>
      <c r="D45" s="40"/>
      <c r="E45" s="40"/>
    </row>
    <row r="46" spans="1:5" x14ac:dyDescent="0.2">
      <c r="A46" s="40"/>
      <c r="B46" s="40"/>
      <c r="C46" s="40"/>
      <c r="D46" s="40"/>
      <c r="E46" s="40"/>
    </row>
    <row r="47" spans="1:5" x14ac:dyDescent="0.2">
      <c r="A47" s="40"/>
      <c r="B47" s="40"/>
      <c r="C47" s="40"/>
      <c r="D47" s="40"/>
      <c r="E47" s="40"/>
    </row>
    <row r="48" spans="1:5" x14ac:dyDescent="0.2">
      <c r="A48" s="40"/>
      <c r="B48" s="40"/>
      <c r="C48" s="40"/>
      <c r="D48" s="40"/>
      <c r="E48" s="40"/>
    </row>
    <row r="49" spans="1:5" x14ac:dyDescent="0.2">
      <c r="A49" s="40"/>
      <c r="B49" s="40"/>
      <c r="C49" s="40"/>
      <c r="D49" s="40"/>
      <c r="E49" s="40"/>
    </row>
    <row r="50" spans="1:5" x14ac:dyDescent="0.2">
      <c r="A50" s="40"/>
      <c r="B50" s="40"/>
      <c r="C50" s="40"/>
      <c r="D50" s="40"/>
      <c r="E50" s="40"/>
    </row>
    <row r="51" spans="1:5" x14ac:dyDescent="0.2">
      <c r="A51" s="40"/>
      <c r="B51" s="40"/>
      <c r="C51" s="40"/>
      <c r="D51" s="40"/>
      <c r="E51" s="40"/>
    </row>
    <row r="52" spans="1:5" x14ac:dyDescent="0.2">
      <c r="A52" s="40"/>
      <c r="B52" s="40"/>
      <c r="C52" s="40"/>
      <c r="D52" s="40"/>
      <c r="E52" s="40"/>
    </row>
    <row r="53" spans="1:5" x14ac:dyDescent="0.2">
      <c r="A53" s="40"/>
      <c r="B53" s="40"/>
      <c r="C53" s="40"/>
      <c r="D53" s="40"/>
      <c r="E53" s="40"/>
    </row>
    <row r="54" spans="1:5" x14ac:dyDescent="0.2">
      <c r="A54" s="40"/>
      <c r="B54" s="40"/>
      <c r="C54" s="40"/>
      <c r="D54" s="40"/>
      <c r="E54" s="40"/>
    </row>
    <row r="55" spans="1:5" x14ac:dyDescent="0.2">
      <c r="A55" s="40"/>
      <c r="B55" s="40"/>
      <c r="C55" s="40"/>
      <c r="D55" s="40"/>
      <c r="E55" s="40"/>
    </row>
    <row r="56" spans="1:5" x14ac:dyDescent="0.2">
      <c r="A56" s="40"/>
      <c r="B56" s="40"/>
      <c r="C56" s="40"/>
      <c r="D56" s="40"/>
      <c r="E56" s="40"/>
    </row>
    <row r="57" spans="1:5" x14ac:dyDescent="0.2">
      <c r="A57" s="40"/>
      <c r="B57" s="40"/>
      <c r="C57" s="40"/>
      <c r="D57" s="40"/>
      <c r="E57" s="40"/>
    </row>
    <row r="58" spans="1:5" x14ac:dyDescent="0.2">
      <c r="A58" s="40"/>
      <c r="B58" s="40"/>
      <c r="C58" s="40"/>
      <c r="D58" s="40"/>
      <c r="E58" s="40"/>
    </row>
    <row r="59" spans="1:5" x14ac:dyDescent="0.2">
      <c r="A59" s="40"/>
      <c r="B59" s="40"/>
      <c r="C59" s="40"/>
      <c r="D59" s="40"/>
      <c r="E59" s="40"/>
    </row>
    <row r="60" spans="1:5" x14ac:dyDescent="0.2">
      <c r="A60" s="40"/>
      <c r="B60" s="40"/>
      <c r="C60" s="40"/>
      <c r="D60" s="40"/>
      <c r="E60" s="40"/>
    </row>
    <row r="61" spans="1:5" x14ac:dyDescent="0.2">
      <c r="A61" s="40"/>
      <c r="B61" s="40"/>
      <c r="C61" s="40"/>
      <c r="D61" s="40"/>
      <c r="E61" s="40"/>
    </row>
    <row r="62" spans="1:5" x14ac:dyDescent="0.2">
      <c r="A62" s="40"/>
      <c r="B62" s="40"/>
      <c r="C62" s="40"/>
      <c r="D62" s="40"/>
      <c r="E62" s="40"/>
    </row>
    <row r="63" spans="1:5" x14ac:dyDescent="0.2">
      <c r="A63" s="40"/>
      <c r="B63" s="40"/>
      <c r="C63" s="40"/>
      <c r="D63" s="40"/>
      <c r="E63" s="40"/>
    </row>
    <row r="64" spans="1:5" x14ac:dyDescent="0.2">
      <c r="A64" s="40"/>
      <c r="B64" s="40"/>
      <c r="C64" s="40"/>
      <c r="D64" s="40"/>
      <c r="E64" s="40"/>
    </row>
    <row r="65" spans="1:5" x14ac:dyDescent="0.2">
      <c r="A65" s="40"/>
      <c r="B65" s="40"/>
      <c r="C65" s="40"/>
      <c r="D65" s="40"/>
      <c r="E65" s="40"/>
    </row>
    <row r="66" spans="1:5" x14ac:dyDescent="0.2">
      <c r="A66" s="40"/>
      <c r="B66" s="40"/>
      <c r="C66" s="40"/>
      <c r="D66" s="40"/>
      <c r="E66" s="40"/>
    </row>
    <row r="67" spans="1:5" x14ac:dyDescent="0.2">
      <c r="A67" s="40"/>
      <c r="B67" s="40"/>
      <c r="C67" s="40"/>
      <c r="D67" s="40"/>
      <c r="E67" s="40"/>
    </row>
    <row r="68" spans="1:5" x14ac:dyDescent="0.2">
      <c r="A68" s="40"/>
      <c r="B68" s="40"/>
      <c r="C68" s="40"/>
      <c r="D68" s="40"/>
      <c r="E68" s="40"/>
    </row>
    <row r="69" spans="1:5" x14ac:dyDescent="0.2">
      <c r="A69" s="40"/>
      <c r="B69" s="40"/>
      <c r="C69" s="40"/>
      <c r="D69" s="40"/>
      <c r="E69" s="40"/>
    </row>
    <row r="70" spans="1:5" x14ac:dyDescent="0.2">
      <c r="A70" s="40"/>
      <c r="B70" s="40"/>
      <c r="C70" s="40"/>
      <c r="D70" s="40"/>
      <c r="E70" s="40"/>
    </row>
    <row r="71" spans="1:5" x14ac:dyDescent="0.2">
      <c r="A71" s="40"/>
      <c r="B71" s="40"/>
      <c r="C71" s="40"/>
      <c r="D71" s="40"/>
      <c r="E71" s="40"/>
    </row>
    <row r="72" spans="1:5" x14ac:dyDescent="0.2">
      <c r="A72" s="40"/>
      <c r="B72" s="40"/>
      <c r="C72" s="40"/>
      <c r="D72" s="40"/>
      <c r="E72" s="40"/>
    </row>
    <row r="73" spans="1:5" x14ac:dyDescent="0.2">
      <c r="A73" s="40"/>
      <c r="B73" s="40"/>
      <c r="C73" s="40"/>
      <c r="D73" s="40"/>
      <c r="E73" s="40"/>
    </row>
    <row r="74" spans="1:5" x14ac:dyDescent="0.2">
      <c r="A74" s="40"/>
      <c r="B74" s="40"/>
      <c r="C74" s="40"/>
      <c r="D74" s="40"/>
      <c r="E74" s="40"/>
    </row>
    <row r="75" spans="1:5" x14ac:dyDescent="0.2">
      <c r="A75" s="40"/>
      <c r="B75" s="40"/>
      <c r="C75" s="40"/>
      <c r="D75" s="40"/>
      <c r="E75" s="40"/>
    </row>
    <row r="76" spans="1:5" x14ac:dyDescent="0.2">
      <c r="A76" s="40"/>
      <c r="B76" s="40"/>
      <c r="C76" s="40"/>
      <c r="D76" s="40"/>
      <c r="E76" s="40"/>
    </row>
  </sheetData>
  <mergeCells count="3">
    <mergeCell ref="B1:E1"/>
    <mergeCell ref="A4:I4"/>
    <mergeCell ref="A5:K5"/>
  </mergeCells>
  <pageMargins left="0.7" right="0.7" top="0.75" bottom="0.75" header="0.3" footer="0.3"/>
  <pageSetup scale="51" orientation="landscape" r:id="rId2"/>
  <headerFooter>
    <oddFooter>&amp;R&amp;P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3BF5-7995-4C35-82D9-4503CB14C6D6}">
  <dimension ref="A1:H53"/>
  <sheetViews>
    <sheetView topLeftCell="B1" workbookViewId="0">
      <pane xSplit="3" ySplit="1" topLeftCell="E38" activePane="bottomRight" state="frozen"/>
      <selection activeCell="B1" sqref="B1"/>
      <selection pane="topRight" activeCell="E1" sqref="E1"/>
      <selection pane="bottomLeft" activeCell="B2" sqref="B2"/>
      <selection pane="bottomRight" activeCell="B54" sqref="A54:XFD54"/>
    </sheetView>
  </sheetViews>
  <sheetFormatPr defaultColWidth="30.7109375" defaultRowHeight="12.75" x14ac:dyDescent="0.2"/>
  <cols>
    <col min="1" max="1" width="0" style="2" hidden="1" customWidth="1"/>
    <col min="2" max="2" width="30.7109375" style="2"/>
    <col min="3" max="4" width="0" style="2" hidden="1" customWidth="1"/>
    <col min="5" max="16384" width="30.7109375" style="2"/>
  </cols>
  <sheetData>
    <row r="1" spans="1:8" s="5" customFormat="1" ht="25.5" x14ac:dyDescent="0.2">
      <c r="A1" s="5" t="s">
        <v>2</v>
      </c>
      <c r="B1" s="5" t="s">
        <v>2</v>
      </c>
      <c r="C1" s="5" t="s">
        <v>65</v>
      </c>
      <c r="D1" s="5" t="s">
        <v>62</v>
      </c>
      <c r="E1" s="6" t="s">
        <v>69</v>
      </c>
      <c r="F1" s="6" t="s">
        <v>70</v>
      </c>
      <c r="G1" s="6" t="s">
        <v>71</v>
      </c>
      <c r="H1" s="6" t="s">
        <v>124</v>
      </c>
    </row>
    <row r="2" spans="1:8" x14ac:dyDescent="0.2">
      <c r="A2" s="2" t="s">
        <v>52</v>
      </c>
      <c r="B2" s="3" t="s">
        <v>72</v>
      </c>
      <c r="C2" s="2" t="s">
        <v>58</v>
      </c>
      <c r="D2" s="2" t="s">
        <v>9</v>
      </c>
      <c r="E2" s="4">
        <v>0</v>
      </c>
      <c r="F2" s="4">
        <v>1</v>
      </c>
      <c r="G2" s="4">
        <v>0</v>
      </c>
      <c r="H2" s="4">
        <f>SUM(E2:G2)</f>
        <v>1</v>
      </c>
    </row>
    <row r="3" spans="1:8" ht="25.5" x14ac:dyDescent="0.2">
      <c r="A3" s="2" t="s">
        <v>56</v>
      </c>
      <c r="B3" s="3" t="s">
        <v>73</v>
      </c>
      <c r="C3" s="2" t="s">
        <v>34</v>
      </c>
      <c r="D3" s="2" t="s">
        <v>13</v>
      </c>
      <c r="E3" s="4">
        <v>0</v>
      </c>
      <c r="F3" s="4">
        <v>1</v>
      </c>
      <c r="G3" s="4">
        <v>0</v>
      </c>
      <c r="H3" s="4">
        <f t="shared" ref="H3:H53" si="0">SUM(E3:G3)</f>
        <v>1</v>
      </c>
    </row>
    <row r="4" spans="1:8" ht="25.5" x14ac:dyDescent="0.2">
      <c r="A4" s="2" t="s">
        <v>49</v>
      </c>
      <c r="B4" s="3" t="s">
        <v>74</v>
      </c>
      <c r="C4" s="2" t="s">
        <v>34</v>
      </c>
      <c r="D4" s="2" t="s">
        <v>32</v>
      </c>
      <c r="E4" s="4">
        <v>0</v>
      </c>
      <c r="F4" s="4">
        <v>1</v>
      </c>
      <c r="G4" s="4">
        <v>0</v>
      </c>
      <c r="H4" s="4">
        <f t="shared" si="0"/>
        <v>1</v>
      </c>
    </row>
    <row r="5" spans="1:8" ht="25.5" x14ac:dyDescent="0.2">
      <c r="A5" s="2" t="s">
        <v>48</v>
      </c>
      <c r="B5" s="3" t="s">
        <v>75</v>
      </c>
      <c r="C5" s="2" t="s">
        <v>64</v>
      </c>
      <c r="D5" s="2" t="s">
        <v>0</v>
      </c>
      <c r="E5" s="4">
        <v>0</v>
      </c>
      <c r="F5" s="4">
        <v>1</v>
      </c>
      <c r="G5" s="4">
        <v>0</v>
      </c>
      <c r="H5" s="4">
        <f t="shared" si="0"/>
        <v>1</v>
      </c>
    </row>
    <row r="6" spans="1:8" ht="25.5" x14ac:dyDescent="0.2">
      <c r="A6" s="2" t="s">
        <v>22</v>
      </c>
      <c r="B6" s="3" t="s">
        <v>76</v>
      </c>
      <c r="C6" s="2" t="s">
        <v>64</v>
      </c>
      <c r="D6" s="2" t="s">
        <v>44</v>
      </c>
      <c r="E6" s="4">
        <v>0</v>
      </c>
      <c r="F6" s="4">
        <v>1</v>
      </c>
      <c r="G6" s="4">
        <v>0</v>
      </c>
      <c r="H6" s="4">
        <f t="shared" si="0"/>
        <v>1</v>
      </c>
    </row>
    <row r="7" spans="1:8" ht="25.5" x14ac:dyDescent="0.2">
      <c r="A7" s="2" t="s">
        <v>16</v>
      </c>
      <c r="B7" s="3" t="s">
        <v>77</v>
      </c>
      <c r="C7" s="2" t="s">
        <v>64</v>
      </c>
      <c r="D7" s="2" t="s">
        <v>0</v>
      </c>
      <c r="E7" s="4">
        <v>0</v>
      </c>
      <c r="F7" s="4">
        <v>1</v>
      </c>
      <c r="G7" s="4">
        <v>0</v>
      </c>
      <c r="H7" s="4">
        <f t="shared" si="0"/>
        <v>1</v>
      </c>
    </row>
    <row r="8" spans="1:8" ht="25.5" x14ac:dyDescent="0.2">
      <c r="A8" s="2" t="s">
        <v>5</v>
      </c>
      <c r="B8" s="3" t="s">
        <v>78</v>
      </c>
      <c r="C8" s="2" t="s">
        <v>64</v>
      </c>
      <c r="D8" s="2" t="s">
        <v>44</v>
      </c>
      <c r="E8" s="4">
        <v>0</v>
      </c>
      <c r="F8" s="4">
        <v>1</v>
      </c>
      <c r="G8" s="4">
        <v>0</v>
      </c>
      <c r="H8" s="4">
        <f t="shared" si="0"/>
        <v>1</v>
      </c>
    </row>
    <row r="9" spans="1:8" ht="25.5" x14ac:dyDescent="0.2">
      <c r="A9" s="2" t="s">
        <v>23</v>
      </c>
      <c r="B9" s="3" t="s">
        <v>79</v>
      </c>
      <c r="C9" s="2" t="s">
        <v>64</v>
      </c>
      <c r="D9" s="2" t="s">
        <v>0</v>
      </c>
      <c r="E9" s="4">
        <v>0</v>
      </c>
      <c r="F9" s="4">
        <v>1</v>
      </c>
      <c r="G9" s="4">
        <v>0</v>
      </c>
      <c r="H9" s="4">
        <f t="shared" si="0"/>
        <v>1</v>
      </c>
    </row>
    <row r="10" spans="1:8" ht="25.5" x14ac:dyDescent="0.2">
      <c r="A10" s="2" t="s">
        <v>33</v>
      </c>
      <c r="B10" s="3" t="s">
        <v>80</v>
      </c>
      <c r="C10" s="2" t="s">
        <v>64</v>
      </c>
      <c r="D10" s="2" t="s">
        <v>0</v>
      </c>
      <c r="E10" s="4">
        <v>0</v>
      </c>
      <c r="F10" s="4">
        <v>1</v>
      </c>
      <c r="G10" s="4">
        <v>0</v>
      </c>
      <c r="H10" s="4">
        <f t="shared" si="0"/>
        <v>1</v>
      </c>
    </row>
    <row r="11" spans="1:8" ht="25.5" x14ac:dyDescent="0.2">
      <c r="A11" s="2" t="s">
        <v>46</v>
      </c>
      <c r="B11" s="3" t="s">
        <v>81</v>
      </c>
      <c r="C11" s="2" t="s">
        <v>64</v>
      </c>
      <c r="D11" s="2" t="s">
        <v>44</v>
      </c>
      <c r="E11" s="4">
        <v>0</v>
      </c>
      <c r="F11" s="4">
        <v>1</v>
      </c>
      <c r="G11" s="4">
        <v>0</v>
      </c>
      <c r="H11" s="4">
        <f t="shared" si="0"/>
        <v>1</v>
      </c>
    </row>
    <row r="12" spans="1:8" ht="25.5" x14ac:dyDescent="0.2">
      <c r="A12" s="2" t="s">
        <v>61</v>
      </c>
      <c r="B12" s="3" t="s">
        <v>82</v>
      </c>
      <c r="C12" s="2" t="s">
        <v>64</v>
      </c>
      <c r="D12" s="2" t="s">
        <v>0</v>
      </c>
      <c r="E12" s="4">
        <v>0</v>
      </c>
      <c r="F12" s="4">
        <v>1</v>
      </c>
      <c r="G12" s="4">
        <v>0</v>
      </c>
      <c r="H12" s="4">
        <f t="shared" si="0"/>
        <v>1</v>
      </c>
    </row>
    <row r="13" spans="1:8" x14ac:dyDescent="0.2">
      <c r="A13" s="2" t="s">
        <v>55</v>
      </c>
      <c r="B13" s="3" t="s">
        <v>83</v>
      </c>
      <c r="C13" s="2" t="s">
        <v>57</v>
      </c>
      <c r="D13" s="2" t="s">
        <v>9</v>
      </c>
      <c r="E13" s="4">
        <v>1</v>
      </c>
      <c r="F13" s="4">
        <v>0</v>
      </c>
      <c r="G13" s="4">
        <v>0</v>
      </c>
      <c r="H13" s="4">
        <f t="shared" si="0"/>
        <v>1</v>
      </c>
    </row>
    <row r="14" spans="1:8" x14ac:dyDescent="0.2">
      <c r="A14" s="2" t="s">
        <v>36</v>
      </c>
      <c r="B14" s="3" t="s">
        <v>84</v>
      </c>
      <c r="C14" s="2" t="s">
        <v>57</v>
      </c>
      <c r="D14" s="2" t="s">
        <v>9</v>
      </c>
      <c r="E14" s="4">
        <v>1</v>
      </c>
      <c r="F14" s="4">
        <v>0</v>
      </c>
      <c r="G14" s="4">
        <v>0</v>
      </c>
      <c r="H14" s="4">
        <f t="shared" si="0"/>
        <v>1</v>
      </c>
    </row>
    <row r="15" spans="1:8" x14ac:dyDescent="0.2">
      <c r="A15" s="2" t="s">
        <v>11</v>
      </c>
      <c r="B15" s="3" t="s">
        <v>85</v>
      </c>
      <c r="C15" s="2" t="s">
        <v>57</v>
      </c>
      <c r="D15" s="2" t="s">
        <v>9</v>
      </c>
      <c r="E15" s="4">
        <v>0</v>
      </c>
      <c r="F15" s="4">
        <v>1</v>
      </c>
      <c r="G15" s="4">
        <v>0</v>
      </c>
      <c r="H15" s="4">
        <f t="shared" si="0"/>
        <v>1</v>
      </c>
    </row>
    <row r="16" spans="1:8" x14ac:dyDescent="0.2">
      <c r="A16" s="2" t="s">
        <v>50</v>
      </c>
      <c r="B16" s="3" t="s">
        <v>86</v>
      </c>
      <c r="C16" s="2" t="s">
        <v>57</v>
      </c>
      <c r="D16" s="2" t="s">
        <v>9</v>
      </c>
      <c r="E16" s="4">
        <v>0</v>
      </c>
      <c r="F16" s="4">
        <v>1</v>
      </c>
      <c r="G16" s="4">
        <v>0</v>
      </c>
      <c r="H16" s="4">
        <f t="shared" si="0"/>
        <v>1</v>
      </c>
    </row>
    <row r="17" spans="1:8" x14ac:dyDescent="0.2">
      <c r="A17" s="2" t="s">
        <v>40</v>
      </c>
      <c r="B17" s="3" t="s">
        <v>87</v>
      </c>
      <c r="C17" s="2" t="s">
        <v>57</v>
      </c>
      <c r="D17" s="2" t="s">
        <v>9</v>
      </c>
      <c r="E17" s="4">
        <v>0</v>
      </c>
      <c r="F17" s="4">
        <v>1</v>
      </c>
      <c r="G17" s="4">
        <v>0</v>
      </c>
      <c r="H17" s="4">
        <f t="shared" si="0"/>
        <v>1</v>
      </c>
    </row>
    <row r="18" spans="1:8" x14ac:dyDescent="0.2">
      <c r="A18" s="2" t="s">
        <v>63</v>
      </c>
      <c r="B18" s="3" t="s">
        <v>88</v>
      </c>
      <c r="C18" s="2" t="s">
        <v>57</v>
      </c>
      <c r="D18" s="2" t="s">
        <v>9</v>
      </c>
      <c r="E18" s="4">
        <v>0</v>
      </c>
      <c r="F18" s="4">
        <v>1</v>
      </c>
      <c r="G18" s="4">
        <v>0</v>
      </c>
      <c r="H18" s="4">
        <f t="shared" si="0"/>
        <v>1</v>
      </c>
    </row>
    <row r="19" spans="1:8" x14ac:dyDescent="0.2">
      <c r="A19" s="2" t="s">
        <v>54</v>
      </c>
      <c r="B19" s="3" t="s">
        <v>89</v>
      </c>
      <c r="C19" s="2" t="s">
        <v>57</v>
      </c>
      <c r="D19" s="2" t="s">
        <v>9</v>
      </c>
      <c r="E19" s="4">
        <v>0</v>
      </c>
      <c r="F19" s="4">
        <v>1</v>
      </c>
      <c r="G19" s="4">
        <v>0</v>
      </c>
      <c r="H19" s="4">
        <f t="shared" si="0"/>
        <v>1</v>
      </c>
    </row>
    <row r="20" spans="1:8" x14ac:dyDescent="0.2">
      <c r="A20" s="2" t="s">
        <v>41</v>
      </c>
      <c r="B20" s="3" t="s">
        <v>90</v>
      </c>
      <c r="C20" s="2" t="s">
        <v>57</v>
      </c>
      <c r="D20" s="2" t="s">
        <v>9</v>
      </c>
      <c r="E20" s="4">
        <v>0</v>
      </c>
      <c r="F20" s="4">
        <v>1</v>
      </c>
      <c r="G20" s="4">
        <v>0</v>
      </c>
      <c r="H20" s="4">
        <f t="shared" si="0"/>
        <v>1</v>
      </c>
    </row>
    <row r="21" spans="1:8" x14ac:dyDescent="0.2">
      <c r="A21" s="2" t="s">
        <v>29</v>
      </c>
      <c r="B21" s="3" t="s">
        <v>91</v>
      </c>
      <c r="C21" s="2" t="s">
        <v>21</v>
      </c>
      <c r="D21" s="2" t="s">
        <v>35</v>
      </c>
      <c r="E21" s="4">
        <v>0</v>
      </c>
      <c r="F21" s="4">
        <v>1</v>
      </c>
      <c r="G21" s="4">
        <v>0</v>
      </c>
      <c r="H21" s="4">
        <f t="shared" si="0"/>
        <v>1</v>
      </c>
    </row>
    <row r="22" spans="1:8" ht="25.5" x14ac:dyDescent="0.2">
      <c r="A22" s="2" t="s">
        <v>26</v>
      </c>
      <c r="B22" s="3" t="s">
        <v>92</v>
      </c>
      <c r="C22" s="2" t="s">
        <v>30</v>
      </c>
      <c r="D22" s="2" t="s">
        <v>9</v>
      </c>
      <c r="E22" s="4">
        <v>0</v>
      </c>
      <c r="F22" s="4">
        <v>1</v>
      </c>
      <c r="G22" s="4">
        <v>0</v>
      </c>
      <c r="H22" s="4">
        <f t="shared" si="0"/>
        <v>1</v>
      </c>
    </row>
    <row r="23" spans="1:8" ht="25.5" x14ac:dyDescent="0.2">
      <c r="A23" s="2" t="s">
        <v>10</v>
      </c>
      <c r="B23" s="3" t="s">
        <v>93</v>
      </c>
      <c r="C23" s="2" t="s">
        <v>30</v>
      </c>
      <c r="D23" s="2" t="s">
        <v>44</v>
      </c>
      <c r="E23" s="4">
        <v>0</v>
      </c>
      <c r="F23" s="4">
        <v>1</v>
      </c>
      <c r="G23" s="4">
        <v>0</v>
      </c>
      <c r="H23" s="4">
        <f t="shared" si="0"/>
        <v>1</v>
      </c>
    </row>
    <row r="24" spans="1:8" ht="25.5" x14ac:dyDescent="0.2">
      <c r="A24" s="2" t="s">
        <v>67</v>
      </c>
      <c r="B24" s="3" t="s">
        <v>94</v>
      </c>
      <c r="C24" s="2" t="s">
        <v>30</v>
      </c>
      <c r="D24" s="2" t="s">
        <v>35</v>
      </c>
      <c r="E24" s="4">
        <v>0</v>
      </c>
      <c r="F24" s="4">
        <v>1</v>
      </c>
      <c r="G24" s="4">
        <v>0</v>
      </c>
      <c r="H24" s="4">
        <f t="shared" si="0"/>
        <v>1</v>
      </c>
    </row>
    <row r="25" spans="1:8" ht="25.5" x14ac:dyDescent="0.2">
      <c r="A25" s="2" t="s">
        <v>12</v>
      </c>
      <c r="B25" s="3" t="s">
        <v>95</v>
      </c>
      <c r="C25" s="2" t="s">
        <v>30</v>
      </c>
      <c r="D25" s="2" t="s">
        <v>0</v>
      </c>
      <c r="E25" s="4">
        <v>0</v>
      </c>
      <c r="F25" s="4">
        <v>1</v>
      </c>
      <c r="G25" s="4">
        <v>0</v>
      </c>
      <c r="H25" s="4">
        <f t="shared" si="0"/>
        <v>1</v>
      </c>
    </row>
    <row r="26" spans="1:8" ht="25.5" x14ac:dyDescent="0.2">
      <c r="A26" s="2" t="s">
        <v>15</v>
      </c>
      <c r="B26" s="3" t="s">
        <v>96</v>
      </c>
      <c r="C26" s="2" t="s">
        <v>30</v>
      </c>
      <c r="D26" s="2" t="s">
        <v>44</v>
      </c>
      <c r="E26" s="4">
        <v>0</v>
      </c>
      <c r="F26" s="4">
        <v>1</v>
      </c>
      <c r="G26" s="4">
        <v>0</v>
      </c>
      <c r="H26" s="4">
        <f t="shared" si="0"/>
        <v>1</v>
      </c>
    </row>
    <row r="27" spans="1:8" ht="25.5" x14ac:dyDescent="0.2">
      <c r="A27" s="2" t="s">
        <v>28</v>
      </c>
      <c r="B27" s="3" t="s">
        <v>97</v>
      </c>
      <c r="C27" s="2" t="s">
        <v>30</v>
      </c>
      <c r="D27" s="2" t="s">
        <v>0</v>
      </c>
      <c r="E27" s="4">
        <v>0</v>
      </c>
      <c r="F27" s="4">
        <v>1</v>
      </c>
      <c r="G27" s="4">
        <v>0</v>
      </c>
      <c r="H27" s="4">
        <f t="shared" si="0"/>
        <v>1</v>
      </c>
    </row>
    <row r="28" spans="1:8" ht="25.5" x14ac:dyDescent="0.2">
      <c r="A28" s="2" t="s">
        <v>25</v>
      </c>
      <c r="B28" s="3" t="s">
        <v>98</v>
      </c>
      <c r="C28" s="2" t="s">
        <v>30</v>
      </c>
      <c r="D28" s="2" t="s">
        <v>35</v>
      </c>
      <c r="E28" s="4">
        <v>0</v>
      </c>
      <c r="F28" s="4">
        <v>1</v>
      </c>
      <c r="G28" s="4">
        <v>0</v>
      </c>
      <c r="H28" s="4">
        <f t="shared" si="0"/>
        <v>1</v>
      </c>
    </row>
    <row r="29" spans="1:8" ht="25.5" x14ac:dyDescent="0.2">
      <c r="A29" s="2" t="s">
        <v>6</v>
      </c>
      <c r="B29" s="3" t="s">
        <v>99</v>
      </c>
      <c r="C29" s="2" t="s">
        <v>30</v>
      </c>
      <c r="D29" s="2" t="s">
        <v>44</v>
      </c>
      <c r="E29" s="4">
        <v>0</v>
      </c>
      <c r="F29" s="4">
        <v>1</v>
      </c>
      <c r="G29" s="4">
        <v>0</v>
      </c>
      <c r="H29" s="4">
        <f t="shared" si="0"/>
        <v>1</v>
      </c>
    </row>
    <row r="30" spans="1:8" ht="25.5" x14ac:dyDescent="0.2">
      <c r="A30" s="2" t="s">
        <v>42</v>
      </c>
      <c r="B30" s="3" t="s">
        <v>100</v>
      </c>
      <c r="C30" s="2" t="s">
        <v>30</v>
      </c>
      <c r="D30" s="2" t="s">
        <v>13</v>
      </c>
      <c r="E30" s="4">
        <v>0</v>
      </c>
      <c r="F30" s="4">
        <v>1</v>
      </c>
      <c r="G30" s="4">
        <v>0</v>
      </c>
      <c r="H30" s="4">
        <f t="shared" si="0"/>
        <v>1</v>
      </c>
    </row>
    <row r="31" spans="1:8" ht="25.5" x14ac:dyDescent="0.2">
      <c r="A31" s="2" t="s">
        <v>19</v>
      </c>
      <c r="B31" s="3" t="s">
        <v>101</v>
      </c>
      <c r="C31" s="2" t="s">
        <v>30</v>
      </c>
      <c r="D31" s="2" t="s">
        <v>44</v>
      </c>
      <c r="E31" s="4">
        <v>0</v>
      </c>
      <c r="F31" s="4">
        <v>1</v>
      </c>
      <c r="G31" s="4">
        <v>0</v>
      </c>
      <c r="H31" s="4">
        <f t="shared" si="0"/>
        <v>1</v>
      </c>
    </row>
    <row r="32" spans="1:8" ht="25.5" x14ac:dyDescent="0.2">
      <c r="A32" s="2" t="s">
        <v>66</v>
      </c>
      <c r="B32" s="3" t="s">
        <v>102</v>
      </c>
      <c r="C32" s="2" t="s">
        <v>30</v>
      </c>
      <c r="D32" s="2" t="s">
        <v>44</v>
      </c>
      <c r="E32" s="4">
        <v>0</v>
      </c>
      <c r="F32" s="4">
        <v>1</v>
      </c>
      <c r="G32" s="4">
        <v>0</v>
      </c>
      <c r="H32" s="4">
        <f t="shared" si="0"/>
        <v>1</v>
      </c>
    </row>
    <row r="33" spans="1:8" ht="25.5" x14ac:dyDescent="0.2">
      <c r="A33" s="2" t="s">
        <v>17</v>
      </c>
      <c r="B33" s="3" t="s">
        <v>103</v>
      </c>
      <c r="C33" s="2" t="s">
        <v>30</v>
      </c>
      <c r="D33" s="2" t="s">
        <v>9</v>
      </c>
      <c r="E33" s="4">
        <v>0</v>
      </c>
      <c r="F33" s="4">
        <v>1</v>
      </c>
      <c r="G33" s="4">
        <v>0</v>
      </c>
      <c r="H33" s="4">
        <f t="shared" si="0"/>
        <v>1</v>
      </c>
    </row>
    <row r="34" spans="1:8" ht="25.5" x14ac:dyDescent="0.2">
      <c r="A34" s="2" t="s">
        <v>24</v>
      </c>
      <c r="B34" s="3" t="s">
        <v>104</v>
      </c>
      <c r="C34" s="2" t="s">
        <v>30</v>
      </c>
      <c r="D34" s="2" t="s">
        <v>13</v>
      </c>
      <c r="E34" s="4">
        <v>0</v>
      </c>
      <c r="F34" s="4">
        <v>1</v>
      </c>
      <c r="G34" s="4">
        <v>0</v>
      </c>
      <c r="H34" s="4">
        <f t="shared" si="0"/>
        <v>1</v>
      </c>
    </row>
    <row r="35" spans="1:8" ht="25.5" x14ac:dyDescent="0.2">
      <c r="A35" s="2" t="s">
        <v>51</v>
      </c>
      <c r="B35" s="3" t="s">
        <v>105</v>
      </c>
      <c r="C35" s="2" t="s">
        <v>30</v>
      </c>
      <c r="D35" s="2" t="s">
        <v>9</v>
      </c>
      <c r="E35" s="4">
        <v>0</v>
      </c>
      <c r="F35" s="4">
        <v>1</v>
      </c>
      <c r="G35" s="4">
        <v>0</v>
      </c>
      <c r="H35" s="4">
        <f t="shared" si="0"/>
        <v>1</v>
      </c>
    </row>
    <row r="36" spans="1:8" ht="25.5" x14ac:dyDescent="0.2">
      <c r="A36" s="2" t="s">
        <v>53</v>
      </c>
      <c r="B36" s="3" t="s">
        <v>106</v>
      </c>
      <c r="C36" s="2" t="s">
        <v>30</v>
      </c>
      <c r="D36" s="2" t="s">
        <v>9</v>
      </c>
      <c r="E36" s="4">
        <v>0</v>
      </c>
      <c r="F36" s="4">
        <v>1</v>
      </c>
      <c r="G36" s="4">
        <v>0</v>
      </c>
      <c r="H36" s="4">
        <f t="shared" si="0"/>
        <v>1</v>
      </c>
    </row>
    <row r="37" spans="1:8" ht="25.5" x14ac:dyDescent="0.2">
      <c r="A37" s="2" t="s">
        <v>1</v>
      </c>
      <c r="B37" s="3" t="s">
        <v>107</v>
      </c>
      <c r="C37" s="2" t="s">
        <v>30</v>
      </c>
      <c r="D37" s="2" t="s">
        <v>44</v>
      </c>
      <c r="E37" s="4">
        <v>0</v>
      </c>
      <c r="F37" s="4">
        <v>1</v>
      </c>
      <c r="G37" s="4">
        <v>0</v>
      </c>
      <c r="H37" s="4">
        <f t="shared" si="0"/>
        <v>1</v>
      </c>
    </row>
    <row r="38" spans="1:8" ht="25.5" x14ac:dyDescent="0.2">
      <c r="A38" s="2" t="s">
        <v>4</v>
      </c>
      <c r="B38" s="3" t="s">
        <v>108</v>
      </c>
      <c r="C38" s="2" t="s">
        <v>30</v>
      </c>
      <c r="D38" s="2" t="s">
        <v>32</v>
      </c>
      <c r="E38" s="4">
        <v>0</v>
      </c>
      <c r="F38" s="4">
        <v>1</v>
      </c>
      <c r="G38" s="4">
        <v>0</v>
      </c>
      <c r="H38" s="4">
        <f t="shared" si="0"/>
        <v>1</v>
      </c>
    </row>
    <row r="39" spans="1:8" ht="25.5" x14ac:dyDescent="0.2">
      <c r="A39" s="2" t="s">
        <v>7</v>
      </c>
      <c r="B39" s="3" t="s">
        <v>109</v>
      </c>
      <c r="C39" s="2" t="s">
        <v>30</v>
      </c>
      <c r="D39" s="2" t="s">
        <v>44</v>
      </c>
      <c r="E39" s="4">
        <v>0</v>
      </c>
      <c r="F39" s="4">
        <v>1</v>
      </c>
      <c r="G39" s="4">
        <v>0</v>
      </c>
      <c r="H39" s="4">
        <f t="shared" si="0"/>
        <v>1</v>
      </c>
    </row>
    <row r="40" spans="1:8" ht="25.5" x14ac:dyDescent="0.2">
      <c r="A40" s="2" t="s">
        <v>20</v>
      </c>
      <c r="B40" s="3" t="s">
        <v>110</v>
      </c>
      <c r="C40" s="2" t="s">
        <v>30</v>
      </c>
      <c r="D40" s="2" t="s">
        <v>32</v>
      </c>
      <c r="E40" s="4">
        <v>0</v>
      </c>
      <c r="F40" s="4">
        <v>0</v>
      </c>
      <c r="G40" s="4">
        <v>1</v>
      </c>
      <c r="H40" s="4">
        <f t="shared" si="0"/>
        <v>1</v>
      </c>
    </row>
    <row r="41" spans="1:8" ht="25.5" x14ac:dyDescent="0.2">
      <c r="A41" s="2" t="s">
        <v>38</v>
      </c>
      <c r="B41" s="3" t="s">
        <v>111</v>
      </c>
      <c r="C41" s="2" t="s">
        <v>30</v>
      </c>
      <c r="D41" s="2" t="s">
        <v>0</v>
      </c>
      <c r="E41" s="4">
        <v>0</v>
      </c>
      <c r="F41" s="4">
        <v>1</v>
      </c>
      <c r="G41" s="4">
        <v>0</v>
      </c>
      <c r="H41" s="4">
        <f t="shared" si="0"/>
        <v>1</v>
      </c>
    </row>
    <row r="42" spans="1:8" ht="25.5" x14ac:dyDescent="0.2">
      <c r="A42" s="2" t="s">
        <v>18</v>
      </c>
      <c r="B42" s="3" t="s">
        <v>112</v>
      </c>
      <c r="C42" s="2" t="s">
        <v>30</v>
      </c>
      <c r="D42" s="2" t="s">
        <v>0</v>
      </c>
      <c r="E42" s="4">
        <v>0</v>
      </c>
      <c r="F42" s="4">
        <v>0</v>
      </c>
      <c r="G42" s="4">
        <v>1</v>
      </c>
      <c r="H42" s="4">
        <f t="shared" si="0"/>
        <v>1</v>
      </c>
    </row>
    <row r="43" spans="1:8" ht="25.5" x14ac:dyDescent="0.2">
      <c r="A43" s="2" t="s">
        <v>68</v>
      </c>
      <c r="B43" s="3" t="s">
        <v>113</v>
      </c>
      <c r="C43" s="2" t="s">
        <v>30</v>
      </c>
      <c r="D43" s="2" t="s">
        <v>0</v>
      </c>
      <c r="E43" s="4">
        <v>1</v>
      </c>
      <c r="F43" s="4">
        <v>0</v>
      </c>
      <c r="G43" s="4">
        <v>0</v>
      </c>
      <c r="H43" s="4">
        <f t="shared" si="0"/>
        <v>1</v>
      </c>
    </row>
    <row r="44" spans="1:8" ht="25.5" x14ac:dyDescent="0.2">
      <c r="A44" s="2" t="s">
        <v>27</v>
      </c>
      <c r="B44" s="3" t="s">
        <v>114</v>
      </c>
      <c r="C44" s="2" t="s">
        <v>30</v>
      </c>
      <c r="D44" s="2" t="s">
        <v>35</v>
      </c>
      <c r="E44" s="4">
        <v>0</v>
      </c>
      <c r="F44" s="4">
        <v>1</v>
      </c>
      <c r="G44" s="4">
        <v>0</v>
      </c>
      <c r="H44" s="4">
        <f t="shared" si="0"/>
        <v>1</v>
      </c>
    </row>
    <row r="45" spans="1:8" ht="25.5" x14ac:dyDescent="0.2">
      <c r="A45" s="2" t="s">
        <v>37</v>
      </c>
      <c r="B45" s="3" t="s">
        <v>115</v>
      </c>
      <c r="C45" s="2" t="s">
        <v>30</v>
      </c>
      <c r="D45" s="2" t="s">
        <v>9</v>
      </c>
      <c r="E45" s="4">
        <v>0</v>
      </c>
      <c r="F45" s="4">
        <v>1</v>
      </c>
      <c r="G45" s="4">
        <v>0</v>
      </c>
      <c r="H45" s="4">
        <f t="shared" si="0"/>
        <v>1</v>
      </c>
    </row>
    <row r="46" spans="1:8" ht="25.5" x14ac:dyDescent="0.2">
      <c r="A46" s="2" t="s">
        <v>60</v>
      </c>
      <c r="B46" s="3" t="s">
        <v>116</v>
      </c>
      <c r="C46" s="2" t="s">
        <v>30</v>
      </c>
      <c r="D46" s="2" t="s">
        <v>32</v>
      </c>
      <c r="E46" s="4">
        <v>0</v>
      </c>
      <c r="F46" s="4">
        <v>1</v>
      </c>
      <c r="G46" s="4">
        <v>0</v>
      </c>
      <c r="H46" s="4">
        <f t="shared" si="0"/>
        <v>1</v>
      </c>
    </row>
    <row r="47" spans="1:8" ht="25.5" x14ac:dyDescent="0.2">
      <c r="A47" s="2" t="s">
        <v>59</v>
      </c>
      <c r="B47" s="3" t="s">
        <v>117</v>
      </c>
      <c r="C47" s="2" t="s">
        <v>30</v>
      </c>
      <c r="D47" s="2" t="s">
        <v>9</v>
      </c>
      <c r="E47" s="4">
        <v>0</v>
      </c>
      <c r="F47" s="4">
        <v>1</v>
      </c>
      <c r="G47" s="4">
        <v>0</v>
      </c>
      <c r="H47" s="4">
        <f t="shared" si="0"/>
        <v>1</v>
      </c>
    </row>
    <row r="48" spans="1:8" ht="25.5" x14ac:dyDescent="0.2">
      <c r="A48" s="2" t="s">
        <v>31</v>
      </c>
      <c r="B48" s="3" t="s">
        <v>118</v>
      </c>
      <c r="C48" s="2" t="s">
        <v>30</v>
      </c>
      <c r="D48" s="2" t="s">
        <v>9</v>
      </c>
      <c r="E48" s="4">
        <v>0</v>
      </c>
      <c r="F48" s="4">
        <v>1</v>
      </c>
      <c r="G48" s="4">
        <v>0</v>
      </c>
      <c r="H48" s="4">
        <f t="shared" si="0"/>
        <v>1</v>
      </c>
    </row>
    <row r="49" spans="1:8" ht="25.5" x14ac:dyDescent="0.2">
      <c r="A49" s="2" t="s">
        <v>14</v>
      </c>
      <c r="B49" s="3" t="s">
        <v>119</v>
      </c>
      <c r="C49" s="2" t="s">
        <v>30</v>
      </c>
      <c r="D49" s="2" t="s">
        <v>44</v>
      </c>
      <c r="E49" s="4">
        <v>0</v>
      </c>
      <c r="F49" s="4">
        <v>1</v>
      </c>
      <c r="G49" s="4">
        <v>0</v>
      </c>
      <c r="H49" s="4">
        <f t="shared" si="0"/>
        <v>1</v>
      </c>
    </row>
    <row r="50" spans="1:8" x14ac:dyDescent="0.2">
      <c r="A50" s="2" t="s">
        <v>47</v>
      </c>
      <c r="B50" s="3" t="s">
        <v>120</v>
      </c>
      <c r="C50" s="2" t="s">
        <v>3</v>
      </c>
      <c r="D50" s="2" t="s">
        <v>0</v>
      </c>
      <c r="E50" s="4">
        <v>0</v>
      </c>
      <c r="F50" s="4">
        <v>1</v>
      </c>
      <c r="G50" s="4">
        <v>1</v>
      </c>
      <c r="H50" s="4">
        <f t="shared" si="0"/>
        <v>2</v>
      </c>
    </row>
    <row r="51" spans="1:8" x14ac:dyDescent="0.2">
      <c r="A51" s="2" t="s">
        <v>8</v>
      </c>
      <c r="B51" s="3" t="s">
        <v>121</v>
      </c>
      <c r="C51" s="2" t="s">
        <v>39</v>
      </c>
      <c r="D51" s="2" t="s">
        <v>44</v>
      </c>
      <c r="E51" s="4">
        <v>0</v>
      </c>
      <c r="F51" s="4">
        <v>1</v>
      </c>
      <c r="G51" s="4">
        <v>0</v>
      </c>
      <c r="H51" s="4">
        <f t="shared" si="0"/>
        <v>1</v>
      </c>
    </row>
    <row r="52" spans="1:8" x14ac:dyDescent="0.2">
      <c r="A52" s="2" t="s">
        <v>43</v>
      </c>
      <c r="B52" s="3" t="s">
        <v>122</v>
      </c>
      <c r="C52" s="2" t="s">
        <v>39</v>
      </c>
      <c r="D52" s="2" t="s">
        <v>32</v>
      </c>
      <c r="E52" s="4">
        <v>1</v>
      </c>
      <c r="F52" s="4">
        <v>0</v>
      </c>
      <c r="G52" s="4">
        <v>0</v>
      </c>
      <c r="H52" s="4">
        <f t="shared" si="0"/>
        <v>1</v>
      </c>
    </row>
    <row r="53" spans="1:8" x14ac:dyDescent="0.2">
      <c r="A53" s="2" t="s">
        <v>45</v>
      </c>
      <c r="B53" s="3" t="s">
        <v>123</v>
      </c>
      <c r="C53" s="2" t="s">
        <v>39</v>
      </c>
      <c r="D53" s="2" t="s">
        <v>35</v>
      </c>
      <c r="E53" s="4">
        <v>0</v>
      </c>
      <c r="F53" s="4">
        <v>1</v>
      </c>
      <c r="G53" s="4">
        <v>0</v>
      </c>
      <c r="H53" s="4">
        <f t="shared" si="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AB529-BAB8-4162-95CE-5F60DB1E37CA}">
  <dimension ref="A1:Z53"/>
  <sheetViews>
    <sheetView topLeftCell="L27" workbookViewId="0">
      <selection activeCell="Q50" sqref="Q50"/>
    </sheetView>
  </sheetViews>
  <sheetFormatPr defaultRowHeight="15" x14ac:dyDescent="0.25"/>
  <cols>
    <col min="1" max="1" width="12.85546875" customWidth="1"/>
    <col min="2" max="2" width="13.85546875" customWidth="1"/>
    <col min="3" max="3" width="13.7109375" customWidth="1"/>
    <col min="5" max="5" width="10.7109375" customWidth="1"/>
    <col min="6" max="6" width="32.28515625" customWidth="1"/>
    <col min="7" max="7" width="11.5703125" customWidth="1"/>
    <col min="8" max="8" width="32.7109375" customWidth="1"/>
    <col min="9" max="9" width="29.85546875" customWidth="1"/>
    <col min="10" max="10" width="34.85546875" customWidth="1"/>
    <col min="11" max="11" width="31.28515625" customWidth="1"/>
    <col min="12" max="12" width="24.7109375" customWidth="1"/>
    <col min="13" max="13" width="41.7109375" customWidth="1"/>
    <col min="14" max="14" width="38.28515625" customWidth="1"/>
    <col min="15" max="15" width="46.7109375" customWidth="1"/>
    <col min="16" max="16" width="32.140625" customWidth="1"/>
    <col min="17" max="17" width="14.28515625" customWidth="1"/>
    <col min="18" max="18" width="40.28515625" customWidth="1"/>
    <col min="19" max="19" width="46.7109375" customWidth="1"/>
    <col min="20" max="20" width="23.42578125" customWidth="1"/>
    <col min="21" max="21" width="13.140625" customWidth="1"/>
    <col min="22" max="22" width="28.7109375" customWidth="1"/>
    <col min="23" max="23" width="32.28515625" customWidth="1"/>
    <col min="24" max="24" width="46.7109375" customWidth="1"/>
    <col min="25" max="25" width="19.7109375" customWidth="1"/>
    <col min="26" max="26" width="9.28515625" customWidth="1"/>
  </cols>
  <sheetData>
    <row r="1" spans="1:26" x14ac:dyDescent="0.25">
      <c r="A1" t="s">
        <v>2</v>
      </c>
      <c r="B1" t="s">
        <v>260</v>
      </c>
      <c r="C1" t="s">
        <v>65</v>
      </c>
      <c r="D1" t="s">
        <v>62</v>
      </c>
      <c r="E1" t="s">
        <v>69</v>
      </c>
      <c r="F1" t="s">
        <v>70</v>
      </c>
      <c r="G1" t="s">
        <v>131</v>
      </c>
      <c r="H1" t="s">
        <v>132</v>
      </c>
      <c r="I1" t="s">
        <v>133</v>
      </c>
      <c r="J1" t="s">
        <v>134</v>
      </c>
      <c r="K1" t="s">
        <v>135</v>
      </c>
      <c r="L1" t="s">
        <v>136</v>
      </c>
      <c r="M1" t="s">
        <v>137</v>
      </c>
      <c r="N1" t="s">
        <v>138</v>
      </c>
      <c r="O1" t="s">
        <v>139</v>
      </c>
      <c r="P1" t="s">
        <v>140</v>
      </c>
      <c r="Q1" t="s">
        <v>141</v>
      </c>
      <c r="R1" t="s">
        <v>142</v>
      </c>
      <c r="S1" t="s">
        <v>143</v>
      </c>
      <c r="T1" t="s">
        <v>144</v>
      </c>
      <c r="U1" t="s">
        <v>71</v>
      </c>
      <c r="V1" t="s">
        <v>145</v>
      </c>
      <c r="W1" t="s">
        <v>261</v>
      </c>
      <c r="X1" t="s">
        <v>262</v>
      </c>
      <c r="Y1" t="s">
        <v>146</v>
      </c>
      <c r="Z1" t="s">
        <v>147</v>
      </c>
    </row>
    <row r="2" spans="1:26" x14ac:dyDescent="0.25">
      <c r="A2" t="s">
        <v>52</v>
      </c>
      <c r="B2" t="s">
        <v>72</v>
      </c>
      <c r="C2" t="s">
        <v>58</v>
      </c>
      <c r="D2" t="s">
        <v>9</v>
      </c>
      <c r="E2">
        <v>0</v>
      </c>
      <c r="F2">
        <v>1</v>
      </c>
      <c r="G2">
        <v>0</v>
      </c>
      <c r="H2">
        <v>0</v>
      </c>
      <c r="I2">
        <v>0</v>
      </c>
      <c r="J2">
        <v>0</v>
      </c>
      <c r="K2">
        <v>0</v>
      </c>
      <c r="L2">
        <v>1</v>
      </c>
      <c r="M2">
        <v>0</v>
      </c>
      <c r="N2">
        <v>1</v>
      </c>
      <c r="O2">
        <v>0</v>
      </c>
      <c r="P2">
        <v>0</v>
      </c>
      <c r="Q2">
        <v>1</v>
      </c>
      <c r="R2">
        <v>0</v>
      </c>
      <c r="S2">
        <v>0</v>
      </c>
      <c r="T2">
        <v>0</v>
      </c>
      <c r="U2">
        <v>0</v>
      </c>
      <c r="V2">
        <v>0</v>
      </c>
      <c r="W2">
        <v>0</v>
      </c>
      <c r="X2">
        <v>0</v>
      </c>
      <c r="Y2">
        <v>0</v>
      </c>
      <c r="Z2">
        <v>0</v>
      </c>
    </row>
    <row r="3" spans="1:26" x14ac:dyDescent="0.25">
      <c r="A3" t="s">
        <v>56</v>
      </c>
      <c r="B3" t="s">
        <v>73</v>
      </c>
      <c r="C3" t="s">
        <v>34</v>
      </c>
      <c r="D3" t="s">
        <v>13</v>
      </c>
      <c r="E3">
        <v>0</v>
      </c>
      <c r="F3">
        <v>1</v>
      </c>
      <c r="G3">
        <v>0</v>
      </c>
      <c r="H3">
        <v>0</v>
      </c>
      <c r="I3">
        <v>1</v>
      </c>
      <c r="J3">
        <v>0</v>
      </c>
      <c r="K3">
        <v>0</v>
      </c>
      <c r="L3">
        <v>1</v>
      </c>
      <c r="M3">
        <v>0</v>
      </c>
      <c r="N3">
        <v>1</v>
      </c>
      <c r="O3">
        <v>0</v>
      </c>
      <c r="P3">
        <v>0</v>
      </c>
      <c r="Q3">
        <v>0</v>
      </c>
      <c r="R3">
        <v>0</v>
      </c>
      <c r="S3">
        <v>1</v>
      </c>
      <c r="T3">
        <v>0</v>
      </c>
      <c r="U3">
        <v>0</v>
      </c>
      <c r="V3">
        <v>0</v>
      </c>
      <c r="W3">
        <v>0</v>
      </c>
      <c r="X3">
        <v>0</v>
      </c>
      <c r="Y3">
        <v>0</v>
      </c>
      <c r="Z3">
        <v>0</v>
      </c>
    </row>
    <row r="4" spans="1:26" x14ac:dyDescent="0.25">
      <c r="A4" t="s">
        <v>49</v>
      </c>
      <c r="B4" t="s">
        <v>74</v>
      </c>
      <c r="C4" t="s">
        <v>34</v>
      </c>
      <c r="D4" t="s">
        <v>32</v>
      </c>
      <c r="E4">
        <v>0</v>
      </c>
      <c r="F4">
        <v>1</v>
      </c>
      <c r="G4">
        <v>1</v>
      </c>
      <c r="H4">
        <v>0</v>
      </c>
      <c r="I4">
        <v>0</v>
      </c>
      <c r="J4">
        <v>0</v>
      </c>
      <c r="K4">
        <v>0</v>
      </c>
      <c r="L4">
        <v>1</v>
      </c>
      <c r="M4">
        <v>1</v>
      </c>
      <c r="N4">
        <v>1</v>
      </c>
      <c r="O4">
        <v>0</v>
      </c>
      <c r="P4">
        <v>0</v>
      </c>
      <c r="Q4">
        <v>1</v>
      </c>
      <c r="R4">
        <v>0</v>
      </c>
      <c r="S4">
        <v>1</v>
      </c>
      <c r="T4">
        <v>0</v>
      </c>
      <c r="U4">
        <v>0</v>
      </c>
      <c r="V4">
        <v>0</v>
      </c>
      <c r="W4">
        <v>0</v>
      </c>
      <c r="X4">
        <v>0</v>
      </c>
      <c r="Y4">
        <v>0</v>
      </c>
      <c r="Z4">
        <v>0</v>
      </c>
    </row>
    <row r="5" spans="1:26" x14ac:dyDescent="0.25">
      <c r="A5" t="s">
        <v>48</v>
      </c>
      <c r="B5" t="s">
        <v>75</v>
      </c>
      <c r="C5" t="s">
        <v>64</v>
      </c>
      <c r="D5" t="s">
        <v>0</v>
      </c>
      <c r="E5">
        <v>0</v>
      </c>
      <c r="F5">
        <v>1</v>
      </c>
      <c r="G5">
        <v>1</v>
      </c>
      <c r="H5">
        <v>0</v>
      </c>
      <c r="I5">
        <v>1</v>
      </c>
      <c r="J5">
        <v>0</v>
      </c>
      <c r="K5">
        <v>1</v>
      </c>
      <c r="L5">
        <v>1</v>
      </c>
      <c r="M5">
        <v>1</v>
      </c>
      <c r="N5">
        <v>1</v>
      </c>
      <c r="O5">
        <v>1</v>
      </c>
      <c r="P5">
        <v>1</v>
      </c>
      <c r="Q5">
        <v>1</v>
      </c>
      <c r="R5">
        <v>0</v>
      </c>
      <c r="S5">
        <v>1</v>
      </c>
      <c r="T5">
        <v>1</v>
      </c>
      <c r="U5">
        <v>0</v>
      </c>
      <c r="V5">
        <v>0</v>
      </c>
      <c r="W5">
        <v>0</v>
      </c>
      <c r="X5">
        <v>0</v>
      </c>
      <c r="Y5">
        <v>0</v>
      </c>
      <c r="Z5">
        <v>0</v>
      </c>
    </row>
    <row r="6" spans="1:26" x14ac:dyDescent="0.25">
      <c r="A6" t="s">
        <v>22</v>
      </c>
      <c r="B6" t="s">
        <v>76</v>
      </c>
      <c r="C6" t="s">
        <v>64</v>
      </c>
      <c r="D6" t="s">
        <v>44</v>
      </c>
      <c r="E6">
        <v>0</v>
      </c>
      <c r="F6">
        <v>1</v>
      </c>
      <c r="G6">
        <v>0</v>
      </c>
      <c r="H6">
        <v>0</v>
      </c>
      <c r="I6">
        <v>0</v>
      </c>
      <c r="J6">
        <v>0</v>
      </c>
      <c r="K6">
        <v>1</v>
      </c>
      <c r="L6">
        <v>0</v>
      </c>
      <c r="M6">
        <v>0</v>
      </c>
      <c r="N6">
        <v>0</v>
      </c>
      <c r="O6">
        <v>1</v>
      </c>
      <c r="P6">
        <v>0</v>
      </c>
      <c r="Q6">
        <v>1</v>
      </c>
      <c r="R6">
        <v>0</v>
      </c>
      <c r="S6">
        <v>0</v>
      </c>
      <c r="T6">
        <v>1</v>
      </c>
      <c r="U6">
        <v>0</v>
      </c>
      <c r="V6">
        <v>0</v>
      </c>
      <c r="W6">
        <v>0</v>
      </c>
      <c r="X6">
        <v>0</v>
      </c>
      <c r="Y6">
        <v>0</v>
      </c>
      <c r="Z6">
        <v>0</v>
      </c>
    </row>
    <row r="7" spans="1:26" x14ac:dyDescent="0.25">
      <c r="A7" t="s">
        <v>16</v>
      </c>
      <c r="B7" t="s">
        <v>77</v>
      </c>
      <c r="C7" t="s">
        <v>64</v>
      </c>
      <c r="D7" t="s">
        <v>0</v>
      </c>
      <c r="E7">
        <v>0</v>
      </c>
      <c r="F7">
        <v>1</v>
      </c>
      <c r="G7">
        <v>0</v>
      </c>
      <c r="H7">
        <v>0</v>
      </c>
      <c r="I7">
        <v>0</v>
      </c>
      <c r="J7">
        <v>0</v>
      </c>
      <c r="K7">
        <v>0</v>
      </c>
      <c r="L7">
        <v>0</v>
      </c>
      <c r="M7">
        <v>0</v>
      </c>
      <c r="N7">
        <v>0</v>
      </c>
      <c r="O7">
        <v>1</v>
      </c>
      <c r="P7">
        <v>0</v>
      </c>
      <c r="Q7">
        <v>1</v>
      </c>
      <c r="R7">
        <v>1</v>
      </c>
      <c r="S7">
        <v>0</v>
      </c>
      <c r="T7">
        <v>0</v>
      </c>
      <c r="U7">
        <v>0</v>
      </c>
      <c r="V7">
        <v>0</v>
      </c>
      <c r="W7">
        <v>0</v>
      </c>
      <c r="X7">
        <v>0</v>
      </c>
      <c r="Y7">
        <v>0</v>
      </c>
      <c r="Z7">
        <v>0</v>
      </c>
    </row>
    <row r="8" spans="1:26" x14ac:dyDescent="0.25">
      <c r="A8" t="s">
        <v>5</v>
      </c>
      <c r="B8" t="s">
        <v>78</v>
      </c>
      <c r="C8" t="s">
        <v>64</v>
      </c>
      <c r="D8" t="s">
        <v>44</v>
      </c>
      <c r="E8">
        <v>0</v>
      </c>
      <c r="F8">
        <v>1</v>
      </c>
      <c r="G8">
        <v>1</v>
      </c>
      <c r="H8">
        <v>0</v>
      </c>
      <c r="I8">
        <v>0</v>
      </c>
      <c r="J8">
        <v>0</v>
      </c>
      <c r="K8">
        <v>0</v>
      </c>
      <c r="L8">
        <v>1</v>
      </c>
      <c r="M8">
        <v>0</v>
      </c>
      <c r="N8">
        <v>0</v>
      </c>
      <c r="O8">
        <v>0</v>
      </c>
      <c r="P8">
        <v>0</v>
      </c>
      <c r="Q8">
        <v>0</v>
      </c>
      <c r="R8">
        <v>1</v>
      </c>
      <c r="S8">
        <v>1</v>
      </c>
      <c r="T8">
        <v>0</v>
      </c>
      <c r="U8">
        <v>0</v>
      </c>
      <c r="V8">
        <v>0</v>
      </c>
      <c r="W8">
        <v>0</v>
      </c>
      <c r="X8">
        <v>0</v>
      </c>
      <c r="Y8">
        <v>0</v>
      </c>
      <c r="Z8">
        <v>0</v>
      </c>
    </row>
    <row r="9" spans="1:26" x14ac:dyDescent="0.25">
      <c r="A9" t="s">
        <v>23</v>
      </c>
      <c r="B9" t="s">
        <v>79</v>
      </c>
      <c r="C9" t="s">
        <v>64</v>
      </c>
      <c r="D9" t="s">
        <v>0</v>
      </c>
      <c r="E9">
        <v>0</v>
      </c>
      <c r="F9">
        <v>1</v>
      </c>
      <c r="G9">
        <v>0</v>
      </c>
      <c r="H9">
        <v>0</v>
      </c>
      <c r="I9">
        <v>0</v>
      </c>
      <c r="J9">
        <v>0</v>
      </c>
      <c r="K9">
        <v>0</v>
      </c>
      <c r="L9">
        <v>1</v>
      </c>
      <c r="M9">
        <v>1</v>
      </c>
      <c r="N9">
        <v>1</v>
      </c>
      <c r="O9">
        <v>0</v>
      </c>
      <c r="P9">
        <v>0</v>
      </c>
      <c r="Q9">
        <v>1</v>
      </c>
      <c r="R9">
        <v>0</v>
      </c>
      <c r="S9">
        <v>0</v>
      </c>
      <c r="T9">
        <v>0</v>
      </c>
      <c r="U9">
        <v>0</v>
      </c>
      <c r="V9">
        <v>0</v>
      </c>
      <c r="W9">
        <v>0</v>
      </c>
      <c r="X9">
        <v>0</v>
      </c>
      <c r="Y9">
        <v>0</v>
      </c>
      <c r="Z9">
        <v>0</v>
      </c>
    </row>
    <row r="10" spans="1:26" x14ac:dyDescent="0.25">
      <c r="A10" t="s">
        <v>33</v>
      </c>
      <c r="B10" t="s">
        <v>80</v>
      </c>
      <c r="C10" t="s">
        <v>64</v>
      </c>
      <c r="D10" t="s">
        <v>0</v>
      </c>
      <c r="E10">
        <v>0</v>
      </c>
      <c r="F10">
        <v>1</v>
      </c>
      <c r="G10">
        <v>0</v>
      </c>
      <c r="H10">
        <v>0</v>
      </c>
      <c r="I10">
        <v>0</v>
      </c>
      <c r="J10">
        <v>0</v>
      </c>
      <c r="K10">
        <v>0</v>
      </c>
      <c r="L10">
        <v>1</v>
      </c>
      <c r="M10">
        <v>0</v>
      </c>
      <c r="N10">
        <v>0</v>
      </c>
      <c r="O10">
        <v>1</v>
      </c>
      <c r="P10">
        <v>0</v>
      </c>
      <c r="Q10">
        <v>1</v>
      </c>
      <c r="R10">
        <v>0</v>
      </c>
      <c r="S10">
        <v>0</v>
      </c>
      <c r="T10">
        <v>0</v>
      </c>
      <c r="U10">
        <v>0</v>
      </c>
      <c r="V10">
        <v>0</v>
      </c>
      <c r="W10">
        <v>0</v>
      </c>
      <c r="X10">
        <v>0</v>
      </c>
      <c r="Y10">
        <v>0</v>
      </c>
      <c r="Z10">
        <v>0</v>
      </c>
    </row>
    <row r="11" spans="1:26" x14ac:dyDescent="0.25">
      <c r="A11" t="s">
        <v>46</v>
      </c>
      <c r="B11" t="s">
        <v>81</v>
      </c>
      <c r="C11" t="s">
        <v>64</v>
      </c>
      <c r="D11" t="s">
        <v>44</v>
      </c>
      <c r="E11">
        <v>0</v>
      </c>
      <c r="F11">
        <v>1</v>
      </c>
      <c r="G11">
        <v>0</v>
      </c>
      <c r="H11">
        <v>1</v>
      </c>
      <c r="I11">
        <v>0</v>
      </c>
      <c r="J11">
        <v>1</v>
      </c>
      <c r="K11">
        <v>1</v>
      </c>
      <c r="L11">
        <v>1</v>
      </c>
      <c r="M11">
        <v>1</v>
      </c>
      <c r="N11">
        <v>1</v>
      </c>
      <c r="O11">
        <v>0</v>
      </c>
      <c r="P11">
        <v>0</v>
      </c>
      <c r="Q11">
        <v>1</v>
      </c>
      <c r="R11">
        <v>0</v>
      </c>
      <c r="S11">
        <v>0</v>
      </c>
      <c r="T11">
        <v>1</v>
      </c>
      <c r="U11">
        <v>0</v>
      </c>
      <c r="V11">
        <v>0</v>
      </c>
      <c r="W11">
        <v>0</v>
      </c>
      <c r="X11">
        <v>0</v>
      </c>
      <c r="Y11">
        <v>0</v>
      </c>
      <c r="Z11">
        <v>0</v>
      </c>
    </row>
    <row r="12" spans="1:26" x14ac:dyDescent="0.25">
      <c r="A12" t="s">
        <v>61</v>
      </c>
      <c r="B12" t="s">
        <v>82</v>
      </c>
      <c r="C12" t="s">
        <v>64</v>
      </c>
      <c r="D12" t="s">
        <v>0</v>
      </c>
      <c r="E12">
        <v>0</v>
      </c>
      <c r="F12">
        <v>1</v>
      </c>
      <c r="G12">
        <v>1</v>
      </c>
      <c r="H12">
        <v>0</v>
      </c>
      <c r="I12">
        <v>1</v>
      </c>
      <c r="J12">
        <v>0</v>
      </c>
      <c r="K12">
        <v>0</v>
      </c>
      <c r="L12">
        <v>1</v>
      </c>
      <c r="M12">
        <v>1</v>
      </c>
      <c r="N12">
        <v>1</v>
      </c>
      <c r="O12">
        <v>0</v>
      </c>
      <c r="P12">
        <v>1</v>
      </c>
      <c r="Q12">
        <v>1</v>
      </c>
      <c r="R12">
        <v>0</v>
      </c>
      <c r="S12">
        <v>0</v>
      </c>
      <c r="T12">
        <v>1</v>
      </c>
      <c r="U12">
        <v>0</v>
      </c>
      <c r="V12">
        <v>0</v>
      </c>
      <c r="W12">
        <v>0</v>
      </c>
      <c r="X12">
        <v>0</v>
      </c>
      <c r="Y12">
        <v>0</v>
      </c>
      <c r="Z12">
        <v>0</v>
      </c>
    </row>
    <row r="13" spans="1:26" x14ac:dyDescent="0.25">
      <c r="A13" t="s">
        <v>55</v>
      </c>
      <c r="B13" t="s">
        <v>83</v>
      </c>
      <c r="C13" t="s">
        <v>57</v>
      </c>
      <c r="D13" t="s">
        <v>9</v>
      </c>
      <c r="E13">
        <v>1</v>
      </c>
      <c r="F13">
        <v>0</v>
      </c>
      <c r="G13">
        <v>0</v>
      </c>
      <c r="H13">
        <v>0</v>
      </c>
      <c r="I13">
        <v>0</v>
      </c>
      <c r="J13">
        <v>0</v>
      </c>
      <c r="K13">
        <v>0</v>
      </c>
      <c r="L13">
        <v>0</v>
      </c>
      <c r="M13">
        <v>0</v>
      </c>
      <c r="N13">
        <v>0</v>
      </c>
      <c r="O13">
        <v>0</v>
      </c>
      <c r="P13">
        <v>0</v>
      </c>
      <c r="Q13">
        <v>0</v>
      </c>
      <c r="R13">
        <v>0</v>
      </c>
      <c r="S13">
        <v>0</v>
      </c>
      <c r="T13">
        <v>0</v>
      </c>
      <c r="U13">
        <v>0</v>
      </c>
      <c r="V13">
        <v>0</v>
      </c>
      <c r="W13">
        <v>0</v>
      </c>
      <c r="X13">
        <v>0</v>
      </c>
      <c r="Y13">
        <v>0</v>
      </c>
      <c r="Z13">
        <v>0</v>
      </c>
    </row>
    <row r="14" spans="1:26" x14ac:dyDescent="0.25">
      <c r="A14" t="s">
        <v>36</v>
      </c>
      <c r="B14" t="s">
        <v>84</v>
      </c>
      <c r="C14" t="s">
        <v>57</v>
      </c>
      <c r="D14" t="s">
        <v>9</v>
      </c>
      <c r="E14">
        <v>1</v>
      </c>
      <c r="F14">
        <v>0</v>
      </c>
      <c r="G14">
        <v>0</v>
      </c>
      <c r="H14">
        <v>0</v>
      </c>
      <c r="I14">
        <v>0</v>
      </c>
      <c r="J14">
        <v>0</v>
      </c>
      <c r="K14">
        <v>0</v>
      </c>
      <c r="L14">
        <v>0</v>
      </c>
      <c r="M14">
        <v>0</v>
      </c>
      <c r="N14">
        <v>0</v>
      </c>
      <c r="O14">
        <v>0</v>
      </c>
      <c r="P14">
        <v>0</v>
      </c>
      <c r="Q14">
        <v>0</v>
      </c>
      <c r="R14">
        <v>0</v>
      </c>
      <c r="S14">
        <v>0</v>
      </c>
      <c r="T14">
        <v>0</v>
      </c>
      <c r="U14">
        <v>0</v>
      </c>
      <c r="V14">
        <v>0</v>
      </c>
      <c r="W14">
        <v>0</v>
      </c>
      <c r="X14">
        <v>0</v>
      </c>
      <c r="Y14">
        <v>0</v>
      </c>
      <c r="Z14">
        <v>0</v>
      </c>
    </row>
    <row r="15" spans="1:26" x14ac:dyDescent="0.25">
      <c r="A15" t="s">
        <v>11</v>
      </c>
      <c r="B15" t="s">
        <v>85</v>
      </c>
      <c r="C15" t="s">
        <v>57</v>
      </c>
      <c r="D15" t="s">
        <v>9</v>
      </c>
      <c r="E15">
        <v>0</v>
      </c>
      <c r="F15">
        <v>1</v>
      </c>
      <c r="G15">
        <v>1</v>
      </c>
      <c r="H15">
        <v>0</v>
      </c>
      <c r="I15">
        <v>1</v>
      </c>
      <c r="J15">
        <v>0</v>
      </c>
      <c r="K15">
        <v>1</v>
      </c>
      <c r="L15">
        <v>1</v>
      </c>
      <c r="M15">
        <v>1</v>
      </c>
      <c r="N15">
        <v>1</v>
      </c>
      <c r="O15">
        <v>1</v>
      </c>
      <c r="P15">
        <v>1</v>
      </c>
      <c r="Q15">
        <v>1</v>
      </c>
      <c r="R15">
        <v>0</v>
      </c>
      <c r="S15">
        <v>1</v>
      </c>
      <c r="T15">
        <v>0</v>
      </c>
      <c r="U15">
        <v>0</v>
      </c>
      <c r="V15">
        <v>0</v>
      </c>
      <c r="W15">
        <v>0</v>
      </c>
      <c r="X15">
        <v>0</v>
      </c>
      <c r="Y15">
        <v>0</v>
      </c>
      <c r="Z15">
        <v>0</v>
      </c>
    </row>
    <row r="16" spans="1:26" x14ac:dyDescent="0.25">
      <c r="A16" t="s">
        <v>50</v>
      </c>
      <c r="B16" t="s">
        <v>86</v>
      </c>
      <c r="C16" t="s">
        <v>57</v>
      </c>
      <c r="D16" t="s">
        <v>9</v>
      </c>
      <c r="E16">
        <v>0</v>
      </c>
      <c r="F16">
        <v>1</v>
      </c>
      <c r="G16">
        <v>1</v>
      </c>
      <c r="H16">
        <v>1</v>
      </c>
      <c r="I16">
        <v>0</v>
      </c>
      <c r="J16">
        <v>0</v>
      </c>
      <c r="K16">
        <v>1</v>
      </c>
      <c r="L16">
        <v>1</v>
      </c>
      <c r="M16">
        <v>1</v>
      </c>
      <c r="N16">
        <v>0</v>
      </c>
      <c r="O16">
        <v>0</v>
      </c>
      <c r="P16">
        <v>0</v>
      </c>
      <c r="Q16">
        <v>1</v>
      </c>
      <c r="R16">
        <v>0</v>
      </c>
      <c r="S16">
        <v>1</v>
      </c>
      <c r="T16">
        <v>1</v>
      </c>
      <c r="U16">
        <v>0</v>
      </c>
      <c r="V16">
        <v>0</v>
      </c>
      <c r="W16">
        <v>0</v>
      </c>
      <c r="X16">
        <v>0</v>
      </c>
      <c r="Y16">
        <v>0</v>
      </c>
      <c r="Z16">
        <v>0</v>
      </c>
    </row>
    <row r="17" spans="1:26" x14ac:dyDescent="0.25">
      <c r="A17" t="s">
        <v>40</v>
      </c>
      <c r="B17" t="s">
        <v>87</v>
      </c>
      <c r="C17" t="s">
        <v>57</v>
      </c>
      <c r="D17" t="s">
        <v>9</v>
      </c>
      <c r="E17">
        <v>0</v>
      </c>
      <c r="F17">
        <v>1</v>
      </c>
      <c r="G17">
        <v>1</v>
      </c>
      <c r="H17">
        <v>0</v>
      </c>
      <c r="I17">
        <v>0</v>
      </c>
      <c r="J17">
        <v>0</v>
      </c>
      <c r="K17">
        <v>0</v>
      </c>
      <c r="L17">
        <v>0</v>
      </c>
      <c r="M17">
        <v>0</v>
      </c>
      <c r="N17">
        <v>0</v>
      </c>
      <c r="O17">
        <v>0</v>
      </c>
      <c r="P17">
        <v>0</v>
      </c>
      <c r="Q17">
        <v>1</v>
      </c>
      <c r="R17">
        <v>0</v>
      </c>
      <c r="S17">
        <v>0</v>
      </c>
      <c r="T17">
        <v>0</v>
      </c>
      <c r="U17">
        <v>0</v>
      </c>
      <c r="V17">
        <v>0</v>
      </c>
      <c r="W17">
        <v>0</v>
      </c>
      <c r="X17">
        <v>0</v>
      </c>
      <c r="Y17">
        <v>0</v>
      </c>
      <c r="Z17">
        <v>0</v>
      </c>
    </row>
    <row r="18" spans="1:26" x14ac:dyDescent="0.25">
      <c r="A18" t="s">
        <v>63</v>
      </c>
      <c r="B18" t="s">
        <v>88</v>
      </c>
      <c r="C18" t="s">
        <v>57</v>
      </c>
      <c r="D18" t="s">
        <v>9</v>
      </c>
      <c r="E18">
        <v>0</v>
      </c>
      <c r="F18">
        <v>1</v>
      </c>
      <c r="G18">
        <v>1</v>
      </c>
      <c r="H18">
        <v>1</v>
      </c>
      <c r="I18">
        <v>1</v>
      </c>
      <c r="J18">
        <v>0</v>
      </c>
      <c r="K18">
        <v>1</v>
      </c>
      <c r="L18">
        <v>1</v>
      </c>
      <c r="M18">
        <v>1</v>
      </c>
      <c r="N18">
        <v>1</v>
      </c>
      <c r="O18">
        <v>1</v>
      </c>
      <c r="P18">
        <v>1</v>
      </c>
      <c r="Q18">
        <v>1</v>
      </c>
      <c r="R18">
        <v>1</v>
      </c>
      <c r="S18">
        <v>1</v>
      </c>
      <c r="T18">
        <v>0</v>
      </c>
      <c r="U18">
        <v>0</v>
      </c>
      <c r="V18">
        <v>0</v>
      </c>
      <c r="W18">
        <v>0</v>
      </c>
      <c r="X18">
        <v>0</v>
      </c>
      <c r="Y18">
        <v>0</v>
      </c>
      <c r="Z18">
        <v>0</v>
      </c>
    </row>
    <row r="19" spans="1:26" x14ac:dyDescent="0.25">
      <c r="A19" t="s">
        <v>54</v>
      </c>
      <c r="B19" t="s">
        <v>89</v>
      </c>
      <c r="C19" t="s">
        <v>57</v>
      </c>
      <c r="D19" t="s">
        <v>9</v>
      </c>
      <c r="E19">
        <v>0</v>
      </c>
      <c r="F19">
        <v>1</v>
      </c>
      <c r="G19">
        <v>1</v>
      </c>
      <c r="H19">
        <v>0</v>
      </c>
      <c r="I19">
        <v>0</v>
      </c>
      <c r="J19">
        <v>1</v>
      </c>
      <c r="K19">
        <v>1</v>
      </c>
      <c r="L19">
        <v>1</v>
      </c>
      <c r="M19">
        <v>1</v>
      </c>
      <c r="N19">
        <v>1</v>
      </c>
      <c r="O19">
        <v>1</v>
      </c>
      <c r="P19">
        <v>0</v>
      </c>
      <c r="Q19">
        <v>1</v>
      </c>
      <c r="R19">
        <v>0</v>
      </c>
      <c r="S19">
        <v>1</v>
      </c>
      <c r="T19">
        <v>1</v>
      </c>
      <c r="U19">
        <v>0</v>
      </c>
      <c r="V19">
        <v>0</v>
      </c>
      <c r="W19">
        <v>0</v>
      </c>
      <c r="X19">
        <v>0</v>
      </c>
      <c r="Y19">
        <v>0</v>
      </c>
      <c r="Z19">
        <v>0</v>
      </c>
    </row>
    <row r="20" spans="1:26" x14ac:dyDescent="0.25">
      <c r="A20" t="s">
        <v>41</v>
      </c>
      <c r="B20" t="s">
        <v>90</v>
      </c>
      <c r="C20" t="s">
        <v>57</v>
      </c>
      <c r="D20" t="s">
        <v>9</v>
      </c>
      <c r="E20">
        <v>0</v>
      </c>
      <c r="F20">
        <v>1</v>
      </c>
      <c r="G20">
        <v>1</v>
      </c>
      <c r="H20">
        <v>0</v>
      </c>
      <c r="I20">
        <v>0</v>
      </c>
      <c r="J20">
        <v>0</v>
      </c>
      <c r="K20">
        <v>0</v>
      </c>
      <c r="L20">
        <v>1</v>
      </c>
      <c r="M20">
        <v>1</v>
      </c>
      <c r="N20">
        <v>1</v>
      </c>
      <c r="O20">
        <v>1</v>
      </c>
      <c r="P20">
        <v>0</v>
      </c>
      <c r="Q20">
        <v>1</v>
      </c>
      <c r="R20">
        <v>0</v>
      </c>
      <c r="S20">
        <v>0</v>
      </c>
      <c r="T20">
        <v>0</v>
      </c>
      <c r="U20">
        <v>0</v>
      </c>
      <c r="V20">
        <v>0</v>
      </c>
      <c r="W20">
        <v>0</v>
      </c>
      <c r="X20">
        <v>0</v>
      </c>
      <c r="Y20">
        <v>0</v>
      </c>
      <c r="Z20">
        <v>0</v>
      </c>
    </row>
    <row r="21" spans="1:26" x14ac:dyDescent="0.25">
      <c r="A21" t="s">
        <v>29</v>
      </c>
      <c r="B21" t="s">
        <v>91</v>
      </c>
      <c r="C21" t="s">
        <v>21</v>
      </c>
      <c r="D21" t="s">
        <v>35</v>
      </c>
      <c r="E21">
        <v>0</v>
      </c>
      <c r="F21">
        <v>1</v>
      </c>
      <c r="G21">
        <v>0</v>
      </c>
      <c r="H21">
        <v>0</v>
      </c>
      <c r="I21">
        <v>0</v>
      </c>
      <c r="J21">
        <v>0</v>
      </c>
      <c r="K21">
        <v>0</v>
      </c>
      <c r="L21">
        <v>0</v>
      </c>
      <c r="M21">
        <v>1</v>
      </c>
      <c r="N21">
        <v>0</v>
      </c>
      <c r="O21">
        <v>0</v>
      </c>
      <c r="P21">
        <v>0</v>
      </c>
      <c r="Q21">
        <v>0</v>
      </c>
      <c r="R21">
        <v>0</v>
      </c>
      <c r="S21">
        <v>0</v>
      </c>
      <c r="T21">
        <v>0</v>
      </c>
      <c r="U21">
        <v>0</v>
      </c>
      <c r="V21">
        <v>0</v>
      </c>
      <c r="W21">
        <v>0</v>
      </c>
      <c r="X21">
        <v>0</v>
      </c>
      <c r="Y21">
        <v>0</v>
      </c>
      <c r="Z21">
        <v>0</v>
      </c>
    </row>
    <row r="22" spans="1:26" x14ac:dyDescent="0.25">
      <c r="A22" t="s">
        <v>26</v>
      </c>
      <c r="B22" t="s">
        <v>92</v>
      </c>
      <c r="C22" t="s">
        <v>30</v>
      </c>
      <c r="D22" t="s">
        <v>9</v>
      </c>
      <c r="E22">
        <v>0</v>
      </c>
      <c r="F22">
        <v>1</v>
      </c>
      <c r="G22">
        <v>1</v>
      </c>
      <c r="H22">
        <v>0</v>
      </c>
      <c r="I22">
        <v>0</v>
      </c>
      <c r="J22">
        <v>0</v>
      </c>
      <c r="K22">
        <v>1</v>
      </c>
      <c r="L22">
        <v>1</v>
      </c>
      <c r="M22">
        <v>1</v>
      </c>
      <c r="N22">
        <v>0</v>
      </c>
      <c r="O22">
        <v>0</v>
      </c>
      <c r="P22">
        <v>0</v>
      </c>
      <c r="Q22">
        <v>1</v>
      </c>
      <c r="R22">
        <v>0</v>
      </c>
      <c r="S22">
        <v>0</v>
      </c>
      <c r="T22">
        <v>0</v>
      </c>
      <c r="U22">
        <v>0</v>
      </c>
      <c r="V22">
        <v>0</v>
      </c>
      <c r="W22">
        <v>0</v>
      </c>
      <c r="X22">
        <v>0</v>
      </c>
      <c r="Y22">
        <v>0</v>
      </c>
      <c r="Z22">
        <v>0</v>
      </c>
    </row>
    <row r="23" spans="1:26" x14ac:dyDescent="0.25">
      <c r="A23" t="s">
        <v>10</v>
      </c>
      <c r="B23" t="s">
        <v>93</v>
      </c>
      <c r="C23" t="s">
        <v>30</v>
      </c>
      <c r="D23" t="s">
        <v>44</v>
      </c>
      <c r="E23">
        <v>0</v>
      </c>
      <c r="F23">
        <v>1</v>
      </c>
      <c r="G23">
        <v>1</v>
      </c>
      <c r="H23">
        <v>0</v>
      </c>
      <c r="I23">
        <v>0</v>
      </c>
      <c r="J23">
        <v>1</v>
      </c>
      <c r="K23">
        <v>1</v>
      </c>
      <c r="L23">
        <v>1</v>
      </c>
      <c r="M23">
        <v>0</v>
      </c>
      <c r="N23">
        <v>1</v>
      </c>
      <c r="O23">
        <v>0</v>
      </c>
      <c r="P23">
        <v>0</v>
      </c>
      <c r="Q23">
        <v>1</v>
      </c>
      <c r="R23">
        <v>0</v>
      </c>
      <c r="S23">
        <v>0</v>
      </c>
      <c r="T23">
        <v>1</v>
      </c>
      <c r="U23">
        <v>0</v>
      </c>
      <c r="V23">
        <v>0</v>
      </c>
      <c r="W23">
        <v>0</v>
      </c>
      <c r="X23">
        <v>0</v>
      </c>
      <c r="Y23">
        <v>0</v>
      </c>
      <c r="Z23">
        <v>0</v>
      </c>
    </row>
    <row r="24" spans="1:26" x14ac:dyDescent="0.25">
      <c r="A24" t="s">
        <v>67</v>
      </c>
      <c r="B24" t="s">
        <v>94</v>
      </c>
      <c r="C24" t="s">
        <v>30</v>
      </c>
      <c r="D24" t="s">
        <v>35</v>
      </c>
      <c r="E24">
        <v>0</v>
      </c>
      <c r="F24">
        <v>1</v>
      </c>
      <c r="G24">
        <v>1</v>
      </c>
      <c r="H24">
        <v>0</v>
      </c>
      <c r="I24">
        <v>0</v>
      </c>
      <c r="J24">
        <v>0</v>
      </c>
      <c r="K24">
        <v>0</v>
      </c>
      <c r="L24">
        <v>1</v>
      </c>
      <c r="M24">
        <v>1</v>
      </c>
      <c r="N24">
        <v>1</v>
      </c>
      <c r="O24">
        <v>0</v>
      </c>
      <c r="P24">
        <v>0</v>
      </c>
      <c r="Q24">
        <v>1</v>
      </c>
      <c r="R24">
        <v>0</v>
      </c>
      <c r="S24">
        <v>1</v>
      </c>
      <c r="T24">
        <v>0</v>
      </c>
      <c r="U24">
        <v>0</v>
      </c>
      <c r="V24">
        <v>0</v>
      </c>
      <c r="W24">
        <v>0</v>
      </c>
      <c r="X24">
        <v>0</v>
      </c>
      <c r="Y24">
        <v>0</v>
      </c>
      <c r="Z24">
        <v>0</v>
      </c>
    </row>
    <row r="25" spans="1:26" x14ac:dyDescent="0.25">
      <c r="A25" t="s">
        <v>12</v>
      </c>
      <c r="B25" t="s">
        <v>95</v>
      </c>
      <c r="C25" t="s">
        <v>30</v>
      </c>
      <c r="D25" t="s">
        <v>0</v>
      </c>
      <c r="E25">
        <v>0</v>
      </c>
      <c r="F25">
        <v>1</v>
      </c>
      <c r="G25">
        <v>0</v>
      </c>
      <c r="H25">
        <v>0</v>
      </c>
      <c r="I25">
        <v>1</v>
      </c>
      <c r="J25">
        <v>0</v>
      </c>
      <c r="K25">
        <v>0</v>
      </c>
      <c r="L25">
        <v>1</v>
      </c>
      <c r="M25">
        <v>1</v>
      </c>
      <c r="N25">
        <v>1</v>
      </c>
      <c r="O25">
        <v>0</v>
      </c>
      <c r="P25">
        <v>0</v>
      </c>
      <c r="Q25">
        <v>1</v>
      </c>
      <c r="R25">
        <v>0</v>
      </c>
      <c r="S25">
        <v>0</v>
      </c>
      <c r="T25">
        <v>0</v>
      </c>
      <c r="U25">
        <v>0</v>
      </c>
      <c r="V25">
        <v>0</v>
      </c>
      <c r="W25">
        <v>0</v>
      </c>
      <c r="X25">
        <v>0</v>
      </c>
      <c r="Y25">
        <v>0</v>
      </c>
      <c r="Z25">
        <v>0</v>
      </c>
    </row>
    <row r="26" spans="1:26" x14ac:dyDescent="0.25">
      <c r="A26" t="s">
        <v>15</v>
      </c>
      <c r="B26" t="s">
        <v>96</v>
      </c>
      <c r="C26" t="s">
        <v>30</v>
      </c>
      <c r="D26" t="s">
        <v>44</v>
      </c>
      <c r="E26">
        <v>0</v>
      </c>
      <c r="F26">
        <v>1</v>
      </c>
      <c r="G26">
        <v>1</v>
      </c>
      <c r="H26">
        <v>0</v>
      </c>
      <c r="I26">
        <v>1</v>
      </c>
      <c r="J26">
        <v>0</v>
      </c>
      <c r="K26">
        <v>1</v>
      </c>
      <c r="L26">
        <v>1</v>
      </c>
      <c r="M26">
        <v>1</v>
      </c>
      <c r="N26">
        <v>0</v>
      </c>
      <c r="O26">
        <v>1</v>
      </c>
      <c r="P26">
        <v>0</v>
      </c>
      <c r="Q26">
        <v>1</v>
      </c>
      <c r="R26">
        <v>0</v>
      </c>
      <c r="S26">
        <v>0</v>
      </c>
      <c r="T26">
        <v>0</v>
      </c>
      <c r="U26">
        <v>0</v>
      </c>
      <c r="V26">
        <v>0</v>
      </c>
      <c r="W26">
        <v>0</v>
      </c>
      <c r="X26">
        <v>0</v>
      </c>
      <c r="Y26">
        <v>0</v>
      </c>
      <c r="Z26">
        <v>0</v>
      </c>
    </row>
    <row r="27" spans="1:26" x14ac:dyDescent="0.25">
      <c r="A27" t="s">
        <v>28</v>
      </c>
      <c r="B27" t="s">
        <v>97</v>
      </c>
      <c r="C27" t="s">
        <v>30</v>
      </c>
      <c r="D27" t="s">
        <v>0</v>
      </c>
      <c r="E27">
        <v>0</v>
      </c>
      <c r="F27">
        <v>1</v>
      </c>
      <c r="G27">
        <v>0</v>
      </c>
      <c r="H27">
        <v>0</v>
      </c>
      <c r="I27">
        <v>0</v>
      </c>
      <c r="J27">
        <v>0</v>
      </c>
      <c r="K27">
        <v>0</v>
      </c>
      <c r="L27">
        <v>0</v>
      </c>
      <c r="M27">
        <v>0</v>
      </c>
      <c r="N27">
        <v>0</v>
      </c>
      <c r="O27">
        <v>0</v>
      </c>
      <c r="P27">
        <v>0</v>
      </c>
      <c r="Q27">
        <v>1</v>
      </c>
      <c r="R27">
        <v>0</v>
      </c>
      <c r="S27">
        <v>1</v>
      </c>
      <c r="T27">
        <v>0</v>
      </c>
      <c r="U27">
        <v>0</v>
      </c>
      <c r="V27">
        <v>0</v>
      </c>
      <c r="W27">
        <v>0</v>
      </c>
      <c r="X27">
        <v>0</v>
      </c>
      <c r="Y27">
        <v>0</v>
      </c>
      <c r="Z27">
        <v>0</v>
      </c>
    </row>
    <row r="28" spans="1:26" x14ac:dyDescent="0.25">
      <c r="A28" t="s">
        <v>25</v>
      </c>
      <c r="B28" t="s">
        <v>98</v>
      </c>
      <c r="C28" t="s">
        <v>30</v>
      </c>
      <c r="D28" t="s">
        <v>35</v>
      </c>
      <c r="E28">
        <v>0</v>
      </c>
      <c r="F28">
        <v>1</v>
      </c>
      <c r="G28">
        <v>0</v>
      </c>
      <c r="H28">
        <v>0</v>
      </c>
      <c r="I28">
        <v>0</v>
      </c>
      <c r="J28">
        <v>0</v>
      </c>
      <c r="K28">
        <v>0</v>
      </c>
      <c r="L28">
        <v>0</v>
      </c>
      <c r="M28">
        <v>1</v>
      </c>
      <c r="N28">
        <v>1</v>
      </c>
      <c r="O28">
        <v>0</v>
      </c>
      <c r="P28">
        <v>0</v>
      </c>
      <c r="Q28">
        <v>0</v>
      </c>
      <c r="R28">
        <v>0</v>
      </c>
      <c r="S28">
        <v>1</v>
      </c>
      <c r="T28">
        <v>0</v>
      </c>
      <c r="U28">
        <v>0</v>
      </c>
      <c r="V28">
        <v>0</v>
      </c>
      <c r="W28">
        <v>0</v>
      </c>
      <c r="X28">
        <v>0</v>
      </c>
      <c r="Y28">
        <v>0</v>
      </c>
      <c r="Z28">
        <v>0</v>
      </c>
    </row>
    <row r="29" spans="1:26" x14ac:dyDescent="0.25">
      <c r="A29" t="s">
        <v>6</v>
      </c>
      <c r="B29" t="s">
        <v>99</v>
      </c>
      <c r="C29" t="s">
        <v>30</v>
      </c>
      <c r="D29" t="s">
        <v>44</v>
      </c>
      <c r="E29">
        <v>0</v>
      </c>
      <c r="F29">
        <v>1</v>
      </c>
      <c r="G29">
        <v>0</v>
      </c>
      <c r="H29">
        <v>0</v>
      </c>
      <c r="I29">
        <v>0</v>
      </c>
      <c r="J29">
        <v>1</v>
      </c>
      <c r="K29">
        <v>0</v>
      </c>
      <c r="L29">
        <v>0</v>
      </c>
      <c r="M29">
        <v>0</v>
      </c>
      <c r="N29">
        <v>0</v>
      </c>
      <c r="O29">
        <v>1</v>
      </c>
      <c r="P29">
        <v>0</v>
      </c>
      <c r="Q29">
        <v>0</v>
      </c>
      <c r="R29">
        <v>0</v>
      </c>
      <c r="S29">
        <v>0</v>
      </c>
      <c r="T29">
        <v>1</v>
      </c>
      <c r="U29">
        <v>0</v>
      </c>
      <c r="V29">
        <v>0</v>
      </c>
      <c r="W29">
        <v>0</v>
      </c>
      <c r="X29">
        <v>0</v>
      </c>
      <c r="Y29">
        <v>0</v>
      </c>
      <c r="Z29">
        <v>0</v>
      </c>
    </row>
    <row r="30" spans="1:26" x14ac:dyDescent="0.25">
      <c r="A30" t="s">
        <v>42</v>
      </c>
      <c r="B30" t="s">
        <v>100</v>
      </c>
      <c r="C30" t="s">
        <v>30</v>
      </c>
      <c r="D30" t="s">
        <v>13</v>
      </c>
      <c r="E30">
        <v>0</v>
      </c>
      <c r="F30">
        <v>1</v>
      </c>
      <c r="G30">
        <v>0</v>
      </c>
      <c r="H30">
        <v>0</v>
      </c>
      <c r="I30">
        <v>1</v>
      </c>
      <c r="J30">
        <v>0</v>
      </c>
      <c r="K30">
        <v>0</v>
      </c>
      <c r="L30">
        <v>0</v>
      </c>
      <c r="M30">
        <v>0</v>
      </c>
      <c r="N30">
        <v>0</v>
      </c>
      <c r="O30">
        <v>1</v>
      </c>
      <c r="P30">
        <v>0</v>
      </c>
      <c r="Q30">
        <v>1</v>
      </c>
      <c r="R30">
        <v>0</v>
      </c>
      <c r="S30">
        <v>1</v>
      </c>
      <c r="T30">
        <v>0</v>
      </c>
      <c r="U30">
        <v>0</v>
      </c>
      <c r="V30">
        <v>0</v>
      </c>
      <c r="W30">
        <v>0</v>
      </c>
      <c r="X30">
        <v>0</v>
      </c>
      <c r="Y30">
        <v>0</v>
      </c>
      <c r="Z30">
        <v>0</v>
      </c>
    </row>
    <row r="31" spans="1:26" x14ac:dyDescent="0.25">
      <c r="A31" t="s">
        <v>19</v>
      </c>
      <c r="B31" t="s">
        <v>101</v>
      </c>
      <c r="C31" t="s">
        <v>30</v>
      </c>
      <c r="D31" t="s">
        <v>44</v>
      </c>
      <c r="E31">
        <v>0</v>
      </c>
      <c r="F31">
        <v>1</v>
      </c>
      <c r="G31">
        <v>0</v>
      </c>
      <c r="H31">
        <v>0</v>
      </c>
      <c r="I31">
        <v>0</v>
      </c>
      <c r="J31">
        <v>1</v>
      </c>
      <c r="K31">
        <v>0</v>
      </c>
      <c r="L31">
        <v>0</v>
      </c>
      <c r="M31">
        <v>0</v>
      </c>
      <c r="N31">
        <v>0</v>
      </c>
      <c r="O31">
        <v>1</v>
      </c>
      <c r="P31">
        <v>0</v>
      </c>
      <c r="Q31">
        <v>0</v>
      </c>
      <c r="R31">
        <v>0</v>
      </c>
      <c r="S31">
        <v>1</v>
      </c>
      <c r="T31">
        <v>0</v>
      </c>
      <c r="U31">
        <v>0</v>
      </c>
      <c r="V31">
        <v>0</v>
      </c>
      <c r="W31">
        <v>0</v>
      </c>
      <c r="X31">
        <v>0</v>
      </c>
      <c r="Y31">
        <v>0</v>
      </c>
      <c r="Z31">
        <v>0</v>
      </c>
    </row>
    <row r="32" spans="1:26" x14ac:dyDescent="0.25">
      <c r="A32" t="s">
        <v>66</v>
      </c>
      <c r="B32" t="s">
        <v>102</v>
      </c>
      <c r="C32" t="s">
        <v>30</v>
      </c>
      <c r="D32" t="s">
        <v>44</v>
      </c>
      <c r="E32">
        <v>0</v>
      </c>
      <c r="F32">
        <v>1</v>
      </c>
      <c r="G32">
        <v>1</v>
      </c>
      <c r="H32">
        <v>0</v>
      </c>
      <c r="I32">
        <v>0</v>
      </c>
      <c r="J32">
        <v>1</v>
      </c>
      <c r="K32">
        <v>1</v>
      </c>
      <c r="L32">
        <v>1</v>
      </c>
      <c r="M32">
        <v>0</v>
      </c>
      <c r="N32">
        <v>1</v>
      </c>
      <c r="O32">
        <v>1</v>
      </c>
      <c r="P32">
        <v>0</v>
      </c>
      <c r="Q32">
        <v>1</v>
      </c>
      <c r="R32">
        <v>0</v>
      </c>
      <c r="S32">
        <v>1</v>
      </c>
      <c r="T32">
        <v>0</v>
      </c>
      <c r="U32">
        <v>0</v>
      </c>
      <c r="V32">
        <v>0</v>
      </c>
      <c r="W32">
        <v>0</v>
      </c>
      <c r="X32">
        <v>0</v>
      </c>
      <c r="Y32">
        <v>0</v>
      </c>
      <c r="Z32">
        <v>0</v>
      </c>
    </row>
    <row r="33" spans="1:26" x14ac:dyDescent="0.25">
      <c r="A33" t="s">
        <v>17</v>
      </c>
      <c r="B33" t="s">
        <v>103</v>
      </c>
      <c r="C33" t="s">
        <v>30</v>
      </c>
      <c r="D33" t="s">
        <v>9</v>
      </c>
      <c r="E33">
        <v>0</v>
      </c>
      <c r="F33">
        <v>1</v>
      </c>
      <c r="G33">
        <v>1</v>
      </c>
      <c r="H33">
        <v>0</v>
      </c>
      <c r="I33">
        <v>0</v>
      </c>
      <c r="J33">
        <v>0</v>
      </c>
      <c r="K33">
        <v>0</v>
      </c>
      <c r="L33">
        <v>1</v>
      </c>
      <c r="M33">
        <v>1</v>
      </c>
      <c r="N33">
        <v>1</v>
      </c>
      <c r="O33">
        <v>0</v>
      </c>
      <c r="P33">
        <v>0</v>
      </c>
      <c r="Q33">
        <v>1</v>
      </c>
      <c r="R33">
        <v>0</v>
      </c>
      <c r="S33">
        <v>0</v>
      </c>
      <c r="T33">
        <v>1</v>
      </c>
      <c r="U33">
        <v>0</v>
      </c>
      <c r="V33">
        <v>0</v>
      </c>
      <c r="W33">
        <v>0</v>
      </c>
      <c r="X33">
        <v>0</v>
      </c>
      <c r="Y33">
        <v>0</v>
      </c>
      <c r="Z33">
        <v>0</v>
      </c>
    </row>
    <row r="34" spans="1:26" x14ac:dyDescent="0.25">
      <c r="A34" t="s">
        <v>24</v>
      </c>
      <c r="B34" t="s">
        <v>104</v>
      </c>
      <c r="C34" t="s">
        <v>30</v>
      </c>
      <c r="D34" t="s">
        <v>13</v>
      </c>
      <c r="E34">
        <v>0</v>
      </c>
      <c r="F34">
        <v>1</v>
      </c>
      <c r="G34">
        <v>0</v>
      </c>
      <c r="H34">
        <v>0</v>
      </c>
      <c r="I34">
        <v>0</v>
      </c>
      <c r="J34">
        <v>0</v>
      </c>
      <c r="K34">
        <v>0</v>
      </c>
      <c r="L34">
        <v>0</v>
      </c>
      <c r="M34">
        <v>0</v>
      </c>
      <c r="N34">
        <v>0</v>
      </c>
      <c r="O34">
        <v>0</v>
      </c>
      <c r="P34">
        <v>0</v>
      </c>
      <c r="Q34">
        <v>0</v>
      </c>
      <c r="R34">
        <v>0</v>
      </c>
      <c r="S34">
        <v>0</v>
      </c>
      <c r="T34">
        <v>0</v>
      </c>
      <c r="U34">
        <v>0</v>
      </c>
      <c r="V34">
        <v>0</v>
      </c>
      <c r="W34">
        <v>0</v>
      </c>
      <c r="X34">
        <v>0</v>
      </c>
      <c r="Y34">
        <v>0</v>
      </c>
      <c r="Z34">
        <v>0</v>
      </c>
    </row>
    <row r="35" spans="1:26" x14ac:dyDescent="0.25">
      <c r="A35" t="s">
        <v>51</v>
      </c>
      <c r="B35" t="s">
        <v>105</v>
      </c>
      <c r="C35" t="s">
        <v>30</v>
      </c>
      <c r="D35" t="s">
        <v>9</v>
      </c>
      <c r="E35">
        <v>0</v>
      </c>
      <c r="F35">
        <v>1</v>
      </c>
      <c r="G35">
        <v>0</v>
      </c>
      <c r="H35">
        <v>0</v>
      </c>
      <c r="I35">
        <v>0</v>
      </c>
      <c r="J35">
        <v>0</v>
      </c>
      <c r="K35">
        <v>0</v>
      </c>
      <c r="L35">
        <v>0</v>
      </c>
      <c r="M35">
        <v>0</v>
      </c>
      <c r="N35">
        <v>0</v>
      </c>
      <c r="O35">
        <v>1</v>
      </c>
      <c r="P35">
        <v>0</v>
      </c>
      <c r="Q35">
        <v>1</v>
      </c>
      <c r="R35">
        <v>0</v>
      </c>
      <c r="S35">
        <v>0</v>
      </c>
      <c r="T35">
        <v>0</v>
      </c>
      <c r="U35">
        <v>0</v>
      </c>
      <c r="V35">
        <v>0</v>
      </c>
      <c r="W35">
        <v>0</v>
      </c>
      <c r="X35">
        <v>0</v>
      </c>
      <c r="Y35">
        <v>0</v>
      </c>
      <c r="Z35">
        <v>0</v>
      </c>
    </row>
    <row r="36" spans="1:26" x14ac:dyDescent="0.25">
      <c r="A36" t="s">
        <v>53</v>
      </c>
      <c r="B36" t="s">
        <v>106</v>
      </c>
      <c r="C36" t="s">
        <v>30</v>
      </c>
      <c r="D36" t="s">
        <v>9</v>
      </c>
      <c r="E36">
        <v>0</v>
      </c>
      <c r="F36">
        <v>1</v>
      </c>
      <c r="G36">
        <v>0</v>
      </c>
      <c r="H36">
        <v>0</v>
      </c>
      <c r="I36">
        <v>1</v>
      </c>
      <c r="J36">
        <v>0</v>
      </c>
      <c r="K36">
        <v>0</v>
      </c>
      <c r="L36">
        <v>0</v>
      </c>
      <c r="M36">
        <v>0</v>
      </c>
      <c r="N36">
        <v>1</v>
      </c>
      <c r="O36">
        <v>0</v>
      </c>
      <c r="P36">
        <v>0</v>
      </c>
      <c r="Q36">
        <v>1</v>
      </c>
      <c r="R36">
        <v>0</v>
      </c>
      <c r="S36">
        <v>1</v>
      </c>
      <c r="T36">
        <v>0</v>
      </c>
      <c r="U36">
        <v>0</v>
      </c>
      <c r="V36">
        <v>0</v>
      </c>
      <c r="W36">
        <v>0</v>
      </c>
      <c r="X36">
        <v>0</v>
      </c>
      <c r="Y36">
        <v>0</v>
      </c>
      <c r="Z36">
        <v>0</v>
      </c>
    </row>
    <row r="37" spans="1:26" x14ac:dyDescent="0.25">
      <c r="A37" t="s">
        <v>1</v>
      </c>
      <c r="B37" t="s">
        <v>107</v>
      </c>
      <c r="C37" t="s">
        <v>30</v>
      </c>
      <c r="D37" t="s">
        <v>44</v>
      </c>
      <c r="E37">
        <v>0</v>
      </c>
      <c r="F37">
        <v>1</v>
      </c>
      <c r="G37">
        <v>1</v>
      </c>
      <c r="H37">
        <v>0</v>
      </c>
      <c r="I37">
        <v>1</v>
      </c>
      <c r="J37">
        <v>0</v>
      </c>
      <c r="K37">
        <v>1</v>
      </c>
      <c r="L37">
        <v>1</v>
      </c>
      <c r="M37">
        <v>1</v>
      </c>
      <c r="N37">
        <v>1</v>
      </c>
      <c r="O37">
        <v>0</v>
      </c>
      <c r="P37">
        <v>0</v>
      </c>
      <c r="Q37">
        <v>1</v>
      </c>
      <c r="R37">
        <v>0</v>
      </c>
      <c r="S37">
        <v>1</v>
      </c>
      <c r="T37">
        <v>0</v>
      </c>
      <c r="U37">
        <v>0</v>
      </c>
      <c r="V37">
        <v>0</v>
      </c>
      <c r="W37">
        <v>0</v>
      </c>
      <c r="X37">
        <v>0</v>
      </c>
      <c r="Y37">
        <v>0</v>
      </c>
      <c r="Z37">
        <v>0</v>
      </c>
    </row>
    <row r="38" spans="1:26" x14ac:dyDescent="0.25">
      <c r="A38" t="s">
        <v>4</v>
      </c>
      <c r="B38" t="s">
        <v>108</v>
      </c>
      <c r="C38" t="s">
        <v>30</v>
      </c>
      <c r="D38" t="s">
        <v>32</v>
      </c>
      <c r="E38">
        <v>0</v>
      </c>
      <c r="F38">
        <v>1</v>
      </c>
      <c r="G38">
        <v>1</v>
      </c>
      <c r="H38">
        <v>0</v>
      </c>
      <c r="I38">
        <v>0</v>
      </c>
      <c r="J38">
        <v>0</v>
      </c>
      <c r="K38">
        <v>0</v>
      </c>
      <c r="L38">
        <v>0</v>
      </c>
      <c r="M38">
        <v>1</v>
      </c>
      <c r="N38">
        <v>0</v>
      </c>
      <c r="O38">
        <v>0</v>
      </c>
      <c r="P38">
        <v>0</v>
      </c>
      <c r="Q38">
        <v>1</v>
      </c>
      <c r="R38">
        <v>0</v>
      </c>
      <c r="S38">
        <v>1</v>
      </c>
      <c r="T38">
        <v>0</v>
      </c>
      <c r="U38">
        <v>0</v>
      </c>
      <c r="V38">
        <v>0</v>
      </c>
      <c r="W38">
        <v>0</v>
      </c>
      <c r="X38">
        <v>0</v>
      </c>
      <c r="Y38">
        <v>0</v>
      </c>
      <c r="Z38">
        <v>0</v>
      </c>
    </row>
    <row r="39" spans="1:26" x14ac:dyDescent="0.25">
      <c r="A39" t="s">
        <v>7</v>
      </c>
      <c r="B39" t="s">
        <v>109</v>
      </c>
      <c r="C39" t="s">
        <v>30</v>
      </c>
      <c r="D39" t="s">
        <v>44</v>
      </c>
      <c r="E39">
        <v>0</v>
      </c>
      <c r="F39">
        <v>1</v>
      </c>
      <c r="G39">
        <v>1</v>
      </c>
      <c r="H39">
        <v>0</v>
      </c>
      <c r="I39">
        <v>0</v>
      </c>
      <c r="J39">
        <v>1</v>
      </c>
      <c r="K39">
        <v>0</v>
      </c>
      <c r="L39">
        <v>1</v>
      </c>
      <c r="M39">
        <v>0</v>
      </c>
      <c r="N39">
        <v>1</v>
      </c>
      <c r="O39">
        <v>0</v>
      </c>
      <c r="P39">
        <v>0</v>
      </c>
      <c r="Q39">
        <v>1</v>
      </c>
      <c r="R39">
        <v>0</v>
      </c>
      <c r="S39">
        <v>0</v>
      </c>
      <c r="T39">
        <v>0</v>
      </c>
      <c r="U39">
        <v>0</v>
      </c>
      <c r="V39">
        <v>0</v>
      </c>
      <c r="W39">
        <v>0</v>
      </c>
      <c r="X39">
        <v>0</v>
      </c>
      <c r="Y39">
        <v>0</v>
      </c>
      <c r="Z39">
        <v>0</v>
      </c>
    </row>
    <row r="40" spans="1:26" x14ac:dyDescent="0.25">
      <c r="A40" t="s">
        <v>20</v>
      </c>
      <c r="B40" t="s">
        <v>110</v>
      </c>
      <c r="C40" t="s">
        <v>30</v>
      </c>
      <c r="D40" t="s">
        <v>32</v>
      </c>
      <c r="E40">
        <v>0</v>
      </c>
      <c r="F40">
        <v>0</v>
      </c>
      <c r="G40">
        <v>0</v>
      </c>
      <c r="H40">
        <v>0</v>
      </c>
      <c r="I40">
        <v>0</v>
      </c>
      <c r="J40">
        <v>0</v>
      </c>
      <c r="K40">
        <v>0</v>
      </c>
      <c r="L40">
        <v>0</v>
      </c>
      <c r="M40">
        <v>0</v>
      </c>
      <c r="N40">
        <v>0</v>
      </c>
      <c r="O40">
        <v>0</v>
      </c>
      <c r="P40">
        <v>0</v>
      </c>
      <c r="Q40">
        <v>0</v>
      </c>
      <c r="R40">
        <v>0</v>
      </c>
      <c r="S40">
        <v>0</v>
      </c>
      <c r="T40">
        <v>0</v>
      </c>
      <c r="U40">
        <v>1</v>
      </c>
      <c r="V40">
        <v>0</v>
      </c>
      <c r="W40">
        <v>0</v>
      </c>
      <c r="X40">
        <v>1</v>
      </c>
      <c r="Y40">
        <v>0</v>
      </c>
      <c r="Z40">
        <v>1</v>
      </c>
    </row>
    <row r="41" spans="1:26" x14ac:dyDescent="0.25">
      <c r="A41" t="s">
        <v>38</v>
      </c>
      <c r="B41" t="s">
        <v>111</v>
      </c>
      <c r="C41" t="s">
        <v>30</v>
      </c>
      <c r="D41" t="s">
        <v>0</v>
      </c>
      <c r="E41">
        <v>0</v>
      </c>
      <c r="F41">
        <v>1</v>
      </c>
      <c r="G41">
        <v>0</v>
      </c>
      <c r="H41">
        <v>0</v>
      </c>
      <c r="I41">
        <v>1</v>
      </c>
      <c r="J41">
        <v>0</v>
      </c>
      <c r="K41">
        <v>0</v>
      </c>
      <c r="L41">
        <v>1</v>
      </c>
      <c r="M41">
        <v>0</v>
      </c>
      <c r="N41">
        <v>1</v>
      </c>
      <c r="O41">
        <v>0</v>
      </c>
      <c r="P41">
        <v>0</v>
      </c>
      <c r="Q41">
        <v>1</v>
      </c>
      <c r="R41">
        <v>0</v>
      </c>
      <c r="S41">
        <v>0</v>
      </c>
      <c r="T41">
        <v>0</v>
      </c>
      <c r="U41">
        <v>0</v>
      </c>
      <c r="V41">
        <v>0</v>
      </c>
      <c r="W41">
        <v>0</v>
      </c>
      <c r="X41">
        <v>0</v>
      </c>
      <c r="Y41">
        <v>0</v>
      </c>
      <c r="Z41">
        <v>0</v>
      </c>
    </row>
    <row r="42" spans="1:26" x14ac:dyDescent="0.25">
      <c r="A42" t="s">
        <v>18</v>
      </c>
      <c r="B42" t="s">
        <v>112</v>
      </c>
      <c r="C42" t="s">
        <v>30</v>
      </c>
      <c r="D42" t="s">
        <v>0</v>
      </c>
      <c r="E42">
        <v>0</v>
      </c>
      <c r="F42">
        <v>0</v>
      </c>
      <c r="G42">
        <v>0</v>
      </c>
      <c r="H42">
        <v>0</v>
      </c>
      <c r="I42">
        <v>0</v>
      </c>
      <c r="J42">
        <v>0</v>
      </c>
      <c r="K42">
        <v>0</v>
      </c>
      <c r="L42">
        <v>0</v>
      </c>
      <c r="M42">
        <v>0</v>
      </c>
      <c r="N42">
        <v>0</v>
      </c>
      <c r="O42">
        <v>0</v>
      </c>
      <c r="P42">
        <v>0</v>
      </c>
      <c r="Q42">
        <v>0</v>
      </c>
      <c r="R42">
        <v>0</v>
      </c>
      <c r="S42">
        <v>0</v>
      </c>
      <c r="T42">
        <v>0</v>
      </c>
      <c r="U42">
        <v>1</v>
      </c>
      <c r="V42">
        <v>0</v>
      </c>
      <c r="W42">
        <v>0</v>
      </c>
      <c r="X42">
        <v>0</v>
      </c>
      <c r="Y42">
        <v>1</v>
      </c>
      <c r="Z42">
        <v>0</v>
      </c>
    </row>
    <row r="43" spans="1:26" x14ac:dyDescent="0.25">
      <c r="A43" t="s">
        <v>68</v>
      </c>
      <c r="B43" t="s">
        <v>113</v>
      </c>
      <c r="C43" t="s">
        <v>30</v>
      </c>
      <c r="D43" t="s">
        <v>0</v>
      </c>
      <c r="E43">
        <v>1</v>
      </c>
      <c r="F43">
        <v>0</v>
      </c>
      <c r="G43">
        <v>0</v>
      </c>
      <c r="H43">
        <v>0</v>
      </c>
      <c r="I43">
        <v>0</v>
      </c>
      <c r="J43">
        <v>0</v>
      </c>
      <c r="K43">
        <v>0</v>
      </c>
      <c r="L43">
        <v>0</v>
      </c>
      <c r="M43">
        <v>0</v>
      </c>
      <c r="N43">
        <v>0</v>
      </c>
      <c r="O43">
        <v>0</v>
      </c>
      <c r="P43">
        <v>0</v>
      </c>
      <c r="Q43">
        <v>0</v>
      </c>
      <c r="R43">
        <v>0</v>
      </c>
      <c r="S43">
        <v>0</v>
      </c>
      <c r="T43">
        <v>0</v>
      </c>
      <c r="U43">
        <v>0</v>
      </c>
      <c r="V43">
        <v>0</v>
      </c>
      <c r="W43">
        <v>0</v>
      </c>
      <c r="X43">
        <v>0</v>
      </c>
      <c r="Y43">
        <v>0</v>
      </c>
      <c r="Z43">
        <v>0</v>
      </c>
    </row>
    <row r="44" spans="1:26" x14ac:dyDescent="0.25">
      <c r="A44" t="s">
        <v>27</v>
      </c>
      <c r="B44" t="s">
        <v>114</v>
      </c>
      <c r="C44" t="s">
        <v>30</v>
      </c>
      <c r="D44" t="s">
        <v>35</v>
      </c>
      <c r="E44">
        <v>0</v>
      </c>
      <c r="F44">
        <v>1</v>
      </c>
      <c r="G44">
        <v>1</v>
      </c>
      <c r="H44">
        <v>0</v>
      </c>
      <c r="I44">
        <v>0</v>
      </c>
      <c r="J44">
        <v>0</v>
      </c>
      <c r="K44">
        <v>0</v>
      </c>
      <c r="L44">
        <v>0</v>
      </c>
      <c r="M44">
        <v>1</v>
      </c>
      <c r="N44">
        <v>0</v>
      </c>
      <c r="O44">
        <v>1</v>
      </c>
      <c r="P44">
        <v>0</v>
      </c>
      <c r="Q44">
        <v>1</v>
      </c>
      <c r="R44">
        <v>0</v>
      </c>
      <c r="S44">
        <v>1</v>
      </c>
      <c r="T44">
        <v>0</v>
      </c>
      <c r="U44">
        <v>0</v>
      </c>
      <c r="V44">
        <v>0</v>
      </c>
      <c r="W44">
        <v>0</v>
      </c>
      <c r="X44">
        <v>0</v>
      </c>
      <c r="Y44">
        <v>0</v>
      </c>
      <c r="Z44">
        <v>0</v>
      </c>
    </row>
    <row r="45" spans="1:26" x14ac:dyDescent="0.25">
      <c r="A45" t="s">
        <v>37</v>
      </c>
      <c r="B45" t="s">
        <v>115</v>
      </c>
      <c r="C45" t="s">
        <v>30</v>
      </c>
      <c r="D45" t="s">
        <v>9</v>
      </c>
      <c r="E45">
        <v>0</v>
      </c>
      <c r="F45">
        <v>1</v>
      </c>
      <c r="G45">
        <v>0</v>
      </c>
      <c r="H45">
        <v>0</v>
      </c>
      <c r="I45">
        <v>0</v>
      </c>
      <c r="J45">
        <v>0</v>
      </c>
      <c r="K45">
        <v>0</v>
      </c>
      <c r="L45">
        <v>0</v>
      </c>
      <c r="M45">
        <v>0</v>
      </c>
      <c r="N45">
        <v>0</v>
      </c>
      <c r="O45">
        <v>0</v>
      </c>
      <c r="P45">
        <v>0</v>
      </c>
      <c r="Q45">
        <v>0</v>
      </c>
      <c r="R45">
        <v>0</v>
      </c>
      <c r="S45">
        <v>0</v>
      </c>
      <c r="T45">
        <v>0</v>
      </c>
      <c r="U45">
        <v>0</v>
      </c>
      <c r="V45">
        <v>0</v>
      </c>
      <c r="W45">
        <v>0</v>
      </c>
      <c r="X45">
        <v>0</v>
      </c>
      <c r="Y45">
        <v>0</v>
      </c>
      <c r="Z45">
        <v>0</v>
      </c>
    </row>
    <row r="46" spans="1:26" x14ac:dyDescent="0.25">
      <c r="A46" t="s">
        <v>60</v>
      </c>
      <c r="B46" t="s">
        <v>116</v>
      </c>
      <c r="C46" t="s">
        <v>30</v>
      </c>
      <c r="D46" t="s">
        <v>32</v>
      </c>
      <c r="E46">
        <v>0</v>
      </c>
      <c r="F46">
        <v>1</v>
      </c>
      <c r="G46">
        <v>1</v>
      </c>
      <c r="H46">
        <v>0</v>
      </c>
      <c r="I46">
        <v>1</v>
      </c>
      <c r="J46">
        <v>0</v>
      </c>
      <c r="K46">
        <v>0</v>
      </c>
      <c r="L46">
        <v>1</v>
      </c>
      <c r="M46">
        <v>1</v>
      </c>
      <c r="N46">
        <v>1</v>
      </c>
      <c r="O46">
        <v>0</v>
      </c>
      <c r="P46">
        <v>0</v>
      </c>
      <c r="Q46">
        <v>1</v>
      </c>
      <c r="R46">
        <v>0</v>
      </c>
      <c r="S46">
        <v>0</v>
      </c>
      <c r="T46">
        <v>0</v>
      </c>
      <c r="U46">
        <v>0</v>
      </c>
      <c r="V46">
        <v>0</v>
      </c>
      <c r="W46">
        <v>0</v>
      </c>
      <c r="X46">
        <v>0</v>
      </c>
      <c r="Y46">
        <v>0</v>
      </c>
      <c r="Z46">
        <v>0</v>
      </c>
    </row>
    <row r="47" spans="1:26" x14ac:dyDescent="0.25">
      <c r="A47" t="s">
        <v>59</v>
      </c>
      <c r="B47" t="s">
        <v>117</v>
      </c>
      <c r="C47" t="s">
        <v>30</v>
      </c>
      <c r="D47" t="s">
        <v>9</v>
      </c>
      <c r="E47">
        <v>0</v>
      </c>
      <c r="F47">
        <v>1</v>
      </c>
      <c r="G47">
        <v>0</v>
      </c>
      <c r="H47">
        <v>0</v>
      </c>
      <c r="I47">
        <v>1</v>
      </c>
      <c r="J47">
        <v>0</v>
      </c>
      <c r="K47">
        <v>0</v>
      </c>
      <c r="L47">
        <v>0</v>
      </c>
      <c r="M47">
        <v>0</v>
      </c>
      <c r="N47">
        <v>0</v>
      </c>
      <c r="O47">
        <v>0</v>
      </c>
      <c r="P47">
        <v>0</v>
      </c>
      <c r="Q47">
        <v>0</v>
      </c>
      <c r="R47">
        <v>0</v>
      </c>
      <c r="S47">
        <v>0</v>
      </c>
      <c r="T47">
        <v>0</v>
      </c>
      <c r="U47">
        <v>0</v>
      </c>
      <c r="V47">
        <v>0</v>
      </c>
      <c r="W47">
        <v>0</v>
      </c>
      <c r="X47">
        <v>0</v>
      </c>
      <c r="Y47">
        <v>0</v>
      </c>
      <c r="Z47">
        <v>0</v>
      </c>
    </row>
    <row r="48" spans="1:26" x14ac:dyDescent="0.25">
      <c r="A48" t="s">
        <v>31</v>
      </c>
      <c r="B48" t="s">
        <v>118</v>
      </c>
      <c r="C48" t="s">
        <v>30</v>
      </c>
      <c r="D48" t="s">
        <v>9</v>
      </c>
      <c r="E48">
        <v>0</v>
      </c>
      <c r="F48">
        <v>1</v>
      </c>
      <c r="G48">
        <v>1</v>
      </c>
      <c r="H48">
        <v>0</v>
      </c>
      <c r="I48">
        <v>0</v>
      </c>
      <c r="J48">
        <v>0</v>
      </c>
      <c r="K48">
        <v>0</v>
      </c>
      <c r="L48">
        <v>0</v>
      </c>
      <c r="M48">
        <v>0</v>
      </c>
      <c r="N48">
        <v>0</v>
      </c>
      <c r="O48">
        <v>0</v>
      </c>
      <c r="P48">
        <v>0</v>
      </c>
      <c r="Q48">
        <v>0</v>
      </c>
      <c r="R48">
        <v>0</v>
      </c>
      <c r="S48">
        <v>1</v>
      </c>
      <c r="T48">
        <v>0</v>
      </c>
      <c r="U48">
        <v>0</v>
      </c>
      <c r="V48">
        <v>0</v>
      </c>
      <c r="W48">
        <v>0</v>
      </c>
      <c r="X48">
        <v>0</v>
      </c>
      <c r="Y48">
        <v>0</v>
      </c>
      <c r="Z48">
        <v>0</v>
      </c>
    </row>
    <row r="49" spans="1:26" x14ac:dyDescent="0.25">
      <c r="A49" t="s">
        <v>14</v>
      </c>
      <c r="B49" t="s">
        <v>119</v>
      </c>
      <c r="C49" t="s">
        <v>30</v>
      </c>
      <c r="D49" t="s">
        <v>44</v>
      </c>
      <c r="E49">
        <v>0</v>
      </c>
      <c r="F49">
        <v>1</v>
      </c>
      <c r="G49">
        <v>0</v>
      </c>
      <c r="H49">
        <v>0</v>
      </c>
      <c r="I49">
        <v>0</v>
      </c>
      <c r="J49">
        <v>0</v>
      </c>
      <c r="K49">
        <v>1</v>
      </c>
      <c r="L49">
        <v>0</v>
      </c>
      <c r="M49">
        <v>0</v>
      </c>
      <c r="N49">
        <v>1</v>
      </c>
      <c r="O49">
        <v>0</v>
      </c>
      <c r="P49">
        <v>0</v>
      </c>
      <c r="Q49">
        <v>1</v>
      </c>
      <c r="R49">
        <v>0</v>
      </c>
      <c r="S49">
        <v>0</v>
      </c>
      <c r="T49">
        <v>0</v>
      </c>
      <c r="U49">
        <v>0</v>
      </c>
      <c r="V49">
        <v>0</v>
      </c>
      <c r="W49">
        <v>0</v>
      </c>
      <c r="X49">
        <v>0</v>
      </c>
      <c r="Y49">
        <v>0</v>
      </c>
      <c r="Z49">
        <v>0</v>
      </c>
    </row>
    <row r="50" spans="1:26" x14ac:dyDescent="0.25">
      <c r="A50" t="s">
        <v>47</v>
      </c>
      <c r="B50" t="s">
        <v>120</v>
      </c>
      <c r="C50" t="s">
        <v>3</v>
      </c>
      <c r="D50" t="s">
        <v>0</v>
      </c>
      <c r="E50">
        <v>0</v>
      </c>
      <c r="F50">
        <v>0</v>
      </c>
      <c r="G50">
        <v>0</v>
      </c>
      <c r="H50">
        <v>0</v>
      </c>
      <c r="I50">
        <v>0</v>
      </c>
      <c r="J50">
        <v>0</v>
      </c>
      <c r="K50">
        <v>0</v>
      </c>
      <c r="L50">
        <v>0</v>
      </c>
      <c r="M50">
        <v>0</v>
      </c>
      <c r="N50">
        <v>0</v>
      </c>
      <c r="O50">
        <v>0</v>
      </c>
      <c r="P50">
        <v>0</v>
      </c>
      <c r="Q50">
        <v>0</v>
      </c>
      <c r="R50">
        <v>0</v>
      </c>
      <c r="S50">
        <v>0</v>
      </c>
      <c r="T50">
        <v>0</v>
      </c>
      <c r="U50">
        <v>1</v>
      </c>
      <c r="V50">
        <v>1</v>
      </c>
      <c r="W50">
        <v>1</v>
      </c>
      <c r="X50">
        <v>1</v>
      </c>
      <c r="Y50">
        <v>0</v>
      </c>
      <c r="Z50">
        <v>0</v>
      </c>
    </row>
    <row r="51" spans="1:26" x14ac:dyDescent="0.25">
      <c r="A51" t="s">
        <v>8</v>
      </c>
      <c r="B51" t="s">
        <v>121</v>
      </c>
      <c r="C51" t="s">
        <v>39</v>
      </c>
      <c r="D51" t="s">
        <v>44</v>
      </c>
      <c r="E51">
        <v>0</v>
      </c>
      <c r="F51">
        <v>1</v>
      </c>
      <c r="G51">
        <v>0</v>
      </c>
      <c r="H51">
        <v>0</v>
      </c>
      <c r="I51">
        <v>0</v>
      </c>
      <c r="J51">
        <v>0</v>
      </c>
      <c r="K51">
        <v>0</v>
      </c>
      <c r="L51">
        <v>1</v>
      </c>
      <c r="M51">
        <v>0</v>
      </c>
      <c r="N51">
        <v>0</v>
      </c>
      <c r="O51">
        <v>0</v>
      </c>
      <c r="P51">
        <v>0</v>
      </c>
      <c r="Q51">
        <v>0</v>
      </c>
      <c r="R51">
        <v>0</v>
      </c>
      <c r="S51">
        <v>0</v>
      </c>
      <c r="T51">
        <v>0</v>
      </c>
      <c r="U51">
        <v>0</v>
      </c>
      <c r="V51">
        <v>0</v>
      </c>
      <c r="W51">
        <v>0</v>
      </c>
      <c r="X51">
        <v>0</v>
      </c>
      <c r="Y51">
        <v>0</v>
      </c>
      <c r="Z51">
        <v>0</v>
      </c>
    </row>
    <row r="52" spans="1:26" x14ac:dyDescent="0.25">
      <c r="A52" t="s">
        <v>43</v>
      </c>
      <c r="B52" t="s">
        <v>122</v>
      </c>
      <c r="C52" t="s">
        <v>39</v>
      </c>
      <c r="D52" t="s">
        <v>32</v>
      </c>
      <c r="E52">
        <v>1</v>
      </c>
      <c r="F52">
        <v>0</v>
      </c>
      <c r="G52">
        <v>0</v>
      </c>
      <c r="H52">
        <v>0</v>
      </c>
      <c r="I52">
        <v>0</v>
      </c>
      <c r="J52">
        <v>0</v>
      </c>
      <c r="K52">
        <v>0</v>
      </c>
      <c r="L52">
        <v>0</v>
      </c>
      <c r="M52">
        <v>0</v>
      </c>
      <c r="N52">
        <v>0</v>
      </c>
      <c r="O52">
        <v>0</v>
      </c>
      <c r="P52">
        <v>0</v>
      </c>
      <c r="Q52">
        <v>0</v>
      </c>
      <c r="R52">
        <v>0</v>
      </c>
      <c r="S52">
        <v>0</v>
      </c>
      <c r="T52">
        <v>0</v>
      </c>
      <c r="U52">
        <v>0</v>
      </c>
      <c r="V52">
        <v>0</v>
      </c>
      <c r="W52">
        <v>0</v>
      </c>
      <c r="X52">
        <v>0</v>
      </c>
      <c r="Y52">
        <v>0</v>
      </c>
      <c r="Z52">
        <v>0</v>
      </c>
    </row>
    <row r="53" spans="1:26" x14ac:dyDescent="0.25">
      <c r="A53" t="s">
        <v>45</v>
      </c>
      <c r="B53" t="s">
        <v>123</v>
      </c>
      <c r="C53" t="s">
        <v>39</v>
      </c>
      <c r="D53" t="s">
        <v>35</v>
      </c>
      <c r="E53">
        <v>0</v>
      </c>
      <c r="F53">
        <v>1</v>
      </c>
      <c r="G53">
        <v>1</v>
      </c>
      <c r="H53">
        <v>0</v>
      </c>
      <c r="I53">
        <v>0</v>
      </c>
      <c r="J53">
        <v>0</v>
      </c>
      <c r="K53">
        <v>0</v>
      </c>
      <c r="L53">
        <v>0</v>
      </c>
      <c r="M53">
        <v>0</v>
      </c>
      <c r="N53">
        <v>1</v>
      </c>
      <c r="O53">
        <v>1</v>
      </c>
      <c r="P53">
        <v>0</v>
      </c>
      <c r="Q53">
        <v>1</v>
      </c>
      <c r="R53">
        <v>1</v>
      </c>
      <c r="S53">
        <v>0</v>
      </c>
      <c r="T53">
        <v>0</v>
      </c>
      <c r="U53">
        <v>0</v>
      </c>
      <c r="V53">
        <v>0</v>
      </c>
      <c r="W53">
        <v>0</v>
      </c>
      <c r="X53">
        <v>0</v>
      </c>
      <c r="Y53">
        <v>0</v>
      </c>
      <c r="Z53">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4C9FE-AB45-41B1-AC31-B63E0756FE82}">
  <dimension ref="A1:Z2"/>
  <sheetViews>
    <sheetView topLeftCell="O1" workbookViewId="0">
      <selection activeCell="Q10" sqref="Q10"/>
    </sheetView>
  </sheetViews>
  <sheetFormatPr defaultRowHeight="15" x14ac:dyDescent="0.25"/>
  <cols>
    <col min="1" max="1" width="13" customWidth="1"/>
    <col min="2" max="2" width="14" customWidth="1"/>
    <col min="3" max="3" width="13.7109375" customWidth="1"/>
    <col min="5" max="5" width="10.85546875" customWidth="1"/>
    <col min="6" max="6" width="32.28515625" customWidth="1"/>
    <col min="7" max="7" width="11.42578125" customWidth="1"/>
    <col min="8" max="8" width="32.7109375" customWidth="1"/>
    <col min="9" max="9" width="30" customWidth="1"/>
    <col min="10" max="10" width="35.42578125" customWidth="1"/>
    <col min="11" max="11" width="31.28515625" customWidth="1"/>
    <col min="12" max="12" width="24.7109375" customWidth="1"/>
    <col min="13" max="13" width="41.7109375" customWidth="1"/>
    <col min="14" max="14" width="38.28515625" customWidth="1"/>
    <col min="15" max="15" width="46.7109375" customWidth="1"/>
    <col min="16" max="16" width="31.85546875" customWidth="1"/>
    <col min="17" max="17" width="14.42578125" customWidth="1"/>
    <col min="18" max="18" width="40.5703125" customWidth="1"/>
    <col min="19" max="19" width="56.42578125" customWidth="1"/>
    <col min="20" max="20" width="23.42578125" customWidth="1"/>
    <col min="21" max="21" width="13.140625" customWidth="1"/>
    <col min="22" max="22" width="29" customWidth="1"/>
    <col min="23" max="23" width="32.28515625" customWidth="1"/>
    <col min="24" max="24" width="47.7109375" customWidth="1"/>
    <col min="25" max="25" width="19.7109375" customWidth="1"/>
    <col min="26" max="26" width="9.5703125" customWidth="1"/>
  </cols>
  <sheetData>
    <row r="1" spans="1:26" x14ac:dyDescent="0.25">
      <c r="A1" t="s">
        <v>2</v>
      </c>
      <c r="B1" t="s">
        <v>260</v>
      </c>
      <c r="C1" t="s">
        <v>65</v>
      </c>
      <c r="D1" t="s">
        <v>62</v>
      </c>
      <c r="E1" t="s">
        <v>69</v>
      </c>
      <c r="F1" t="s">
        <v>70</v>
      </c>
      <c r="G1" t="s">
        <v>131</v>
      </c>
      <c r="H1" t="s">
        <v>132</v>
      </c>
      <c r="I1" t="s">
        <v>133</v>
      </c>
      <c r="J1" t="s">
        <v>134</v>
      </c>
      <c r="K1" t="s">
        <v>135</v>
      </c>
      <c r="L1" t="s">
        <v>136</v>
      </c>
      <c r="M1" t="s">
        <v>137</v>
      </c>
      <c r="N1" t="s">
        <v>138</v>
      </c>
      <c r="O1" t="s">
        <v>139</v>
      </c>
      <c r="P1" t="s">
        <v>140</v>
      </c>
      <c r="Q1" t="s">
        <v>141</v>
      </c>
      <c r="R1" t="s">
        <v>142</v>
      </c>
      <c r="S1" t="s">
        <v>143</v>
      </c>
      <c r="T1" t="s">
        <v>144</v>
      </c>
      <c r="U1" t="s">
        <v>71</v>
      </c>
      <c r="V1" t="s">
        <v>145</v>
      </c>
      <c r="W1" t="s">
        <v>261</v>
      </c>
      <c r="X1" t="s">
        <v>262</v>
      </c>
      <c r="Y1" t="s">
        <v>146</v>
      </c>
      <c r="Z1" t="s">
        <v>147</v>
      </c>
    </row>
    <row r="2" spans="1:26" x14ac:dyDescent="0.25">
      <c r="A2" t="s">
        <v>47</v>
      </c>
      <c r="B2" t="s">
        <v>120</v>
      </c>
      <c r="C2" t="s">
        <v>3</v>
      </c>
      <c r="D2" t="s">
        <v>0</v>
      </c>
      <c r="E2">
        <v>0</v>
      </c>
      <c r="F2">
        <v>0</v>
      </c>
      <c r="G2">
        <v>0</v>
      </c>
      <c r="H2">
        <v>0</v>
      </c>
      <c r="I2">
        <v>0</v>
      </c>
      <c r="J2">
        <v>0</v>
      </c>
      <c r="K2">
        <v>0</v>
      </c>
      <c r="L2">
        <v>0</v>
      </c>
      <c r="M2">
        <v>0</v>
      </c>
      <c r="N2">
        <v>0</v>
      </c>
      <c r="O2">
        <v>0</v>
      </c>
      <c r="P2">
        <v>0</v>
      </c>
      <c r="Q2">
        <v>0</v>
      </c>
      <c r="R2">
        <v>0</v>
      </c>
      <c r="S2">
        <v>0</v>
      </c>
      <c r="T2">
        <v>0</v>
      </c>
      <c r="U2">
        <v>1</v>
      </c>
      <c r="V2">
        <v>1</v>
      </c>
      <c r="W2">
        <v>1</v>
      </c>
      <c r="X2">
        <v>1</v>
      </c>
      <c r="Y2">
        <v>0</v>
      </c>
      <c r="Z2">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EB4B7-63C2-42FA-9131-383D24E5FC15}">
  <dimension ref="A1:Z2"/>
  <sheetViews>
    <sheetView topLeftCell="N1" workbookViewId="0">
      <selection activeCell="O13" sqref="O13"/>
    </sheetView>
  </sheetViews>
  <sheetFormatPr defaultRowHeight="15" x14ac:dyDescent="0.25"/>
  <cols>
    <col min="1" max="1" width="13" customWidth="1"/>
    <col min="2" max="2" width="14" customWidth="1"/>
    <col min="3" max="3" width="13.7109375" customWidth="1"/>
    <col min="5" max="5" width="10.85546875" customWidth="1"/>
    <col min="6" max="6" width="32.28515625" customWidth="1"/>
    <col min="7" max="7" width="11.42578125" customWidth="1"/>
    <col min="8" max="8" width="32.7109375" customWidth="1"/>
    <col min="9" max="9" width="30" customWidth="1"/>
    <col min="10" max="10" width="35.42578125" customWidth="1"/>
    <col min="11" max="11" width="31.28515625" customWidth="1"/>
    <col min="12" max="12" width="24.7109375" customWidth="1"/>
    <col min="13" max="13" width="41.7109375" customWidth="1"/>
    <col min="14" max="14" width="38.28515625" customWidth="1"/>
    <col min="15" max="15" width="46.7109375" customWidth="1"/>
    <col min="16" max="16" width="31.85546875" customWidth="1"/>
    <col min="17" max="17" width="14.42578125" customWidth="1"/>
    <col min="18" max="18" width="40.5703125" customWidth="1"/>
    <col min="19" max="19" width="56.42578125" customWidth="1"/>
    <col min="20" max="20" width="23.42578125" customWidth="1"/>
    <col min="21" max="21" width="13.140625" customWidth="1"/>
    <col min="22" max="22" width="29" customWidth="1"/>
    <col min="23" max="23" width="32.28515625" customWidth="1"/>
    <col min="24" max="24" width="47.7109375" customWidth="1"/>
    <col min="25" max="25" width="19.7109375" customWidth="1"/>
    <col min="26" max="26" width="9.5703125" customWidth="1"/>
  </cols>
  <sheetData>
    <row r="1" spans="1:26" x14ac:dyDescent="0.25">
      <c r="A1" t="s">
        <v>2</v>
      </c>
      <c r="B1" t="s">
        <v>260</v>
      </c>
      <c r="C1" t="s">
        <v>65</v>
      </c>
      <c r="D1" t="s">
        <v>62</v>
      </c>
      <c r="E1" t="s">
        <v>69</v>
      </c>
      <c r="F1" t="s">
        <v>70</v>
      </c>
      <c r="G1" t="s">
        <v>131</v>
      </c>
      <c r="H1" t="s">
        <v>132</v>
      </c>
      <c r="I1" t="s">
        <v>133</v>
      </c>
      <c r="J1" t="s">
        <v>134</v>
      </c>
      <c r="K1" t="s">
        <v>135</v>
      </c>
      <c r="L1" t="s">
        <v>136</v>
      </c>
      <c r="M1" t="s">
        <v>137</v>
      </c>
      <c r="N1" t="s">
        <v>138</v>
      </c>
      <c r="O1" t="s">
        <v>139</v>
      </c>
      <c r="P1" t="s">
        <v>140</v>
      </c>
      <c r="Q1" t="s">
        <v>141</v>
      </c>
      <c r="R1" t="s">
        <v>142</v>
      </c>
      <c r="S1" t="s">
        <v>143</v>
      </c>
      <c r="T1" t="s">
        <v>144</v>
      </c>
      <c r="U1" t="s">
        <v>71</v>
      </c>
      <c r="V1" t="s">
        <v>145</v>
      </c>
      <c r="W1" t="s">
        <v>261</v>
      </c>
      <c r="X1" t="s">
        <v>262</v>
      </c>
      <c r="Y1" t="s">
        <v>146</v>
      </c>
      <c r="Z1" t="s">
        <v>147</v>
      </c>
    </row>
    <row r="2" spans="1:26" x14ac:dyDescent="0.25">
      <c r="A2" t="s">
        <v>47</v>
      </c>
      <c r="B2" t="s">
        <v>120</v>
      </c>
      <c r="C2" t="s">
        <v>3</v>
      </c>
      <c r="D2" t="s">
        <v>0</v>
      </c>
      <c r="E2">
        <v>0</v>
      </c>
      <c r="F2">
        <v>0</v>
      </c>
      <c r="G2">
        <v>0</v>
      </c>
      <c r="H2">
        <v>0</v>
      </c>
      <c r="I2">
        <v>0</v>
      </c>
      <c r="J2">
        <v>0</v>
      </c>
      <c r="K2">
        <v>0</v>
      </c>
      <c r="L2">
        <v>0</v>
      </c>
      <c r="M2">
        <v>0</v>
      </c>
      <c r="N2">
        <v>0</v>
      </c>
      <c r="O2">
        <v>0</v>
      </c>
      <c r="P2">
        <v>0</v>
      </c>
      <c r="Q2">
        <v>0</v>
      </c>
      <c r="R2">
        <v>0</v>
      </c>
      <c r="S2">
        <v>0</v>
      </c>
      <c r="T2">
        <v>0</v>
      </c>
      <c r="U2">
        <v>1</v>
      </c>
      <c r="V2">
        <v>1</v>
      </c>
      <c r="W2">
        <v>1</v>
      </c>
      <c r="X2">
        <v>1</v>
      </c>
      <c r="Y2">
        <v>0</v>
      </c>
      <c r="Z2">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9BDB8-DDE5-470B-BA5B-7B11E4A0EFEF}">
  <dimension ref="A1:Z2"/>
  <sheetViews>
    <sheetView workbookViewId="0">
      <selection sqref="A1:Z2"/>
    </sheetView>
  </sheetViews>
  <sheetFormatPr defaultRowHeight="15" x14ac:dyDescent="0.25"/>
  <cols>
    <col min="1" max="1" width="13" customWidth="1"/>
    <col min="2" max="2" width="14" customWidth="1"/>
    <col min="3" max="3" width="13.7109375" customWidth="1"/>
    <col min="5" max="5" width="10.85546875" customWidth="1"/>
    <col min="6" max="6" width="32.28515625" customWidth="1"/>
    <col min="7" max="7" width="11.42578125" customWidth="1"/>
    <col min="8" max="8" width="32.7109375" customWidth="1"/>
    <col min="9" max="9" width="30" customWidth="1"/>
    <col min="10" max="10" width="35.42578125" customWidth="1"/>
    <col min="11" max="11" width="31.28515625" customWidth="1"/>
    <col min="12" max="12" width="24.7109375" customWidth="1"/>
    <col min="13" max="13" width="41.7109375" customWidth="1"/>
    <col min="14" max="14" width="38.28515625" customWidth="1"/>
    <col min="15" max="15" width="46.7109375" customWidth="1"/>
    <col min="16" max="16" width="31.85546875" customWidth="1"/>
    <col min="17" max="17" width="14.42578125" customWidth="1"/>
    <col min="18" max="18" width="40.5703125" customWidth="1"/>
    <col min="19" max="19" width="56.42578125" customWidth="1"/>
    <col min="20" max="20" width="23.42578125" customWidth="1"/>
    <col min="21" max="21" width="13.140625" customWidth="1"/>
    <col min="22" max="22" width="29" customWidth="1"/>
    <col min="23" max="23" width="32.28515625" customWidth="1"/>
    <col min="24" max="24" width="47.7109375" customWidth="1"/>
    <col min="25" max="25" width="19.7109375" customWidth="1"/>
    <col min="26" max="26" width="9.5703125" customWidth="1"/>
  </cols>
  <sheetData>
    <row r="1" spans="1:26" x14ac:dyDescent="0.25">
      <c r="A1" t="s">
        <v>2</v>
      </c>
      <c r="B1" t="s">
        <v>260</v>
      </c>
      <c r="C1" t="s">
        <v>65</v>
      </c>
      <c r="D1" t="s">
        <v>62</v>
      </c>
      <c r="E1" t="s">
        <v>69</v>
      </c>
      <c r="F1" t="s">
        <v>70</v>
      </c>
      <c r="G1" t="s">
        <v>131</v>
      </c>
      <c r="H1" t="s">
        <v>132</v>
      </c>
      <c r="I1" t="s">
        <v>133</v>
      </c>
      <c r="J1" t="s">
        <v>134</v>
      </c>
      <c r="K1" t="s">
        <v>135</v>
      </c>
      <c r="L1" t="s">
        <v>136</v>
      </c>
      <c r="M1" t="s">
        <v>137</v>
      </c>
      <c r="N1" t="s">
        <v>138</v>
      </c>
      <c r="O1" t="s">
        <v>139</v>
      </c>
      <c r="P1" t="s">
        <v>140</v>
      </c>
      <c r="Q1" t="s">
        <v>141</v>
      </c>
      <c r="R1" t="s">
        <v>142</v>
      </c>
      <c r="S1" t="s">
        <v>143</v>
      </c>
      <c r="T1" t="s">
        <v>144</v>
      </c>
      <c r="U1" t="s">
        <v>71</v>
      </c>
      <c r="V1" t="s">
        <v>145</v>
      </c>
      <c r="W1" t="s">
        <v>261</v>
      </c>
      <c r="X1" t="s">
        <v>262</v>
      </c>
      <c r="Y1" t="s">
        <v>146</v>
      </c>
      <c r="Z1" t="s">
        <v>147</v>
      </c>
    </row>
    <row r="2" spans="1:26" x14ac:dyDescent="0.25">
      <c r="A2" t="s">
        <v>47</v>
      </c>
      <c r="B2" t="s">
        <v>120</v>
      </c>
      <c r="C2" t="s">
        <v>3</v>
      </c>
      <c r="D2" t="s">
        <v>0</v>
      </c>
      <c r="E2">
        <v>0</v>
      </c>
      <c r="F2">
        <v>0</v>
      </c>
      <c r="G2">
        <v>0</v>
      </c>
      <c r="H2">
        <v>0</v>
      </c>
      <c r="I2">
        <v>0</v>
      </c>
      <c r="J2">
        <v>0</v>
      </c>
      <c r="K2">
        <v>0</v>
      </c>
      <c r="L2">
        <v>0</v>
      </c>
      <c r="M2">
        <v>0</v>
      </c>
      <c r="N2">
        <v>0</v>
      </c>
      <c r="O2">
        <v>0</v>
      </c>
      <c r="P2">
        <v>0</v>
      </c>
      <c r="Q2">
        <v>1</v>
      </c>
      <c r="R2">
        <v>0</v>
      </c>
      <c r="S2">
        <v>0</v>
      </c>
      <c r="T2">
        <v>0</v>
      </c>
      <c r="U2">
        <v>1</v>
      </c>
      <c r="V2">
        <v>1</v>
      </c>
      <c r="W2">
        <v>1</v>
      </c>
      <c r="X2">
        <v>1</v>
      </c>
      <c r="Y2">
        <v>0</v>
      </c>
      <c r="Z2">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8861-0538-4759-8797-FD1162F8E56E}">
  <dimension ref="A1:Z2"/>
  <sheetViews>
    <sheetView topLeftCell="N1" workbookViewId="0">
      <selection activeCell="Q2" sqref="Q2"/>
    </sheetView>
  </sheetViews>
  <sheetFormatPr defaultRowHeight="15" x14ac:dyDescent="0.25"/>
  <cols>
    <col min="1" max="1" width="13" customWidth="1"/>
    <col min="2" max="2" width="14" customWidth="1"/>
    <col min="3" max="3" width="13.7109375" customWidth="1"/>
    <col min="5" max="5" width="10.85546875" customWidth="1"/>
    <col min="6" max="6" width="32.28515625" customWidth="1"/>
    <col min="7" max="7" width="11.42578125" customWidth="1"/>
    <col min="8" max="8" width="32.7109375" customWidth="1"/>
    <col min="9" max="9" width="30" customWidth="1"/>
    <col min="10" max="10" width="35.42578125" customWidth="1"/>
    <col min="11" max="11" width="31.28515625" customWidth="1"/>
    <col min="12" max="12" width="24.7109375" customWidth="1"/>
    <col min="13" max="13" width="41.7109375" customWidth="1"/>
    <col min="14" max="14" width="38.28515625" customWidth="1"/>
    <col min="15" max="15" width="46.7109375" customWidth="1"/>
    <col min="16" max="16" width="31.85546875" customWidth="1"/>
    <col min="17" max="17" width="14.42578125" customWidth="1"/>
    <col min="18" max="18" width="40.5703125" customWidth="1"/>
    <col min="19" max="19" width="56.42578125" customWidth="1"/>
    <col min="20" max="20" width="23.42578125" customWidth="1"/>
    <col min="21" max="21" width="13.140625" customWidth="1"/>
    <col min="22" max="22" width="29" customWidth="1"/>
    <col min="23" max="23" width="32.28515625" customWidth="1"/>
    <col min="24" max="24" width="47.7109375" customWidth="1"/>
    <col min="25" max="25" width="19.7109375" customWidth="1"/>
    <col min="26" max="26" width="9.5703125" customWidth="1"/>
  </cols>
  <sheetData>
    <row r="1" spans="1:26" x14ac:dyDescent="0.25">
      <c r="A1" t="s">
        <v>2</v>
      </c>
      <c r="B1" t="s">
        <v>260</v>
      </c>
      <c r="C1" t="s">
        <v>65</v>
      </c>
      <c r="D1" t="s">
        <v>62</v>
      </c>
      <c r="E1" t="s">
        <v>69</v>
      </c>
      <c r="F1" t="s">
        <v>70</v>
      </c>
      <c r="G1" t="s">
        <v>131</v>
      </c>
      <c r="H1" t="s">
        <v>132</v>
      </c>
      <c r="I1" t="s">
        <v>133</v>
      </c>
      <c r="J1" t="s">
        <v>134</v>
      </c>
      <c r="K1" t="s">
        <v>135</v>
      </c>
      <c r="L1" t="s">
        <v>136</v>
      </c>
      <c r="M1" t="s">
        <v>137</v>
      </c>
      <c r="N1" t="s">
        <v>138</v>
      </c>
      <c r="O1" t="s">
        <v>139</v>
      </c>
      <c r="P1" t="s">
        <v>140</v>
      </c>
      <c r="Q1" t="s">
        <v>141</v>
      </c>
      <c r="R1" t="s">
        <v>142</v>
      </c>
      <c r="S1" t="s">
        <v>143</v>
      </c>
      <c r="T1" t="s">
        <v>144</v>
      </c>
      <c r="U1" t="s">
        <v>71</v>
      </c>
      <c r="V1" t="s">
        <v>145</v>
      </c>
      <c r="W1" t="s">
        <v>261</v>
      </c>
      <c r="X1" t="s">
        <v>262</v>
      </c>
      <c r="Y1" t="s">
        <v>146</v>
      </c>
      <c r="Z1" t="s">
        <v>147</v>
      </c>
    </row>
    <row r="2" spans="1:26" x14ac:dyDescent="0.25">
      <c r="A2" t="s">
        <v>47</v>
      </c>
      <c r="B2" t="s">
        <v>120</v>
      </c>
      <c r="C2" t="s">
        <v>3</v>
      </c>
      <c r="D2" t="s">
        <v>0</v>
      </c>
      <c r="E2">
        <v>0</v>
      </c>
      <c r="F2">
        <v>0</v>
      </c>
      <c r="G2">
        <v>0</v>
      </c>
      <c r="H2">
        <v>0</v>
      </c>
      <c r="I2">
        <v>0</v>
      </c>
      <c r="J2">
        <v>0</v>
      </c>
      <c r="K2">
        <v>0</v>
      </c>
      <c r="L2">
        <v>0</v>
      </c>
      <c r="M2">
        <v>0</v>
      </c>
      <c r="N2">
        <v>0</v>
      </c>
      <c r="O2">
        <v>0</v>
      </c>
      <c r="P2">
        <v>0</v>
      </c>
      <c r="Q2">
        <v>0</v>
      </c>
      <c r="R2">
        <v>0</v>
      </c>
      <c r="S2">
        <v>0</v>
      </c>
      <c r="T2">
        <v>0</v>
      </c>
      <c r="U2">
        <v>1</v>
      </c>
      <c r="V2">
        <v>1</v>
      </c>
      <c r="W2">
        <v>1</v>
      </c>
      <c r="X2">
        <v>1</v>
      </c>
      <c r="Y2">
        <v>0</v>
      </c>
      <c r="Z2">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2803B-DA06-4B31-98AD-5F0AAB6E7CCA}">
  <dimension ref="A1:Z4"/>
  <sheetViews>
    <sheetView workbookViewId="0">
      <selection sqref="A1:Z4"/>
    </sheetView>
  </sheetViews>
  <sheetFormatPr defaultRowHeight="15" x14ac:dyDescent="0.25"/>
  <cols>
    <col min="1" max="1" width="13" customWidth="1"/>
    <col min="2" max="2" width="14" customWidth="1"/>
    <col min="3" max="3" width="13.7109375" customWidth="1"/>
    <col min="5" max="5" width="10.85546875" customWidth="1"/>
    <col min="6" max="6" width="32.28515625" customWidth="1"/>
    <col min="7" max="7" width="11.42578125" customWidth="1"/>
    <col min="8" max="8" width="32.7109375" customWidth="1"/>
    <col min="9" max="9" width="30" customWidth="1"/>
    <col min="10" max="10" width="35.42578125" customWidth="1"/>
    <col min="11" max="11" width="31.28515625" customWidth="1"/>
    <col min="12" max="12" width="24.7109375" customWidth="1"/>
    <col min="13" max="13" width="41.7109375" customWidth="1"/>
    <col min="14" max="14" width="38.28515625" customWidth="1"/>
    <col min="15" max="15" width="46.7109375" customWidth="1"/>
    <col min="16" max="16" width="31.85546875" customWidth="1"/>
    <col min="17" max="17" width="14.42578125" customWidth="1"/>
    <col min="18" max="18" width="40.5703125" customWidth="1"/>
    <col min="19" max="19" width="56.42578125" customWidth="1"/>
    <col min="20" max="20" width="23.42578125" customWidth="1"/>
    <col min="21" max="21" width="13.140625" customWidth="1"/>
    <col min="22" max="22" width="29" customWidth="1"/>
    <col min="23" max="23" width="32.28515625" customWidth="1"/>
    <col min="24" max="24" width="47.7109375" customWidth="1"/>
    <col min="25" max="25" width="19.7109375" customWidth="1"/>
    <col min="26" max="26" width="9.5703125" customWidth="1"/>
  </cols>
  <sheetData>
    <row r="1" spans="1:26" x14ac:dyDescent="0.25">
      <c r="A1" t="s">
        <v>2</v>
      </c>
      <c r="B1" t="s">
        <v>260</v>
      </c>
      <c r="C1" t="s">
        <v>65</v>
      </c>
      <c r="D1" t="s">
        <v>62</v>
      </c>
      <c r="E1" t="s">
        <v>69</v>
      </c>
      <c r="F1" t="s">
        <v>70</v>
      </c>
      <c r="G1" t="s">
        <v>131</v>
      </c>
      <c r="H1" t="s">
        <v>132</v>
      </c>
      <c r="I1" t="s">
        <v>133</v>
      </c>
      <c r="J1" t="s">
        <v>134</v>
      </c>
      <c r="K1" t="s">
        <v>135</v>
      </c>
      <c r="L1" t="s">
        <v>136</v>
      </c>
      <c r="M1" t="s">
        <v>137</v>
      </c>
      <c r="N1" t="s">
        <v>138</v>
      </c>
      <c r="O1" t="s">
        <v>139</v>
      </c>
      <c r="P1" t="s">
        <v>140</v>
      </c>
      <c r="Q1" t="s">
        <v>141</v>
      </c>
      <c r="R1" t="s">
        <v>142</v>
      </c>
      <c r="S1" t="s">
        <v>143</v>
      </c>
      <c r="T1" t="s">
        <v>144</v>
      </c>
      <c r="U1" t="s">
        <v>71</v>
      </c>
      <c r="V1" t="s">
        <v>145</v>
      </c>
      <c r="W1" t="s">
        <v>261</v>
      </c>
      <c r="X1" t="s">
        <v>262</v>
      </c>
      <c r="Y1" t="s">
        <v>146</v>
      </c>
      <c r="Z1" t="s">
        <v>147</v>
      </c>
    </row>
    <row r="2" spans="1:26" x14ac:dyDescent="0.25">
      <c r="A2" t="s">
        <v>8</v>
      </c>
      <c r="B2" t="s">
        <v>121</v>
      </c>
      <c r="C2" t="s">
        <v>39</v>
      </c>
      <c r="D2" t="s">
        <v>44</v>
      </c>
      <c r="E2">
        <v>0</v>
      </c>
      <c r="F2">
        <v>1</v>
      </c>
      <c r="G2">
        <v>0</v>
      </c>
      <c r="H2">
        <v>0</v>
      </c>
      <c r="I2">
        <v>0</v>
      </c>
      <c r="J2">
        <v>0</v>
      </c>
      <c r="K2">
        <v>0</v>
      </c>
      <c r="L2">
        <v>1</v>
      </c>
      <c r="M2">
        <v>0</v>
      </c>
      <c r="N2">
        <v>0</v>
      </c>
      <c r="O2">
        <v>0</v>
      </c>
      <c r="P2">
        <v>0</v>
      </c>
      <c r="Q2">
        <v>0</v>
      </c>
      <c r="R2">
        <v>0</v>
      </c>
      <c r="S2">
        <v>0</v>
      </c>
      <c r="T2">
        <v>0</v>
      </c>
      <c r="U2">
        <v>0</v>
      </c>
      <c r="V2">
        <v>0</v>
      </c>
      <c r="W2">
        <v>0</v>
      </c>
      <c r="X2">
        <v>0</v>
      </c>
      <c r="Y2">
        <v>0</v>
      </c>
      <c r="Z2">
        <v>0</v>
      </c>
    </row>
    <row r="3" spans="1:26" x14ac:dyDescent="0.25">
      <c r="A3" t="s">
        <v>43</v>
      </c>
      <c r="B3" t="s">
        <v>122</v>
      </c>
      <c r="C3" t="s">
        <v>39</v>
      </c>
      <c r="D3" t="s">
        <v>32</v>
      </c>
      <c r="E3">
        <v>1</v>
      </c>
      <c r="F3">
        <v>0</v>
      </c>
      <c r="G3">
        <v>0</v>
      </c>
      <c r="H3">
        <v>0</v>
      </c>
      <c r="I3">
        <v>0</v>
      </c>
      <c r="J3">
        <v>0</v>
      </c>
      <c r="K3">
        <v>0</v>
      </c>
      <c r="L3">
        <v>0</v>
      </c>
      <c r="M3">
        <v>0</v>
      </c>
      <c r="N3">
        <v>0</v>
      </c>
      <c r="O3">
        <v>0</v>
      </c>
      <c r="P3">
        <v>0</v>
      </c>
      <c r="Q3">
        <v>0</v>
      </c>
      <c r="R3">
        <v>0</v>
      </c>
      <c r="S3">
        <v>0</v>
      </c>
      <c r="T3">
        <v>0</v>
      </c>
      <c r="U3">
        <v>0</v>
      </c>
      <c r="V3">
        <v>0</v>
      </c>
      <c r="W3">
        <v>0</v>
      </c>
      <c r="X3">
        <v>0</v>
      </c>
      <c r="Y3">
        <v>0</v>
      </c>
      <c r="Z3">
        <v>0</v>
      </c>
    </row>
    <row r="4" spans="1:26" x14ac:dyDescent="0.25">
      <c r="A4" t="s">
        <v>45</v>
      </c>
      <c r="B4" t="s">
        <v>123</v>
      </c>
      <c r="C4" t="s">
        <v>39</v>
      </c>
      <c r="D4" t="s">
        <v>35</v>
      </c>
      <c r="E4">
        <v>0</v>
      </c>
      <c r="F4">
        <v>1</v>
      </c>
      <c r="G4">
        <v>1</v>
      </c>
      <c r="H4">
        <v>0</v>
      </c>
      <c r="I4">
        <v>0</v>
      </c>
      <c r="J4">
        <v>0</v>
      </c>
      <c r="K4">
        <v>0</v>
      </c>
      <c r="L4">
        <v>0</v>
      </c>
      <c r="M4">
        <v>0</v>
      </c>
      <c r="N4">
        <v>1</v>
      </c>
      <c r="O4">
        <v>1</v>
      </c>
      <c r="P4">
        <v>0</v>
      </c>
      <c r="Q4">
        <v>1</v>
      </c>
      <c r="R4">
        <v>1</v>
      </c>
      <c r="S4">
        <v>0</v>
      </c>
      <c r="T4">
        <v>0</v>
      </c>
      <c r="U4">
        <v>0</v>
      </c>
      <c r="V4">
        <v>0</v>
      </c>
      <c r="W4">
        <v>0</v>
      </c>
      <c r="X4">
        <v>0</v>
      </c>
      <c r="Y4">
        <v>0</v>
      </c>
      <c r="Z4">
        <v>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2278-15E6-499C-9682-CC186AEA7421}">
  <sheetPr>
    <pageSetUpPr fitToPage="1"/>
  </sheetPr>
  <dimension ref="A1:W25"/>
  <sheetViews>
    <sheetView view="pageBreakPreview" zoomScale="80" zoomScaleNormal="80" zoomScaleSheetLayoutView="80" workbookViewId="0">
      <pane xSplit="1" ySplit="15" topLeftCell="B16" activePane="bottomRight" state="frozen"/>
      <selection pane="topRight" activeCell="B1" sqref="B1"/>
      <selection pane="bottomLeft" activeCell="A4" sqref="A4"/>
      <selection pane="bottomRight" activeCell="A11" sqref="A11"/>
    </sheetView>
  </sheetViews>
  <sheetFormatPr defaultColWidth="8.85546875" defaultRowHeight="12.75" x14ac:dyDescent="0.2"/>
  <cols>
    <col min="1" max="1" width="59.7109375" style="18" bestFit="1" customWidth="1"/>
    <col min="2" max="2" width="16.85546875" style="18" bestFit="1" customWidth="1"/>
    <col min="3" max="3" width="23.85546875" style="18" bestFit="1" customWidth="1"/>
    <col min="4" max="4" width="12" style="18" bestFit="1" customWidth="1"/>
    <col min="5" max="5" width="28.85546875" style="18" bestFit="1" customWidth="1"/>
    <col min="6" max="6" width="22.140625" style="18" bestFit="1" customWidth="1"/>
    <col min="7" max="7" width="30.7109375" style="18" bestFit="1" customWidth="1"/>
    <col min="8" max="8" width="23.7109375" style="18" bestFit="1" customWidth="1"/>
    <col min="9" max="9" width="20.7109375" style="18" bestFit="1" customWidth="1"/>
    <col min="10" max="10" width="30" style="18" bestFit="1" customWidth="1"/>
    <col min="11" max="11" width="29.5703125" style="18" bestFit="1" customWidth="1"/>
    <col min="12" max="12" width="35.140625" style="18" bestFit="1" customWidth="1"/>
    <col min="13" max="13" width="27.7109375" style="18" bestFit="1" customWidth="1"/>
    <col min="14" max="14" width="15.85546875" style="18" bestFit="1" customWidth="1"/>
    <col min="15" max="15" width="29.28515625" style="18" bestFit="1" customWidth="1"/>
    <col min="16" max="16" width="38.7109375" style="18" bestFit="1" customWidth="1"/>
    <col min="17" max="17" width="18.5703125" style="18" bestFit="1" customWidth="1"/>
    <col min="18" max="18" width="11.28515625" style="18" bestFit="1" customWidth="1"/>
    <col min="19" max="19" width="25" style="18" bestFit="1" customWidth="1"/>
    <col min="20" max="20" width="24.85546875" style="18" bestFit="1" customWidth="1"/>
    <col min="21" max="21" width="36.28515625" style="18" bestFit="1" customWidth="1"/>
    <col min="22" max="22" width="18.5703125" style="18" bestFit="1" customWidth="1"/>
    <col min="23" max="23" width="16.140625" style="18" bestFit="1" customWidth="1"/>
    <col min="24" max="16384" width="8.85546875" style="18"/>
  </cols>
  <sheetData>
    <row r="1" spans="1:23" x14ac:dyDescent="0.2">
      <c r="A1" s="77" t="s">
        <v>263</v>
      </c>
      <c r="B1" s="77"/>
      <c r="C1" s="77"/>
      <c r="D1" s="77"/>
      <c r="E1" s="77"/>
      <c r="F1" s="77"/>
      <c r="G1" s="77"/>
      <c r="H1" s="77"/>
      <c r="I1" s="77"/>
      <c r="J1" s="77"/>
      <c r="K1" s="77"/>
      <c r="L1" s="77"/>
      <c r="M1" s="77"/>
      <c r="N1" s="77"/>
      <c r="O1" s="77"/>
      <c r="P1" s="77"/>
      <c r="Q1" s="77"/>
      <c r="R1" s="77"/>
      <c r="S1" s="77"/>
      <c r="T1" s="77"/>
      <c r="U1" s="77"/>
      <c r="W1" s="68" t="s">
        <v>279</v>
      </c>
    </row>
    <row r="2" spans="1:23" x14ac:dyDescent="0.2">
      <c r="A2" s="69" t="s">
        <v>264</v>
      </c>
    </row>
    <row r="4" spans="1:23" x14ac:dyDescent="0.2">
      <c r="A4" s="74" t="s">
        <v>277</v>
      </c>
      <c r="B4" s="74"/>
      <c r="C4" s="74"/>
      <c r="D4" s="74"/>
      <c r="E4" s="74"/>
      <c r="F4" s="74"/>
      <c r="G4" s="74"/>
      <c r="H4" s="74"/>
      <c r="I4" s="74"/>
      <c r="J4" s="26"/>
      <c r="K4" s="25"/>
    </row>
    <row r="5" spans="1:23" x14ac:dyDescent="0.2">
      <c r="A5" s="75" t="s">
        <v>287</v>
      </c>
      <c r="B5" s="75"/>
      <c r="C5" s="75"/>
      <c r="D5" s="75"/>
      <c r="E5" s="75"/>
      <c r="F5" s="75"/>
      <c r="G5" s="75"/>
      <c r="H5" s="75"/>
      <c r="I5" s="75"/>
      <c r="J5" s="75"/>
      <c r="K5" s="76"/>
    </row>
    <row r="7" spans="1:23" x14ac:dyDescent="0.2">
      <c r="A7" s="7" t="s">
        <v>300</v>
      </c>
    </row>
    <row r="8" spans="1:23" x14ac:dyDescent="0.2">
      <c r="A8" s="55" t="s">
        <v>301</v>
      </c>
    </row>
    <row r="9" spans="1:23" x14ac:dyDescent="0.2">
      <c r="A9" s="56" t="s">
        <v>302</v>
      </c>
    </row>
    <row r="10" spans="1:23" x14ac:dyDescent="0.2">
      <c r="A10" s="57" t="s">
        <v>303</v>
      </c>
    </row>
    <row r="11" spans="1:23" x14ac:dyDescent="0.2">
      <c r="A11" s="72" t="s">
        <v>304</v>
      </c>
      <c r="B11" s="73"/>
      <c r="C11" s="73"/>
      <c r="D11" s="73"/>
      <c r="E11" s="73"/>
      <c r="F11" s="66"/>
      <c r="J11" s="67"/>
    </row>
    <row r="12" spans="1:23" x14ac:dyDescent="0.2">
      <c r="B12" s="70"/>
      <c r="C12" s="70"/>
      <c r="D12" s="70"/>
      <c r="E12" s="70"/>
      <c r="F12" s="66"/>
      <c r="J12" s="67"/>
    </row>
    <row r="13" spans="1:23" x14ac:dyDescent="0.2">
      <c r="A13" s="69" t="s">
        <v>296</v>
      </c>
      <c r="B13" s="69"/>
      <c r="C13" s="69"/>
      <c r="D13" s="69"/>
      <c r="E13" s="69"/>
      <c r="F13" s="69"/>
      <c r="G13" s="69"/>
      <c r="H13" s="69"/>
      <c r="I13" s="69"/>
      <c r="J13" s="69"/>
    </row>
    <row r="14" spans="1:23" ht="15.75" customHeight="1" x14ac:dyDescent="0.2">
      <c r="A14" s="69"/>
      <c r="B14" s="69"/>
      <c r="C14" s="69"/>
      <c r="D14" s="69"/>
      <c r="E14" s="69"/>
      <c r="F14" s="69"/>
      <c r="G14" s="69"/>
      <c r="H14" s="69"/>
      <c r="I14" s="69"/>
      <c r="J14" s="69"/>
    </row>
    <row r="15" spans="1:23" s="27" customFormat="1" ht="38.25" x14ac:dyDescent="0.2">
      <c r="A15" s="52" t="s">
        <v>2</v>
      </c>
      <c r="B15" s="53" t="s">
        <v>125</v>
      </c>
      <c r="C15" s="49" t="s">
        <v>127</v>
      </c>
      <c r="D15" s="34" t="s">
        <v>148</v>
      </c>
      <c r="E15" s="34" t="s">
        <v>149</v>
      </c>
      <c r="F15" s="34" t="s">
        <v>150</v>
      </c>
      <c r="G15" s="34" t="s">
        <v>151</v>
      </c>
      <c r="H15" s="34" t="s">
        <v>278</v>
      </c>
      <c r="I15" s="34" t="s">
        <v>152</v>
      </c>
      <c r="J15" s="34" t="s">
        <v>153</v>
      </c>
      <c r="K15" s="34" t="s">
        <v>154</v>
      </c>
      <c r="L15" s="34" t="s">
        <v>155</v>
      </c>
      <c r="M15" s="34" t="s">
        <v>156</v>
      </c>
      <c r="N15" s="34" t="s">
        <v>157</v>
      </c>
      <c r="O15" s="34" t="s">
        <v>158</v>
      </c>
      <c r="P15" s="34" t="s">
        <v>159</v>
      </c>
      <c r="Q15" s="34" t="s">
        <v>160</v>
      </c>
      <c r="R15" s="50" t="s">
        <v>128</v>
      </c>
      <c r="S15" s="35" t="s">
        <v>161</v>
      </c>
      <c r="T15" s="35" t="s">
        <v>162</v>
      </c>
      <c r="U15" s="35" t="s">
        <v>163</v>
      </c>
      <c r="V15" s="35" t="s">
        <v>164</v>
      </c>
      <c r="W15" s="35" t="s">
        <v>165</v>
      </c>
    </row>
    <row r="16" spans="1:23" x14ac:dyDescent="0.2">
      <c r="A16" s="43" t="s">
        <v>58</v>
      </c>
      <c r="B16" s="44">
        <v>0</v>
      </c>
      <c r="C16" s="44">
        <v>1</v>
      </c>
      <c r="D16" s="44">
        <v>0</v>
      </c>
      <c r="E16" s="44">
        <v>0</v>
      </c>
      <c r="F16" s="44">
        <v>0</v>
      </c>
      <c r="G16" s="44">
        <v>0</v>
      </c>
      <c r="H16" s="44">
        <v>0</v>
      </c>
      <c r="I16" s="44">
        <v>1</v>
      </c>
      <c r="J16" s="44">
        <v>0</v>
      </c>
      <c r="K16" s="44">
        <v>1</v>
      </c>
      <c r="L16" s="44">
        <v>0</v>
      </c>
      <c r="M16" s="44">
        <v>0</v>
      </c>
      <c r="N16" s="44">
        <v>1</v>
      </c>
      <c r="O16" s="44">
        <v>0</v>
      </c>
      <c r="P16" s="44">
        <v>0</v>
      </c>
      <c r="Q16" s="44">
        <v>0</v>
      </c>
      <c r="R16" s="44">
        <v>0</v>
      </c>
      <c r="S16" s="44">
        <v>0</v>
      </c>
      <c r="T16" s="44">
        <v>0</v>
      </c>
      <c r="U16" s="44">
        <v>0</v>
      </c>
      <c r="V16" s="44">
        <v>0</v>
      </c>
      <c r="W16" s="44">
        <v>0</v>
      </c>
    </row>
    <row r="17" spans="1:23" x14ac:dyDescent="0.2">
      <c r="A17" s="43" t="s">
        <v>34</v>
      </c>
      <c r="B17" s="44">
        <v>0</v>
      </c>
      <c r="C17" s="44">
        <v>2</v>
      </c>
      <c r="D17" s="44">
        <v>1</v>
      </c>
      <c r="E17" s="44">
        <v>0</v>
      </c>
      <c r="F17" s="44">
        <v>1</v>
      </c>
      <c r="G17" s="44">
        <v>0</v>
      </c>
      <c r="H17" s="44">
        <v>0</v>
      </c>
      <c r="I17" s="44">
        <v>2</v>
      </c>
      <c r="J17" s="44">
        <v>1</v>
      </c>
      <c r="K17" s="44">
        <v>2</v>
      </c>
      <c r="L17" s="44">
        <v>0</v>
      </c>
      <c r="M17" s="44">
        <v>0</v>
      </c>
      <c r="N17" s="44">
        <v>1</v>
      </c>
      <c r="O17" s="44">
        <v>0</v>
      </c>
      <c r="P17" s="44">
        <v>2</v>
      </c>
      <c r="Q17" s="44">
        <v>0</v>
      </c>
      <c r="R17" s="44">
        <v>0</v>
      </c>
      <c r="S17" s="44">
        <v>0</v>
      </c>
      <c r="T17" s="44">
        <v>0</v>
      </c>
      <c r="U17" s="44">
        <v>0</v>
      </c>
      <c r="V17" s="44">
        <v>0</v>
      </c>
      <c r="W17" s="44">
        <v>0</v>
      </c>
    </row>
    <row r="18" spans="1:23" x14ac:dyDescent="0.2">
      <c r="A18" s="43" t="s">
        <v>64</v>
      </c>
      <c r="B18" s="44">
        <v>0</v>
      </c>
      <c r="C18" s="44">
        <v>8</v>
      </c>
      <c r="D18" s="44">
        <v>3</v>
      </c>
      <c r="E18" s="44">
        <v>1</v>
      </c>
      <c r="F18" s="44">
        <v>2</v>
      </c>
      <c r="G18" s="44">
        <v>1</v>
      </c>
      <c r="H18" s="44">
        <v>3</v>
      </c>
      <c r="I18" s="44">
        <v>6</v>
      </c>
      <c r="J18" s="44">
        <v>4</v>
      </c>
      <c r="K18" s="44">
        <v>4</v>
      </c>
      <c r="L18" s="44">
        <v>4</v>
      </c>
      <c r="M18" s="44">
        <v>2</v>
      </c>
      <c r="N18" s="44">
        <v>7</v>
      </c>
      <c r="O18" s="44">
        <v>2</v>
      </c>
      <c r="P18" s="44">
        <v>2</v>
      </c>
      <c r="Q18" s="44">
        <v>4</v>
      </c>
      <c r="R18" s="44">
        <v>0</v>
      </c>
      <c r="S18" s="44">
        <v>0</v>
      </c>
      <c r="T18" s="44">
        <v>0</v>
      </c>
      <c r="U18" s="44">
        <v>0</v>
      </c>
      <c r="V18" s="44">
        <v>0</v>
      </c>
      <c r="W18" s="44">
        <v>0</v>
      </c>
    </row>
    <row r="19" spans="1:23" x14ac:dyDescent="0.2">
      <c r="A19" s="43" t="s">
        <v>57</v>
      </c>
      <c r="B19" s="44">
        <v>2</v>
      </c>
      <c r="C19" s="44">
        <v>6</v>
      </c>
      <c r="D19" s="44">
        <v>6</v>
      </c>
      <c r="E19" s="44">
        <v>2</v>
      </c>
      <c r="F19" s="44">
        <v>2</v>
      </c>
      <c r="G19" s="44">
        <v>1</v>
      </c>
      <c r="H19" s="44">
        <v>4</v>
      </c>
      <c r="I19" s="44">
        <v>5</v>
      </c>
      <c r="J19" s="44">
        <v>5</v>
      </c>
      <c r="K19" s="44">
        <v>4</v>
      </c>
      <c r="L19" s="44">
        <v>4</v>
      </c>
      <c r="M19" s="44">
        <v>2</v>
      </c>
      <c r="N19" s="44">
        <v>6</v>
      </c>
      <c r="O19" s="44">
        <v>1</v>
      </c>
      <c r="P19" s="44">
        <v>4</v>
      </c>
      <c r="Q19" s="44">
        <v>2</v>
      </c>
      <c r="R19" s="44">
        <v>0</v>
      </c>
      <c r="S19" s="44">
        <v>0</v>
      </c>
      <c r="T19" s="44">
        <v>0</v>
      </c>
      <c r="U19" s="44">
        <v>0</v>
      </c>
      <c r="V19" s="44">
        <v>0</v>
      </c>
      <c r="W19" s="44">
        <v>0</v>
      </c>
    </row>
    <row r="20" spans="1:23" x14ac:dyDescent="0.2">
      <c r="A20" s="43" t="s">
        <v>21</v>
      </c>
      <c r="B20" s="44">
        <v>0</v>
      </c>
      <c r="C20" s="44">
        <v>1</v>
      </c>
      <c r="D20" s="44">
        <v>0</v>
      </c>
      <c r="E20" s="44">
        <v>0</v>
      </c>
      <c r="F20" s="44">
        <v>0</v>
      </c>
      <c r="G20" s="44">
        <v>0</v>
      </c>
      <c r="H20" s="44">
        <v>0</v>
      </c>
      <c r="I20" s="44">
        <v>0</v>
      </c>
      <c r="J20" s="44">
        <v>1</v>
      </c>
      <c r="K20" s="44">
        <v>0</v>
      </c>
      <c r="L20" s="44">
        <v>0</v>
      </c>
      <c r="M20" s="44">
        <v>0</v>
      </c>
      <c r="N20" s="44">
        <v>0</v>
      </c>
      <c r="O20" s="44">
        <v>0</v>
      </c>
      <c r="P20" s="44">
        <v>0</v>
      </c>
      <c r="Q20" s="44">
        <v>0</v>
      </c>
      <c r="R20" s="44">
        <v>0</v>
      </c>
      <c r="S20" s="44">
        <v>0</v>
      </c>
      <c r="T20" s="44">
        <v>0</v>
      </c>
      <c r="U20" s="44">
        <v>0</v>
      </c>
      <c r="V20" s="44">
        <v>0</v>
      </c>
      <c r="W20" s="44">
        <v>0</v>
      </c>
    </row>
    <row r="21" spans="1:23" x14ac:dyDescent="0.2">
      <c r="A21" s="43" t="s">
        <v>30</v>
      </c>
      <c r="B21" s="44">
        <v>1</v>
      </c>
      <c r="C21" s="44">
        <v>25</v>
      </c>
      <c r="D21" s="44">
        <v>12</v>
      </c>
      <c r="E21" s="44">
        <v>0</v>
      </c>
      <c r="F21" s="44">
        <v>8</v>
      </c>
      <c r="G21" s="44">
        <v>5</v>
      </c>
      <c r="H21" s="44">
        <v>6</v>
      </c>
      <c r="I21" s="44">
        <v>11</v>
      </c>
      <c r="J21" s="44">
        <v>10</v>
      </c>
      <c r="K21" s="44">
        <v>12</v>
      </c>
      <c r="L21" s="44">
        <v>7</v>
      </c>
      <c r="M21" s="44">
        <v>0</v>
      </c>
      <c r="N21" s="44">
        <v>18</v>
      </c>
      <c r="O21" s="44">
        <v>0</v>
      </c>
      <c r="P21" s="44">
        <v>11</v>
      </c>
      <c r="Q21" s="44">
        <v>3</v>
      </c>
      <c r="R21" s="44">
        <v>2</v>
      </c>
      <c r="S21" s="44">
        <v>0</v>
      </c>
      <c r="T21" s="44">
        <v>0</v>
      </c>
      <c r="U21" s="44">
        <v>1</v>
      </c>
      <c r="V21" s="44">
        <v>1</v>
      </c>
      <c r="W21" s="44">
        <v>1</v>
      </c>
    </row>
    <row r="22" spans="1:23" x14ac:dyDescent="0.2">
      <c r="A22" s="43" t="s">
        <v>3</v>
      </c>
      <c r="B22" s="44">
        <v>0</v>
      </c>
      <c r="C22" s="44">
        <v>0</v>
      </c>
      <c r="D22" s="44">
        <v>0</v>
      </c>
      <c r="E22" s="44">
        <v>0</v>
      </c>
      <c r="F22" s="44">
        <v>0</v>
      </c>
      <c r="G22" s="44">
        <v>0</v>
      </c>
      <c r="H22" s="44">
        <v>0</v>
      </c>
      <c r="I22" s="44">
        <v>0</v>
      </c>
      <c r="J22" s="44">
        <v>0</v>
      </c>
      <c r="K22" s="44">
        <v>0</v>
      </c>
      <c r="L22" s="44">
        <v>0</v>
      </c>
      <c r="M22" s="44">
        <v>0</v>
      </c>
      <c r="N22" s="44">
        <v>0</v>
      </c>
      <c r="O22" s="44">
        <v>0</v>
      </c>
      <c r="P22" s="44">
        <v>0</v>
      </c>
      <c r="Q22" s="44">
        <v>0</v>
      </c>
      <c r="R22" s="44">
        <v>1</v>
      </c>
      <c r="S22" s="44">
        <v>1</v>
      </c>
      <c r="T22" s="44">
        <v>1</v>
      </c>
      <c r="U22" s="44">
        <v>1</v>
      </c>
      <c r="V22" s="44">
        <v>0</v>
      </c>
      <c r="W22" s="44">
        <v>0</v>
      </c>
    </row>
    <row r="23" spans="1:23" x14ac:dyDescent="0.2">
      <c r="A23" s="43" t="s">
        <v>39</v>
      </c>
      <c r="B23" s="44">
        <v>1</v>
      </c>
      <c r="C23" s="44">
        <v>2</v>
      </c>
      <c r="D23" s="44">
        <v>1</v>
      </c>
      <c r="E23" s="44">
        <v>0</v>
      </c>
      <c r="F23" s="44">
        <v>0</v>
      </c>
      <c r="G23" s="44">
        <v>0</v>
      </c>
      <c r="H23" s="44">
        <v>0</v>
      </c>
      <c r="I23" s="44">
        <v>1</v>
      </c>
      <c r="J23" s="44">
        <v>0</v>
      </c>
      <c r="K23" s="44">
        <v>1</v>
      </c>
      <c r="L23" s="44">
        <v>1</v>
      </c>
      <c r="M23" s="44">
        <v>0</v>
      </c>
      <c r="N23" s="44">
        <v>1</v>
      </c>
      <c r="O23" s="44">
        <v>1</v>
      </c>
      <c r="P23" s="44">
        <v>0</v>
      </c>
      <c r="Q23" s="44">
        <v>0</v>
      </c>
      <c r="R23" s="44">
        <v>0</v>
      </c>
      <c r="S23" s="44">
        <v>0</v>
      </c>
      <c r="T23" s="44">
        <v>0</v>
      </c>
      <c r="U23" s="44">
        <v>0</v>
      </c>
      <c r="V23" s="44">
        <v>0</v>
      </c>
      <c r="W23" s="44">
        <v>0</v>
      </c>
    </row>
    <row r="24" spans="1:23" x14ac:dyDescent="0.2">
      <c r="A24" s="43" t="s">
        <v>126</v>
      </c>
      <c r="B24" s="44">
        <v>4</v>
      </c>
      <c r="C24" s="44">
        <v>45</v>
      </c>
      <c r="D24" s="44">
        <v>23</v>
      </c>
      <c r="E24" s="44">
        <v>3</v>
      </c>
      <c r="F24" s="44">
        <v>13</v>
      </c>
      <c r="G24" s="44">
        <v>7</v>
      </c>
      <c r="H24" s="44">
        <v>13</v>
      </c>
      <c r="I24" s="44">
        <v>26</v>
      </c>
      <c r="J24" s="44">
        <v>21</v>
      </c>
      <c r="K24" s="44">
        <v>24</v>
      </c>
      <c r="L24" s="44">
        <v>16</v>
      </c>
      <c r="M24" s="44">
        <v>4</v>
      </c>
      <c r="N24" s="44">
        <v>34</v>
      </c>
      <c r="O24" s="44">
        <v>4</v>
      </c>
      <c r="P24" s="44">
        <v>19</v>
      </c>
      <c r="Q24" s="44">
        <v>9</v>
      </c>
      <c r="R24" s="44">
        <v>3</v>
      </c>
      <c r="S24" s="44">
        <v>1</v>
      </c>
      <c r="T24" s="44">
        <v>1</v>
      </c>
      <c r="U24" s="44">
        <v>2</v>
      </c>
      <c r="V24" s="44">
        <v>1</v>
      </c>
      <c r="W24" s="44">
        <v>1</v>
      </c>
    </row>
    <row r="25" spans="1:23" ht="15" x14ac:dyDescent="0.25">
      <c r="A25"/>
      <c r="B25"/>
      <c r="C25"/>
      <c r="D25"/>
      <c r="E25"/>
      <c r="F25"/>
      <c r="G25"/>
      <c r="H25"/>
      <c r="I25"/>
      <c r="J25"/>
      <c r="K25"/>
      <c r="L25"/>
      <c r="M25"/>
      <c r="N25"/>
      <c r="O25"/>
      <c r="P25"/>
      <c r="Q25"/>
      <c r="R25"/>
      <c r="S25"/>
      <c r="T25"/>
      <c r="U25"/>
      <c r="V25"/>
      <c r="W25"/>
    </row>
  </sheetData>
  <mergeCells count="4">
    <mergeCell ref="B11:E11"/>
    <mergeCell ref="A4:I4"/>
    <mergeCell ref="A5:K5"/>
    <mergeCell ref="A1:U1"/>
  </mergeCells>
  <pageMargins left="0.25" right="0.25" top="0.75" bottom="0.75" header="0.3" footer="0.3"/>
  <pageSetup scale="20" fitToHeight="0" orientation="landscape" r:id="rId2"/>
  <headerFooter>
    <oddFooter>&amp;R&amp;P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0C111-CA3B-4266-81FB-FF56B0CA3AED}">
  <dimension ref="A1:Z53"/>
  <sheetViews>
    <sheetView topLeftCell="V38" workbookViewId="0">
      <selection activeCell="B1" sqref="B1:Z53"/>
    </sheetView>
  </sheetViews>
  <sheetFormatPr defaultColWidth="30.7109375" defaultRowHeight="15" x14ac:dyDescent="0.25"/>
  <cols>
    <col min="1" max="1" width="0" style="1" hidden="1" customWidth="1"/>
    <col min="2" max="2" width="30.7109375" style="10"/>
    <col min="3" max="4" width="0" style="1" hidden="1" customWidth="1"/>
    <col min="5" max="26" width="30.7109375" style="10"/>
    <col min="27" max="16384" width="30.7109375" style="1"/>
  </cols>
  <sheetData>
    <row r="1" spans="1:26" ht="25.5" x14ac:dyDescent="0.25">
      <c r="A1" s="1" t="s">
        <v>2</v>
      </c>
      <c r="B1" s="1" t="s">
        <v>2</v>
      </c>
      <c r="C1" s="1" t="s">
        <v>65</v>
      </c>
      <c r="D1" s="1" t="s">
        <v>62</v>
      </c>
      <c r="E1" s="11" t="s">
        <v>69</v>
      </c>
      <c r="F1" s="11" t="s">
        <v>70</v>
      </c>
      <c r="G1" s="11" t="s">
        <v>131</v>
      </c>
      <c r="H1" s="11" t="s">
        <v>132</v>
      </c>
      <c r="I1" s="11" t="s">
        <v>133</v>
      </c>
      <c r="J1" s="11" t="s">
        <v>134</v>
      </c>
      <c r="K1" s="11" t="s">
        <v>135</v>
      </c>
      <c r="L1" s="11" t="s">
        <v>136</v>
      </c>
      <c r="M1" s="11" t="s">
        <v>137</v>
      </c>
      <c r="N1" s="11" t="s">
        <v>138</v>
      </c>
      <c r="O1" s="11" t="s">
        <v>139</v>
      </c>
      <c r="P1" s="11" t="s">
        <v>140</v>
      </c>
      <c r="Q1" s="11" t="s">
        <v>141</v>
      </c>
      <c r="R1" s="11" t="s">
        <v>142</v>
      </c>
      <c r="S1" s="11" t="s">
        <v>143</v>
      </c>
      <c r="T1" s="11" t="s">
        <v>144</v>
      </c>
      <c r="U1" s="11" t="s">
        <v>71</v>
      </c>
      <c r="V1" s="11" t="s">
        <v>145</v>
      </c>
      <c r="W1" s="11" t="s">
        <v>135</v>
      </c>
      <c r="X1" s="11" t="s">
        <v>139</v>
      </c>
      <c r="Y1" s="11" t="s">
        <v>146</v>
      </c>
      <c r="Z1" s="11" t="s">
        <v>147</v>
      </c>
    </row>
    <row r="2" spans="1:26" x14ac:dyDescent="0.25">
      <c r="A2" s="1" t="s">
        <v>52</v>
      </c>
      <c r="B2" s="3" t="s">
        <v>72</v>
      </c>
      <c r="C2" s="1" t="s">
        <v>58</v>
      </c>
      <c r="D2" s="1" t="s">
        <v>9</v>
      </c>
      <c r="E2" s="4">
        <v>0</v>
      </c>
      <c r="F2" s="4">
        <v>1</v>
      </c>
      <c r="G2" s="4">
        <v>0</v>
      </c>
      <c r="H2" s="4">
        <v>0</v>
      </c>
      <c r="I2" s="4">
        <v>0</v>
      </c>
      <c r="J2" s="4">
        <v>0</v>
      </c>
      <c r="K2" s="4">
        <v>0</v>
      </c>
      <c r="L2" s="4">
        <v>1</v>
      </c>
      <c r="M2" s="4">
        <v>0</v>
      </c>
      <c r="N2" s="4">
        <v>1</v>
      </c>
      <c r="O2" s="4">
        <v>0</v>
      </c>
      <c r="P2" s="4">
        <v>0</v>
      </c>
      <c r="Q2" s="4">
        <v>1</v>
      </c>
      <c r="R2" s="4">
        <v>0</v>
      </c>
      <c r="S2" s="4">
        <v>0</v>
      </c>
      <c r="T2" s="4">
        <v>0</v>
      </c>
      <c r="U2" s="4">
        <v>0</v>
      </c>
      <c r="V2" s="4">
        <v>0</v>
      </c>
      <c r="W2" s="4">
        <v>0</v>
      </c>
      <c r="X2" s="4">
        <v>0</v>
      </c>
      <c r="Y2" s="4">
        <v>0</v>
      </c>
      <c r="Z2" s="4">
        <v>0</v>
      </c>
    </row>
    <row r="3" spans="1:26" ht="30" x14ac:dyDescent="0.25">
      <c r="A3" s="1" t="s">
        <v>56</v>
      </c>
      <c r="B3" s="3" t="s">
        <v>73</v>
      </c>
      <c r="C3" s="1" t="s">
        <v>34</v>
      </c>
      <c r="D3" s="1" t="s">
        <v>13</v>
      </c>
      <c r="E3" s="4">
        <v>0</v>
      </c>
      <c r="F3" s="4">
        <v>1</v>
      </c>
      <c r="G3" s="4">
        <v>0</v>
      </c>
      <c r="H3" s="4">
        <v>0</v>
      </c>
      <c r="I3" s="4">
        <v>1</v>
      </c>
      <c r="J3" s="4">
        <v>0</v>
      </c>
      <c r="K3" s="4">
        <v>0</v>
      </c>
      <c r="L3" s="4">
        <v>1</v>
      </c>
      <c r="M3" s="4">
        <v>0</v>
      </c>
      <c r="N3" s="4">
        <v>1</v>
      </c>
      <c r="O3" s="4">
        <v>0</v>
      </c>
      <c r="P3" s="4">
        <v>0</v>
      </c>
      <c r="Q3" s="4">
        <v>0</v>
      </c>
      <c r="R3" s="4">
        <v>0</v>
      </c>
      <c r="S3" s="4">
        <v>1</v>
      </c>
      <c r="T3" s="4">
        <v>0</v>
      </c>
      <c r="U3" s="4">
        <v>0</v>
      </c>
      <c r="V3" s="4">
        <v>0</v>
      </c>
      <c r="W3" s="4">
        <v>0</v>
      </c>
      <c r="X3" s="4">
        <v>0</v>
      </c>
      <c r="Y3" s="4">
        <v>0</v>
      </c>
      <c r="Z3" s="4">
        <v>0</v>
      </c>
    </row>
    <row r="4" spans="1:26" ht="30" x14ac:dyDescent="0.25">
      <c r="A4" s="1" t="s">
        <v>49</v>
      </c>
      <c r="B4" s="3" t="s">
        <v>74</v>
      </c>
      <c r="C4" s="1" t="s">
        <v>34</v>
      </c>
      <c r="D4" s="1" t="s">
        <v>32</v>
      </c>
      <c r="E4" s="4">
        <v>0</v>
      </c>
      <c r="F4" s="4">
        <v>1</v>
      </c>
      <c r="G4" s="4">
        <v>1</v>
      </c>
      <c r="H4" s="4">
        <v>0</v>
      </c>
      <c r="I4" s="4">
        <v>0</v>
      </c>
      <c r="J4" s="4">
        <v>0</v>
      </c>
      <c r="K4" s="4">
        <v>0</v>
      </c>
      <c r="L4" s="4">
        <v>1</v>
      </c>
      <c r="M4" s="4">
        <v>1</v>
      </c>
      <c r="N4" s="4">
        <v>1</v>
      </c>
      <c r="O4" s="4">
        <v>0</v>
      </c>
      <c r="P4" s="4">
        <v>0</v>
      </c>
      <c r="Q4" s="4">
        <v>1</v>
      </c>
      <c r="R4" s="4">
        <v>0</v>
      </c>
      <c r="S4" s="4">
        <v>1</v>
      </c>
      <c r="T4" s="4">
        <v>0</v>
      </c>
      <c r="U4" s="4">
        <v>0</v>
      </c>
      <c r="V4" s="4">
        <v>0</v>
      </c>
      <c r="W4" s="4">
        <v>0</v>
      </c>
      <c r="X4" s="4">
        <v>0</v>
      </c>
      <c r="Y4" s="4">
        <v>0</v>
      </c>
      <c r="Z4" s="4">
        <v>0</v>
      </c>
    </row>
    <row r="5" spans="1:26" ht="30" x14ac:dyDescent="0.25">
      <c r="A5" s="1" t="s">
        <v>48</v>
      </c>
      <c r="B5" s="3" t="s">
        <v>75</v>
      </c>
      <c r="C5" s="1" t="s">
        <v>64</v>
      </c>
      <c r="D5" s="1" t="s">
        <v>0</v>
      </c>
      <c r="E5" s="4">
        <v>0</v>
      </c>
      <c r="F5" s="4">
        <v>1</v>
      </c>
      <c r="G5" s="4">
        <v>1</v>
      </c>
      <c r="H5" s="4">
        <v>0</v>
      </c>
      <c r="I5" s="4">
        <v>1</v>
      </c>
      <c r="J5" s="4">
        <v>0</v>
      </c>
      <c r="K5" s="4">
        <v>1</v>
      </c>
      <c r="L5" s="4">
        <v>1</v>
      </c>
      <c r="M5" s="4">
        <v>1</v>
      </c>
      <c r="N5" s="4">
        <v>1</v>
      </c>
      <c r="O5" s="4">
        <v>1</v>
      </c>
      <c r="P5" s="4">
        <v>1</v>
      </c>
      <c r="Q5" s="4">
        <v>1</v>
      </c>
      <c r="R5" s="4">
        <v>0</v>
      </c>
      <c r="S5" s="4">
        <v>1</v>
      </c>
      <c r="T5" s="4">
        <v>1</v>
      </c>
      <c r="U5" s="4">
        <v>0</v>
      </c>
      <c r="V5" s="4">
        <v>0</v>
      </c>
      <c r="W5" s="4">
        <v>0</v>
      </c>
      <c r="X5" s="4">
        <v>0</v>
      </c>
      <c r="Y5" s="4">
        <v>0</v>
      </c>
      <c r="Z5" s="4">
        <v>0</v>
      </c>
    </row>
    <row r="6" spans="1:26" ht="30" x14ac:dyDescent="0.25">
      <c r="A6" s="1" t="s">
        <v>22</v>
      </c>
      <c r="B6" s="3" t="s">
        <v>76</v>
      </c>
      <c r="C6" s="1" t="s">
        <v>64</v>
      </c>
      <c r="D6" s="1" t="s">
        <v>44</v>
      </c>
      <c r="E6" s="4">
        <v>0</v>
      </c>
      <c r="F6" s="4">
        <v>1</v>
      </c>
      <c r="G6" s="4">
        <v>0</v>
      </c>
      <c r="H6" s="4">
        <v>0</v>
      </c>
      <c r="I6" s="4">
        <v>0</v>
      </c>
      <c r="J6" s="4">
        <v>0</v>
      </c>
      <c r="K6" s="4">
        <v>1</v>
      </c>
      <c r="L6" s="4">
        <v>0</v>
      </c>
      <c r="M6" s="4">
        <v>0</v>
      </c>
      <c r="N6" s="4">
        <v>0</v>
      </c>
      <c r="O6" s="4">
        <v>1</v>
      </c>
      <c r="P6" s="4">
        <v>0</v>
      </c>
      <c r="Q6" s="4">
        <v>1</v>
      </c>
      <c r="R6" s="4">
        <v>0</v>
      </c>
      <c r="S6" s="4">
        <v>0</v>
      </c>
      <c r="T6" s="4">
        <v>1</v>
      </c>
      <c r="U6" s="4">
        <v>0</v>
      </c>
      <c r="V6" s="4">
        <v>0</v>
      </c>
      <c r="W6" s="4">
        <v>0</v>
      </c>
      <c r="X6" s="4">
        <v>0</v>
      </c>
      <c r="Y6" s="4">
        <v>0</v>
      </c>
      <c r="Z6" s="4">
        <v>0</v>
      </c>
    </row>
    <row r="7" spans="1:26" ht="30" x14ac:dyDescent="0.25">
      <c r="A7" s="1" t="s">
        <v>16</v>
      </c>
      <c r="B7" s="3" t="s">
        <v>77</v>
      </c>
      <c r="C7" s="1" t="s">
        <v>64</v>
      </c>
      <c r="D7" s="1" t="s">
        <v>0</v>
      </c>
      <c r="E7" s="4">
        <v>0</v>
      </c>
      <c r="F7" s="4">
        <v>1</v>
      </c>
      <c r="G7" s="4">
        <v>0</v>
      </c>
      <c r="H7" s="4">
        <v>0</v>
      </c>
      <c r="I7" s="4">
        <v>0</v>
      </c>
      <c r="J7" s="4">
        <v>0</v>
      </c>
      <c r="K7" s="4">
        <v>0</v>
      </c>
      <c r="L7" s="4">
        <v>0</v>
      </c>
      <c r="M7" s="4">
        <v>0</v>
      </c>
      <c r="N7" s="4">
        <v>0</v>
      </c>
      <c r="O7" s="4">
        <v>1</v>
      </c>
      <c r="P7" s="4">
        <v>0</v>
      </c>
      <c r="Q7" s="4">
        <v>1</v>
      </c>
      <c r="R7" s="4">
        <v>1</v>
      </c>
      <c r="S7" s="4">
        <v>0</v>
      </c>
      <c r="T7" s="4">
        <v>0</v>
      </c>
      <c r="U7" s="4">
        <v>0</v>
      </c>
      <c r="V7" s="4">
        <v>0</v>
      </c>
      <c r="W7" s="4">
        <v>0</v>
      </c>
      <c r="X7" s="4">
        <v>0</v>
      </c>
      <c r="Y7" s="4">
        <v>0</v>
      </c>
      <c r="Z7" s="4">
        <v>0</v>
      </c>
    </row>
    <row r="8" spans="1:26" ht="30" x14ac:dyDescent="0.25">
      <c r="A8" s="1" t="s">
        <v>5</v>
      </c>
      <c r="B8" s="3" t="s">
        <v>78</v>
      </c>
      <c r="C8" s="1" t="s">
        <v>64</v>
      </c>
      <c r="D8" s="1" t="s">
        <v>44</v>
      </c>
      <c r="E8" s="4">
        <v>0</v>
      </c>
      <c r="F8" s="4">
        <v>1</v>
      </c>
      <c r="G8" s="4">
        <v>1</v>
      </c>
      <c r="H8" s="4">
        <v>0</v>
      </c>
      <c r="I8" s="4">
        <v>0</v>
      </c>
      <c r="J8" s="4">
        <v>0</v>
      </c>
      <c r="K8" s="4">
        <v>0</v>
      </c>
      <c r="L8" s="4">
        <v>1</v>
      </c>
      <c r="M8" s="4">
        <v>0</v>
      </c>
      <c r="N8" s="4">
        <v>0</v>
      </c>
      <c r="O8" s="4">
        <v>0</v>
      </c>
      <c r="P8" s="4">
        <v>0</v>
      </c>
      <c r="Q8" s="4">
        <v>0</v>
      </c>
      <c r="R8" s="4">
        <v>1</v>
      </c>
      <c r="S8" s="4">
        <v>1</v>
      </c>
      <c r="T8" s="4">
        <v>0</v>
      </c>
      <c r="U8" s="4">
        <v>0</v>
      </c>
      <c r="V8" s="4">
        <v>0</v>
      </c>
      <c r="W8" s="4">
        <v>0</v>
      </c>
      <c r="X8" s="4">
        <v>0</v>
      </c>
      <c r="Y8" s="4">
        <v>0</v>
      </c>
      <c r="Z8" s="4">
        <v>0</v>
      </c>
    </row>
    <row r="9" spans="1:26" ht="30" x14ac:dyDescent="0.25">
      <c r="A9" s="1" t="s">
        <v>23</v>
      </c>
      <c r="B9" s="3" t="s">
        <v>79</v>
      </c>
      <c r="C9" s="1" t="s">
        <v>64</v>
      </c>
      <c r="D9" s="1" t="s">
        <v>0</v>
      </c>
      <c r="E9" s="4">
        <v>0</v>
      </c>
      <c r="F9" s="4">
        <v>1</v>
      </c>
      <c r="G9" s="4">
        <v>0</v>
      </c>
      <c r="H9" s="4">
        <v>0</v>
      </c>
      <c r="I9" s="4">
        <v>0</v>
      </c>
      <c r="J9" s="4">
        <v>0</v>
      </c>
      <c r="K9" s="4">
        <v>0</v>
      </c>
      <c r="L9" s="4">
        <v>1</v>
      </c>
      <c r="M9" s="4">
        <v>1</v>
      </c>
      <c r="N9" s="4">
        <v>1</v>
      </c>
      <c r="O9" s="4">
        <v>0</v>
      </c>
      <c r="P9" s="4">
        <v>0</v>
      </c>
      <c r="Q9" s="4">
        <v>1</v>
      </c>
      <c r="R9" s="4">
        <v>0</v>
      </c>
      <c r="S9" s="4">
        <v>0</v>
      </c>
      <c r="T9" s="4">
        <v>0</v>
      </c>
      <c r="U9" s="4">
        <v>0</v>
      </c>
      <c r="V9" s="4">
        <v>0</v>
      </c>
      <c r="W9" s="4">
        <v>0</v>
      </c>
      <c r="X9" s="4">
        <v>0</v>
      </c>
      <c r="Y9" s="4">
        <v>0</v>
      </c>
      <c r="Z9" s="4">
        <v>0</v>
      </c>
    </row>
    <row r="10" spans="1:26" ht="30" x14ac:dyDescent="0.25">
      <c r="A10" s="1" t="s">
        <v>33</v>
      </c>
      <c r="B10" s="3" t="s">
        <v>80</v>
      </c>
      <c r="C10" s="1" t="s">
        <v>64</v>
      </c>
      <c r="D10" s="1" t="s">
        <v>0</v>
      </c>
      <c r="E10" s="4">
        <v>0</v>
      </c>
      <c r="F10" s="4">
        <v>1</v>
      </c>
      <c r="G10" s="4">
        <v>0</v>
      </c>
      <c r="H10" s="4">
        <v>0</v>
      </c>
      <c r="I10" s="4">
        <v>0</v>
      </c>
      <c r="J10" s="4">
        <v>0</v>
      </c>
      <c r="K10" s="4">
        <v>0</v>
      </c>
      <c r="L10" s="4">
        <v>1</v>
      </c>
      <c r="M10" s="4">
        <v>0</v>
      </c>
      <c r="N10" s="4">
        <v>0</v>
      </c>
      <c r="O10" s="4">
        <v>1</v>
      </c>
      <c r="P10" s="4">
        <v>0</v>
      </c>
      <c r="Q10" s="4">
        <v>1</v>
      </c>
      <c r="R10" s="4">
        <v>0</v>
      </c>
      <c r="S10" s="4">
        <v>0</v>
      </c>
      <c r="T10" s="4">
        <v>0</v>
      </c>
      <c r="U10" s="4">
        <v>0</v>
      </c>
      <c r="V10" s="4">
        <v>0</v>
      </c>
      <c r="W10" s="4">
        <v>0</v>
      </c>
      <c r="X10" s="4">
        <v>0</v>
      </c>
      <c r="Y10" s="4">
        <v>0</v>
      </c>
      <c r="Z10" s="4">
        <v>0</v>
      </c>
    </row>
    <row r="11" spans="1:26" ht="30" x14ac:dyDescent="0.25">
      <c r="A11" s="1" t="s">
        <v>46</v>
      </c>
      <c r="B11" s="3" t="s">
        <v>81</v>
      </c>
      <c r="C11" s="1" t="s">
        <v>64</v>
      </c>
      <c r="D11" s="1" t="s">
        <v>44</v>
      </c>
      <c r="E11" s="4">
        <v>0</v>
      </c>
      <c r="F11" s="4">
        <v>1</v>
      </c>
      <c r="G11" s="4">
        <v>0</v>
      </c>
      <c r="H11" s="4">
        <v>1</v>
      </c>
      <c r="I11" s="4">
        <v>0</v>
      </c>
      <c r="J11" s="4">
        <v>1</v>
      </c>
      <c r="K11" s="4">
        <v>1</v>
      </c>
      <c r="L11" s="4">
        <v>1</v>
      </c>
      <c r="M11" s="4">
        <v>1</v>
      </c>
      <c r="N11" s="4">
        <v>1</v>
      </c>
      <c r="O11" s="4">
        <v>0</v>
      </c>
      <c r="P11" s="4">
        <v>0</v>
      </c>
      <c r="Q11" s="4">
        <v>1</v>
      </c>
      <c r="R11" s="4">
        <v>0</v>
      </c>
      <c r="S11" s="4">
        <v>0</v>
      </c>
      <c r="T11" s="4">
        <v>1</v>
      </c>
      <c r="U11" s="4">
        <v>0</v>
      </c>
      <c r="V11" s="4">
        <v>0</v>
      </c>
      <c r="W11" s="4">
        <v>0</v>
      </c>
      <c r="X11" s="4">
        <v>0</v>
      </c>
      <c r="Y11" s="4">
        <v>0</v>
      </c>
      <c r="Z11" s="4">
        <v>0</v>
      </c>
    </row>
    <row r="12" spans="1:26" ht="30" x14ac:dyDescent="0.25">
      <c r="A12" s="1" t="s">
        <v>61</v>
      </c>
      <c r="B12" s="3" t="s">
        <v>82</v>
      </c>
      <c r="C12" s="1" t="s">
        <v>64</v>
      </c>
      <c r="D12" s="1" t="s">
        <v>0</v>
      </c>
      <c r="E12" s="4">
        <v>0</v>
      </c>
      <c r="F12" s="4">
        <v>1</v>
      </c>
      <c r="G12" s="4">
        <v>1</v>
      </c>
      <c r="H12" s="4">
        <v>0</v>
      </c>
      <c r="I12" s="4">
        <v>1</v>
      </c>
      <c r="J12" s="4">
        <v>0</v>
      </c>
      <c r="K12" s="4">
        <v>0</v>
      </c>
      <c r="L12" s="4">
        <v>1</v>
      </c>
      <c r="M12" s="4">
        <v>1</v>
      </c>
      <c r="N12" s="4">
        <v>1</v>
      </c>
      <c r="O12" s="4">
        <v>0</v>
      </c>
      <c r="P12" s="4">
        <v>1</v>
      </c>
      <c r="Q12" s="4">
        <v>1</v>
      </c>
      <c r="R12" s="4">
        <v>0</v>
      </c>
      <c r="S12" s="4">
        <v>0</v>
      </c>
      <c r="T12" s="4">
        <v>1</v>
      </c>
      <c r="U12" s="4">
        <v>0</v>
      </c>
      <c r="V12" s="4">
        <v>0</v>
      </c>
      <c r="W12" s="4">
        <v>0</v>
      </c>
      <c r="X12" s="4">
        <v>0</v>
      </c>
      <c r="Y12" s="4">
        <v>0</v>
      </c>
      <c r="Z12" s="4">
        <v>0</v>
      </c>
    </row>
    <row r="13" spans="1:26" x14ac:dyDescent="0.25">
      <c r="A13" s="1" t="s">
        <v>55</v>
      </c>
      <c r="B13" s="3" t="s">
        <v>83</v>
      </c>
      <c r="C13" s="1" t="s">
        <v>57</v>
      </c>
      <c r="D13" s="1" t="s">
        <v>9</v>
      </c>
      <c r="E13" s="4">
        <v>1</v>
      </c>
      <c r="F13" s="4">
        <v>0</v>
      </c>
      <c r="G13" s="4">
        <v>0</v>
      </c>
      <c r="H13" s="4">
        <v>0</v>
      </c>
      <c r="I13" s="4">
        <v>0</v>
      </c>
      <c r="J13" s="4">
        <v>0</v>
      </c>
      <c r="K13" s="4">
        <v>0</v>
      </c>
      <c r="L13" s="4">
        <v>0</v>
      </c>
      <c r="M13" s="4">
        <v>0</v>
      </c>
      <c r="N13" s="4">
        <v>0</v>
      </c>
      <c r="O13" s="4">
        <v>0</v>
      </c>
      <c r="P13" s="4">
        <v>0</v>
      </c>
      <c r="Q13" s="4">
        <v>0</v>
      </c>
      <c r="R13" s="4">
        <v>0</v>
      </c>
      <c r="S13" s="4">
        <v>0</v>
      </c>
      <c r="T13" s="4">
        <v>0</v>
      </c>
      <c r="U13" s="4">
        <v>0</v>
      </c>
      <c r="V13" s="4">
        <v>0</v>
      </c>
      <c r="W13" s="4">
        <v>0</v>
      </c>
      <c r="X13" s="4">
        <v>0</v>
      </c>
      <c r="Y13" s="4">
        <v>0</v>
      </c>
      <c r="Z13" s="4">
        <v>0</v>
      </c>
    </row>
    <row r="14" spans="1:26" x14ac:dyDescent="0.25">
      <c r="A14" s="1" t="s">
        <v>36</v>
      </c>
      <c r="B14" s="3" t="s">
        <v>84</v>
      </c>
      <c r="C14" s="1" t="s">
        <v>57</v>
      </c>
      <c r="D14" s="1" t="s">
        <v>9</v>
      </c>
      <c r="E14" s="4">
        <v>1</v>
      </c>
      <c r="F14" s="4">
        <v>0</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0</v>
      </c>
      <c r="Y14" s="4">
        <v>0</v>
      </c>
      <c r="Z14" s="4">
        <v>0</v>
      </c>
    </row>
    <row r="15" spans="1:26" x14ac:dyDescent="0.25">
      <c r="A15" s="1" t="s">
        <v>11</v>
      </c>
      <c r="B15" s="3" t="s">
        <v>85</v>
      </c>
      <c r="C15" s="1" t="s">
        <v>57</v>
      </c>
      <c r="D15" s="1" t="s">
        <v>9</v>
      </c>
      <c r="E15" s="4">
        <v>0</v>
      </c>
      <c r="F15" s="4">
        <v>1</v>
      </c>
      <c r="G15" s="4">
        <v>1</v>
      </c>
      <c r="H15" s="4">
        <v>0</v>
      </c>
      <c r="I15" s="4">
        <v>1</v>
      </c>
      <c r="J15" s="4">
        <v>0</v>
      </c>
      <c r="K15" s="4">
        <v>1</v>
      </c>
      <c r="L15" s="4">
        <v>1</v>
      </c>
      <c r="M15" s="4">
        <v>1</v>
      </c>
      <c r="N15" s="4">
        <v>1</v>
      </c>
      <c r="O15" s="4">
        <v>1</v>
      </c>
      <c r="P15" s="4">
        <v>1</v>
      </c>
      <c r="Q15" s="4">
        <v>1</v>
      </c>
      <c r="R15" s="4">
        <v>0</v>
      </c>
      <c r="S15" s="4">
        <v>1</v>
      </c>
      <c r="T15" s="4">
        <v>0</v>
      </c>
      <c r="U15" s="4">
        <v>0</v>
      </c>
      <c r="V15" s="4">
        <v>0</v>
      </c>
      <c r="W15" s="4">
        <v>0</v>
      </c>
      <c r="X15" s="4">
        <v>0</v>
      </c>
      <c r="Y15" s="4">
        <v>0</v>
      </c>
      <c r="Z15" s="4">
        <v>0</v>
      </c>
    </row>
    <row r="16" spans="1:26" x14ac:dyDescent="0.25">
      <c r="A16" s="1" t="s">
        <v>50</v>
      </c>
      <c r="B16" s="3" t="s">
        <v>86</v>
      </c>
      <c r="C16" s="1" t="s">
        <v>57</v>
      </c>
      <c r="D16" s="1" t="s">
        <v>9</v>
      </c>
      <c r="E16" s="4">
        <v>0</v>
      </c>
      <c r="F16" s="4">
        <v>1</v>
      </c>
      <c r="G16" s="4">
        <v>1</v>
      </c>
      <c r="H16" s="4">
        <v>1</v>
      </c>
      <c r="I16" s="4">
        <v>0</v>
      </c>
      <c r="J16" s="4">
        <v>0</v>
      </c>
      <c r="K16" s="4">
        <v>1</v>
      </c>
      <c r="L16" s="4">
        <v>1</v>
      </c>
      <c r="M16" s="4">
        <v>1</v>
      </c>
      <c r="N16" s="4">
        <v>0</v>
      </c>
      <c r="O16" s="4">
        <v>0</v>
      </c>
      <c r="P16" s="4">
        <v>0</v>
      </c>
      <c r="Q16" s="4">
        <v>1</v>
      </c>
      <c r="R16" s="4">
        <v>0</v>
      </c>
      <c r="S16" s="4">
        <v>1</v>
      </c>
      <c r="T16" s="4">
        <v>1</v>
      </c>
      <c r="U16" s="4">
        <v>0</v>
      </c>
      <c r="V16" s="4">
        <v>0</v>
      </c>
      <c r="W16" s="4">
        <v>0</v>
      </c>
      <c r="X16" s="4">
        <v>0</v>
      </c>
      <c r="Y16" s="4">
        <v>0</v>
      </c>
      <c r="Z16" s="4">
        <v>0</v>
      </c>
    </row>
    <row r="17" spans="1:26" x14ac:dyDescent="0.25">
      <c r="A17" s="1" t="s">
        <v>40</v>
      </c>
      <c r="B17" s="3" t="s">
        <v>87</v>
      </c>
      <c r="C17" s="1" t="s">
        <v>57</v>
      </c>
      <c r="D17" s="1" t="s">
        <v>9</v>
      </c>
      <c r="E17" s="4">
        <v>0</v>
      </c>
      <c r="F17" s="4">
        <v>1</v>
      </c>
      <c r="G17" s="4">
        <v>1</v>
      </c>
      <c r="H17" s="4">
        <v>0</v>
      </c>
      <c r="I17" s="4">
        <v>0</v>
      </c>
      <c r="J17" s="4">
        <v>0</v>
      </c>
      <c r="K17" s="4">
        <v>0</v>
      </c>
      <c r="L17" s="4">
        <v>0</v>
      </c>
      <c r="M17" s="4">
        <v>0</v>
      </c>
      <c r="N17" s="4">
        <v>0</v>
      </c>
      <c r="O17" s="4">
        <v>0</v>
      </c>
      <c r="P17" s="4">
        <v>0</v>
      </c>
      <c r="Q17" s="4">
        <v>1</v>
      </c>
      <c r="R17" s="4">
        <v>0</v>
      </c>
      <c r="S17" s="4">
        <v>0</v>
      </c>
      <c r="T17" s="4">
        <v>0</v>
      </c>
      <c r="U17" s="4">
        <v>0</v>
      </c>
      <c r="V17" s="4">
        <v>0</v>
      </c>
      <c r="W17" s="4">
        <v>0</v>
      </c>
      <c r="X17" s="4">
        <v>0</v>
      </c>
      <c r="Y17" s="4">
        <v>0</v>
      </c>
      <c r="Z17" s="4">
        <v>0</v>
      </c>
    </row>
    <row r="18" spans="1:26" x14ac:dyDescent="0.25">
      <c r="A18" s="1" t="s">
        <v>63</v>
      </c>
      <c r="B18" s="3" t="s">
        <v>88</v>
      </c>
      <c r="C18" s="1" t="s">
        <v>57</v>
      </c>
      <c r="D18" s="1" t="s">
        <v>9</v>
      </c>
      <c r="E18" s="4">
        <v>0</v>
      </c>
      <c r="F18" s="4">
        <v>1</v>
      </c>
      <c r="G18" s="4">
        <v>1</v>
      </c>
      <c r="H18" s="4">
        <v>1</v>
      </c>
      <c r="I18" s="4">
        <v>1</v>
      </c>
      <c r="J18" s="4">
        <v>0</v>
      </c>
      <c r="K18" s="4">
        <v>1</v>
      </c>
      <c r="L18" s="4">
        <v>1</v>
      </c>
      <c r="M18" s="4">
        <v>1</v>
      </c>
      <c r="N18" s="4">
        <v>1</v>
      </c>
      <c r="O18" s="4">
        <v>1</v>
      </c>
      <c r="P18" s="4">
        <v>1</v>
      </c>
      <c r="Q18" s="4">
        <v>1</v>
      </c>
      <c r="R18" s="4">
        <v>1</v>
      </c>
      <c r="S18" s="4">
        <v>1</v>
      </c>
      <c r="T18" s="4">
        <v>0</v>
      </c>
      <c r="U18" s="4">
        <v>0</v>
      </c>
      <c r="V18" s="4">
        <v>0</v>
      </c>
      <c r="W18" s="4">
        <v>0</v>
      </c>
      <c r="X18" s="4">
        <v>0</v>
      </c>
      <c r="Y18" s="4">
        <v>0</v>
      </c>
      <c r="Z18" s="4">
        <v>0</v>
      </c>
    </row>
    <row r="19" spans="1:26" x14ac:dyDescent="0.25">
      <c r="A19" s="1" t="s">
        <v>54</v>
      </c>
      <c r="B19" s="3" t="s">
        <v>89</v>
      </c>
      <c r="C19" s="1" t="s">
        <v>57</v>
      </c>
      <c r="D19" s="1" t="s">
        <v>9</v>
      </c>
      <c r="E19" s="4">
        <v>0</v>
      </c>
      <c r="F19" s="4">
        <v>1</v>
      </c>
      <c r="G19" s="4">
        <v>1</v>
      </c>
      <c r="H19" s="4">
        <v>0</v>
      </c>
      <c r="I19" s="4">
        <v>0</v>
      </c>
      <c r="J19" s="4">
        <v>1</v>
      </c>
      <c r="K19" s="4">
        <v>1</v>
      </c>
      <c r="L19" s="4">
        <v>1</v>
      </c>
      <c r="M19" s="4">
        <v>1</v>
      </c>
      <c r="N19" s="4">
        <v>1</v>
      </c>
      <c r="O19" s="4">
        <v>1</v>
      </c>
      <c r="P19" s="4">
        <v>0</v>
      </c>
      <c r="Q19" s="4">
        <v>1</v>
      </c>
      <c r="R19" s="4">
        <v>0</v>
      </c>
      <c r="S19" s="4">
        <v>1</v>
      </c>
      <c r="T19" s="4">
        <v>1</v>
      </c>
      <c r="U19" s="4">
        <v>0</v>
      </c>
      <c r="V19" s="4">
        <v>0</v>
      </c>
      <c r="W19" s="4">
        <v>0</v>
      </c>
      <c r="X19" s="4">
        <v>0</v>
      </c>
      <c r="Y19" s="4">
        <v>0</v>
      </c>
      <c r="Z19" s="4">
        <v>0</v>
      </c>
    </row>
    <row r="20" spans="1:26" x14ac:dyDescent="0.25">
      <c r="A20" s="1" t="s">
        <v>41</v>
      </c>
      <c r="B20" s="3" t="s">
        <v>90</v>
      </c>
      <c r="C20" s="1" t="s">
        <v>57</v>
      </c>
      <c r="D20" s="1" t="s">
        <v>9</v>
      </c>
      <c r="E20" s="4">
        <v>0</v>
      </c>
      <c r="F20" s="4">
        <v>1</v>
      </c>
      <c r="G20" s="4">
        <v>1</v>
      </c>
      <c r="H20" s="4">
        <v>0</v>
      </c>
      <c r="I20" s="4">
        <v>0</v>
      </c>
      <c r="J20" s="4">
        <v>0</v>
      </c>
      <c r="K20" s="4">
        <v>0</v>
      </c>
      <c r="L20" s="4">
        <v>1</v>
      </c>
      <c r="M20" s="4">
        <v>1</v>
      </c>
      <c r="N20" s="4">
        <v>1</v>
      </c>
      <c r="O20" s="4">
        <v>1</v>
      </c>
      <c r="P20" s="4">
        <v>0</v>
      </c>
      <c r="Q20" s="4">
        <v>1</v>
      </c>
      <c r="R20" s="4">
        <v>0</v>
      </c>
      <c r="S20" s="4">
        <v>0</v>
      </c>
      <c r="T20" s="4">
        <v>0</v>
      </c>
      <c r="U20" s="4">
        <v>0</v>
      </c>
      <c r="V20" s="4">
        <v>0</v>
      </c>
      <c r="W20" s="4">
        <v>0</v>
      </c>
      <c r="X20" s="4">
        <v>0</v>
      </c>
      <c r="Y20" s="4">
        <v>0</v>
      </c>
      <c r="Z20" s="4">
        <v>0</v>
      </c>
    </row>
    <row r="21" spans="1:26" x14ac:dyDescent="0.25">
      <c r="A21" s="1" t="s">
        <v>29</v>
      </c>
      <c r="B21" s="3" t="s">
        <v>91</v>
      </c>
      <c r="C21" s="1" t="s">
        <v>21</v>
      </c>
      <c r="D21" s="1" t="s">
        <v>35</v>
      </c>
      <c r="E21" s="4">
        <v>0</v>
      </c>
      <c r="F21" s="4">
        <v>1</v>
      </c>
      <c r="G21" s="4">
        <v>0</v>
      </c>
      <c r="H21" s="4">
        <v>0</v>
      </c>
      <c r="I21" s="4">
        <v>0</v>
      </c>
      <c r="J21" s="4">
        <v>0</v>
      </c>
      <c r="K21" s="4">
        <v>0</v>
      </c>
      <c r="L21" s="4">
        <v>0</v>
      </c>
      <c r="M21" s="4">
        <v>1</v>
      </c>
      <c r="N21" s="4">
        <v>0</v>
      </c>
      <c r="O21" s="4">
        <v>0</v>
      </c>
      <c r="P21" s="4">
        <v>0</v>
      </c>
      <c r="Q21" s="4">
        <v>0</v>
      </c>
      <c r="R21" s="4">
        <v>0</v>
      </c>
      <c r="S21" s="4">
        <v>0</v>
      </c>
      <c r="T21" s="4">
        <v>0</v>
      </c>
      <c r="U21" s="4">
        <v>0</v>
      </c>
      <c r="V21" s="4">
        <v>0</v>
      </c>
      <c r="W21" s="4">
        <v>0</v>
      </c>
      <c r="X21" s="4">
        <v>0</v>
      </c>
      <c r="Y21" s="4">
        <v>0</v>
      </c>
      <c r="Z21" s="4">
        <v>0</v>
      </c>
    </row>
    <row r="22" spans="1:26" ht="30" x14ac:dyDescent="0.25">
      <c r="A22" s="1" t="s">
        <v>26</v>
      </c>
      <c r="B22" s="3" t="s">
        <v>92</v>
      </c>
      <c r="C22" s="1" t="s">
        <v>30</v>
      </c>
      <c r="D22" s="1" t="s">
        <v>9</v>
      </c>
      <c r="E22" s="4">
        <v>0</v>
      </c>
      <c r="F22" s="4">
        <v>1</v>
      </c>
      <c r="G22" s="4">
        <v>1</v>
      </c>
      <c r="H22" s="4">
        <v>0</v>
      </c>
      <c r="I22" s="4">
        <v>0</v>
      </c>
      <c r="J22" s="4">
        <v>0</v>
      </c>
      <c r="K22" s="4">
        <v>1</v>
      </c>
      <c r="L22" s="4">
        <v>1</v>
      </c>
      <c r="M22" s="4">
        <v>1</v>
      </c>
      <c r="N22" s="4">
        <v>0</v>
      </c>
      <c r="O22" s="4">
        <v>0</v>
      </c>
      <c r="P22" s="4">
        <v>0</v>
      </c>
      <c r="Q22" s="4">
        <v>1</v>
      </c>
      <c r="R22" s="4">
        <v>0</v>
      </c>
      <c r="S22" s="4">
        <v>0</v>
      </c>
      <c r="T22" s="4">
        <v>0</v>
      </c>
      <c r="U22" s="4">
        <v>0</v>
      </c>
      <c r="V22" s="4">
        <v>0</v>
      </c>
      <c r="W22" s="4">
        <v>0</v>
      </c>
      <c r="X22" s="4">
        <v>0</v>
      </c>
      <c r="Y22" s="4">
        <v>0</v>
      </c>
      <c r="Z22" s="4">
        <v>0</v>
      </c>
    </row>
    <row r="23" spans="1:26" ht="30" x14ac:dyDescent="0.25">
      <c r="A23" s="1" t="s">
        <v>10</v>
      </c>
      <c r="B23" s="3" t="s">
        <v>93</v>
      </c>
      <c r="C23" s="1" t="s">
        <v>30</v>
      </c>
      <c r="D23" s="1" t="s">
        <v>44</v>
      </c>
      <c r="E23" s="4">
        <v>0</v>
      </c>
      <c r="F23" s="4">
        <v>1</v>
      </c>
      <c r="G23" s="4">
        <v>1</v>
      </c>
      <c r="H23" s="4">
        <v>0</v>
      </c>
      <c r="I23" s="4">
        <v>0</v>
      </c>
      <c r="J23" s="4">
        <v>1</v>
      </c>
      <c r="K23" s="4">
        <v>1</v>
      </c>
      <c r="L23" s="4">
        <v>1</v>
      </c>
      <c r="M23" s="4">
        <v>0</v>
      </c>
      <c r="N23" s="4">
        <v>1</v>
      </c>
      <c r="O23" s="4">
        <v>0</v>
      </c>
      <c r="P23" s="4">
        <v>0</v>
      </c>
      <c r="Q23" s="4">
        <v>1</v>
      </c>
      <c r="R23" s="4">
        <v>0</v>
      </c>
      <c r="S23" s="4">
        <v>0</v>
      </c>
      <c r="T23" s="4">
        <v>1</v>
      </c>
      <c r="U23" s="4">
        <v>0</v>
      </c>
      <c r="V23" s="4">
        <v>0</v>
      </c>
      <c r="W23" s="4">
        <v>0</v>
      </c>
      <c r="X23" s="4">
        <v>0</v>
      </c>
      <c r="Y23" s="4">
        <v>0</v>
      </c>
      <c r="Z23" s="4">
        <v>0</v>
      </c>
    </row>
    <row r="24" spans="1:26" ht="30" x14ac:dyDescent="0.25">
      <c r="A24" s="1" t="s">
        <v>67</v>
      </c>
      <c r="B24" s="3" t="s">
        <v>94</v>
      </c>
      <c r="C24" s="1" t="s">
        <v>30</v>
      </c>
      <c r="D24" s="1" t="s">
        <v>35</v>
      </c>
      <c r="E24" s="4">
        <v>0</v>
      </c>
      <c r="F24" s="4">
        <v>1</v>
      </c>
      <c r="G24" s="4">
        <v>1</v>
      </c>
      <c r="H24" s="4">
        <v>0</v>
      </c>
      <c r="I24" s="4">
        <v>0</v>
      </c>
      <c r="J24" s="4">
        <v>0</v>
      </c>
      <c r="K24" s="4">
        <v>0</v>
      </c>
      <c r="L24" s="4">
        <v>1</v>
      </c>
      <c r="M24" s="4">
        <v>1</v>
      </c>
      <c r="N24" s="4">
        <v>1</v>
      </c>
      <c r="O24" s="4">
        <v>0</v>
      </c>
      <c r="P24" s="4">
        <v>0</v>
      </c>
      <c r="Q24" s="4">
        <v>1</v>
      </c>
      <c r="R24" s="4">
        <v>0</v>
      </c>
      <c r="S24" s="4">
        <v>1</v>
      </c>
      <c r="T24" s="4">
        <v>0</v>
      </c>
      <c r="U24" s="4">
        <v>0</v>
      </c>
      <c r="V24" s="4">
        <v>0</v>
      </c>
      <c r="W24" s="4">
        <v>0</v>
      </c>
      <c r="X24" s="4">
        <v>0</v>
      </c>
      <c r="Y24" s="4">
        <v>0</v>
      </c>
      <c r="Z24" s="4">
        <v>0</v>
      </c>
    </row>
    <row r="25" spans="1:26" ht="30" x14ac:dyDescent="0.25">
      <c r="A25" s="1" t="s">
        <v>12</v>
      </c>
      <c r="B25" s="3" t="s">
        <v>95</v>
      </c>
      <c r="C25" s="1" t="s">
        <v>30</v>
      </c>
      <c r="D25" s="1" t="s">
        <v>0</v>
      </c>
      <c r="E25" s="4">
        <v>0</v>
      </c>
      <c r="F25" s="4">
        <v>1</v>
      </c>
      <c r="G25" s="4">
        <v>0</v>
      </c>
      <c r="H25" s="4">
        <v>0</v>
      </c>
      <c r="I25" s="4">
        <v>1</v>
      </c>
      <c r="J25" s="4">
        <v>0</v>
      </c>
      <c r="K25" s="4">
        <v>0</v>
      </c>
      <c r="L25" s="4">
        <v>1</v>
      </c>
      <c r="M25" s="4">
        <v>1</v>
      </c>
      <c r="N25" s="4">
        <v>1</v>
      </c>
      <c r="O25" s="4">
        <v>0</v>
      </c>
      <c r="P25" s="4">
        <v>0</v>
      </c>
      <c r="Q25" s="4">
        <v>1</v>
      </c>
      <c r="R25" s="4">
        <v>0</v>
      </c>
      <c r="S25" s="4">
        <v>0</v>
      </c>
      <c r="T25" s="4">
        <v>0</v>
      </c>
      <c r="U25" s="4">
        <v>0</v>
      </c>
      <c r="V25" s="4">
        <v>0</v>
      </c>
      <c r="W25" s="4">
        <v>0</v>
      </c>
      <c r="X25" s="4">
        <v>0</v>
      </c>
      <c r="Y25" s="4">
        <v>0</v>
      </c>
      <c r="Z25" s="4">
        <v>0</v>
      </c>
    </row>
    <row r="26" spans="1:26" ht="30" x14ac:dyDescent="0.25">
      <c r="A26" s="1" t="s">
        <v>15</v>
      </c>
      <c r="B26" s="3" t="s">
        <v>96</v>
      </c>
      <c r="C26" s="1" t="s">
        <v>30</v>
      </c>
      <c r="D26" s="1" t="s">
        <v>44</v>
      </c>
      <c r="E26" s="4">
        <v>0</v>
      </c>
      <c r="F26" s="4">
        <v>1</v>
      </c>
      <c r="G26" s="4">
        <v>1</v>
      </c>
      <c r="H26" s="4">
        <v>0</v>
      </c>
      <c r="I26" s="4">
        <v>1</v>
      </c>
      <c r="J26" s="4">
        <v>0</v>
      </c>
      <c r="K26" s="4">
        <v>1</v>
      </c>
      <c r="L26" s="4">
        <v>1</v>
      </c>
      <c r="M26" s="4">
        <v>1</v>
      </c>
      <c r="N26" s="4">
        <v>0</v>
      </c>
      <c r="O26" s="4">
        <v>1</v>
      </c>
      <c r="P26" s="4">
        <v>0</v>
      </c>
      <c r="Q26" s="4">
        <v>1</v>
      </c>
      <c r="R26" s="4">
        <v>0</v>
      </c>
      <c r="S26" s="4">
        <v>0</v>
      </c>
      <c r="T26" s="4">
        <v>0</v>
      </c>
      <c r="U26" s="4">
        <v>0</v>
      </c>
      <c r="V26" s="4">
        <v>0</v>
      </c>
      <c r="W26" s="4">
        <v>0</v>
      </c>
      <c r="X26" s="4">
        <v>0</v>
      </c>
      <c r="Y26" s="4">
        <v>0</v>
      </c>
      <c r="Z26" s="4">
        <v>0</v>
      </c>
    </row>
    <row r="27" spans="1:26" ht="30" x14ac:dyDescent="0.25">
      <c r="A27" s="1" t="s">
        <v>28</v>
      </c>
      <c r="B27" s="3" t="s">
        <v>97</v>
      </c>
      <c r="C27" s="1" t="s">
        <v>30</v>
      </c>
      <c r="D27" s="1" t="s">
        <v>0</v>
      </c>
      <c r="E27" s="4">
        <v>0</v>
      </c>
      <c r="F27" s="4">
        <v>1</v>
      </c>
      <c r="G27" s="4">
        <v>0</v>
      </c>
      <c r="H27" s="4">
        <v>0</v>
      </c>
      <c r="I27" s="4">
        <v>0</v>
      </c>
      <c r="J27" s="4">
        <v>0</v>
      </c>
      <c r="K27" s="4">
        <v>0</v>
      </c>
      <c r="L27" s="4">
        <v>0</v>
      </c>
      <c r="M27" s="4">
        <v>0</v>
      </c>
      <c r="N27" s="4">
        <v>0</v>
      </c>
      <c r="O27" s="4">
        <v>0</v>
      </c>
      <c r="P27" s="4">
        <v>0</v>
      </c>
      <c r="Q27" s="4">
        <v>1</v>
      </c>
      <c r="R27" s="4">
        <v>0</v>
      </c>
      <c r="S27" s="4">
        <v>1</v>
      </c>
      <c r="T27" s="4">
        <v>0</v>
      </c>
      <c r="U27" s="4">
        <v>0</v>
      </c>
      <c r="V27" s="4">
        <v>0</v>
      </c>
      <c r="W27" s="4">
        <v>0</v>
      </c>
      <c r="X27" s="4">
        <v>0</v>
      </c>
      <c r="Y27" s="4">
        <v>0</v>
      </c>
      <c r="Z27" s="4">
        <v>0</v>
      </c>
    </row>
    <row r="28" spans="1:26" ht="30" x14ac:dyDescent="0.25">
      <c r="A28" s="1" t="s">
        <v>25</v>
      </c>
      <c r="B28" s="3" t="s">
        <v>98</v>
      </c>
      <c r="C28" s="1" t="s">
        <v>30</v>
      </c>
      <c r="D28" s="1" t="s">
        <v>35</v>
      </c>
      <c r="E28" s="4">
        <v>0</v>
      </c>
      <c r="F28" s="4">
        <v>1</v>
      </c>
      <c r="G28" s="4">
        <v>0</v>
      </c>
      <c r="H28" s="4">
        <v>0</v>
      </c>
      <c r="I28" s="4">
        <v>0</v>
      </c>
      <c r="J28" s="4">
        <v>0</v>
      </c>
      <c r="K28" s="4">
        <v>0</v>
      </c>
      <c r="L28" s="4">
        <v>0</v>
      </c>
      <c r="M28" s="4">
        <v>1</v>
      </c>
      <c r="N28" s="4">
        <v>1</v>
      </c>
      <c r="O28" s="4">
        <v>0</v>
      </c>
      <c r="P28" s="4">
        <v>0</v>
      </c>
      <c r="Q28" s="4">
        <v>0</v>
      </c>
      <c r="R28" s="4">
        <v>0</v>
      </c>
      <c r="S28" s="4">
        <v>1</v>
      </c>
      <c r="T28" s="4">
        <v>0</v>
      </c>
      <c r="U28" s="4">
        <v>0</v>
      </c>
      <c r="V28" s="4">
        <v>0</v>
      </c>
      <c r="W28" s="4">
        <v>0</v>
      </c>
      <c r="X28" s="4">
        <v>0</v>
      </c>
      <c r="Y28" s="4">
        <v>0</v>
      </c>
      <c r="Z28" s="4">
        <v>0</v>
      </c>
    </row>
    <row r="29" spans="1:26" ht="30" x14ac:dyDescent="0.25">
      <c r="A29" s="1" t="s">
        <v>6</v>
      </c>
      <c r="B29" s="3" t="s">
        <v>99</v>
      </c>
      <c r="C29" s="1" t="s">
        <v>30</v>
      </c>
      <c r="D29" s="1" t="s">
        <v>44</v>
      </c>
      <c r="E29" s="4">
        <v>0</v>
      </c>
      <c r="F29" s="4">
        <v>1</v>
      </c>
      <c r="G29" s="4">
        <v>0</v>
      </c>
      <c r="H29" s="4">
        <v>0</v>
      </c>
      <c r="I29" s="4">
        <v>0</v>
      </c>
      <c r="J29" s="4">
        <v>1</v>
      </c>
      <c r="K29" s="4">
        <v>0</v>
      </c>
      <c r="L29" s="4">
        <v>0</v>
      </c>
      <c r="M29" s="4">
        <v>0</v>
      </c>
      <c r="N29" s="4">
        <v>0</v>
      </c>
      <c r="O29" s="4">
        <v>1</v>
      </c>
      <c r="P29" s="4">
        <v>0</v>
      </c>
      <c r="Q29" s="4">
        <v>0</v>
      </c>
      <c r="R29" s="4">
        <v>0</v>
      </c>
      <c r="S29" s="4">
        <v>0</v>
      </c>
      <c r="T29" s="4">
        <v>1</v>
      </c>
      <c r="U29" s="4">
        <v>0</v>
      </c>
      <c r="V29" s="4">
        <v>0</v>
      </c>
      <c r="W29" s="4">
        <v>0</v>
      </c>
      <c r="X29" s="4">
        <v>0</v>
      </c>
      <c r="Y29" s="4">
        <v>0</v>
      </c>
      <c r="Z29" s="4">
        <v>0</v>
      </c>
    </row>
    <row r="30" spans="1:26" ht="30" x14ac:dyDescent="0.25">
      <c r="A30" s="1" t="s">
        <v>42</v>
      </c>
      <c r="B30" s="3" t="s">
        <v>100</v>
      </c>
      <c r="C30" s="1" t="s">
        <v>30</v>
      </c>
      <c r="D30" s="1" t="s">
        <v>13</v>
      </c>
      <c r="E30" s="4">
        <v>0</v>
      </c>
      <c r="F30" s="4">
        <v>1</v>
      </c>
      <c r="G30" s="4">
        <v>0</v>
      </c>
      <c r="H30" s="4">
        <v>0</v>
      </c>
      <c r="I30" s="4">
        <v>1</v>
      </c>
      <c r="J30" s="4">
        <v>0</v>
      </c>
      <c r="K30" s="4">
        <v>0</v>
      </c>
      <c r="L30" s="4">
        <v>0</v>
      </c>
      <c r="M30" s="4">
        <v>0</v>
      </c>
      <c r="N30" s="4">
        <v>0</v>
      </c>
      <c r="O30" s="4">
        <v>1</v>
      </c>
      <c r="P30" s="4">
        <v>0</v>
      </c>
      <c r="Q30" s="4">
        <v>1</v>
      </c>
      <c r="R30" s="4">
        <v>0</v>
      </c>
      <c r="S30" s="4">
        <v>1</v>
      </c>
      <c r="T30" s="4">
        <v>0</v>
      </c>
      <c r="U30" s="4">
        <v>0</v>
      </c>
      <c r="V30" s="4">
        <v>0</v>
      </c>
      <c r="W30" s="4">
        <v>0</v>
      </c>
      <c r="X30" s="4">
        <v>0</v>
      </c>
      <c r="Y30" s="4">
        <v>0</v>
      </c>
      <c r="Z30" s="4">
        <v>0</v>
      </c>
    </row>
    <row r="31" spans="1:26" ht="30" x14ac:dyDescent="0.25">
      <c r="A31" s="1" t="s">
        <v>19</v>
      </c>
      <c r="B31" s="3" t="s">
        <v>101</v>
      </c>
      <c r="C31" s="1" t="s">
        <v>30</v>
      </c>
      <c r="D31" s="1" t="s">
        <v>44</v>
      </c>
      <c r="E31" s="4">
        <v>0</v>
      </c>
      <c r="F31" s="4">
        <v>1</v>
      </c>
      <c r="G31" s="4">
        <v>0</v>
      </c>
      <c r="H31" s="4">
        <v>0</v>
      </c>
      <c r="I31" s="4">
        <v>0</v>
      </c>
      <c r="J31" s="4">
        <v>1</v>
      </c>
      <c r="K31" s="4">
        <v>0</v>
      </c>
      <c r="L31" s="4">
        <v>0</v>
      </c>
      <c r="M31" s="4">
        <v>0</v>
      </c>
      <c r="N31" s="4">
        <v>0</v>
      </c>
      <c r="O31" s="4">
        <v>1</v>
      </c>
      <c r="P31" s="4">
        <v>0</v>
      </c>
      <c r="Q31" s="4">
        <v>0</v>
      </c>
      <c r="R31" s="4">
        <v>0</v>
      </c>
      <c r="S31" s="4">
        <v>1</v>
      </c>
      <c r="T31" s="4">
        <v>0</v>
      </c>
      <c r="U31" s="4">
        <v>0</v>
      </c>
      <c r="V31" s="4">
        <v>0</v>
      </c>
      <c r="W31" s="4">
        <v>0</v>
      </c>
      <c r="X31" s="4">
        <v>0</v>
      </c>
      <c r="Y31" s="4">
        <v>0</v>
      </c>
      <c r="Z31" s="4">
        <v>0</v>
      </c>
    </row>
    <row r="32" spans="1:26" ht="30" x14ac:dyDescent="0.25">
      <c r="A32" s="1" t="s">
        <v>66</v>
      </c>
      <c r="B32" s="3" t="s">
        <v>102</v>
      </c>
      <c r="C32" s="1" t="s">
        <v>30</v>
      </c>
      <c r="D32" s="1" t="s">
        <v>44</v>
      </c>
      <c r="E32" s="4">
        <v>0</v>
      </c>
      <c r="F32" s="4">
        <v>1</v>
      </c>
      <c r="G32" s="4">
        <v>1</v>
      </c>
      <c r="H32" s="4">
        <v>0</v>
      </c>
      <c r="I32" s="4">
        <v>0</v>
      </c>
      <c r="J32" s="4">
        <v>1</v>
      </c>
      <c r="K32" s="4">
        <v>1</v>
      </c>
      <c r="L32" s="4">
        <v>1</v>
      </c>
      <c r="M32" s="4">
        <v>0</v>
      </c>
      <c r="N32" s="4">
        <v>1</v>
      </c>
      <c r="O32" s="4">
        <v>1</v>
      </c>
      <c r="P32" s="4">
        <v>0</v>
      </c>
      <c r="Q32" s="4">
        <v>1</v>
      </c>
      <c r="R32" s="4">
        <v>0</v>
      </c>
      <c r="S32" s="4">
        <v>1</v>
      </c>
      <c r="T32" s="4">
        <v>0</v>
      </c>
      <c r="U32" s="4">
        <v>0</v>
      </c>
      <c r="V32" s="4">
        <v>0</v>
      </c>
      <c r="W32" s="4">
        <v>0</v>
      </c>
      <c r="X32" s="4">
        <v>0</v>
      </c>
      <c r="Y32" s="4">
        <v>0</v>
      </c>
      <c r="Z32" s="4">
        <v>0</v>
      </c>
    </row>
    <row r="33" spans="1:26" ht="30" x14ac:dyDescent="0.25">
      <c r="A33" s="1" t="s">
        <v>17</v>
      </c>
      <c r="B33" s="3" t="s">
        <v>103</v>
      </c>
      <c r="C33" s="1" t="s">
        <v>30</v>
      </c>
      <c r="D33" s="1" t="s">
        <v>9</v>
      </c>
      <c r="E33" s="4">
        <v>0</v>
      </c>
      <c r="F33" s="4">
        <v>1</v>
      </c>
      <c r="G33" s="4">
        <v>1</v>
      </c>
      <c r="H33" s="4">
        <v>0</v>
      </c>
      <c r="I33" s="4">
        <v>0</v>
      </c>
      <c r="J33" s="4">
        <v>0</v>
      </c>
      <c r="K33" s="4">
        <v>0</v>
      </c>
      <c r="L33" s="4">
        <v>1</v>
      </c>
      <c r="M33" s="4">
        <v>1</v>
      </c>
      <c r="N33" s="4">
        <v>1</v>
      </c>
      <c r="O33" s="4">
        <v>0</v>
      </c>
      <c r="P33" s="4">
        <v>0</v>
      </c>
      <c r="Q33" s="4">
        <v>1</v>
      </c>
      <c r="R33" s="4">
        <v>0</v>
      </c>
      <c r="S33" s="4">
        <v>0</v>
      </c>
      <c r="T33" s="4">
        <v>1</v>
      </c>
      <c r="U33" s="4">
        <v>0</v>
      </c>
      <c r="V33" s="4">
        <v>0</v>
      </c>
      <c r="W33" s="4">
        <v>0</v>
      </c>
      <c r="X33" s="4">
        <v>0</v>
      </c>
      <c r="Y33" s="4">
        <v>0</v>
      </c>
      <c r="Z33" s="4">
        <v>0</v>
      </c>
    </row>
    <row r="34" spans="1:26" ht="30" x14ac:dyDescent="0.25">
      <c r="A34" s="1" t="s">
        <v>24</v>
      </c>
      <c r="B34" s="3" t="s">
        <v>104</v>
      </c>
      <c r="C34" s="1" t="s">
        <v>30</v>
      </c>
      <c r="D34" s="1" t="s">
        <v>13</v>
      </c>
      <c r="E34" s="4">
        <v>0</v>
      </c>
      <c r="F34" s="4">
        <v>1</v>
      </c>
      <c r="G34" s="4">
        <v>0</v>
      </c>
      <c r="H34" s="4">
        <v>0</v>
      </c>
      <c r="I34" s="4">
        <v>0</v>
      </c>
      <c r="J34" s="4">
        <v>0</v>
      </c>
      <c r="K34" s="4">
        <v>0</v>
      </c>
      <c r="L34" s="4">
        <v>0</v>
      </c>
      <c r="M34" s="4">
        <v>0</v>
      </c>
      <c r="N34" s="4">
        <v>0</v>
      </c>
      <c r="O34" s="4">
        <v>0</v>
      </c>
      <c r="P34" s="4">
        <v>0</v>
      </c>
      <c r="Q34" s="4">
        <v>0</v>
      </c>
      <c r="R34" s="4">
        <v>0</v>
      </c>
      <c r="S34" s="4">
        <v>0</v>
      </c>
      <c r="T34" s="4">
        <v>0</v>
      </c>
      <c r="U34" s="4">
        <v>0</v>
      </c>
      <c r="V34" s="4">
        <v>0</v>
      </c>
      <c r="W34" s="4">
        <v>0</v>
      </c>
      <c r="X34" s="4">
        <v>0</v>
      </c>
      <c r="Y34" s="4">
        <v>0</v>
      </c>
      <c r="Z34" s="4">
        <v>0</v>
      </c>
    </row>
    <row r="35" spans="1:26" ht="30" x14ac:dyDescent="0.25">
      <c r="A35" s="1" t="s">
        <v>51</v>
      </c>
      <c r="B35" s="3" t="s">
        <v>105</v>
      </c>
      <c r="C35" s="1" t="s">
        <v>30</v>
      </c>
      <c r="D35" s="1" t="s">
        <v>9</v>
      </c>
      <c r="E35" s="4">
        <v>0</v>
      </c>
      <c r="F35" s="4">
        <v>1</v>
      </c>
      <c r="G35" s="4">
        <v>0</v>
      </c>
      <c r="H35" s="4">
        <v>0</v>
      </c>
      <c r="I35" s="4">
        <v>0</v>
      </c>
      <c r="J35" s="4">
        <v>0</v>
      </c>
      <c r="K35" s="4">
        <v>0</v>
      </c>
      <c r="L35" s="4">
        <v>0</v>
      </c>
      <c r="M35" s="4">
        <v>0</v>
      </c>
      <c r="N35" s="4">
        <v>0</v>
      </c>
      <c r="O35" s="4">
        <v>1</v>
      </c>
      <c r="P35" s="4">
        <v>0</v>
      </c>
      <c r="Q35" s="4">
        <v>1</v>
      </c>
      <c r="R35" s="4">
        <v>0</v>
      </c>
      <c r="S35" s="4">
        <v>0</v>
      </c>
      <c r="T35" s="4">
        <v>0</v>
      </c>
      <c r="U35" s="4">
        <v>0</v>
      </c>
      <c r="V35" s="4">
        <v>0</v>
      </c>
      <c r="W35" s="4">
        <v>0</v>
      </c>
      <c r="X35" s="4">
        <v>0</v>
      </c>
      <c r="Y35" s="4">
        <v>0</v>
      </c>
      <c r="Z35" s="4">
        <v>0</v>
      </c>
    </row>
    <row r="36" spans="1:26" ht="30" x14ac:dyDescent="0.25">
      <c r="A36" s="1" t="s">
        <v>53</v>
      </c>
      <c r="B36" s="3" t="s">
        <v>106</v>
      </c>
      <c r="C36" s="1" t="s">
        <v>30</v>
      </c>
      <c r="D36" s="1" t="s">
        <v>9</v>
      </c>
      <c r="E36" s="4">
        <v>0</v>
      </c>
      <c r="F36" s="4">
        <v>1</v>
      </c>
      <c r="G36" s="4">
        <v>0</v>
      </c>
      <c r="H36" s="4">
        <v>0</v>
      </c>
      <c r="I36" s="4">
        <v>1</v>
      </c>
      <c r="J36" s="4">
        <v>0</v>
      </c>
      <c r="K36" s="4">
        <v>0</v>
      </c>
      <c r="L36" s="4">
        <v>0</v>
      </c>
      <c r="M36" s="4">
        <v>0</v>
      </c>
      <c r="N36" s="4">
        <v>1</v>
      </c>
      <c r="O36" s="4">
        <v>0</v>
      </c>
      <c r="P36" s="4">
        <v>0</v>
      </c>
      <c r="Q36" s="4">
        <v>1</v>
      </c>
      <c r="R36" s="4">
        <v>0</v>
      </c>
      <c r="S36" s="4">
        <v>1</v>
      </c>
      <c r="T36" s="4">
        <v>0</v>
      </c>
      <c r="U36" s="4">
        <v>0</v>
      </c>
      <c r="V36" s="4">
        <v>0</v>
      </c>
      <c r="W36" s="4">
        <v>0</v>
      </c>
      <c r="X36" s="4">
        <v>0</v>
      </c>
      <c r="Y36" s="4">
        <v>0</v>
      </c>
      <c r="Z36" s="4">
        <v>0</v>
      </c>
    </row>
    <row r="37" spans="1:26" ht="30" x14ac:dyDescent="0.25">
      <c r="A37" s="1" t="s">
        <v>1</v>
      </c>
      <c r="B37" s="3" t="s">
        <v>107</v>
      </c>
      <c r="C37" s="1" t="s">
        <v>30</v>
      </c>
      <c r="D37" s="1" t="s">
        <v>44</v>
      </c>
      <c r="E37" s="4">
        <v>0</v>
      </c>
      <c r="F37" s="4">
        <v>1</v>
      </c>
      <c r="G37" s="4">
        <v>1</v>
      </c>
      <c r="H37" s="4">
        <v>0</v>
      </c>
      <c r="I37" s="4">
        <v>1</v>
      </c>
      <c r="J37" s="4">
        <v>0</v>
      </c>
      <c r="K37" s="4">
        <v>1</v>
      </c>
      <c r="L37" s="4">
        <v>1</v>
      </c>
      <c r="M37" s="4">
        <v>1</v>
      </c>
      <c r="N37" s="4">
        <v>1</v>
      </c>
      <c r="O37" s="4">
        <v>0</v>
      </c>
      <c r="P37" s="4">
        <v>0</v>
      </c>
      <c r="Q37" s="4">
        <v>1</v>
      </c>
      <c r="R37" s="4">
        <v>0</v>
      </c>
      <c r="S37" s="4">
        <v>1</v>
      </c>
      <c r="T37" s="4">
        <v>0</v>
      </c>
      <c r="U37" s="4">
        <v>0</v>
      </c>
      <c r="V37" s="4">
        <v>0</v>
      </c>
      <c r="W37" s="4">
        <v>0</v>
      </c>
      <c r="X37" s="4">
        <v>0</v>
      </c>
      <c r="Y37" s="4">
        <v>0</v>
      </c>
      <c r="Z37" s="4">
        <v>0</v>
      </c>
    </row>
    <row r="38" spans="1:26" ht="30" x14ac:dyDescent="0.25">
      <c r="A38" s="1" t="s">
        <v>4</v>
      </c>
      <c r="B38" s="3" t="s">
        <v>108</v>
      </c>
      <c r="C38" s="1" t="s">
        <v>30</v>
      </c>
      <c r="D38" s="1" t="s">
        <v>32</v>
      </c>
      <c r="E38" s="4">
        <v>0</v>
      </c>
      <c r="F38" s="4">
        <v>1</v>
      </c>
      <c r="G38" s="4">
        <v>1</v>
      </c>
      <c r="H38" s="4">
        <v>0</v>
      </c>
      <c r="I38" s="4">
        <v>0</v>
      </c>
      <c r="J38" s="4">
        <v>0</v>
      </c>
      <c r="K38" s="4">
        <v>0</v>
      </c>
      <c r="L38" s="4">
        <v>0</v>
      </c>
      <c r="M38" s="4">
        <v>1</v>
      </c>
      <c r="N38" s="4">
        <v>0</v>
      </c>
      <c r="O38" s="4">
        <v>0</v>
      </c>
      <c r="P38" s="4">
        <v>0</v>
      </c>
      <c r="Q38" s="4">
        <v>1</v>
      </c>
      <c r="R38" s="4">
        <v>0</v>
      </c>
      <c r="S38" s="4">
        <v>1</v>
      </c>
      <c r="T38" s="4">
        <v>0</v>
      </c>
      <c r="U38" s="4">
        <v>0</v>
      </c>
      <c r="V38" s="4">
        <v>0</v>
      </c>
      <c r="W38" s="4">
        <v>0</v>
      </c>
      <c r="X38" s="4">
        <v>0</v>
      </c>
      <c r="Y38" s="4">
        <v>0</v>
      </c>
      <c r="Z38" s="4">
        <v>0</v>
      </c>
    </row>
    <row r="39" spans="1:26" ht="30" x14ac:dyDescent="0.25">
      <c r="A39" s="1" t="s">
        <v>7</v>
      </c>
      <c r="B39" s="3" t="s">
        <v>109</v>
      </c>
      <c r="C39" s="1" t="s">
        <v>30</v>
      </c>
      <c r="D39" s="1" t="s">
        <v>44</v>
      </c>
      <c r="E39" s="4">
        <v>0</v>
      </c>
      <c r="F39" s="4">
        <v>1</v>
      </c>
      <c r="G39" s="4">
        <v>1</v>
      </c>
      <c r="H39" s="4">
        <v>0</v>
      </c>
      <c r="I39" s="4">
        <v>0</v>
      </c>
      <c r="J39" s="4">
        <v>1</v>
      </c>
      <c r="K39" s="4">
        <v>0</v>
      </c>
      <c r="L39" s="4">
        <v>1</v>
      </c>
      <c r="M39" s="4">
        <v>0</v>
      </c>
      <c r="N39" s="4">
        <v>1</v>
      </c>
      <c r="O39" s="4">
        <v>0</v>
      </c>
      <c r="P39" s="4">
        <v>0</v>
      </c>
      <c r="Q39" s="4">
        <v>1</v>
      </c>
      <c r="R39" s="4">
        <v>0</v>
      </c>
      <c r="S39" s="4">
        <v>0</v>
      </c>
      <c r="T39" s="4">
        <v>0</v>
      </c>
      <c r="U39" s="4">
        <v>0</v>
      </c>
      <c r="V39" s="4">
        <v>0</v>
      </c>
      <c r="W39" s="4">
        <v>0</v>
      </c>
      <c r="X39" s="4">
        <v>0</v>
      </c>
      <c r="Y39" s="4">
        <v>0</v>
      </c>
      <c r="Z39" s="4">
        <v>0</v>
      </c>
    </row>
    <row r="40" spans="1:26" ht="30" x14ac:dyDescent="0.25">
      <c r="A40" s="1" t="s">
        <v>20</v>
      </c>
      <c r="B40" s="3" t="s">
        <v>110</v>
      </c>
      <c r="C40" s="1" t="s">
        <v>30</v>
      </c>
      <c r="D40" s="1" t="s">
        <v>32</v>
      </c>
      <c r="E40" s="4">
        <v>0</v>
      </c>
      <c r="F40" s="4">
        <v>0</v>
      </c>
      <c r="G40" s="4">
        <v>0</v>
      </c>
      <c r="H40" s="4">
        <v>0</v>
      </c>
      <c r="I40" s="4">
        <v>0</v>
      </c>
      <c r="J40" s="4">
        <v>0</v>
      </c>
      <c r="K40" s="4">
        <v>0</v>
      </c>
      <c r="L40" s="4">
        <v>0</v>
      </c>
      <c r="M40" s="4">
        <v>0</v>
      </c>
      <c r="N40" s="4">
        <v>0</v>
      </c>
      <c r="O40" s="4">
        <v>0</v>
      </c>
      <c r="P40" s="4">
        <v>0</v>
      </c>
      <c r="Q40" s="4">
        <v>0</v>
      </c>
      <c r="R40" s="4">
        <v>0</v>
      </c>
      <c r="S40" s="4">
        <v>0</v>
      </c>
      <c r="T40" s="4">
        <v>0</v>
      </c>
      <c r="U40" s="4">
        <v>1</v>
      </c>
      <c r="V40" s="4">
        <v>0</v>
      </c>
      <c r="W40" s="4">
        <v>0</v>
      </c>
      <c r="X40" s="4">
        <v>1</v>
      </c>
      <c r="Y40" s="4">
        <v>0</v>
      </c>
      <c r="Z40" s="4">
        <v>1</v>
      </c>
    </row>
    <row r="41" spans="1:26" ht="30" x14ac:dyDescent="0.25">
      <c r="A41" s="1" t="s">
        <v>38</v>
      </c>
      <c r="B41" s="3" t="s">
        <v>111</v>
      </c>
      <c r="C41" s="1" t="s">
        <v>30</v>
      </c>
      <c r="D41" s="1" t="s">
        <v>0</v>
      </c>
      <c r="E41" s="4">
        <v>0</v>
      </c>
      <c r="F41" s="4">
        <v>1</v>
      </c>
      <c r="G41" s="4">
        <v>0</v>
      </c>
      <c r="H41" s="4">
        <v>0</v>
      </c>
      <c r="I41" s="4">
        <v>1</v>
      </c>
      <c r="J41" s="4">
        <v>0</v>
      </c>
      <c r="K41" s="4">
        <v>0</v>
      </c>
      <c r="L41" s="4">
        <v>1</v>
      </c>
      <c r="M41" s="4">
        <v>0</v>
      </c>
      <c r="N41" s="4">
        <v>1</v>
      </c>
      <c r="O41" s="4">
        <v>0</v>
      </c>
      <c r="P41" s="4">
        <v>0</v>
      </c>
      <c r="Q41" s="4">
        <v>1</v>
      </c>
      <c r="R41" s="4">
        <v>0</v>
      </c>
      <c r="S41" s="4">
        <v>0</v>
      </c>
      <c r="T41" s="4">
        <v>0</v>
      </c>
      <c r="U41" s="4">
        <v>0</v>
      </c>
      <c r="V41" s="4">
        <v>0</v>
      </c>
      <c r="W41" s="4">
        <v>0</v>
      </c>
      <c r="X41" s="4">
        <v>0</v>
      </c>
      <c r="Y41" s="4">
        <v>0</v>
      </c>
      <c r="Z41" s="4">
        <v>0</v>
      </c>
    </row>
    <row r="42" spans="1:26" ht="30" x14ac:dyDescent="0.25">
      <c r="A42" s="1" t="s">
        <v>18</v>
      </c>
      <c r="B42" s="3" t="s">
        <v>112</v>
      </c>
      <c r="C42" s="1" t="s">
        <v>30</v>
      </c>
      <c r="D42" s="1" t="s">
        <v>0</v>
      </c>
      <c r="E42" s="4">
        <v>0</v>
      </c>
      <c r="F42" s="4">
        <v>0</v>
      </c>
      <c r="G42" s="4">
        <v>0</v>
      </c>
      <c r="H42" s="4">
        <v>0</v>
      </c>
      <c r="I42" s="4">
        <v>0</v>
      </c>
      <c r="J42" s="4">
        <v>0</v>
      </c>
      <c r="K42" s="4">
        <v>0</v>
      </c>
      <c r="L42" s="4">
        <v>0</v>
      </c>
      <c r="M42" s="4">
        <v>0</v>
      </c>
      <c r="N42" s="4">
        <v>0</v>
      </c>
      <c r="O42" s="4">
        <v>0</v>
      </c>
      <c r="P42" s="4">
        <v>0</v>
      </c>
      <c r="Q42" s="4">
        <v>0</v>
      </c>
      <c r="R42" s="4">
        <v>0</v>
      </c>
      <c r="S42" s="4">
        <v>0</v>
      </c>
      <c r="T42" s="4">
        <v>0</v>
      </c>
      <c r="U42" s="4">
        <v>1</v>
      </c>
      <c r="V42" s="4">
        <v>0</v>
      </c>
      <c r="W42" s="4">
        <v>0</v>
      </c>
      <c r="X42" s="4">
        <v>0</v>
      </c>
      <c r="Y42" s="4">
        <v>1</v>
      </c>
      <c r="Z42" s="4">
        <v>0</v>
      </c>
    </row>
    <row r="43" spans="1:26" ht="30" x14ac:dyDescent="0.25">
      <c r="A43" s="1" t="s">
        <v>68</v>
      </c>
      <c r="B43" s="3" t="s">
        <v>113</v>
      </c>
      <c r="C43" s="1" t="s">
        <v>30</v>
      </c>
      <c r="D43" s="1" t="s">
        <v>0</v>
      </c>
      <c r="E43" s="4">
        <v>1</v>
      </c>
      <c r="F43" s="4">
        <v>0</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0</v>
      </c>
      <c r="Z43" s="4">
        <v>0</v>
      </c>
    </row>
    <row r="44" spans="1:26" ht="30" x14ac:dyDescent="0.25">
      <c r="A44" s="1" t="s">
        <v>27</v>
      </c>
      <c r="B44" s="3" t="s">
        <v>114</v>
      </c>
      <c r="C44" s="1" t="s">
        <v>30</v>
      </c>
      <c r="D44" s="1" t="s">
        <v>35</v>
      </c>
      <c r="E44" s="4">
        <v>0</v>
      </c>
      <c r="F44" s="4">
        <v>1</v>
      </c>
      <c r="G44" s="4">
        <v>1</v>
      </c>
      <c r="H44" s="4">
        <v>0</v>
      </c>
      <c r="I44" s="4">
        <v>0</v>
      </c>
      <c r="J44" s="4">
        <v>0</v>
      </c>
      <c r="K44" s="4">
        <v>0</v>
      </c>
      <c r="L44" s="4">
        <v>0</v>
      </c>
      <c r="M44" s="4">
        <v>1</v>
      </c>
      <c r="N44" s="4">
        <v>0</v>
      </c>
      <c r="O44" s="4">
        <v>1</v>
      </c>
      <c r="P44" s="4">
        <v>0</v>
      </c>
      <c r="Q44" s="4">
        <v>1</v>
      </c>
      <c r="R44" s="4">
        <v>0</v>
      </c>
      <c r="S44" s="4">
        <v>1</v>
      </c>
      <c r="T44" s="4">
        <v>0</v>
      </c>
      <c r="U44" s="4">
        <v>0</v>
      </c>
      <c r="V44" s="4">
        <v>0</v>
      </c>
      <c r="W44" s="4">
        <v>0</v>
      </c>
      <c r="X44" s="4">
        <v>0</v>
      </c>
      <c r="Y44" s="4">
        <v>0</v>
      </c>
      <c r="Z44" s="4">
        <v>0</v>
      </c>
    </row>
    <row r="45" spans="1:26" ht="30" x14ac:dyDescent="0.25">
      <c r="A45" s="1" t="s">
        <v>37</v>
      </c>
      <c r="B45" s="3" t="s">
        <v>115</v>
      </c>
      <c r="C45" s="1" t="s">
        <v>30</v>
      </c>
      <c r="D45" s="1" t="s">
        <v>9</v>
      </c>
      <c r="E45" s="4">
        <v>0</v>
      </c>
      <c r="F45" s="4">
        <v>1</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c r="Z45" s="4">
        <v>0</v>
      </c>
    </row>
    <row r="46" spans="1:26" ht="30" x14ac:dyDescent="0.25">
      <c r="A46" s="1" t="s">
        <v>60</v>
      </c>
      <c r="B46" s="3" t="s">
        <v>116</v>
      </c>
      <c r="C46" s="1" t="s">
        <v>30</v>
      </c>
      <c r="D46" s="1" t="s">
        <v>32</v>
      </c>
      <c r="E46" s="4">
        <v>0</v>
      </c>
      <c r="F46" s="4">
        <v>1</v>
      </c>
      <c r="G46" s="4">
        <v>1</v>
      </c>
      <c r="H46" s="4">
        <v>0</v>
      </c>
      <c r="I46" s="4">
        <v>1</v>
      </c>
      <c r="J46" s="4">
        <v>0</v>
      </c>
      <c r="K46" s="4">
        <v>0</v>
      </c>
      <c r="L46" s="4">
        <v>1</v>
      </c>
      <c r="M46" s="4">
        <v>1</v>
      </c>
      <c r="N46" s="4">
        <v>1</v>
      </c>
      <c r="O46" s="4">
        <v>0</v>
      </c>
      <c r="P46" s="4">
        <v>0</v>
      </c>
      <c r="Q46" s="4">
        <v>1</v>
      </c>
      <c r="R46" s="4">
        <v>0</v>
      </c>
      <c r="S46" s="4">
        <v>0</v>
      </c>
      <c r="T46" s="4">
        <v>0</v>
      </c>
      <c r="U46" s="4">
        <v>0</v>
      </c>
      <c r="V46" s="4">
        <v>0</v>
      </c>
      <c r="W46" s="4">
        <v>0</v>
      </c>
      <c r="X46" s="4">
        <v>0</v>
      </c>
      <c r="Y46" s="4">
        <v>0</v>
      </c>
      <c r="Z46" s="4">
        <v>0</v>
      </c>
    </row>
    <row r="47" spans="1:26" ht="30" x14ac:dyDescent="0.25">
      <c r="A47" s="1" t="s">
        <v>59</v>
      </c>
      <c r="B47" s="3" t="s">
        <v>117</v>
      </c>
      <c r="C47" s="1" t="s">
        <v>30</v>
      </c>
      <c r="D47" s="1" t="s">
        <v>9</v>
      </c>
      <c r="E47" s="4">
        <v>0</v>
      </c>
      <c r="F47" s="4">
        <v>1</v>
      </c>
      <c r="G47" s="4">
        <v>0</v>
      </c>
      <c r="H47" s="4">
        <v>0</v>
      </c>
      <c r="I47" s="4">
        <v>1</v>
      </c>
      <c r="J47" s="4">
        <v>0</v>
      </c>
      <c r="K47" s="4">
        <v>0</v>
      </c>
      <c r="L47" s="4">
        <v>0</v>
      </c>
      <c r="M47" s="4">
        <v>0</v>
      </c>
      <c r="N47" s="4">
        <v>0</v>
      </c>
      <c r="O47" s="4">
        <v>0</v>
      </c>
      <c r="P47" s="4">
        <v>0</v>
      </c>
      <c r="Q47" s="4">
        <v>0</v>
      </c>
      <c r="R47" s="4">
        <v>0</v>
      </c>
      <c r="S47" s="4">
        <v>0</v>
      </c>
      <c r="T47" s="4">
        <v>0</v>
      </c>
      <c r="U47" s="4">
        <v>0</v>
      </c>
      <c r="V47" s="4">
        <v>0</v>
      </c>
      <c r="W47" s="4">
        <v>0</v>
      </c>
      <c r="X47" s="4">
        <v>0</v>
      </c>
      <c r="Y47" s="4">
        <v>0</v>
      </c>
      <c r="Z47" s="4">
        <v>0</v>
      </c>
    </row>
    <row r="48" spans="1:26" ht="30" x14ac:dyDescent="0.25">
      <c r="A48" s="1" t="s">
        <v>31</v>
      </c>
      <c r="B48" s="3" t="s">
        <v>118</v>
      </c>
      <c r="C48" s="1" t="s">
        <v>30</v>
      </c>
      <c r="D48" s="1" t="s">
        <v>9</v>
      </c>
      <c r="E48" s="4">
        <v>0</v>
      </c>
      <c r="F48" s="4">
        <v>1</v>
      </c>
      <c r="G48" s="4">
        <v>1</v>
      </c>
      <c r="H48" s="4">
        <v>0</v>
      </c>
      <c r="I48" s="4">
        <v>0</v>
      </c>
      <c r="J48" s="4">
        <v>0</v>
      </c>
      <c r="K48" s="4">
        <v>0</v>
      </c>
      <c r="L48" s="4">
        <v>0</v>
      </c>
      <c r="M48" s="4">
        <v>0</v>
      </c>
      <c r="N48" s="4">
        <v>0</v>
      </c>
      <c r="O48" s="4">
        <v>0</v>
      </c>
      <c r="P48" s="4">
        <v>0</v>
      </c>
      <c r="Q48" s="4">
        <v>0</v>
      </c>
      <c r="R48" s="4">
        <v>0</v>
      </c>
      <c r="S48" s="4">
        <v>1</v>
      </c>
      <c r="T48" s="4">
        <v>0</v>
      </c>
      <c r="U48" s="4">
        <v>0</v>
      </c>
      <c r="V48" s="4">
        <v>0</v>
      </c>
      <c r="W48" s="4">
        <v>0</v>
      </c>
      <c r="X48" s="4">
        <v>0</v>
      </c>
      <c r="Y48" s="4">
        <v>0</v>
      </c>
      <c r="Z48" s="4">
        <v>0</v>
      </c>
    </row>
    <row r="49" spans="1:26" ht="30" x14ac:dyDescent="0.25">
      <c r="A49" s="1" t="s">
        <v>14</v>
      </c>
      <c r="B49" s="3" t="s">
        <v>119</v>
      </c>
      <c r="C49" s="1" t="s">
        <v>30</v>
      </c>
      <c r="D49" s="1" t="s">
        <v>44</v>
      </c>
      <c r="E49" s="4">
        <v>0</v>
      </c>
      <c r="F49" s="4">
        <v>1</v>
      </c>
      <c r="G49" s="4">
        <v>0</v>
      </c>
      <c r="H49" s="4">
        <v>0</v>
      </c>
      <c r="I49" s="4">
        <v>0</v>
      </c>
      <c r="J49" s="4">
        <v>0</v>
      </c>
      <c r="K49" s="4">
        <v>1</v>
      </c>
      <c r="L49" s="4">
        <v>0</v>
      </c>
      <c r="M49" s="4">
        <v>0</v>
      </c>
      <c r="N49" s="4">
        <v>1</v>
      </c>
      <c r="O49" s="4">
        <v>0</v>
      </c>
      <c r="P49" s="4">
        <v>0</v>
      </c>
      <c r="Q49" s="4">
        <v>1</v>
      </c>
      <c r="R49" s="4">
        <v>0</v>
      </c>
      <c r="S49" s="4">
        <v>0</v>
      </c>
      <c r="T49" s="4">
        <v>0</v>
      </c>
      <c r="U49" s="4">
        <v>0</v>
      </c>
      <c r="V49" s="4">
        <v>0</v>
      </c>
      <c r="W49" s="4">
        <v>0</v>
      </c>
      <c r="X49" s="4">
        <v>0</v>
      </c>
      <c r="Y49" s="4">
        <v>0</v>
      </c>
      <c r="Z49" s="4">
        <v>0</v>
      </c>
    </row>
    <row r="50" spans="1:26" x14ac:dyDescent="0.25">
      <c r="A50" s="1" t="s">
        <v>47</v>
      </c>
      <c r="B50" s="3" t="s">
        <v>120</v>
      </c>
      <c r="C50" s="1" t="s">
        <v>3</v>
      </c>
      <c r="D50" s="1" t="s">
        <v>0</v>
      </c>
      <c r="E50" s="4">
        <v>0</v>
      </c>
      <c r="F50" s="4">
        <v>1</v>
      </c>
      <c r="G50" s="4">
        <v>0</v>
      </c>
      <c r="H50" s="4">
        <v>0</v>
      </c>
      <c r="I50" s="4">
        <v>0</v>
      </c>
      <c r="J50" s="4">
        <v>0</v>
      </c>
      <c r="K50" s="4">
        <v>0</v>
      </c>
      <c r="L50" s="4">
        <v>0</v>
      </c>
      <c r="M50" s="4">
        <v>0</v>
      </c>
      <c r="N50" s="4">
        <v>0</v>
      </c>
      <c r="O50" s="4">
        <v>0</v>
      </c>
      <c r="P50" s="4">
        <v>0</v>
      </c>
      <c r="Q50" s="4">
        <v>1</v>
      </c>
      <c r="R50" s="4">
        <v>0</v>
      </c>
      <c r="S50" s="4">
        <v>0</v>
      </c>
      <c r="T50" s="4">
        <v>0</v>
      </c>
      <c r="U50" s="4">
        <v>1</v>
      </c>
      <c r="V50" s="4">
        <v>1</v>
      </c>
      <c r="W50" s="4">
        <v>1</v>
      </c>
      <c r="X50" s="4">
        <v>1</v>
      </c>
      <c r="Y50" s="4">
        <v>0</v>
      </c>
      <c r="Z50" s="4">
        <v>0</v>
      </c>
    </row>
    <row r="51" spans="1:26" x14ac:dyDescent="0.25">
      <c r="A51" s="1" t="s">
        <v>8</v>
      </c>
      <c r="B51" s="3" t="s">
        <v>121</v>
      </c>
      <c r="C51" s="1" t="s">
        <v>39</v>
      </c>
      <c r="D51" s="1" t="s">
        <v>44</v>
      </c>
      <c r="E51" s="4">
        <v>0</v>
      </c>
      <c r="F51" s="4">
        <v>1</v>
      </c>
      <c r="G51" s="4">
        <v>0</v>
      </c>
      <c r="H51" s="4">
        <v>0</v>
      </c>
      <c r="I51" s="4">
        <v>0</v>
      </c>
      <c r="J51" s="4">
        <v>0</v>
      </c>
      <c r="K51" s="4">
        <v>0</v>
      </c>
      <c r="L51" s="4">
        <v>1</v>
      </c>
      <c r="M51" s="4">
        <v>0</v>
      </c>
      <c r="N51" s="4">
        <v>0</v>
      </c>
      <c r="O51" s="4">
        <v>0</v>
      </c>
      <c r="P51" s="4">
        <v>0</v>
      </c>
      <c r="Q51" s="4">
        <v>0</v>
      </c>
      <c r="R51" s="4">
        <v>0</v>
      </c>
      <c r="S51" s="4">
        <v>0</v>
      </c>
      <c r="T51" s="4">
        <v>0</v>
      </c>
      <c r="U51" s="4">
        <v>0</v>
      </c>
      <c r="V51" s="4">
        <v>0</v>
      </c>
      <c r="W51" s="4">
        <v>0</v>
      </c>
      <c r="X51" s="4">
        <v>0</v>
      </c>
      <c r="Y51" s="4">
        <v>0</v>
      </c>
      <c r="Z51" s="4">
        <v>0</v>
      </c>
    </row>
    <row r="52" spans="1:26" x14ac:dyDescent="0.25">
      <c r="A52" s="1" t="s">
        <v>43</v>
      </c>
      <c r="B52" s="3" t="s">
        <v>122</v>
      </c>
      <c r="C52" s="1" t="s">
        <v>39</v>
      </c>
      <c r="D52" s="1" t="s">
        <v>32</v>
      </c>
      <c r="E52" s="4">
        <v>1</v>
      </c>
      <c r="F52" s="4">
        <v>0</v>
      </c>
      <c r="G52" s="4">
        <v>0</v>
      </c>
      <c r="H52" s="4">
        <v>0</v>
      </c>
      <c r="I52" s="4">
        <v>0</v>
      </c>
      <c r="J52" s="4">
        <v>0</v>
      </c>
      <c r="K52" s="4">
        <v>0</v>
      </c>
      <c r="L52" s="4">
        <v>0</v>
      </c>
      <c r="M52" s="4">
        <v>0</v>
      </c>
      <c r="N52" s="4">
        <v>0</v>
      </c>
      <c r="O52" s="4">
        <v>0</v>
      </c>
      <c r="P52" s="4">
        <v>0</v>
      </c>
      <c r="Q52" s="4">
        <v>0</v>
      </c>
      <c r="R52" s="4">
        <v>0</v>
      </c>
      <c r="S52" s="4">
        <v>0</v>
      </c>
      <c r="T52" s="4">
        <v>0</v>
      </c>
      <c r="U52" s="4">
        <v>0</v>
      </c>
      <c r="V52" s="4">
        <v>0</v>
      </c>
      <c r="W52" s="4">
        <v>0</v>
      </c>
      <c r="X52" s="4">
        <v>0</v>
      </c>
      <c r="Y52" s="4">
        <v>0</v>
      </c>
      <c r="Z52" s="4">
        <v>0</v>
      </c>
    </row>
    <row r="53" spans="1:26" x14ac:dyDescent="0.25">
      <c r="A53" s="1" t="s">
        <v>45</v>
      </c>
      <c r="B53" s="3" t="s">
        <v>123</v>
      </c>
      <c r="C53" s="1" t="s">
        <v>39</v>
      </c>
      <c r="D53" s="1" t="s">
        <v>35</v>
      </c>
      <c r="E53" s="4">
        <v>0</v>
      </c>
      <c r="F53" s="4">
        <v>1</v>
      </c>
      <c r="G53" s="4">
        <v>1</v>
      </c>
      <c r="H53" s="4">
        <v>0</v>
      </c>
      <c r="I53" s="4">
        <v>0</v>
      </c>
      <c r="J53" s="4">
        <v>0</v>
      </c>
      <c r="K53" s="4">
        <v>0</v>
      </c>
      <c r="L53" s="4">
        <v>0</v>
      </c>
      <c r="M53" s="4">
        <v>0</v>
      </c>
      <c r="N53" s="4">
        <v>1</v>
      </c>
      <c r="O53" s="4">
        <v>1</v>
      </c>
      <c r="P53" s="4">
        <v>0</v>
      </c>
      <c r="Q53" s="4">
        <v>1</v>
      </c>
      <c r="R53" s="4">
        <v>1</v>
      </c>
      <c r="S53" s="4">
        <v>0</v>
      </c>
      <c r="T53" s="4">
        <v>0</v>
      </c>
      <c r="U53" s="4">
        <v>0</v>
      </c>
      <c r="V53" s="4">
        <v>0</v>
      </c>
      <c r="W53" s="4">
        <v>0</v>
      </c>
      <c r="X53" s="4">
        <v>0</v>
      </c>
      <c r="Y53" s="4">
        <v>0</v>
      </c>
      <c r="Z53" s="4">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4A72C-F672-4900-8FDA-78C82288272D}">
  <dimension ref="A1:G2"/>
  <sheetViews>
    <sheetView workbookViewId="0">
      <selection activeCell="E20" sqref="E20"/>
    </sheetView>
  </sheetViews>
  <sheetFormatPr defaultRowHeight="15" x14ac:dyDescent="0.25"/>
  <cols>
    <col min="1" max="1" width="13" customWidth="1"/>
    <col min="2" max="2" width="13.7109375" customWidth="1"/>
    <col min="4" max="4" width="10.85546875" customWidth="1"/>
    <col min="5" max="5" width="32.28515625" customWidth="1"/>
    <col min="6" max="6" width="13.140625" customWidth="1"/>
  </cols>
  <sheetData>
    <row r="1" spans="1:7" x14ac:dyDescent="0.25">
      <c r="A1" t="s">
        <v>2</v>
      </c>
      <c r="B1" t="s">
        <v>65</v>
      </c>
      <c r="C1" t="s">
        <v>62</v>
      </c>
      <c r="D1" t="s">
        <v>69</v>
      </c>
      <c r="E1" t="s">
        <v>70</v>
      </c>
      <c r="F1" t="s">
        <v>71</v>
      </c>
      <c r="G1" t="s">
        <v>124</v>
      </c>
    </row>
    <row r="2" spans="1:7" x14ac:dyDescent="0.25">
      <c r="A2" t="s">
        <v>120</v>
      </c>
      <c r="B2" t="s">
        <v>3</v>
      </c>
      <c r="C2" t="s">
        <v>0</v>
      </c>
      <c r="D2">
        <v>0</v>
      </c>
      <c r="E2">
        <v>0</v>
      </c>
      <c r="F2">
        <v>1</v>
      </c>
      <c r="G2">
        <v>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BEE97-9453-44C9-BBFF-A03B2D6DBF10}">
  <dimension ref="A1:G2"/>
  <sheetViews>
    <sheetView workbookViewId="0">
      <selection activeCell="F15" sqref="F15"/>
    </sheetView>
  </sheetViews>
  <sheetFormatPr defaultRowHeight="15" x14ac:dyDescent="0.25"/>
  <cols>
    <col min="1" max="1" width="13" customWidth="1"/>
    <col min="2" max="2" width="13.7109375" customWidth="1"/>
    <col min="4" max="4" width="10.85546875" customWidth="1"/>
    <col min="5" max="5" width="32.28515625" customWidth="1"/>
    <col min="6" max="6" width="13.140625" customWidth="1"/>
  </cols>
  <sheetData>
    <row r="1" spans="1:7" x14ac:dyDescent="0.25">
      <c r="A1" t="s">
        <v>2</v>
      </c>
      <c r="B1" t="s">
        <v>65</v>
      </c>
      <c r="C1" t="s">
        <v>62</v>
      </c>
      <c r="D1" t="s">
        <v>69</v>
      </c>
      <c r="E1" t="s">
        <v>70</v>
      </c>
      <c r="F1" t="s">
        <v>71</v>
      </c>
      <c r="G1" t="s">
        <v>124</v>
      </c>
    </row>
    <row r="2" spans="1:7" x14ac:dyDescent="0.25">
      <c r="A2" t="s">
        <v>120</v>
      </c>
      <c r="B2" t="s">
        <v>3</v>
      </c>
      <c r="C2" t="s">
        <v>0</v>
      </c>
      <c r="D2">
        <v>0</v>
      </c>
      <c r="E2">
        <v>0</v>
      </c>
      <c r="F2">
        <v>1</v>
      </c>
      <c r="G2">
        <v>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6206-44D1-4462-A649-65AB134B30F9}">
  <dimension ref="A1:G2"/>
  <sheetViews>
    <sheetView workbookViewId="0">
      <selection activeCell="D13" sqref="D13"/>
    </sheetView>
  </sheetViews>
  <sheetFormatPr defaultRowHeight="15" x14ac:dyDescent="0.25"/>
  <cols>
    <col min="1" max="1" width="13" customWidth="1"/>
    <col min="2" max="2" width="13.7109375" customWidth="1"/>
    <col min="4" max="4" width="10.85546875" customWidth="1"/>
    <col min="5" max="5" width="32.28515625" customWidth="1"/>
    <col min="6" max="6" width="13.140625" customWidth="1"/>
  </cols>
  <sheetData>
    <row r="1" spans="1:7" x14ac:dyDescent="0.25">
      <c r="A1" t="s">
        <v>2</v>
      </c>
      <c r="B1" t="s">
        <v>65</v>
      </c>
      <c r="C1" t="s">
        <v>62</v>
      </c>
      <c r="D1" t="s">
        <v>69</v>
      </c>
      <c r="E1" t="s">
        <v>70</v>
      </c>
      <c r="F1" t="s">
        <v>71</v>
      </c>
      <c r="G1" t="s">
        <v>124</v>
      </c>
    </row>
    <row r="2" spans="1:7" x14ac:dyDescent="0.25">
      <c r="A2" t="s">
        <v>120</v>
      </c>
      <c r="B2" t="s">
        <v>3</v>
      </c>
      <c r="C2" t="s">
        <v>0</v>
      </c>
      <c r="D2">
        <v>0</v>
      </c>
      <c r="E2">
        <v>0</v>
      </c>
      <c r="F2">
        <v>1</v>
      </c>
      <c r="G2">
        <v>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919D6-7C33-40A3-945F-F0B683BD8A27}">
  <dimension ref="A1:G2"/>
  <sheetViews>
    <sheetView workbookViewId="0">
      <selection activeCell="E9" sqref="E9"/>
    </sheetView>
  </sheetViews>
  <sheetFormatPr defaultRowHeight="15" x14ac:dyDescent="0.25"/>
  <cols>
    <col min="1" max="1" width="13" customWidth="1"/>
    <col min="2" max="2" width="13.7109375" customWidth="1"/>
    <col min="4" max="4" width="10.85546875" customWidth="1"/>
    <col min="5" max="5" width="32.28515625" customWidth="1"/>
    <col min="6" max="6" width="13.140625" customWidth="1"/>
  </cols>
  <sheetData>
    <row r="1" spans="1:7" x14ac:dyDescent="0.25">
      <c r="A1" t="s">
        <v>2</v>
      </c>
      <c r="B1" t="s">
        <v>65</v>
      </c>
      <c r="C1" t="s">
        <v>62</v>
      </c>
      <c r="D1" t="s">
        <v>69</v>
      </c>
      <c r="E1" t="s">
        <v>70</v>
      </c>
      <c r="F1" t="s">
        <v>71</v>
      </c>
      <c r="G1" t="s">
        <v>124</v>
      </c>
    </row>
    <row r="2" spans="1:7" x14ac:dyDescent="0.25">
      <c r="A2" t="s">
        <v>120</v>
      </c>
      <c r="B2" t="s">
        <v>3</v>
      </c>
      <c r="C2" t="s">
        <v>0</v>
      </c>
      <c r="D2">
        <v>0</v>
      </c>
      <c r="E2">
        <v>0</v>
      </c>
      <c r="F2">
        <v>1</v>
      </c>
      <c r="G2">
        <v>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AD382-3A0E-4E0A-A30D-E98995768539}">
  <dimension ref="A1:K72"/>
  <sheetViews>
    <sheetView view="pageBreakPreview" zoomScale="80" zoomScaleNormal="80" zoomScaleSheetLayoutView="80" workbookViewId="0">
      <pane xSplit="1" ySplit="15" topLeftCell="B16" activePane="bottomRight" state="frozen"/>
      <selection pane="topRight" activeCell="B1" sqref="B1"/>
      <selection pane="bottomLeft" activeCell="A4" sqref="A4"/>
      <selection pane="bottomRight" activeCell="A11" sqref="A11"/>
    </sheetView>
  </sheetViews>
  <sheetFormatPr defaultColWidth="8.85546875" defaultRowHeight="12.75" x14ac:dyDescent="0.2"/>
  <cols>
    <col min="1" max="1" width="59.7109375" style="18" bestFit="1" customWidth="1"/>
    <col min="2" max="2" width="10.28515625" style="18" bestFit="1" customWidth="1"/>
    <col min="3" max="3" width="17.140625" style="18" bestFit="1" customWidth="1"/>
    <col min="4" max="4" width="11.28515625" style="18" bestFit="1" customWidth="1"/>
    <col min="5" max="5" width="13.5703125" style="18" bestFit="1" customWidth="1"/>
    <col min="6" max="9" width="8.85546875" style="18"/>
    <col min="10" max="10" width="13.85546875" style="18" customWidth="1"/>
    <col min="11" max="11" width="4.7109375" style="18" customWidth="1"/>
    <col min="12" max="16384" width="8.85546875" style="18"/>
  </cols>
  <sheetData>
    <row r="1" spans="1:11" x14ac:dyDescent="0.2">
      <c r="A1" s="77" t="s">
        <v>263</v>
      </c>
      <c r="B1" s="77"/>
      <c r="C1" s="77"/>
      <c r="D1" s="77"/>
      <c r="E1" s="77"/>
      <c r="F1" s="77"/>
      <c r="G1" s="77"/>
      <c r="H1" s="77"/>
      <c r="I1" s="69" t="s">
        <v>280</v>
      </c>
      <c r="J1" s="69"/>
    </row>
    <row r="2" spans="1:11" x14ac:dyDescent="0.2">
      <c r="A2" s="69" t="s">
        <v>264</v>
      </c>
      <c r="B2" s="69"/>
      <c r="C2" s="69"/>
      <c r="D2" s="69"/>
      <c r="E2" s="69"/>
      <c r="F2" s="69"/>
      <c r="G2" s="69"/>
      <c r="H2" s="69"/>
      <c r="I2" s="69"/>
      <c r="J2" s="69"/>
    </row>
    <row r="3" spans="1:11" ht="13.9" customHeight="1" x14ac:dyDescent="0.2">
      <c r="A3" s="69"/>
      <c r="B3" s="69"/>
      <c r="C3" s="69"/>
      <c r="D3" s="69"/>
      <c r="E3" s="69"/>
      <c r="F3" s="69"/>
      <c r="G3" s="69"/>
      <c r="H3" s="69"/>
      <c r="I3" s="69"/>
      <c r="J3" s="69"/>
    </row>
    <row r="4" spans="1:11" x14ac:dyDescent="0.2">
      <c r="A4" s="74" t="s">
        <v>288</v>
      </c>
      <c r="B4" s="74"/>
      <c r="C4" s="74"/>
      <c r="D4" s="74"/>
      <c r="E4" s="74"/>
      <c r="F4" s="74"/>
      <c r="G4" s="74"/>
      <c r="H4" s="74"/>
      <c r="I4" s="74"/>
      <c r="J4" s="26"/>
      <c r="K4" s="25"/>
    </row>
    <row r="5" spans="1:11" ht="36.75" customHeight="1" x14ac:dyDescent="0.2">
      <c r="A5" s="75" t="s">
        <v>289</v>
      </c>
      <c r="B5" s="75"/>
      <c r="C5" s="75"/>
      <c r="D5" s="75"/>
      <c r="E5" s="75"/>
      <c r="F5" s="75"/>
      <c r="G5" s="75"/>
      <c r="H5" s="75"/>
      <c r="I5" s="75"/>
      <c r="J5" s="75"/>
      <c r="K5" s="76"/>
    </row>
    <row r="6" spans="1:11" ht="15.75" customHeight="1" x14ac:dyDescent="0.2">
      <c r="A6" s="69"/>
      <c r="B6" s="69"/>
      <c r="C6" s="69"/>
      <c r="D6" s="69"/>
      <c r="E6" s="69"/>
      <c r="F6" s="69"/>
      <c r="G6" s="69"/>
      <c r="H6" s="69"/>
      <c r="I6" s="69"/>
      <c r="J6" s="69"/>
    </row>
    <row r="7" spans="1:11" ht="15.75" customHeight="1" x14ac:dyDescent="0.2">
      <c r="A7" s="7" t="s">
        <v>300</v>
      </c>
      <c r="B7" s="69"/>
      <c r="C7" s="69"/>
      <c r="D7" s="69"/>
      <c r="E7" s="69"/>
      <c r="F7" s="69"/>
      <c r="G7" s="69"/>
      <c r="H7" s="69"/>
      <c r="I7" s="69"/>
      <c r="J7" s="69"/>
    </row>
    <row r="8" spans="1:11" ht="15.75" customHeight="1" x14ac:dyDescent="0.2">
      <c r="A8" s="55" t="s">
        <v>301</v>
      </c>
      <c r="B8" s="69"/>
      <c r="C8" s="69"/>
      <c r="D8" s="69"/>
      <c r="E8" s="69"/>
      <c r="F8" s="69"/>
      <c r="G8" s="69"/>
      <c r="H8" s="69"/>
      <c r="I8" s="69"/>
      <c r="J8" s="69"/>
    </row>
    <row r="9" spans="1:11" ht="15.75" customHeight="1" x14ac:dyDescent="0.2">
      <c r="A9" s="56" t="s">
        <v>302</v>
      </c>
      <c r="B9" s="69"/>
      <c r="C9" s="69"/>
      <c r="D9" s="69"/>
      <c r="E9" s="69"/>
      <c r="F9" s="69"/>
      <c r="G9" s="69"/>
      <c r="H9" s="69"/>
      <c r="I9" s="69"/>
      <c r="J9" s="69"/>
    </row>
    <row r="10" spans="1:11" ht="15.75" customHeight="1" x14ac:dyDescent="0.2">
      <c r="A10" s="57" t="s">
        <v>303</v>
      </c>
      <c r="B10" s="69"/>
      <c r="C10" s="69"/>
      <c r="D10" s="69"/>
      <c r="E10" s="69"/>
      <c r="F10" s="69"/>
      <c r="G10" s="69"/>
      <c r="H10" s="69"/>
      <c r="I10" s="69"/>
      <c r="J10" s="69"/>
    </row>
    <row r="11" spans="1:11" ht="25.5" x14ac:dyDescent="0.2">
      <c r="A11" s="72" t="s">
        <v>304</v>
      </c>
      <c r="B11" s="69"/>
      <c r="C11" s="69"/>
      <c r="D11" s="69"/>
      <c r="E11" s="69"/>
      <c r="F11" s="69"/>
      <c r="G11" s="69"/>
      <c r="H11" s="69"/>
      <c r="I11" s="69"/>
      <c r="J11" s="69"/>
    </row>
    <row r="12" spans="1:11" ht="15.75" customHeight="1" x14ac:dyDescent="0.2">
      <c r="A12" s="69"/>
      <c r="B12" s="69"/>
      <c r="C12" s="69"/>
      <c r="D12" s="69"/>
      <c r="E12" s="69"/>
      <c r="F12" s="69"/>
      <c r="G12" s="69"/>
      <c r="H12" s="69"/>
      <c r="I12" s="69"/>
      <c r="J12" s="69"/>
    </row>
    <row r="13" spans="1:11" x14ac:dyDescent="0.2">
      <c r="A13" s="7" t="s">
        <v>130</v>
      </c>
      <c r="B13" s="8">
        <f>GETPIVOTDATA("Sum of 1. Agreed",$A$15)/GETPIVOTDATA("Sum of Total",$A$15)</f>
        <v>0.1276595744680851</v>
      </c>
      <c r="C13" s="8">
        <f>GETPIVOTDATA("Sum of 2. Agree but with futher comments",$A$15)/GETPIVOTDATA("Sum of Total",$A$15)</f>
        <v>0.82978723404255317</v>
      </c>
      <c r="D13" s="8">
        <f>GETPIVOTDATA("Sum of 3. Disagreed",$A$15)/GETPIVOTDATA("Sum of Total",$A$15)</f>
        <v>4.2553191489361701E-2</v>
      </c>
      <c r="E13" s="9">
        <f>SUM(B13:D13)</f>
        <v>0.99999999999999989</v>
      </c>
    </row>
    <row r="15" spans="1:11" s="2" customFormat="1" ht="51" x14ac:dyDescent="0.2">
      <c r="A15" s="52" t="s">
        <v>2</v>
      </c>
      <c r="B15" s="53" t="s">
        <v>125</v>
      </c>
      <c r="C15" s="49" t="s">
        <v>127</v>
      </c>
      <c r="D15" s="50" t="s">
        <v>128</v>
      </c>
      <c r="E15" s="54" t="s">
        <v>129</v>
      </c>
    </row>
    <row r="16" spans="1:11" x14ac:dyDescent="0.2">
      <c r="A16" s="43" t="s">
        <v>58</v>
      </c>
      <c r="B16" s="44">
        <v>0</v>
      </c>
      <c r="C16" s="44">
        <v>0</v>
      </c>
      <c r="D16" s="44">
        <v>0</v>
      </c>
      <c r="E16" s="44">
        <v>0</v>
      </c>
    </row>
    <row r="17" spans="1:5" x14ac:dyDescent="0.2">
      <c r="A17" s="43" t="s">
        <v>34</v>
      </c>
      <c r="B17" s="44">
        <v>0</v>
      </c>
      <c r="C17" s="44">
        <v>2</v>
      </c>
      <c r="D17" s="44">
        <v>0</v>
      </c>
      <c r="E17" s="44">
        <v>2</v>
      </c>
    </row>
    <row r="18" spans="1:5" x14ac:dyDescent="0.2">
      <c r="A18" s="43" t="s">
        <v>64</v>
      </c>
      <c r="B18" s="44">
        <v>0</v>
      </c>
      <c r="C18" s="44">
        <v>8</v>
      </c>
      <c r="D18" s="44">
        <v>0</v>
      </c>
      <c r="E18" s="44">
        <v>8</v>
      </c>
    </row>
    <row r="19" spans="1:5" x14ac:dyDescent="0.2">
      <c r="A19" s="43" t="s">
        <v>57</v>
      </c>
      <c r="B19" s="44">
        <v>1</v>
      </c>
      <c r="C19" s="44">
        <v>7</v>
      </c>
      <c r="D19" s="44">
        <v>0</v>
      </c>
      <c r="E19" s="44">
        <v>8</v>
      </c>
    </row>
    <row r="20" spans="1:5" x14ac:dyDescent="0.2">
      <c r="A20" s="43" t="s">
        <v>21</v>
      </c>
      <c r="B20" s="44">
        <v>0</v>
      </c>
      <c r="C20" s="44">
        <v>1</v>
      </c>
      <c r="D20" s="44">
        <v>0</v>
      </c>
      <c r="E20" s="44">
        <v>1</v>
      </c>
    </row>
    <row r="21" spans="1:5" x14ac:dyDescent="0.2">
      <c r="A21" s="43" t="s">
        <v>30</v>
      </c>
      <c r="B21" s="44">
        <v>4</v>
      </c>
      <c r="C21" s="44">
        <v>19</v>
      </c>
      <c r="D21" s="44">
        <v>1</v>
      </c>
      <c r="E21" s="44">
        <v>24</v>
      </c>
    </row>
    <row r="22" spans="1:5" x14ac:dyDescent="0.2">
      <c r="A22" s="43" t="s">
        <v>3</v>
      </c>
      <c r="B22" s="44">
        <v>0</v>
      </c>
      <c r="C22" s="44">
        <v>0</v>
      </c>
      <c r="D22" s="44">
        <v>1</v>
      </c>
      <c r="E22" s="44">
        <v>1</v>
      </c>
    </row>
    <row r="23" spans="1:5" x14ac:dyDescent="0.2">
      <c r="A23" s="45" t="s">
        <v>120</v>
      </c>
      <c r="B23" s="44">
        <v>0</v>
      </c>
      <c r="C23" s="44">
        <v>0</v>
      </c>
      <c r="D23" s="44">
        <v>1</v>
      </c>
      <c r="E23" s="44">
        <v>1</v>
      </c>
    </row>
    <row r="24" spans="1:5" x14ac:dyDescent="0.2">
      <c r="A24" s="43" t="s">
        <v>39</v>
      </c>
      <c r="B24" s="44">
        <v>1</v>
      </c>
      <c r="C24" s="44">
        <v>2</v>
      </c>
      <c r="D24" s="44">
        <v>0</v>
      </c>
      <c r="E24" s="44">
        <v>3</v>
      </c>
    </row>
    <row r="25" spans="1:5" x14ac:dyDescent="0.2">
      <c r="A25" s="43" t="s">
        <v>126</v>
      </c>
      <c r="B25" s="44">
        <v>6</v>
      </c>
      <c r="C25" s="44">
        <v>39</v>
      </c>
      <c r="D25" s="44">
        <v>2</v>
      </c>
      <c r="E25" s="44">
        <v>47</v>
      </c>
    </row>
    <row r="26" spans="1:5" x14ac:dyDescent="0.2">
      <c r="A26" s="40"/>
      <c r="B26" s="40"/>
      <c r="C26" s="40"/>
      <c r="D26" s="40"/>
      <c r="E26" s="40"/>
    </row>
    <row r="27" spans="1:5" x14ac:dyDescent="0.2">
      <c r="A27" s="40"/>
      <c r="B27" s="40"/>
      <c r="C27" s="40"/>
      <c r="D27" s="40"/>
      <c r="E27" s="40"/>
    </row>
    <row r="28" spans="1:5" x14ac:dyDescent="0.2">
      <c r="A28" s="40"/>
      <c r="B28" s="40"/>
      <c r="C28" s="40"/>
      <c r="D28" s="40"/>
      <c r="E28" s="40"/>
    </row>
    <row r="29" spans="1:5" x14ac:dyDescent="0.2">
      <c r="A29" s="40"/>
      <c r="B29" s="40"/>
      <c r="C29" s="40"/>
      <c r="D29" s="40"/>
      <c r="E29" s="40"/>
    </row>
    <row r="30" spans="1:5" x14ac:dyDescent="0.2">
      <c r="A30" s="40"/>
      <c r="B30" s="40"/>
      <c r="C30" s="40"/>
      <c r="D30" s="40"/>
      <c r="E30" s="40"/>
    </row>
    <row r="31" spans="1:5" x14ac:dyDescent="0.2">
      <c r="A31" s="40"/>
      <c r="B31" s="40"/>
      <c r="C31" s="40"/>
      <c r="D31" s="40"/>
      <c r="E31" s="40"/>
    </row>
    <row r="32" spans="1:5" x14ac:dyDescent="0.2">
      <c r="A32" s="40"/>
      <c r="B32" s="40"/>
      <c r="C32" s="40"/>
      <c r="D32" s="40"/>
      <c r="E32" s="40"/>
    </row>
    <row r="33" spans="1:5" x14ac:dyDescent="0.2">
      <c r="A33" s="40"/>
      <c r="B33" s="40"/>
      <c r="C33" s="40"/>
      <c r="D33" s="40"/>
      <c r="E33" s="40"/>
    </row>
    <row r="34" spans="1:5" x14ac:dyDescent="0.2">
      <c r="A34" s="40"/>
      <c r="B34" s="40"/>
      <c r="C34" s="40"/>
      <c r="D34" s="40"/>
      <c r="E34" s="40"/>
    </row>
    <row r="35" spans="1:5" x14ac:dyDescent="0.2">
      <c r="A35" s="40"/>
      <c r="B35" s="40"/>
      <c r="C35" s="40"/>
      <c r="D35" s="40"/>
      <c r="E35" s="40"/>
    </row>
    <row r="36" spans="1:5" x14ac:dyDescent="0.2">
      <c r="A36" s="40"/>
      <c r="B36" s="40"/>
      <c r="C36" s="40"/>
      <c r="D36" s="40"/>
      <c r="E36" s="40"/>
    </row>
    <row r="37" spans="1:5" x14ac:dyDescent="0.2">
      <c r="A37" s="40"/>
      <c r="B37" s="40"/>
      <c r="C37" s="40"/>
      <c r="D37" s="40"/>
      <c r="E37" s="40"/>
    </row>
    <row r="38" spans="1:5" x14ac:dyDescent="0.2">
      <c r="A38" s="40"/>
      <c r="B38" s="40"/>
      <c r="C38" s="40"/>
      <c r="D38" s="40"/>
      <c r="E38" s="40"/>
    </row>
    <row r="39" spans="1:5" x14ac:dyDescent="0.2">
      <c r="A39" s="40"/>
      <c r="B39" s="40"/>
      <c r="C39" s="40"/>
      <c r="D39" s="40"/>
      <c r="E39" s="40"/>
    </row>
    <row r="40" spans="1:5" x14ac:dyDescent="0.2">
      <c r="A40" s="40"/>
      <c r="B40" s="40"/>
      <c r="C40" s="40"/>
      <c r="D40" s="40"/>
      <c r="E40" s="40"/>
    </row>
    <row r="41" spans="1:5" x14ac:dyDescent="0.2">
      <c r="A41" s="40"/>
      <c r="B41" s="40"/>
      <c r="C41" s="40"/>
      <c r="D41" s="40"/>
      <c r="E41" s="40"/>
    </row>
    <row r="42" spans="1:5" x14ac:dyDescent="0.2">
      <c r="A42" s="40"/>
      <c r="B42" s="40"/>
      <c r="C42" s="40"/>
      <c r="D42" s="40"/>
      <c r="E42" s="40"/>
    </row>
    <row r="43" spans="1:5" x14ac:dyDescent="0.2">
      <c r="A43" s="40"/>
      <c r="B43" s="40"/>
      <c r="C43" s="40"/>
      <c r="D43" s="40"/>
      <c r="E43" s="40"/>
    </row>
    <row r="44" spans="1:5" x14ac:dyDescent="0.2">
      <c r="A44" s="40"/>
      <c r="B44" s="40"/>
      <c r="C44" s="40"/>
      <c r="D44" s="40"/>
      <c r="E44" s="40"/>
    </row>
    <row r="45" spans="1:5" x14ac:dyDescent="0.2">
      <c r="A45" s="40"/>
      <c r="B45" s="40"/>
      <c r="C45" s="40"/>
      <c r="D45" s="40"/>
      <c r="E45" s="40"/>
    </row>
    <row r="46" spans="1:5" x14ac:dyDescent="0.2">
      <c r="A46" s="40"/>
      <c r="B46" s="40"/>
      <c r="C46" s="40"/>
      <c r="D46" s="40"/>
      <c r="E46" s="40"/>
    </row>
    <row r="47" spans="1:5" x14ac:dyDescent="0.2">
      <c r="A47" s="40"/>
      <c r="B47" s="40"/>
      <c r="C47" s="40"/>
      <c r="D47" s="40"/>
      <c r="E47" s="40"/>
    </row>
    <row r="48" spans="1:5" x14ac:dyDescent="0.2">
      <c r="A48" s="40"/>
      <c r="B48" s="40"/>
      <c r="C48" s="40"/>
      <c r="D48" s="40"/>
      <c r="E48" s="40"/>
    </row>
    <row r="49" spans="1:5" x14ac:dyDescent="0.2">
      <c r="A49" s="40"/>
      <c r="B49" s="40"/>
      <c r="C49" s="40"/>
      <c r="D49" s="40"/>
      <c r="E49" s="40"/>
    </row>
    <row r="50" spans="1:5" x14ac:dyDescent="0.2">
      <c r="A50" s="40"/>
      <c r="B50" s="40"/>
      <c r="C50" s="40"/>
      <c r="D50" s="40"/>
      <c r="E50" s="40"/>
    </row>
    <row r="51" spans="1:5" x14ac:dyDescent="0.2">
      <c r="A51" s="40"/>
      <c r="B51" s="40"/>
      <c r="C51" s="40"/>
      <c r="D51" s="40"/>
      <c r="E51" s="40"/>
    </row>
    <row r="52" spans="1:5" x14ac:dyDescent="0.2">
      <c r="A52" s="40"/>
      <c r="B52" s="40"/>
      <c r="C52" s="40"/>
      <c r="D52" s="40"/>
      <c r="E52" s="40"/>
    </row>
    <row r="53" spans="1:5" x14ac:dyDescent="0.2">
      <c r="A53" s="40"/>
      <c r="B53" s="40"/>
      <c r="C53" s="40"/>
      <c r="D53" s="40"/>
      <c r="E53" s="40"/>
    </row>
    <row r="54" spans="1:5" x14ac:dyDescent="0.2">
      <c r="A54" s="40"/>
      <c r="B54" s="40"/>
      <c r="C54" s="40"/>
      <c r="D54" s="40"/>
      <c r="E54" s="40"/>
    </row>
    <row r="55" spans="1:5" x14ac:dyDescent="0.2">
      <c r="A55" s="40"/>
      <c r="B55" s="40"/>
      <c r="C55" s="40"/>
      <c r="D55" s="40"/>
      <c r="E55" s="40"/>
    </row>
    <row r="56" spans="1:5" x14ac:dyDescent="0.2">
      <c r="A56" s="40"/>
      <c r="B56" s="40"/>
      <c r="C56" s="40"/>
      <c r="D56" s="40"/>
      <c r="E56" s="40"/>
    </row>
    <row r="57" spans="1:5" x14ac:dyDescent="0.2">
      <c r="A57" s="40"/>
      <c r="B57" s="40"/>
      <c r="C57" s="40"/>
      <c r="D57" s="40"/>
      <c r="E57" s="40"/>
    </row>
    <row r="58" spans="1:5" x14ac:dyDescent="0.2">
      <c r="A58" s="40"/>
      <c r="B58" s="40"/>
      <c r="C58" s="40"/>
      <c r="D58" s="40"/>
      <c r="E58" s="40"/>
    </row>
    <row r="59" spans="1:5" x14ac:dyDescent="0.2">
      <c r="A59" s="40"/>
      <c r="B59" s="40"/>
      <c r="C59" s="40"/>
      <c r="D59" s="40"/>
      <c r="E59" s="40"/>
    </row>
    <row r="60" spans="1:5" x14ac:dyDescent="0.2">
      <c r="A60" s="40"/>
      <c r="B60" s="40"/>
      <c r="C60" s="40"/>
      <c r="D60" s="40"/>
      <c r="E60" s="40"/>
    </row>
    <row r="61" spans="1:5" x14ac:dyDescent="0.2">
      <c r="A61" s="40"/>
      <c r="B61" s="40"/>
      <c r="C61" s="40"/>
      <c r="D61" s="40"/>
      <c r="E61" s="40"/>
    </row>
    <row r="62" spans="1:5" x14ac:dyDescent="0.2">
      <c r="A62" s="40"/>
      <c r="B62" s="40"/>
      <c r="C62" s="40"/>
      <c r="D62" s="40"/>
      <c r="E62" s="40"/>
    </row>
    <row r="63" spans="1:5" x14ac:dyDescent="0.2">
      <c r="A63" s="40"/>
      <c r="B63" s="40"/>
      <c r="C63" s="40"/>
      <c r="D63" s="40"/>
      <c r="E63" s="40"/>
    </row>
    <row r="64" spans="1:5" x14ac:dyDescent="0.2">
      <c r="A64" s="40"/>
      <c r="B64" s="40"/>
      <c r="C64" s="40"/>
      <c r="D64" s="40"/>
      <c r="E64" s="40"/>
    </row>
    <row r="65" spans="1:5" x14ac:dyDescent="0.2">
      <c r="A65" s="40"/>
      <c r="B65" s="40"/>
      <c r="C65" s="40"/>
      <c r="D65" s="40"/>
      <c r="E65" s="40"/>
    </row>
    <row r="66" spans="1:5" x14ac:dyDescent="0.2">
      <c r="A66" s="40"/>
      <c r="B66" s="40"/>
      <c r="C66" s="40"/>
      <c r="D66" s="40"/>
      <c r="E66" s="40"/>
    </row>
    <row r="67" spans="1:5" x14ac:dyDescent="0.2">
      <c r="A67" s="40"/>
      <c r="B67" s="40"/>
      <c r="C67" s="40"/>
      <c r="D67" s="40"/>
      <c r="E67" s="40"/>
    </row>
    <row r="68" spans="1:5" x14ac:dyDescent="0.2">
      <c r="A68" s="40"/>
      <c r="B68" s="40"/>
      <c r="C68" s="40"/>
      <c r="D68" s="40"/>
      <c r="E68" s="40"/>
    </row>
    <row r="69" spans="1:5" x14ac:dyDescent="0.2">
      <c r="A69" s="40"/>
      <c r="B69" s="40"/>
      <c r="C69" s="40"/>
      <c r="D69" s="40"/>
      <c r="E69" s="40"/>
    </row>
    <row r="70" spans="1:5" x14ac:dyDescent="0.2">
      <c r="A70" s="40"/>
      <c r="B70" s="40"/>
      <c r="C70" s="40"/>
      <c r="D70" s="40"/>
      <c r="E70" s="40"/>
    </row>
    <row r="71" spans="1:5" x14ac:dyDescent="0.2">
      <c r="A71" s="40"/>
      <c r="B71" s="40"/>
      <c r="C71" s="40"/>
      <c r="D71" s="40"/>
      <c r="E71" s="40"/>
    </row>
    <row r="72" spans="1:5" x14ac:dyDescent="0.2">
      <c r="A72" s="40"/>
      <c r="B72" s="40"/>
      <c r="C72" s="40"/>
      <c r="D72" s="40"/>
      <c r="E72" s="40"/>
    </row>
  </sheetData>
  <mergeCells count="3">
    <mergeCell ref="A4:I4"/>
    <mergeCell ref="A5:K5"/>
    <mergeCell ref="A1:H1"/>
  </mergeCells>
  <pageMargins left="0.7" right="0.7" top="0.75" bottom="0.75" header="0.3" footer="0.3"/>
  <pageSetup scale="54" orientation="landscape" r:id="rId2"/>
  <headerFooter>
    <oddFooter>&amp;R&amp;P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53"/>
  <sheetViews>
    <sheetView topLeftCell="B1" zoomScaleNormal="100" workbookViewId="0">
      <pane xSplit="3" ySplit="1" topLeftCell="E37" activePane="bottomRight" state="frozen"/>
      <selection activeCell="B1" sqref="B1"/>
      <selection pane="topRight" activeCell="E1" sqref="E1"/>
      <selection pane="bottomLeft" activeCell="B2" sqref="B2"/>
      <selection pane="bottomRight" activeCell="I48" sqref="I48"/>
    </sheetView>
  </sheetViews>
  <sheetFormatPr defaultColWidth="30.7109375" defaultRowHeight="12.75" x14ac:dyDescent="0.2"/>
  <cols>
    <col min="1" max="1" width="0" style="2" hidden="1" customWidth="1"/>
    <col min="2" max="2" width="30.7109375" style="10"/>
    <col min="3" max="4" width="0" style="2" hidden="1" customWidth="1"/>
    <col min="5" max="8" width="30.7109375" style="10"/>
    <col min="9" max="16384" width="30.7109375" style="2"/>
  </cols>
  <sheetData>
    <row r="1" spans="1:8" x14ac:dyDescent="0.2">
      <c r="B1" s="2" t="s">
        <v>2</v>
      </c>
      <c r="C1" s="2" t="s">
        <v>65</v>
      </c>
      <c r="D1" s="2" t="s">
        <v>62</v>
      </c>
      <c r="E1" s="13" t="s">
        <v>69</v>
      </c>
      <c r="F1" s="13" t="s">
        <v>70</v>
      </c>
      <c r="G1" s="13" t="s">
        <v>71</v>
      </c>
      <c r="H1" s="14" t="s">
        <v>124</v>
      </c>
    </row>
    <row r="2" spans="1:8" x14ac:dyDescent="0.2">
      <c r="A2" s="2" t="s">
        <v>52</v>
      </c>
      <c r="B2" s="3" t="s">
        <v>72</v>
      </c>
      <c r="C2" s="2" t="s">
        <v>58</v>
      </c>
      <c r="D2" s="2" t="s">
        <v>9</v>
      </c>
      <c r="E2" s="4">
        <v>0</v>
      </c>
      <c r="F2" s="4">
        <v>0</v>
      </c>
      <c r="G2" s="4">
        <v>0</v>
      </c>
      <c r="H2" s="12">
        <f>SUM(E2:G2)</f>
        <v>0</v>
      </c>
    </row>
    <row r="3" spans="1:8" ht="25.5" x14ac:dyDescent="0.2">
      <c r="A3" s="2" t="s">
        <v>56</v>
      </c>
      <c r="B3" s="3" t="s">
        <v>73</v>
      </c>
      <c r="C3" s="2" t="s">
        <v>34</v>
      </c>
      <c r="D3" s="2" t="s">
        <v>13</v>
      </c>
      <c r="E3" s="4">
        <v>0</v>
      </c>
      <c r="F3" s="4">
        <v>1</v>
      </c>
      <c r="G3" s="4">
        <v>0</v>
      </c>
      <c r="H3" s="12">
        <f t="shared" ref="H3:H53" si="0">SUM(E3:G3)</f>
        <v>1</v>
      </c>
    </row>
    <row r="4" spans="1:8" ht="25.5" x14ac:dyDescent="0.2">
      <c r="A4" s="2" t="s">
        <v>49</v>
      </c>
      <c r="B4" s="3" t="s">
        <v>74</v>
      </c>
      <c r="C4" s="2" t="s">
        <v>34</v>
      </c>
      <c r="D4" s="2" t="s">
        <v>32</v>
      </c>
      <c r="E4" s="4">
        <v>0</v>
      </c>
      <c r="F4" s="4">
        <v>1</v>
      </c>
      <c r="G4" s="4">
        <v>0</v>
      </c>
      <c r="H4" s="12">
        <f t="shared" si="0"/>
        <v>1</v>
      </c>
    </row>
    <row r="5" spans="1:8" ht="25.5" x14ac:dyDescent="0.2">
      <c r="A5" s="2" t="s">
        <v>48</v>
      </c>
      <c r="B5" s="3" t="s">
        <v>75</v>
      </c>
      <c r="C5" s="2" t="s">
        <v>64</v>
      </c>
      <c r="D5" s="2" t="s">
        <v>0</v>
      </c>
      <c r="E5" s="4">
        <v>0</v>
      </c>
      <c r="F5" s="4">
        <v>1</v>
      </c>
      <c r="G5" s="4">
        <v>0</v>
      </c>
      <c r="H5" s="12">
        <f t="shared" si="0"/>
        <v>1</v>
      </c>
    </row>
    <row r="6" spans="1:8" ht="25.5" x14ac:dyDescent="0.2">
      <c r="A6" s="2" t="s">
        <v>22</v>
      </c>
      <c r="B6" s="3" t="s">
        <v>76</v>
      </c>
      <c r="C6" s="2" t="s">
        <v>64</v>
      </c>
      <c r="D6" s="2" t="s">
        <v>44</v>
      </c>
      <c r="E6" s="4">
        <v>0</v>
      </c>
      <c r="F6" s="4">
        <v>1</v>
      </c>
      <c r="G6" s="4">
        <v>0</v>
      </c>
      <c r="H6" s="12">
        <f t="shared" si="0"/>
        <v>1</v>
      </c>
    </row>
    <row r="7" spans="1:8" ht="25.5" x14ac:dyDescent="0.2">
      <c r="A7" s="2" t="s">
        <v>16</v>
      </c>
      <c r="B7" s="3" t="s">
        <v>77</v>
      </c>
      <c r="C7" s="2" t="s">
        <v>64</v>
      </c>
      <c r="D7" s="2" t="s">
        <v>0</v>
      </c>
      <c r="E7" s="4">
        <v>0</v>
      </c>
      <c r="F7" s="4">
        <v>1</v>
      </c>
      <c r="G7" s="4">
        <v>0</v>
      </c>
      <c r="H7" s="12">
        <f t="shared" si="0"/>
        <v>1</v>
      </c>
    </row>
    <row r="8" spans="1:8" ht="25.5" x14ac:dyDescent="0.2">
      <c r="A8" s="2" t="s">
        <v>5</v>
      </c>
      <c r="B8" s="3" t="s">
        <v>78</v>
      </c>
      <c r="C8" s="2" t="s">
        <v>64</v>
      </c>
      <c r="D8" s="2" t="s">
        <v>44</v>
      </c>
      <c r="E8" s="4">
        <v>0</v>
      </c>
      <c r="F8" s="4">
        <v>1</v>
      </c>
      <c r="G8" s="4">
        <v>0</v>
      </c>
      <c r="H8" s="12">
        <f t="shared" si="0"/>
        <v>1</v>
      </c>
    </row>
    <row r="9" spans="1:8" ht="25.5" x14ac:dyDescent="0.2">
      <c r="A9" s="2" t="s">
        <v>23</v>
      </c>
      <c r="B9" s="3" t="s">
        <v>79</v>
      </c>
      <c r="C9" s="2" t="s">
        <v>64</v>
      </c>
      <c r="D9" s="2" t="s">
        <v>0</v>
      </c>
      <c r="E9" s="4">
        <v>0</v>
      </c>
      <c r="F9" s="4">
        <v>1</v>
      </c>
      <c r="G9" s="4">
        <v>0</v>
      </c>
      <c r="H9" s="12">
        <f t="shared" si="0"/>
        <v>1</v>
      </c>
    </row>
    <row r="10" spans="1:8" ht="25.5" x14ac:dyDescent="0.2">
      <c r="A10" s="2" t="s">
        <v>33</v>
      </c>
      <c r="B10" s="3" t="s">
        <v>80</v>
      </c>
      <c r="C10" s="2" t="s">
        <v>64</v>
      </c>
      <c r="D10" s="2" t="s">
        <v>0</v>
      </c>
      <c r="E10" s="4">
        <v>0</v>
      </c>
      <c r="F10" s="4">
        <v>1</v>
      </c>
      <c r="G10" s="4">
        <v>0</v>
      </c>
      <c r="H10" s="12">
        <f t="shared" si="0"/>
        <v>1</v>
      </c>
    </row>
    <row r="11" spans="1:8" ht="25.5" x14ac:dyDescent="0.2">
      <c r="A11" s="2" t="s">
        <v>46</v>
      </c>
      <c r="B11" s="3" t="s">
        <v>81</v>
      </c>
      <c r="C11" s="2" t="s">
        <v>64</v>
      </c>
      <c r="D11" s="2" t="s">
        <v>44</v>
      </c>
      <c r="E11" s="4">
        <v>0</v>
      </c>
      <c r="F11" s="4">
        <v>1</v>
      </c>
      <c r="G11" s="4">
        <v>0</v>
      </c>
      <c r="H11" s="12">
        <f t="shared" si="0"/>
        <v>1</v>
      </c>
    </row>
    <row r="12" spans="1:8" ht="25.5" x14ac:dyDescent="0.2">
      <c r="A12" s="2" t="s">
        <v>61</v>
      </c>
      <c r="B12" s="3" t="s">
        <v>82</v>
      </c>
      <c r="C12" s="2" t="s">
        <v>64</v>
      </c>
      <c r="D12" s="2" t="s">
        <v>0</v>
      </c>
      <c r="E12" s="4">
        <v>0</v>
      </c>
      <c r="F12" s="4">
        <v>1</v>
      </c>
      <c r="G12" s="4">
        <v>0</v>
      </c>
      <c r="H12" s="12">
        <f t="shared" si="0"/>
        <v>1</v>
      </c>
    </row>
    <row r="13" spans="1:8" x14ac:dyDescent="0.2">
      <c r="A13" s="2" t="s">
        <v>55</v>
      </c>
      <c r="B13" s="3" t="s">
        <v>83</v>
      </c>
      <c r="C13" s="2" t="s">
        <v>57</v>
      </c>
      <c r="D13" s="2" t="s">
        <v>9</v>
      </c>
      <c r="E13" s="4">
        <v>0</v>
      </c>
      <c r="F13" s="4">
        <v>1</v>
      </c>
      <c r="G13" s="4">
        <v>0</v>
      </c>
      <c r="H13" s="12">
        <f t="shared" si="0"/>
        <v>1</v>
      </c>
    </row>
    <row r="14" spans="1:8" x14ac:dyDescent="0.2">
      <c r="A14" s="2" t="s">
        <v>36</v>
      </c>
      <c r="B14" s="3" t="s">
        <v>84</v>
      </c>
      <c r="C14" s="2" t="s">
        <v>57</v>
      </c>
      <c r="D14" s="2" t="s">
        <v>9</v>
      </c>
      <c r="E14" s="4">
        <v>1</v>
      </c>
      <c r="F14" s="4">
        <v>0</v>
      </c>
      <c r="G14" s="4">
        <v>0</v>
      </c>
      <c r="H14" s="12">
        <f t="shared" si="0"/>
        <v>1</v>
      </c>
    </row>
    <row r="15" spans="1:8" x14ac:dyDescent="0.2">
      <c r="A15" s="2" t="s">
        <v>11</v>
      </c>
      <c r="B15" s="3" t="s">
        <v>85</v>
      </c>
      <c r="C15" s="2" t="s">
        <v>57</v>
      </c>
      <c r="D15" s="2" t="s">
        <v>9</v>
      </c>
      <c r="E15" s="4">
        <v>0</v>
      </c>
      <c r="F15" s="4">
        <v>1</v>
      </c>
      <c r="G15" s="4">
        <v>0</v>
      </c>
      <c r="H15" s="12">
        <f t="shared" si="0"/>
        <v>1</v>
      </c>
    </row>
    <row r="16" spans="1:8" x14ac:dyDescent="0.2">
      <c r="A16" s="2" t="s">
        <v>50</v>
      </c>
      <c r="B16" s="3" t="s">
        <v>86</v>
      </c>
      <c r="C16" s="2" t="s">
        <v>57</v>
      </c>
      <c r="D16" s="2" t="s">
        <v>9</v>
      </c>
      <c r="E16" s="4">
        <v>0</v>
      </c>
      <c r="F16" s="4">
        <v>1</v>
      </c>
      <c r="G16" s="4">
        <v>0</v>
      </c>
      <c r="H16" s="12">
        <f t="shared" si="0"/>
        <v>1</v>
      </c>
    </row>
    <row r="17" spans="1:8" x14ac:dyDescent="0.2">
      <c r="A17" s="2" t="s">
        <v>40</v>
      </c>
      <c r="B17" s="3" t="s">
        <v>87</v>
      </c>
      <c r="C17" s="2" t="s">
        <v>57</v>
      </c>
      <c r="D17" s="2" t="s">
        <v>9</v>
      </c>
      <c r="E17" s="4">
        <v>0</v>
      </c>
      <c r="F17" s="4">
        <v>1</v>
      </c>
      <c r="G17" s="4">
        <v>0</v>
      </c>
      <c r="H17" s="12">
        <f t="shared" si="0"/>
        <v>1</v>
      </c>
    </row>
    <row r="18" spans="1:8" x14ac:dyDescent="0.2">
      <c r="A18" s="2" t="s">
        <v>63</v>
      </c>
      <c r="B18" s="3" t="s">
        <v>88</v>
      </c>
      <c r="C18" s="2" t="s">
        <v>57</v>
      </c>
      <c r="D18" s="2" t="s">
        <v>9</v>
      </c>
      <c r="E18" s="4">
        <v>0</v>
      </c>
      <c r="F18" s="4">
        <v>1</v>
      </c>
      <c r="G18" s="4">
        <v>0</v>
      </c>
      <c r="H18" s="12">
        <f t="shared" si="0"/>
        <v>1</v>
      </c>
    </row>
    <row r="19" spans="1:8" x14ac:dyDescent="0.2">
      <c r="A19" s="2" t="s">
        <v>54</v>
      </c>
      <c r="B19" s="3" t="s">
        <v>89</v>
      </c>
      <c r="C19" s="2" t="s">
        <v>57</v>
      </c>
      <c r="D19" s="2" t="s">
        <v>9</v>
      </c>
      <c r="E19" s="4">
        <v>0</v>
      </c>
      <c r="F19" s="4">
        <v>1</v>
      </c>
      <c r="G19" s="4">
        <v>0</v>
      </c>
      <c r="H19" s="12">
        <f t="shared" si="0"/>
        <v>1</v>
      </c>
    </row>
    <row r="20" spans="1:8" x14ac:dyDescent="0.2">
      <c r="A20" s="2" t="s">
        <v>41</v>
      </c>
      <c r="B20" s="3" t="s">
        <v>90</v>
      </c>
      <c r="C20" s="2" t="s">
        <v>57</v>
      </c>
      <c r="D20" s="2" t="s">
        <v>9</v>
      </c>
      <c r="E20" s="4">
        <v>0</v>
      </c>
      <c r="F20" s="4">
        <v>1</v>
      </c>
      <c r="G20" s="4">
        <v>0</v>
      </c>
      <c r="H20" s="12">
        <f t="shared" si="0"/>
        <v>1</v>
      </c>
    </row>
    <row r="21" spans="1:8" x14ac:dyDescent="0.2">
      <c r="A21" s="2" t="s">
        <v>29</v>
      </c>
      <c r="B21" s="3" t="s">
        <v>91</v>
      </c>
      <c r="C21" s="2" t="s">
        <v>21</v>
      </c>
      <c r="D21" s="2" t="s">
        <v>35</v>
      </c>
      <c r="E21" s="4">
        <v>0</v>
      </c>
      <c r="F21" s="4">
        <v>1</v>
      </c>
      <c r="G21" s="4">
        <v>0</v>
      </c>
      <c r="H21" s="12">
        <f t="shared" si="0"/>
        <v>1</v>
      </c>
    </row>
    <row r="22" spans="1:8" ht="25.5" x14ac:dyDescent="0.2">
      <c r="A22" s="2" t="s">
        <v>26</v>
      </c>
      <c r="B22" s="3" t="s">
        <v>92</v>
      </c>
      <c r="C22" s="2" t="s">
        <v>30</v>
      </c>
      <c r="D22" s="2" t="s">
        <v>9</v>
      </c>
      <c r="E22" s="4">
        <v>0</v>
      </c>
      <c r="F22" s="4">
        <v>1</v>
      </c>
      <c r="G22" s="4">
        <v>0</v>
      </c>
      <c r="H22" s="12">
        <f t="shared" si="0"/>
        <v>1</v>
      </c>
    </row>
    <row r="23" spans="1:8" ht="25.5" x14ac:dyDescent="0.2">
      <c r="A23" s="2" t="s">
        <v>10</v>
      </c>
      <c r="B23" s="3" t="s">
        <v>93</v>
      </c>
      <c r="C23" s="2" t="s">
        <v>30</v>
      </c>
      <c r="D23" s="2" t="s">
        <v>44</v>
      </c>
      <c r="E23" s="4">
        <v>0</v>
      </c>
      <c r="F23" s="4">
        <v>1</v>
      </c>
      <c r="G23" s="4">
        <v>0</v>
      </c>
      <c r="H23" s="12">
        <f t="shared" si="0"/>
        <v>1</v>
      </c>
    </row>
    <row r="24" spans="1:8" ht="25.5" x14ac:dyDescent="0.2">
      <c r="A24" s="2" t="s">
        <v>67</v>
      </c>
      <c r="B24" s="3" t="s">
        <v>94</v>
      </c>
      <c r="C24" s="2" t="s">
        <v>30</v>
      </c>
      <c r="D24" s="2" t="s">
        <v>35</v>
      </c>
      <c r="E24" s="4">
        <v>0</v>
      </c>
      <c r="F24" s="4">
        <v>1</v>
      </c>
      <c r="G24" s="4">
        <v>0</v>
      </c>
      <c r="H24" s="12">
        <f t="shared" si="0"/>
        <v>1</v>
      </c>
    </row>
    <row r="25" spans="1:8" ht="25.5" x14ac:dyDescent="0.2">
      <c r="A25" s="2" t="s">
        <v>12</v>
      </c>
      <c r="B25" s="3" t="s">
        <v>95</v>
      </c>
      <c r="C25" s="2" t="s">
        <v>30</v>
      </c>
      <c r="D25" s="2" t="s">
        <v>0</v>
      </c>
      <c r="E25" s="4">
        <v>0</v>
      </c>
      <c r="F25" s="4">
        <v>0</v>
      </c>
      <c r="G25" s="4">
        <v>0</v>
      </c>
      <c r="H25" s="12">
        <f t="shared" si="0"/>
        <v>0</v>
      </c>
    </row>
    <row r="26" spans="1:8" ht="25.5" x14ac:dyDescent="0.2">
      <c r="A26" s="2" t="s">
        <v>15</v>
      </c>
      <c r="B26" s="3" t="s">
        <v>96</v>
      </c>
      <c r="C26" s="2" t="s">
        <v>30</v>
      </c>
      <c r="D26" s="2" t="s">
        <v>44</v>
      </c>
      <c r="E26" s="4">
        <v>0</v>
      </c>
      <c r="F26" s="4">
        <v>1</v>
      </c>
      <c r="G26" s="4">
        <v>0</v>
      </c>
      <c r="H26" s="12">
        <f t="shared" si="0"/>
        <v>1</v>
      </c>
    </row>
    <row r="27" spans="1:8" ht="25.5" x14ac:dyDescent="0.2">
      <c r="A27" s="2" t="s">
        <v>28</v>
      </c>
      <c r="B27" s="3" t="s">
        <v>97</v>
      </c>
      <c r="C27" s="2" t="s">
        <v>30</v>
      </c>
      <c r="D27" s="2" t="s">
        <v>0</v>
      </c>
      <c r="E27" s="4">
        <v>0</v>
      </c>
      <c r="F27" s="4">
        <v>1</v>
      </c>
      <c r="G27" s="4">
        <v>0</v>
      </c>
      <c r="H27" s="12">
        <f t="shared" si="0"/>
        <v>1</v>
      </c>
    </row>
    <row r="28" spans="1:8" ht="25.5" x14ac:dyDescent="0.2">
      <c r="A28" s="2" t="s">
        <v>25</v>
      </c>
      <c r="B28" s="3" t="s">
        <v>98</v>
      </c>
      <c r="C28" s="2" t="s">
        <v>30</v>
      </c>
      <c r="D28" s="2" t="s">
        <v>35</v>
      </c>
      <c r="E28" s="4">
        <v>0</v>
      </c>
      <c r="F28" s="4">
        <v>0</v>
      </c>
      <c r="G28" s="4">
        <v>0</v>
      </c>
      <c r="H28" s="12">
        <f t="shared" si="0"/>
        <v>0</v>
      </c>
    </row>
    <row r="29" spans="1:8" ht="25.5" x14ac:dyDescent="0.2">
      <c r="A29" s="2" t="s">
        <v>6</v>
      </c>
      <c r="B29" s="3" t="s">
        <v>99</v>
      </c>
      <c r="C29" s="2" t="s">
        <v>30</v>
      </c>
      <c r="D29" s="2" t="s">
        <v>44</v>
      </c>
      <c r="E29" s="4">
        <v>0</v>
      </c>
      <c r="F29" s="4">
        <v>1</v>
      </c>
      <c r="G29" s="4">
        <v>0</v>
      </c>
      <c r="H29" s="12">
        <f t="shared" si="0"/>
        <v>1</v>
      </c>
    </row>
    <row r="30" spans="1:8" ht="25.5" x14ac:dyDescent="0.2">
      <c r="A30" s="2" t="s">
        <v>42</v>
      </c>
      <c r="B30" s="3" t="s">
        <v>100</v>
      </c>
      <c r="C30" s="2" t="s">
        <v>30</v>
      </c>
      <c r="D30" s="2" t="s">
        <v>13</v>
      </c>
      <c r="E30" s="4">
        <v>0</v>
      </c>
      <c r="F30" s="4">
        <v>1</v>
      </c>
      <c r="G30" s="4">
        <v>0</v>
      </c>
      <c r="H30" s="12">
        <f t="shared" si="0"/>
        <v>1</v>
      </c>
    </row>
    <row r="31" spans="1:8" ht="25.5" x14ac:dyDescent="0.2">
      <c r="A31" s="2" t="s">
        <v>19</v>
      </c>
      <c r="B31" s="3" t="s">
        <v>101</v>
      </c>
      <c r="C31" s="2" t="s">
        <v>30</v>
      </c>
      <c r="D31" s="2" t="s">
        <v>44</v>
      </c>
      <c r="E31" s="4">
        <v>0</v>
      </c>
      <c r="F31" s="4">
        <v>1</v>
      </c>
      <c r="G31" s="4">
        <v>0</v>
      </c>
      <c r="H31" s="12">
        <f t="shared" si="0"/>
        <v>1</v>
      </c>
    </row>
    <row r="32" spans="1:8" ht="25.5" x14ac:dyDescent="0.2">
      <c r="A32" s="2" t="s">
        <v>66</v>
      </c>
      <c r="B32" s="3" t="s">
        <v>102</v>
      </c>
      <c r="C32" s="2" t="s">
        <v>30</v>
      </c>
      <c r="D32" s="2" t="s">
        <v>44</v>
      </c>
      <c r="E32" s="4">
        <v>0</v>
      </c>
      <c r="F32" s="4">
        <v>1</v>
      </c>
      <c r="G32" s="4">
        <v>0</v>
      </c>
      <c r="H32" s="12">
        <f t="shared" si="0"/>
        <v>1</v>
      </c>
    </row>
    <row r="33" spans="1:8" ht="25.5" x14ac:dyDescent="0.2">
      <c r="A33" s="2" t="s">
        <v>17</v>
      </c>
      <c r="B33" s="3" t="s">
        <v>103</v>
      </c>
      <c r="C33" s="2" t="s">
        <v>30</v>
      </c>
      <c r="D33" s="2" t="s">
        <v>9</v>
      </c>
      <c r="E33" s="4">
        <v>0</v>
      </c>
      <c r="F33" s="4">
        <v>1</v>
      </c>
      <c r="G33" s="4">
        <v>0</v>
      </c>
      <c r="H33" s="12">
        <f t="shared" si="0"/>
        <v>1</v>
      </c>
    </row>
    <row r="34" spans="1:8" ht="25.5" x14ac:dyDescent="0.2">
      <c r="A34" s="2" t="s">
        <v>24</v>
      </c>
      <c r="B34" s="3" t="s">
        <v>104</v>
      </c>
      <c r="C34" s="2" t="s">
        <v>30</v>
      </c>
      <c r="D34" s="2" t="s">
        <v>13</v>
      </c>
      <c r="E34" s="4">
        <v>1</v>
      </c>
      <c r="F34" s="4">
        <v>0</v>
      </c>
      <c r="G34" s="4">
        <v>0</v>
      </c>
      <c r="H34" s="12">
        <f t="shared" si="0"/>
        <v>1</v>
      </c>
    </row>
    <row r="35" spans="1:8" ht="25.5" x14ac:dyDescent="0.2">
      <c r="A35" s="2" t="s">
        <v>51</v>
      </c>
      <c r="B35" s="3" t="s">
        <v>105</v>
      </c>
      <c r="C35" s="2" t="s">
        <v>30</v>
      </c>
      <c r="D35" s="2" t="s">
        <v>9</v>
      </c>
      <c r="E35" s="4">
        <v>0</v>
      </c>
      <c r="F35" s="4">
        <v>0</v>
      </c>
      <c r="G35" s="4">
        <v>0</v>
      </c>
      <c r="H35" s="12">
        <f t="shared" si="0"/>
        <v>0</v>
      </c>
    </row>
    <row r="36" spans="1:8" ht="25.5" x14ac:dyDescent="0.2">
      <c r="A36" s="2" t="s">
        <v>53</v>
      </c>
      <c r="B36" s="3" t="s">
        <v>106</v>
      </c>
      <c r="C36" s="2" t="s">
        <v>30</v>
      </c>
      <c r="D36" s="2" t="s">
        <v>9</v>
      </c>
      <c r="E36" s="4">
        <v>0</v>
      </c>
      <c r="F36" s="4">
        <v>1</v>
      </c>
      <c r="G36" s="4">
        <v>0</v>
      </c>
      <c r="H36" s="12">
        <f t="shared" si="0"/>
        <v>1</v>
      </c>
    </row>
    <row r="37" spans="1:8" ht="25.5" x14ac:dyDescent="0.2">
      <c r="A37" s="2" t="s">
        <v>1</v>
      </c>
      <c r="B37" s="3" t="s">
        <v>107</v>
      </c>
      <c r="C37" s="2" t="s">
        <v>30</v>
      </c>
      <c r="D37" s="2" t="s">
        <v>44</v>
      </c>
      <c r="E37" s="4">
        <v>0</v>
      </c>
      <c r="F37" s="4">
        <v>1</v>
      </c>
      <c r="G37" s="4">
        <v>0</v>
      </c>
      <c r="H37" s="12">
        <f t="shared" si="0"/>
        <v>1</v>
      </c>
    </row>
    <row r="38" spans="1:8" ht="25.5" x14ac:dyDescent="0.2">
      <c r="A38" s="2" t="s">
        <v>4</v>
      </c>
      <c r="B38" s="3" t="s">
        <v>108</v>
      </c>
      <c r="C38" s="2" t="s">
        <v>30</v>
      </c>
      <c r="D38" s="2" t="s">
        <v>32</v>
      </c>
      <c r="E38" s="4">
        <v>0</v>
      </c>
      <c r="F38" s="4">
        <v>1</v>
      </c>
      <c r="G38" s="4">
        <v>0</v>
      </c>
      <c r="H38" s="12">
        <f t="shared" si="0"/>
        <v>1</v>
      </c>
    </row>
    <row r="39" spans="1:8" ht="25.5" x14ac:dyDescent="0.2">
      <c r="A39" s="2" t="s">
        <v>7</v>
      </c>
      <c r="B39" s="3" t="s">
        <v>109</v>
      </c>
      <c r="C39" s="2" t="s">
        <v>30</v>
      </c>
      <c r="D39" s="2" t="s">
        <v>44</v>
      </c>
      <c r="E39" s="4">
        <v>0</v>
      </c>
      <c r="F39" s="4">
        <v>1</v>
      </c>
      <c r="G39" s="4">
        <v>0</v>
      </c>
      <c r="H39" s="12">
        <f t="shared" si="0"/>
        <v>1</v>
      </c>
    </row>
    <row r="40" spans="1:8" ht="25.5" x14ac:dyDescent="0.2">
      <c r="A40" s="2" t="s">
        <v>20</v>
      </c>
      <c r="B40" s="3" t="s">
        <v>110</v>
      </c>
      <c r="C40" s="2" t="s">
        <v>30</v>
      </c>
      <c r="D40" s="2" t="s">
        <v>32</v>
      </c>
      <c r="E40" s="4">
        <v>1</v>
      </c>
      <c r="F40" s="4">
        <v>0</v>
      </c>
      <c r="G40" s="4">
        <v>0</v>
      </c>
      <c r="H40" s="12">
        <f t="shared" si="0"/>
        <v>1</v>
      </c>
    </row>
    <row r="41" spans="1:8" ht="25.5" x14ac:dyDescent="0.2">
      <c r="A41" s="2" t="s">
        <v>38</v>
      </c>
      <c r="B41" s="3" t="s">
        <v>111</v>
      </c>
      <c r="C41" s="2" t="s">
        <v>30</v>
      </c>
      <c r="D41" s="2" t="s">
        <v>0</v>
      </c>
      <c r="E41" s="4">
        <v>0</v>
      </c>
      <c r="F41" s="4">
        <v>0</v>
      </c>
      <c r="G41" s="4">
        <v>1</v>
      </c>
      <c r="H41" s="12">
        <f t="shared" si="0"/>
        <v>1</v>
      </c>
    </row>
    <row r="42" spans="1:8" ht="25.5" x14ac:dyDescent="0.2">
      <c r="A42" s="2" t="s">
        <v>18</v>
      </c>
      <c r="B42" s="3" t="s">
        <v>112</v>
      </c>
      <c r="C42" s="2" t="s">
        <v>30</v>
      </c>
      <c r="D42" s="2" t="s">
        <v>0</v>
      </c>
      <c r="E42" s="4">
        <v>0</v>
      </c>
      <c r="F42" s="4">
        <v>0</v>
      </c>
      <c r="G42" s="4">
        <v>0</v>
      </c>
      <c r="H42" s="12">
        <f t="shared" si="0"/>
        <v>0</v>
      </c>
    </row>
    <row r="43" spans="1:8" ht="25.5" x14ac:dyDescent="0.2">
      <c r="A43" s="2" t="s">
        <v>68</v>
      </c>
      <c r="B43" s="3" t="s">
        <v>113</v>
      </c>
      <c r="C43" s="2" t="s">
        <v>30</v>
      </c>
      <c r="D43" s="2" t="s">
        <v>0</v>
      </c>
      <c r="E43" s="4">
        <v>1</v>
      </c>
      <c r="F43" s="4">
        <v>0</v>
      </c>
      <c r="G43" s="4">
        <v>0</v>
      </c>
      <c r="H43" s="12">
        <f t="shared" si="0"/>
        <v>1</v>
      </c>
    </row>
    <row r="44" spans="1:8" ht="25.5" x14ac:dyDescent="0.2">
      <c r="A44" s="2" t="s">
        <v>27</v>
      </c>
      <c r="B44" s="3" t="s">
        <v>114</v>
      </c>
      <c r="C44" s="2" t="s">
        <v>30</v>
      </c>
      <c r="D44" s="2" t="s">
        <v>35</v>
      </c>
      <c r="E44" s="4">
        <v>0</v>
      </c>
      <c r="F44" s="4">
        <v>1</v>
      </c>
      <c r="G44" s="4">
        <v>0</v>
      </c>
      <c r="H44" s="12">
        <f t="shared" si="0"/>
        <v>1</v>
      </c>
    </row>
    <row r="45" spans="1:8" ht="25.5" x14ac:dyDescent="0.2">
      <c r="A45" s="2" t="s">
        <v>37</v>
      </c>
      <c r="B45" s="3" t="s">
        <v>115</v>
      </c>
      <c r="C45" s="2" t="s">
        <v>30</v>
      </c>
      <c r="D45" s="2" t="s">
        <v>9</v>
      </c>
      <c r="E45" s="4">
        <v>0</v>
      </c>
      <c r="F45" s="4">
        <v>1</v>
      </c>
      <c r="G45" s="4">
        <v>0</v>
      </c>
      <c r="H45" s="12">
        <f t="shared" si="0"/>
        <v>1</v>
      </c>
    </row>
    <row r="46" spans="1:8" ht="25.5" x14ac:dyDescent="0.2">
      <c r="A46" s="2" t="s">
        <v>60</v>
      </c>
      <c r="B46" s="3" t="s">
        <v>116</v>
      </c>
      <c r="C46" s="2" t="s">
        <v>30</v>
      </c>
      <c r="D46" s="2" t="s">
        <v>32</v>
      </c>
      <c r="E46" s="4">
        <v>0</v>
      </c>
      <c r="F46" s="4">
        <v>1</v>
      </c>
      <c r="G46" s="4">
        <v>0</v>
      </c>
      <c r="H46" s="12">
        <f t="shared" si="0"/>
        <v>1</v>
      </c>
    </row>
    <row r="47" spans="1:8" ht="25.5" x14ac:dyDescent="0.2">
      <c r="A47" s="2" t="s">
        <v>59</v>
      </c>
      <c r="B47" s="3" t="s">
        <v>117</v>
      </c>
      <c r="C47" s="2" t="s">
        <v>30</v>
      </c>
      <c r="D47" s="2" t="s">
        <v>9</v>
      </c>
      <c r="E47" s="4">
        <v>1</v>
      </c>
      <c r="F47" s="4">
        <v>0</v>
      </c>
      <c r="G47" s="4">
        <v>0</v>
      </c>
      <c r="H47" s="12">
        <f t="shared" si="0"/>
        <v>1</v>
      </c>
    </row>
    <row r="48" spans="1:8" ht="25.5" x14ac:dyDescent="0.2">
      <c r="A48" s="2" t="s">
        <v>31</v>
      </c>
      <c r="B48" s="3" t="s">
        <v>118</v>
      </c>
      <c r="C48" s="2" t="s">
        <v>30</v>
      </c>
      <c r="D48" s="2" t="s">
        <v>9</v>
      </c>
      <c r="E48" s="4">
        <v>0</v>
      </c>
      <c r="F48" s="4">
        <v>1</v>
      </c>
      <c r="G48" s="4">
        <v>0</v>
      </c>
      <c r="H48" s="12">
        <f t="shared" si="0"/>
        <v>1</v>
      </c>
    </row>
    <row r="49" spans="1:8" ht="25.5" x14ac:dyDescent="0.2">
      <c r="A49" s="2" t="s">
        <v>14</v>
      </c>
      <c r="B49" s="3" t="s">
        <v>119</v>
      </c>
      <c r="C49" s="2" t="s">
        <v>30</v>
      </c>
      <c r="D49" s="2" t="s">
        <v>44</v>
      </c>
      <c r="E49" s="4">
        <v>0</v>
      </c>
      <c r="F49" s="4">
        <v>1</v>
      </c>
      <c r="G49" s="4">
        <v>0</v>
      </c>
      <c r="H49" s="12">
        <f t="shared" si="0"/>
        <v>1</v>
      </c>
    </row>
    <row r="50" spans="1:8" x14ac:dyDescent="0.2">
      <c r="A50" s="2" t="s">
        <v>47</v>
      </c>
      <c r="B50" s="3" t="s">
        <v>120</v>
      </c>
      <c r="C50" s="2" t="s">
        <v>3</v>
      </c>
      <c r="D50" s="2" t="s">
        <v>0</v>
      </c>
      <c r="E50" s="4">
        <v>0</v>
      </c>
      <c r="F50" s="4">
        <v>0</v>
      </c>
      <c r="G50" s="4">
        <v>1</v>
      </c>
      <c r="H50" s="12">
        <f t="shared" si="0"/>
        <v>1</v>
      </c>
    </row>
    <row r="51" spans="1:8" x14ac:dyDescent="0.2">
      <c r="A51" s="2" t="s">
        <v>8</v>
      </c>
      <c r="B51" s="3" t="s">
        <v>121</v>
      </c>
      <c r="C51" s="2" t="s">
        <v>39</v>
      </c>
      <c r="D51" s="2" t="s">
        <v>44</v>
      </c>
      <c r="E51" s="4">
        <v>0</v>
      </c>
      <c r="F51" s="4">
        <v>1</v>
      </c>
      <c r="G51" s="4">
        <v>0</v>
      </c>
      <c r="H51" s="12">
        <f t="shared" si="0"/>
        <v>1</v>
      </c>
    </row>
    <row r="52" spans="1:8" x14ac:dyDescent="0.2">
      <c r="A52" s="2" t="s">
        <v>43</v>
      </c>
      <c r="B52" s="3" t="s">
        <v>122</v>
      </c>
      <c r="C52" s="2" t="s">
        <v>39</v>
      </c>
      <c r="D52" s="2" t="s">
        <v>32</v>
      </c>
      <c r="E52" s="4">
        <v>1</v>
      </c>
      <c r="F52" s="4">
        <v>0</v>
      </c>
      <c r="G52" s="4">
        <v>0</v>
      </c>
      <c r="H52" s="12">
        <f t="shared" si="0"/>
        <v>1</v>
      </c>
    </row>
    <row r="53" spans="1:8" x14ac:dyDescent="0.2">
      <c r="A53" s="2" t="s">
        <v>45</v>
      </c>
      <c r="B53" s="3" t="s">
        <v>123</v>
      </c>
      <c r="C53" s="2" t="s">
        <v>39</v>
      </c>
      <c r="D53" s="2" t="s">
        <v>35</v>
      </c>
      <c r="E53" s="4">
        <v>0</v>
      </c>
      <c r="F53" s="4">
        <v>1</v>
      </c>
      <c r="G53" s="4">
        <v>0</v>
      </c>
      <c r="H53" s="12">
        <f t="shared" si="0"/>
        <v>1</v>
      </c>
    </row>
  </sheetData>
  <pageMargins left="0.7" right="0.7" top="0.75" bottom="0.75" header="0.3" footer="0.3"/>
  <pageSetup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6B506-8F7F-4254-9B65-5141445CD63C}">
  <dimension ref="A1:K76"/>
  <sheetViews>
    <sheetView view="pageBreakPreview" zoomScale="80" zoomScaleNormal="80" zoomScaleSheetLayoutView="80" workbookViewId="0">
      <pane xSplit="1" ySplit="15" topLeftCell="B16" activePane="bottomRight" state="frozen"/>
      <selection pane="topRight" activeCell="B1" sqref="B1"/>
      <selection pane="bottomLeft" activeCell="A4" sqref="A4"/>
      <selection pane="bottomRight" activeCell="A11" sqref="A11"/>
    </sheetView>
  </sheetViews>
  <sheetFormatPr defaultColWidth="8.85546875" defaultRowHeight="12.75" x14ac:dyDescent="0.2"/>
  <cols>
    <col min="1" max="1" width="59.7109375" style="10" bestFit="1" customWidth="1"/>
    <col min="2" max="2" width="10.28515625" style="10" bestFit="1" customWidth="1"/>
    <col min="3" max="3" width="19.28515625" style="10" bestFit="1" customWidth="1"/>
    <col min="4" max="4" width="15" style="10" bestFit="1" customWidth="1"/>
    <col min="5" max="5" width="21.85546875" style="10" bestFit="1" customWidth="1"/>
    <col min="6" max="6" width="21.28515625" style="10" bestFit="1" customWidth="1"/>
    <col min="7" max="7" width="17.140625" style="10" bestFit="1" customWidth="1"/>
    <col min="8" max="8" width="14.85546875" style="10" bestFit="1" customWidth="1"/>
    <col min="9" max="9" width="17.85546875" style="10" bestFit="1" customWidth="1"/>
    <col min="10" max="10" width="14.5703125" style="10" bestFit="1" customWidth="1"/>
    <col min="11" max="11" width="11.28515625" style="10" bestFit="1" customWidth="1"/>
    <col min="12" max="16384" width="8.85546875" style="10"/>
  </cols>
  <sheetData>
    <row r="1" spans="1:11" s="18" customFormat="1" x14ac:dyDescent="0.2">
      <c r="A1" s="77" t="s">
        <v>263</v>
      </c>
      <c r="B1" s="77"/>
      <c r="C1" s="77"/>
      <c r="D1" s="77"/>
      <c r="E1" s="77"/>
      <c r="F1" s="77"/>
      <c r="G1" s="77"/>
      <c r="H1" s="77"/>
      <c r="I1" s="77"/>
      <c r="J1" s="67"/>
      <c r="K1" s="68" t="s">
        <v>282</v>
      </c>
    </row>
    <row r="2" spans="1:11" s="18" customFormat="1" x14ac:dyDescent="0.2">
      <c r="A2" s="69" t="s">
        <v>264</v>
      </c>
      <c r="B2" s="69"/>
      <c r="C2" s="69"/>
      <c r="D2" s="69"/>
      <c r="E2" s="69"/>
      <c r="F2" s="69"/>
      <c r="G2" s="69"/>
      <c r="H2" s="69"/>
      <c r="I2" s="69"/>
      <c r="J2" s="69"/>
    </row>
    <row r="3" spans="1:11" s="18" customFormat="1" x14ac:dyDescent="0.2">
      <c r="A3" s="69"/>
      <c r="B3" s="69"/>
      <c r="C3" s="69"/>
      <c r="D3" s="69"/>
      <c r="E3" s="69"/>
      <c r="F3" s="69"/>
      <c r="G3" s="69"/>
      <c r="H3" s="69"/>
      <c r="I3" s="69"/>
      <c r="J3" s="69"/>
    </row>
    <row r="4" spans="1:11" s="18" customFormat="1" x14ac:dyDescent="0.2">
      <c r="A4" s="74" t="s">
        <v>288</v>
      </c>
      <c r="B4" s="74"/>
      <c r="C4" s="74"/>
      <c r="D4" s="74"/>
      <c r="E4" s="74"/>
      <c r="F4" s="74"/>
      <c r="G4" s="74"/>
      <c r="H4" s="74"/>
      <c r="I4" s="74"/>
      <c r="J4" s="26"/>
      <c r="K4" s="25"/>
    </row>
    <row r="5" spans="1:11" s="18" customFormat="1" x14ac:dyDescent="0.2">
      <c r="A5" s="75" t="s">
        <v>289</v>
      </c>
      <c r="B5" s="75"/>
      <c r="C5" s="75"/>
      <c r="D5" s="75"/>
      <c r="E5" s="75"/>
      <c r="F5" s="75"/>
      <c r="G5" s="75"/>
      <c r="H5" s="75"/>
      <c r="I5" s="75"/>
      <c r="J5" s="75"/>
      <c r="K5" s="76"/>
    </row>
    <row r="6" spans="1:11" s="18" customFormat="1" x14ac:dyDescent="0.2">
      <c r="D6" s="66"/>
      <c r="E6" s="70"/>
      <c r="F6" s="70"/>
      <c r="J6" s="67"/>
      <c r="K6" s="68"/>
    </row>
    <row r="7" spans="1:11" s="18" customFormat="1" x14ac:dyDescent="0.2">
      <c r="A7" s="7" t="s">
        <v>300</v>
      </c>
      <c r="D7" s="66"/>
      <c r="E7" s="70"/>
      <c r="F7" s="70"/>
      <c r="J7" s="67"/>
      <c r="K7" s="68"/>
    </row>
    <row r="8" spans="1:11" s="18" customFormat="1" x14ac:dyDescent="0.2">
      <c r="A8" s="55" t="s">
        <v>301</v>
      </c>
      <c r="D8" s="66"/>
      <c r="E8" s="70"/>
      <c r="F8" s="70"/>
      <c r="J8" s="67"/>
      <c r="K8" s="68"/>
    </row>
    <row r="9" spans="1:11" s="18" customFormat="1" x14ac:dyDescent="0.2">
      <c r="A9" s="56" t="s">
        <v>302</v>
      </c>
      <c r="D9" s="66"/>
      <c r="E9" s="70"/>
      <c r="F9" s="70"/>
      <c r="J9" s="67"/>
      <c r="K9" s="68"/>
    </row>
    <row r="10" spans="1:11" s="18" customFormat="1" x14ac:dyDescent="0.2">
      <c r="A10" s="57" t="s">
        <v>303</v>
      </c>
      <c r="D10" s="66"/>
      <c r="E10" s="70"/>
      <c r="F10" s="70"/>
      <c r="J10" s="67"/>
      <c r="K10" s="68"/>
    </row>
    <row r="11" spans="1:11" s="18" customFormat="1" x14ac:dyDescent="0.2">
      <c r="A11" s="72" t="s">
        <v>304</v>
      </c>
      <c r="D11" s="66"/>
      <c r="E11" s="70"/>
      <c r="F11" s="70"/>
      <c r="J11" s="67"/>
      <c r="K11" s="68"/>
    </row>
    <row r="12" spans="1:11" s="18" customFormat="1" x14ac:dyDescent="0.2">
      <c r="D12" s="66"/>
      <c r="E12" s="70"/>
      <c r="F12" s="70"/>
      <c r="J12" s="67"/>
      <c r="K12" s="68"/>
    </row>
    <row r="13" spans="1:11" s="18" customFormat="1" ht="20.25" x14ac:dyDescent="0.2">
      <c r="A13" s="69" t="s">
        <v>298</v>
      </c>
      <c r="B13" s="33"/>
      <c r="C13" s="15"/>
      <c r="D13" s="15"/>
      <c r="E13" s="15"/>
      <c r="F13" s="15"/>
      <c r="G13" s="15"/>
      <c r="H13" s="15"/>
      <c r="I13" s="15"/>
      <c r="J13" s="15"/>
    </row>
    <row r="14" spans="1:11" s="18" customFormat="1" ht="15" customHeight="1" x14ac:dyDescent="0.2">
      <c r="A14" s="15"/>
      <c r="B14" s="15"/>
      <c r="C14" s="15"/>
      <c r="D14" s="15"/>
      <c r="E14" s="15"/>
      <c r="F14" s="15"/>
      <c r="G14" s="15"/>
      <c r="H14" s="15"/>
      <c r="I14" s="15"/>
      <c r="J14" s="15"/>
    </row>
    <row r="15" spans="1:11" s="27" customFormat="1" ht="70.5" customHeight="1" x14ac:dyDescent="0.2">
      <c r="A15" s="52" t="s">
        <v>2</v>
      </c>
      <c r="B15" s="53" t="s">
        <v>125</v>
      </c>
      <c r="C15" s="49" t="s">
        <v>127</v>
      </c>
      <c r="D15" s="34" t="s">
        <v>173</v>
      </c>
      <c r="E15" s="34" t="s">
        <v>174</v>
      </c>
      <c r="F15" s="34" t="s">
        <v>175</v>
      </c>
      <c r="G15" s="34" t="s">
        <v>176</v>
      </c>
      <c r="H15" s="34" t="s">
        <v>177</v>
      </c>
      <c r="I15" s="34" t="s">
        <v>178</v>
      </c>
      <c r="J15" s="34" t="s">
        <v>179</v>
      </c>
      <c r="K15" s="50" t="s">
        <v>128</v>
      </c>
    </row>
    <row r="16" spans="1:11" x14ac:dyDescent="0.2">
      <c r="A16" s="43" t="s">
        <v>58</v>
      </c>
      <c r="B16" s="44">
        <v>0</v>
      </c>
      <c r="C16" s="44">
        <v>0</v>
      </c>
      <c r="D16" s="44">
        <v>0</v>
      </c>
      <c r="E16" s="44">
        <v>0</v>
      </c>
      <c r="F16" s="44">
        <v>0</v>
      </c>
      <c r="G16" s="44">
        <v>0</v>
      </c>
      <c r="H16" s="44">
        <v>0</v>
      </c>
      <c r="I16" s="44">
        <v>0</v>
      </c>
      <c r="J16" s="44">
        <v>0</v>
      </c>
      <c r="K16" s="44">
        <v>0</v>
      </c>
    </row>
    <row r="17" spans="1:11" x14ac:dyDescent="0.2">
      <c r="A17" s="43" t="s">
        <v>34</v>
      </c>
      <c r="B17" s="44">
        <v>0</v>
      </c>
      <c r="C17" s="44">
        <v>2</v>
      </c>
      <c r="D17" s="44">
        <v>0</v>
      </c>
      <c r="E17" s="44">
        <v>0</v>
      </c>
      <c r="F17" s="44">
        <v>2</v>
      </c>
      <c r="G17" s="44">
        <v>0</v>
      </c>
      <c r="H17" s="44">
        <v>0</v>
      </c>
      <c r="I17" s="44">
        <v>0</v>
      </c>
      <c r="J17" s="44">
        <v>2</v>
      </c>
      <c r="K17" s="44">
        <v>0</v>
      </c>
    </row>
    <row r="18" spans="1:11" x14ac:dyDescent="0.2">
      <c r="A18" s="43" t="s">
        <v>64</v>
      </c>
      <c r="B18" s="44">
        <v>0</v>
      </c>
      <c r="C18" s="44">
        <v>8</v>
      </c>
      <c r="D18" s="44">
        <v>3</v>
      </c>
      <c r="E18" s="44">
        <v>2</v>
      </c>
      <c r="F18" s="44">
        <v>7</v>
      </c>
      <c r="G18" s="44">
        <v>2</v>
      </c>
      <c r="H18" s="44">
        <v>5</v>
      </c>
      <c r="I18" s="44">
        <v>2</v>
      </c>
      <c r="J18" s="44">
        <v>8</v>
      </c>
      <c r="K18" s="44">
        <v>0</v>
      </c>
    </row>
    <row r="19" spans="1:11" x14ac:dyDescent="0.2">
      <c r="A19" s="43" t="s">
        <v>57</v>
      </c>
      <c r="B19" s="44">
        <v>1</v>
      </c>
      <c r="C19" s="44">
        <v>7</v>
      </c>
      <c r="D19" s="44">
        <v>1</v>
      </c>
      <c r="E19" s="44">
        <v>2</v>
      </c>
      <c r="F19" s="44">
        <v>6</v>
      </c>
      <c r="G19" s="44">
        <v>1</v>
      </c>
      <c r="H19" s="44">
        <v>4</v>
      </c>
      <c r="I19" s="44">
        <v>2</v>
      </c>
      <c r="J19" s="44">
        <v>6</v>
      </c>
      <c r="K19" s="44">
        <v>0</v>
      </c>
    </row>
    <row r="20" spans="1:11" x14ac:dyDescent="0.2">
      <c r="A20" s="43" t="s">
        <v>21</v>
      </c>
      <c r="B20" s="44">
        <v>0</v>
      </c>
      <c r="C20" s="44">
        <v>1</v>
      </c>
      <c r="D20" s="44">
        <v>0</v>
      </c>
      <c r="E20" s="44">
        <v>0</v>
      </c>
      <c r="F20" s="44">
        <v>1</v>
      </c>
      <c r="G20" s="44">
        <v>0</v>
      </c>
      <c r="H20" s="44">
        <v>0</v>
      </c>
      <c r="I20" s="44">
        <v>0</v>
      </c>
      <c r="J20" s="44">
        <v>0</v>
      </c>
      <c r="K20" s="44">
        <v>0</v>
      </c>
    </row>
    <row r="21" spans="1:11" x14ac:dyDescent="0.2">
      <c r="A21" s="43" t="s">
        <v>30</v>
      </c>
      <c r="B21" s="44">
        <v>4</v>
      </c>
      <c r="C21" s="44">
        <v>19</v>
      </c>
      <c r="D21" s="44">
        <v>4</v>
      </c>
      <c r="E21" s="44">
        <v>4</v>
      </c>
      <c r="F21" s="44">
        <v>14</v>
      </c>
      <c r="G21" s="44">
        <v>5</v>
      </c>
      <c r="H21" s="44">
        <v>9</v>
      </c>
      <c r="I21" s="44">
        <v>6</v>
      </c>
      <c r="J21" s="44">
        <v>15</v>
      </c>
      <c r="K21" s="44">
        <v>1</v>
      </c>
    </row>
    <row r="22" spans="1:11" x14ac:dyDescent="0.2">
      <c r="A22" s="43" t="s">
        <v>3</v>
      </c>
      <c r="B22" s="44">
        <v>0</v>
      </c>
      <c r="C22" s="44">
        <v>0</v>
      </c>
      <c r="D22" s="44">
        <v>0</v>
      </c>
      <c r="E22" s="44">
        <v>0</v>
      </c>
      <c r="F22" s="44">
        <v>0</v>
      </c>
      <c r="G22" s="44">
        <v>0</v>
      </c>
      <c r="H22" s="44">
        <v>0</v>
      </c>
      <c r="I22" s="44">
        <v>0</v>
      </c>
      <c r="J22" s="44">
        <v>0</v>
      </c>
      <c r="K22" s="44">
        <v>1</v>
      </c>
    </row>
    <row r="23" spans="1:11" x14ac:dyDescent="0.2">
      <c r="A23" s="43" t="s">
        <v>39</v>
      </c>
      <c r="B23" s="44">
        <v>1</v>
      </c>
      <c r="C23" s="44">
        <v>2</v>
      </c>
      <c r="D23" s="44">
        <v>0</v>
      </c>
      <c r="E23" s="44">
        <v>0</v>
      </c>
      <c r="F23" s="44">
        <v>2</v>
      </c>
      <c r="G23" s="44">
        <v>0</v>
      </c>
      <c r="H23" s="44">
        <v>0</v>
      </c>
      <c r="I23" s="44">
        <v>0</v>
      </c>
      <c r="J23" s="44">
        <v>1</v>
      </c>
      <c r="K23" s="44">
        <v>0</v>
      </c>
    </row>
    <row r="24" spans="1:11" x14ac:dyDescent="0.2">
      <c r="A24" s="43" t="s">
        <v>126</v>
      </c>
      <c r="B24" s="44">
        <v>6</v>
      </c>
      <c r="C24" s="44">
        <v>39</v>
      </c>
      <c r="D24" s="44">
        <v>8</v>
      </c>
      <c r="E24" s="44">
        <v>8</v>
      </c>
      <c r="F24" s="44">
        <v>32</v>
      </c>
      <c r="G24" s="44">
        <v>8</v>
      </c>
      <c r="H24" s="44">
        <v>18</v>
      </c>
      <c r="I24" s="44">
        <v>10</v>
      </c>
      <c r="J24" s="44">
        <v>32</v>
      </c>
      <c r="K24" s="44">
        <v>2</v>
      </c>
    </row>
    <row r="25" spans="1:11" ht="15" x14ac:dyDescent="0.25">
      <c r="A25"/>
      <c r="B25"/>
      <c r="C25"/>
      <c r="D25"/>
      <c r="E25"/>
      <c r="F25"/>
      <c r="G25"/>
      <c r="H25"/>
      <c r="I25"/>
      <c r="J25"/>
      <c r="K25"/>
    </row>
    <row r="26" spans="1:11" ht="15" x14ac:dyDescent="0.25">
      <c r="A26"/>
      <c r="B26"/>
      <c r="C26"/>
      <c r="D26"/>
      <c r="E26"/>
      <c r="F26"/>
      <c r="G26"/>
      <c r="H26"/>
      <c r="I26"/>
      <c r="J26"/>
      <c r="K26"/>
    </row>
    <row r="27" spans="1:11" ht="15" x14ac:dyDescent="0.25">
      <c r="A27"/>
      <c r="B27"/>
      <c r="C27"/>
      <c r="D27"/>
      <c r="E27"/>
      <c r="F27"/>
      <c r="G27"/>
      <c r="H27"/>
      <c r="I27"/>
      <c r="J27"/>
      <c r="K27"/>
    </row>
    <row r="28" spans="1:11" ht="15" x14ac:dyDescent="0.25">
      <c r="A28"/>
      <c r="B28"/>
      <c r="C28"/>
      <c r="D28"/>
      <c r="E28"/>
      <c r="F28"/>
      <c r="G28"/>
      <c r="H28"/>
      <c r="I28"/>
      <c r="J28"/>
      <c r="K28"/>
    </row>
    <row r="29" spans="1:11" ht="15" x14ac:dyDescent="0.25">
      <c r="A29"/>
      <c r="B29"/>
      <c r="C29"/>
      <c r="D29"/>
      <c r="E29"/>
      <c r="F29"/>
      <c r="G29"/>
      <c r="H29"/>
      <c r="I29"/>
      <c r="J29"/>
      <c r="K29"/>
    </row>
    <row r="30" spans="1:11" ht="15" x14ac:dyDescent="0.25">
      <c r="A30"/>
      <c r="B30"/>
      <c r="C30"/>
      <c r="D30"/>
      <c r="E30"/>
      <c r="F30"/>
      <c r="G30"/>
      <c r="H30"/>
      <c r="I30"/>
      <c r="J30"/>
      <c r="K30"/>
    </row>
    <row r="31" spans="1:11" ht="15" x14ac:dyDescent="0.25">
      <c r="A31"/>
      <c r="B31"/>
      <c r="C31"/>
      <c r="D31"/>
      <c r="E31"/>
      <c r="F31"/>
      <c r="G31"/>
      <c r="H31"/>
      <c r="I31"/>
      <c r="J31"/>
      <c r="K31"/>
    </row>
    <row r="32" spans="1:11" ht="15" x14ac:dyDescent="0.25">
      <c r="A32"/>
      <c r="B32"/>
      <c r="C32"/>
      <c r="D32"/>
      <c r="E32"/>
      <c r="F32"/>
      <c r="G32"/>
      <c r="H32"/>
      <c r="I32"/>
      <c r="J32"/>
      <c r="K32"/>
    </row>
    <row r="33" spans="1:11" ht="15" x14ac:dyDescent="0.25">
      <c r="A33"/>
      <c r="B33"/>
      <c r="C33"/>
      <c r="D33"/>
      <c r="E33"/>
      <c r="F33"/>
      <c r="G33"/>
      <c r="H33"/>
      <c r="I33"/>
      <c r="J33"/>
      <c r="K33"/>
    </row>
    <row r="34" spans="1:11" ht="15" x14ac:dyDescent="0.25">
      <c r="A34"/>
      <c r="B34"/>
      <c r="C34"/>
      <c r="D34"/>
      <c r="E34"/>
      <c r="F34"/>
      <c r="G34"/>
      <c r="H34"/>
      <c r="I34"/>
      <c r="J34"/>
      <c r="K34"/>
    </row>
    <row r="35" spans="1:11" ht="15" x14ac:dyDescent="0.25">
      <c r="A35"/>
      <c r="B35"/>
      <c r="C35"/>
      <c r="D35"/>
      <c r="E35"/>
      <c r="F35"/>
      <c r="G35"/>
      <c r="H35"/>
      <c r="I35"/>
      <c r="J35"/>
      <c r="K35"/>
    </row>
    <row r="36" spans="1:11" ht="15" x14ac:dyDescent="0.25">
      <c r="A36"/>
      <c r="B36"/>
      <c r="C36"/>
      <c r="D36"/>
      <c r="E36"/>
      <c r="F36"/>
      <c r="G36"/>
      <c r="H36"/>
      <c r="I36"/>
      <c r="J36"/>
      <c r="K36"/>
    </row>
    <row r="37" spans="1:11" ht="15" x14ac:dyDescent="0.25">
      <c r="A37"/>
      <c r="B37"/>
      <c r="C37"/>
      <c r="D37"/>
      <c r="E37"/>
      <c r="F37"/>
      <c r="G37"/>
      <c r="H37"/>
      <c r="I37"/>
      <c r="J37"/>
      <c r="K37"/>
    </row>
    <row r="38" spans="1:11" ht="15" x14ac:dyDescent="0.25">
      <c r="A38"/>
      <c r="B38"/>
      <c r="C38"/>
      <c r="D38"/>
      <c r="E38"/>
      <c r="F38"/>
      <c r="G38"/>
      <c r="H38"/>
      <c r="I38"/>
      <c r="J38"/>
      <c r="K38"/>
    </row>
    <row r="39" spans="1:11" ht="15" x14ac:dyDescent="0.25">
      <c r="A39"/>
      <c r="B39"/>
      <c r="C39"/>
      <c r="D39"/>
      <c r="E39"/>
      <c r="F39"/>
      <c r="G39"/>
      <c r="H39"/>
      <c r="I39"/>
      <c r="J39"/>
      <c r="K39"/>
    </row>
    <row r="40" spans="1:11" ht="15" x14ac:dyDescent="0.25">
      <c r="A40"/>
      <c r="B40"/>
      <c r="C40"/>
      <c r="D40"/>
      <c r="E40"/>
      <c r="F40"/>
      <c r="G40"/>
      <c r="H40"/>
      <c r="I40"/>
      <c r="J40"/>
      <c r="K40"/>
    </row>
    <row r="41" spans="1:11" ht="15" x14ac:dyDescent="0.25">
      <c r="A41"/>
      <c r="B41"/>
      <c r="C41"/>
      <c r="D41"/>
      <c r="E41"/>
      <c r="F41"/>
      <c r="G41"/>
      <c r="H41"/>
      <c r="I41"/>
      <c r="J41"/>
      <c r="K41"/>
    </row>
    <row r="42" spans="1:11" ht="15" x14ac:dyDescent="0.25">
      <c r="A42"/>
      <c r="B42"/>
      <c r="C42"/>
      <c r="D42"/>
      <c r="E42"/>
      <c r="F42"/>
      <c r="G42"/>
      <c r="H42"/>
      <c r="I42"/>
      <c r="J42"/>
      <c r="K42"/>
    </row>
    <row r="43" spans="1:11" ht="15" x14ac:dyDescent="0.25">
      <c r="A43"/>
      <c r="B43"/>
      <c r="C43"/>
      <c r="D43"/>
      <c r="E43"/>
      <c r="F43"/>
      <c r="G43"/>
      <c r="H43"/>
      <c r="I43"/>
      <c r="J43"/>
      <c r="K43"/>
    </row>
    <row r="44" spans="1:11" ht="15" x14ac:dyDescent="0.25">
      <c r="A44"/>
      <c r="B44"/>
      <c r="C44"/>
      <c r="D44"/>
      <c r="E44"/>
      <c r="F44"/>
      <c r="G44"/>
      <c r="H44"/>
      <c r="I44"/>
      <c r="J44"/>
      <c r="K44"/>
    </row>
    <row r="45" spans="1:11" ht="15" x14ac:dyDescent="0.25">
      <c r="A45"/>
      <c r="B45"/>
      <c r="C45"/>
      <c r="D45"/>
      <c r="E45"/>
      <c r="F45"/>
      <c r="G45"/>
      <c r="H45"/>
      <c r="I45"/>
      <c r="J45"/>
      <c r="K45"/>
    </row>
    <row r="46" spans="1:11" ht="15" x14ac:dyDescent="0.25">
      <c r="A46"/>
      <c r="B46"/>
      <c r="C46"/>
      <c r="D46"/>
      <c r="E46"/>
      <c r="F46"/>
      <c r="G46"/>
      <c r="H46"/>
      <c r="I46"/>
      <c r="J46"/>
      <c r="K46"/>
    </row>
    <row r="47" spans="1:11" ht="15" x14ac:dyDescent="0.25">
      <c r="A47"/>
      <c r="B47"/>
      <c r="C47"/>
      <c r="D47"/>
      <c r="E47"/>
      <c r="F47"/>
      <c r="G47"/>
      <c r="H47"/>
      <c r="I47"/>
      <c r="J47"/>
      <c r="K47"/>
    </row>
    <row r="48" spans="1:11" ht="15" x14ac:dyDescent="0.25">
      <c r="A48"/>
      <c r="B48"/>
      <c r="C48"/>
      <c r="D48"/>
      <c r="E48"/>
      <c r="F48"/>
      <c r="G48"/>
      <c r="H48"/>
      <c r="I48"/>
      <c r="J48"/>
      <c r="K48"/>
    </row>
    <row r="49" spans="1:11" ht="15" x14ac:dyDescent="0.25">
      <c r="A49"/>
      <c r="B49"/>
      <c r="C49"/>
      <c r="D49"/>
      <c r="E49"/>
      <c r="F49"/>
      <c r="G49"/>
      <c r="H49"/>
      <c r="I49"/>
      <c r="J49"/>
      <c r="K49"/>
    </row>
    <row r="50" spans="1:11" ht="15" x14ac:dyDescent="0.25">
      <c r="A50"/>
      <c r="B50"/>
      <c r="C50"/>
      <c r="D50"/>
      <c r="E50"/>
      <c r="F50"/>
      <c r="G50"/>
      <c r="H50"/>
      <c r="I50"/>
      <c r="J50"/>
      <c r="K50"/>
    </row>
    <row r="51" spans="1:11" ht="15" x14ac:dyDescent="0.25">
      <c r="A51"/>
      <c r="B51"/>
      <c r="C51"/>
      <c r="D51"/>
      <c r="E51"/>
      <c r="F51"/>
      <c r="G51"/>
      <c r="H51"/>
      <c r="I51"/>
      <c r="J51"/>
      <c r="K51"/>
    </row>
    <row r="52" spans="1:11" ht="15" x14ac:dyDescent="0.25">
      <c r="A52"/>
      <c r="B52"/>
      <c r="C52"/>
      <c r="D52"/>
      <c r="E52"/>
      <c r="F52"/>
      <c r="G52"/>
      <c r="H52"/>
      <c r="I52"/>
      <c r="J52"/>
      <c r="K52"/>
    </row>
    <row r="53" spans="1:11" ht="15" x14ac:dyDescent="0.25">
      <c r="A53"/>
      <c r="B53"/>
      <c r="C53"/>
      <c r="D53"/>
      <c r="E53"/>
      <c r="F53"/>
      <c r="G53"/>
      <c r="H53"/>
      <c r="I53"/>
      <c r="J53"/>
      <c r="K53"/>
    </row>
    <row r="54" spans="1:11" ht="15" x14ac:dyDescent="0.25">
      <c r="A54"/>
      <c r="B54"/>
      <c r="C54"/>
      <c r="D54"/>
      <c r="E54"/>
      <c r="F54"/>
      <c r="G54"/>
      <c r="H54"/>
      <c r="I54"/>
      <c r="J54"/>
      <c r="K54"/>
    </row>
    <row r="55" spans="1:11" ht="15" x14ac:dyDescent="0.25">
      <c r="A55"/>
      <c r="B55"/>
      <c r="C55"/>
      <c r="D55"/>
      <c r="E55"/>
      <c r="F55"/>
      <c r="G55"/>
      <c r="H55"/>
      <c r="I55"/>
      <c r="J55"/>
      <c r="K55"/>
    </row>
    <row r="56" spans="1:11" ht="15" x14ac:dyDescent="0.25">
      <c r="A56"/>
      <c r="B56"/>
      <c r="C56"/>
      <c r="D56"/>
      <c r="E56"/>
      <c r="F56"/>
      <c r="G56"/>
      <c r="H56"/>
      <c r="I56"/>
      <c r="J56"/>
      <c r="K56"/>
    </row>
    <row r="57" spans="1:11" ht="15" x14ac:dyDescent="0.25">
      <c r="A57"/>
      <c r="B57"/>
      <c r="C57"/>
      <c r="D57"/>
      <c r="E57"/>
      <c r="F57"/>
      <c r="G57"/>
      <c r="H57"/>
      <c r="I57"/>
      <c r="J57"/>
      <c r="K57"/>
    </row>
    <row r="58" spans="1:11" ht="15" x14ac:dyDescent="0.25">
      <c r="A58"/>
      <c r="B58"/>
      <c r="C58"/>
      <c r="D58"/>
      <c r="E58"/>
      <c r="F58"/>
      <c r="G58"/>
      <c r="H58"/>
      <c r="I58"/>
      <c r="J58"/>
      <c r="K58"/>
    </row>
    <row r="59" spans="1:11" ht="15" x14ac:dyDescent="0.25">
      <c r="A59"/>
      <c r="B59"/>
      <c r="C59"/>
      <c r="D59"/>
      <c r="E59"/>
      <c r="F59"/>
      <c r="G59"/>
      <c r="H59"/>
      <c r="I59"/>
      <c r="J59"/>
      <c r="K59"/>
    </row>
    <row r="60" spans="1:11" ht="15" x14ac:dyDescent="0.25">
      <c r="A60"/>
      <c r="B60"/>
      <c r="C60"/>
      <c r="D60"/>
      <c r="E60"/>
      <c r="F60"/>
      <c r="G60"/>
      <c r="H60"/>
      <c r="I60"/>
      <c r="J60"/>
      <c r="K60"/>
    </row>
    <row r="61" spans="1:11" ht="15" x14ac:dyDescent="0.25">
      <c r="A61"/>
      <c r="B61"/>
      <c r="C61"/>
      <c r="D61"/>
      <c r="E61"/>
      <c r="F61"/>
      <c r="G61"/>
      <c r="H61"/>
      <c r="I61"/>
      <c r="J61"/>
      <c r="K61"/>
    </row>
    <row r="62" spans="1:11" ht="15" x14ac:dyDescent="0.25">
      <c r="A62"/>
      <c r="B62"/>
      <c r="C62"/>
      <c r="D62"/>
      <c r="E62"/>
      <c r="F62"/>
      <c r="G62"/>
      <c r="H62"/>
      <c r="I62"/>
      <c r="J62"/>
      <c r="K62"/>
    </row>
    <row r="63" spans="1:11" ht="15" x14ac:dyDescent="0.25">
      <c r="A63"/>
      <c r="B63"/>
      <c r="C63"/>
      <c r="D63"/>
      <c r="E63"/>
      <c r="F63"/>
      <c r="G63"/>
      <c r="H63"/>
      <c r="I63"/>
      <c r="J63"/>
      <c r="K63"/>
    </row>
    <row r="64" spans="1:11" ht="15" x14ac:dyDescent="0.25">
      <c r="A64"/>
      <c r="B64"/>
      <c r="C64"/>
      <c r="D64"/>
      <c r="E64"/>
      <c r="F64"/>
      <c r="G64"/>
      <c r="H64"/>
      <c r="I64"/>
      <c r="J64"/>
      <c r="K64"/>
    </row>
    <row r="65" spans="1:11" ht="15" x14ac:dyDescent="0.25">
      <c r="A65"/>
      <c r="B65"/>
      <c r="C65"/>
      <c r="D65"/>
      <c r="E65"/>
      <c r="F65"/>
      <c r="G65"/>
      <c r="H65"/>
      <c r="I65"/>
      <c r="J65"/>
      <c r="K65"/>
    </row>
    <row r="66" spans="1:11" ht="15" x14ac:dyDescent="0.25">
      <c r="A66"/>
      <c r="B66"/>
      <c r="C66"/>
      <c r="D66"/>
      <c r="E66"/>
      <c r="F66"/>
      <c r="G66"/>
      <c r="H66"/>
      <c r="I66"/>
      <c r="J66"/>
      <c r="K66"/>
    </row>
    <row r="67" spans="1:11" ht="15" x14ac:dyDescent="0.25">
      <c r="A67"/>
      <c r="B67"/>
      <c r="C67"/>
      <c r="D67"/>
      <c r="E67"/>
      <c r="F67"/>
      <c r="G67"/>
      <c r="H67"/>
      <c r="I67"/>
      <c r="J67"/>
      <c r="K67"/>
    </row>
    <row r="68" spans="1:11" ht="15" x14ac:dyDescent="0.25">
      <c r="A68"/>
      <c r="B68"/>
      <c r="C68"/>
      <c r="D68"/>
      <c r="E68"/>
      <c r="F68"/>
      <c r="G68"/>
      <c r="H68"/>
      <c r="I68"/>
      <c r="J68"/>
      <c r="K68"/>
    </row>
    <row r="69" spans="1:11" ht="15" x14ac:dyDescent="0.25">
      <c r="A69"/>
      <c r="B69"/>
      <c r="C69"/>
      <c r="D69"/>
      <c r="E69"/>
      <c r="F69"/>
      <c r="G69"/>
      <c r="H69"/>
      <c r="I69"/>
      <c r="J69"/>
      <c r="K69"/>
    </row>
    <row r="70" spans="1:11" ht="15" x14ac:dyDescent="0.25">
      <c r="A70"/>
      <c r="B70"/>
      <c r="C70"/>
      <c r="D70"/>
      <c r="E70"/>
      <c r="F70"/>
      <c r="G70"/>
      <c r="H70"/>
      <c r="I70"/>
      <c r="J70"/>
      <c r="K70"/>
    </row>
    <row r="71" spans="1:11" ht="15" x14ac:dyDescent="0.25">
      <c r="A71"/>
      <c r="B71"/>
      <c r="C71"/>
      <c r="D71"/>
      <c r="E71"/>
      <c r="F71"/>
      <c r="G71"/>
      <c r="H71"/>
      <c r="I71"/>
      <c r="J71"/>
      <c r="K71"/>
    </row>
    <row r="72" spans="1:11" ht="15" x14ac:dyDescent="0.25">
      <c r="A72"/>
      <c r="B72"/>
      <c r="C72"/>
      <c r="D72"/>
      <c r="E72"/>
      <c r="F72"/>
      <c r="G72"/>
      <c r="H72"/>
      <c r="I72"/>
      <c r="J72"/>
      <c r="K72"/>
    </row>
    <row r="73" spans="1:11" ht="15" x14ac:dyDescent="0.25">
      <c r="A73"/>
      <c r="B73"/>
      <c r="C73"/>
      <c r="D73"/>
      <c r="E73"/>
      <c r="F73"/>
      <c r="G73"/>
      <c r="H73"/>
      <c r="I73"/>
      <c r="J73"/>
      <c r="K73"/>
    </row>
    <row r="74" spans="1:11" ht="15" x14ac:dyDescent="0.25">
      <c r="A74"/>
      <c r="B74"/>
      <c r="C74"/>
      <c r="D74"/>
      <c r="E74"/>
      <c r="F74"/>
      <c r="G74"/>
      <c r="H74"/>
      <c r="I74"/>
      <c r="J74"/>
      <c r="K74"/>
    </row>
    <row r="75" spans="1:11" ht="15" x14ac:dyDescent="0.25">
      <c r="A75"/>
      <c r="B75"/>
      <c r="C75"/>
      <c r="D75"/>
      <c r="E75"/>
      <c r="F75"/>
      <c r="G75"/>
      <c r="H75"/>
      <c r="I75"/>
      <c r="J75"/>
      <c r="K75"/>
    </row>
    <row r="76" spans="1:11" ht="15" x14ac:dyDescent="0.25">
      <c r="A76"/>
      <c r="B76"/>
      <c r="C76"/>
      <c r="D76"/>
      <c r="E76"/>
      <c r="F76"/>
      <c r="G76"/>
      <c r="H76"/>
      <c r="I76"/>
      <c r="J76"/>
      <c r="K76"/>
    </row>
  </sheetData>
  <mergeCells count="3">
    <mergeCell ref="A1:I1"/>
    <mergeCell ref="A4:I4"/>
    <mergeCell ref="A5:K5"/>
  </mergeCells>
  <pageMargins left="0.7" right="0.7" top="0.75" bottom="0.75" header="0.3" footer="0.3"/>
  <pageSetup scale="39" orientation="landscape" r:id="rId2"/>
  <headerFooter>
    <oddFooter>&amp;R&amp;P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F992-4053-44FD-B0E2-693DD846D047}">
  <dimension ref="A1:N53"/>
  <sheetViews>
    <sheetView workbookViewId="0">
      <pane xSplit="2" ySplit="1" topLeftCell="K40" activePane="bottomRight" state="frozen"/>
      <selection pane="topRight" activeCell="C1" sqref="C1"/>
      <selection pane="bottomLeft" activeCell="A2" sqref="A2"/>
      <selection pane="bottomRight" activeCell="O50" sqref="O50"/>
    </sheetView>
  </sheetViews>
  <sheetFormatPr defaultColWidth="30.7109375" defaultRowHeight="12.75" x14ac:dyDescent="0.2"/>
  <cols>
    <col min="1" max="1" width="0" style="2" hidden="1" customWidth="1"/>
    <col min="2" max="2" width="30.7109375" style="10"/>
    <col min="3" max="4" width="0" style="2" hidden="1" customWidth="1"/>
    <col min="5" max="14" width="30.7109375" style="10"/>
    <col min="15" max="16384" width="30.7109375" style="2"/>
  </cols>
  <sheetData>
    <row r="1" spans="1:14" ht="25.5" x14ac:dyDescent="0.2">
      <c r="A1" s="2" t="s">
        <v>2</v>
      </c>
      <c r="B1" s="2" t="s">
        <v>2</v>
      </c>
      <c r="C1" s="2" t="s">
        <v>65</v>
      </c>
      <c r="D1" s="2" t="s">
        <v>62</v>
      </c>
      <c r="E1" s="11" t="s">
        <v>69</v>
      </c>
      <c r="F1" s="11" t="s">
        <v>70</v>
      </c>
      <c r="G1" s="11" t="s">
        <v>166</v>
      </c>
      <c r="H1" s="11" t="s">
        <v>167</v>
      </c>
      <c r="I1" s="11" t="s">
        <v>168</v>
      </c>
      <c r="J1" s="11" t="s">
        <v>169</v>
      </c>
      <c r="K1" s="11" t="s">
        <v>170</v>
      </c>
      <c r="L1" s="11" t="s">
        <v>171</v>
      </c>
      <c r="M1" s="11" t="s">
        <v>172</v>
      </c>
      <c r="N1" s="11" t="s">
        <v>71</v>
      </c>
    </row>
    <row r="2" spans="1:14" x14ac:dyDescent="0.2">
      <c r="A2" s="2" t="s">
        <v>52</v>
      </c>
      <c r="B2" s="3" t="s">
        <v>72</v>
      </c>
      <c r="C2" s="2" t="s">
        <v>58</v>
      </c>
      <c r="D2" s="2" t="s">
        <v>9</v>
      </c>
      <c r="E2" s="4">
        <v>0</v>
      </c>
      <c r="F2" s="4">
        <v>0</v>
      </c>
      <c r="G2" s="4">
        <v>0</v>
      </c>
      <c r="H2" s="4">
        <v>0</v>
      </c>
      <c r="I2" s="4">
        <v>0</v>
      </c>
      <c r="J2" s="4">
        <v>0</v>
      </c>
      <c r="K2" s="4">
        <v>0</v>
      </c>
      <c r="L2" s="4">
        <v>0</v>
      </c>
      <c r="M2" s="4">
        <v>0</v>
      </c>
      <c r="N2" s="4">
        <v>0</v>
      </c>
    </row>
    <row r="3" spans="1:14" ht="25.5" x14ac:dyDescent="0.2">
      <c r="A3" s="2" t="s">
        <v>56</v>
      </c>
      <c r="B3" s="3" t="s">
        <v>73</v>
      </c>
      <c r="C3" s="2" t="s">
        <v>34</v>
      </c>
      <c r="D3" s="2" t="s">
        <v>13</v>
      </c>
      <c r="E3" s="4">
        <v>0</v>
      </c>
      <c r="F3" s="4">
        <v>1</v>
      </c>
      <c r="G3" s="4">
        <v>0</v>
      </c>
      <c r="H3" s="4">
        <v>0</v>
      </c>
      <c r="I3" s="4">
        <v>1</v>
      </c>
      <c r="J3" s="4">
        <v>0</v>
      </c>
      <c r="K3" s="4">
        <v>0</v>
      </c>
      <c r="L3" s="4">
        <v>0</v>
      </c>
      <c r="M3" s="4">
        <v>1</v>
      </c>
      <c r="N3" s="4">
        <v>0</v>
      </c>
    </row>
    <row r="4" spans="1:14" ht="25.5" x14ac:dyDescent="0.2">
      <c r="A4" s="2" t="s">
        <v>49</v>
      </c>
      <c r="B4" s="3" t="s">
        <v>74</v>
      </c>
      <c r="C4" s="2" t="s">
        <v>34</v>
      </c>
      <c r="D4" s="2" t="s">
        <v>32</v>
      </c>
      <c r="E4" s="4">
        <v>0</v>
      </c>
      <c r="F4" s="4">
        <v>1</v>
      </c>
      <c r="G4" s="4">
        <v>0</v>
      </c>
      <c r="H4" s="4">
        <v>0</v>
      </c>
      <c r="I4" s="4">
        <v>1</v>
      </c>
      <c r="J4" s="4">
        <v>0</v>
      </c>
      <c r="K4" s="4">
        <v>0</v>
      </c>
      <c r="L4" s="4">
        <v>0</v>
      </c>
      <c r="M4" s="4">
        <v>1</v>
      </c>
      <c r="N4" s="4">
        <v>0</v>
      </c>
    </row>
    <row r="5" spans="1:14" ht="25.5" x14ac:dyDescent="0.2">
      <c r="A5" s="2" t="s">
        <v>48</v>
      </c>
      <c r="B5" s="3" t="s">
        <v>75</v>
      </c>
      <c r="C5" s="2" t="s">
        <v>64</v>
      </c>
      <c r="D5" s="2" t="s">
        <v>0</v>
      </c>
      <c r="E5" s="4">
        <v>0</v>
      </c>
      <c r="F5" s="4">
        <v>1</v>
      </c>
      <c r="G5" s="4">
        <v>1</v>
      </c>
      <c r="H5" s="4">
        <v>1</v>
      </c>
      <c r="I5" s="4">
        <v>1</v>
      </c>
      <c r="J5" s="4">
        <v>1</v>
      </c>
      <c r="K5" s="4">
        <v>1</v>
      </c>
      <c r="L5" s="4">
        <v>0</v>
      </c>
      <c r="M5" s="4">
        <v>1</v>
      </c>
      <c r="N5" s="4">
        <v>0</v>
      </c>
    </row>
    <row r="6" spans="1:14" ht="25.5" x14ac:dyDescent="0.2">
      <c r="A6" s="2" t="s">
        <v>22</v>
      </c>
      <c r="B6" s="3" t="s">
        <v>76</v>
      </c>
      <c r="C6" s="2" t="s">
        <v>64</v>
      </c>
      <c r="D6" s="2" t="s">
        <v>44</v>
      </c>
      <c r="E6" s="4">
        <v>0</v>
      </c>
      <c r="F6" s="4">
        <v>1</v>
      </c>
      <c r="G6" s="4">
        <v>0</v>
      </c>
      <c r="H6" s="4">
        <v>0</v>
      </c>
      <c r="I6" s="4">
        <v>1</v>
      </c>
      <c r="J6" s="4">
        <v>1</v>
      </c>
      <c r="K6" s="4">
        <v>1</v>
      </c>
      <c r="L6" s="4">
        <v>0</v>
      </c>
      <c r="M6" s="4">
        <v>1</v>
      </c>
      <c r="N6" s="4">
        <v>0</v>
      </c>
    </row>
    <row r="7" spans="1:14" ht="25.5" x14ac:dyDescent="0.2">
      <c r="A7" s="2" t="s">
        <v>16</v>
      </c>
      <c r="B7" s="3" t="s">
        <v>77</v>
      </c>
      <c r="C7" s="2" t="s">
        <v>64</v>
      </c>
      <c r="D7" s="2" t="s">
        <v>0</v>
      </c>
      <c r="E7" s="4">
        <v>0</v>
      </c>
      <c r="F7" s="4">
        <v>1</v>
      </c>
      <c r="G7" s="4">
        <v>0</v>
      </c>
      <c r="H7" s="4">
        <v>0</v>
      </c>
      <c r="I7" s="4">
        <v>1</v>
      </c>
      <c r="J7" s="4">
        <v>0</v>
      </c>
      <c r="K7" s="4">
        <v>1</v>
      </c>
      <c r="L7" s="4">
        <v>0</v>
      </c>
      <c r="M7" s="4">
        <v>1</v>
      </c>
      <c r="N7" s="4">
        <v>0</v>
      </c>
    </row>
    <row r="8" spans="1:14" ht="25.5" x14ac:dyDescent="0.2">
      <c r="A8" s="2" t="s">
        <v>5</v>
      </c>
      <c r="B8" s="3" t="s">
        <v>78</v>
      </c>
      <c r="C8" s="2" t="s">
        <v>64</v>
      </c>
      <c r="D8" s="2" t="s">
        <v>44</v>
      </c>
      <c r="E8" s="4">
        <v>0</v>
      </c>
      <c r="F8" s="4">
        <v>1</v>
      </c>
      <c r="G8" s="4">
        <v>0</v>
      </c>
      <c r="H8" s="4">
        <v>0</v>
      </c>
      <c r="I8" s="4">
        <v>0</v>
      </c>
      <c r="J8" s="4">
        <v>0</v>
      </c>
      <c r="K8" s="4">
        <v>0</v>
      </c>
      <c r="L8" s="4">
        <v>0</v>
      </c>
      <c r="M8" s="4">
        <v>1</v>
      </c>
      <c r="N8" s="4">
        <v>0</v>
      </c>
    </row>
    <row r="9" spans="1:14" ht="25.5" x14ac:dyDescent="0.2">
      <c r="A9" s="2" t="s">
        <v>23</v>
      </c>
      <c r="B9" s="3" t="s">
        <v>79</v>
      </c>
      <c r="C9" s="2" t="s">
        <v>64</v>
      </c>
      <c r="D9" s="2" t="s">
        <v>0</v>
      </c>
      <c r="E9" s="4">
        <v>0</v>
      </c>
      <c r="F9" s="4">
        <v>1</v>
      </c>
      <c r="G9" s="4">
        <v>0</v>
      </c>
      <c r="H9" s="4">
        <v>0</v>
      </c>
      <c r="I9" s="4">
        <v>1</v>
      </c>
      <c r="J9" s="4">
        <v>0</v>
      </c>
      <c r="K9" s="4">
        <v>0</v>
      </c>
      <c r="L9" s="4">
        <v>0</v>
      </c>
      <c r="M9" s="4">
        <v>1</v>
      </c>
      <c r="N9" s="4">
        <v>0</v>
      </c>
    </row>
    <row r="10" spans="1:14" ht="25.5" x14ac:dyDescent="0.2">
      <c r="A10" s="2" t="s">
        <v>33</v>
      </c>
      <c r="B10" s="3" t="s">
        <v>80</v>
      </c>
      <c r="C10" s="2" t="s">
        <v>64</v>
      </c>
      <c r="D10" s="2" t="s">
        <v>0</v>
      </c>
      <c r="E10" s="4">
        <v>0</v>
      </c>
      <c r="F10" s="4">
        <v>1</v>
      </c>
      <c r="G10" s="4">
        <v>0</v>
      </c>
      <c r="H10" s="4">
        <v>0</v>
      </c>
      <c r="I10" s="4">
        <v>1</v>
      </c>
      <c r="J10" s="4">
        <v>0</v>
      </c>
      <c r="K10" s="4">
        <v>0</v>
      </c>
      <c r="L10" s="4">
        <v>0</v>
      </c>
      <c r="M10" s="4">
        <v>1</v>
      </c>
      <c r="N10" s="4">
        <v>0</v>
      </c>
    </row>
    <row r="11" spans="1:14" ht="25.5" x14ac:dyDescent="0.2">
      <c r="A11" s="2" t="s">
        <v>46</v>
      </c>
      <c r="B11" s="3" t="s">
        <v>81</v>
      </c>
      <c r="C11" s="2" t="s">
        <v>64</v>
      </c>
      <c r="D11" s="2" t="s">
        <v>44</v>
      </c>
      <c r="E11" s="4">
        <v>0</v>
      </c>
      <c r="F11" s="4">
        <v>1</v>
      </c>
      <c r="G11" s="4">
        <v>1</v>
      </c>
      <c r="H11" s="4">
        <v>0</v>
      </c>
      <c r="I11" s="4">
        <v>1</v>
      </c>
      <c r="J11" s="4">
        <v>0</v>
      </c>
      <c r="K11" s="4">
        <v>1</v>
      </c>
      <c r="L11" s="4">
        <v>1</v>
      </c>
      <c r="M11" s="4">
        <v>1</v>
      </c>
      <c r="N11" s="4">
        <v>0</v>
      </c>
    </row>
    <row r="12" spans="1:14" ht="25.5" x14ac:dyDescent="0.2">
      <c r="A12" s="2" t="s">
        <v>61</v>
      </c>
      <c r="B12" s="3" t="s">
        <v>82</v>
      </c>
      <c r="C12" s="2" t="s">
        <v>64</v>
      </c>
      <c r="D12" s="2" t="s">
        <v>0</v>
      </c>
      <c r="E12" s="4">
        <v>0</v>
      </c>
      <c r="F12" s="4">
        <v>1</v>
      </c>
      <c r="G12" s="4">
        <v>1</v>
      </c>
      <c r="H12" s="4">
        <v>1</v>
      </c>
      <c r="I12" s="4">
        <v>1</v>
      </c>
      <c r="J12" s="4">
        <v>0</v>
      </c>
      <c r="K12" s="4">
        <v>1</v>
      </c>
      <c r="L12" s="4">
        <v>1</v>
      </c>
      <c r="M12" s="4">
        <v>1</v>
      </c>
      <c r="N12" s="4">
        <v>0</v>
      </c>
    </row>
    <row r="13" spans="1:14" x14ac:dyDescent="0.2">
      <c r="A13" s="2" t="s">
        <v>55</v>
      </c>
      <c r="B13" s="3" t="s">
        <v>83</v>
      </c>
      <c r="C13" s="2" t="s">
        <v>57</v>
      </c>
      <c r="D13" s="2" t="s">
        <v>9</v>
      </c>
      <c r="E13" s="4">
        <v>0</v>
      </c>
      <c r="F13" s="4">
        <v>1</v>
      </c>
      <c r="G13" s="4">
        <v>0</v>
      </c>
      <c r="H13" s="4">
        <v>0</v>
      </c>
      <c r="I13" s="4">
        <v>0</v>
      </c>
      <c r="J13" s="4">
        <v>0</v>
      </c>
      <c r="K13" s="4">
        <v>0</v>
      </c>
      <c r="L13" s="4">
        <v>0</v>
      </c>
      <c r="M13" s="4">
        <v>1</v>
      </c>
      <c r="N13" s="4">
        <v>0</v>
      </c>
    </row>
    <row r="14" spans="1:14" x14ac:dyDescent="0.2">
      <c r="A14" s="2" t="s">
        <v>36</v>
      </c>
      <c r="B14" s="3" t="s">
        <v>84</v>
      </c>
      <c r="C14" s="2" t="s">
        <v>57</v>
      </c>
      <c r="D14" s="2" t="s">
        <v>9</v>
      </c>
      <c r="E14" s="4">
        <v>1</v>
      </c>
      <c r="F14" s="4">
        <v>0</v>
      </c>
      <c r="G14" s="4">
        <v>0</v>
      </c>
      <c r="H14" s="4">
        <v>0</v>
      </c>
      <c r="I14" s="4">
        <v>0</v>
      </c>
      <c r="J14" s="4">
        <v>0</v>
      </c>
      <c r="K14" s="4">
        <v>0</v>
      </c>
      <c r="L14" s="4">
        <v>0</v>
      </c>
      <c r="M14" s="4">
        <v>0</v>
      </c>
      <c r="N14" s="4">
        <v>0</v>
      </c>
    </row>
    <row r="15" spans="1:14" x14ac:dyDescent="0.2">
      <c r="A15" s="2" t="s">
        <v>11</v>
      </c>
      <c r="B15" s="3" t="s">
        <v>85</v>
      </c>
      <c r="C15" s="2" t="s">
        <v>57</v>
      </c>
      <c r="D15" s="2" t="s">
        <v>9</v>
      </c>
      <c r="E15" s="4">
        <v>0</v>
      </c>
      <c r="F15" s="4">
        <v>1</v>
      </c>
      <c r="G15" s="4">
        <v>0</v>
      </c>
      <c r="H15" s="4">
        <v>0</v>
      </c>
      <c r="I15" s="4">
        <v>1</v>
      </c>
      <c r="J15" s="4">
        <v>0</v>
      </c>
      <c r="K15" s="4">
        <v>0</v>
      </c>
      <c r="L15" s="4">
        <v>0</v>
      </c>
      <c r="M15" s="4">
        <v>1</v>
      </c>
      <c r="N15" s="4">
        <v>0</v>
      </c>
    </row>
    <row r="16" spans="1:14" x14ac:dyDescent="0.2">
      <c r="A16" s="2" t="s">
        <v>50</v>
      </c>
      <c r="B16" s="3" t="s">
        <v>86</v>
      </c>
      <c r="C16" s="2" t="s">
        <v>57</v>
      </c>
      <c r="D16" s="2" t="s">
        <v>9</v>
      </c>
      <c r="E16" s="4">
        <v>0</v>
      </c>
      <c r="F16" s="4">
        <v>1</v>
      </c>
      <c r="G16" s="4">
        <v>0</v>
      </c>
      <c r="H16" s="4">
        <v>0</v>
      </c>
      <c r="I16" s="4">
        <v>1</v>
      </c>
      <c r="J16" s="4">
        <v>0</v>
      </c>
      <c r="K16" s="4">
        <v>1</v>
      </c>
      <c r="L16" s="4">
        <v>0</v>
      </c>
      <c r="M16" s="4">
        <v>0</v>
      </c>
      <c r="N16" s="4">
        <v>0</v>
      </c>
    </row>
    <row r="17" spans="1:14" x14ac:dyDescent="0.2">
      <c r="A17" s="2" t="s">
        <v>40</v>
      </c>
      <c r="B17" s="3" t="s">
        <v>87</v>
      </c>
      <c r="C17" s="2" t="s">
        <v>57</v>
      </c>
      <c r="D17" s="2" t="s">
        <v>9</v>
      </c>
      <c r="E17" s="4">
        <v>0</v>
      </c>
      <c r="F17" s="4">
        <v>1</v>
      </c>
      <c r="G17" s="4">
        <v>0</v>
      </c>
      <c r="H17" s="4">
        <v>0</v>
      </c>
      <c r="I17" s="4">
        <v>1</v>
      </c>
      <c r="J17" s="4">
        <v>0</v>
      </c>
      <c r="K17" s="4">
        <v>0</v>
      </c>
      <c r="L17" s="4">
        <v>1</v>
      </c>
      <c r="M17" s="4">
        <v>1</v>
      </c>
      <c r="N17" s="4">
        <v>0</v>
      </c>
    </row>
    <row r="18" spans="1:14" x14ac:dyDescent="0.2">
      <c r="A18" s="2" t="s">
        <v>63</v>
      </c>
      <c r="B18" s="3" t="s">
        <v>88</v>
      </c>
      <c r="C18" s="2" t="s">
        <v>57</v>
      </c>
      <c r="D18" s="2" t="s">
        <v>9</v>
      </c>
      <c r="E18" s="4">
        <v>0</v>
      </c>
      <c r="F18" s="4">
        <v>1</v>
      </c>
      <c r="G18" s="4">
        <v>0</v>
      </c>
      <c r="H18" s="4">
        <v>1</v>
      </c>
      <c r="I18" s="4">
        <v>1</v>
      </c>
      <c r="J18" s="4">
        <v>0</v>
      </c>
      <c r="K18" s="4">
        <v>1</v>
      </c>
      <c r="L18" s="4">
        <v>0</v>
      </c>
      <c r="M18" s="4">
        <v>1</v>
      </c>
      <c r="N18" s="4">
        <v>0</v>
      </c>
    </row>
    <row r="19" spans="1:14" x14ac:dyDescent="0.2">
      <c r="A19" s="2" t="s">
        <v>54</v>
      </c>
      <c r="B19" s="3" t="s">
        <v>89</v>
      </c>
      <c r="C19" s="2" t="s">
        <v>57</v>
      </c>
      <c r="D19" s="2" t="s">
        <v>9</v>
      </c>
      <c r="E19" s="4">
        <v>0</v>
      </c>
      <c r="F19" s="4">
        <v>1</v>
      </c>
      <c r="G19" s="4">
        <v>1</v>
      </c>
      <c r="H19" s="4">
        <v>1</v>
      </c>
      <c r="I19" s="4">
        <v>1</v>
      </c>
      <c r="J19" s="4">
        <v>0</v>
      </c>
      <c r="K19" s="4">
        <v>1</v>
      </c>
      <c r="L19" s="4">
        <v>1</v>
      </c>
      <c r="M19" s="4">
        <v>1</v>
      </c>
      <c r="N19" s="4">
        <v>0</v>
      </c>
    </row>
    <row r="20" spans="1:14" x14ac:dyDescent="0.2">
      <c r="A20" s="2" t="s">
        <v>41</v>
      </c>
      <c r="B20" s="3" t="s">
        <v>90</v>
      </c>
      <c r="C20" s="2" t="s">
        <v>57</v>
      </c>
      <c r="D20" s="2" t="s">
        <v>9</v>
      </c>
      <c r="E20" s="4">
        <v>0</v>
      </c>
      <c r="F20" s="4">
        <v>1</v>
      </c>
      <c r="G20" s="4">
        <v>0</v>
      </c>
      <c r="H20" s="4">
        <v>0</v>
      </c>
      <c r="I20" s="4">
        <v>1</v>
      </c>
      <c r="J20" s="4">
        <v>1</v>
      </c>
      <c r="K20" s="4">
        <v>1</v>
      </c>
      <c r="L20" s="4">
        <v>0</v>
      </c>
      <c r="M20" s="4">
        <v>1</v>
      </c>
      <c r="N20" s="4">
        <v>0</v>
      </c>
    </row>
    <row r="21" spans="1:14" x14ac:dyDescent="0.2">
      <c r="A21" s="2" t="s">
        <v>29</v>
      </c>
      <c r="B21" s="3" t="s">
        <v>91</v>
      </c>
      <c r="C21" s="2" t="s">
        <v>21</v>
      </c>
      <c r="D21" s="2" t="s">
        <v>35</v>
      </c>
      <c r="E21" s="4">
        <v>0</v>
      </c>
      <c r="F21" s="4">
        <v>1</v>
      </c>
      <c r="G21" s="4">
        <v>0</v>
      </c>
      <c r="H21" s="4">
        <v>0</v>
      </c>
      <c r="I21" s="4">
        <v>1</v>
      </c>
      <c r="J21" s="4">
        <v>0</v>
      </c>
      <c r="K21" s="4">
        <v>0</v>
      </c>
      <c r="L21" s="4">
        <v>0</v>
      </c>
      <c r="M21" s="4">
        <v>0</v>
      </c>
      <c r="N21" s="4">
        <v>0</v>
      </c>
    </row>
    <row r="22" spans="1:14" ht="25.5" x14ac:dyDescent="0.2">
      <c r="A22" s="2" t="s">
        <v>26</v>
      </c>
      <c r="B22" s="3" t="s">
        <v>92</v>
      </c>
      <c r="C22" s="2" t="s">
        <v>30</v>
      </c>
      <c r="D22" s="2" t="s">
        <v>9</v>
      </c>
      <c r="E22" s="4">
        <v>0</v>
      </c>
      <c r="F22" s="4">
        <v>1</v>
      </c>
      <c r="G22" s="4">
        <v>0</v>
      </c>
      <c r="H22" s="4">
        <v>1</v>
      </c>
      <c r="I22" s="4">
        <v>1</v>
      </c>
      <c r="J22" s="4">
        <v>0</v>
      </c>
      <c r="K22" s="4">
        <v>1</v>
      </c>
      <c r="L22" s="4">
        <v>1</v>
      </c>
      <c r="M22" s="4">
        <v>1</v>
      </c>
      <c r="N22" s="4">
        <v>0</v>
      </c>
    </row>
    <row r="23" spans="1:14" ht="25.5" x14ac:dyDescent="0.2">
      <c r="A23" s="2" t="s">
        <v>10</v>
      </c>
      <c r="B23" s="3" t="s">
        <v>93</v>
      </c>
      <c r="C23" s="2" t="s">
        <v>30</v>
      </c>
      <c r="D23" s="2" t="s">
        <v>44</v>
      </c>
      <c r="E23" s="4">
        <v>0</v>
      </c>
      <c r="F23" s="4">
        <v>1</v>
      </c>
      <c r="G23" s="4">
        <v>1</v>
      </c>
      <c r="H23" s="4">
        <v>1</v>
      </c>
      <c r="I23" s="4">
        <v>1</v>
      </c>
      <c r="J23" s="4">
        <v>0</v>
      </c>
      <c r="K23" s="4">
        <v>1</v>
      </c>
      <c r="L23" s="4">
        <v>0</v>
      </c>
      <c r="M23" s="4">
        <v>1</v>
      </c>
      <c r="N23" s="4">
        <v>0</v>
      </c>
    </row>
    <row r="24" spans="1:14" ht="25.5" x14ac:dyDescent="0.2">
      <c r="A24" s="2" t="s">
        <v>67</v>
      </c>
      <c r="B24" s="3" t="s">
        <v>94</v>
      </c>
      <c r="C24" s="2" t="s">
        <v>30</v>
      </c>
      <c r="D24" s="2" t="s">
        <v>35</v>
      </c>
      <c r="E24" s="4">
        <v>0</v>
      </c>
      <c r="F24" s="4">
        <v>1</v>
      </c>
      <c r="G24" s="4">
        <v>1</v>
      </c>
      <c r="H24" s="4">
        <v>0</v>
      </c>
      <c r="I24" s="4">
        <v>1</v>
      </c>
      <c r="J24" s="4">
        <v>1</v>
      </c>
      <c r="K24" s="4">
        <v>0</v>
      </c>
      <c r="L24" s="4">
        <v>0</v>
      </c>
      <c r="M24" s="4">
        <v>1</v>
      </c>
      <c r="N24" s="4">
        <v>0</v>
      </c>
    </row>
    <row r="25" spans="1:14" ht="25.5" x14ac:dyDescent="0.2">
      <c r="A25" s="2" t="s">
        <v>12</v>
      </c>
      <c r="B25" s="3" t="s">
        <v>95</v>
      </c>
      <c r="C25" s="2" t="s">
        <v>30</v>
      </c>
      <c r="D25" s="2" t="s">
        <v>0</v>
      </c>
      <c r="E25" s="4">
        <v>0</v>
      </c>
      <c r="F25" s="4">
        <v>0</v>
      </c>
      <c r="G25" s="4">
        <v>0</v>
      </c>
      <c r="H25" s="4">
        <v>0</v>
      </c>
      <c r="I25" s="4">
        <v>0</v>
      </c>
      <c r="J25" s="4">
        <v>0</v>
      </c>
      <c r="K25" s="4">
        <v>0</v>
      </c>
      <c r="L25" s="4">
        <v>0</v>
      </c>
      <c r="M25" s="4">
        <v>0</v>
      </c>
      <c r="N25" s="4">
        <v>0</v>
      </c>
    </row>
    <row r="26" spans="1:14" ht="25.5" x14ac:dyDescent="0.2">
      <c r="A26" s="2" t="s">
        <v>15</v>
      </c>
      <c r="B26" s="3" t="s">
        <v>96</v>
      </c>
      <c r="C26" s="2" t="s">
        <v>30</v>
      </c>
      <c r="D26" s="2" t="s">
        <v>44</v>
      </c>
      <c r="E26" s="4">
        <v>0</v>
      </c>
      <c r="F26" s="4">
        <v>1</v>
      </c>
      <c r="G26" s="4">
        <v>0</v>
      </c>
      <c r="H26" s="4">
        <v>0</v>
      </c>
      <c r="I26" s="4">
        <v>1</v>
      </c>
      <c r="J26" s="4">
        <v>0</v>
      </c>
      <c r="K26" s="4">
        <v>0</v>
      </c>
      <c r="L26" s="4">
        <v>0</v>
      </c>
      <c r="M26" s="4">
        <v>1</v>
      </c>
      <c r="N26" s="4">
        <v>0</v>
      </c>
    </row>
    <row r="27" spans="1:14" ht="25.5" x14ac:dyDescent="0.2">
      <c r="A27" s="2" t="s">
        <v>28</v>
      </c>
      <c r="B27" s="3" t="s">
        <v>97</v>
      </c>
      <c r="C27" s="2" t="s">
        <v>30</v>
      </c>
      <c r="D27" s="2" t="s">
        <v>0</v>
      </c>
      <c r="E27" s="4">
        <v>0</v>
      </c>
      <c r="F27" s="4">
        <v>1</v>
      </c>
      <c r="G27" s="4">
        <v>0</v>
      </c>
      <c r="H27" s="4">
        <v>1</v>
      </c>
      <c r="I27" s="4">
        <v>1</v>
      </c>
      <c r="J27" s="4">
        <v>1</v>
      </c>
      <c r="K27" s="4">
        <v>1</v>
      </c>
      <c r="L27" s="4">
        <v>1</v>
      </c>
      <c r="M27" s="4">
        <v>0</v>
      </c>
      <c r="N27" s="4">
        <v>0</v>
      </c>
    </row>
    <row r="28" spans="1:14" ht="25.5" x14ac:dyDescent="0.2">
      <c r="A28" s="2" t="s">
        <v>25</v>
      </c>
      <c r="B28" s="3" t="s">
        <v>98</v>
      </c>
      <c r="C28" s="2" t="s">
        <v>30</v>
      </c>
      <c r="D28" s="2" t="s">
        <v>35</v>
      </c>
      <c r="E28" s="4">
        <v>0</v>
      </c>
      <c r="F28" s="4">
        <v>0</v>
      </c>
      <c r="G28" s="4">
        <v>0</v>
      </c>
      <c r="H28" s="4">
        <v>0</v>
      </c>
      <c r="I28" s="4">
        <v>0</v>
      </c>
      <c r="J28" s="4">
        <v>0</v>
      </c>
      <c r="K28" s="4">
        <v>0</v>
      </c>
      <c r="L28" s="4">
        <v>0</v>
      </c>
      <c r="M28" s="4">
        <v>0</v>
      </c>
      <c r="N28" s="4">
        <v>0</v>
      </c>
    </row>
    <row r="29" spans="1:14" ht="25.5" x14ac:dyDescent="0.2">
      <c r="A29" s="2" t="s">
        <v>6</v>
      </c>
      <c r="B29" s="3" t="s">
        <v>99</v>
      </c>
      <c r="C29" s="2" t="s">
        <v>30</v>
      </c>
      <c r="D29" s="2" t="s">
        <v>44</v>
      </c>
      <c r="E29" s="4">
        <v>0</v>
      </c>
      <c r="F29" s="4">
        <v>1</v>
      </c>
      <c r="G29" s="4">
        <v>1</v>
      </c>
      <c r="H29" s="4">
        <v>0</v>
      </c>
      <c r="I29" s="4">
        <v>1</v>
      </c>
      <c r="J29" s="4">
        <v>0</v>
      </c>
      <c r="K29" s="4">
        <v>1</v>
      </c>
      <c r="L29" s="4">
        <v>1</v>
      </c>
      <c r="M29" s="4">
        <v>1</v>
      </c>
      <c r="N29" s="4">
        <v>0</v>
      </c>
    </row>
    <row r="30" spans="1:14" ht="25.5" x14ac:dyDescent="0.2">
      <c r="A30" s="2" t="s">
        <v>42</v>
      </c>
      <c r="B30" s="3" t="s">
        <v>100</v>
      </c>
      <c r="C30" s="2" t="s">
        <v>30</v>
      </c>
      <c r="D30" s="2" t="s">
        <v>13</v>
      </c>
      <c r="E30" s="4">
        <v>0</v>
      </c>
      <c r="F30" s="4">
        <v>1</v>
      </c>
      <c r="G30" s="4">
        <v>0</v>
      </c>
      <c r="H30" s="4">
        <v>0</v>
      </c>
      <c r="I30" s="4">
        <v>1</v>
      </c>
      <c r="J30" s="4">
        <v>0</v>
      </c>
      <c r="K30" s="4">
        <v>0</v>
      </c>
      <c r="L30" s="4">
        <v>0</v>
      </c>
      <c r="M30" s="4">
        <v>0</v>
      </c>
      <c r="N30" s="4">
        <v>0</v>
      </c>
    </row>
    <row r="31" spans="1:14" ht="25.5" x14ac:dyDescent="0.2">
      <c r="A31" s="2" t="s">
        <v>19</v>
      </c>
      <c r="B31" s="3" t="s">
        <v>101</v>
      </c>
      <c r="C31" s="2" t="s">
        <v>30</v>
      </c>
      <c r="D31" s="2" t="s">
        <v>44</v>
      </c>
      <c r="E31" s="4">
        <v>0</v>
      </c>
      <c r="F31" s="4">
        <v>1</v>
      </c>
      <c r="G31" s="4">
        <v>0</v>
      </c>
      <c r="H31" s="4">
        <v>0</v>
      </c>
      <c r="I31" s="4">
        <v>0</v>
      </c>
      <c r="J31" s="4">
        <v>0</v>
      </c>
      <c r="K31" s="4">
        <v>1</v>
      </c>
      <c r="L31" s="4">
        <v>1</v>
      </c>
      <c r="M31" s="4">
        <v>1</v>
      </c>
      <c r="N31" s="4">
        <v>0</v>
      </c>
    </row>
    <row r="32" spans="1:14" ht="25.5" x14ac:dyDescent="0.2">
      <c r="A32" s="2" t="s">
        <v>66</v>
      </c>
      <c r="B32" s="3" t="s">
        <v>102</v>
      </c>
      <c r="C32" s="2" t="s">
        <v>30</v>
      </c>
      <c r="D32" s="2" t="s">
        <v>44</v>
      </c>
      <c r="E32" s="4">
        <v>0</v>
      </c>
      <c r="F32" s="4">
        <v>1</v>
      </c>
      <c r="G32" s="4">
        <v>0</v>
      </c>
      <c r="H32" s="4">
        <v>1</v>
      </c>
      <c r="I32" s="4">
        <v>1</v>
      </c>
      <c r="J32" s="4">
        <v>0</v>
      </c>
      <c r="K32" s="4">
        <v>0</v>
      </c>
      <c r="L32" s="4">
        <v>0</v>
      </c>
      <c r="M32" s="4">
        <v>1</v>
      </c>
      <c r="N32" s="4">
        <v>0</v>
      </c>
    </row>
    <row r="33" spans="1:14" ht="25.5" x14ac:dyDescent="0.2">
      <c r="A33" s="2" t="s">
        <v>17</v>
      </c>
      <c r="B33" s="3" t="s">
        <v>103</v>
      </c>
      <c r="C33" s="2" t="s">
        <v>30</v>
      </c>
      <c r="D33" s="2" t="s">
        <v>9</v>
      </c>
      <c r="E33" s="4">
        <v>0</v>
      </c>
      <c r="F33" s="4">
        <v>1</v>
      </c>
      <c r="G33" s="4">
        <v>0</v>
      </c>
      <c r="H33" s="4">
        <v>0</v>
      </c>
      <c r="I33" s="4">
        <v>1</v>
      </c>
      <c r="J33" s="4">
        <v>0</v>
      </c>
      <c r="K33" s="4">
        <v>1</v>
      </c>
      <c r="L33" s="4">
        <v>0</v>
      </c>
      <c r="M33" s="4">
        <v>0</v>
      </c>
      <c r="N33" s="4">
        <v>0</v>
      </c>
    </row>
    <row r="34" spans="1:14" ht="25.5" x14ac:dyDescent="0.2">
      <c r="A34" s="2" t="s">
        <v>24</v>
      </c>
      <c r="B34" s="3" t="s">
        <v>104</v>
      </c>
      <c r="C34" s="2" t="s">
        <v>30</v>
      </c>
      <c r="D34" s="2" t="s">
        <v>13</v>
      </c>
      <c r="E34" s="4">
        <v>1</v>
      </c>
      <c r="F34" s="4">
        <v>0</v>
      </c>
      <c r="G34" s="4">
        <v>0</v>
      </c>
      <c r="H34" s="4">
        <v>0</v>
      </c>
      <c r="I34" s="4">
        <v>0</v>
      </c>
      <c r="J34" s="4">
        <v>0</v>
      </c>
      <c r="K34" s="4">
        <v>0</v>
      </c>
      <c r="L34" s="4">
        <v>0</v>
      </c>
      <c r="M34" s="4">
        <v>0</v>
      </c>
      <c r="N34" s="4">
        <v>0</v>
      </c>
    </row>
    <row r="35" spans="1:14" ht="25.5" x14ac:dyDescent="0.2">
      <c r="A35" s="2" t="s">
        <v>51</v>
      </c>
      <c r="B35" s="3" t="s">
        <v>105</v>
      </c>
      <c r="C35" s="2" t="s">
        <v>30</v>
      </c>
      <c r="D35" s="2" t="s">
        <v>9</v>
      </c>
      <c r="E35" s="4">
        <v>0</v>
      </c>
      <c r="F35" s="4">
        <v>0</v>
      </c>
      <c r="G35" s="4">
        <v>0</v>
      </c>
      <c r="H35" s="4">
        <v>0</v>
      </c>
      <c r="I35" s="4">
        <v>0</v>
      </c>
      <c r="J35" s="4">
        <v>0</v>
      </c>
      <c r="K35" s="4">
        <v>0</v>
      </c>
      <c r="L35" s="4">
        <v>0</v>
      </c>
      <c r="M35" s="4">
        <v>0</v>
      </c>
      <c r="N35" s="4">
        <v>0</v>
      </c>
    </row>
    <row r="36" spans="1:14" ht="25.5" x14ac:dyDescent="0.2">
      <c r="A36" s="2" t="s">
        <v>53</v>
      </c>
      <c r="B36" s="3" t="s">
        <v>106</v>
      </c>
      <c r="C36" s="2" t="s">
        <v>30</v>
      </c>
      <c r="D36" s="2" t="s">
        <v>9</v>
      </c>
      <c r="E36" s="4">
        <v>0</v>
      </c>
      <c r="F36" s="4">
        <v>1</v>
      </c>
      <c r="G36" s="4">
        <v>0</v>
      </c>
      <c r="H36" s="4">
        <v>0</v>
      </c>
      <c r="I36" s="4">
        <v>1</v>
      </c>
      <c r="J36" s="4">
        <v>1</v>
      </c>
      <c r="K36" s="4">
        <v>0</v>
      </c>
      <c r="L36" s="4">
        <v>0</v>
      </c>
      <c r="M36" s="4">
        <v>1</v>
      </c>
      <c r="N36" s="4">
        <v>0</v>
      </c>
    </row>
    <row r="37" spans="1:14" ht="25.5" x14ac:dyDescent="0.2">
      <c r="A37" s="2" t="s">
        <v>1</v>
      </c>
      <c r="B37" s="3" t="s">
        <v>107</v>
      </c>
      <c r="C37" s="2" t="s">
        <v>30</v>
      </c>
      <c r="D37" s="2" t="s">
        <v>44</v>
      </c>
      <c r="E37" s="4">
        <v>0</v>
      </c>
      <c r="F37" s="4">
        <v>1</v>
      </c>
      <c r="G37" s="4">
        <v>0</v>
      </c>
      <c r="H37" s="4">
        <v>0</v>
      </c>
      <c r="I37" s="4">
        <v>1</v>
      </c>
      <c r="J37" s="4">
        <v>0</v>
      </c>
      <c r="K37" s="4">
        <v>1</v>
      </c>
      <c r="L37" s="4">
        <v>0</v>
      </c>
      <c r="M37" s="4">
        <v>1</v>
      </c>
      <c r="N37" s="4">
        <v>0</v>
      </c>
    </row>
    <row r="38" spans="1:14" ht="25.5" x14ac:dyDescent="0.2">
      <c r="A38" s="2" t="s">
        <v>4</v>
      </c>
      <c r="B38" s="3" t="s">
        <v>108</v>
      </c>
      <c r="C38" s="2" t="s">
        <v>30</v>
      </c>
      <c r="D38" s="2" t="s">
        <v>32</v>
      </c>
      <c r="E38" s="4">
        <v>0</v>
      </c>
      <c r="F38" s="4">
        <v>1</v>
      </c>
      <c r="G38" s="4">
        <v>0</v>
      </c>
      <c r="H38" s="4">
        <v>0</v>
      </c>
      <c r="I38" s="4">
        <v>0</v>
      </c>
      <c r="J38" s="4">
        <v>0</v>
      </c>
      <c r="K38" s="4">
        <v>0</v>
      </c>
      <c r="L38" s="4">
        <v>0</v>
      </c>
      <c r="M38" s="4">
        <v>1</v>
      </c>
      <c r="N38" s="4">
        <v>0</v>
      </c>
    </row>
    <row r="39" spans="1:14" ht="25.5" x14ac:dyDescent="0.2">
      <c r="A39" s="2" t="s">
        <v>7</v>
      </c>
      <c r="B39" s="3" t="s">
        <v>109</v>
      </c>
      <c r="C39" s="2" t="s">
        <v>30</v>
      </c>
      <c r="D39" s="2" t="s">
        <v>44</v>
      </c>
      <c r="E39" s="4">
        <v>0</v>
      </c>
      <c r="F39" s="4">
        <v>1</v>
      </c>
      <c r="G39" s="4">
        <v>0</v>
      </c>
      <c r="H39" s="4">
        <v>0</v>
      </c>
      <c r="I39" s="4">
        <v>0</v>
      </c>
      <c r="J39" s="4">
        <v>0</v>
      </c>
      <c r="K39" s="4">
        <v>1</v>
      </c>
      <c r="L39" s="4">
        <v>0</v>
      </c>
      <c r="M39" s="4">
        <v>1</v>
      </c>
      <c r="N39" s="4">
        <v>0</v>
      </c>
    </row>
    <row r="40" spans="1:14" ht="25.5" x14ac:dyDescent="0.2">
      <c r="A40" s="2" t="s">
        <v>20</v>
      </c>
      <c r="B40" s="3" t="s">
        <v>110</v>
      </c>
      <c r="C40" s="2" t="s">
        <v>30</v>
      </c>
      <c r="D40" s="2" t="s">
        <v>32</v>
      </c>
      <c r="E40" s="4">
        <v>1</v>
      </c>
      <c r="F40" s="4">
        <v>0</v>
      </c>
      <c r="G40" s="4">
        <v>0</v>
      </c>
      <c r="H40" s="4">
        <v>0</v>
      </c>
      <c r="I40" s="4">
        <v>0</v>
      </c>
      <c r="J40" s="4">
        <v>0</v>
      </c>
      <c r="K40" s="4">
        <v>0</v>
      </c>
      <c r="L40" s="4">
        <v>0</v>
      </c>
      <c r="M40" s="4">
        <v>0</v>
      </c>
      <c r="N40" s="4">
        <v>0</v>
      </c>
    </row>
    <row r="41" spans="1:14" ht="25.5" x14ac:dyDescent="0.2">
      <c r="A41" s="2" t="s">
        <v>38</v>
      </c>
      <c r="B41" s="3" t="s">
        <v>111</v>
      </c>
      <c r="C41" s="2" t="s">
        <v>30</v>
      </c>
      <c r="D41" s="2" t="s">
        <v>0</v>
      </c>
      <c r="E41" s="4">
        <v>0</v>
      </c>
      <c r="F41" s="4">
        <v>0</v>
      </c>
      <c r="G41" s="4">
        <v>0</v>
      </c>
      <c r="H41" s="4">
        <v>0</v>
      </c>
      <c r="I41" s="4">
        <v>0</v>
      </c>
      <c r="J41" s="4">
        <v>0</v>
      </c>
      <c r="K41" s="4">
        <v>0</v>
      </c>
      <c r="L41" s="4">
        <v>0</v>
      </c>
      <c r="M41" s="4">
        <v>0</v>
      </c>
      <c r="N41" s="4">
        <v>1</v>
      </c>
    </row>
    <row r="42" spans="1:14" ht="25.5" x14ac:dyDescent="0.2">
      <c r="A42" s="2" t="s">
        <v>18</v>
      </c>
      <c r="B42" s="3" t="s">
        <v>112</v>
      </c>
      <c r="C42" s="2" t="s">
        <v>30</v>
      </c>
      <c r="D42" s="2" t="s">
        <v>0</v>
      </c>
      <c r="E42" s="4">
        <v>0</v>
      </c>
      <c r="F42" s="4">
        <v>0</v>
      </c>
      <c r="G42" s="4">
        <v>0</v>
      </c>
      <c r="H42" s="4">
        <v>0</v>
      </c>
      <c r="I42" s="4">
        <v>0</v>
      </c>
      <c r="J42" s="4">
        <v>0</v>
      </c>
      <c r="K42" s="4">
        <v>0</v>
      </c>
      <c r="L42" s="4">
        <v>0</v>
      </c>
      <c r="M42" s="4">
        <v>0</v>
      </c>
      <c r="N42" s="4">
        <v>0</v>
      </c>
    </row>
    <row r="43" spans="1:14" ht="25.5" x14ac:dyDescent="0.2">
      <c r="A43" s="2" t="s">
        <v>68</v>
      </c>
      <c r="B43" s="3" t="s">
        <v>113</v>
      </c>
      <c r="C43" s="2" t="s">
        <v>30</v>
      </c>
      <c r="D43" s="2" t="s">
        <v>0</v>
      </c>
      <c r="E43" s="4">
        <v>1</v>
      </c>
      <c r="F43" s="4">
        <v>0</v>
      </c>
      <c r="G43" s="4">
        <v>0</v>
      </c>
      <c r="H43" s="4">
        <v>0</v>
      </c>
      <c r="I43" s="4">
        <v>0</v>
      </c>
      <c r="J43" s="4">
        <v>0</v>
      </c>
      <c r="K43" s="4">
        <v>0</v>
      </c>
      <c r="L43" s="4">
        <v>0</v>
      </c>
      <c r="M43" s="4">
        <v>0</v>
      </c>
      <c r="N43" s="4">
        <v>0</v>
      </c>
    </row>
    <row r="44" spans="1:14" ht="25.5" x14ac:dyDescent="0.2">
      <c r="A44" s="2" t="s">
        <v>27</v>
      </c>
      <c r="B44" s="3" t="s">
        <v>114</v>
      </c>
      <c r="C44" s="2" t="s">
        <v>30</v>
      </c>
      <c r="D44" s="2" t="s">
        <v>35</v>
      </c>
      <c r="E44" s="4">
        <v>0</v>
      </c>
      <c r="F44" s="4">
        <v>1</v>
      </c>
      <c r="G44" s="4">
        <v>0</v>
      </c>
      <c r="H44" s="4">
        <v>0</v>
      </c>
      <c r="I44" s="4">
        <v>0</v>
      </c>
      <c r="J44" s="4">
        <v>0</v>
      </c>
      <c r="K44" s="4">
        <v>0</v>
      </c>
      <c r="L44" s="4">
        <v>0</v>
      </c>
      <c r="M44" s="4">
        <v>1</v>
      </c>
      <c r="N44" s="4">
        <v>0</v>
      </c>
    </row>
    <row r="45" spans="1:14" ht="25.5" x14ac:dyDescent="0.2">
      <c r="A45" s="2" t="s">
        <v>37</v>
      </c>
      <c r="B45" s="3" t="s">
        <v>115</v>
      </c>
      <c r="C45" s="2" t="s">
        <v>30</v>
      </c>
      <c r="D45" s="2" t="s">
        <v>9</v>
      </c>
      <c r="E45" s="4">
        <v>0</v>
      </c>
      <c r="F45" s="4">
        <v>1</v>
      </c>
      <c r="G45" s="4">
        <v>1</v>
      </c>
      <c r="H45" s="4">
        <v>0</v>
      </c>
      <c r="I45" s="4">
        <v>1</v>
      </c>
      <c r="J45" s="4">
        <v>1</v>
      </c>
      <c r="K45" s="4">
        <v>0</v>
      </c>
      <c r="L45" s="4">
        <v>1</v>
      </c>
      <c r="M45" s="4">
        <v>0</v>
      </c>
      <c r="N45" s="4">
        <v>0</v>
      </c>
    </row>
    <row r="46" spans="1:14" ht="25.5" x14ac:dyDescent="0.2">
      <c r="A46" s="2" t="s">
        <v>60</v>
      </c>
      <c r="B46" s="3" t="s">
        <v>116</v>
      </c>
      <c r="C46" s="2" t="s">
        <v>30</v>
      </c>
      <c r="D46" s="2" t="s">
        <v>32</v>
      </c>
      <c r="E46" s="4">
        <v>0</v>
      </c>
      <c r="F46" s="4">
        <v>1</v>
      </c>
      <c r="G46" s="4">
        <v>0</v>
      </c>
      <c r="H46" s="4">
        <v>0</v>
      </c>
      <c r="I46" s="4">
        <v>1</v>
      </c>
      <c r="J46" s="4">
        <v>0</v>
      </c>
      <c r="K46" s="4">
        <v>0</v>
      </c>
      <c r="L46" s="4">
        <v>0</v>
      </c>
      <c r="M46" s="4">
        <v>1</v>
      </c>
      <c r="N46" s="4">
        <v>0</v>
      </c>
    </row>
    <row r="47" spans="1:14" ht="25.5" x14ac:dyDescent="0.2">
      <c r="A47" s="2" t="s">
        <v>59</v>
      </c>
      <c r="B47" s="3" t="s">
        <v>117</v>
      </c>
      <c r="C47" s="2" t="s">
        <v>30</v>
      </c>
      <c r="D47" s="2" t="s">
        <v>9</v>
      </c>
      <c r="E47" s="4">
        <v>1</v>
      </c>
      <c r="F47" s="4">
        <v>0</v>
      </c>
      <c r="G47" s="4">
        <v>0</v>
      </c>
      <c r="H47" s="4">
        <v>0</v>
      </c>
      <c r="I47" s="4">
        <v>0</v>
      </c>
      <c r="J47" s="4">
        <v>0</v>
      </c>
      <c r="K47" s="4">
        <v>0</v>
      </c>
      <c r="L47" s="4">
        <v>0</v>
      </c>
      <c r="M47" s="4">
        <v>0</v>
      </c>
      <c r="N47" s="4">
        <v>0</v>
      </c>
    </row>
    <row r="48" spans="1:14" ht="25.5" x14ac:dyDescent="0.2">
      <c r="A48" s="2" t="s">
        <v>31</v>
      </c>
      <c r="B48" s="3" t="s">
        <v>118</v>
      </c>
      <c r="C48" s="2" t="s">
        <v>30</v>
      </c>
      <c r="D48" s="2" t="s">
        <v>9</v>
      </c>
      <c r="E48" s="4">
        <v>0</v>
      </c>
      <c r="F48" s="4">
        <v>1</v>
      </c>
      <c r="G48" s="4">
        <v>0</v>
      </c>
      <c r="H48" s="4">
        <v>0</v>
      </c>
      <c r="I48" s="4">
        <v>1</v>
      </c>
      <c r="J48" s="4">
        <v>1</v>
      </c>
      <c r="K48" s="4">
        <v>1</v>
      </c>
      <c r="L48" s="4">
        <v>0</v>
      </c>
      <c r="M48" s="4">
        <v>1</v>
      </c>
      <c r="N48" s="4">
        <v>0</v>
      </c>
    </row>
    <row r="49" spans="1:14" ht="25.5" x14ac:dyDescent="0.2">
      <c r="A49" s="2" t="s">
        <v>14</v>
      </c>
      <c r="B49" s="3" t="s">
        <v>119</v>
      </c>
      <c r="C49" s="2" t="s">
        <v>30</v>
      </c>
      <c r="D49" s="2" t="s">
        <v>44</v>
      </c>
      <c r="E49" s="4">
        <v>0</v>
      </c>
      <c r="F49" s="4">
        <v>1</v>
      </c>
      <c r="G49" s="4">
        <v>0</v>
      </c>
      <c r="H49" s="4">
        <v>0</v>
      </c>
      <c r="I49" s="4">
        <v>0</v>
      </c>
      <c r="J49" s="4">
        <v>0</v>
      </c>
      <c r="K49" s="4">
        <v>0</v>
      </c>
      <c r="L49" s="4">
        <v>1</v>
      </c>
      <c r="M49" s="4">
        <v>1</v>
      </c>
      <c r="N49" s="4">
        <v>0</v>
      </c>
    </row>
    <row r="50" spans="1:14" x14ac:dyDescent="0.2">
      <c r="A50" s="2" t="s">
        <v>47</v>
      </c>
      <c r="B50" s="3" t="s">
        <v>120</v>
      </c>
      <c r="C50" s="2" t="s">
        <v>3</v>
      </c>
      <c r="D50" s="2" t="s">
        <v>0</v>
      </c>
      <c r="E50" s="4">
        <v>0</v>
      </c>
      <c r="F50" s="4">
        <v>0</v>
      </c>
      <c r="G50" s="4">
        <v>0</v>
      </c>
      <c r="H50" s="4">
        <v>0</v>
      </c>
      <c r="I50" s="4">
        <v>0</v>
      </c>
      <c r="J50" s="4">
        <v>0</v>
      </c>
      <c r="K50" s="4">
        <v>0</v>
      </c>
      <c r="L50" s="4">
        <v>0</v>
      </c>
      <c r="M50" s="4">
        <v>0</v>
      </c>
      <c r="N50" s="4">
        <v>1</v>
      </c>
    </row>
    <row r="51" spans="1:14" x14ac:dyDescent="0.2">
      <c r="A51" s="2" t="s">
        <v>8</v>
      </c>
      <c r="B51" s="3" t="s">
        <v>121</v>
      </c>
      <c r="C51" s="2" t="s">
        <v>39</v>
      </c>
      <c r="D51" s="2" t="s">
        <v>44</v>
      </c>
      <c r="E51" s="4">
        <v>0</v>
      </c>
      <c r="F51" s="4">
        <v>1</v>
      </c>
      <c r="G51" s="4">
        <v>0</v>
      </c>
      <c r="H51" s="4">
        <v>0</v>
      </c>
      <c r="I51" s="4">
        <v>1</v>
      </c>
      <c r="J51" s="4">
        <v>0</v>
      </c>
      <c r="K51" s="4">
        <v>0</v>
      </c>
      <c r="L51" s="4">
        <v>0</v>
      </c>
      <c r="M51" s="4">
        <v>0</v>
      </c>
      <c r="N51" s="4">
        <v>0</v>
      </c>
    </row>
    <row r="52" spans="1:14" x14ac:dyDescent="0.2">
      <c r="A52" s="2" t="s">
        <v>43</v>
      </c>
      <c r="B52" s="3" t="s">
        <v>122</v>
      </c>
      <c r="C52" s="2" t="s">
        <v>39</v>
      </c>
      <c r="D52" s="2" t="s">
        <v>32</v>
      </c>
      <c r="E52" s="4">
        <v>1</v>
      </c>
      <c r="F52" s="4">
        <v>0</v>
      </c>
      <c r="G52" s="4">
        <v>0</v>
      </c>
      <c r="H52" s="4">
        <v>0</v>
      </c>
      <c r="I52" s="4">
        <v>0</v>
      </c>
      <c r="J52" s="4">
        <v>0</v>
      </c>
      <c r="K52" s="4">
        <v>0</v>
      </c>
      <c r="L52" s="4">
        <v>0</v>
      </c>
      <c r="M52" s="4">
        <v>0</v>
      </c>
      <c r="N52" s="4">
        <v>0</v>
      </c>
    </row>
    <row r="53" spans="1:14" x14ac:dyDescent="0.2">
      <c r="A53" s="2" t="s">
        <v>45</v>
      </c>
      <c r="B53" s="3" t="s">
        <v>123</v>
      </c>
      <c r="C53" s="2" t="s">
        <v>39</v>
      </c>
      <c r="D53" s="2" t="s">
        <v>35</v>
      </c>
      <c r="E53" s="4">
        <v>0</v>
      </c>
      <c r="F53" s="4">
        <v>1</v>
      </c>
      <c r="G53" s="4">
        <v>0</v>
      </c>
      <c r="H53" s="4">
        <v>0</v>
      </c>
      <c r="I53" s="4">
        <v>1</v>
      </c>
      <c r="J53" s="4">
        <v>0</v>
      </c>
      <c r="K53" s="4">
        <v>0</v>
      </c>
      <c r="L53" s="4">
        <v>0</v>
      </c>
      <c r="M53" s="4">
        <v>1</v>
      </c>
      <c r="N53" s="4">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8B0C2-E600-4CBD-8FB0-C403299663B8}">
  <dimension ref="A1:G75"/>
  <sheetViews>
    <sheetView view="pageBreakPreview" zoomScale="80" zoomScaleNormal="100" zoomScaleSheetLayoutView="80" workbookViewId="0">
      <pane xSplit="1" ySplit="15" topLeftCell="B16" activePane="bottomRight" state="frozen"/>
      <selection pane="topRight" activeCell="B1" sqref="B1"/>
      <selection pane="bottomLeft" activeCell="A4" sqref="A4"/>
      <selection pane="bottomRight" activeCell="A11" sqref="A11"/>
    </sheetView>
  </sheetViews>
  <sheetFormatPr defaultColWidth="8.85546875" defaultRowHeight="12.75" x14ac:dyDescent="0.2"/>
  <cols>
    <col min="1" max="1" width="59.7109375" style="18" bestFit="1" customWidth="1"/>
    <col min="2" max="3" width="21" style="18" bestFit="1" customWidth="1"/>
    <col min="4" max="4" width="20" style="18" bestFit="1" customWidth="1"/>
    <col min="5" max="5" width="13.5703125" style="18" bestFit="1" customWidth="1"/>
    <col min="6" max="16384" width="8.85546875" style="18"/>
  </cols>
  <sheetData>
    <row r="1" spans="1:7" x14ac:dyDescent="0.2">
      <c r="A1" s="77" t="s">
        <v>263</v>
      </c>
      <c r="B1" s="77"/>
      <c r="C1" s="77"/>
      <c r="D1" s="77"/>
      <c r="E1" s="68" t="s">
        <v>281</v>
      </c>
      <c r="F1" s="66"/>
    </row>
    <row r="2" spans="1:7" x14ac:dyDescent="0.2">
      <c r="A2" s="69" t="s">
        <v>264</v>
      </c>
      <c r="B2" s="69"/>
      <c r="C2" s="69"/>
      <c r="D2" s="69"/>
      <c r="E2" s="69"/>
      <c r="F2" s="69"/>
      <c r="G2" s="69"/>
    </row>
    <row r="3" spans="1:7" ht="13.9" customHeight="1" x14ac:dyDescent="0.2">
      <c r="A3" s="69"/>
      <c r="B3" s="69"/>
      <c r="C3" s="69"/>
      <c r="D3" s="69"/>
      <c r="E3" s="69"/>
      <c r="F3" s="69"/>
      <c r="G3" s="69"/>
    </row>
    <row r="4" spans="1:7" x14ac:dyDescent="0.2">
      <c r="A4" s="36" t="s">
        <v>290</v>
      </c>
      <c r="B4" s="36"/>
      <c r="C4" s="36"/>
      <c r="D4" s="36"/>
      <c r="E4" s="32"/>
      <c r="F4" s="22"/>
      <c r="G4" s="22"/>
    </row>
    <row r="5" spans="1:7" x14ac:dyDescent="0.2">
      <c r="A5" s="23" t="s">
        <v>291</v>
      </c>
      <c r="B5" s="23"/>
      <c r="C5" s="23"/>
      <c r="D5" s="23"/>
      <c r="E5" s="24"/>
      <c r="F5" s="22"/>
      <c r="G5" s="22"/>
    </row>
    <row r="6" spans="1:7" ht="15" customHeight="1" x14ac:dyDescent="0.2"/>
    <row r="7" spans="1:7" ht="15" customHeight="1" x14ac:dyDescent="0.2">
      <c r="A7" s="7" t="s">
        <v>300</v>
      </c>
    </row>
    <row r="8" spans="1:7" ht="15" customHeight="1" x14ac:dyDescent="0.2">
      <c r="A8" s="55" t="s">
        <v>301</v>
      </c>
    </row>
    <row r="9" spans="1:7" ht="15" customHeight="1" x14ac:dyDescent="0.2">
      <c r="A9" s="56" t="s">
        <v>302</v>
      </c>
    </row>
    <row r="10" spans="1:7" ht="15" customHeight="1" x14ac:dyDescent="0.2">
      <c r="A10" s="57" t="s">
        <v>303</v>
      </c>
    </row>
    <row r="11" spans="1:7" ht="25.5" x14ac:dyDescent="0.2">
      <c r="A11" s="72" t="s">
        <v>304</v>
      </c>
    </row>
    <row r="12" spans="1:7" ht="15" customHeight="1" x14ac:dyDescent="0.2"/>
    <row r="13" spans="1:7" x14ac:dyDescent="0.2">
      <c r="A13" s="7" t="s">
        <v>130</v>
      </c>
      <c r="B13" s="8">
        <f>GETPIVOTDATA("Sum of 1. Supports proposed structure",$A$15)/GETPIVOTDATA("Sum of Total",$A$15)</f>
        <v>0.2391304347826087</v>
      </c>
      <c r="C13" s="8">
        <f>GETPIVOTDATA("Sum of 2. Support proposed structure with suggestions for improvement",$A$15)/GETPIVOTDATA("Sum of Total",$A$15)</f>
        <v>0.73913043478260865</v>
      </c>
      <c r="D13" s="8">
        <f>GETPIVOTDATA("Sum of 3. Does not support proposed structure",$A$15)/GETPIVOTDATA("Sum of Total",$A$15)</f>
        <v>2.1739130434782608E-2</v>
      </c>
      <c r="E13" s="9">
        <f>SUM(B13:D13)</f>
        <v>0.99999999999999989</v>
      </c>
    </row>
    <row r="15" spans="1:7" s="2" customFormat="1" ht="56.25" customHeight="1" x14ac:dyDescent="0.2">
      <c r="A15" s="52" t="s">
        <v>2</v>
      </c>
      <c r="B15" s="53" t="s">
        <v>183</v>
      </c>
      <c r="C15" s="49" t="s">
        <v>184</v>
      </c>
      <c r="D15" s="50" t="s">
        <v>185</v>
      </c>
      <c r="E15" s="54" t="s">
        <v>129</v>
      </c>
    </row>
    <row r="16" spans="1:7" x14ac:dyDescent="0.2">
      <c r="A16" s="43" t="s">
        <v>58</v>
      </c>
      <c r="B16" s="44">
        <v>0</v>
      </c>
      <c r="C16" s="44">
        <v>0</v>
      </c>
      <c r="D16" s="44">
        <v>0</v>
      </c>
      <c r="E16" s="44">
        <v>0</v>
      </c>
    </row>
    <row r="17" spans="1:5" x14ac:dyDescent="0.2">
      <c r="A17" s="43" t="s">
        <v>34</v>
      </c>
      <c r="B17" s="44">
        <v>0</v>
      </c>
      <c r="C17" s="44">
        <v>2</v>
      </c>
      <c r="D17" s="44">
        <v>0</v>
      </c>
      <c r="E17" s="44">
        <v>2</v>
      </c>
    </row>
    <row r="18" spans="1:5" x14ac:dyDescent="0.2">
      <c r="A18" s="43" t="s">
        <v>64</v>
      </c>
      <c r="B18" s="44">
        <v>0</v>
      </c>
      <c r="C18" s="44">
        <v>8</v>
      </c>
      <c r="D18" s="44">
        <v>0</v>
      </c>
      <c r="E18" s="44">
        <v>8</v>
      </c>
    </row>
    <row r="19" spans="1:5" x14ac:dyDescent="0.2">
      <c r="A19" s="43" t="s">
        <v>57</v>
      </c>
      <c r="B19" s="44">
        <v>2</v>
      </c>
      <c r="C19" s="44">
        <v>5</v>
      </c>
      <c r="D19" s="44">
        <v>0</v>
      </c>
      <c r="E19" s="44">
        <v>7</v>
      </c>
    </row>
    <row r="20" spans="1:5" x14ac:dyDescent="0.2">
      <c r="A20" s="43" t="s">
        <v>21</v>
      </c>
      <c r="B20" s="44">
        <v>0</v>
      </c>
      <c r="C20" s="44">
        <v>1</v>
      </c>
      <c r="D20" s="44">
        <v>0</v>
      </c>
      <c r="E20" s="44">
        <v>1</v>
      </c>
    </row>
    <row r="21" spans="1:5" x14ac:dyDescent="0.2">
      <c r="A21" s="43" t="s">
        <v>30</v>
      </c>
      <c r="B21" s="44">
        <v>7</v>
      </c>
      <c r="C21" s="44">
        <v>17</v>
      </c>
      <c r="D21" s="44">
        <v>1</v>
      </c>
      <c r="E21" s="44">
        <v>25</v>
      </c>
    </row>
    <row r="22" spans="1:5" x14ac:dyDescent="0.2">
      <c r="A22" s="43" t="s">
        <v>3</v>
      </c>
      <c r="B22" s="44">
        <v>0</v>
      </c>
      <c r="C22" s="44">
        <v>1</v>
      </c>
      <c r="D22" s="44">
        <v>0</v>
      </c>
      <c r="E22" s="44">
        <v>1</v>
      </c>
    </row>
    <row r="23" spans="1:5" x14ac:dyDescent="0.2">
      <c r="A23" s="43" t="s">
        <v>39</v>
      </c>
      <c r="B23" s="44">
        <v>2</v>
      </c>
      <c r="C23" s="44">
        <v>0</v>
      </c>
      <c r="D23" s="44">
        <v>0</v>
      </c>
      <c r="E23" s="44">
        <v>2</v>
      </c>
    </row>
    <row r="24" spans="1:5" x14ac:dyDescent="0.2">
      <c r="A24" s="43" t="s">
        <v>126</v>
      </c>
      <c r="B24" s="44">
        <v>11</v>
      </c>
      <c r="C24" s="44">
        <v>34</v>
      </c>
      <c r="D24" s="44">
        <v>1</v>
      </c>
      <c r="E24" s="44">
        <v>46</v>
      </c>
    </row>
    <row r="25" spans="1:5" ht="15" x14ac:dyDescent="0.25">
      <c r="A25"/>
      <c r="B25"/>
      <c r="C25"/>
      <c r="D25"/>
      <c r="E25"/>
    </row>
    <row r="26" spans="1:5" ht="15" x14ac:dyDescent="0.25">
      <c r="A26"/>
      <c r="B26"/>
      <c r="C26"/>
      <c r="D26"/>
      <c r="E26"/>
    </row>
    <row r="27" spans="1:5" ht="15" x14ac:dyDescent="0.25">
      <c r="A27"/>
      <c r="B27"/>
      <c r="C27"/>
      <c r="D27"/>
      <c r="E27"/>
    </row>
    <row r="28" spans="1:5" ht="15" x14ac:dyDescent="0.25">
      <c r="A28"/>
      <c r="B28"/>
      <c r="C28"/>
      <c r="D28"/>
      <c r="E28"/>
    </row>
    <row r="29" spans="1:5" ht="15" x14ac:dyDescent="0.25">
      <c r="A29"/>
      <c r="B29"/>
      <c r="C29"/>
      <c r="D29"/>
      <c r="E29"/>
    </row>
    <row r="30" spans="1:5" ht="15" x14ac:dyDescent="0.25">
      <c r="A30"/>
      <c r="B30"/>
      <c r="C30"/>
      <c r="D30"/>
      <c r="E30"/>
    </row>
    <row r="31" spans="1:5" ht="15" x14ac:dyDescent="0.25">
      <c r="A31"/>
      <c r="B31"/>
      <c r="C31"/>
      <c r="D31"/>
      <c r="E31"/>
    </row>
    <row r="32" spans="1:5" ht="15" x14ac:dyDescent="0.25">
      <c r="A32"/>
      <c r="B32"/>
      <c r="C32"/>
      <c r="D32"/>
      <c r="E32"/>
    </row>
    <row r="33" spans="1:5" ht="15" x14ac:dyDescent="0.25">
      <c r="A33"/>
      <c r="B33"/>
      <c r="C33"/>
      <c r="D33"/>
      <c r="E33"/>
    </row>
    <row r="34" spans="1:5" ht="15" x14ac:dyDescent="0.25">
      <c r="A34"/>
      <c r="B34"/>
      <c r="C34"/>
      <c r="D34"/>
      <c r="E34"/>
    </row>
    <row r="35" spans="1:5" ht="15" x14ac:dyDescent="0.25">
      <c r="A35"/>
      <c r="B35"/>
      <c r="C35"/>
      <c r="D35"/>
      <c r="E35"/>
    </row>
    <row r="36" spans="1:5" ht="15" x14ac:dyDescent="0.25">
      <c r="A36"/>
      <c r="B36"/>
      <c r="C36"/>
      <c r="D36"/>
      <c r="E36"/>
    </row>
    <row r="37" spans="1:5" ht="15" x14ac:dyDescent="0.25">
      <c r="A37"/>
      <c r="B37"/>
      <c r="C37"/>
      <c r="D37"/>
      <c r="E37"/>
    </row>
    <row r="38" spans="1:5" ht="15" x14ac:dyDescent="0.25">
      <c r="A38"/>
      <c r="B38"/>
      <c r="C38"/>
      <c r="D38"/>
      <c r="E38"/>
    </row>
    <row r="39" spans="1:5" ht="15" x14ac:dyDescent="0.25">
      <c r="A39"/>
      <c r="B39"/>
      <c r="C39"/>
      <c r="D39"/>
      <c r="E39"/>
    </row>
    <row r="40" spans="1:5" ht="15" x14ac:dyDescent="0.25">
      <c r="A40"/>
      <c r="B40"/>
      <c r="C40"/>
      <c r="D40"/>
      <c r="E40"/>
    </row>
    <row r="41" spans="1:5" ht="15" x14ac:dyDescent="0.25">
      <c r="A41"/>
      <c r="B41"/>
      <c r="C41"/>
      <c r="D41"/>
      <c r="E41"/>
    </row>
    <row r="42" spans="1:5" ht="15" x14ac:dyDescent="0.25">
      <c r="A42"/>
      <c r="B42"/>
      <c r="C42"/>
      <c r="D42"/>
      <c r="E42"/>
    </row>
    <row r="43" spans="1:5" ht="15" x14ac:dyDescent="0.25">
      <c r="A43"/>
      <c r="B43"/>
      <c r="C43"/>
      <c r="D43"/>
      <c r="E43"/>
    </row>
    <row r="44" spans="1:5" ht="15" x14ac:dyDescent="0.25">
      <c r="A44"/>
      <c r="B44"/>
      <c r="C44"/>
      <c r="D44"/>
      <c r="E44"/>
    </row>
    <row r="45" spans="1:5" ht="15" x14ac:dyDescent="0.25">
      <c r="A45"/>
      <c r="B45"/>
      <c r="C45"/>
      <c r="D45"/>
      <c r="E45"/>
    </row>
    <row r="46" spans="1:5" ht="15" x14ac:dyDescent="0.25">
      <c r="A46"/>
      <c r="B46"/>
      <c r="C46"/>
      <c r="D46"/>
      <c r="E46"/>
    </row>
    <row r="47" spans="1:5" ht="15" x14ac:dyDescent="0.25">
      <c r="A47"/>
      <c r="B47"/>
      <c r="C47"/>
      <c r="D47"/>
      <c r="E47"/>
    </row>
    <row r="48" spans="1:5" ht="15" x14ac:dyDescent="0.25">
      <c r="A48"/>
      <c r="B48"/>
      <c r="C48"/>
      <c r="D48"/>
      <c r="E48"/>
    </row>
    <row r="49" spans="1:5" ht="15" x14ac:dyDescent="0.25">
      <c r="A49"/>
      <c r="B49"/>
      <c r="C49"/>
      <c r="D49"/>
      <c r="E49"/>
    </row>
    <row r="50" spans="1:5" ht="15" x14ac:dyDescent="0.25">
      <c r="A50"/>
      <c r="B50"/>
      <c r="C50"/>
      <c r="D50"/>
      <c r="E50"/>
    </row>
    <row r="51" spans="1:5" ht="15" x14ac:dyDescent="0.25">
      <c r="A51"/>
      <c r="B51"/>
      <c r="C51"/>
      <c r="D51"/>
      <c r="E51"/>
    </row>
    <row r="52" spans="1:5" ht="15" x14ac:dyDescent="0.25">
      <c r="A52"/>
      <c r="B52"/>
      <c r="C52"/>
      <c r="D52"/>
      <c r="E52"/>
    </row>
    <row r="53" spans="1:5" ht="15" x14ac:dyDescent="0.25">
      <c r="A53"/>
      <c r="B53"/>
      <c r="C53"/>
      <c r="D53"/>
      <c r="E53"/>
    </row>
    <row r="54" spans="1:5" ht="15" x14ac:dyDescent="0.25">
      <c r="A54"/>
      <c r="B54"/>
      <c r="C54"/>
      <c r="D54"/>
      <c r="E54"/>
    </row>
    <row r="55" spans="1:5" ht="15" x14ac:dyDescent="0.25">
      <c r="A55"/>
      <c r="B55"/>
      <c r="C55"/>
      <c r="D55"/>
      <c r="E55"/>
    </row>
    <row r="56" spans="1:5" ht="15" x14ac:dyDescent="0.25">
      <c r="A56"/>
      <c r="B56"/>
      <c r="C56"/>
      <c r="D56"/>
      <c r="E56"/>
    </row>
    <row r="57" spans="1:5" ht="15" x14ac:dyDescent="0.25">
      <c r="A57"/>
      <c r="B57"/>
      <c r="C57"/>
      <c r="D57"/>
      <c r="E57"/>
    </row>
    <row r="58" spans="1:5" ht="15" x14ac:dyDescent="0.25">
      <c r="A58"/>
      <c r="B58"/>
      <c r="C58"/>
      <c r="D58"/>
      <c r="E58"/>
    </row>
    <row r="59" spans="1:5" ht="15" x14ac:dyDescent="0.25">
      <c r="A59"/>
      <c r="B59"/>
      <c r="C59"/>
      <c r="D59"/>
      <c r="E59"/>
    </row>
    <row r="60" spans="1:5" ht="15" x14ac:dyDescent="0.25">
      <c r="A60"/>
      <c r="B60"/>
      <c r="C60"/>
      <c r="D60"/>
      <c r="E60"/>
    </row>
    <row r="61" spans="1:5" ht="15" x14ac:dyDescent="0.25">
      <c r="A61"/>
      <c r="B61"/>
      <c r="C61"/>
      <c r="D61"/>
      <c r="E61"/>
    </row>
    <row r="62" spans="1:5" ht="15" x14ac:dyDescent="0.25">
      <c r="A62"/>
      <c r="B62"/>
      <c r="C62"/>
      <c r="D62"/>
      <c r="E62"/>
    </row>
    <row r="63" spans="1:5" ht="15" x14ac:dyDescent="0.25">
      <c r="A63"/>
      <c r="B63"/>
      <c r="C63"/>
      <c r="D63"/>
      <c r="E63"/>
    </row>
    <row r="64" spans="1:5" ht="15" x14ac:dyDescent="0.25">
      <c r="A64"/>
      <c r="B64"/>
      <c r="C64"/>
      <c r="D64"/>
      <c r="E64"/>
    </row>
    <row r="65" spans="1:5" ht="15" x14ac:dyDescent="0.25">
      <c r="A65"/>
      <c r="B65"/>
      <c r="C65"/>
      <c r="D65"/>
      <c r="E65"/>
    </row>
    <row r="66" spans="1:5" ht="15" x14ac:dyDescent="0.25">
      <c r="A66"/>
      <c r="B66"/>
      <c r="C66"/>
      <c r="D66"/>
      <c r="E66"/>
    </row>
    <row r="67" spans="1:5" ht="15" x14ac:dyDescent="0.25">
      <c r="A67"/>
      <c r="B67"/>
      <c r="C67"/>
      <c r="D67"/>
      <c r="E67"/>
    </row>
    <row r="68" spans="1:5" ht="15" x14ac:dyDescent="0.25">
      <c r="A68"/>
      <c r="B68"/>
      <c r="C68"/>
      <c r="D68"/>
      <c r="E68"/>
    </row>
    <row r="69" spans="1:5" ht="15" x14ac:dyDescent="0.25">
      <c r="A69"/>
      <c r="B69"/>
      <c r="C69"/>
      <c r="D69"/>
      <c r="E69"/>
    </row>
    <row r="70" spans="1:5" ht="15" x14ac:dyDescent="0.25">
      <c r="A70"/>
      <c r="B70"/>
      <c r="C70"/>
      <c r="D70"/>
      <c r="E70"/>
    </row>
    <row r="71" spans="1:5" ht="15" x14ac:dyDescent="0.25">
      <c r="A71"/>
      <c r="B71"/>
      <c r="C71"/>
      <c r="D71"/>
      <c r="E71"/>
    </row>
    <row r="72" spans="1:5" x14ac:dyDescent="0.2">
      <c r="A72" s="40"/>
      <c r="B72" s="40"/>
      <c r="C72" s="40"/>
      <c r="D72" s="40"/>
      <c r="E72" s="40"/>
    </row>
    <row r="73" spans="1:5" x14ac:dyDescent="0.2">
      <c r="A73" s="40"/>
      <c r="B73" s="40"/>
      <c r="C73" s="40"/>
      <c r="D73" s="40"/>
      <c r="E73" s="40"/>
    </row>
    <row r="74" spans="1:5" x14ac:dyDescent="0.2">
      <c r="A74" s="40"/>
      <c r="B74" s="40"/>
      <c r="C74" s="40"/>
      <c r="D74" s="40"/>
      <c r="E74" s="40"/>
    </row>
    <row r="75" spans="1:5" x14ac:dyDescent="0.2">
      <c r="A75" s="40"/>
      <c r="B75" s="40"/>
      <c r="C75" s="40"/>
      <c r="D75" s="40"/>
      <c r="E75" s="40"/>
    </row>
  </sheetData>
  <mergeCells count="1">
    <mergeCell ref="A1:D1"/>
  </mergeCells>
  <pageMargins left="0.7" right="0.7" top="0.75" bottom="0.75" header="0.3" footer="0.3"/>
  <pageSetup scale="80" orientation="landscape" r:id="rId2"/>
  <headerFooter>
    <oddFooter>&amp;R&amp;P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467A8-2A69-460D-9237-4A5268DBC350}">
  <dimension ref="A1:L24"/>
  <sheetViews>
    <sheetView view="pageBreakPreview" zoomScale="80" zoomScaleNormal="100" zoomScaleSheetLayoutView="80" workbookViewId="0">
      <pane xSplit="1" ySplit="15" topLeftCell="B16" activePane="bottomRight" state="frozen"/>
      <selection pane="topRight" activeCell="B1" sqref="B1"/>
      <selection pane="bottomLeft" activeCell="A4" sqref="A4"/>
      <selection pane="bottomRight" activeCell="A11" sqref="A11"/>
    </sheetView>
  </sheetViews>
  <sheetFormatPr defaultColWidth="8.85546875" defaultRowHeight="12.75" x14ac:dyDescent="0.2"/>
  <cols>
    <col min="1" max="1" width="59.7109375" style="18" bestFit="1" customWidth="1"/>
    <col min="2" max="2" width="18.28515625" style="18" bestFit="1" customWidth="1"/>
    <col min="3" max="3" width="18.140625" style="18" bestFit="1" customWidth="1"/>
    <col min="4" max="4" width="18.42578125" style="18" bestFit="1" customWidth="1"/>
    <col min="5" max="5" width="14.42578125" style="18" bestFit="1" customWidth="1"/>
    <col min="6" max="6" width="20.28515625" style="18" bestFit="1" customWidth="1"/>
    <col min="7" max="7" width="19.42578125" style="18" bestFit="1" customWidth="1"/>
    <col min="8" max="8" width="17.28515625" style="18" bestFit="1" customWidth="1"/>
    <col min="9" max="9" width="18.140625" style="18" bestFit="1" customWidth="1"/>
    <col min="10" max="10" width="17" style="18" bestFit="1" customWidth="1"/>
    <col min="11" max="11" width="12.42578125" style="18" bestFit="1" customWidth="1"/>
    <col min="12" max="12" width="14.7109375" style="18" bestFit="1" customWidth="1"/>
    <col min="13" max="16384" width="8.85546875" style="18"/>
  </cols>
  <sheetData>
    <row r="1" spans="1:12" x14ac:dyDescent="0.2">
      <c r="A1" s="77" t="s">
        <v>263</v>
      </c>
      <c r="B1" s="77"/>
      <c r="C1" s="77"/>
      <c r="D1" s="77"/>
      <c r="E1" s="77"/>
      <c r="F1" s="77"/>
      <c r="G1" s="77"/>
      <c r="H1" s="77"/>
      <c r="I1" s="77"/>
      <c r="J1" s="77"/>
      <c r="L1" s="68" t="s">
        <v>283</v>
      </c>
    </row>
    <row r="2" spans="1:12" x14ac:dyDescent="0.2">
      <c r="A2" s="69" t="s">
        <v>264</v>
      </c>
    </row>
    <row r="4" spans="1:12" x14ac:dyDescent="0.2">
      <c r="A4" s="36" t="s">
        <v>290</v>
      </c>
      <c r="B4" s="36"/>
      <c r="C4" s="36"/>
      <c r="D4" s="36"/>
      <c r="E4" s="32"/>
    </row>
    <row r="5" spans="1:12" x14ac:dyDescent="0.2">
      <c r="A5" s="23" t="s">
        <v>291</v>
      </c>
      <c r="B5" s="23"/>
      <c r="C5" s="23"/>
      <c r="D5" s="23"/>
      <c r="E5" s="24"/>
    </row>
    <row r="7" spans="1:12" x14ac:dyDescent="0.2">
      <c r="A7" s="7" t="s">
        <v>300</v>
      </c>
    </row>
    <row r="8" spans="1:12" x14ac:dyDescent="0.2">
      <c r="A8" s="55" t="s">
        <v>301</v>
      </c>
    </row>
    <row r="9" spans="1:12" x14ac:dyDescent="0.2">
      <c r="A9" s="56" t="s">
        <v>302</v>
      </c>
    </row>
    <row r="10" spans="1:12" x14ac:dyDescent="0.2">
      <c r="A10" s="57" t="s">
        <v>303</v>
      </c>
    </row>
    <row r="11" spans="1:12" ht="25.5" x14ac:dyDescent="0.2">
      <c r="A11" s="72" t="s">
        <v>304</v>
      </c>
    </row>
    <row r="12" spans="1:12" x14ac:dyDescent="0.2">
      <c r="B12" s="73"/>
      <c r="C12" s="73"/>
      <c r="D12" s="66"/>
      <c r="F12" s="66"/>
      <c r="H12" s="67"/>
    </row>
    <row r="13" spans="1:12" x14ac:dyDescent="0.2">
      <c r="A13" s="69" t="s">
        <v>297</v>
      </c>
      <c r="B13" s="69"/>
      <c r="C13" s="69"/>
      <c r="D13" s="69"/>
      <c r="E13" s="69"/>
      <c r="F13" s="69"/>
      <c r="G13" s="69"/>
      <c r="H13" s="69"/>
      <c r="I13" s="69"/>
      <c r="J13" s="69"/>
    </row>
    <row r="14" spans="1:12" ht="15" customHeight="1" x14ac:dyDescent="0.2"/>
    <row r="15" spans="1:12" s="2" customFormat="1" ht="90" customHeight="1" x14ac:dyDescent="0.2">
      <c r="A15" s="52" t="s">
        <v>2</v>
      </c>
      <c r="B15" s="53" t="s">
        <v>183</v>
      </c>
      <c r="C15" s="49" t="s">
        <v>184</v>
      </c>
      <c r="D15" s="34" t="s">
        <v>194</v>
      </c>
      <c r="E15" s="34" t="s">
        <v>195</v>
      </c>
      <c r="F15" s="34" t="s">
        <v>196</v>
      </c>
      <c r="G15" s="34" t="s">
        <v>197</v>
      </c>
      <c r="H15" s="34" t="s">
        <v>198</v>
      </c>
      <c r="I15" s="34" t="s">
        <v>199</v>
      </c>
      <c r="J15" s="34" t="s">
        <v>200</v>
      </c>
      <c r="K15" s="34" t="s">
        <v>201</v>
      </c>
      <c r="L15" s="50" t="s">
        <v>185</v>
      </c>
    </row>
    <row r="16" spans="1:12" x14ac:dyDescent="0.2">
      <c r="A16" s="43" t="s">
        <v>58</v>
      </c>
      <c r="B16" s="44">
        <v>0</v>
      </c>
      <c r="C16" s="44">
        <v>0</v>
      </c>
      <c r="D16" s="44">
        <v>0</v>
      </c>
      <c r="E16" s="44">
        <v>0</v>
      </c>
      <c r="F16" s="44">
        <v>0</v>
      </c>
      <c r="G16" s="44">
        <v>0</v>
      </c>
      <c r="H16" s="44">
        <v>0</v>
      </c>
      <c r="I16" s="44">
        <v>0</v>
      </c>
      <c r="J16" s="44">
        <v>0</v>
      </c>
      <c r="K16" s="44">
        <v>0</v>
      </c>
      <c r="L16" s="44">
        <v>0</v>
      </c>
    </row>
    <row r="17" spans="1:12" x14ac:dyDescent="0.2">
      <c r="A17" s="43" t="s">
        <v>34</v>
      </c>
      <c r="B17" s="44">
        <v>0</v>
      </c>
      <c r="C17" s="44">
        <v>2</v>
      </c>
      <c r="D17" s="44">
        <v>0</v>
      </c>
      <c r="E17" s="44">
        <v>0</v>
      </c>
      <c r="F17" s="44">
        <v>0</v>
      </c>
      <c r="G17" s="44">
        <v>0</v>
      </c>
      <c r="H17" s="44">
        <v>0</v>
      </c>
      <c r="I17" s="44">
        <v>0</v>
      </c>
      <c r="J17" s="44">
        <v>0</v>
      </c>
      <c r="K17" s="44">
        <v>0</v>
      </c>
      <c r="L17" s="44">
        <v>0</v>
      </c>
    </row>
    <row r="18" spans="1:12" x14ac:dyDescent="0.2">
      <c r="A18" s="43" t="s">
        <v>64</v>
      </c>
      <c r="B18" s="44">
        <v>0</v>
      </c>
      <c r="C18" s="44">
        <v>8</v>
      </c>
      <c r="D18" s="44">
        <v>1</v>
      </c>
      <c r="E18" s="44">
        <v>2</v>
      </c>
      <c r="F18" s="44">
        <v>2</v>
      </c>
      <c r="G18" s="44">
        <v>4</v>
      </c>
      <c r="H18" s="44">
        <v>2</v>
      </c>
      <c r="I18" s="44">
        <v>3</v>
      </c>
      <c r="J18" s="44">
        <v>1</v>
      </c>
      <c r="K18" s="44">
        <v>4</v>
      </c>
      <c r="L18" s="44">
        <v>0</v>
      </c>
    </row>
    <row r="19" spans="1:12" x14ac:dyDescent="0.2">
      <c r="A19" s="43" t="s">
        <v>57</v>
      </c>
      <c r="B19" s="44">
        <v>2</v>
      </c>
      <c r="C19" s="44">
        <v>5</v>
      </c>
      <c r="D19" s="44">
        <v>0</v>
      </c>
      <c r="E19" s="44">
        <v>2</v>
      </c>
      <c r="F19" s="44">
        <v>1</v>
      </c>
      <c r="G19" s="44">
        <v>1</v>
      </c>
      <c r="H19" s="44">
        <v>2</v>
      </c>
      <c r="I19" s="44">
        <v>0</v>
      </c>
      <c r="J19" s="44">
        <v>1</v>
      </c>
      <c r="K19" s="44">
        <v>2</v>
      </c>
      <c r="L19" s="44">
        <v>0</v>
      </c>
    </row>
    <row r="20" spans="1:12" x14ac:dyDescent="0.2">
      <c r="A20" s="43" t="s">
        <v>21</v>
      </c>
      <c r="B20" s="44">
        <v>0</v>
      </c>
      <c r="C20" s="44">
        <v>1</v>
      </c>
      <c r="D20" s="44">
        <v>0</v>
      </c>
      <c r="E20" s="44">
        <v>0</v>
      </c>
      <c r="F20" s="44">
        <v>0</v>
      </c>
      <c r="G20" s="44">
        <v>0</v>
      </c>
      <c r="H20" s="44">
        <v>0</v>
      </c>
      <c r="I20" s="44">
        <v>0</v>
      </c>
      <c r="J20" s="44">
        <v>0</v>
      </c>
      <c r="K20" s="44">
        <v>1</v>
      </c>
      <c r="L20" s="44">
        <v>0</v>
      </c>
    </row>
    <row r="21" spans="1:12" x14ac:dyDescent="0.2">
      <c r="A21" s="43" t="s">
        <v>30</v>
      </c>
      <c r="B21" s="44">
        <v>7</v>
      </c>
      <c r="C21" s="44">
        <v>17</v>
      </c>
      <c r="D21" s="44">
        <v>4</v>
      </c>
      <c r="E21" s="44">
        <v>4</v>
      </c>
      <c r="F21" s="44">
        <v>5</v>
      </c>
      <c r="G21" s="44">
        <v>1</v>
      </c>
      <c r="H21" s="44">
        <v>4</v>
      </c>
      <c r="I21" s="44">
        <v>3</v>
      </c>
      <c r="J21" s="44">
        <v>1</v>
      </c>
      <c r="K21" s="44">
        <v>4</v>
      </c>
      <c r="L21" s="44">
        <v>1</v>
      </c>
    </row>
    <row r="22" spans="1:12" x14ac:dyDescent="0.2">
      <c r="A22" s="43" t="s">
        <v>3</v>
      </c>
      <c r="B22" s="44">
        <v>0</v>
      </c>
      <c r="C22" s="44">
        <v>1</v>
      </c>
      <c r="D22" s="44">
        <v>0</v>
      </c>
      <c r="E22" s="44">
        <v>0</v>
      </c>
      <c r="F22" s="44">
        <v>0</v>
      </c>
      <c r="G22" s="44">
        <v>0</v>
      </c>
      <c r="H22" s="44">
        <v>0</v>
      </c>
      <c r="I22" s="44">
        <v>0</v>
      </c>
      <c r="J22" s="44">
        <v>0</v>
      </c>
      <c r="K22" s="44">
        <v>0</v>
      </c>
      <c r="L22" s="44">
        <v>0</v>
      </c>
    </row>
    <row r="23" spans="1:12" x14ac:dyDescent="0.2">
      <c r="A23" s="43" t="s">
        <v>39</v>
      </c>
      <c r="B23" s="44">
        <v>2</v>
      </c>
      <c r="C23" s="44">
        <v>0</v>
      </c>
      <c r="D23" s="44">
        <v>0</v>
      </c>
      <c r="E23" s="44">
        <v>0</v>
      </c>
      <c r="F23" s="44">
        <v>0</v>
      </c>
      <c r="G23" s="44">
        <v>0</v>
      </c>
      <c r="H23" s="44">
        <v>0</v>
      </c>
      <c r="I23" s="44">
        <v>0</v>
      </c>
      <c r="J23" s="44">
        <v>0</v>
      </c>
      <c r="K23" s="44">
        <v>0</v>
      </c>
      <c r="L23" s="44">
        <v>0</v>
      </c>
    </row>
    <row r="24" spans="1:12" x14ac:dyDescent="0.2">
      <c r="A24" s="43" t="s">
        <v>126</v>
      </c>
      <c r="B24" s="44">
        <v>11</v>
      </c>
      <c r="C24" s="44">
        <v>34</v>
      </c>
      <c r="D24" s="44">
        <v>5</v>
      </c>
      <c r="E24" s="44">
        <v>8</v>
      </c>
      <c r="F24" s="44">
        <v>8</v>
      </c>
      <c r="G24" s="44">
        <v>6</v>
      </c>
      <c r="H24" s="44">
        <v>8</v>
      </c>
      <c r="I24" s="44">
        <v>6</v>
      </c>
      <c r="J24" s="44">
        <v>3</v>
      </c>
      <c r="K24" s="44">
        <v>11</v>
      </c>
      <c r="L24" s="44">
        <v>1</v>
      </c>
    </row>
  </sheetData>
  <mergeCells count="2">
    <mergeCell ref="B12:C12"/>
    <mergeCell ref="A1:J1"/>
  </mergeCells>
  <pageMargins left="0.7" right="0.7" top="0.75" bottom="0.75" header="0.3" footer="0.3"/>
  <pageSetup scale="40" orientation="landscape" r:id="rId2"/>
  <headerFooter>
    <oddFooter>&amp;R&amp;P of &amp;N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0B71-DF9C-4EF9-A496-4C6C89E58DB9}">
  <dimension ref="A1:K76"/>
  <sheetViews>
    <sheetView view="pageBreakPreview" zoomScale="80" zoomScaleNormal="100" zoomScaleSheetLayoutView="80" workbookViewId="0">
      <pane xSplit="1" ySplit="15" topLeftCell="B16" activePane="bottomRight" state="frozen"/>
      <selection activeCell="A4" sqref="A4"/>
      <selection pane="topRight" activeCell="A4" sqref="A4"/>
      <selection pane="bottomLeft" activeCell="A4" sqref="A4"/>
      <selection pane="bottomRight" activeCell="A7" sqref="A7:A11"/>
    </sheetView>
  </sheetViews>
  <sheetFormatPr defaultColWidth="8.85546875" defaultRowHeight="12.75" x14ac:dyDescent="0.2"/>
  <cols>
    <col min="1" max="1" width="59.7109375" style="18" bestFit="1" customWidth="1"/>
    <col min="2" max="2" width="9.5703125" style="18" bestFit="1" customWidth="1"/>
    <col min="3" max="3" width="20.85546875" style="18" bestFit="1" customWidth="1"/>
    <col min="4" max="4" width="10.28515625" style="18" bestFit="1" customWidth="1"/>
    <col min="5" max="5" width="23.85546875" style="18" bestFit="1" customWidth="1"/>
    <col min="6" max="6" width="7.42578125" style="18" bestFit="1" customWidth="1"/>
    <col min="7" max="16384" width="8.85546875" style="18"/>
  </cols>
  <sheetData>
    <row r="1" spans="1:11" x14ac:dyDescent="0.2">
      <c r="A1" s="77" t="s">
        <v>263</v>
      </c>
      <c r="B1" s="77"/>
      <c r="C1" s="77"/>
      <c r="D1" s="77"/>
      <c r="E1" s="77"/>
      <c r="F1" s="77"/>
      <c r="G1" s="77"/>
      <c r="H1" s="77"/>
      <c r="K1" s="71" t="s">
        <v>270</v>
      </c>
    </row>
    <row r="2" spans="1:11" x14ac:dyDescent="0.2">
      <c r="A2" s="69" t="s">
        <v>264</v>
      </c>
      <c r="B2" s="69"/>
      <c r="C2" s="69"/>
      <c r="D2" s="69"/>
      <c r="E2" s="69"/>
      <c r="F2" s="69"/>
      <c r="G2" s="69"/>
      <c r="H2" s="69"/>
      <c r="I2" s="69"/>
      <c r="J2" s="69"/>
    </row>
    <row r="3" spans="1:11" ht="13.9" customHeight="1" x14ac:dyDescent="0.2">
      <c r="A3" s="69"/>
      <c r="B3" s="69"/>
      <c r="C3" s="69"/>
      <c r="D3" s="69"/>
      <c r="E3" s="69"/>
      <c r="F3" s="69"/>
      <c r="G3" s="69"/>
      <c r="H3" s="69"/>
      <c r="I3" s="69"/>
      <c r="J3" s="69"/>
    </row>
    <row r="4" spans="1:11" x14ac:dyDescent="0.2">
      <c r="A4" s="74" t="s">
        <v>292</v>
      </c>
      <c r="B4" s="74"/>
      <c r="C4" s="74"/>
      <c r="D4" s="74"/>
      <c r="E4" s="74"/>
      <c r="F4" s="74"/>
      <c r="G4" s="74"/>
      <c r="H4" s="74"/>
      <c r="I4" s="74"/>
      <c r="J4" s="26"/>
      <c r="K4" s="25"/>
    </row>
    <row r="5" spans="1:11" ht="33.75" customHeight="1" x14ac:dyDescent="0.2">
      <c r="A5" s="75" t="s">
        <v>293</v>
      </c>
      <c r="B5" s="75"/>
      <c r="C5" s="75"/>
      <c r="D5" s="75"/>
      <c r="E5" s="75"/>
      <c r="F5" s="75"/>
      <c r="G5" s="75"/>
      <c r="H5" s="75"/>
      <c r="I5" s="75"/>
      <c r="J5" s="75"/>
      <c r="K5" s="76"/>
    </row>
    <row r="6" spans="1:11" ht="14.25" customHeight="1" x14ac:dyDescent="0.2">
      <c r="A6" s="69"/>
      <c r="B6" s="69"/>
      <c r="C6" s="69"/>
      <c r="D6" s="69"/>
      <c r="E6" s="69"/>
      <c r="F6" s="69"/>
      <c r="G6" s="69"/>
      <c r="H6" s="69"/>
      <c r="I6" s="69"/>
      <c r="J6" s="69"/>
    </row>
    <row r="7" spans="1:11" ht="14.25" customHeight="1" x14ac:dyDescent="0.2">
      <c r="A7" s="7" t="s">
        <v>300</v>
      </c>
      <c r="B7" s="69"/>
      <c r="C7" s="69"/>
      <c r="D7" s="69"/>
      <c r="E7" s="69"/>
      <c r="F7" s="69"/>
      <c r="G7" s="69"/>
      <c r="H7" s="69"/>
      <c r="I7" s="69"/>
      <c r="J7" s="69"/>
    </row>
    <row r="8" spans="1:11" ht="14.25" customHeight="1" x14ac:dyDescent="0.2">
      <c r="A8" s="55" t="s">
        <v>301</v>
      </c>
      <c r="B8" s="69"/>
      <c r="C8" s="69"/>
      <c r="D8" s="69"/>
      <c r="E8" s="69"/>
      <c r="F8" s="69"/>
      <c r="G8" s="69"/>
      <c r="H8" s="69"/>
      <c r="I8" s="69"/>
      <c r="J8" s="69"/>
    </row>
    <row r="9" spans="1:11" ht="14.25" customHeight="1" x14ac:dyDescent="0.2">
      <c r="A9" s="56" t="s">
        <v>302</v>
      </c>
      <c r="B9" s="69"/>
      <c r="C9" s="69"/>
      <c r="D9" s="69"/>
      <c r="E9" s="69"/>
      <c r="F9" s="69"/>
      <c r="G9" s="69"/>
      <c r="H9" s="69"/>
      <c r="I9" s="69"/>
      <c r="J9" s="69"/>
    </row>
    <row r="10" spans="1:11" ht="14.25" customHeight="1" x14ac:dyDescent="0.2">
      <c r="A10" s="57" t="s">
        <v>303</v>
      </c>
      <c r="B10" s="69"/>
      <c r="C10" s="69"/>
      <c r="D10" s="69"/>
      <c r="E10" s="69"/>
      <c r="F10" s="69"/>
      <c r="G10" s="69"/>
      <c r="H10" s="69"/>
      <c r="I10" s="69"/>
      <c r="J10" s="69"/>
    </row>
    <row r="11" spans="1:11" ht="25.5" x14ac:dyDescent="0.2">
      <c r="A11" s="72" t="s">
        <v>304</v>
      </c>
      <c r="B11" s="69"/>
      <c r="C11" s="69"/>
      <c r="D11" s="69"/>
      <c r="E11" s="69"/>
      <c r="F11" s="69"/>
      <c r="G11" s="69"/>
      <c r="H11" s="69"/>
      <c r="I11" s="69"/>
      <c r="J11" s="69"/>
    </row>
    <row r="12" spans="1:11" ht="14.25" customHeight="1" x14ac:dyDescent="0.2">
      <c r="A12" s="69"/>
      <c r="B12" s="69"/>
      <c r="C12" s="69"/>
      <c r="D12" s="69"/>
      <c r="E12" s="69"/>
      <c r="F12" s="69"/>
      <c r="G12" s="69"/>
      <c r="H12" s="69"/>
      <c r="I12" s="69"/>
      <c r="J12" s="69"/>
    </row>
    <row r="13" spans="1:11" x14ac:dyDescent="0.2">
      <c r="A13" s="7" t="s">
        <v>130</v>
      </c>
      <c r="B13" s="8">
        <f>GETPIVOTDATA("Sum of 1. Agreed",$A$15)/GETPIVOTDATA("Sum of Total",$A$15)</f>
        <v>0.27906976744186046</v>
      </c>
      <c r="C13" s="8">
        <f>GETPIVOTDATA("Sum of 2. Agree but with futher comments",$A$15)/GETPIVOTDATA("Sum of Total",$A$15)</f>
        <v>0.58139534883720934</v>
      </c>
      <c r="D13" s="8">
        <f>GETPIVOTDATA("Sum of 3. Disagreed",$A$15)/GETPIVOTDATA("Sum of Total",$A$15)</f>
        <v>9.3023255813953487E-2</v>
      </c>
      <c r="E13" s="9">
        <f>GETPIVOTDATA("Sum of 4. No comment or holding comment until phase 2",$A$15)/GETPIVOTDATA("Sum of Total",$A$15)</f>
        <v>4.6511627906976744E-2</v>
      </c>
      <c r="F13" s="9">
        <f>SUM(B13:E13)</f>
        <v>0.99999999999999989</v>
      </c>
    </row>
    <row r="15" spans="1:11" s="2" customFormat="1" ht="49.5" customHeight="1" x14ac:dyDescent="0.2">
      <c r="A15" s="52" t="s">
        <v>2</v>
      </c>
      <c r="B15" s="53" t="s">
        <v>125</v>
      </c>
      <c r="C15" s="49" t="s">
        <v>127</v>
      </c>
      <c r="D15" s="50" t="s">
        <v>128</v>
      </c>
      <c r="E15" s="51" t="s">
        <v>203</v>
      </c>
      <c r="F15" s="54" t="s">
        <v>129</v>
      </c>
    </row>
    <row r="16" spans="1:11" x14ac:dyDescent="0.2">
      <c r="A16" s="43" t="s">
        <v>58</v>
      </c>
      <c r="B16" s="44">
        <v>0</v>
      </c>
      <c r="C16" s="44">
        <v>0</v>
      </c>
      <c r="D16" s="44">
        <v>0</v>
      </c>
      <c r="E16" s="44">
        <v>0</v>
      </c>
      <c r="F16" s="44">
        <v>0</v>
      </c>
    </row>
    <row r="17" spans="1:6" x14ac:dyDescent="0.2">
      <c r="A17" s="43" t="s">
        <v>34</v>
      </c>
      <c r="B17" s="44">
        <v>0</v>
      </c>
      <c r="C17" s="44">
        <v>2</v>
      </c>
      <c r="D17" s="44">
        <v>0</v>
      </c>
      <c r="E17" s="44">
        <v>0</v>
      </c>
      <c r="F17" s="44">
        <v>2</v>
      </c>
    </row>
    <row r="18" spans="1:6" x14ac:dyDescent="0.2">
      <c r="A18" s="43" t="s">
        <v>64</v>
      </c>
      <c r="B18" s="44">
        <v>2</v>
      </c>
      <c r="C18" s="44">
        <v>6</v>
      </c>
      <c r="D18" s="44">
        <v>0</v>
      </c>
      <c r="E18" s="44">
        <v>0</v>
      </c>
      <c r="F18" s="44">
        <v>8</v>
      </c>
    </row>
    <row r="19" spans="1:6" x14ac:dyDescent="0.2">
      <c r="A19" s="43" t="s">
        <v>57</v>
      </c>
      <c r="B19" s="44">
        <v>2</v>
      </c>
      <c r="C19" s="44">
        <v>6</v>
      </c>
      <c r="D19" s="44">
        <v>0</v>
      </c>
      <c r="E19" s="44">
        <v>0</v>
      </c>
      <c r="F19" s="44">
        <v>8</v>
      </c>
    </row>
    <row r="20" spans="1:6" x14ac:dyDescent="0.2">
      <c r="A20" s="43" t="s">
        <v>21</v>
      </c>
      <c r="B20" s="44">
        <v>0</v>
      </c>
      <c r="C20" s="44">
        <v>0</v>
      </c>
      <c r="D20" s="44">
        <v>0</v>
      </c>
      <c r="E20" s="44">
        <v>1</v>
      </c>
      <c r="F20" s="44">
        <v>1</v>
      </c>
    </row>
    <row r="21" spans="1:6" x14ac:dyDescent="0.2">
      <c r="A21" s="43" t="s">
        <v>30</v>
      </c>
      <c r="B21" s="44">
        <v>7</v>
      </c>
      <c r="C21" s="44">
        <v>11</v>
      </c>
      <c r="D21" s="44">
        <v>3</v>
      </c>
      <c r="E21" s="44">
        <v>1</v>
      </c>
      <c r="F21" s="44">
        <v>22</v>
      </c>
    </row>
    <row r="22" spans="1:6" x14ac:dyDescent="0.2">
      <c r="A22" s="43" t="s">
        <v>3</v>
      </c>
      <c r="B22" s="44">
        <v>0</v>
      </c>
      <c r="C22" s="44">
        <v>0</v>
      </c>
      <c r="D22" s="44">
        <v>0</v>
      </c>
      <c r="E22" s="44">
        <v>0</v>
      </c>
      <c r="F22" s="44">
        <v>0</v>
      </c>
    </row>
    <row r="23" spans="1:6" x14ac:dyDescent="0.2">
      <c r="A23" s="43" t="s">
        <v>39</v>
      </c>
      <c r="B23" s="44">
        <v>1</v>
      </c>
      <c r="C23" s="44">
        <v>0</v>
      </c>
      <c r="D23" s="44">
        <v>1</v>
      </c>
      <c r="E23" s="44">
        <v>0</v>
      </c>
      <c r="F23" s="44">
        <v>2</v>
      </c>
    </row>
    <row r="24" spans="1:6" x14ac:dyDescent="0.2">
      <c r="A24" s="43" t="s">
        <v>126</v>
      </c>
      <c r="B24" s="44">
        <v>12</v>
      </c>
      <c r="C24" s="44">
        <v>25</v>
      </c>
      <c r="D24" s="44">
        <v>4</v>
      </c>
      <c r="E24" s="44">
        <v>2</v>
      </c>
      <c r="F24" s="44">
        <v>43</v>
      </c>
    </row>
    <row r="25" spans="1:6" x14ac:dyDescent="0.2">
      <c r="A25" s="40"/>
      <c r="B25" s="40"/>
      <c r="C25" s="40"/>
      <c r="D25" s="40"/>
      <c r="E25" s="40"/>
      <c r="F25" s="40"/>
    </row>
    <row r="26" spans="1:6" x14ac:dyDescent="0.2">
      <c r="A26" s="40"/>
      <c r="B26" s="40"/>
      <c r="C26" s="40"/>
      <c r="D26" s="40"/>
      <c r="E26" s="40"/>
      <c r="F26" s="40"/>
    </row>
    <row r="27" spans="1:6" x14ac:dyDescent="0.2">
      <c r="A27" s="40"/>
      <c r="B27" s="40"/>
      <c r="C27" s="40"/>
      <c r="D27" s="40"/>
      <c r="E27" s="40"/>
      <c r="F27" s="40"/>
    </row>
    <row r="28" spans="1:6" x14ac:dyDescent="0.2">
      <c r="A28" s="40"/>
      <c r="B28" s="40"/>
      <c r="C28" s="40"/>
      <c r="D28" s="40"/>
      <c r="E28" s="40"/>
      <c r="F28" s="40"/>
    </row>
    <row r="29" spans="1:6" x14ac:dyDescent="0.2">
      <c r="A29" s="40"/>
      <c r="B29" s="40"/>
      <c r="C29" s="40"/>
      <c r="D29" s="40"/>
      <c r="E29" s="40"/>
      <c r="F29" s="40"/>
    </row>
    <row r="30" spans="1:6" x14ac:dyDescent="0.2">
      <c r="A30" s="40"/>
      <c r="B30" s="40"/>
      <c r="C30" s="40"/>
      <c r="D30" s="40"/>
      <c r="E30" s="40"/>
      <c r="F30" s="40"/>
    </row>
    <row r="31" spans="1:6" x14ac:dyDescent="0.2">
      <c r="A31" s="40"/>
      <c r="B31" s="40"/>
      <c r="C31" s="40"/>
      <c r="D31" s="40"/>
      <c r="E31" s="40"/>
      <c r="F31" s="40"/>
    </row>
    <row r="32" spans="1:6" x14ac:dyDescent="0.2">
      <c r="A32" s="40"/>
      <c r="B32" s="40"/>
      <c r="C32" s="40"/>
      <c r="D32" s="40"/>
      <c r="E32" s="40"/>
      <c r="F32" s="40"/>
    </row>
    <row r="33" spans="1:6" x14ac:dyDescent="0.2">
      <c r="A33" s="40"/>
      <c r="B33" s="40"/>
      <c r="C33" s="40"/>
      <c r="D33" s="40"/>
      <c r="E33" s="40"/>
      <c r="F33" s="40"/>
    </row>
    <row r="34" spans="1:6" x14ac:dyDescent="0.2">
      <c r="A34" s="40"/>
      <c r="B34" s="40"/>
      <c r="C34" s="40"/>
      <c r="D34" s="40"/>
      <c r="E34" s="40"/>
      <c r="F34" s="40"/>
    </row>
    <row r="35" spans="1:6" x14ac:dyDescent="0.2">
      <c r="A35" s="40"/>
      <c r="B35" s="40"/>
      <c r="C35" s="40"/>
      <c r="D35" s="40"/>
      <c r="E35" s="40"/>
      <c r="F35" s="40"/>
    </row>
    <row r="36" spans="1:6" x14ac:dyDescent="0.2">
      <c r="A36" s="40"/>
      <c r="B36" s="40"/>
      <c r="C36" s="40"/>
      <c r="D36" s="40"/>
      <c r="E36" s="40"/>
      <c r="F36" s="40"/>
    </row>
    <row r="37" spans="1:6" x14ac:dyDescent="0.2">
      <c r="A37" s="40"/>
      <c r="B37" s="40"/>
      <c r="C37" s="40"/>
      <c r="D37" s="40"/>
      <c r="E37" s="40"/>
      <c r="F37" s="40"/>
    </row>
    <row r="38" spans="1:6" x14ac:dyDescent="0.2">
      <c r="A38" s="40"/>
      <c r="B38" s="40"/>
      <c r="C38" s="40"/>
      <c r="D38" s="40"/>
      <c r="E38" s="40"/>
      <c r="F38" s="40"/>
    </row>
    <row r="39" spans="1:6" x14ac:dyDescent="0.2">
      <c r="A39" s="40"/>
      <c r="B39" s="40"/>
      <c r="C39" s="40"/>
      <c r="D39" s="40"/>
      <c r="E39" s="40"/>
      <c r="F39" s="40"/>
    </row>
    <row r="40" spans="1:6" x14ac:dyDescent="0.2">
      <c r="A40" s="40"/>
      <c r="B40" s="40"/>
      <c r="C40" s="40"/>
      <c r="D40" s="40"/>
      <c r="E40" s="40"/>
      <c r="F40" s="40"/>
    </row>
    <row r="41" spans="1:6" x14ac:dyDescent="0.2">
      <c r="A41" s="40"/>
      <c r="B41" s="40"/>
      <c r="C41" s="40"/>
      <c r="D41" s="40"/>
      <c r="E41" s="40"/>
      <c r="F41" s="40"/>
    </row>
    <row r="42" spans="1:6" x14ac:dyDescent="0.2">
      <c r="A42" s="40"/>
      <c r="B42" s="40"/>
      <c r="C42" s="40"/>
      <c r="D42" s="40"/>
      <c r="E42" s="40"/>
      <c r="F42" s="40"/>
    </row>
    <row r="43" spans="1:6" x14ac:dyDescent="0.2">
      <c r="A43" s="40"/>
      <c r="B43" s="40"/>
      <c r="C43" s="40"/>
      <c r="D43" s="40"/>
      <c r="E43" s="40"/>
      <c r="F43" s="40"/>
    </row>
    <row r="44" spans="1:6" x14ac:dyDescent="0.2">
      <c r="A44" s="40"/>
      <c r="B44" s="40"/>
      <c r="C44" s="40"/>
      <c r="D44" s="40"/>
      <c r="E44" s="40"/>
      <c r="F44" s="40"/>
    </row>
    <row r="45" spans="1:6" x14ac:dyDescent="0.2">
      <c r="A45" s="40"/>
      <c r="B45" s="40"/>
      <c r="C45" s="40"/>
      <c r="D45" s="40"/>
      <c r="E45" s="40"/>
      <c r="F45" s="40"/>
    </row>
    <row r="46" spans="1:6" x14ac:dyDescent="0.2">
      <c r="A46" s="40"/>
      <c r="B46" s="40"/>
      <c r="C46" s="40"/>
      <c r="D46" s="40"/>
      <c r="E46" s="40"/>
      <c r="F46" s="40"/>
    </row>
    <row r="47" spans="1:6" x14ac:dyDescent="0.2">
      <c r="A47" s="40"/>
      <c r="B47" s="40"/>
      <c r="C47" s="40"/>
      <c r="D47" s="40"/>
      <c r="E47" s="40"/>
      <c r="F47" s="40"/>
    </row>
    <row r="48" spans="1:6" x14ac:dyDescent="0.2">
      <c r="A48" s="40"/>
      <c r="B48" s="40"/>
      <c r="C48" s="40"/>
      <c r="D48" s="40"/>
      <c r="E48" s="40"/>
      <c r="F48" s="40"/>
    </row>
    <row r="49" spans="1:6" x14ac:dyDescent="0.2">
      <c r="A49" s="40"/>
      <c r="B49" s="40"/>
      <c r="C49" s="40"/>
      <c r="D49" s="40"/>
      <c r="E49" s="40"/>
      <c r="F49" s="40"/>
    </row>
    <row r="50" spans="1:6" x14ac:dyDescent="0.2">
      <c r="A50" s="40"/>
      <c r="B50" s="40"/>
      <c r="C50" s="40"/>
      <c r="D50" s="40"/>
      <c r="E50" s="40"/>
      <c r="F50" s="40"/>
    </row>
    <row r="51" spans="1:6" x14ac:dyDescent="0.2">
      <c r="A51" s="40"/>
      <c r="B51" s="40"/>
      <c r="C51" s="40"/>
      <c r="D51" s="40"/>
      <c r="E51" s="40"/>
      <c r="F51" s="40"/>
    </row>
    <row r="52" spans="1:6" x14ac:dyDescent="0.2">
      <c r="A52" s="40"/>
      <c r="B52" s="40"/>
      <c r="C52" s="40"/>
      <c r="D52" s="40"/>
      <c r="E52" s="40"/>
      <c r="F52" s="40"/>
    </row>
    <row r="53" spans="1:6" x14ac:dyDescent="0.2">
      <c r="A53" s="40"/>
      <c r="B53" s="40"/>
      <c r="C53" s="40"/>
      <c r="D53" s="40"/>
      <c r="E53" s="40"/>
      <c r="F53" s="40"/>
    </row>
    <row r="54" spans="1:6" x14ac:dyDescent="0.2">
      <c r="A54" s="40"/>
      <c r="B54" s="40"/>
      <c r="C54" s="40"/>
      <c r="D54" s="40"/>
      <c r="E54" s="40"/>
      <c r="F54" s="40"/>
    </row>
    <row r="55" spans="1:6" x14ac:dyDescent="0.2">
      <c r="A55" s="40"/>
      <c r="B55" s="40"/>
      <c r="C55" s="40"/>
      <c r="D55" s="40"/>
      <c r="E55" s="40"/>
      <c r="F55" s="40"/>
    </row>
    <row r="56" spans="1:6" x14ac:dyDescent="0.2">
      <c r="A56" s="40"/>
      <c r="B56" s="40"/>
      <c r="C56" s="40"/>
      <c r="D56" s="40"/>
      <c r="E56" s="40"/>
      <c r="F56" s="40"/>
    </row>
    <row r="57" spans="1:6" x14ac:dyDescent="0.2">
      <c r="A57" s="40"/>
      <c r="B57" s="40"/>
      <c r="C57" s="40"/>
      <c r="D57" s="40"/>
      <c r="E57" s="40"/>
      <c r="F57" s="40"/>
    </row>
    <row r="58" spans="1:6" x14ac:dyDescent="0.2">
      <c r="A58" s="40"/>
      <c r="B58" s="40"/>
      <c r="C58" s="40"/>
      <c r="D58" s="40"/>
      <c r="E58" s="40"/>
      <c r="F58" s="40"/>
    </row>
    <row r="59" spans="1:6" x14ac:dyDescent="0.2">
      <c r="A59" s="40"/>
      <c r="B59" s="40"/>
      <c r="C59" s="40"/>
      <c r="D59" s="40"/>
      <c r="E59" s="40"/>
      <c r="F59" s="40"/>
    </row>
    <row r="60" spans="1:6" x14ac:dyDescent="0.2">
      <c r="A60" s="40"/>
      <c r="B60" s="40"/>
      <c r="C60" s="40"/>
      <c r="D60" s="40"/>
      <c r="E60" s="40"/>
      <c r="F60" s="40"/>
    </row>
    <row r="61" spans="1:6" x14ac:dyDescent="0.2">
      <c r="A61" s="40"/>
      <c r="B61" s="40"/>
      <c r="C61" s="40"/>
      <c r="D61" s="40"/>
      <c r="E61" s="40"/>
      <c r="F61" s="40"/>
    </row>
    <row r="62" spans="1:6" x14ac:dyDescent="0.2">
      <c r="A62" s="40"/>
      <c r="B62" s="40"/>
      <c r="C62" s="40"/>
      <c r="D62" s="40"/>
      <c r="E62" s="40"/>
      <c r="F62" s="40"/>
    </row>
    <row r="63" spans="1:6" x14ac:dyDescent="0.2">
      <c r="A63" s="40"/>
      <c r="B63" s="40"/>
      <c r="C63" s="40"/>
      <c r="D63" s="40"/>
      <c r="E63" s="40"/>
      <c r="F63" s="40"/>
    </row>
    <row r="64" spans="1:6" x14ac:dyDescent="0.2">
      <c r="A64" s="40"/>
      <c r="B64" s="40"/>
      <c r="C64" s="40"/>
      <c r="D64" s="40"/>
      <c r="E64" s="40"/>
      <c r="F64" s="40"/>
    </row>
    <row r="65" spans="1:6" x14ac:dyDescent="0.2">
      <c r="A65" s="40"/>
      <c r="B65" s="40"/>
      <c r="C65" s="40"/>
      <c r="D65" s="40"/>
      <c r="E65" s="40"/>
      <c r="F65" s="40"/>
    </row>
    <row r="66" spans="1:6" x14ac:dyDescent="0.2">
      <c r="A66" s="40"/>
      <c r="B66" s="40"/>
      <c r="C66" s="40"/>
      <c r="D66" s="40"/>
      <c r="E66" s="40"/>
      <c r="F66" s="40"/>
    </row>
    <row r="67" spans="1:6" x14ac:dyDescent="0.2">
      <c r="A67" s="40"/>
      <c r="B67" s="40"/>
      <c r="C67" s="40"/>
      <c r="D67" s="40"/>
      <c r="E67" s="40"/>
      <c r="F67" s="40"/>
    </row>
    <row r="68" spans="1:6" x14ac:dyDescent="0.2">
      <c r="A68" s="40"/>
      <c r="B68" s="40"/>
      <c r="C68" s="40"/>
      <c r="D68" s="40"/>
      <c r="E68" s="40"/>
      <c r="F68" s="40"/>
    </row>
    <row r="69" spans="1:6" x14ac:dyDescent="0.2">
      <c r="A69" s="40"/>
      <c r="B69" s="40"/>
      <c r="C69" s="40"/>
      <c r="D69" s="40"/>
      <c r="E69" s="40"/>
      <c r="F69" s="40"/>
    </row>
    <row r="70" spans="1:6" x14ac:dyDescent="0.2">
      <c r="A70" s="40"/>
      <c r="B70" s="40"/>
      <c r="C70" s="40"/>
      <c r="D70" s="40"/>
      <c r="E70" s="40"/>
      <c r="F70" s="40"/>
    </row>
    <row r="71" spans="1:6" x14ac:dyDescent="0.2">
      <c r="A71" s="40"/>
      <c r="B71" s="40"/>
      <c r="C71" s="40"/>
      <c r="D71" s="40"/>
      <c r="E71" s="40"/>
      <c r="F71" s="40"/>
    </row>
    <row r="72" spans="1:6" x14ac:dyDescent="0.2">
      <c r="A72" s="40"/>
      <c r="B72" s="40"/>
      <c r="C72" s="40"/>
      <c r="D72" s="40"/>
      <c r="E72" s="40"/>
      <c r="F72" s="40"/>
    </row>
    <row r="73" spans="1:6" x14ac:dyDescent="0.2">
      <c r="A73" s="40"/>
      <c r="B73" s="40"/>
      <c r="C73" s="40"/>
      <c r="D73" s="40"/>
      <c r="E73" s="40"/>
      <c r="F73" s="40"/>
    </row>
    <row r="74" spans="1:6" x14ac:dyDescent="0.2">
      <c r="A74" s="40"/>
      <c r="B74" s="40"/>
      <c r="C74" s="40"/>
      <c r="D74" s="40"/>
      <c r="E74" s="40"/>
      <c r="F74" s="40"/>
    </row>
    <row r="75" spans="1:6" x14ac:dyDescent="0.2">
      <c r="A75" s="40"/>
      <c r="B75" s="40"/>
      <c r="C75" s="40"/>
      <c r="D75" s="40"/>
      <c r="E75" s="40"/>
      <c r="F75" s="40"/>
    </row>
    <row r="76" spans="1:6" x14ac:dyDescent="0.2">
      <c r="A76" s="40"/>
      <c r="B76" s="40"/>
      <c r="C76" s="40"/>
      <c r="D76" s="40"/>
      <c r="E76" s="40"/>
      <c r="F76" s="40"/>
    </row>
  </sheetData>
  <mergeCells count="3">
    <mergeCell ref="A4:I4"/>
    <mergeCell ref="A5:K5"/>
    <mergeCell ref="A1:H1"/>
  </mergeCells>
  <pageMargins left="0.7" right="0.7" top="0.75" bottom="0.75" header="0.3" footer="0.3"/>
  <pageSetup scale="50" orientation="landscape" r:id="rId2"/>
  <headerFooter>
    <oddFooter>&amp;R&amp;P of &amp;N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BB472-B713-4C7D-A847-79C65F568332}">
  <dimension ref="A1:K53"/>
  <sheetViews>
    <sheetView view="pageBreakPreview" zoomScale="80" zoomScaleNormal="100" zoomScaleSheetLayoutView="80" workbookViewId="0">
      <pane xSplit="1" ySplit="15" topLeftCell="B16" activePane="bottomRight" state="frozen"/>
      <selection activeCell="A4" sqref="A4"/>
      <selection pane="topRight" activeCell="A4" sqref="A4"/>
      <selection pane="bottomLeft" activeCell="A4" sqref="A4"/>
      <selection pane="bottomRight" activeCell="A7" sqref="A7:A11"/>
    </sheetView>
  </sheetViews>
  <sheetFormatPr defaultColWidth="30.7109375" defaultRowHeight="12.75" x14ac:dyDescent="0.2"/>
  <cols>
    <col min="1" max="1" width="59.7109375" style="18" bestFit="1" customWidth="1"/>
    <col min="2" max="2" width="16.85546875" style="2" bestFit="1" customWidth="1"/>
    <col min="3" max="3" width="17.140625" style="2" bestFit="1" customWidth="1"/>
    <col min="4" max="4" width="19.85546875" style="2" bestFit="1" customWidth="1"/>
    <col min="5" max="5" width="17.7109375" style="2" customWidth="1"/>
    <col min="6" max="6" width="16.42578125" style="2" bestFit="1" customWidth="1"/>
    <col min="7" max="7" width="18.7109375" style="2" bestFit="1" customWidth="1"/>
    <col min="8" max="8" width="17.140625" style="2" bestFit="1" customWidth="1"/>
    <col min="9" max="9" width="17.42578125" style="2" bestFit="1" customWidth="1"/>
    <col min="10" max="10" width="11.28515625" style="2" bestFit="1" customWidth="1"/>
    <col min="11" max="11" width="17" style="2" bestFit="1" customWidth="1"/>
    <col min="12" max="16384" width="30.7109375" style="18"/>
  </cols>
  <sheetData>
    <row r="1" spans="1:11" x14ac:dyDescent="0.2">
      <c r="A1" s="77" t="s">
        <v>263</v>
      </c>
      <c r="B1" s="77"/>
      <c r="C1" s="77"/>
      <c r="D1" s="77"/>
      <c r="E1" s="77"/>
      <c r="F1" s="77"/>
      <c r="G1" s="77"/>
      <c r="H1" s="77"/>
      <c r="I1" s="77"/>
      <c r="J1" s="18"/>
      <c r="K1" s="68" t="s">
        <v>284</v>
      </c>
    </row>
    <row r="2" spans="1:11" x14ac:dyDescent="0.2">
      <c r="A2" s="69" t="s">
        <v>264</v>
      </c>
      <c r="B2" s="69"/>
      <c r="C2" s="69"/>
      <c r="D2" s="69"/>
      <c r="E2" s="69"/>
      <c r="F2" s="69"/>
      <c r="G2" s="69"/>
      <c r="H2" s="69"/>
      <c r="I2" s="69"/>
      <c r="J2" s="69"/>
      <c r="K2" s="18"/>
    </row>
    <row r="3" spans="1:11" x14ac:dyDescent="0.2">
      <c r="A3" s="69"/>
      <c r="B3" s="69"/>
      <c r="C3" s="69"/>
      <c r="D3" s="69"/>
      <c r="E3" s="69"/>
      <c r="F3" s="69"/>
      <c r="G3" s="69"/>
      <c r="H3" s="69"/>
      <c r="I3" s="69"/>
      <c r="J3" s="69"/>
      <c r="K3" s="18"/>
    </row>
    <row r="4" spans="1:11" x14ac:dyDescent="0.2">
      <c r="A4" s="74" t="s">
        <v>292</v>
      </c>
      <c r="B4" s="74"/>
      <c r="C4" s="74"/>
      <c r="D4" s="74"/>
      <c r="E4" s="74"/>
      <c r="F4" s="74"/>
      <c r="G4" s="74"/>
      <c r="H4" s="74"/>
      <c r="I4" s="74"/>
      <c r="J4" s="26"/>
      <c r="K4" s="25"/>
    </row>
    <row r="5" spans="1:11" x14ac:dyDescent="0.2">
      <c r="A5" s="75" t="s">
        <v>293</v>
      </c>
      <c r="B5" s="75"/>
      <c r="C5" s="75"/>
      <c r="D5" s="75"/>
      <c r="E5" s="75"/>
      <c r="F5" s="75"/>
      <c r="G5" s="75"/>
      <c r="H5" s="75"/>
      <c r="I5" s="75"/>
      <c r="J5" s="75"/>
      <c r="K5" s="76"/>
    </row>
    <row r="6" spans="1:11" x14ac:dyDescent="0.2">
      <c r="A6" s="69"/>
      <c r="B6" s="69"/>
      <c r="C6" s="69"/>
      <c r="D6" s="69"/>
      <c r="E6" s="69"/>
      <c r="F6" s="69"/>
      <c r="G6" s="69"/>
      <c r="H6" s="69"/>
      <c r="I6" s="69"/>
      <c r="J6" s="69"/>
      <c r="K6" s="18"/>
    </row>
    <row r="7" spans="1:11" x14ac:dyDescent="0.2">
      <c r="A7" s="7" t="s">
        <v>300</v>
      </c>
      <c r="B7" s="69"/>
      <c r="C7" s="69"/>
      <c r="D7" s="69"/>
      <c r="E7" s="69"/>
      <c r="F7" s="69"/>
      <c r="G7" s="69"/>
      <c r="H7" s="69"/>
      <c r="I7" s="69"/>
      <c r="J7" s="69"/>
      <c r="K7" s="18"/>
    </row>
    <row r="8" spans="1:11" x14ac:dyDescent="0.2">
      <c r="A8" s="55" t="s">
        <v>301</v>
      </c>
      <c r="B8" s="69"/>
      <c r="C8" s="69"/>
      <c r="D8" s="69"/>
      <c r="E8" s="69"/>
      <c r="F8" s="69"/>
      <c r="G8" s="69"/>
      <c r="H8" s="69"/>
      <c r="I8" s="69"/>
      <c r="J8" s="69"/>
      <c r="K8" s="18"/>
    </row>
    <row r="9" spans="1:11" x14ac:dyDescent="0.2">
      <c r="A9" s="56" t="s">
        <v>302</v>
      </c>
      <c r="B9" s="69"/>
      <c r="C9" s="69"/>
      <c r="D9" s="69"/>
      <c r="E9" s="69"/>
      <c r="F9" s="69"/>
      <c r="G9" s="69"/>
      <c r="H9" s="69"/>
      <c r="I9" s="69"/>
      <c r="J9" s="69"/>
      <c r="K9" s="18"/>
    </row>
    <row r="10" spans="1:11" x14ac:dyDescent="0.2">
      <c r="A10" s="57" t="s">
        <v>303</v>
      </c>
      <c r="B10" s="69"/>
      <c r="C10" s="69"/>
      <c r="D10" s="69"/>
      <c r="E10" s="69"/>
      <c r="F10" s="69"/>
      <c r="G10" s="69"/>
      <c r="H10" s="69"/>
      <c r="I10" s="69"/>
      <c r="J10" s="69"/>
      <c r="K10" s="18"/>
    </row>
    <row r="11" spans="1:11" ht="25.5" x14ac:dyDescent="0.2">
      <c r="A11" s="72" t="s">
        <v>304</v>
      </c>
      <c r="B11" s="69"/>
      <c r="C11" s="69"/>
      <c r="D11" s="69"/>
      <c r="E11" s="69"/>
      <c r="F11" s="69"/>
      <c r="G11" s="69"/>
      <c r="H11" s="69"/>
      <c r="I11" s="69"/>
      <c r="J11" s="69"/>
      <c r="K11" s="18"/>
    </row>
    <row r="12" spans="1:11" x14ac:dyDescent="0.2">
      <c r="A12" s="69"/>
      <c r="B12" s="69"/>
      <c r="C12" s="69"/>
      <c r="D12" s="69"/>
      <c r="E12" s="69"/>
      <c r="F12" s="69"/>
      <c r="G12" s="69"/>
      <c r="H12" s="69"/>
      <c r="I12" s="69"/>
      <c r="J12" s="69"/>
      <c r="K12" s="18"/>
    </row>
    <row r="13" spans="1:11" x14ac:dyDescent="0.2">
      <c r="A13" s="69" t="s">
        <v>298</v>
      </c>
      <c r="B13" s="69"/>
      <c r="C13" s="69"/>
      <c r="D13" s="69"/>
      <c r="E13" s="69"/>
      <c r="F13" s="69"/>
      <c r="G13" s="69"/>
      <c r="H13" s="69"/>
      <c r="I13" s="69"/>
      <c r="J13" s="69"/>
      <c r="K13" s="18"/>
    </row>
    <row r="14" spans="1:11" ht="14.25" customHeight="1" x14ac:dyDescent="0.2">
      <c r="A14" s="69"/>
      <c r="B14" s="69"/>
      <c r="C14" s="69"/>
      <c r="D14" s="69"/>
      <c r="E14" s="69"/>
      <c r="F14" s="69"/>
      <c r="G14" s="69"/>
      <c r="H14" s="69"/>
      <c r="I14" s="69"/>
      <c r="J14" s="69"/>
      <c r="K14" s="18"/>
    </row>
    <row r="15" spans="1:11" s="2" customFormat="1" ht="81.75" customHeight="1" x14ac:dyDescent="0.2">
      <c r="A15" s="52" t="s">
        <v>2</v>
      </c>
      <c r="B15" s="53" t="s">
        <v>125</v>
      </c>
      <c r="C15" s="49" t="s">
        <v>127</v>
      </c>
      <c r="D15" s="34" t="s">
        <v>210</v>
      </c>
      <c r="E15" s="34" t="s">
        <v>211</v>
      </c>
      <c r="F15" s="34" t="s">
        <v>212</v>
      </c>
      <c r="G15" s="34" t="s">
        <v>213</v>
      </c>
      <c r="H15" s="34" t="s">
        <v>214</v>
      </c>
      <c r="I15" s="34" t="s">
        <v>215</v>
      </c>
      <c r="J15" s="50" t="s">
        <v>128</v>
      </c>
      <c r="K15" s="51" t="s">
        <v>203</v>
      </c>
    </row>
    <row r="16" spans="1:11" x14ac:dyDescent="0.2">
      <c r="A16" s="43" t="s">
        <v>58</v>
      </c>
      <c r="B16" s="58">
        <v>0</v>
      </c>
      <c r="C16" s="58">
        <v>0</v>
      </c>
      <c r="D16" s="58">
        <v>0</v>
      </c>
      <c r="E16" s="58">
        <v>0</v>
      </c>
      <c r="F16" s="58">
        <v>0</v>
      </c>
      <c r="G16" s="58">
        <v>0</v>
      </c>
      <c r="H16" s="58">
        <v>0</v>
      </c>
      <c r="I16" s="58">
        <v>0</v>
      </c>
      <c r="J16" s="58">
        <v>0</v>
      </c>
      <c r="K16" s="59">
        <v>0</v>
      </c>
    </row>
    <row r="17" spans="1:11" x14ac:dyDescent="0.2">
      <c r="A17" s="43" t="s">
        <v>34</v>
      </c>
      <c r="B17" s="58">
        <v>0</v>
      </c>
      <c r="C17" s="58">
        <v>2</v>
      </c>
      <c r="D17" s="58">
        <v>0</v>
      </c>
      <c r="E17" s="58">
        <v>1</v>
      </c>
      <c r="F17" s="58">
        <v>0</v>
      </c>
      <c r="G17" s="58">
        <v>0</v>
      </c>
      <c r="H17" s="58">
        <v>0</v>
      </c>
      <c r="I17" s="58">
        <v>0</v>
      </c>
      <c r="J17" s="58">
        <v>0</v>
      </c>
      <c r="K17" s="58">
        <v>0</v>
      </c>
    </row>
    <row r="18" spans="1:11" x14ac:dyDescent="0.2">
      <c r="A18" s="43" t="s">
        <v>64</v>
      </c>
      <c r="B18" s="58">
        <v>2</v>
      </c>
      <c r="C18" s="58">
        <v>6</v>
      </c>
      <c r="D18" s="58">
        <v>2</v>
      </c>
      <c r="E18" s="58">
        <v>2</v>
      </c>
      <c r="F18" s="58">
        <v>0</v>
      </c>
      <c r="G18" s="58">
        <v>1</v>
      </c>
      <c r="H18" s="58">
        <v>0</v>
      </c>
      <c r="I18" s="58">
        <v>1</v>
      </c>
      <c r="J18" s="58">
        <v>0</v>
      </c>
      <c r="K18" s="58">
        <v>0</v>
      </c>
    </row>
    <row r="19" spans="1:11" x14ac:dyDescent="0.2">
      <c r="A19" s="43" t="s">
        <v>57</v>
      </c>
      <c r="B19" s="58">
        <v>2</v>
      </c>
      <c r="C19" s="58">
        <v>6</v>
      </c>
      <c r="D19" s="58">
        <v>0</v>
      </c>
      <c r="E19" s="58">
        <v>4</v>
      </c>
      <c r="F19" s="58">
        <v>0</v>
      </c>
      <c r="G19" s="58">
        <v>1</v>
      </c>
      <c r="H19" s="58">
        <v>0</v>
      </c>
      <c r="I19" s="58">
        <v>1</v>
      </c>
      <c r="J19" s="58">
        <v>0</v>
      </c>
      <c r="K19" s="58">
        <v>0</v>
      </c>
    </row>
    <row r="20" spans="1:11" x14ac:dyDescent="0.2">
      <c r="A20" s="43" t="s">
        <v>21</v>
      </c>
      <c r="B20" s="58">
        <v>0</v>
      </c>
      <c r="C20" s="58">
        <v>0</v>
      </c>
      <c r="D20" s="58">
        <v>0</v>
      </c>
      <c r="E20" s="58">
        <v>0</v>
      </c>
      <c r="F20" s="58">
        <v>0</v>
      </c>
      <c r="G20" s="58">
        <v>0</v>
      </c>
      <c r="H20" s="58">
        <v>0</v>
      </c>
      <c r="I20" s="58">
        <v>0</v>
      </c>
      <c r="J20" s="58">
        <v>0</v>
      </c>
      <c r="K20" s="58">
        <v>1</v>
      </c>
    </row>
    <row r="21" spans="1:11" x14ac:dyDescent="0.2">
      <c r="A21" s="43" t="s">
        <v>30</v>
      </c>
      <c r="B21" s="58">
        <v>7</v>
      </c>
      <c r="C21" s="58">
        <v>11</v>
      </c>
      <c r="D21" s="58">
        <v>0</v>
      </c>
      <c r="E21" s="58">
        <v>5</v>
      </c>
      <c r="F21" s="58">
        <v>1</v>
      </c>
      <c r="G21" s="58">
        <v>1</v>
      </c>
      <c r="H21" s="58">
        <v>1</v>
      </c>
      <c r="I21" s="58">
        <v>3</v>
      </c>
      <c r="J21" s="58">
        <v>3</v>
      </c>
      <c r="K21" s="58">
        <v>1</v>
      </c>
    </row>
    <row r="22" spans="1:11" x14ac:dyDescent="0.2">
      <c r="A22" s="43" t="s">
        <v>3</v>
      </c>
      <c r="B22" s="58">
        <v>0</v>
      </c>
      <c r="C22" s="58">
        <v>0</v>
      </c>
      <c r="D22" s="58">
        <v>0</v>
      </c>
      <c r="E22" s="58">
        <v>0</v>
      </c>
      <c r="F22" s="58">
        <v>0</v>
      </c>
      <c r="G22" s="58">
        <v>0</v>
      </c>
      <c r="H22" s="58">
        <v>0</v>
      </c>
      <c r="I22" s="58">
        <v>0</v>
      </c>
      <c r="J22" s="58">
        <v>0</v>
      </c>
      <c r="K22" s="58">
        <v>0</v>
      </c>
    </row>
    <row r="23" spans="1:11" x14ac:dyDescent="0.2">
      <c r="A23" s="43" t="s">
        <v>39</v>
      </c>
      <c r="B23" s="58">
        <v>1</v>
      </c>
      <c r="C23" s="58">
        <v>0</v>
      </c>
      <c r="D23" s="58">
        <v>0</v>
      </c>
      <c r="E23" s="58">
        <v>0</v>
      </c>
      <c r="F23" s="58">
        <v>0</v>
      </c>
      <c r="G23" s="58">
        <v>0</v>
      </c>
      <c r="H23" s="58">
        <v>0</v>
      </c>
      <c r="I23" s="58">
        <v>0</v>
      </c>
      <c r="J23" s="58">
        <v>1</v>
      </c>
      <c r="K23" s="58">
        <v>0</v>
      </c>
    </row>
    <row r="24" spans="1:11" x14ac:dyDescent="0.2">
      <c r="A24" s="43" t="s">
        <v>126</v>
      </c>
      <c r="B24" s="58">
        <v>12</v>
      </c>
      <c r="C24" s="58">
        <v>25</v>
      </c>
      <c r="D24" s="58">
        <v>2</v>
      </c>
      <c r="E24" s="58">
        <v>12</v>
      </c>
      <c r="F24" s="58">
        <v>1</v>
      </c>
      <c r="G24" s="58">
        <v>3</v>
      </c>
      <c r="H24" s="58">
        <v>1</v>
      </c>
      <c r="I24" s="58">
        <v>5</v>
      </c>
      <c r="J24" s="58">
        <v>4</v>
      </c>
      <c r="K24" s="58">
        <v>2</v>
      </c>
    </row>
    <row r="25" spans="1:11" x14ac:dyDescent="0.2">
      <c r="A25" s="40"/>
      <c r="B25" s="40"/>
      <c r="C25" s="40"/>
      <c r="D25" s="40"/>
      <c r="E25" s="40"/>
      <c r="F25" s="40"/>
      <c r="G25" s="40"/>
      <c r="H25" s="40"/>
      <c r="I25" s="40"/>
      <c r="J25" s="40"/>
      <c r="K25" s="40"/>
    </row>
    <row r="26" spans="1:11" x14ac:dyDescent="0.2">
      <c r="A26" s="40"/>
      <c r="B26" s="40"/>
      <c r="C26" s="40"/>
      <c r="D26" s="40"/>
      <c r="E26" s="40"/>
      <c r="F26" s="40"/>
      <c r="G26" s="40"/>
      <c r="H26" s="40"/>
      <c r="I26" s="40"/>
      <c r="J26" s="40"/>
      <c r="K26" s="40"/>
    </row>
    <row r="27" spans="1:11" x14ac:dyDescent="0.2">
      <c r="A27" s="40"/>
      <c r="B27" s="40"/>
      <c r="C27" s="40"/>
      <c r="D27" s="40"/>
      <c r="E27" s="40"/>
      <c r="F27" s="40"/>
      <c r="G27" s="40"/>
      <c r="H27" s="40"/>
      <c r="I27" s="40"/>
      <c r="J27" s="40"/>
      <c r="K27" s="40"/>
    </row>
    <row r="28" spans="1:11" x14ac:dyDescent="0.2">
      <c r="A28" s="40"/>
      <c r="B28" s="40"/>
      <c r="C28" s="40"/>
      <c r="D28" s="40"/>
      <c r="E28" s="40"/>
      <c r="F28" s="40"/>
      <c r="G28" s="40"/>
      <c r="H28" s="40"/>
      <c r="I28" s="40"/>
      <c r="J28" s="40"/>
      <c r="K28" s="40"/>
    </row>
    <row r="29" spans="1:11" x14ac:dyDescent="0.2">
      <c r="A29" s="40"/>
      <c r="B29" s="40"/>
      <c r="C29" s="40"/>
      <c r="D29" s="40"/>
      <c r="E29" s="40"/>
      <c r="F29" s="40"/>
      <c r="G29" s="40"/>
      <c r="H29" s="40"/>
      <c r="I29" s="40"/>
      <c r="J29" s="40"/>
      <c r="K29" s="40"/>
    </row>
    <row r="30" spans="1:11" x14ac:dyDescent="0.2">
      <c r="A30" s="40"/>
      <c r="B30" s="40"/>
      <c r="C30" s="40"/>
      <c r="D30" s="40"/>
      <c r="E30" s="40"/>
      <c r="F30" s="40"/>
      <c r="G30" s="40"/>
      <c r="H30" s="40"/>
      <c r="I30" s="40"/>
      <c r="J30" s="40"/>
      <c r="K30" s="40"/>
    </row>
    <row r="31" spans="1:11" x14ac:dyDescent="0.2">
      <c r="A31" s="40"/>
      <c r="B31" s="40"/>
      <c r="C31" s="40"/>
      <c r="D31" s="40"/>
      <c r="E31" s="40"/>
      <c r="F31" s="40"/>
      <c r="G31" s="40"/>
      <c r="H31" s="40"/>
      <c r="I31" s="40"/>
      <c r="J31" s="40"/>
      <c r="K31" s="40"/>
    </row>
    <row r="32" spans="1:11" x14ac:dyDescent="0.2">
      <c r="A32" s="40"/>
      <c r="B32" s="40"/>
      <c r="C32" s="40"/>
      <c r="D32" s="40"/>
      <c r="E32" s="40"/>
      <c r="F32" s="40"/>
      <c r="G32" s="40"/>
      <c r="H32" s="40"/>
      <c r="I32" s="40"/>
      <c r="J32" s="40"/>
      <c r="K32" s="40"/>
    </row>
    <row r="33" spans="1:11" x14ac:dyDescent="0.2">
      <c r="A33" s="40"/>
      <c r="B33" s="40"/>
      <c r="C33" s="40"/>
      <c r="D33" s="40"/>
      <c r="E33" s="40"/>
      <c r="F33" s="40"/>
      <c r="G33" s="40"/>
      <c r="H33" s="40"/>
      <c r="I33" s="40"/>
      <c r="J33" s="40"/>
      <c r="K33" s="40"/>
    </row>
    <row r="34" spans="1:11" x14ac:dyDescent="0.2">
      <c r="A34" s="40"/>
      <c r="B34" s="40"/>
      <c r="C34" s="40"/>
      <c r="D34" s="40"/>
      <c r="E34" s="40"/>
      <c r="F34" s="40"/>
      <c r="G34" s="40"/>
      <c r="H34" s="40"/>
      <c r="I34" s="40"/>
      <c r="J34" s="40"/>
      <c r="K34" s="40"/>
    </row>
    <row r="35" spans="1:11" x14ac:dyDescent="0.2">
      <c r="A35" s="40"/>
      <c r="B35" s="40"/>
      <c r="C35" s="40"/>
      <c r="D35" s="40"/>
      <c r="E35" s="40"/>
      <c r="F35" s="40"/>
      <c r="G35" s="40"/>
      <c r="H35" s="40"/>
      <c r="I35" s="40"/>
      <c r="J35" s="40"/>
      <c r="K35" s="40"/>
    </row>
    <row r="36" spans="1:11" x14ac:dyDescent="0.2">
      <c r="A36" s="40"/>
      <c r="B36" s="40"/>
      <c r="C36" s="40"/>
      <c r="D36" s="40"/>
      <c r="E36" s="40"/>
      <c r="F36" s="40"/>
      <c r="G36" s="40"/>
      <c r="H36" s="40"/>
      <c r="I36" s="40"/>
      <c r="J36" s="40"/>
      <c r="K36" s="40"/>
    </row>
    <row r="37" spans="1:11" x14ac:dyDescent="0.2">
      <c r="A37" s="40"/>
      <c r="B37" s="40"/>
      <c r="C37" s="40"/>
      <c r="D37" s="40"/>
      <c r="E37" s="40"/>
      <c r="F37" s="40"/>
      <c r="G37" s="40"/>
      <c r="H37" s="40"/>
      <c r="I37" s="40"/>
      <c r="J37" s="40"/>
      <c r="K37" s="40"/>
    </row>
    <row r="38" spans="1:11" x14ac:dyDescent="0.2">
      <c r="A38" s="40"/>
      <c r="B38" s="40"/>
      <c r="C38" s="40"/>
      <c r="D38" s="40"/>
      <c r="E38" s="40"/>
      <c r="F38" s="40"/>
      <c r="G38" s="40"/>
      <c r="H38" s="40"/>
      <c r="I38" s="40"/>
      <c r="J38" s="40"/>
      <c r="K38" s="40"/>
    </row>
    <row r="39" spans="1:11" x14ac:dyDescent="0.2">
      <c r="A39" s="40"/>
      <c r="B39" s="40"/>
      <c r="C39" s="40"/>
      <c r="D39" s="40"/>
      <c r="E39" s="40"/>
      <c r="F39" s="40"/>
      <c r="G39" s="40"/>
      <c r="H39" s="40"/>
      <c r="I39" s="40"/>
      <c r="J39" s="40"/>
      <c r="K39" s="40"/>
    </row>
    <row r="40" spans="1:11" x14ac:dyDescent="0.2">
      <c r="A40" s="40"/>
      <c r="B40" s="40"/>
      <c r="C40" s="40"/>
      <c r="D40" s="40"/>
      <c r="E40" s="40"/>
      <c r="F40" s="40"/>
      <c r="G40" s="40"/>
      <c r="H40" s="40"/>
      <c r="I40" s="40"/>
      <c r="J40" s="40"/>
      <c r="K40" s="40"/>
    </row>
    <row r="41" spans="1:11" x14ac:dyDescent="0.2">
      <c r="A41" s="40"/>
      <c r="B41" s="40"/>
      <c r="C41" s="40"/>
      <c r="D41" s="40"/>
      <c r="E41" s="40"/>
      <c r="F41" s="40"/>
      <c r="G41" s="40"/>
      <c r="H41" s="40"/>
      <c r="I41" s="40"/>
      <c r="J41" s="40"/>
      <c r="K41" s="40"/>
    </row>
    <row r="42" spans="1:11" x14ac:dyDescent="0.2">
      <c r="A42" s="40"/>
      <c r="B42" s="40"/>
      <c r="C42" s="40"/>
      <c r="D42" s="40"/>
      <c r="E42" s="40"/>
      <c r="F42" s="40"/>
      <c r="G42" s="40"/>
      <c r="H42" s="40"/>
      <c r="I42" s="40"/>
      <c r="J42" s="40"/>
      <c r="K42" s="40"/>
    </row>
    <row r="43" spans="1:11" x14ac:dyDescent="0.2">
      <c r="A43" s="40"/>
      <c r="B43" s="40"/>
      <c r="C43" s="40"/>
      <c r="D43" s="40"/>
      <c r="E43" s="40"/>
      <c r="F43" s="40"/>
      <c r="G43" s="40"/>
      <c r="H43" s="40"/>
      <c r="I43" s="40"/>
      <c r="J43" s="40"/>
      <c r="K43" s="40"/>
    </row>
    <row r="44" spans="1:11" x14ac:dyDescent="0.2">
      <c r="A44" s="40"/>
      <c r="B44" s="40"/>
      <c r="C44" s="40"/>
      <c r="D44" s="40"/>
      <c r="E44" s="40"/>
      <c r="F44" s="40"/>
      <c r="G44" s="40"/>
      <c r="H44" s="40"/>
      <c r="I44" s="40"/>
      <c r="J44" s="40"/>
      <c r="K44" s="40"/>
    </row>
    <row r="45" spans="1:11" x14ac:dyDescent="0.2">
      <c r="A45" s="40"/>
      <c r="B45" s="40"/>
      <c r="C45" s="40"/>
      <c r="D45" s="40"/>
      <c r="E45" s="40"/>
      <c r="F45" s="40"/>
      <c r="G45" s="40"/>
      <c r="H45" s="40"/>
      <c r="I45" s="40"/>
      <c r="J45" s="40"/>
      <c r="K45" s="40"/>
    </row>
    <row r="46" spans="1:11" x14ac:dyDescent="0.2">
      <c r="A46" s="40"/>
      <c r="B46" s="40"/>
      <c r="C46" s="40"/>
      <c r="D46" s="40"/>
      <c r="E46" s="40"/>
      <c r="F46" s="40"/>
      <c r="G46" s="40"/>
      <c r="H46" s="40"/>
      <c r="I46" s="40"/>
      <c r="J46" s="40"/>
      <c r="K46" s="40"/>
    </row>
    <row r="47" spans="1:11" x14ac:dyDescent="0.2">
      <c r="A47" s="40"/>
      <c r="B47" s="40"/>
      <c r="C47" s="40"/>
      <c r="D47" s="40"/>
      <c r="E47" s="40"/>
      <c r="F47" s="40"/>
      <c r="G47" s="40"/>
      <c r="H47" s="40"/>
      <c r="I47" s="40"/>
      <c r="J47" s="40"/>
      <c r="K47" s="40"/>
    </row>
    <row r="48" spans="1:11" x14ac:dyDescent="0.2">
      <c r="A48" s="40"/>
      <c r="B48" s="40"/>
      <c r="C48" s="40"/>
      <c r="D48" s="40"/>
      <c r="E48" s="40"/>
      <c r="F48" s="40"/>
      <c r="G48" s="40"/>
      <c r="H48" s="40"/>
      <c r="I48" s="40"/>
      <c r="J48" s="40"/>
      <c r="K48" s="40"/>
    </row>
    <row r="49" spans="1:11" x14ac:dyDescent="0.2">
      <c r="A49" s="40"/>
      <c r="B49" s="40"/>
      <c r="C49" s="40"/>
      <c r="D49" s="40"/>
      <c r="E49" s="40"/>
      <c r="F49" s="40"/>
      <c r="G49" s="40"/>
      <c r="H49" s="40"/>
      <c r="I49" s="40"/>
      <c r="J49" s="40"/>
      <c r="K49" s="40"/>
    </row>
    <row r="50" spans="1:11" x14ac:dyDescent="0.2">
      <c r="A50" s="40"/>
      <c r="B50" s="40"/>
      <c r="C50" s="40"/>
      <c r="D50" s="40"/>
      <c r="E50" s="40"/>
      <c r="F50" s="40"/>
      <c r="G50" s="40"/>
      <c r="H50" s="40"/>
      <c r="I50" s="40"/>
      <c r="J50" s="40"/>
      <c r="K50" s="40"/>
    </row>
    <row r="51" spans="1:11" x14ac:dyDescent="0.2">
      <c r="A51" s="40"/>
      <c r="B51" s="40"/>
      <c r="C51" s="40"/>
      <c r="D51" s="40"/>
      <c r="E51" s="40"/>
      <c r="F51" s="40"/>
      <c r="G51" s="40"/>
      <c r="H51" s="40"/>
      <c r="I51" s="40"/>
      <c r="J51" s="40"/>
      <c r="K51" s="40"/>
    </row>
    <row r="52" spans="1:11" x14ac:dyDescent="0.2">
      <c r="A52" s="40"/>
      <c r="B52" s="40"/>
      <c r="C52" s="40"/>
      <c r="D52" s="40"/>
      <c r="E52" s="40"/>
      <c r="F52" s="40"/>
      <c r="G52" s="40"/>
      <c r="H52" s="40"/>
      <c r="I52" s="40"/>
      <c r="J52" s="40"/>
      <c r="K52" s="40"/>
    </row>
    <row r="53" spans="1:11" x14ac:dyDescent="0.2">
      <c r="A53" s="40"/>
      <c r="B53" s="40"/>
      <c r="C53" s="40"/>
      <c r="D53" s="40"/>
      <c r="E53" s="40"/>
      <c r="F53" s="40"/>
      <c r="G53" s="40"/>
      <c r="H53" s="40"/>
      <c r="I53" s="40"/>
      <c r="J53" s="40"/>
      <c r="K53" s="40"/>
    </row>
  </sheetData>
  <mergeCells count="3">
    <mergeCell ref="A1:I1"/>
    <mergeCell ref="A4:I4"/>
    <mergeCell ref="A5:K5"/>
  </mergeCells>
  <pageMargins left="0.7" right="0.7" top="0.75" bottom="0.75" header="0.3" footer="0.3"/>
  <pageSetup scale="41" orientation="landscape" r:id="rId2"/>
  <headerFooter>
    <oddFooter>&amp;R&amp;P of &amp;N</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89D0B-3CAD-444E-8A83-D10EB46F9615}">
  <dimension ref="A1:J76"/>
  <sheetViews>
    <sheetView view="pageBreakPreview" zoomScale="80" zoomScaleNormal="100" zoomScaleSheetLayoutView="80" workbookViewId="0">
      <selection activeCell="A7" sqref="A7:A11"/>
    </sheetView>
  </sheetViews>
  <sheetFormatPr defaultColWidth="8.85546875" defaultRowHeight="12.75" x14ac:dyDescent="0.2"/>
  <cols>
    <col min="1" max="1" width="59.7109375" style="18" bestFit="1" customWidth="1"/>
    <col min="2" max="2" width="11.5703125" style="18" bestFit="1" customWidth="1"/>
    <col min="3" max="3" width="18.42578125" style="18" bestFit="1" customWidth="1"/>
    <col min="4" max="4" width="12.42578125" style="18" bestFit="1" customWidth="1"/>
    <col min="5" max="5" width="19.85546875" style="18" bestFit="1" customWidth="1"/>
    <col min="6" max="6" width="14" style="18" bestFit="1" customWidth="1"/>
    <col min="7" max="16384" width="8.85546875" style="18"/>
  </cols>
  <sheetData>
    <row r="1" spans="1:10" ht="21" customHeight="1" x14ac:dyDescent="0.2">
      <c r="A1" s="77" t="s">
        <v>263</v>
      </c>
      <c r="B1" s="77"/>
      <c r="C1" s="77"/>
      <c r="D1" s="77"/>
      <c r="E1" s="66"/>
      <c r="F1" s="68" t="s">
        <v>269</v>
      </c>
      <c r="G1" s="66"/>
      <c r="H1" s="67"/>
    </row>
    <row r="2" spans="1:10" ht="21" customHeight="1" x14ac:dyDescent="0.2">
      <c r="A2" s="69" t="s">
        <v>264</v>
      </c>
      <c r="B2" s="69"/>
      <c r="C2" s="69"/>
      <c r="D2" s="69"/>
      <c r="E2" s="69"/>
      <c r="F2" s="69"/>
      <c r="G2" s="69"/>
      <c r="H2" s="69"/>
      <c r="I2" s="69"/>
      <c r="J2" s="69"/>
    </row>
    <row r="3" spans="1:10" ht="15" customHeight="1" x14ac:dyDescent="0.2">
      <c r="A3" s="69"/>
      <c r="B3" s="69"/>
      <c r="C3" s="69"/>
      <c r="D3" s="69"/>
      <c r="E3" s="69"/>
      <c r="F3" s="69"/>
      <c r="G3" s="69"/>
      <c r="H3" s="69"/>
      <c r="I3" s="69"/>
      <c r="J3" s="69"/>
    </row>
    <row r="4" spans="1:10" x14ac:dyDescent="0.2">
      <c r="A4" s="28" t="s">
        <v>274</v>
      </c>
      <c r="B4" s="29"/>
      <c r="C4" s="29"/>
      <c r="D4" s="29"/>
      <c r="E4" s="29"/>
      <c r="F4" s="30"/>
    </row>
    <row r="5" spans="1:10" x14ac:dyDescent="0.2">
      <c r="A5" s="78" t="s">
        <v>275</v>
      </c>
      <c r="B5" s="79"/>
      <c r="C5" s="79"/>
      <c r="D5" s="79"/>
      <c r="E5" s="79"/>
      <c r="F5" s="80"/>
    </row>
    <row r="6" spans="1:10" ht="15" customHeight="1" x14ac:dyDescent="0.2">
      <c r="A6" s="69"/>
      <c r="B6" s="69"/>
      <c r="C6" s="69"/>
      <c r="D6" s="69"/>
      <c r="E6" s="69"/>
      <c r="F6" s="69"/>
      <c r="G6" s="69"/>
      <c r="H6" s="69"/>
      <c r="I6" s="69"/>
    </row>
    <row r="7" spans="1:10" ht="15" customHeight="1" x14ac:dyDescent="0.2">
      <c r="A7" s="7" t="s">
        <v>300</v>
      </c>
      <c r="B7" s="69"/>
      <c r="C7" s="69"/>
      <c r="D7" s="69"/>
      <c r="E7" s="69"/>
      <c r="F7" s="69"/>
      <c r="G7" s="69"/>
      <c r="H7" s="69"/>
      <c r="I7" s="69"/>
    </row>
    <row r="8" spans="1:10" ht="15" customHeight="1" x14ac:dyDescent="0.2">
      <c r="A8" s="55" t="s">
        <v>301</v>
      </c>
      <c r="B8" s="69"/>
      <c r="C8" s="69"/>
      <c r="D8" s="69"/>
      <c r="E8" s="69"/>
      <c r="F8" s="69"/>
      <c r="G8" s="69"/>
      <c r="H8" s="69"/>
      <c r="I8" s="69"/>
    </row>
    <row r="9" spans="1:10" ht="15" customHeight="1" x14ac:dyDescent="0.2">
      <c r="A9" s="56" t="s">
        <v>302</v>
      </c>
      <c r="B9" s="69"/>
      <c r="C9" s="69"/>
      <c r="D9" s="69"/>
      <c r="E9" s="69"/>
      <c r="F9" s="69"/>
      <c r="G9" s="69"/>
      <c r="H9" s="69"/>
      <c r="I9" s="69"/>
    </row>
    <row r="10" spans="1:10" ht="15" customHeight="1" x14ac:dyDescent="0.2">
      <c r="A10" s="57" t="s">
        <v>303</v>
      </c>
      <c r="B10" s="69"/>
      <c r="C10" s="69"/>
      <c r="D10" s="69"/>
      <c r="E10" s="69"/>
      <c r="F10" s="69"/>
      <c r="G10" s="69"/>
      <c r="H10" s="69"/>
      <c r="I10" s="69"/>
    </row>
    <row r="11" spans="1:10" x14ac:dyDescent="0.2">
      <c r="A11" s="72" t="s">
        <v>304</v>
      </c>
      <c r="B11" s="69"/>
      <c r="C11" s="69"/>
      <c r="D11" s="69"/>
      <c r="E11" s="69"/>
      <c r="F11" s="69"/>
      <c r="G11" s="69"/>
      <c r="H11" s="69"/>
      <c r="I11" s="69"/>
    </row>
    <row r="12" spans="1:10" ht="15" customHeight="1" x14ac:dyDescent="0.2">
      <c r="A12" s="69"/>
      <c r="B12" s="69"/>
      <c r="C12" s="69"/>
      <c r="D12" s="69"/>
      <c r="E12" s="69"/>
      <c r="F12" s="69"/>
      <c r="G12" s="69"/>
      <c r="H12" s="69"/>
      <c r="I12" s="69"/>
    </row>
    <row r="13" spans="1:10" x14ac:dyDescent="0.2">
      <c r="A13" s="17" t="s">
        <v>130</v>
      </c>
      <c r="B13" s="19">
        <f>GETPIVOTDATA("Sum of 1. Agreed",$A$15)/GETPIVOTDATA("Sum of Total",$A$15)</f>
        <v>0.14634146341463414</v>
      </c>
      <c r="C13" s="19">
        <f>GETPIVOTDATA("Sum of 2. Agree but with futher comments",$A$15)/GETPIVOTDATA("Sum of Total",$A$15)</f>
        <v>0.78048780487804881</v>
      </c>
      <c r="D13" s="19">
        <f>GETPIVOTDATA("Sum of 3. Disagreed",$A$15)/GETPIVOTDATA("Sum of Total",$A$15)</f>
        <v>4.878048780487805E-2</v>
      </c>
      <c r="E13" s="20">
        <f>GETPIVOTDATA("Sum of 4. Holding comment until phase 2",$A$15)/GETPIVOTDATA("Sum of Total",$A$15)</f>
        <v>2.4390243902439025E-2</v>
      </c>
      <c r="F13" s="20">
        <f>SUM(B13:E13)</f>
        <v>1</v>
      </c>
    </row>
    <row r="15" spans="1:10" s="2" customFormat="1" ht="39.75" customHeight="1" x14ac:dyDescent="0.2">
      <c r="A15" s="52" t="s">
        <v>2</v>
      </c>
      <c r="B15" s="60" t="s">
        <v>125</v>
      </c>
      <c r="C15" s="61" t="s">
        <v>127</v>
      </c>
      <c r="D15" s="62" t="s">
        <v>128</v>
      </c>
      <c r="E15" s="63" t="s">
        <v>217</v>
      </c>
      <c r="F15" s="64" t="s">
        <v>129</v>
      </c>
    </row>
    <row r="16" spans="1:10" x14ac:dyDescent="0.2">
      <c r="A16" s="43" t="s">
        <v>58</v>
      </c>
      <c r="B16" s="65">
        <v>0</v>
      </c>
      <c r="C16" s="65">
        <v>1</v>
      </c>
      <c r="D16" s="65">
        <v>0</v>
      </c>
      <c r="E16" s="65">
        <v>0</v>
      </c>
      <c r="F16" s="65">
        <v>1</v>
      </c>
    </row>
    <row r="17" spans="1:6" x14ac:dyDescent="0.2">
      <c r="A17" s="43" t="s">
        <v>34</v>
      </c>
      <c r="B17" s="65">
        <v>0</v>
      </c>
      <c r="C17" s="65">
        <v>2</v>
      </c>
      <c r="D17" s="65">
        <v>0</v>
      </c>
      <c r="E17" s="65">
        <v>0</v>
      </c>
      <c r="F17" s="65">
        <v>2</v>
      </c>
    </row>
    <row r="18" spans="1:6" x14ac:dyDescent="0.2">
      <c r="A18" s="43" t="s">
        <v>64</v>
      </c>
      <c r="B18" s="65">
        <v>1</v>
      </c>
      <c r="C18" s="65">
        <v>4</v>
      </c>
      <c r="D18" s="65">
        <v>0</v>
      </c>
      <c r="E18" s="65">
        <v>0</v>
      </c>
      <c r="F18" s="65">
        <v>5</v>
      </c>
    </row>
    <row r="19" spans="1:6" x14ac:dyDescent="0.2">
      <c r="A19" s="43" t="s">
        <v>57</v>
      </c>
      <c r="B19" s="65">
        <v>2</v>
      </c>
      <c r="C19" s="65">
        <v>6</v>
      </c>
      <c r="D19" s="65">
        <v>0</v>
      </c>
      <c r="E19" s="65">
        <v>0</v>
      </c>
      <c r="F19" s="65">
        <v>8</v>
      </c>
    </row>
    <row r="20" spans="1:6" x14ac:dyDescent="0.2">
      <c r="A20" s="43" t="s">
        <v>21</v>
      </c>
      <c r="B20" s="65">
        <v>0</v>
      </c>
      <c r="C20" s="65">
        <v>1</v>
      </c>
      <c r="D20" s="65">
        <v>0</v>
      </c>
      <c r="E20" s="65">
        <v>0</v>
      </c>
      <c r="F20" s="65">
        <v>1</v>
      </c>
    </row>
    <row r="21" spans="1:6" x14ac:dyDescent="0.2">
      <c r="A21" s="43" t="s">
        <v>30</v>
      </c>
      <c r="B21" s="65">
        <v>2</v>
      </c>
      <c r="C21" s="65">
        <v>17</v>
      </c>
      <c r="D21" s="65">
        <v>2</v>
      </c>
      <c r="E21" s="65">
        <v>1</v>
      </c>
      <c r="F21" s="65">
        <v>22</v>
      </c>
    </row>
    <row r="22" spans="1:6" x14ac:dyDescent="0.2">
      <c r="A22" s="43" t="s">
        <v>3</v>
      </c>
      <c r="B22" s="65">
        <v>0</v>
      </c>
      <c r="C22" s="65">
        <v>0</v>
      </c>
      <c r="D22" s="65">
        <v>0</v>
      </c>
      <c r="E22" s="65">
        <v>0</v>
      </c>
      <c r="F22" s="65">
        <v>0</v>
      </c>
    </row>
    <row r="23" spans="1:6" x14ac:dyDescent="0.2">
      <c r="A23" s="43" t="s">
        <v>39</v>
      </c>
      <c r="B23" s="65">
        <v>1</v>
      </c>
      <c r="C23" s="65">
        <v>1</v>
      </c>
      <c r="D23" s="65">
        <v>0</v>
      </c>
      <c r="E23" s="65">
        <v>0</v>
      </c>
      <c r="F23" s="65">
        <v>2</v>
      </c>
    </row>
    <row r="24" spans="1:6" x14ac:dyDescent="0.2">
      <c r="A24" s="43" t="s">
        <v>126</v>
      </c>
      <c r="B24" s="65">
        <v>6</v>
      </c>
      <c r="C24" s="65">
        <v>32</v>
      </c>
      <c r="D24" s="65">
        <v>2</v>
      </c>
      <c r="E24" s="65">
        <v>1</v>
      </c>
      <c r="F24" s="65">
        <v>41</v>
      </c>
    </row>
    <row r="25" spans="1:6" x14ac:dyDescent="0.2">
      <c r="A25" s="40"/>
      <c r="B25" s="40"/>
      <c r="C25" s="40"/>
      <c r="D25" s="40"/>
      <c r="E25" s="40"/>
      <c r="F25" s="40"/>
    </row>
    <row r="26" spans="1:6" x14ac:dyDescent="0.2">
      <c r="A26" s="40"/>
      <c r="B26" s="40"/>
      <c r="C26" s="40"/>
      <c r="D26" s="40"/>
      <c r="E26" s="40"/>
      <c r="F26" s="40"/>
    </row>
    <row r="27" spans="1:6" x14ac:dyDescent="0.2">
      <c r="A27" s="40"/>
      <c r="B27" s="40"/>
      <c r="C27" s="40"/>
      <c r="D27" s="40"/>
      <c r="E27" s="40"/>
      <c r="F27" s="40"/>
    </row>
    <row r="28" spans="1:6" x14ac:dyDescent="0.2">
      <c r="A28" s="40"/>
      <c r="B28" s="40"/>
      <c r="C28" s="40"/>
      <c r="D28" s="40"/>
      <c r="E28" s="40"/>
      <c r="F28" s="40"/>
    </row>
    <row r="29" spans="1:6" x14ac:dyDescent="0.2">
      <c r="A29" s="40"/>
      <c r="B29" s="40"/>
      <c r="C29" s="40"/>
      <c r="D29" s="40"/>
      <c r="E29" s="40"/>
      <c r="F29" s="40"/>
    </row>
    <row r="30" spans="1:6" x14ac:dyDescent="0.2">
      <c r="A30" s="40"/>
      <c r="B30" s="40"/>
      <c r="C30" s="40"/>
      <c r="D30" s="40"/>
      <c r="E30" s="40"/>
      <c r="F30" s="40"/>
    </row>
    <row r="31" spans="1:6" x14ac:dyDescent="0.2">
      <c r="A31" s="40"/>
      <c r="B31" s="40"/>
      <c r="C31" s="40"/>
      <c r="D31" s="40"/>
      <c r="E31" s="40"/>
      <c r="F31" s="40"/>
    </row>
    <row r="32" spans="1:6" x14ac:dyDescent="0.2">
      <c r="A32" s="40"/>
      <c r="B32" s="40"/>
      <c r="C32" s="40"/>
      <c r="D32" s="40"/>
      <c r="E32" s="40"/>
      <c r="F32" s="40"/>
    </row>
    <row r="33" spans="1:6" x14ac:dyDescent="0.2">
      <c r="A33" s="40"/>
      <c r="B33" s="40"/>
      <c r="C33" s="40"/>
      <c r="D33" s="40"/>
      <c r="E33" s="40"/>
      <c r="F33" s="40"/>
    </row>
    <row r="34" spans="1:6" x14ac:dyDescent="0.2">
      <c r="A34" s="40"/>
      <c r="B34" s="40"/>
      <c r="C34" s="40"/>
      <c r="D34" s="40"/>
      <c r="E34" s="40"/>
      <c r="F34" s="40"/>
    </row>
    <row r="35" spans="1:6" x14ac:dyDescent="0.2">
      <c r="A35" s="40"/>
      <c r="B35" s="40"/>
      <c r="C35" s="40"/>
      <c r="D35" s="40"/>
      <c r="E35" s="40"/>
      <c r="F35" s="40"/>
    </row>
    <row r="36" spans="1:6" x14ac:dyDescent="0.2">
      <c r="A36" s="40"/>
      <c r="B36" s="40"/>
      <c r="C36" s="40"/>
      <c r="D36" s="40"/>
      <c r="E36" s="40"/>
      <c r="F36" s="40"/>
    </row>
    <row r="37" spans="1:6" x14ac:dyDescent="0.2">
      <c r="A37" s="40"/>
      <c r="B37" s="40"/>
      <c r="C37" s="40"/>
      <c r="D37" s="40"/>
      <c r="E37" s="40"/>
      <c r="F37" s="40"/>
    </row>
    <row r="38" spans="1:6" x14ac:dyDescent="0.2">
      <c r="A38" s="40"/>
      <c r="B38" s="40"/>
      <c r="C38" s="40"/>
      <c r="D38" s="40"/>
      <c r="E38" s="40"/>
      <c r="F38" s="40"/>
    </row>
    <row r="39" spans="1:6" x14ac:dyDescent="0.2">
      <c r="A39" s="40"/>
      <c r="B39" s="40"/>
      <c r="C39" s="40"/>
      <c r="D39" s="40"/>
      <c r="E39" s="40"/>
      <c r="F39" s="40"/>
    </row>
    <row r="40" spans="1:6" x14ac:dyDescent="0.2">
      <c r="A40" s="40"/>
      <c r="B40" s="40"/>
      <c r="C40" s="40"/>
      <c r="D40" s="40"/>
      <c r="E40" s="40"/>
      <c r="F40" s="40"/>
    </row>
    <row r="41" spans="1:6" x14ac:dyDescent="0.2">
      <c r="A41" s="40"/>
      <c r="B41" s="40"/>
      <c r="C41" s="40"/>
      <c r="D41" s="40"/>
      <c r="E41" s="40"/>
      <c r="F41" s="40"/>
    </row>
    <row r="42" spans="1:6" x14ac:dyDescent="0.2">
      <c r="A42" s="40"/>
      <c r="B42" s="40"/>
      <c r="C42" s="40"/>
      <c r="D42" s="40"/>
      <c r="E42" s="40"/>
      <c r="F42" s="40"/>
    </row>
    <row r="43" spans="1:6" x14ac:dyDescent="0.2">
      <c r="A43" s="40"/>
      <c r="B43" s="40"/>
      <c r="C43" s="40"/>
      <c r="D43" s="40"/>
      <c r="E43" s="40"/>
      <c r="F43" s="40"/>
    </row>
    <row r="44" spans="1:6" x14ac:dyDescent="0.2">
      <c r="A44" s="40"/>
      <c r="B44" s="40"/>
      <c r="C44" s="40"/>
      <c r="D44" s="40"/>
      <c r="E44" s="40"/>
      <c r="F44" s="40"/>
    </row>
    <row r="45" spans="1:6" x14ac:dyDescent="0.2">
      <c r="A45" s="40"/>
      <c r="B45" s="40"/>
      <c r="C45" s="40"/>
      <c r="D45" s="40"/>
      <c r="E45" s="40"/>
      <c r="F45" s="40"/>
    </row>
    <row r="46" spans="1:6" x14ac:dyDescent="0.2">
      <c r="A46" s="40"/>
      <c r="B46" s="40"/>
      <c r="C46" s="40"/>
      <c r="D46" s="40"/>
      <c r="E46" s="40"/>
      <c r="F46" s="40"/>
    </row>
    <row r="47" spans="1:6" x14ac:dyDescent="0.2">
      <c r="A47" s="40"/>
      <c r="B47" s="40"/>
      <c r="C47" s="40"/>
      <c r="D47" s="40"/>
      <c r="E47" s="40"/>
      <c r="F47" s="40"/>
    </row>
    <row r="48" spans="1:6" x14ac:dyDescent="0.2">
      <c r="A48" s="40"/>
      <c r="B48" s="40"/>
      <c r="C48" s="40"/>
      <c r="D48" s="40"/>
      <c r="E48" s="40"/>
      <c r="F48" s="40"/>
    </row>
    <row r="49" spans="1:6" x14ac:dyDescent="0.2">
      <c r="A49" s="40"/>
      <c r="B49" s="40"/>
      <c r="C49" s="40"/>
      <c r="D49" s="40"/>
      <c r="E49" s="40"/>
      <c r="F49" s="40"/>
    </row>
    <row r="50" spans="1:6" x14ac:dyDescent="0.2">
      <c r="A50" s="40"/>
      <c r="B50" s="40"/>
      <c r="C50" s="40"/>
      <c r="D50" s="40"/>
      <c r="E50" s="40"/>
      <c r="F50" s="40"/>
    </row>
    <row r="51" spans="1:6" x14ac:dyDescent="0.2">
      <c r="A51" s="40"/>
      <c r="B51" s="40"/>
      <c r="C51" s="40"/>
      <c r="D51" s="40"/>
      <c r="E51" s="40"/>
      <c r="F51" s="40"/>
    </row>
    <row r="52" spans="1:6" x14ac:dyDescent="0.2">
      <c r="A52" s="40"/>
      <c r="B52" s="40"/>
      <c r="C52" s="40"/>
      <c r="D52" s="40"/>
      <c r="E52" s="40"/>
      <c r="F52" s="40"/>
    </row>
    <row r="53" spans="1:6" x14ac:dyDescent="0.2">
      <c r="A53" s="40"/>
      <c r="B53" s="40"/>
      <c r="C53" s="40"/>
      <c r="D53" s="40"/>
      <c r="E53" s="40"/>
      <c r="F53" s="40"/>
    </row>
    <row r="54" spans="1:6" x14ac:dyDescent="0.2">
      <c r="A54" s="40"/>
      <c r="B54" s="40"/>
      <c r="C54" s="40"/>
      <c r="D54" s="40"/>
      <c r="E54" s="40"/>
      <c r="F54" s="40"/>
    </row>
    <row r="55" spans="1:6" x14ac:dyDescent="0.2">
      <c r="A55" s="40"/>
      <c r="B55" s="40"/>
      <c r="C55" s="40"/>
      <c r="D55" s="40"/>
      <c r="E55" s="40"/>
      <c r="F55" s="40"/>
    </row>
    <row r="56" spans="1:6" x14ac:dyDescent="0.2">
      <c r="A56" s="40"/>
      <c r="B56" s="40"/>
      <c r="C56" s="40"/>
      <c r="D56" s="40"/>
      <c r="E56" s="40"/>
      <c r="F56" s="40"/>
    </row>
    <row r="57" spans="1:6" x14ac:dyDescent="0.2">
      <c r="A57" s="40"/>
      <c r="B57" s="40"/>
      <c r="C57" s="40"/>
      <c r="D57" s="40"/>
      <c r="E57" s="40"/>
      <c r="F57" s="40"/>
    </row>
    <row r="58" spans="1:6" x14ac:dyDescent="0.2">
      <c r="A58" s="40"/>
      <c r="B58" s="40"/>
      <c r="C58" s="40"/>
      <c r="D58" s="40"/>
      <c r="E58" s="40"/>
      <c r="F58" s="40"/>
    </row>
    <row r="59" spans="1:6" x14ac:dyDescent="0.2">
      <c r="A59" s="40"/>
      <c r="B59" s="40"/>
      <c r="C59" s="40"/>
      <c r="D59" s="40"/>
      <c r="E59" s="40"/>
      <c r="F59" s="40"/>
    </row>
    <row r="60" spans="1:6" x14ac:dyDescent="0.2">
      <c r="A60" s="40"/>
      <c r="B60" s="40"/>
      <c r="C60" s="40"/>
      <c r="D60" s="40"/>
      <c r="E60" s="40"/>
      <c r="F60" s="40"/>
    </row>
    <row r="61" spans="1:6" x14ac:dyDescent="0.2">
      <c r="A61" s="40"/>
      <c r="B61" s="40"/>
      <c r="C61" s="40"/>
      <c r="D61" s="40"/>
      <c r="E61" s="40"/>
      <c r="F61" s="40"/>
    </row>
    <row r="62" spans="1:6" x14ac:dyDescent="0.2">
      <c r="A62" s="40"/>
      <c r="B62" s="40"/>
      <c r="C62" s="40"/>
      <c r="D62" s="40"/>
      <c r="E62" s="40"/>
      <c r="F62" s="40"/>
    </row>
    <row r="63" spans="1:6" x14ac:dyDescent="0.2">
      <c r="A63" s="40"/>
      <c r="B63" s="40"/>
      <c r="C63" s="40"/>
      <c r="D63" s="40"/>
      <c r="E63" s="40"/>
      <c r="F63" s="40"/>
    </row>
    <row r="64" spans="1:6" x14ac:dyDescent="0.2">
      <c r="A64" s="40"/>
      <c r="B64" s="40"/>
      <c r="C64" s="40"/>
      <c r="D64" s="40"/>
      <c r="E64" s="40"/>
      <c r="F64" s="40"/>
    </row>
    <row r="65" spans="1:6" x14ac:dyDescent="0.2">
      <c r="A65" s="40"/>
      <c r="B65" s="40"/>
      <c r="C65" s="40"/>
      <c r="D65" s="40"/>
      <c r="E65" s="40"/>
      <c r="F65" s="40"/>
    </row>
    <row r="66" spans="1:6" x14ac:dyDescent="0.2">
      <c r="A66" s="40"/>
      <c r="B66" s="40"/>
      <c r="C66" s="40"/>
      <c r="D66" s="40"/>
      <c r="E66" s="40"/>
      <c r="F66" s="40"/>
    </row>
    <row r="67" spans="1:6" x14ac:dyDescent="0.2">
      <c r="A67" s="40"/>
      <c r="B67" s="40"/>
      <c r="C67" s="40"/>
      <c r="D67" s="40"/>
      <c r="E67" s="40"/>
      <c r="F67" s="40"/>
    </row>
    <row r="68" spans="1:6" x14ac:dyDescent="0.2">
      <c r="A68" s="40"/>
      <c r="B68" s="40"/>
      <c r="C68" s="40"/>
      <c r="D68" s="40"/>
      <c r="E68" s="40"/>
      <c r="F68" s="40"/>
    </row>
    <row r="69" spans="1:6" x14ac:dyDescent="0.2">
      <c r="A69" s="40"/>
      <c r="B69" s="40"/>
      <c r="C69" s="40"/>
      <c r="D69" s="40"/>
      <c r="E69" s="40"/>
      <c r="F69" s="40"/>
    </row>
    <row r="70" spans="1:6" x14ac:dyDescent="0.2">
      <c r="A70" s="40"/>
      <c r="B70" s="40"/>
      <c r="C70" s="40"/>
      <c r="D70" s="40"/>
      <c r="E70" s="40"/>
      <c r="F70" s="40"/>
    </row>
    <row r="71" spans="1:6" x14ac:dyDescent="0.2">
      <c r="A71" s="40"/>
      <c r="B71" s="40"/>
      <c r="C71" s="40"/>
      <c r="D71" s="40"/>
      <c r="E71" s="40"/>
      <c r="F71" s="40"/>
    </row>
    <row r="72" spans="1:6" x14ac:dyDescent="0.2">
      <c r="A72" s="40"/>
      <c r="B72" s="40"/>
      <c r="C72" s="40"/>
      <c r="D72" s="40"/>
      <c r="E72" s="40"/>
      <c r="F72" s="40"/>
    </row>
    <row r="73" spans="1:6" x14ac:dyDescent="0.2">
      <c r="A73" s="40"/>
      <c r="B73" s="40"/>
      <c r="C73" s="40"/>
      <c r="D73" s="40"/>
      <c r="E73" s="40"/>
      <c r="F73" s="40"/>
    </row>
    <row r="74" spans="1:6" x14ac:dyDescent="0.2">
      <c r="A74" s="40"/>
      <c r="B74" s="40"/>
      <c r="C74" s="40"/>
      <c r="D74" s="40"/>
      <c r="E74" s="40"/>
      <c r="F74" s="40"/>
    </row>
    <row r="75" spans="1:6" x14ac:dyDescent="0.2">
      <c r="A75" s="40"/>
      <c r="B75" s="40"/>
      <c r="C75" s="40"/>
      <c r="D75" s="40"/>
      <c r="E75" s="40"/>
      <c r="F75" s="40"/>
    </row>
    <row r="76" spans="1:6" x14ac:dyDescent="0.2">
      <c r="A76" s="40"/>
      <c r="B76" s="40"/>
      <c r="C76" s="40"/>
      <c r="D76" s="40"/>
      <c r="E76" s="40"/>
      <c r="F76" s="40"/>
    </row>
  </sheetData>
  <mergeCells count="2">
    <mergeCell ref="A5:F5"/>
    <mergeCell ref="A1:D1"/>
  </mergeCells>
  <pageMargins left="0.7" right="0.7" top="0.75" bottom="0.75" header="0.3" footer="0.3"/>
  <pageSetup scale="80" orientation="landscape" r:id="rId2"/>
  <headerFooter>
    <oddFooter>&amp;R&amp;P of &amp;N</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A91D4-710B-4C41-868C-F3BD6E1ED8A1}">
  <dimension ref="A1:M24"/>
  <sheetViews>
    <sheetView view="pageBreakPreview" zoomScale="80" zoomScaleNormal="100" zoomScaleSheetLayoutView="80" workbookViewId="0">
      <pane xSplit="1" ySplit="15" topLeftCell="B16" activePane="bottomRight" state="frozen"/>
      <selection pane="topRight" activeCell="B1" sqref="B1"/>
      <selection pane="bottomLeft" activeCell="A4" sqref="A4"/>
      <selection pane="bottomRight" activeCell="A7" sqref="A7:A11"/>
    </sheetView>
  </sheetViews>
  <sheetFormatPr defaultColWidth="8.85546875" defaultRowHeight="12.75" x14ac:dyDescent="0.2"/>
  <cols>
    <col min="1" max="1" width="59.7109375" style="18" bestFit="1" customWidth="1"/>
    <col min="2" max="2" width="16.85546875" style="18" bestFit="1" customWidth="1"/>
    <col min="3" max="3" width="15.7109375" style="18" bestFit="1" customWidth="1"/>
    <col min="4" max="5" width="17.42578125" style="18" bestFit="1" customWidth="1"/>
    <col min="6" max="6" width="16.5703125" style="18" bestFit="1" customWidth="1"/>
    <col min="7" max="7" width="17.28515625" style="18" bestFit="1" customWidth="1"/>
    <col min="8" max="8" width="22.42578125" style="18" bestFit="1" customWidth="1"/>
    <col min="9" max="9" width="18.140625" style="18" bestFit="1" customWidth="1"/>
    <col min="10" max="11" width="17.28515625" style="18" bestFit="1" customWidth="1"/>
    <col min="12" max="12" width="11.28515625" style="18" bestFit="1" customWidth="1"/>
    <col min="13" max="13" width="17.42578125" style="18" bestFit="1" customWidth="1"/>
    <col min="14" max="16384" width="8.85546875" style="18"/>
  </cols>
  <sheetData>
    <row r="1" spans="1:13" x14ac:dyDescent="0.2">
      <c r="A1" s="77" t="s">
        <v>263</v>
      </c>
      <c r="B1" s="77"/>
      <c r="C1" s="77"/>
      <c r="D1" s="77"/>
      <c r="E1" s="77"/>
      <c r="F1" s="77"/>
      <c r="G1" s="77"/>
      <c r="H1" s="77"/>
      <c r="I1" s="77"/>
      <c r="J1" s="77"/>
      <c r="K1" s="77"/>
      <c r="M1" s="68" t="s">
        <v>285</v>
      </c>
    </row>
    <row r="2" spans="1:13" x14ac:dyDescent="0.2">
      <c r="A2" s="69" t="s">
        <v>264</v>
      </c>
      <c r="B2" s="69"/>
      <c r="C2" s="69"/>
      <c r="D2" s="69"/>
      <c r="E2" s="69"/>
      <c r="F2" s="69"/>
      <c r="G2" s="70"/>
      <c r="H2" s="67"/>
      <c r="M2" s="68"/>
    </row>
    <row r="3" spans="1:13" x14ac:dyDescent="0.2">
      <c r="A3" s="69"/>
      <c r="B3" s="69"/>
      <c r="C3" s="69"/>
      <c r="D3" s="69"/>
      <c r="E3" s="69"/>
      <c r="F3" s="69"/>
      <c r="G3" s="70"/>
      <c r="H3" s="67"/>
      <c r="M3" s="68"/>
    </row>
    <row r="4" spans="1:13" x14ac:dyDescent="0.2">
      <c r="A4" s="28" t="s">
        <v>274</v>
      </c>
      <c r="B4" s="29"/>
      <c r="C4" s="29"/>
      <c r="D4" s="29"/>
      <c r="E4" s="29"/>
      <c r="F4" s="30"/>
      <c r="G4" s="70"/>
      <c r="H4" s="67"/>
      <c r="M4" s="68"/>
    </row>
    <row r="5" spans="1:13" x14ac:dyDescent="0.2">
      <c r="A5" s="78" t="s">
        <v>275</v>
      </c>
      <c r="B5" s="79"/>
      <c r="C5" s="79"/>
      <c r="D5" s="79"/>
      <c r="E5" s="79"/>
      <c r="F5" s="80"/>
      <c r="G5" s="70"/>
      <c r="H5" s="67"/>
      <c r="M5" s="68"/>
    </row>
    <row r="6" spans="1:13" x14ac:dyDescent="0.2">
      <c r="C6" s="66"/>
      <c r="D6" s="66"/>
      <c r="E6" s="70"/>
      <c r="F6" s="70"/>
      <c r="G6" s="70"/>
      <c r="H6" s="67"/>
      <c r="M6" s="68"/>
    </row>
    <row r="7" spans="1:13" x14ac:dyDescent="0.2">
      <c r="A7" s="7" t="s">
        <v>300</v>
      </c>
      <c r="C7" s="66"/>
      <c r="D7" s="66"/>
      <c r="E7" s="70"/>
      <c r="F7" s="70"/>
      <c r="G7" s="70"/>
      <c r="H7" s="67"/>
      <c r="M7" s="68"/>
    </row>
    <row r="8" spans="1:13" x14ac:dyDescent="0.2">
      <c r="A8" s="55" t="s">
        <v>301</v>
      </c>
      <c r="C8" s="66"/>
      <c r="D8" s="66"/>
      <c r="E8" s="70"/>
      <c r="F8" s="70"/>
      <c r="G8" s="70"/>
      <c r="H8" s="67"/>
      <c r="M8" s="68"/>
    </row>
    <row r="9" spans="1:13" x14ac:dyDescent="0.2">
      <c r="A9" s="56" t="s">
        <v>302</v>
      </c>
      <c r="C9" s="66"/>
      <c r="D9" s="66"/>
      <c r="E9" s="70"/>
      <c r="F9" s="70"/>
      <c r="G9" s="70"/>
      <c r="H9" s="67"/>
      <c r="M9" s="68"/>
    </row>
    <row r="10" spans="1:13" x14ac:dyDescent="0.2">
      <c r="A10" s="57" t="s">
        <v>303</v>
      </c>
      <c r="C10" s="66"/>
      <c r="D10" s="66"/>
      <c r="E10" s="70"/>
      <c r="F10" s="70"/>
      <c r="G10" s="70"/>
      <c r="H10" s="67"/>
      <c r="M10" s="68"/>
    </row>
    <row r="11" spans="1:13" x14ac:dyDescent="0.2">
      <c r="A11" s="72" t="s">
        <v>304</v>
      </c>
      <c r="C11" s="66"/>
      <c r="D11" s="66"/>
      <c r="E11" s="70"/>
      <c r="F11" s="70"/>
      <c r="G11" s="70"/>
      <c r="H11" s="67"/>
      <c r="M11" s="68"/>
    </row>
    <row r="12" spans="1:13" x14ac:dyDescent="0.2">
      <c r="C12" s="66"/>
      <c r="D12" s="66"/>
      <c r="E12" s="70"/>
      <c r="F12" s="70"/>
      <c r="G12" s="70"/>
      <c r="H12" s="67"/>
      <c r="M12" s="68"/>
    </row>
    <row r="13" spans="1:13" x14ac:dyDescent="0.2">
      <c r="A13" s="69" t="s">
        <v>298</v>
      </c>
      <c r="B13" s="69"/>
      <c r="C13" s="69"/>
      <c r="D13" s="69"/>
      <c r="E13" s="69"/>
      <c r="F13" s="69"/>
      <c r="G13" s="69"/>
      <c r="H13" s="69"/>
      <c r="I13" s="69"/>
      <c r="J13" s="69"/>
    </row>
    <row r="14" spans="1:13" ht="15" customHeight="1" x14ac:dyDescent="0.2">
      <c r="A14" s="69"/>
      <c r="B14" s="69"/>
      <c r="C14" s="69"/>
      <c r="D14" s="69"/>
      <c r="E14" s="69"/>
      <c r="F14" s="69"/>
      <c r="G14" s="69"/>
      <c r="H14" s="69"/>
      <c r="I14" s="69"/>
      <c r="J14" s="69"/>
    </row>
    <row r="15" spans="1:13" s="2" customFormat="1" ht="89.25" x14ac:dyDescent="0.2">
      <c r="A15" s="52" t="s">
        <v>2</v>
      </c>
      <c r="B15" s="53" t="s">
        <v>125</v>
      </c>
      <c r="C15" s="49" t="s">
        <v>127</v>
      </c>
      <c r="D15" s="34" t="s">
        <v>226</v>
      </c>
      <c r="E15" s="34" t="s">
        <v>227</v>
      </c>
      <c r="F15" s="34" t="s">
        <v>228</v>
      </c>
      <c r="G15" s="34" t="s">
        <v>229</v>
      </c>
      <c r="H15" s="34" t="s">
        <v>230</v>
      </c>
      <c r="I15" s="34" t="s">
        <v>231</v>
      </c>
      <c r="J15" s="34" t="s">
        <v>232</v>
      </c>
      <c r="K15" s="34" t="s">
        <v>233</v>
      </c>
      <c r="L15" s="50" t="s">
        <v>128</v>
      </c>
      <c r="M15" s="51" t="s">
        <v>217</v>
      </c>
    </row>
    <row r="16" spans="1:13" x14ac:dyDescent="0.2">
      <c r="A16" s="43" t="s">
        <v>58</v>
      </c>
      <c r="B16" s="44">
        <v>0</v>
      </c>
      <c r="C16" s="44">
        <v>1</v>
      </c>
      <c r="D16" s="44">
        <v>0</v>
      </c>
      <c r="E16" s="44">
        <v>0</v>
      </c>
      <c r="F16" s="44">
        <v>0</v>
      </c>
      <c r="G16" s="44">
        <v>0</v>
      </c>
      <c r="H16" s="44">
        <v>0</v>
      </c>
      <c r="I16" s="44">
        <v>0</v>
      </c>
      <c r="J16" s="44">
        <v>0</v>
      </c>
      <c r="K16" s="44">
        <v>1</v>
      </c>
      <c r="L16" s="44">
        <v>0</v>
      </c>
      <c r="M16" s="44">
        <v>0</v>
      </c>
    </row>
    <row r="17" spans="1:13" x14ac:dyDescent="0.2">
      <c r="A17" s="43" t="s">
        <v>34</v>
      </c>
      <c r="B17" s="44">
        <v>0</v>
      </c>
      <c r="C17" s="44">
        <v>2</v>
      </c>
      <c r="D17" s="44">
        <v>0</v>
      </c>
      <c r="E17" s="44">
        <v>0</v>
      </c>
      <c r="F17" s="44">
        <v>1</v>
      </c>
      <c r="G17" s="44">
        <v>0</v>
      </c>
      <c r="H17" s="44">
        <v>1</v>
      </c>
      <c r="I17" s="44">
        <v>0</v>
      </c>
      <c r="J17" s="44">
        <v>0</v>
      </c>
      <c r="K17" s="44">
        <v>0</v>
      </c>
      <c r="L17" s="44">
        <v>0</v>
      </c>
      <c r="M17" s="44">
        <v>0</v>
      </c>
    </row>
    <row r="18" spans="1:13" x14ac:dyDescent="0.2">
      <c r="A18" s="43" t="s">
        <v>64</v>
      </c>
      <c r="B18" s="44">
        <v>1</v>
      </c>
      <c r="C18" s="44">
        <v>4</v>
      </c>
      <c r="D18" s="44">
        <v>1</v>
      </c>
      <c r="E18" s="44">
        <v>0</v>
      </c>
      <c r="F18" s="44">
        <v>1</v>
      </c>
      <c r="G18" s="44">
        <v>1</v>
      </c>
      <c r="H18" s="44">
        <v>0</v>
      </c>
      <c r="I18" s="44">
        <v>1</v>
      </c>
      <c r="J18" s="44">
        <v>2</v>
      </c>
      <c r="K18" s="44">
        <v>1</v>
      </c>
      <c r="L18" s="44">
        <v>0</v>
      </c>
      <c r="M18" s="44">
        <v>0</v>
      </c>
    </row>
    <row r="19" spans="1:13" x14ac:dyDescent="0.2">
      <c r="A19" s="43" t="s">
        <v>57</v>
      </c>
      <c r="B19" s="44">
        <v>2</v>
      </c>
      <c r="C19" s="44">
        <v>6</v>
      </c>
      <c r="D19" s="44">
        <v>1</v>
      </c>
      <c r="E19" s="44">
        <v>0</v>
      </c>
      <c r="F19" s="44">
        <v>2</v>
      </c>
      <c r="G19" s="44">
        <v>0</v>
      </c>
      <c r="H19" s="44">
        <v>0</v>
      </c>
      <c r="I19" s="44">
        <v>0</v>
      </c>
      <c r="J19" s="44">
        <v>2</v>
      </c>
      <c r="K19" s="44">
        <v>0</v>
      </c>
      <c r="L19" s="44">
        <v>0</v>
      </c>
      <c r="M19" s="44">
        <v>0</v>
      </c>
    </row>
    <row r="20" spans="1:13" x14ac:dyDescent="0.2">
      <c r="A20" s="43" t="s">
        <v>21</v>
      </c>
      <c r="B20" s="44">
        <v>0</v>
      </c>
      <c r="C20" s="44">
        <v>1</v>
      </c>
      <c r="D20" s="44">
        <v>0</v>
      </c>
      <c r="E20" s="44">
        <v>0</v>
      </c>
      <c r="F20" s="44">
        <v>1</v>
      </c>
      <c r="G20" s="44">
        <v>0</v>
      </c>
      <c r="H20" s="44">
        <v>0</v>
      </c>
      <c r="I20" s="44">
        <v>0</v>
      </c>
      <c r="J20" s="44">
        <v>0</v>
      </c>
      <c r="K20" s="44">
        <v>0</v>
      </c>
      <c r="L20" s="44">
        <v>0</v>
      </c>
      <c r="M20" s="44">
        <v>0</v>
      </c>
    </row>
    <row r="21" spans="1:13" x14ac:dyDescent="0.2">
      <c r="A21" s="43" t="s">
        <v>30</v>
      </c>
      <c r="B21" s="44">
        <v>2</v>
      </c>
      <c r="C21" s="44">
        <v>17</v>
      </c>
      <c r="D21" s="44">
        <v>4</v>
      </c>
      <c r="E21" s="44">
        <v>4</v>
      </c>
      <c r="F21" s="44">
        <v>0</v>
      </c>
      <c r="G21" s="44">
        <v>0</v>
      </c>
      <c r="H21" s="44">
        <v>3</v>
      </c>
      <c r="I21" s="44">
        <v>1</v>
      </c>
      <c r="J21" s="44">
        <v>0</v>
      </c>
      <c r="K21" s="44">
        <v>0</v>
      </c>
      <c r="L21" s="44">
        <v>2</v>
      </c>
      <c r="M21" s="44">
        <v>1</v>
      </c>
    </row>
    <row r="22" spans="1:13" x14ac:dyDescent="0.2">
      <c r="A22" s="43" t="s">
        <v>3</v>
      </c>
      <c r="B22" s="44">
        <v>0</v>
      </c>
      <c r="C22" s="44">
        <v>0</v>
      </c>
      <c r="D22" s="44">
        <v>0</v>
      </c>
      <c r="E22" s="44">
        <v>0</v>
      </c>
      <c r="F22" s="44">
        <v>0</v>
      </c>
      <c r="G22" s="44">
        <v>0</v>
      </c>
      <c r="H22" s="44">
        <v>0</v>
      </c>
      <c r="I22" s="44">
        <v>0</v>
      </c>
      <c r="J22" s="44">
        <v>0</v>
      </c>
      <c r="K22" s="44">
        <v>0</v>
      </c>
      <c r="L22" s="44">
        <v>0</v>
      </c>
      <c r="M22" s="44">
        <v>0</v>
      </c>
    </row>
    <row r="23" spans="1:13" x14ac:dyDescent="0.2">
      <c r="A23" s="43" t="s">
        <v>39</v>
      </c>
      <c r="B23" s="44">
        <v>1</v>
      </c>
      <c r="C23" s="44">
        <v>1</v>
      </c>
      <c r="D23" s="44">
        <v>0</v>
      </c>
      <c r="E23" s="44">
        <v>0</v>
      </c>
      <c r="F23" s="44">
        <v>0</v>
      </c>
      <c r="G23" s="44">
        <v>1</v>
      </c>
      <c r="H23" s="44">
        <v>0</v>
      </c>
      <c r="I23" s="44">
        <v>0</v>
      </c>
      <c r="J23" s="44">
        <v>0</v>
      </c>
      <c r="K23" s="44">
        <v>0</v>
      </c>
      <c r="L23" s="44">
        <v>0</v>
      </c>
      <c r="M23" s="44">
        <v>0</v>
      </c>
    </row>
    <row r="24" spans="1:13" x14ac:dyDescent="0.2">
      <c r="A24" s="43" t="s">
        <v>126</v>
      </c>
      <c r="B24" s="44">
        <v>6</v>
      </c>
      <c r="C24" s="44">
        <v>32</v>
      </c>
      <c r="D24" s="44">
        <v>6</v>
      </c>
      <c r="E24" s="44">
        <v>4</v>
      </c>
      <c r="F24" s="44">
        <v>5</v>
      </c>
      <c r="G24" s="44">
        <v>2</v>
      </c>
      <c r="H24" s="44">
        <v>4</v>
      </c>
      <c r="I24" s="44">
        <v>2</v>
      </c>
      <c r="J24" s="44">
        <v>4</v>
      </c>
      <c r="K24" s="44">
        <v>2</v>
      </c>
      <c r="L24" s="44">
        <v>2</v>
      </c>
      <c r="M24" s="44">
        <v>1</v>
      </c>
    </row>
  </sheetData>
  <mergeCells count="2">
    <mergeCell ref="A1:K1"/>
    <mergeCell ref="A5:F5"/>
  </mergeCells>
  <pageMargins left="0.7" right="0.7" top="0.75" bottom="0.75" header="0.3" footer="0.3"/>
  <pageSetup scale="38" orientation="landscape" r:id="rId2"/>
  <headerFooter>
    <oddFooter>&amp;R&amp;P of &amp;N</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1AD6A-433F-4117-92A3-5AA2710F0921}">
  <dimension ref="A1:H55"/>
  <sheetViews>
    <sheetView topLeftCell="A32" workbookViewId="0">
      <selection activeCell="H58" sqref="H58"/>
    </sheetView>
  </sheetViews>
  <sheetFormatPr defaultRowHeight="15" x14ac:dyDescent="0.25"/>
  <cols>
    <col min="1" max="1" width="12.85546875" customWidth="1"/>
    <col min="2" max="2" width="13.85546875" customWidth="1"/>
    <col min="3" max="3" width="13.7109375" customWidth="1"/>
    <col min="5" max="5" width="46.7109375" customWidth="1"/>
    <col min="6" max="6" width="40.85546875" customWidth="1"/>
    <col min="7" max="7" width="15.7109375" customWidth="1"/>
  </cols>
  <sheetData>
    <row r="1" spans="1:8" x14ac:dyDescent="0.25">
      <c r="A1" t="s">
        <v>2</v>
      </c>
      <c r="B1" t="s">
        <v>260</v>
      </c>
      <c r="C1" t="s">
        <v>65</v>
      </c>
      <c r="D1" t="s">
        <v>62</v>
      </c>
      <c r="E1" t="s">
        <v>234</v>
      </c>
      <c r="F1" t="s">
        <v>235</v>
      </c>
      <c r="G1" t="s">
        <v>236</v>
      </c>
      <c r="H1" t="s">
        <v>124</v>
      </c>
    </row>
    <row r="2" spans="1:8" x14ac:dyDescent="0.25">
      <c r="A2" t="s">
        <v>52</v>
      </c>
      <c r="B2" t="s">
        <v>72</v>
      </c>
      <c r="C2" t="s">
        <v>58</v>
      </c>
      <c r="D2" t="s">
        <v>9</v>
      </c>
      <c r="E2">
        <v>0</v>
      </c>
      <c r="F2">
        <v>0</v>
      </c>
      <c r="G2">
        <f>IF(SUM(Table4[[#This Row],[1. Material is useful or partially useful with some comments for improvement]:[2. Publication of material not supported at all]])=0,1,0)</f>
        <v>1</v>
      </c>
      <c r="H2">
        <f>SUM(Table4[[#This Row],[1. Material is useful or partially useful with some comments for improvement]:[3. No comment]])</f>
        <v>1</v>
      </c>
    </row>
    <row r="3" spans="1:8" x14ac:dyDescent="0.25">
      <c r="A3" t="s">
        <v>56</v>
      </c>
      <c r="B3" t="s">
        <v>73</v>
      </c>
      <c r="C3" t="s">
        <v>34</v>
      </c>
      <c r="D3" t="s">
        <v>13</v>
      </c>
      <c r="E3">
        <v>1</v>
      </c>
      <c r="F3">
        <v>0</v>
      </c>
      <c r="G3">
        <f>IF(SUM(Table4[[#This Row],[1. Material is useful or partially useful with some comments for improvement]:[2. Publication of material not supported at all]])=0,1,0)</f>
        <v>0</v>
      </c>
      <c r="H3">
        <f>SUM(Table4[[#This Row],[1. Material is useful or partially useful with some comments for improvement]:[3. No comment]])</f>
        <v>1</v>
      </c>
    </row>
    <row r="4" spans="1:8" x14ac:dyDescent="0.25">
      <c r="A4" t="s">
        <v>49</v>
      </c>
      <c r="B4" t="s">
        <v>74</v>
      </c>
      <c r="C4" t="s">
        <v>34</v>
      </c>
      <c r="D4" t="s">
        <v>32</v>
      </c>
      <c r="E4">
        <v>1</v>
      </c>
      <c r="F4">
        <v>0</v>
      </c>
      <c r="G4">
        <f>IF(SUM(Table4[[#This Row],[1. Material is useful or partially useful with some comments for improvement]:[2. Publication of material not supported at all]])=0,1,0)</f>
        <v>0</v>
      </c>
      <c r="H4">
        <f>SUM(Table4[[#This Row],[1. Material is useful or partially useful with some comments for improvement]:[3. No comment]])</f>
        <v>1</v>
      </c>
    </row>
    <row r="5" spans="1:8" x14ac:dyDescent="0.25">
      <c r="A5" t="s">
        <v>48</v>
      </c>
      <c r="B5" t="s">
        <v>75</v>
      </c>
      <c r="C5" t="s">
        <v>64</v>
      </c>
      <c r="D5" t="s">
        <v>0</v>
      </c>
      <c r="E5">
        <v>1</v>
      </c>
      <c r="F5">
        <v>0</v>
      </c>
      <c r="G5">
        <f>IF(SUM(Table4[[#This Row],[1. Material is useful or partially useful with some comments for improvement]:[2. Publication of material not supported at all]])=0,1,0)</f>
        <v>0</v>
      </c>
      <c r="H5">
        <f>SUM(Table4[[#This Row],[1. Material is useful or partially useful with some comments for improvement]:[3. No comment]])</f>
        <v>1</v>
      </c>
    </row>
    <row r="6" spans="1:8" x14ac:dyDescent="0.25">
      <c r="A6" t="s">
        <v>22</v>
      </c>
      <c r="B6" t="s">
        <v>76</v>
      </c>
      <c r="C6" t="s">
        <v>64</v>
      </c>
      <c r="D6" t="s">
        <v>44</v>
      </c>
      <c r="E6">
        <v>1</v>
      </c>
      <c r="F6">
        <v>0</v>
      </c>
      <c r="G6">
        <f>IF(SUM(Table4[[#This Row],[1. Material is useful or partially useful with some comments for improvement]:[2. Publication of material not supported at all]])=0,1,0)</f>
        <v>0</v>
      </c>
      <c r="H6">
        <f>SUM(Table4[[#This Row],[1. Material is useful or partially useful with some comments for improvement]:[3. No comment]])</f>
        <v>1</v>
      </c>
    </row>
    <row r="7" spans="1:8" x14ac:dyDescent="0.25">
      <c r="A7" t="s">
        <v>16</v>
      </c>
      <c r="B7" t="s">
        <v>77</v>
      </c>
      <c r="C7" t="s">
        <v>64</v>
      </c>
      <c r="D7" t="s">
        <v>0</v>
      </c>
      <c r="E7">
        <v>1</v>
      </c>
      <c r="F7">
        <v>0</v>
      </c>
      <c r="G7">
        <f>IF(SUM(Table4[[#This Row],[1. Material is useful or partially useful with some comments for improvement]:[2. Publication of material not supported at all]])=0,1,0)</f>
        <v>0</v>
      </c>
      <c r="H7">
        <f>SUM(Table4[[#This Row],[1. Material is useful or partially useful with some comments for improvement]:[3. No comment]])</f>
        <v>1</v>
      </c>
    </row>
    <row r="8" spans="1:8" x14ac:dyDescent="0.25">
      <c r="A8" t="s">
        <v>5</v>
      </c>
      <c r="B8" t="s">
        <v>78</v>
      </c>
      <c r="C8" t="s">
        <v>64</v>
      </c>
      <c r="D8" t="s">
        <v>44</v>
      </c>
      <c r="E8">
        <v>1</v>
      </c>
      <c r="F8">
        <v>0</v>
      </c>
      <c r="G8">
        <f>IF(SUM(Table4[[#This Row],[1. Material is useful or partially useful with some comments for improvement]:[2. Publication of material not supported at all]])=0,1,0)</f>
        <v>0</v>
      </c>
      <c r="H8">
        <f>SUM(Table4[[#This Row],[1. Material is useful or partially useful with some comments for improvement]:[3. No comment]])</f>
        <v>1</v>
      </c>
    </row>
    <row r="9" spans="1:8" x14ac:dyDescent="0.25">
      <c r="A9" t="s">
        <v>23</v>
      </c>
      <c r="B9" t="s">
        <v>79</v>
      </c>
      <c r="C9" t="s">
        <v>64</v>
      </c>
      <c r="D9" t="s">
        <v>0</v>
      </c>
      <c r="E9">
        <v>1</v>
      </c>
      <c r="F9">
        <v>0</v>
      </c>
      <c r="G9">
        <f>IF(SUM(Table4[[#This Row],[1. Material is useful or partially useful with some comments for improvement]:[2. Publication of material not supported at all]])=0,1,0)</f>
        <v>0</v>
      </c>
      <c r="H9">
        <f>SUM(Table4[[#This Row],[1. Material is useful or partially useful with some comments for improvement]:[3. No comment]])</f>
        <v>1</v>
      </c>
    </row>
    <row r="10" spans="1:8" x14ac:dyDescent="0.25">
      <c r="A10" t="s">
        <v>33</v>
      </c>
      <c r="B10" t="s">
        <v>80</v>
      </c>
      <c r="C10" t="s">
        <v>64</v>
      </c>
      <c r="D10" t="s">
        <v>0</v>
      </c>
      <c r="E10">
        <v>1</v>
      </c>
      <c r="F10">
        <v>0</v>
      </c>
      <c r="G10">
        <f>IF(SUM(Table4[[#This Row],[1. Material is useful or partially useful with some comments for improvement]:[2. Publication of material not supported at all]])=0,1,0)</f>
        <v>0</v>
      </c>
      <c r="H10">
        <f>SUM(Table4[[#This Row],[1. Material is useful or partially useful with some comments for improvement]:[3. No comment]])</f>
        <v>1</v>
      </c>
    </row>
    <row r="11" spans="1:8" x14ac:dyDescent="0.25">
      <c r="A11" t="s">
        <v>46</v>
      </c>
      <c r="B11" t="s">
        <v>81</v>
      </c>
      <c r="C11" t="s">
        <v>64</v>
      </c>
      <c r="D11" t="s">
        <v>44</v>
      </c>
      <c r="E11">
        <v>1</v>
      </c>
      <c r="F11">
        <v>0</v>
      </c>
      <c r="G11">
        <f>IF(SUM(Table4[[#This Row],[1. Material is useful or partially useful with some comments for improvement]:[2. Publication of material not supported at all]])=0,1,0)</f>
        <v>0</v>
      </c>
      <c r="H11">
        <f>SUM(Table4[[#This Row],[1. Material is useful or partially useful with some comments for improvement]:[3. No comment]])</f>
        <v>1</v>
      </c>
    </row>
    <row r="12" spans="1:8" x14ac:dyDescent="0.25">
      <c r="A12" t="s">
        <v>61</v>
      </c>
      <c r="B12" t="s">
        <v>82</v>
      </c>
      <c r="C12" t="s">
        <v>64</v>
      </c>
      <c r="D12" t="s">
        <v>0</v>
      </c>
      <c r="E12">
        <v>1</v>
      </c>
      <c r="F12">
        <v>0</v>
      </c>
      <c r="G12">
        <f>IF(SUM(Table4[[#This Row],[1. Material is useful or partially useful with some comments for improvement]:[2. Publication of material not supported at all]])=0,1,0)</f>
        <v>0</v>
      </c>
      <c r="H12">
        <f>SUM(Table4[[#This Row],[1. Material is useful or partially useful with some comments for improvement]:[3. No comment]])</f>
        <v>1</v>
      </c>
    </row>
    <row r="13" spans="1:8" x14ac:dyDescent="0.25">
      <c r="A13" t="s">
        <v>55</v>
      </c>
      <c r="B13" t="s">
        <v>83</v>
      </c>
      <c r="C13" t="s">
        <v>57</v>
      </c>
      <c r="D13" t="s">
        <v>9</v>
      </c>
      <c r="E13">
        <v>1</v>
      </c>
      <c r="F13">
        <v>0</v>
      </c>
      <c r="G13">
        <f>IF(SUM(Table4[[#This Row],[1. Material is useful or partially useful with some comments for improvement]:[2. Publication of material not supported at all]])=0,1,0)</f>
        <v>0</v>
      </c>
      <c r="H13">
        <f>SUM(Table4[[#This Row],[1. Material is useful or partially useful with some comments for improvement]:[3. No comment]])</f>
        <v>1</v>
      </c>
    </row>
    <row r="14" spans="1:8" x14ac:dyDescent="0.25">
      <c r="A14" t="s">
        <v>36</v>
      </c>
      <c r="B14" t="s">
        <v>84</v>
      </c>
      <c r="C14" t="s">
        <v>57</v>
      </c>
      <c r="D14" t="s">
        <v>9</v>
      </c>
      <c r="E14">
        <v>1</v>
      </c>
      <c r="F14">
        <v>0</v>
      </c>
      <c r="G14">
        <f>IF(SUM(Table4[[#This Row],[1. Material is useful or partially useful with some comments for improvement]:[2. Publication of material not supported at all]])=0,1,0)</f>
        <v>0</v>
      </c>
      <c r="H14">
        <f>SUM(Table4[[#This Row],[1. Material is useful or partially useful with some comments for improvement]:[3. No comment]])</f>
        <v>1</v>
      </c>
    </row>
    <row r="15" spans="1:8" x14ac:dyDescent="0.25">
      <c r="A15" t="s">
        <v>11</v>
      </c>
      <c r="B15" t="s">
        <v>85</v>
      </c>
      <c r="C15" t="s">
        <v>57</v>
      </c>
      <c r="D15" t="s">
        <v>9</v>
      </c>
      <c r="E15">
        <v>1</v>
      </c>
      <c r="F15">
        <v>0</v>
      </c>
      <c r="G15">
        <f>IF(SUM(Table4[[#This Row],[1. Material is useful or partially useful with some comments for improvement]:[2. Publication of material not supported at all]])=0,1,0)</f>
        <v>0</v>
      </c>
      <c r="H15">
        <f>SUM(Table4[[#This Row],[1. Material is useful or partially useful with some comments for improvement]:[3. No comment]])</f>
        <v>1</v>
      </c>
    </row>
    <row r="16" spans="1:8" x14ac:dyDescent="0.25">
      <c r="A16" t="s">
        <v>50</v>
      </c>
      <c r="B16" t="s">
        <v>86</v>
      </c>
      <c r="C16" t="s">
        <v>57</v>
      </c>
      <c r="D16" t="s">
        <v>9</v>
      </c>
      <c r="E16">
        <v>1</v>
      </c>
      <c r="F16">
        <v>0</v>
      </c>
      <c r="G16">
        <f>IF(SUM(Table4[[#This Row],[1. Material is useful or partially useful with some comments for improvement]:[2. Publication of material not supported at all]])=0,1,0)</f>
        <v>0</v>
      </c>
      <c r="H16">
        <f>SUM(Table4[[#This Row],[1. Material is useful or partially useful with some comments for improvement]:[3. No comment]])</f>
        <v>1</v>
      </c>
    </row>
    <row r="17" spans="1:8" x14ac:dyDescent="0.25">
      <c r="A17" t="s">
        <v>40</v>
      </c>
      <c r="B17" t="s">
        <v>87</v>
      </c>
      <c r="C17" t="s">
        <v>57</v>
      </c>
      <c r="D17" t="s">
        <v>9</v>
      </c>
      <c r="E17">
        <v>0</v>
      </c>
      <c r="F17">
        <v>0</v>
      </c>
      <c r="G17">
        <f>IF(SUM(Table4[[#This Row],[1. Material is useful or partially useful with some comments for improvement]:[2. Publication of material not supported at all]])=0,1,0)</f>
        <v>1</v>
      </c>
      <c r="H17">
        <f>SUM(Table4[[#This Row],[1. Material is useful or partially useful with some comments for improvement]:[3. No comment]])</f>
        <v>1</v>
      </c>
    </row>
    <row r="18" spans="1:8" x14ac:dyDescent="0.25">
      <c r="A18" t="s">
        <v>63</v>
      </c>
      <c r="B18" t="s">
        <v>88</v>
      </c>
      <c r="C18" t="s">
        <v>57</v>
      </c>
      <c r="D18" t="s">
        <v>9</v>
      </c>
      <c r="E18">
        <v>1</v>
      </c>
      <c r="F18">
        <v>0</v>
      </c>
      <c r="G18">
        <f>IF(SUM(Table4[[#This Row],[1. Material is useful or partially useful with some comments for improvement]:[2. Publication of material not supported at all]])=0,1,0)</f>
        <v>0</v>
      </c>
      <c r="H18">
        <f>SUM(Table4[[#This Row],[1. Material is useful or partially useful with some comments for improvement]:[3. No comment]])</f>
        <v>1</v>
      </c>
    </row>
    <row r="19" spans="1:8" x14ac:dyDescent="0.25">
      <c r="A19" t="s">
        <v>54</v>
      </c>
      <c r="B19" t="s">
        <v>89</v>
      </c>
      <c r="C19" t="s">
        <v>57</v>
      </c>
      <c r="D19" t="s">
        <v>9</v>
      </c>
      <c r="E19">
        <v>1</v>
      </c>
      <c r="F19">
        <v>0</v>
      </c>
      <c r="G19">
        <f>IF(SUM(Table4[[#This Row],[1. Material is useful or partially useful with some comments for improvement]:[2. Publication of material not supported at all]])=0,1,0)</f>
        <v>0</v>
      </c>
      <c r="H19">
        <f>SUM(Table4[[#This Row],[1. Material is useful or partially useful with some comments for improvement]:[3. No comment]])</f>
        <v>1</v>
      </c>
    </row>
    <row r="20" spans="1:8" x14ac:dyDescent="0.25">
      <c r="A20" t="s">
        <v>41</v>
      </c>
      <c r="B20" t="s">
        <v>90</v>
      </c>
      <c r="C20" t="s">
        <v>57</v>
      </c>
      <c r="D20" t="s">
        <v>9</v>
      </c>
      <c r="E20">
        <v>1</v>
      </c>
      <c r="F20">
        <v>0</v>
      </c>
      <c r="G20">
        <f>IF(SUM(Table4[[#This Row],[1. Material is useful or partially useful with some comments for improvement]:[2. Publication of material not supported at all]])=0,1,0)</f>
        <v>0</v>
      </c>
      <c r="H20">
        <f>SUM(Table4[[#This Row],[1. Material is useful or partially useful with some comments for improvement]:[3. No comment]])</f>
        <v>1</v>
      </c>
    </row>
    <row r="21" spans="1:8" x14ac:dyDescent="0.25">
      <c r="A21" t="s">
        <v>29</v>
      </c>
      <c r="B21" t="s">
        <v>91</v>
      </c>
      <c r="C21" t="s">
        <v>21</v>
      </c>
      <c r="D21" t="s">
        <v>35</v>
      </c>
      <c r="E21">
        <v>1</v>
      </c>
      <c r="F21">
        <v>0</v>
      </c>
      <c r="G21">
        <f>IF(SUM(Table4[[#This Row],[1. Material is useful or partially useful with some comments for improvement]:[2. Publication of material not supported at all]])=0,1,0)</f>
        <v>0</v>
      </c>
      <c r="H21">
        <f>SUM(Table4[[#This Row],[1. Material is useful or partially useful with some comments for improvement]:[3. No comment]])</f>
        <v>1</v>
      </c>
    </row>
    <row r="22" spans="1:8" x14ac:dyDescent="0.25">
      <c r="A22" t="s">
        <v>26</v>
      </c>
      <c r="B22" t="s">
        <v>92</v>
      </c>
      <c r="C22" t="s">
        <v>30</v>
      </c>
      <c r="D22" t="s">
        <v>9</v>
      </c>
      <c r="E22">
        <v>1</v>
      </c>
      <c r="F22">
        <v>0</v>
      </c>
      <c r="G22">
        <f>IF(SUM(Table4[[#This Row],[1. Material is useful or partially useful with some comments for improvement]:[2. Publication of material not supported at all]])=0,1,0)</f>
        <v>0</v>
      </c>
      <c r="H22">
        <f>SUM(Table4[[#This Row],[1. Material is useful or partially useful with some comments for improvement]:[3. No comment]])</f>
        <v>1</v>
      </c>
    </row>
    <row r="23" spans="1:8" x14ac:dyDescent="0.25">
      <c r="A23" t="s">
        <v>10</v>
      </c>
      <c r="B23" t="s">
        <v>93</v>
      </c>
      <c r="C23" t="s">
        <v>30</v>
      </c>
      <c r="D23" t="s">
        <v>44</v>
      </c>
      <c r="E23">
        <v>1</v>
      </c>
      <c r="F23">
        <v>0</v>
      </c>
      <c r="G23">
        <f>IF(SUM(Table4[[#This Row],[1. Material is useful or partially useful with some comments for improvement]:[2. Publication of material not supported at all]])=0,1,0)</f>
        <v>0</v>
      </c>
      <c r="H23">
        <f>SUM(Table4[[#This Row],[1. Material is useful or partially useful with some comments for improvement]:[3. No comment]])</f>
        <v>1</v>
      </c>
    </row>
    <row r="24" spans="1:8" x14ac:dyDescent="0.25">
      <c r="A24" t="s">
        <v>67</v>
      </c>
      <c r="B24" t="s">
        <v>94</v>
      </c>
      <c r="C24" t="s">
        <v>30</v>
      </c>
      <c r="D24" t="s">
        <v>35</v>
      </c>
      <c r="E24">
        <v>1</v>
      </c>
      <c r="F24">
        <v>0</v>
      </c>
      <c r="G24">
        <f>IF(SUM(Table4[[#This Row],[1. Material is useful or partially useful with some comments for improvement]:[2. Publication of material not supported at all]])=0,1,0)</f>
        <v>0</v>
      </c>
      <c r="H24">
        <f>SUM(Table4[[#This Row],[1. Material is useful or partially useful with some comments for improvement]:[3. No comment]])</f>
        <v>1</v>
      </c>
    </row>
    <row r="25" spans="1:8" x14ac:dyDescent="0.25">
      <c r="A25" t="s">
        <v>12</v>
      </c>
      <c r="B25" t="s">
        <v>95</v>
      </c>
      <c r="C25" t="s">
        <v>30</v>
      </c>
      <c r="D25" t="s">
        <v>0</v>
      </c>
      <c r="E25">
        <v>0</v>
      </c>
      <c r="F25">
        <v>0</v>
      </c>
      <c r="G25">
        <f>IF(SUM(Table4[[#This Row],[1. Material is useful or partially useful with some comments for improvement]:[2. Publication of material not supported at all]])=0,1,0)</f>
        <v>1</v>
      </c>
      <c r="H25">
        <f>SUM(Table4[[#This Row],[1. Material is useful or partially useful with some comments for improvement]:[3. No comment]])</f>
        <v>1</v>
      </c>
    </row>
    <row r="26" spans="1:8" x14ac:dyDescent="0.25">
      <c r="A26" t="s">
        <v>15</v>
      </c>
      <c r="B26" t="s">
        <v>96</v>
      </c>
      <c r="C26" t="s">
        <v>30</v>
      </c>
      <c r="D26" t="s">
        <v>44</v>
      </c>
      <c r="E26">
        <v>1</v>
      </c>
      <c r="F26">
        <v>0</v>
      </c>
      <c r="G26">
        <f>IF(SUM(Table4[[#This Row],[1. Material is useful or partially useful with some comments for improvement]:[2. Publication of material not supported at all]])=0,1,0)</f>
        <v>0</v>
      </c>
      <c r="H26">
        <f>SUM(Table4[[#This Row],[1. Material is useful or partially useful with some comments for improvement]:[3. No comment]])</f>
        <v>1</v>
      </c>
    </row>
    <row r="27" spans="1:8" x14ac:dyDescent="0.25">
      <c r="A27" t="s">
        <v>28</v>
      </c>
      <c r="B27" t="s">
        <v>97</v>
      </c>
      <c r="C27" t="s">
        <v>30</v>
      </c>
      <c r="D27" t="s">
        <v>0</v>
      </c>
      <c r="E27">
        <v>1</v>
      </c>
      <c r="F27">
        <v>0</v>
      </c>
      <c r="G27">
        <f>IF(SUM(Table4[[#This Row],[1. Material is useful or partially useful with some comments for improvement]:[2. Publication of material not supported at all]])=0,1,0)</f>
        <v>0</v>
      </c>
      <c r="H27">
        <f>SUM(Table4[[#This Row],[1. Material is useful or partially useful with some comments for improvement]:[3. No comment]])</f>
        <v>1</v>
      </c>
    </row>
    <row r="28" spans="1:8" x14ac:dyDescent="0.25">
      <c r="A28" t="s">
        <v>25</v>
      </c>
      <c r="B28" t="s">
        <v>98</v>
      </c>
      <c r="C28" t="s">
        <v>30</v>
      </c>
      <c r="D28" t="s">
        <v>35</v>
      </c>
      <c r="E28">
        <v>0</v>
      </c>
      <c r="F28">
        <v>0</v>
      </c>
      <c r="G28">
        <f>IF(SUM(Table4[[#This Row],[1. Material is useful or partially useful with some comments for improvement]:[2. Publication of material not supported at all]])=0,1,0)</f>
        <v>1</v>
      </c>
      <c r="H28">
        <f>SUM(Table4[[#This Row],[1. Material is useful or partially useful with some comments for improvement]:[3. No comment]])</f>
        <v>1</v>
      </c>
    </row>
    <row r="29" spans="1:8" x14ac:dyDescent="0.25">
      <c r="A29" t="s">
        <v>6</v>
      </c>
      <c r="B29" t="s">
        <v>99</v>
      </c>
      <c r="C29" t="s">
        <v>30</v>
      </c>
      <c r="D29" t="s">
        <v>44</v>
      </c>
      <c r="E29">
        <v>1</v>
      </c>
      <c r="F29">
        <v>0</v>
      </c>
      <c r="G29">
        <f>IF(SUM(Table4[[#This Row],[1. Material is useful or partially useful with some comments for improvement]:[2. Publication of material not supported at all]])=0,1,0)</f>
        <v>0</v>
      </c>
      <c r="H29">
        <f>SUM(Table4[[#This Row],[1. Material is useful or partially useful with some comments for improvement]:[3. No comment]])</f>
        <v>1</v>
      </c>
    </row>
    <row r="30" spans="1:8" x14ac:dyDescent="0.25">
      <c r="A30" t="s">
        <v>42</v>
      </c>
      <c r="B30" t="s">
        <v>100</v>
      </c>
      <c r="C30" t="s">
        <v>30</v>
      </c>
      <c r="D30" t="s">
        <v>13</v>
      </c>
      <c r="E30">
        <v>1</v>
      </c>
      <c r="F30">
        <v>0</v>
      </c>
      <c r="G30">
        <f>IF(SUM(Table4[[#This Row],[1. Material is useful or partially useful with some comments for improvement]:[2. Publication of material not supported at all]])=0,1,0)</f>
        <v>0</v>
      </c>
      <c r="H30">
        <f>SUM(Table4[[#This Row],[1. Material is useful or partially useful with some comments for improvement]:[3. No comment]])</f>
        <v>1</v>
      </c>
    </row>
    <row r="31" spans="1:8" x14ac:dyDescent="0.25">
      <c r="A31" t="s">
        <v>19</v>
      </c>
      <c r="B31" t="s">
        <v>101</v>
      </c>
      <c r="C31" t="s">
        <v>30</v>
      </c>
      <c r="D31" t="s">
        <v>44</v>
      </c>
      <c r="E31">
        <v>0</v>
      </c>
      <c r="F31">
        <v>0</v>
      </c>
      <c r="G31">
        <f>IF(SUM(Table4[[#This Row],[1. Material is useful or partially useful with some comments for improvement]:[2. Publication of material not supported at all]])=0,1,0)</f>
        <v>1</v>
      </c>
      <c r="H31">
        <f>SUM(Table4[[#This Row],[1. Material is useful or partially useful with some comments for improvement]:[3. No comment]])</f>
        <v>1</v>
      </c>
    </row>
    <row r="32" spans="1:8" x14ac:dyDescent="0.25">
      <c r="A32" t="s">
        <v>66</v>
      </c>
      <c r="B32" t="s">
        <v>102</v>
      </c>
      <c r="C32" t="s">
        <v>30</v>
      </c>
      <c r="D32" t="s">
        <v>44</v>
      </c>
      <c r="E32">
        <v>1</v>
      </c>
      <c r="F32">
        <v>0</v>
      </c>
      <c r="G32">
        <f>IF(SUM(Table4[[#This Row],[1. Material is useful or partially useful with some comments for improvement]:[2. Publication of material not supported at all]])=0,1,0)</f>
        <v>0</v>
      </c>
      <c r="H32">
        <f>SUM(Table4[[#This Row],[1. Material is useful or partially useful with some comments for improvement]:[3. No comment]])</f>
        <v>1</v>
      </c>
    </row>
    <row r="33" spans="1:8" x14ac:dyDescent="0.25">
      <c r="A33" t="s">
        <v>17</v>
      </c>
      <c r="B33" t="s">
        <v>103</v>
      </c>
      <c r="C33" t="s">
        <v>30</v>
      </c>
      <c r="D33" t="s">
        <v>9</v>
      </c>
      <c r="E33">
        <v>1</v>
      </c>
      <c r="F33">
        <v>0</v>
      </c>
      <c r="G33">
        <f>IF(SUM(Table4[[#This Row],[1. Material is useful or partially useful with some comments for improvement]:[2. Publication of material not supported at all]])=0,1,0)</f>
        <v>0</v>
      </c>
      <c r="H33">
        <f>SUM(Table4[[#This Row],[1. Material is useful or partially useful with some comments for improvement]:[3. No comment]])</f>
        <v>1</v>
      </c>
    </row>
    <row r="34" spans="1:8" x14ac:dyDescent="0.25">
      <c r="A34" t="s">
        <v>24</v>
      </c>
      <c r="B34" t="s">
        <v>104</v>
      </c>
      <c r="C34" t="s">
        <v>30</v>
      </c>
      <c r="D34" t="s">
        <v>13</v>
      </c>
      <c r="E34">
        <v>1</v>
      </c>
      <c r="F34">
        <v>0</v>
      </c>
      <c r="G34">
        <f>IF(SUM(Table4[[#This Row],[1. Material is useful or partially useful with some comments for improvement]:[2. Publication of material not supported at all]])=0,1,0)</f>
        <v>0</v>
      </c>
      <c r="H34">
        <f>SUM(Table4[[#This Row],[1. Material is useful or partially useful with some comments for improvement]:[3. No comment]])</f>
        <v>1</v>
      </c>
    </row>
    <row r="35" spans="1:8" x14ac:dyDescent="0.25">
      <c r="A35" t="s">
        <v>51</v>
      </c>
      <c r="B35" t="s">
        <v>105</v>
      </c>
      <c r="C35" t="s">
        <v>30</v>
      </c>
      <c r="D35" t="s">
        <v>9</v>
      </c>
      <c r="E35">
        <v>0</v>
      </c>
      <c r="F35">
        <v>0</v>
      </c>
      <c r="G35">
        <f>IF(SUM(Table4[[#This Row],[1. Material is useful or partially useful with some comments for improvement]:[2. Publication of material not supported at all]])=0,1,0)</f>
        <v>1</v>
      </c>
      <c r="H35">
        <f>SUM(Table4[[#This Row],[1. Material is useful or partially useful with some comments for improvement]:[3. No comment]])</f>
        <v>1</v>
      </c>
    </row>
    <row r="36" spans="1:8" x14ac:dyDescent="0.25">
      <c r="A36" t="s">
        <v>53</v>
      </c>
      <c r="B36" t="s">
        <v>106</v>
      </c>
      <c r="C36" t="s">
        <v>30</v>
      </c>
      <c r="D36" t="s">
        <v>9</v>
      </c>
      <c r="E36">
        <v>0</v>
      </c>
      <c r="F36">
        <v>0</v>
      </c>
      <c r="G36">
        <f>IF(SUM(Table4[[#This Row],[1. Material is useful or partially useful with some comments for improvement]:[2. Publication of material not supported at all]])=0,1,0)</f>
        <v>1</v>
      </c>
      <c r="H36">
        <f>SUM(Table4[[#This Row],[1. Material is useful or partially useful with some comments for improvement]:[3. No comment]])</f>
        <v>1</v>
      </c>
    </row>
    <row r="37" spans="1:8" x14ac:dyDescent="0.25">
      <c r="A37" t="s">
        <v>1</v>
      </c>
      <c r="B37" t="s">
        <v>107</v>
      </c>
      <c r="C37" t="s">
        <v>30</v>
      </c>
      <c r="D37" t="s">
        <v>44</v>
      </c>
      <c r="E37">
        <v>1</v>
      </c>
      <c r="F37">
        <v>0</v>
      </c>
      <c r="G37">
        <f>IF(SUM(Table4[[#This Row],[1. Material is useful or partially useful with some comments for improvement]:[2. Publication of material not supported at all]])=0,1,0)</f>
        <v>0</v>
      </c>
      <c r="H37">
        <f>SUM(Table4[[#This Row],[1. Material is useful or partially useful with some comments for improvement]:[3. No comment]])</f>
        <v>1</v>
      </c>
    </row>
    <row r="38" spans="1:8" x14ac:dyDescent="0.25">
      <c r="A38" t="s">
        <v>4</v>
      </c>
      <c r="B38" t="s">
        <v>108</v>
      </c>
      <c r="C38" t="s">
        <v>30</v>
      </c>
      <c r="D38" t="s">
        <v>32</v>
      </c>
      <c r="E38">
        <v>1</v>
      </c>
      <c r="F38">
        <v>0</v>
      </c>
      <c r="G38">
        <f>IF(SUM(Table4[[#This Row],[1. Material is useful or partially useful with some comments for improvement]:[2. Publication of material not supported at all]])=0,1,0)</f>
        <v>0</v>
      </c>
      <c r="H38">
        <f>SUM(Table4[[#This Row],[1. Material is useful or partially useful with some comments for improvement]:[3. No comment]])</f>
        <v>1</v>
      </c>
    </row>
    <row r="39" spans="1:8" x14ac:dyDescent="0.25">
      <c r="A39" t="s">
        <v>7</v>
      </c>
      <c r="B39" t="s">
        <v>109</v>
      </c>
      <c r="C39" t="s">
        <v>30</v>
      </c>
      <c r="D39" t="s">
        <v>44</v>
      </c>
      <c r="E39">
        <v>1</v>
      </c>
      <c r="F39">
        <v>0</v>
      </c>
      <c r="G39">
        <f>IF(SUM(Table4[[#This Row],[1. Material is useful or partially useful with some comments for improvement]:[2. Publication of material not supported at all]])=0,1,0)</f>
        <v>0</v>
      </c>
      <c r="H39">
        <f>SUM(Table4[[#This Row],[1. Material is useful or partially useful with some comments for improvement]:[3. No comment]])</f>
        <v>1</v>
      </c>
    </row>
    <row r="40" spans="1:8" x14ac:dyDescent="0.25">
      <c r="A40" t="s">
        <v>20</v>
      </c>
      <c r="B40" t="s">
        <v>110</v>
      </c>
      <c r="C40" t="s">
        <v>30</v>
      </c>
      <c r="D40" t="s">
        <v>32</v>
      </c>
      <c r="E40">
        <v>1</v>
      </c>
      <c r="F40">
        <v>0</v>
      </c>
      <c r="G40">
        <f>IF(SUM(Table4[[#This Row],[1. Material is useful or partially useful with some comments for improvement]:[2. Publication of material not supported at all]])=0,1,0)</f>
        <v>0</v>
      </c>
      <c r="H40">
        <f>SUM(Table4[[#This Row],[1. Material is useful or partially useful with some comments for improvement]:[3. No comment]])</f>
        <v>1</v>
      </c>
    </row>
    <row r="41" spans="1:8" x14ac:dyDescent="0.25">
      <c r="A41" t="s">
        <v>38</v>
      </c>
      <c r="B41" t="s">
        <v>111</v>
      </c>
      <c r="C41" t="s">
        <v>30</v>
      </c>
      <c r="D41" t="s">
        <v>0</v>
      </c>
      <c r="E41">
        <v>1</v>
      </c>
      <c r="F41">
        <v>0</v>
      </c>
      <c r="G41">
        <f>IF(SUM(Table4[[#This Row],[1. Material is useful or partially useful with some comments for improvement]:[2. Publication of material not supported at all]])=0,1,0)</f>
        <v>0</v>
      </c>
      <c r="H41">
        <f>SUM(Table4[[#This Row],[1. Material is useful or partially useful with some comments for improvement]:[3. No comment]])</f>
        <v>1</v>
      </c>
    </row>
    <row r="42" spans="1:8" x14ac:dyDescent="0.25">
      <c r="A42" t="s">
        <v>18</v>
      </c>
      <c r="B42" t="s">
        <v>112</v>
      </c>
      <c r="C42" t="s">
        <v>30</v>
      </c>
      <c r="D42" t="s">
        <v>0</v>
      </c>
      <c r="E42">
        <v>0</v>
      </c>
      <c r="F42">
        <v>0</v>
      </c>
      <c r="G42">
        <f>IF(SUM(Table4[[#This Row],[1. Material is useful or partially useful with some comments for improvement]:[2. Publication of material not supported at all]])=0,1,0)</f>
        <v>1</v>
      </c>
      <c r="H42">
        <f>SUM(Table4[[#This Row],[1. Material is useful or partially useful with some comments for improvement]:[3. No comment]])</f>
        <v>1</v>
      </c>
    </row>
    <row r="43" spans="1:8" x14ac:dyDescent="0.25">
      <c r="A43" t="s">
        <v>68</v>
      </c>
      <c r="B43" t="s">
        <v>113</v>
      </c>
      <c r="C43" t="s">
        <v>30</v>
      </c>
      <c r="D43" t="s">
        <v>0</v>
      </c>
      <c r="E43">
        <v>1</v>
      </c>
      <c r="F43">
        <v>0</v>
      </c>
      <c r="G43">
        <f>IF(SUM(Table4[[#This Row],[1. Material is useful or partially useful with some comments for improvement]:[2. Publication of material not supported at all]])=0,1,0)</f>
        <v>0</v>
      </c>
      <c r="H43">
        <f>SUM(Table4[[#This Row],[1. Material is useful or partially useful with some comments for improvement]:[3. No comment]])</f>
        <v>1</v>
      </c>
    </row>
    <row r="44" spans="1:8" x14ac:dyDescent="0.25">
      <c r="A44" t="s">
        <v>27</v>
      </c>
      <c r="B44" t="s">
        <v>114</v>
      </c>
      <c r="C44" t="s">
        <v>30</v>
      </c>
      <c r="D44" t="s">
        <v>35</v>
      </c>
      <c r="E44">
        <v>1</v>
      </c>
      <c r="F44">
        <v>0</v>
      </c>
      <c r="G44">
        <f>IF(SUM(Table4[[#This Row],[1. Material is useful or partially useful with some comments for improvement]:[2. Publication of material not supported at all]])=0,1,0)</f>
        <v>0</v>
      </c>
      <c r="H44">
        <f>SUM(Table4[[#This Row],[1. Material is useful or partially useful with some comments for improvement]:[3. No comment]])</f>
        <v>1</v>
      </c>
    </row>
    <row r="45" spans="1:8" x14ac:dyDescent="0.25">
      <c r="A45" t="s">
        <v>37</v>
      </c>
      <c r="B45" t="s">
        <v>115</v>
      </c>
      <c r="C45" t="s">
        <v>30</v>
      </c>
      <c r="D45" t="s">
        <v>9</v>
      </c>
      <c r="E45">
        <v>1</v>
      </c>
      <c r="F45">
        <v>0</v>
      </c>
      <c r="G45">
        <f>IF(SUM(Table4[[#This Row],[1. Material is useful or partially useful with some comments for improvement]:[2. Publication of material not supported at all]])=0,1,0)</f>
        <v>0</v>
      </c>
      <c r="H45">
        <f>SUM(Table4[[#This Row],[1. Material is useful or partially useful with some comments for improvement]:[3. No comment]])</f>
        <v>1</v>
      </c>
    </row>
    <row r="46" spans="1:8" x14ac:dyDescent="0.25">
      <c r="A46" t="s">
        <v>60</v>
      </c>
      <c r="B46" t="s">
        <v>116</v>
      </c>
      <c r="C46" t="s">
        <v>30</v>
      </c>
      <c r="D46" t="s">
        <v>32</v>
      </c>
      <c r="E46">
        <v>1</v>
      </c>
      <c r="F46">
        <v>0</v>
      </c>
      <c r="G46">
        <f>IF(SUM(Table4[[#This Row],[1. Material is useful or partially useful with some comments for improvement]:[2. Publication of material not supported at all]])=0,1,0)</f>
        <v>0</v>
      </c>
      <c r="H46">
        <f>SUM(Table4[[#This Row],[1. Material is useful or partially useful with some comments for improvement]:[3. No comment]])</f>
        <v>1</v>
      </c>
    </row>
    <row r="47" spans="1:8" x14ac:dyDescent="0.25">
      <c r="A47" t="s">
        <v>59</v>
      </c>
      <c r="B47" t="s">
        <v>117</v>
      </c>
      <c r="C47" t="s">
        <v>30</v>
      </c>
      <c r="D47" t="s">
        <v>9</v>
      </c>
      <c r="E47">
        <v>0</v>
      </c>
      <c r="F47">
        <v>0</v>
      </c>
      <c r="G47">
        <f>IF(SUM(Table4[[#This Row],[1. Material is useful or partially useful with some comments for improvement]:[2. Publication of material not supported at all]])=0,1,0)</f>
        <v>1</v>
      </c>
      <c r="H47">
        <f>SUM(Table4[[#This Row],[1. Material is useful or partially useful with some comments for improvement]:[3. No comment]])</f>
        <v>1</v>
      </c>
    </row>
    <row r="48" spans="1:8" x14ac:dyDescent="0.25">
      <c r="A48" t="s">
        <v>31</v>
      </c>
      <c r="B48" t="s">
        <v>118</v>
      </c>
      <c r="C48" t="s">
        <v>30</v>
      </c>
      <c r="D48" t="s">
        <v>9</v>
      </c>
      <c r="E48">
        <v>0</v>
      </c>
      <c r="F48">
        <v>0</v>
      </c>
      <c r="G48">
        <f>IF(SUM(Table4[[#This Row],[1. Material is useful or partially useful with some comments for improvement]:[2. Publication of material not supported at all]])=0,1,0)</f>
        <v>1</v>
      </c>
      <c r="H48">
        <f>SUM(Table4[[#This Row],[1. Material is useful or partially useful with some comments for improvement]:[3. No comment]])</f>
        <v>1</v>
      </c>
    </row>
    <row r="49" spans="1:8" x14ac:dyDescent="0.25">
      <c r="A49" t="s">
        <v>14</v>
      </c>
      <c r="B49" t="s">
        <v>119</v>
      </c>
      <c r="C49" t="s">
        <v>30</v>
      </c>
      <c r="D49" t="s">
        <v>44</v>
      </c>
      <c r="E49">
        <v>0</v>
      </c>
      <c r="F49">
        <v>1</v>
      </c>
      <c r="G49">
        <f>IF(SUM(Table4[[#This Row],[1. Material is useful or partially useful with some comments for improvement]:[2. Publication of material not supported at all]])=0,1,0)</f>
        <v>0</v>
      </c>
      <c r="H49">
        <f>SUM(Table4[[#This Row],[1. Material is useful or partially useful with some comments for improvement]:[3. No comment]])</f>
        <v>1</v>
      </c>
    </row>
    <row r="50" spans="1:8" x14ac:dyDescent="0.25">
      <c r="A50" t="s">
        <v>47</v>
      </c>
      <c r="B50" t="s">
        <v>120</v>
      </c>
      <c r="C50" t="s">
        <v>3</v>
      </c>
      <c r="D50" t="s">
        <v>0</v>
      </c>
      <c r="E50">
        <v>0</v>
      </c>
      <c r="F50">
        <v>0</v>
      </c>
      <c r="G50">
        <f>IF(SUM(Table4[[#This Row],[1. Material is useful or partially useful with some comments for improvement]:[2. Publication of material not supported at all]])=0,1,0)</f>
        <v>1</v>
      </c>
      <c r="H50">
        <f>SUM(Table4[[#This Row],[1. Material is useful or partially useful with some comments for improvement]:[3. No comment]])</f>
        <v>1</v>
      </c>
    </row>
    <row r="51" spans="1:8" x14ac:dyDescent="0.25">
      <c r="A51" t="s">
        <v>8</v>
      </c>
      <c r="B51" t="s">
        <v>121</v>
      </c>
      <c r="C51" t="s">
        <v>39</v>
      </c>
      <c r="D51" t="s">
        <v>44</v>
      </c>
      <c r="E51">
        <v>0</v>
      </c>
      <c r="F51">
        <v>0</v>
      </c>
      <c r="G51">
        <f>IF(SUM(Table4[[#This Row],[1. Material is useful or partially useful with some comments for improvement]:[2. Publication of material not supported at all]])=0,1,0)</f>
        <v>1</v>
      </c>
      <c r="H51">
        <f>SUM(Table4[[#This Row],[1. Material is useful or partially useful with some comments for improvement]:[3. No comment]])</f>
        <v>1</v>
      </c>
    </row>
    <row r="52" spans="1:8" x14ac:dyDescent="0.25">
      <c r="A52" t="s">
        <v>43</v>
      </c>
      <c r="B52" t="s">
        <v>122</v>
      </c>
      <c r="C52" t="s">
        <v>39</v>
      </c>
      <c r="D52" t="s">
        <v>32</v>
      </c>
      <c r="E52">
        <v>1</v>
      </c>
      <c r="F52">
        <v>0</v>
      </c>
      <c r="G52">
        <f>IF(SUM(Table4[[#This Row],[1. Material is useful or partially useful with some comments for improvement]:[2. Publication of material not supported at all]])=0,1,0)</f>
        <v>0</v>
      </c>
      <c r="H52">
        <f>SUM(Table4[[#This Row],[1. Material is useful or partially useful with some comments for improvement]:[3. No comment]])</f>
        <v>1</v>
      </c>
    </row>
    <row r="53" spans="1:8" x14ac:dyDescent="0.25">
      <c r="A53" t="s">
        <v>45</v>
      </c>
      <c r="B53" t="s">
        <v>123</v>
      </c>
      <c r="C53" t="s">
        <v>39</v>
      </c>
      <c r="D53" t="s">
        <v>35</v>
      </c>
      <c r="E53">
        <v>1</v>
      </c>
      <c r="F53">
        <v>0</v>
      </c>
      <c r="G53">
        <f>IF(SUM(Table4[[#This Row],[1. Material is useful or partially useful with some comments for improvement]:[2. Publication of material not supported at all]])=0,1,0)</f>
        <v>0</v>
      </c>
      <c r="H53">
        <f>SUM(Table4[[#This Row],[1. Material is useful or partially useful with some comments for improvement]:[3. No comment]])</f>
        <v>1</v>
      </c>
    </row>
    <row r="55" spans="1:8" x14ac:dyDescent="0.25">
      <c r="E55">
        <f>SUM(Table4[1. Material is useful or partially useful with some comments for improvement])</f>
        <v>39</v>
      </c>
      <c r="F55">
        <f>SUM(Table4[2. Publication of material not supported at all])</f>
        <v>1</v>
      </c>
      <c r="G55">
        <f>SUM(Table4[3. No comment])</f>
        <v>12</v>
      </c>
      <c r="H55">
        <f>SUM(Table4[Total])</f>
        <v>52</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CA5BA-ABFB-4B8D-8E4D-01277ACB7219}">
  <dimension ref="A1:H2"/>
  <sheetViews>
    <sheetView workbookViewId="0">
      <selection sqref="A1:H2"/>
    </sheetView>
  </sheetViews>
  <sheetFormatPr defaultRowHeight="15" x14ac:dyDescent="0.25"/>
  <cols>
    <col min="1" max="1" width="13" customWidth="1"/>
    <col min="2" max="2" width="14" customWidth="1"/>
    <col min="3" max="3" width="13.7109375" customWidth="1"/>
    <col min="5" max="5" width="57.140625" customWidth="1"/>
    <col min="6" max="6" width="40.7109375" customWidth="1"/>
    <col min="7" max="7" width="15.85546875" customWidth="1"/>
  </cols>
  <sheetData>
    <row r="1" spans="1:8" x14ac:dyDescent="0.25">
      <c r="A1" t="s">
        <v>2</v>
      </c>
      <c r="B1" t="s">
        <v>260</v>
      </c>
      <c r="C1" t="s">
        <v>65</v>
      </c>
      <c r="D1" t="s">
        <v>62</v>
      </c>
      <c r="E1" t="s">
        <v>234</v>
      </c>
      <c r="F1" t="s">
        <v>235</v>
      </c>
      <c r="G1" t="s">
        <v>236</v>
      </c>
      <c r="H1" t="s">
        <v>124</v>
      </c>
    </row>
    <row r="2" spans="1:8" x14ac:dyDescent="0.25">
      <c r="A2" t="s">
        <v>68</v>
      </c>
      <c r="B2" t="s">
        <v>113</v>
      </c>
      <c r="C2" t="s">
        <v>30</v>
      </c>
      <c r="D2" t="s">
        <v>0</v>
      </c>
      <c r="E2">
        <v>0</v>
      </c>
      <c r="F2">
        <v>0</v>
      </c>
      <c r="G2">
        <v>1</v>
      </c>
      <c r="H2">
        <v>1</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F17AA-FC8D-4AC7-A439-C5B66AC182AF}">
  <dimension ref="A1:J75"/>
  <sheetViews>
    <sheetView view="pageBreakPreview" zoomScale="80" zoomScaleNormal="80" zoomScaleSheetLayoutView="80" workbookViewId="0">
      <selection activeCell="A7" sqref="A7:A11"/>
    </sheetView>
  </sheetViews>
  <sheetFormatPr defaultColWidth="8.85546875" defaultRowHeight="12.75" x14ac:dyDescent="0.2"/>
  <cols>
    <col min="1" max="1" width="59.7109375" style="18" bestFit="1" customWidth="1"/>
    <col min="2" max="2" width="25.7109375" style="18" bestFit="1" customWidth="1"/>
    <col min="3" max="3" width="24.28515625" style="18" bestFit="1" customWidth="1"/>
    <col min="4" max="4" width="23.85546875" style="18" bestFit="1" customWidth="1"/>
    <col min="5" max="5" width="13.5703125" style="18" bestFit="1" customWidth="1"/>
    <col min="6" max="16384" width="8.85546875" style="18"/>
  </cols>
  <sheetData>
    <row r="1" spans="1:10" x14ac:dyDescent="0.2">
      <c r="A1" s="77" t="s">
        <v>263</v>
      </c>
      <c r="B1" s="77"/>
      <c r="C1" s="77"/>
      <c r="D1" s="77"/>
      <c r="E1" s="68" t="s">
        <v>273</v>
      </c>
      <c r="F1" s="66"/>
      <c r="H1" s="67"/>
    </row>
    <row r="2" spans="1:10" x14ac:dyDescent="0.2">
      <c r="A2" s="69" t="s">
        <v>264</v>
      </c>
      <c r="B2" s="69"/>
      <c r="C2" s="69"/>
      <c r="D2" s="69"/>
      <c r="E2" s="69"/>
      <c r="F2" s="69"/>
      <c r="G2" s="69"/>
      <c r="H2" s="69"/>
      <c r="I2" s="69"/>
      <c r="J2" s="69"/>
    </row>
    <row r="3" spans="1:10" ht="13.15" customHeight="1" x14ac:dyDescent="0.2">
      <c r="A3" s="69"/>
      <c r="B3" s="69"/>
      <c r="C3" s="69"/>
      <c r="D3" s="69"/>
      <c r="E3" s="69"/>
      <c r="G3" s="69"/>
      <c r="H3" s="69"/>
      <c r="I3" s="69"/>
      <c r="J3" s="69"/>
    </row>
    <row r="4" spans="1:10" x14ac:dyDescent="0.2">
      <c r="A4" s="28" t="s">
        <v>271</v>
      </c>
      <c r="B4" s="29"/>
      <c r="C4" s="29"/>
      <c r="D4" s="29"/>
      <c r="E4" s="30"/>
    </row>
    <row r="5" spans="1:10" ht="35.25" customHeight="1" x14ac:dyDescent="0.2">
      <c r="A5" s="81" t="s">
        <v>272</v>
      </c>
      <c r="B5" s="82"/>
      <c r="C5" s="82"/>
      <c r="D5" s="82"/>
      <c r="E5" s="83"/>
    </row>
    <row r="6" spans="1:10" s="16" customFormat="1" x14ac:dyDescent="0.2">
      <c r="A6" s="22"/>
      <c r="B6" s="22"/>
      <c r="C6" s="22"/>
      <c r="D6" s="22"/>
      <c r="E6" s="22"/>
      <c r="F6" s="18"/>
      <c r="G6" s="22"/>
      <c r="H6" s="22"/>
      <c r="I6" s="22"/>
      <c r="J6" s="22"/>
    </row>
    <row r="7" spans="1:10" s="16" customFormat="1" x14ac:dyDescent="0.2">
      <c r="A7" s="7" t="s">
        <v>300</v>
      </c>
      <c r="B7" s="22"/>
      <c r="C7" s="22"/>
      <c r="D7" s="22"/>
      <c r="E7" s="22"/>
      <c r="F7" s="18"/>
      <c r="G7" s="22"/>
      <c r="H7" s="22"/>
      <c r="I7" s="22"/>
      <c r="J7" s="22"/>
    </row>
    <row r="8" spans="1:10" s="16" customFormat="1" x14ac:dyDescent="0.2">
      <c r="A8" s="55" t="s">
        <v>301</v>
      </c>
      <c r="B8" s="22"/>
      <c r="C8" s="22"/>
      <c r="D8" s="22"/>
      <c r="E8" s="22"/>
      <c r="F8" s="18"/>
      <c r="G8" s="22"/>
      <c r="H8" s="22"/>
      <c r="I8" s="22"/>
      <c r="J8" s="22"/>
    </row>
    <row r="9" spans="1:10" s="16" customFormat="1" x14ac:dyDescent="0.2">
      <c r="A9" s="56" t="s">
        <v>302</v>
      </c>
      <c r="B9" s="22"/>
      <c r="C9" s="22"/>
      <c r="D9" s="22"/>
      <c r="E9" s="22"/>
      <c r="F9" s="18"/>
      <c r="G9" s="22"/>
      <c r="H9" s="22"/>
      <c r="I9" s="22"/>
      <c r="J9" s="22"/>
    </row>
    <row r="10" spans="1:10" s="16" customFormat="1" x14ac:dyDescent="0.2">
      <c r="A10" s="57" t="s">
        <v>303</v>
      </c>
      <c r="B10" s="22"/>
      <c r="C10" s="22"/>
      <c r="D10" s="22"/>
      <c r="E10" s="22"/>
      <c r="F10" s="18"/>
      <c r="G10" s="22"/>
      <c r="H10" s="22"/>
      <c r="I10" s="22"/>
      <c r="J10" s="22"/>
    </row>
    <row r="11" spans="1:10" s="16" customFormat="1" ht="25.5" x14ac:dyDescent="0.2">
      <c r="A11" s="72" t="s">
        <v>304</v>
      </c>
      <c r="B11" s="22"/>
      <c r="C11" s="22"/>
      <c r="D11" s="22"/>
      <c r="E11" s="22"/>
      <c r="F11" s="18"/>
      <c r="G11" s="22"/>
      <c r="H11" s="22"/>
      <c r="I11" s="22"/>
      <c r="J11" s="22"/>
    </row>
    <row r="12" spans="1:10" s="16" customFormat="1" x14ac:dyDescent="0.2">
      <c r="A12" s="31"/>
      <c r="B12" s="22"/>
      <c r="C12" s="22"/>
      <c r="D12" s="22"/>
      <c r="E12" s="22"/>
      <c r="G12" s="22"/>
      <c r="H12" s="22"/>
      <c r="I12" s="22"/>
      <c r="J12" s="22"/>
    </row>
    <row r="13" spans="1:10" s="16" customFormat="1" x14ac:dyDescent="0.2">
      <c r="A13" s="22"/>
      <c r="B13" s="22"/>
      <c r="C13" s="22"/>
      <c r="D13" s="22"/>
      <c r="E13" s="22"/>
      <c r="F13" s="18"/>
      <c r="G13" s="22"/>
      <c r="H13" s="22"/>
      <c r="I13" s="22"/>
      <c r="J13" s="22"/>
    </row>
    <row r="14" spans="1:10" s="2" customFormat="1" ht="62.25" customHeight="1" x14ac:dyDescent="0.2">
      <c r="A14" s="41" t="s">
        <v>2</v>
      </c>
      <c r="B14" s="49" t="s">
        <v>237</v>
      </c>
      <c r="C14" s="50" t="s">
        <v>238</v>
      </c>
      <c r="D14" s="51" t="s">
        <v>239</v>
      </c>
      <c r="E14" s="54" t="s">
        <v>129</v>
      </c>
    </row>
    <row r="15" spans="1:10" x14ac:dyDescent="0.2">
      <c r="A15" s="43" t="s">
        <v>58</v>
      </c>
      <c r="B15" s="44">
        <v>0</v>
      </c>
      <c r="C15" s="44">
        <v>0</v>
      </c>
      <c r="D15" s="44">
        <v>1</v>
      </c>
      <c r="E15" s="44">
        <v>1</v>
      </c>
    </row>
    <row r="16" spans="1:10" x14ac:dyDescent="0.2">
      <c r="A16" s="43" t="s">
        <v>34</v>
      </c>
      <c r="B16" s="44">
        <v>2</v>
      </c>
      <c r="C16" s="44">
        <v>0</v>
      </c>
      <c r="D16" s="44">
        <v>0</v>
      </c>
      <c r="E16" s="44">
        <v>2</v>
      </c>
    </row>
    <row r="17" spans="1:5" x14ac:dyDescent="0.2">
      <c r="A17" s="43" t="s">
        <v>64</v>
      </c>
      <c r="B17" s="44">
        <v>8</v>
      </c>
      <c r="C17" s="44">
        <v>0</v>
      </c>
      <c r="D17" s="44">
        <v>0</v>
      </c>
      <c r="E17" s="44">
        <v>8</v>
      </c>
    </row>
    <row r="18" spans="1:5" x14ac:dyDescent="0.2">
      <c r="A18" s="43" t="s">
        <v>57</v>
      </c>
      <c r="B18" s="44">
        <v>7</v>
      </c>
      <c r="C18" s="44">
        <v>0</v>
      </c>
      <c r="D18" s="44">
        <v>1</v>
      </c>
      <c r="E18" s="44">
        <v>8</v>
      </c>
    </row>
    <row r="19" spans="1:5" x14ac:dyDescent="0.2">
      <c r="A19" s="43" t="s">
        <v>21</v>
      </c>
      <c r="B19" s="44">
        <v>1</v>
      </c>
      <c r="C19" s="44">
        <v>0</v>
      </c>
      <c r="D19" s="44">
        <v>0</v>
      </c>
      <c r="E19" s="44">
        <v>1</v>
      </c>
    </row>
    <row r="20" spans="1:5" x14ac:dyDescent="0.2">
      <c r="A20" s="43" t="s">
        <v>30</v>
      </c>
      <c r="B20" s="44">
        <v>19</v>
      </c>
      <c r="C20" s="44">
        <v>1</v>
      </c>
      <c r="D20" s="44">
        <v>8</v>
      </c>
      <c r="E20" s="44">
        <v>28</v>
      </c>
    </row>
    <row r="21" spans="1:5" x14ac:dyDescent="0.2">
      <c r="A21" s="43" t="s">
        <v>3</v>
      </c>
      <c r="B21" s="44">
        <v>0</v>
      </c>
      <c r="C21" s="44">
        <v>0</v>
      </c>
      <c r="D21" s="44">
        <v>1</v>
      </c>
      <c r="E21" s="44">
        <v>1</v>
      </c>
    </row>
    <row r="22" spans="1:5" x14ac:dyDescent="0.2">
      <c r="A22" s="43" t="s">
        <v>39</v>
      </c>
      <c r="B22" s="44">
        <v>2</v>
      </c>
      <c r="C22" s="44">
        <v>0</v>
      </c>
      <c r="D22" s="44">
        <v>1</v>
      </c>
      <c r="E22" s="44">
        <v>3</v>
      </c>
    </row>
    <row r="23" spans="1:5" x14ac:dyDescent="0.2">
      <c r="A23" s="43" t="s">
        <v>126</v>
      </c>
      <c r="B23" s="44">
        <v>39</v>
      </c>
      <c r="C23" s="44">
        <v>1</v>
      </c>
      <c r="D23" s="44">
        <v>12</v>
      </c>
      <c r="E23" s="44">
        <v>52</v>
      </c>
    </row>
    <row r="24" spans="1:5" x14ac:dyDescent="0.2">
      <c r="A24" s="40"/>
      <c r="B24" s="40"/>
      <c r="C24" s="40"/>
      <c r="D24" s="40"/>
      <c r="E24" s="40"/>
    </row>
    <row r="25" spans="1:5" x14ac:dyDescent="0.2">
      <c r="A25" s="40"/>
      <c r="B25" s="40"/>
      <c r="C25" s="40"/>
      <c r="D25" s="40"/>
      <c r="E25" s="40"/>
    </row>
    <row r="26" spans="1:5" x14ac:dyDescent="0.2">
      <c r="A26" s="40"/>
      <c r="B26" s="40"/>
      <c r="C26" s="40"/>
      <c r="D26" s="40"/>
      <c r="E26" s="40"/>
    </row>
    <row r="27" spans="1:5" x14ac:dyDescent="0.2">
      <c r="A27" s="40"/>
      <c r="B27" s="40"/>
      <c r="C27" s="40"/>
      <c r="D27" s="40"/>
      <c r="E27" s="40"/>
    </row>
    <row r="28" spans="1:5" x14ac:dyDescent="0.2">
      <c r="A28" s="40"/>
      <c r="B28" s="40"/>
      <c r="C28" s="40"/>
      <c r="D28" s="40"/>
      <c r="E28" s="40"/>
    </row>
    <row r="29" spans="1:5" x14ac:dyDescent="0.2">
      <c r="A29" s="40"/>
      <c r="B29" s="40"/>
      <c r="C29" s="40"/>
      <c r="D29" s="40"/>
      <c r="E29" s="40"/>
    </row>
    <row r="30" spans="1:5" x14ac:dyDescent="0.2">
      <c r="A30" s="40"/>
      <c r="B30" s="40"/>
      <c r="C30" s="40"/>
      <c r="D30" s="40"/>
      <c r="E30" s="40"/>
    </row>
    <row r="31" spans="1:5" x14ac:dyDescent="0.2">
      <c r="A31" s="40"/>
      <c r="B31" s="40"/>
      <c r="C31" s="40"/>
      <c r="D31" s="40"/>
      <c r="E31" s="40"/>
    </row>
    <row r="32" spans="1:5" x14ac:dyDescent="0.2">
      <c r="A32" s="40"/>
      <c r="B32" s="40"/>
      <c r="C32" s="40"/>
      <c r="D32" s="40"/>
      <c r="E32" s="40"/>
    </row>
    <row r="33" spans="1:5" x14ac:dyDescent="0.2">
      <c r="A33" s="40"/>
      <c r="B33" s="40"/>
      <c r="C33" s="40"/>
      <c r="D33" s="40"/>
      <c r="E33" s="40"/>
    </row>
    <row r="34" spans="1:5" x14ac:dyDescent="0.2">
      <c r="A34" s="40"/>
      <c r="B34" s="40"/>
      <c r="C34" s="40"/>
      <c r="D34" s="40"/>
      <c r="E34" s="40"/>
    </row>
    <row r="35" spans="1:5" x14ac:dyDescent="0.2">
      <c r="A35" s="40"/>
      <c r="B35" s="40"/>
      <c r="C35" s="40"/>
      <c r="D35" s="40"/>
      <c r="E35" s="40"/>
    </row>
    <row r="36" spans="1:5" x14ac:dyDescent="0.2">
      <c r="A36" s="40"/>
      <c r="B36" s="40"/>
      <c r="C36" s="40"/>
      <c r="D36" s="40"/>
      <c r="E36" s="40"/>
    </row>
    <row r="37" spans="1:5" x14ac:dyDescent="0.2">
      <c r="A37" s="40"/>
      <c r="B37" s="40"/>
      <c r="C37" s="40"/>
      <c r="D37" s="40"/>
      <c r="E37" s="40"/>
    </row>
    <row r="38" spans="1:5" x14ac:dyDescent="0.2">
      <c r="A38" s="40"/>
      <c r="B38" s="40"/>
      <c r="C38" s="40"/>
      <c r="D38" s="40"/>
      <c r="E38" s="40"/>
    </row>
    <row r="39" spans="1:5" x14ac:dyDescent="0.2">
      <c r="A39" s="40"/>
      <c r="B39" s="40"/>
      <c r="C39" s="40"/>
      <c r="D39" s="40"/>
      <c r="E39" s="40"/>
    </row>
    <row r="40" spans="1:5" x14ac:dyDescent="0.2">
      <c r="A40" s="40"/>
      <c r="B40" s="40"/>
      <c r="C40" s="40"/>
      <c r="D40" s="40"/>
      <c r="E40" s="40"/>
    </row>
    <row r="41" spans="1:5" x14ac:dyDescent="0.2">
      <c r="A41" s="40"/>
      <c r="B41" s="40"/>
      <c r="C41" s="40"/>
      <c r="D41" s="40"/>
      <c r="E41" s="40"/>
    </row>
    <row r="42" spans="1:5" x14ac:dyDescent="0.2">
      <c r="A42" s="40"/>
      <c r="B42" s="40"/>
      <c r="C42" s="40"/>
      <c r="D42" s="40"/>
      <c r="E42" s="40"/>
    </row>
    <row r="43" spans="1:5" x14ac:dyDescent="0.2">
      <c r="A43" s="40"/>
      <c r="B43" s="40"/>
      <c r="C43" s="40"/>
      <c r="D43" s="40"/>
      <c r="E43" s="40"/>
    </row>
    <row r="44" spans="1:5" x14ac:dyDescent="0.2">
      <c r="A44" s="40"/>
      <c r="B44" s="40"/>
      <c r="C44" s="40"/>
      <c r="D44" s="40"/>
      <c r="E44" s="40"/>
    </row>
    <row r="45" spans="1:5" x14ac:dyDescent="0.2">
      <c r="A45" s="40"/>
      <c r="B45" s="40"/>
      <c r="C45" s="40"/>
      <c r="D45" s="40"/>
      <c r="E45" s="40"/>
    </row>
    <row r="46" spans="1:5" x14ac:dyDescent="0.2">
      <c r="A46" s="40"/>
      <c r="B46" s="40"/>
      <c r="C46" s="40"/>
      <c r="D46" s="40"/>
      <c r="E46" s="40"/>
    </row>
    <row r="47" spans="1:5" x14ac:dyDescent="0.2">
      <c r="A47" s="40"/>
      <c r="B47" s="40"/>
      <c r="C47" s="40"/>
      <c r="D47" s="40"/>
      <c r="E47" s="40"/>
    </row>
    <row r="48" spans="1:5" x14ac:dyDescent="0.2">
      <c r="A48" s="40"/>
      <c r="B48" s="40"/>
      <c r="C48" s="40"/>
      <c r="D48" s="40"/>
      <c r="E48" s="40"/>
    </row>
    <row r="49" spans="1:5" x14ac:dyDescent="0.2">
      <c r="A49" s="40"/>
      <c r="B49" s="40"/>
      <c r="C49" s="40"/>
      <c r="D49" s="40"/>
      <c r="E49" s="40"/>
    </row>
    <row r="50" spans="1:5" x14ac:dyDescent="0.2">
      <c r="A50" s="40"/>
      <c r="B50" s="40"/>
      <c r="C50" s="40"/>
      <c r="D50" s="40"/>
      <c r="E50" s="40"/>
    </row>
    <row r="51" spans="1:5" x14ac:dyDescent="0.2">
      <c r="A51" s="40"/>
      <c r="B51" s="40"/>
      <c r="C51" s="40"/>
      <c r="D51" s="40"/>
      <c r="E51" s="40"/>
    </row>
    <row r="52" spans="1:5" x14ac:dyDescent="0.2">
      <c r="A52" s="40"/>
      <c r="B52" s="40"/>
      <c r="C52" s="40"/>
      <c r="D52" s="40"/>
      <c r="E52" s="40"/>
    </row>
    <row r="53" spans="1:5" x14ac:dyDescent="0.2">
      <c r="A53" s="40"/>
      <c r="B53" s="40"/>
      <c r="C53" s="40"/>
      <c r="D53" s="40"/>
      <c r="E53" s="40"/>
    </row>
    <row r="54" spans="1:5" x14ac:dyDescent="0.2">
      <c r="A54" s="40"/>
      <c r="B54" s="40"/>
      <c r="C54" s="40"/>
      <c r="D54" s="40"/>
      <c r="E54" s="40"/>
    </row>
    <row r="55" spans="1:5" x14ac:dyDescent="0.2">
      <c r="A55" s="40"/>
      <c r="B55" s="40"/>
      <c r="C55" s="40"/>
      <c r="D55" s="40"/>
      <c r="E55" s="40"/>
    </row>
    <row r="56" spans="1:5" x14ac:dyDescent="0.2">
      <c r="A56" s="40"/>
      <c r="B56" s="40"/>
      <c r="C56" s="40"/>
      <c r="D56" s="40"/>
      <c r="E56" s="40"/>
    </row>
    <row r="57" spans="1:5" x14ac:dyDescent="0.2">
      <c r="A57" s="40"/>
      <c r="B57" s="40"/>
      <c r="C57" s="40"/>
      <c r="D57" s="40"/>
      <c r="E57" s="40"/>
    </row>
    <row r="58" spans="1:5" x14ac:dyDescent="0.2">
      <c r="A58" s="40"/>
      <c r="B58" s="40"/>
      <c r="C58" s="40"/>
      <c r="D58" s="40"/>
      <c r="E58" s="40"/>
    </row>
    <row r="59" spans="1:5" x14ac:dyDescent="0.2">
      <c r="A59" s="40"/>
      <c r="B59" s="40"/>
      <c r="C59" s="40"/>
      <c r="D59" s="40"/>
      <c r="E59" s="40"/>
    </row>
    <row r="60" spans="1:5" x14ac:dyDescent="0.2">
      <c r="A60" s="40"/>
      <c r="B60" s="40"/>
      <c r="C60" s="40"/>
      <c r="D60" s="40"/>
      <c r="E60" s="40"/>
    </row>
    <row r="61" spans="1:5" x14ac:dyDescent="0.2">
      <c r="A61" s="40"/>
      <c r="B61" s="40"/>
      <c r="C61" s="40"/>
      <c r="D61" s="40"/>
      <c r="E61" s="40"/>
    </row>
    <row r="62" spans="1:5" x14ac:dyDescent="0.2">
      <c r="A62" s="40"/>
      <c r="B62" s="40"/>
      <c r="C62" s="40"/>
      <c r="D62" s="40"/>
      <c r="E62" s="40"/>
    </row>
    <row r="63" spans="1:5" x14ac:dyDescent="0.2">
      <c r="A63" s="40"/>
      <c r="B63" s="40"/>
      <c r="C63" s="40"/>
      <c r="D63" s="40"/>
      <c r="E63" s="40"/>
    </row>
    <row r="64" spans="1:5" x14ac:dyDescent="0.2">
      <c r="A64" s="40"/>
      <c r="B64" s="40"/>
      <c r="C64" s="40"/>
      <c r="D64" s="40"/>
      <c r="E64" s="40"/>
    </row>
    <row r="65" spans="1:5" x14ac:dyDescent="0.2">
      <c r="A65" s="40"/>
      <c r="B65" s="40"/>
      <c r="C65" s="40"/>
      <c r="D65" s="40"/>
      <c r="E65" s="40"/>
    </row>
    <row r="66" spans="1:5" x14ac:dyDescent="0.2">
      <c r="A66" s="40"/>
      <c r="B66" s="40"/>
      <c r="C66" s="40"/>
      <c r="D66" s="40"/>
      <c r="E66" s="40"/>
    </row>
    <row r="67" spans="1:5" x14ac:dyDescent="0.2">
      <c r="A67" s="40"/>
      <c r="B67" s="40"/>
      <c r="C67" s="40"/>
      <c r="D67" s="40"/>
      <c r="E67" s="40"/>
    </row>
    <row r="68" spans="1:5" x14ac:dyDescent="0.2">
      <c r="A68" s="40"/>
      <c r="B68" s="40"/>
      <c r="C68" s="40"/>
      <c r="D68" s="40"/>
      <c r="E68" s="40"/>
    </row>
    <row r="69" spans="1:5" x14ac:dyDescent="0.2">
      <c r="A69" s="40"/>
      <c r="B69" s="40"/>
      <c r="C69" s="40"/>
      <c r="D69" s="40"/>
      <c r="E69" s="40"/>
    </row>
    <row r="70" spans="1:5" x14ac:dyDescent="0.2">
      <c r="A70" s="40"/>
      <c r="B70" s="40"/>
      <c r="C70" s="40"/>
      <c r="D70" s="40"/>
      <c r="E70" s="40"/>
    </row>
    <row r="71" spans="1:5" x14ac:dyDescent="0.2">
      <c r="A71" s="40"/>
      <c r="B71" s="40"/>
      <c r="C71" s="40"/>
      <c r="D71" s="40"/>
      <c r="E71" s="40"/>
    </row>
    <row r="72" spans="1:5" x14ac:dyDescent="0.2">
      <c r="A72" s="40"/>
      <c r="B72" s="40"/>
      <c r="C72" s="40"/>
      <c r="D72" s="40"/>
      <c r="E72" s="40"/>
    </row>
    <row r="73" spans="1:5" x14ac:dyDescent="0.2">
      <c r="A73" s="40"/>
      <c r="B73" s="40"/>
      <c r="C73" s="40"/>
      <c r="D73" s="40"/>
      <c r="E73" s="40"/>
    </row>
    <row r="74" spans="1:5" x14ac:dyDescent="0.2">
      <c r="A74" s="40"/>
      <c r="B74" s="40"/>
      <c r="C74" s="40"/>
      <c r="D74" s="40"/>
      <c r="E74" s="40"/>
    </row>
    <row r="75" spans="1:5" x14ac:dyDescent="0.2">
      <c r="A75" s="40"/>
      <c r="B75" s="40"/>
      <c r="C75" s="40"/>
      <c r="D75" s="40"/>
      <c r="E75" s="40"/>
    </row>
  </sheetData>
  <mergeCells count="2">
    <mergeCell ref="A1:D1"/>
    <mergeCell ref="A5:E5"/>
  </mergeCells>
  <pageMargins left="0.7" right="0.7" top="0.75" bottom="0.75" header="0.3" footer="0.3"/>
  <pageSetup scale="54" orientation="landscape" r:id="rId2"/>
  <headerFooter>
    <oddFooter>&amp;R&amp;P of &amp;N</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FDAEA-733B-4B8F-8C5D-4001430378A5}">
  <dimension ref="A1:L55"/>
  <sheetViews>
    <sheetView topLeftCell="F29" workbookViewId="0">
      <selection activeCell="H43" sqref="H43"/>
    </sheetView>
  </sheetViews>
  <sheetFormatPr defaultRowHeight="15" x14ac:dyDescent="0.25"/>
  <cols>
    <col min="1" max="1" width="12.85546875" customWidth="1"/>
    <col min="2" max="2" width="13.85546875" customWidth="1"/>
    <col min="3" max="3" width="13.7109375" customWidth="1"/>
    <col min="5" max="5" width="46.7109375" customWidth="1"/>
    <col min="6" max="6" width="46.28515625" customWidth="1"/>
    <col min="7" max="8" width="46.7109375" customWidth="1"/>
    <col min="9" max="9" width="38" customWidth="1"/>
    <col min="10" max="10" width="46.7109375" customWidth="1"/>
    <col min="11" max="11" width="40.85546875" customWidth="1"/>
    <col min="12" max="12" width="15.7109375" customWidth="1"/>
  </cols>
  <sheetData>
    <row r="1" spans="1:12" x14ac:dyDescent="0.25">
      <c r="A1" t="s">
        <v>2</v>
      </c>
      <c r="B1" t="s">
        <v>260</v>
      </c>
      <c r="C1" t="s">
        <v>65</v>
      </c>
      <c r="D1" t="s">
        <v>62</v>
      </c>
      <c r="E1" t="s">
        <v>234</v>
      </c>
      <c r="F1" t="s">
        <v>240</v>
      </c>
      <c r="G1" t="s">
        <v>241</v>
      </c>
      <c r="H1" t="s">
        <v>242</v>
      </c>
      <c r="I1" t="s">
        <v>243</v>
      </c>
      <c r="J1" t="s">
        <v>244</v>
      </c>
      <c r="K1" t="s">
        <v>235</v>
      </c>
      <c r="L1" t="s">
        <v>236</v>
      </c>
    </row>
    <row r="2" spans="1:12" x14ac:dyDescent="0.25">
      <c r="A2" t="s">
        <v>52</v>
      </c>
      <c r="B2" t="s">
        <v>72</v>
      </c>
      <c r="C2" t="s">
        <v>58</v>
      </c>
      <c r="D2" t="s">
        <v>9</v>
      </c>
      <c r="E2">
        <v>0</v>
      </c>
      <c r="F2">
        <v>0</v>
      </c>
      <c r="G2">
        <v>0</v>
      </c>
      <c r="H2">
        <v>0</v>
      </c>
      <c r="I2">
        <v>0</v>
      </c>
      <c r="J2">
        <v>0</v>
      </c>
      <c r="K2">
        <v>0</v>
      </c>
      <c r="L2">
        <v>1</v>
      </c>
    </row>
    <row r="3" spans="1:12" x14ac:dyDescent="0.25">
      <c r="A3" t="s">
        <v>56</v>
      </c>
      <c r="B3" t="s">
        <v>73</v>
      </c>
      <c r="C3" t="s">
        <v>34</v>
      </c>
      <c r="D3" t="s">
        <v>13</v>
      </c>
      <c r="E3">
        <v>1</v>
      </c>
      <c r="F3">
        <v>0</v>
      </c>
      <c r="G3">
        <v>0</v>
      </c>
      <c r="H3">
        <v>1</v>
      </c>
      <c r="I3">
        <v>0</v>
      </c>
      <c r="J3">
        <v>0</v>
      </c>
      <c r="K3">
        <v>0</v>
      </c>
      <c r="L3">
        <v>0</v>
      </c>
    </row>
    <row r="4" spans="1:12" x14ac:dyDescent="0.25">
      <c r="A4" t="s">
        <v>49</v>
      </c>
      <c r="B4" t="s">
        <v>74</v>
      </c>
      <c r="C4" t="s">
        <v>34</v>
      </c>
      <c r="D4" t="s">
        <v>32</v>
      </c>
      <c r="E4">
        <v>1</v>
      </c>
      <c r="F4">
        <v>0</v>
      </c>
      <c r="G4">
        <v>1</v>
      </c>
      <c r="H4">
        <v>0</v>
      </c>
      <c r="I4">
        <v>0</v>
      </c>
      <c r="J4">
        <v>0</v>
      </c>
      <c r="K4">
        <v>0</v>
      </c>
      <c r="L4">
        <v>0</v>
      </c>
    </row>
    <row r="5" spans="1:12" x14ac:dyDescent="0.25">
      <c r="A5" t="s">
        <v>48</v>
      </c>
      <c r="B5" t="s">
        <v>75</v>
      </c>
      <c r="C5" t="s">
        <v>64</v>
      </c>
      <c r="D5" t="s">
        <v>0</v>
      </c>
      <c r="E5">
        <v>1</v>
      </c>
      <c r="F5">
        <v>0</v>
      </c>
      <c r="G5">
        <v>0</v>
      </c>
      <c r="H5">
        <v>1</v>
      </c>
      <c r="I5">
        <v>0</v>
      </c>
      <c r="J5">
        <v>0</v>
      </c>
      <c r="K5">
        <v>0</v>
      </c>
      <c r="L5">
        <v>0</v>
      </c>
    </row>
    <row r="6" spans="1:12" x14ac:dyDescent="0.25">
      <c r="A6" t="s">
        <v>22</v>
      </c>
      <c r="B6" t="s">
        <v>76</v>
      </c>
      <c r="C6" t="s">
        <v>64</v>
      </c>
      <c r="D6" t="s">
        <v>44</v>
      </c>
      <c r="E6">
        <v>1</v>
      </c>
      <c r="F6">
        <v>0</v>
      </c>
      <c r="G6">
        <v>0</v>
      </c>
      <c r="H6">
        <v>0</v>
      </c>
      <c r="I6">
        <v>0</v>
      </c>
      <c r="J6">
        <v>0</v>
      </c>
      <c r="K6">
        <v>0</v>
      </c>
      <c r="L6">
        <v>0</v>
      </c>
    </row>
    <row r="7" spans="1:12" x14ac:dyDescent="0.25">
      <c r="A7" t="s">
        <v>16</v>
      </c>
      <c r="B7" t="s">
        <v>77</v>
      </c>
      <c r="C7" t="s">
        <v>64</v>
      </c>
      <c r="D7" t="s">
        <v>0</v>
      </c>
      <c r="E7">
        <v>1</v>
      </c>
      <c r="F7">
        <v>0</v>
      </c>
      <c r="G7">
        <v>0</v>
      </c>
      <c r="H7">
        <v>0</v>
      </c>
      <c r="I7">
        <v>1</v>
      </c>
      <c r="J7">
        <v>0</v>
      </c>
      <c r="K7">
        <v>0</v>
      </c>
      <c r="L7">
        <v>0</v>
      </c>
    </row>
    <row r="8" spans="1:12" x14ac:dyDescent="0.25">
      <c r="A8" t="s">
        <v>5</v>
      </c>
      <c r="B8" t="s">
        <v>78</v>
      </c>
      <c r="C8" t="s">
        <v>64</v>
      </c>
      <c r="D8" t="s">
        <v>44</v>
      </c>
      <c r="E8">
        <v>1</v>
      </c>
      <c r="F8">
        <v>0</v>
      </c>
      <c r="G8">
        <v>0</v>
      </c>
      <c r="H8">
        <v>1</v>
      </c>
      <c r="I8">
        <v>1</v>
      </c>
      <c r="J8">
        <v>0</v>
      </c>
      <c r="K8">
        <v>0</v>
      </c>
      <c r="L8">
        <v>0</v>
      </c>
    </row>
    <row r="9" spans="1:12" x14ac:dyDescent="0.25">
      <c r="A9" t="s">
        <v>23</v>
      </c>
      <c r="B9" t="s">
        <v>79</v>
      </c>
      <c r="C9" t="s">
        <v>64</v>
      </c>
      <c r="D9" t="s">
        <v>0</v>
      </c>
      <c r="E9">
        <v>1</v>
      </c>
      <c r="F9">
        <v>0</v>
      </c>
      <c r="G9">
        <v>0</v>
      </c>
      <c r="H9">
        <v>1</v>
      </c>
      <c r="I9">
        <v>1</v>
      </c>
      <c r="J9">
        <v>0</v>
      </c>
      <c r="K9">
        <v>0</v>
      </c>
      <c r="L9">
        <v>0</v>
      </c>
    </row>
    <row r="10" spans="1:12" x14ac:dyDescent="0.25">
      <c r="A10" t="s">
        <v>33</v>
      </c>
      <c r="B10" t="s">
        <v>80</v>
      </c>
      <c r="C10" t="s">
        <v>64</v>
      </c>
      <c r="D10" t="s">
        <v>0</v>
      </c>
      <c r="E10">
        <v>1</v>
      </c>
      <c r="F10">
        <v>0</v>
      </c>
      <c r="G10">
        <v>0</v>
      </c>
      <c r="H10">
        <v>1</v>
      </c>
      <c r="I10">
        <v>0</v>
      </c>
      <c r="J10">
        <v>0</v>
      </c>
      <c r="K10">
        <v>0</v>
      </c>
      <c r="L10">
        <v>0</v>
      </c>
    </row>
    <row r="11" spans="1:12" x14ac:dyDescent="0.25">
      <c r="A11" t="s">
        <v>46</v>
      </c>
      <c r="B11" t="s">
        <v>81</v>
      </c>
      <c r="C11" t="s">
        <v>64</v>
      </c>
      <c r="D11" t="s">
        <v>44</v>
      </c>
      <c r="E11">
        <v>1</v>
      </c>
      <c r="F11">
        <v>0</v>
      </c>
      <c r="G11">
        <v>0</v>
      </c>
      <c r="H11">
        <v>0</v>
      </c>
      <c r="I11">
        <v>0</v>
      </c>
      <c r="J11">
        <v>0</v>
      </c>
      <c r="K11">
        <v>0</v>
      </c>
      <c r="L11">
        <v>0</v>
      </c>
    </row>
    <row r="12" spans="1:12" x14ac:dyDescent="0.25">
      <c r="A12" t="s">
        <v>61</v>
      </c>
      <c r="B12" t="s">
        <v>82</v>
      </c>
      <c r="C12" t="s">
        <v>64</v>
      </c>
      <c r="D12" t="s">
        <v>0</v>
      </c>
      <c r="E12">
        <v>1</v>
      </c>
      <c r="F12">
        <v>0</v>
      </c>
      <c r="G12">
        <v>0</v>
      </c>
      <c r="H12">
        <v>1</v>
      </c>
      <c r="I12">
        <v>1</v>
      </c>
      <c r="J12">
        <v>0</v>
      </c>
      <c r="K12">
        <v>0</v>
      </c>
      <c r="L12">
        <v>0</v>
      </c>
    </row>
    <row r="13" spans="1:12" x14ac:dyDescent="0.25">
      <c r="A13" t="s">
        <v>55</v>
      </c>
      <c r="B13" t="s">
        <v>83</v>
      </c>
      <c r="C13" t="s">
        <v>57</v>
      </c>
      <c r="D13" t="s">
        <v>9</v>
      </c>
      <c r="E13">
        <v>1</v>
      </c>
      <c r="F13">
        <v>0</v>
      </c>
      <c r="G13">
        <v>0</v>
      </c>
      <c r="H13">
        <v>1</v>
      </c>
      <c r="I13">
        <v>0</v>
      </c>
      <c r="J13">
        <v>0</v>
      </c>
      <c r="K13">
        <v>0</v>
      </c>
      <c r="L13">
        <v>0</v>
      </c>
    </row>
    <row r="14" spans="1:12" x14ac:dyDescent="0.25">
      <c r="A14" t="s">
        <v>36</v>
      </c>
      <c r="B14" t="s">
        <v>84</v>
      </c>
      <c r="C14" t="s">
        <v>57</v>
      </c>
      <c r="D14" t="s">
        <v>9</v>
      </c>
      <c r="E14">
        <v>1</v>
      </c>
      <c r="F14">
        <v>0</v>
      </c>
      <c r="G14">
        <v>0</v>
      </c>
      <c r="H14">
        <v>1</v>
      </c>
      <c r="I14">
        <v>0</v>
      </c>
      <c r="J14">
        <v>0</v>
      </c>
      <c r="K14">
        <v>0</v>
      </c>
      <c r="L14">
        <v>0</v>
      </c>
    </row>
    <row r="15" spans="1:12" x14ac:dyDescent="0.25">
      <c r="A15" t="s">
        <v>11</v>
      </c>
      <c r="B15" t="s">
        <v>85</v>
      </c>
      <c r="C15" t="s">
        <v>57</v>
      </c>
      <c r="D15" t="s">
        <v>9</v>
      </c>
      <c r="E15">
        <v>1</v>
      </c>
      <c r="F15">
        <v>0</v>
      </c>
      <c r="G15">
        <v>0</v>
      </c>
      <c r="H15">
        <v>1</v>
      </c>
      <c r="I15">
        <v>1</v>
      </c>
      <c r="J15">
        <v>0</v>
      </c>
      <c r="K15">
        <v>0</v>
      </c>
      <c r="L15">
        <v>0</v>
      </c>
    </row>
    <row r="16" spans="1:12" x14ac:dyDescent="0.25">
      <c r="A16" t="s">
        <v>50</v>
      </c>
      <c r="B16" t="s">
        <v>86</v>
      </c>
      <c r="C16" t="s">
        <v>57</v>
      </c>
      <c r="D16" t="s">
        <v>9</v>
      </c>
      <c r="E16">
        <v>1</v>
      </c>
      <c r="F16">
        <v>0</v>
      </c>
      <c r="G16">
        <v>0</v>
      </c>
      <c r="H16">
        <v>1</v>
      </c>
      <c r="I16">
        <v>0</v>
      </c>
      <c r="J16">
        <v>0</v>
      </c>
      <c r="K16">
        <v>0</v>
      </c>
      <c r="L16">
        <v>0</v>
      </c>
    </row>
    <row r="17" spans="1:12" x14ac:dyDescent="0.25">
      <c r="A17" t="s">
        <v>40</v>
      </c>
      <c r="B17" t="s">
        <v>87</v>
      </c>
      <c r="C17" t="s">
        <v>57</v>
      </c>
      <c r="D17" t="s">
        <v>9</v>
      </c>
      <c r="E17">
        <v>0</v>
      </c>
      <c r="F17">
        <v>0</v>
      </c>
      <c r="G17">
        <v>0</v>
      </c>
      <c r="H17">
        <v>0</v>
      </c>
      <c r="I17">
        <v>0</v>
      </c>
      <c r="J17">
        <v>0</v>
      </c>
      <c r="K17">
        <v>0</v>
      </c>
      <c r="L17">
        <v>1</v>
      </c>
    </row>
    <row r="18" spans="1:12" x14ac:dyDescent="0.25">
      <c r="A18" t="s">
        <v>63</v>
      </c>
      <c r="B18" t="s">
        <v>88</v>
      </c>
      <c r="C18" t="s">
        <v>57</v>
      </c>
      <c r="D18" t="s">
        <v>9</v>
      </c>
      <c r="E18">
        <v>1</v>
      </c>
      <c r="F18">
        <v>0</v>
      </c>
      <c r="G18">
        <v>0</v>
      </c>
      <c r="H18">
        <v>1</v>
      </c>
      <c r="I18">
        <v>0</v>
      </c>
      <c r="J18">
        <v>0</v>
      </c>
      <c r="K18">
        <v>0</v>
      </c>
      <c r="L18">
        <v>0</v>
      </c>
    </row>
    <row r="19" spans="1:12" x14ac:dyDescent="0.25">
      <c r="A19" t="s">
        <v>54</v>
      </c>
      <c r="B19" t="s">
        <v>89</v>
      </c>
      <c r="C19" t="s">
        <v>57</v>
      </c>
      <c r="D19" t="s">
        <v>9</v>
      </c>
      <c r="E19">
        <v>1</v>
      </c>
      <c r="F19">
        <v>0</v>
      </c>
      <c r="G19">
        <v>0</v>
      </c>
      <c r="H19">
        <v>1</v>
      </c>
      <c r="I19">
        <v>0</v>
      </c>
      <c r="J19">
        <v>0</v>
      </c>
      <c r="K19">
        <v>0</v>
      </c>
      <c r="L19">
        <v>0</v>
      </c>
    </row>
    <row r="20" spans="1:12" x14ac:dyDescent="0.25">
      <c r="A20" t="s">
        <v>41</v>
      </c>
      <c r="B20" t="s">
        <v>90</v>
      </c>
      <c r="C20" t="s">
        <v>57</v>
      </c>
      <c r="D20" t="s">
        <v>9</v>
      </c>
      <c r="E20">
        <v>1</v>
      </c>
      <c r="F20">
        <v>0</v>
      </c>
      <c r="G20">
        <v>0</v>
      </c>
      <c r="H20">
        <v>1</v>
      </c>
      <c r="I20">
        <v>1</v>
      </c>
      <c r="J20">
        <v>0</v>
      </c>
      <c r="K20">
        <v>0</v>
      </c>
      <c r="L20">
        <v>0</v>
      </c>
    </row>
    <row r="21" spans="1:12" x14ac:dyDescent="0.25">
      <c r="A21" t="s">
        <v>29</v>
      </c>
      <c r="B21" t="s">
        <v>91</v>
      </c>
      <c r="C21" t="s">
        <v>21</v>
      </c>
      <c r="D21" t="s">
        <v>35</v>
      </c>
      <c r="E21">
        <v>1</v>
      </c>
      <c r="F21">
        <v>0</v>
      </c>
      <c r="G21">
        <v>0</v>
      </c>
      <c r="H21">
        <v>0</v>
      </c>
      <c r="I21">
        <v>1</v>
      </c>
      <c r="J21">
        <v>1</v>
      </c>
      <c r="K21">
        <v>0</v>
      </c>
      <c r="L21">
        <v>0</v>
      </c>
    </row>
    <row r="22" spans="1:12" x14ac:dyDescent="0.25">
      <c r="A22" t="s">
        <v>26</v>
      </c>
      <c r="B22" t="s">
        <v>92</v>
      </c>
      <c r="C22" t="s">
        <v>30</v>
      </c>
      <c r="D22" t="s">
        <v>9</v>
      </c>
      <c r="E22">
        <v>1</v>
      </c>
      <c r="F22">
        <v>0</v>
      </c>
      <c r="G22">
        <v>0</v>
      </c>
      <c r="H22">
        <v>1</v>
      </c>
      <c r="I22">
        <v>0</v>
      </c>
      <c r="J22">
        <v>0</v>
      </c>
      <c r="K22">
        <v>0</v>
      </c>
      <c r="L22">
        <v>0</v>
      </c>
    </row>
    <row r="23" spans="1:12" x14ac:dyDescent="0.25">
      <c r="A23" t="s">
        <v>10</v>
      </c>
      <c r="B23" t="s">
        <v>93</v>
      </c>
      <c r="C23" t="s">
        <v>30</v>
      </c>
      <c r="D23" t="s">
        <v>44</v>
      </c>
      <c r="E23">
        <v>1</v>
      </c>
      <c r="F23">
        <v>0</v>
      </c>
      <c r="G23">
        <v>0</v>
      </c>
      <c r="H23">
        <v>1</v>
      </c>
      <c r="I23">
        <v>0</v>
      </c>
      <c r="J23">
        <v>0</v>
      </c>
      <c r="K23">
        <v>0</v>
      </c>
      <c r="L23">
        <v>0</v>
      </c>
    </row>
    <row r="24" spans="1:12" x14ac:dyDescent="0.25">
      <c r="A24" t="s">
        <v>67</v>
      </c>
      <c r="B24" t="s">
        <v>94</v>
      </c>
      <c r="C24" t="s">
        <v>30</v>
      </c>
      <c r="D24" t="s">
        <v>35</v>
      </c>
      <c r="E24">
        <v>1</v>
      </c>
      <c r="F24">
        <v>0</v>
      </c>
      <c r="G24">
        <v>0</v>
      </c>
      <c r="H24">
        <v>1</v>
      </c>
      <c r="I24">
        <v>1</v>
      </c>
      <c r="J24">
        <v>0</v>
      </c>
      <c r="K24">
        <v>0</v>
      </c>
      <c r="L24">
        <v>0</v>
      </c>
    </row>
    <row r="25" spans="1:12" x14ac:dyDescent="0.25">
      <c r="A25" t="s">
        <v>12</v>
      </c>
      <c r="B25" t="s">
        <v>95</v>
      </c>
      <c r="C25" t="s">
        <v>30</v>
      </c>
      <c r="D25" t="s">
        <v>0</v>
      </c>
      <c r="E25">
        <v>0</v>
      </c>
      <c r="F25">
        <v>0</v>
      </c>
      <c r="G25">
        <v>0</v>
      </c>
      <c r="H25">
        <v>0</v>
      </c>
      <c r="I25">
        <v>0</v>
      </c>
      <c r="J25">
        <v>0</v>
      </c>
      <c r="K25">
        <v>0</v>
      </c>
      <c r="L25">
        <v>1</v>
      </c>
    </row>
    <row r="26" spans="1:12" x14ac:dyDescent="0.25">
      <c r="A26" t="s">
        <v>15</v>
      </c>
      <c r="B26" t="s">
        <v>96</v>
      </c>
      <c r="C26" t="s">
        <v>30</v>
      </c>
      <c r="D26" t="s">
        <v>44</v>
      </c>
      <c r="E26">
        <v>1</v>
      </c>
      <c r="F26">
        <v>0</v>
      </c>
      <c r="G26">
        <v>0</v>
      </c>
      <c r="H26">
        <v>1</v>
      </c>
      <c r="I26">
        <v>0</v>
      </c>
      <c r="J26">
        <v>0</v>
      </c>
      <c r="K26">
        <v>0</v>
      </c>
      <c r="L26">
        <v>0</v>
      </c>
    </row>
    <row r="27" spans="1:12" x14ac:dyDescent="0.25">
      <c r="A27" t="s">
        <v>28</v>
      </c>
      <c r="B27" t="s">
        <v>97</v>
      </c>
      <c r="C27" t="s">
        <v>30</v>
      </c>
      <c r="D27" t="s">
        <v>0</v>
      </c>
      <c r="E27">
        <v>1</v>
      </c>
      <c r="F27">
        <v>0</v>
      </c>
      <c r="G27">
        <v>0</v>
      </c>
      <c r="H27">
        <v>1</v>
      </c>
      <c r="I27">
        <v>0</v>
      </c>
      <c r="J27">
        <v>0</v>
      </c>
      <c r="K27">
        <v>0</v>
      </c>
      <c r="L27">
        <v>0</v>
      </c>
    </row>
    <row r="28" spans="1:12" x14ac:dyDescent="0.25">
      <c r="A28" t="s">
        <v>25</v>
      </c>
      <c r="B28" t="s">
        <v>98</v>
      </c>
      <c r="C28" t="s">
        <v>30</v>
      </c>
      <c r="D28" t="s">
        <v>35</v>
      </c>
      <c r="E28">
        <v>0</v>
      </c>
      <c r="F28">
        <v>0</v>
      </c>
      <c r="G28">
        <v>0</v>
      </c>
      <c r="H28">
        <v>0</v>
      </c>
      <c r="I28">
        <v>0</v>
      </c>
      <c r="J28">
        <v>0</v>
      </c>
      <c r="K28">
        <v>0</v>
      </c>
      <c r="L28">
        <v>1</v>
      </c>
    </row>
    <row r="29" spans="1:12" x14ac:dyDescent="0.25">
      <c r="A29" t="s">
        <v>6</v>
      </c>
      <c r="B29" t="s">
        <v>99</v>
      </c>
      <c r="C29" t="s">
        <v>30</v>
      </c>
      <c r="D29" t="s">
        <v>44</v>
      </c>
      <c r="E29">
        <v>1</v>
      </c>
      <c r="F29">
        <v>0</v>
      </c>
      <c r="G29">
        <v>1</v>
      </c>
      <c r="H29">
        <v>0</v>
      </c>
      <c r="I29">
        <v>0</v>
      </c>
      <c r="J29">
        <v>0</v>
      </c>
      <c r="K29">
        <v>0</v>
      </c>
      <c r="L29">
        <v>0</v>
      </c>
    </row>
    <row r="30" spans="1:12" x14ac:dyDescent="0.25">
      <c r="A30" t="s">
        <v>42</v>
      </c>
      <c r="B30" t="s">
        <v>100</v>
      </c>
      <c r="C30" t="s">
        <v>30</v>
      </c>
      <c r="D30" t="s">
        <v>13</v>
      </c>
      <c r="E30">
        <v>1</v>
      </c>
      <c r="F30">
        <v>0</v>
      </c>
      <c r="G30">
        <v>0</v>
      </c>
      <c r="H30">
        <v>1</v>
      </c>
      <c r="I30">
        <v>0</v>
      </c>
      <c r="J30">
        <v>0</v>
      </c>
      <c r="K30">
        <v>0</v>
      </c>
      <c r="L30">
        <v>0</v>
      </c>
    </row>
    <row r="31" spans="1:12" x14ac:dyDescent="0.25">
      <c r="A31" t="s">
        <v>19</v>
      </c>
      <c r="B31" t="s">
        <v>101</v>
      </c>
      <c r="C31" t="s">
        <v>30</v>
      </c>
      <c r="D31" t="s">
        <v>44</v>
      </c>
      <c r="E31">
        <v>0</v>
      </c>
      <c r="F31">
        <v>0</v>
      </c>
      <c r="G31">
        <v>0</v>
      </c>
      <c r="H31">
        <v>0</v>
      </c>
      <c r="I31">
        <v>0</v>
      </c>
      <c r="J31">
        <v>0</v>
      </c>
      <c r="K31">
        <v>0</v>
      </c>
      <c r="L31">
        <v>1</v>
      </c>
    </row>
    <row r="32" spans="1:12" x14ac:dyDescent="0.25">
      <c r="A32" t="s">
        <v>66</v>
      </c>
      <c r="B32" t="s">
        <v>102</v>
      </c>
      <c r="C32" t="s">
        <v>30</v>
      </c>
      <c r="D32" t="s">
        <v>44</v>
      </c>
      <c r="E32">
        <v>1</v>
      </c>
      <c r="F32">
        <v>0</v>
      </c>
      <c r="G32">
        <v>1</v>
      </c>
      <c r="H32">
        <v>0</v>
      </c>
      <c r="I32">
        <v>1</v>
      </c>
      <c r="J32">
        <v>0</v>
      </c>
      <c r="K32">
        <v>0</v>
      </c>
      <c r="L32">
        <v>0</v>
      </c>
    </row>
    <row r="33" spans="1:12" x14ac:dyDescent="0.25">
      <c r="A33" t="s">
        <v>17</v>
      </c>
      <c r="B33" t="s">
        <v>103</v>
      </c>
      <c r="C33" t="s">
        <v>30</v>
      </c>
      <c r="D33" t="s">
        <v>9</v>
      </c>
      <c r="E33">
        <v>1</v>
      </c>
      <c r="F33">
        <v>0</v>
      </c>
      <c r="G33">
        <v>0</v>
      </c>
      <c r="H33">
        <v>1</v>
      </c>
      <c r="I33">
        <v>0</v>
      </c>
      <c r="J33">
        <v>0</v>
      </c>
      <c r="K33">
        <v>0</v>
      </c>
      <c r="L33">
        <v>0</v>
      </c>
    </row>
    <row r="34" spans="1:12" x14ac:dyDescent="0.25">
      <c r="A34" t="s">
        <v>24</v>
      </c>
      <c r="B34" t="s">
        <v>104</v>
      </c>
      <c r="C34" t="s">
        <v>30</v>
      </c>
      <c r="D34" t="s">
        <v>13</v>
      </c>
      <c r="E34">
        <v>1</v>
      </c>
      <c r="F34">
        <v>0</v>
      </c>
      <c r="G34">
        <v>0</v>
      </c>
      <c r="H34">
        <v>1</v>
      </c>
      <c r="I34">
        <v>0</v>
      </c>
      <c r="J34">
        <v>0</v>
      </c>
      <c r="K34">
        <v>0</v>
      </c>
      <c r="L34">
        <v>0</v>
      </c>
    </row>
    <row r="35" spans="1:12" x14ac:dyDescent="0.25">
      <c r="A35" t="s">
        <v>51</v>
      </c>
      <c r="B35" t="s">
        <v>105</v>
      </c>
      <c r="C35" t="s">
        <v>30</v>
      </c>
      <c r="D35" t="s">
        <v>9</v>
      </c>
      <c r="E35">
        <v>0</v>
      </c>
      <c r="F35">
        <v>0</v>
      </c>
      <c r="G35">
        <v>0</v>
      </c>
      <c r="H35">
        <v>0</v>
      </c>
      <c r="I35">
        <v>0</v>
      </c>
      <c r="J35">
        <v>0</v>
      </c>
      <c r="K35">
        <v>0</v>
      </c>
      <c r="L35">
        <v>1</v>
      </c>
    </row>
    <row r="36" spans="1:12" x14ac:dyDescent="0.25">
      <c r="A36" t="s">
        <v>53</v>
      </c>
      <c r="B36" t="s">
        <v>106</v>
      </c>
      <c r="C36" t="s">
        <v>30</v>
      </c>
      <c r="D36" t="s">
        <v>9</v>
      </c>
      <c r="E36">
        <v>0</v>
      </c>
      <c r="F36">
        <v>0</v>
      </c>
      <c r="G36">
        <v>0</v>
      </c>
      <c r="H36">
        <v>0</v>
      </c>
      <c r="I36">
        <v>0</v>
      </c>
      <c r="J36">
        <v>0</v>
      </c>
      <c r="K36">
        <v>0</v>
      </c>
      <c r="L36">
        <v>1</v>
      </c>
    </row>
    <row r="37" spans="1:12" x14ac:dyDescent="0.25">
      <c r="A37" t="s">
        <v>1</v>
      </c>
      <c r="B37" t="s">
        <v>107</v>
      </c>
      <c r="C37" t="s">
        <v>30</v>
      </c>
      <c r="D37" t="s">
        <v>44</v>
      </c>
      <c r="E37">
        <v>1</v>
      </c>
      <c r="F37">
        <v>0</v>
      </c>
      <c r="G37">
        <v>0</v>
      </c>
      <c r="H37">
        <v>0</v>
      </c>
      <c r="I37">
        <v>1</v>
      </c>
      <c r="J37">
        <v>0</v>
      </c>
      <c r="K37">
        <v>0</v>
      </c>
      <c r="L37">
        <v>0</v>
      </c>
    </row>
    <row r="38" spans="1:12" x14ac:dyDescent="0.25">
      <c r="A38" t="s">
        <v>4</v>
      </c>
      <c r="B38" t="s">
        <v>108</v>
      </c>
      <c r="C38" t="s">
        <v>30</v>
      </c>
      <c r="D38" t="s">
        <v>32</v>
      </c>
      <c r="E38">
        <v>1</v>
      </c>
      <c r="F38">
        <v>0</v>
      </c>
      <c r="G38">
        <v>0</v>
      </c>
      <c r="H38">
        <v>0</v>
      </c>
      <c r="I38">
        <v>0</v>
      </c>
      <c r="J38">
        <v>1</v>
      </c>
      <c r="K38">
        <v>0</v>
      </c>
      <c r="L38">
        <v>0</v>
      </c>
    </row>
    <row r="39" spans="1:12" x14ac:dyDescent="0.25">
      <c r="A39" t="s">
        <v>7</v>
      </c>
      <c r="B39" t="s">
        <v>109</v>
      </c>
      <c r="C39" t="s">
        <v>30</v>
      </c>
      <c r="D39" t="s">
        <v>44</v>
      </c>
      <c r="E39">
        <v>1</v>
      </c>
      <c r="F39">
        <v>0</v>
      </c>
      <c r="G39">
        <v>0</v>
      </c>
      <c r="H39">
        <v>0</v>
      </c>
      <c r="I39">
        <v>0</v>
      </c>
      <c r="J39">
        <v>1</v>
      </c>
      <c r="K39">
        <v>0</v>
      </c>
      <c r="L39">
        <v>0</v>
      </c>
    </row>
    <row r="40" spans="1:12" x14ac:dyDescent="0.25">
      <c r="A40" t="s">
        <v>20</v>
      </c>
      <c r="B40" t="s">
        <v>110</v>
      </c>
      <c r="C40" t="s">
        <v>30</v>
      </c>
      <c r="D40" t="s">
        <v>32</v>
      </c>
      <c r="E40">
        <v>1</v>
      </c>
      <c r="F40">
        <v>0</v>
      </c>
      <c r="G40">
        <v>0</v>
      </c>
      <c r="H40">
        <v>1</v>
      </c>
      <c r="I40">
        <v>0</v>
      </c>
      <c r="J40">
        <v>0</v>
      </c>
      <c r="K40">
        <v>0</v>
      </c>
      <c r="L40">
        <v>0</v>
      </c>
    </row>
    <row r="41" spans="1:12" x14ac:dyDescent="0.25">
      <c r="A41" t="s">
        <v>38</v>
      </c>
      <c r="B41" t="s">
        <v>111</v>
      </c>
      <c r="C41" t="s">
        <v>30</v>
      </c>
      <c r="D41" t="s">
        <v>0</v>
      </c>
      <c r="E41">
        <v>1</v>
      </c>
      <c r="F41">
        <v>1</v>
      </c>
      <c r="G41">
        <v>0</v>
      </c>
      <c r="H41">
        <v>0</v>
      </c>
      <c r="I41">
        <v>0</v>
      </c>
      <c r="J41">
        <v>0</v>
      </c>
      <c r="K41">
        <v>0</v>
      </c>
      <c r="L41">
        <v>0</v>
      </c>
    </row>
    <row r="42" spans="1:12" x14ac:dyDescent="0.25">
      <c r="A42" t="s">
        <v>18</v>
      </c>
      <c r="B42" t="s">
        <v>112</v>
      </c>
      <c r="C42" t="s">
        <v>30</v>
      </c>
      <c r="D42" t="s">
        <v>0</v>
      </c>
      <c r="E42">
        <v>0</v>
      </c>
      <c r="F42">
        <v>0</v>
      </c>
      <c r="G42">
        <v>0</v>
      </c>
      <c r="H42">
        <v>0</v>
      </c>
      <c r="I42">
        <v>0</v>
      </c>
      <c r="J42">
        <v>0</v>
      </c>
      <c r="K42">
        <v>0</v>
      </c>
      <c r="L42">
        <v>1</v>
      </c>
    </row>
    <row r="43" spans="1:12" x14ac:dyDescent="0.25">
      <c r="A43" t="s">
        <v>68</v>
      </c>
      <c r="B43" t="s">
        <v>113</v>
      </c>
      <c r="C43" t="s">
        <v>30</v>
      </c>
      <c r="D43" t="s">
        <v>0</v>
      </c>
      <c r="E43">
        <v>1</v>
      </c>
      <c r="F43">
        <v>0</v>
      </c>
      <c r="G43">
        <v>0</v>
      </c>
      <c r="H43">
        <v>1</v>
      </c>
      <c r="I43">
        <v>0</v>
      </c>
      <c r="J43">
        <v>0</v>
      </c>
      <c r="K43">
        <v>0</v>
      </c>
      <c r="L43">
        <v>0</v>
      </c>
    </row>
    <row r="44" spans="1:12" x14ac:dyDescent="0.25">
      <c r="A44" t="s">
        <v>27</v>
      </c>
      <c r="B44" t="s">
        <v>114</v>
      </c>
      <c r="C44" t="s">
        <v>30</v>
      </c>
      <c r="D44" t="s">
        <v>35</v>
      </c>
      <c r="E44">
        <v>1</v>
      </c>
      <c r="F44">
        <v>0</v>
      </c>
      <c r="G44">
        <v>1</v>
      </c>
      <c r="H44">
        <v>1</v>
      </c>
      <c r="I44">
        <v>0</v>
      </c>
      <c r="J44">
        <v>0</v>
      </c>
      <c r="K44">
        <v>0</v>
      </c>
      <c r="L44">
        <v>0</v>
      </c>
    </row>
    <row r="45" spans="1:12" x14ac:dyDescent="0.25">
      <c r="A45" t="s">
        <v>37</v>
      </c>
      <c r="B45" t="s">
        <v>115</v>
      </c>
      <c r="C45" t="s">
        <v>30</v>
      </c>
      <c r="D45" t="s">
        <v>9</v>
      </c>
      <c r="E45">
        <v>1</v>
      </c>
      <c r="F45">
        <v>0</v>
      </c>
      <c r="G45">
        <v>0</v>
      </c>
      <c r="H45">
        <v>1</v>
      </c>
      <c r="I45">
        <v>0</v>
      </c>
      <c r="J45">
        <v>1</v>
      </c>
      <c r="K45">
        <v>0</v>
      </c>
      <c r="L45">
        <v>0</v>
      </c>
    </row>
    <row r="46" spans="1:12" x14ac:dyDescent="0.25">
      <c r="A46" t="s">
        <v>60</v>
      </c>
      <c r="B46" t="s">
        <v>116</v>
      </c>
      <c r="C46" t="s">
        <v>30</v>
      </c>
      <c r="D46" t="s">
        <v>32</v>
      </c>
      <c r="E46">
        <v>1</v>
      </c>
      <c r="F46">
        <v>0</v>
      </c>
      <c r="G46">
        <v>1</v>
      </c>
      <c r="H46">
        <v>0</v>
      </c>
      <c r="I46">
        <v>0</v>
      </c>
      <c r="J46">
        <v>0</v>
      </c>
      <c r="K46">
        <v>0</v>
      </c>
      <c r="L46">
        <v>0</v>
      </c>
    </row>
    <row r="47" spans="1:12" x14ac:dyDescent="0.25">
      <c r="A47" t="s">
        <v>59</v>
      </c>
      <c r="B47" t="s">
        <v>117</v>
      </c>
      <c r="C47" t="s">
        <v>30</v>
      </c>
      <c r="D47" t="s">
        <v>9</v>
      </c>
      <c r="E47">
        <v>0</v>
      </c>
      <c r="F47">
        <v>0</v>
      </c>
      <c r="G47">
        <v>0</v>
      </c>
      <c r="H47">
        <v>0</v>
      </c>
      <c r="I47">
        <v>0</v>
      </c>
      <c r="J47">
        <v>0</v>
      </c>
      <c r="K47">
        <v>0</v>
      </c>
      <c r="L47">
        <v>1</v>
      </c>
    </row>
    <row r="48" spans="1:12" x14ac:dyDescent="0.25">
      <c r="A48" t="s">
        <v>31</v>
      </c>
      <c r="B48" t="s">
        <v>118</v>
      </c>
      <c r="C48" t="s">
        <v>30</v>
      </c>
      <c r="D48" t="s">
        <v>9</v>
      </c>
      <c r="E48">
        <v>0</v>
      </c>
      <c r="F48">
        <v>0</v>
      </c>
      <c r="G48">
        <v>0</v>
      </c>
      <c r="H48">
        <v>0</v>
      </c>
      <c r="I48">
        <v>0</v>
      </c>
      <c r="J48">
        <v>0</v>
      </c>
      <c r="K48">
        <v>0</v>
      </c>
      <c r="L48">
        <v>1</v>
      </c>
    </row>
    <row r="49" spans="1:12" x14ac:dyDescent="0.25">
      <c r="A49" t="s">
        <v>14</v>
      </c>
      <c r="B49" t="s">
        <v>119</v>
      </c>
      <c r="C49" t="s">
        <v>30</v>
      </c>
      <c r="D49" t="s">
        <v>44</v>
      </c>
      <c r="E49">
        <v>0</v>
      </c>
      <c r="F49">
        <v>0</v>
      </c>
      <c r="G49">
        <v>0</v>
      </c>
      <c r="H49">
        <v>0</v>
      </c>
      <c r="I49">
        <v>0</v>
      </c>
      <c r="J49">
        <v>0</v>
      </c>
      <c r="K49">
        <v>1</v>
      </c>
      <c r="L49">
        <v>0</v>
      </c>
    </row>
    <row r="50" spans="1:12" x14ac:dyDescent="0.25">
      <c r="A50" t="s">
        <v>47</v>
      </c>
      <c r="B50" t="s">
        <v>120</v>
      </c>
      <c r="C50" t="s">
        <v>3</v>
      </c>
      <c r="D50" t="s">
        <v>0</v>
      </c>
      <c r="E50">
        <v>0</v>
      </c>
      <c r="F50">
        <v>0</v>
      </c>
      <c r="G50">
        <v>0</v>
      </c>
      <c r="H50">
        <v>0</v>
      </c>
      <c r="I50">
        <v>0</v>
      </c>
      <c r="J50">
        <v>0</v>
      </c>
      <c r="K50">
        <v>0</v>
      </c>
      <c r="L50">
        <v>1</v>
      </c>
    </row>
    <row r="51" spans="1:12" x14ac:dyDescent="0.25">
      <c r="A51" t="s">
        <v>8</v>
      </c>
      <c r="B51" t="s">
        <v>121</v>
      </c>
      <c r="C51" t="s">
        <v>39</v>
      </c>
      <c r="D51" t="s">
        <v>44</v>
      </c>
      <c r="E51">
        <v>0</v>
      </c>
      <c r="F51">
        <v>0</v>
      </c>
      <c r="G51">
        <v>0</v>
      </c>
      <c r="H51">
        <v>0</v>
      </c>
      <c r="I51">
        <v>0</v>
      </c>
      <c r="J51">
        <v>0</v>
      </c>
      <c r="K51">
        <v>0</v>
      </c>
      <c r="L51">
        <v>1</v>
      </c>
    </row>
    <row r="52" spans="1:12" x14ac:dyDescent="0.25">
      <c r="A52" t="s">
        <v>43</v>
      </c>
      <c r="B52" t="s">
        <v>122</v>
      </c>
      <c r="C52" t="s">
        <v>39</v>
      </c>
      <c r="D52" t="s">
        <v>32</v>
      </c>
      <c r="E52">
        <v>1</v>
      </c>
      <c r="F52">
        <v>0</v>
      </c>
      <c r="G52">
        <v>0</v>
      </c>
      <c r="H52">
        <v>1</v>
      </c>
      <c r="I52">
        <v>0</v>
      </c>
      <c r="J52">
        <v>0</v>
      </c>
      <c r="K52">
        <v>0</v>
      </c>
      <c r="L52">
        <v>0</v>
      </c>
    </row>
    <row r="53" spans="1:12" x14ac:dyDescent="0.25">
      <c r="A53" t="s">
        <v>45</v>
      </c>
      <c r="B53" t="s">
        <v>123</v>
      </c>
      <c r="C53" t="s">
        <v>39</v>
      </c>
      <c r="D53" t="s">
        <v>35</v>
      </c>
      <c r="E53">
        <v>1</v>
      </c>
      <c r="F53">
        <v>0</v>
      </c>
      <c r="G53">
        <v>0</v>
      </c>
      <c r="H53">
        <v>1</v>
      </c>
      <c r="I53">
        <v>1</v>
      </c>
      <c r="J53">
        <v>0</v>
      </c>
      <c r="K53">
        <v>0</v>
      </c>
      <c r="L53">
        <v>0</v>
      </c>
    </row>
    <row r="55" spans="1:12" x14ac:dyDescent="0.25">
      <c r="L55">
        <f>SUM(Table5[3. No comment])</f>
        <v>12</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F0A66-9F52-41DC-9FB6-3203693FC95B}">
  <dimension ref="A1:J74"/>
  <sheetViews>
    <sheetView view="pageBreakPreview" zoomScale="80" zoomScaleNormal="85" zoomScaleSheetLayoutView="80" workbookViewId="0">
      <selection sqref="A1:H1"/>
    </sheetView>
  </sheetViews>
  <sheetFormatPr defaultColWidth="8.85546875" defaultRowHeight="12.75" x14ac:dyDescent="0.2"/>
  <cols>
    <col min="1" max="1" width="59.7109375" style="18" bestFit="1" customWidth="1"/>
    <col min="2" max="2" width="20.85546875" style="18" bestFit="1" customWidth="1"/>
    <col min="3" max="3" width="19.42578125" style="18" customWidth="1"/>
    <col min="4" max="4" width="19.5703125" style="18" bestFit="1" customWidth="1"/>
    <col min="5" max="5" width="21.5703125" style="18" bestFit="1" customWidth="1"/>
    <col min="6" max="6" width="19.85546875" style="18" bestFit="1" customWidth="1"/>
    <col min="7" max="7" width="19" style="18" bestFit="1" customWidth="1"/>
    <col min="8" max="8" width="16.7109375" style="18" bestFit="1" customWidth="1"/>
    <col min="9" max="9" width="13.42578125" style="18" bestFit="1" customWidth="1"/>
    <col min="10" max="16384" width="8.85546875" style="18"/>
  </cols>
  <sheetData>
    <row r="1" spans="1:10" x14ac:dyDescent="0.2">
      <c r="A1" s="77" t="s">
        <v>263</v>
      </c>
      <c r="B1" s="77"/>
      <c r="C1" s="77"/>
      <c r="D1" s="77"/>
      <c r="E1" s="77"/>
      <c r="F1" s="77"/>
      <c r="G1" s="77"/>
      <c r="H1" s="77"/>
      <c r="I1" s="68" t="s">
        <v>286</v>
      </c>
    </row>
    <row r="2" spans="1:10" x14ac:dyDescent="0.2">
      <c r="A2" s="69" t="s">
        <v>264</v>
      </c>
      <c r="B2" s="69"/>
      <c r="C2" s="69"/>
      <c r="D2" s="69"/>
      <c r="E2" s="69"/>
      <c r="F2" s="66"/>
      <c r="H2" s="67"/>
      <c r="I2" s="68"/>
    </row>
    <row r="3" spans="1:10" x14ac:dyDescent="0.2">
      <c r="A3" s="69"/>
      <c r="B3" s="69"/>
      <c r="C3" s="69"/>
      <c r="D3" s="69"/>
      <c r="E3" s="69"/>
      <c r="F3" s="66"/>
      <c r="H3" s="67"/>
      <c r="I3" s="68"/>
    </row>
    <row r="4" spans="1:10" x14ac:dyDescent="0.2">
      <c r="A4" s="28" t="s">
        <v>271</v>
      </c>
      <c r="B4" s="29"/>
      <c r="C4" s="29"/>
      <c r="D4" s="29"/>
      <c r="E4" s="30"/>
      <c r="F4" s="66"/>
      <c r="H4" s="67"/>
      <c r="I4" s="68"/>
    </row>
    <row r="5" spans="1:10" ht="27" customHeight="1" x14ac:dyDescent="0.2">
      <c r="A5" s="81" t="s">
        <v>272</v>
      </c>
      <c r="B5" s="82"/>
      <c r="C5" s="82"/>
      <c r="D5" s="82"/>
      <c r="E5" s="83"/>
      <c r="F5" s="66"/>
      <c r="H5" s="67"/>
      <c r="I5" s="68"/>
    </row>
    <row r="6" spans="1:10" x14ac:dyDescent="0.2">
      <c r="C6" s="70"/>
      <c r="D6" s="70"/>
      <c r="E6" s="70"/>
      <c r="F6" s="66"/>
      <c r="H6" s="67"/>
      <c r="I6" s="68"/>
    </row>
    <row r="7" spans="1:10" x14ac:dyDescent="0.2">
      <c r="A7" s="7" t="s">
        <v>300</v>
      </c>
      <c r="C7" s="70"/>
      <c r="D7" s="70"/>
      <c r="E7" s="70"/>
      <c r="F7" s="66"/>
      <c r="H7" s="67"/>
      <c r="I7" s="68"/>
    </row>
    <row r="8" spans="1:10" x14ac:dyDescent="0.2">
      <c r="A8" s="55" t="s">
        <v>301</v>
      </c>
      <c r="C8" s="70"/>
      <c r="D8" s="70"/>
      <c r="E8" s="70"/>
      <c r="F8" s="66"/>
      <c r="H8" s="67"/>
      <c r="I8" s="68"/>
    </row>
    <row r="9" spans="1:10" x14ac:dyDescent="0.2">
      <c r="A9" s="56" t="s">
        <v>302</v>
      </c>
      <c r="C9" s="70"/>
      <c r="D9" s="70"/>
      <c r="E9" s="70"/>
      <c r="F9" s="66"/>
      <c r="H9" s="67"/>
      <c r="I9" s="68"/>
    </row>
    <row r="10" spans="1:10" x14ac:dyDescent="0.2">
      <c r="A10" s="57" t="s">
        <v>303</v>
      </c>
      <c r="C10" s="70"/>
      <c r="D10" s="70"/>
      <c r="E10" s="70"/>
      <c r="F10" s="66"/>
      <c r="H10" s="67"/>
      <c r="I10" s="68"/>
    </row>
    <row r="11" spans="1:10" ht="25.5" x14ac:dyDescent="0.2">
      <c r="A11" s="72" t="s">
        <v>304</v>
      </c>
      <c r="C11" s="70"/>
      <c r="D11" s="70"/>
      <c r="E11" s="70"/>
      <c r="F11" s="66"/>
      <c r="H11" s="67"/>
      <c r="I11" s="68"/>
    </row>
    <row r="12" spans="1:10" x14ac:dyDescent="0.2">
      <c r="C12" s="70"/>
      <c r="D12" s="70"/>
      <c r="E12" s="70"/>
      <c r="F12" s="66"/>
      <c r="H12" s="67"/>
      <c r="I12" s="68"/>
    </row>
    <row r="13" spans="1:10" x14ac:dyDescent="0.2">
      <c r="A13" s="69" t="s">
        <v>299</v>
      </c>
      <c r="B13" s="69"/>
      <c r="C13" s="69"/>
      <c r="D13" s="69"/>
      <c r="E13" s="69"/>
      <c r="F13" s="69"/>
      <c r="G13" s="69"/>
      <c r="H13" s="69"/>
      <c r="I13" s="69"/>
      <c r="J13" s="69"/>
    </row>
    <row r="14" spans="1:10" ht="15" customHeight="1" x14ac:dyDescent="0.2">
      <c r="A14" s="69"/>
      <c r="B14" s="69"/>
      <c r="C14" s="69"/>
      <c r="D14" s="69"/>
      <c r="E14" s="69"/>
      <c r="G14" s="69"/>
      <c r="H14" s="69"/>
      <c r="I14" s="69"/>
      <c r="J14" s="69"/>
    </row>
    <row r="15" spans="1:10" s="2" customFormat="1" ht="77.25" customHeight="1" x14ac:dyDescent="0.2">
      <c r="A15" s="52" t="s">
        <v>2</v>
      </c>
      <c r="B15" s="49" t="s">
        <v>237</v>
      </c>
      <c r="C15" s="34" t="s">
        <v>245</v>
      </c>
      <c r="D15" s="34" t="s">
        <v>246</v>
      </c>
      <c r="E15" s="34" t="s">
        <v>247</v>
      </c>
      <c r="F15" s="34" t="s">
        <v>248</v>
      </c>
      <c r="G15" s="34" t="s">
        <v>249</v>
      </c>
      <c r="H15" s="50" t="s">
        <v>238</v>
      </c>
      <c r="I15" s="51" t="s">
        <v>239</v>
      </c>
    </row>
    <row r="16" spans="1:10" x14ac:dyDescent="0.2">
      <c r="A16" s="43" t="s">
        <v>58</v>
      </c>
      <c r="B16" s="44">
        <v>0</v>
      </c>
      <c r="C16" s="44">
        <v>0</v>
      </c>
      <c r="D16" s="44">
        <v>0</v>
      </c>
      <c r="E16" s="44">
        <v>0</v>
      </c>
      <c r="F16" s="44">
        <v>0</v>
      </c>
      <c r="G16" s="44">
        <v>0</v>
      </c>
      <c r="H16" s="44">
        <v>0</v>
      </c>
      <c r="I16" s="44">
        <v>1</v>
      </c>
    </row>
    <row r="17" spans="1:9" x14ac:dyDescent="0.2">
      <c r="A17" s="43" t="s">
        <v>34</v>
      </c>
      <c r="B17" s="44">
        <v>2</v>
      </c>
      <c r="C17" s="44">
        <v>0</v>
      </c>
      <c r="D17" s="44">
        <v>1</v>
      </c>
      <c r="E17" s="44">
        <v>1</v>
      </c>
      <c r="F17" s="44">
        <v>0</v>
      </c>
      <c r="G17" s="44">
        <v>0</v>
      </c>
      <c r="H17" s="44">
        <v>0</v>
      </c>
      <c r="I17" s="44">
        <v>0</v>
      </c>
    </row>
    <row r="18" spans="1:9" x14ac:dyDescent="0.2">
      <c r="A18" s="43" t="s">
        <v>64</v>
      </c>
      <c r="B18" s="44">
        <v>8</v>
      </c>
      <c r="C18" s="44">
        <v>0</v>
      </c>
      <c r="D18" s="44">
        <v>0</v>
      </c>
      <c r="E18" s="44">
        <v>5</v>
      </c>
      <c r="F18" s="44">
        <v>4</v>
      </c>
      <c r="G18" s="44">
        <v>0</v>
      </c>
      <c r="H18" s="44">
        <v>0</v>
      </c>
      <c r="I18" s="44">
        <v>0</v>
      </c>
    </row>
    <row r="19" spans="1:9" x14ac:dyDescent="0.2">
      <c r="A19" s="43" t="s">
        <v>57</v>
      </c>
      <c r="B19" s="44">
        <v>7</v>
      </c>
      <c r="C19" s="44">
        <v>0</v>
      </c>
      <c r="D19" s="44">
        <v>0</v>
      </c>
      <c r="E19" s="44">
        <v>7</v>
      </c>
      <c r="F19" s="44">
        <v>2</v>
      </c>
      <c r="G19" s="44">
        <v>0</v>
      </c>
      <c r="H19" s="44">
        <v>0</v>
      </c>
      <c r="I19" s="44">
        <v>1</v>
      </c>
    </row>
    <row r="20" spans="1:9" x14ac:dyDescent="0.2">
      <c r="A20" s="43" t="s">
        <v>21</v>
      </c>
      <c r="B20" s="44">
        <v>1</v>
      </c>
      <c r="C20" s="44">
        <v>0</v>
      </c>
      <c r="D20" s="44">
        <v>0</v>
      </c>
      <c r="E20" s="44">
        <v>0</v>
      </c>
      <c r="F20" s="44">
        <v>1</v>
      </c>
      <c r="G20" s="44">
        <v>1</v>
      </c>
      <c r="H20" s="44">
        <v>0</v>
      </c>
      <c r="I20" s="44">
        <v>0</v>
      </c>
    </row>
    <row r="21" spans="1:9" x14ac:dyDescent="0.2">
      <c r="A21" s="43" t="s">
        <v>30</v>
      </c>
      <c r="B21" s="44">
        <v>19</v>
      </c>
      <c r="C21" s="44">
        <v>1</v>
      </c>
      <c r="D21" s="44">
        <v>4</v>
      </c>
      <c r="E21" s="44">
        <v>12</v>
      </c>
      <c r="F21" s="44">
        <v>3</v>
      </c>
      <c r="G21" s="44">
        <v>3</v>
      </c>
      <c r="H21" s="44">
        <v>1</v>
      </c>
      <c r="I21" s="44">
        <v>8</v>
      </c>
    </row>
    <row r="22" spans="1:9" x14ac:dyDescent="0.2">
      <c r="A22" s="43" t="s">
        <v>3</v>
      </c>
      <c r="B22" s="44">
        <v>0</v>
      </c>
      <c r="C22" s="44">
        <v>0</v>
      </c>
      <c r="D22" s="44">
        <v>0</v>
      </c>
      <c r="E22" s="44">
        <v>0</v>
      </c>
      <c r="F22" s="44">
        <v>0</v>
      </c>
      <c r="G22" s="44">
        <v>0</v>
      </c>
      <c r="H22" s="44">
        <v>0</v>
      </c>
      <c r="I22" s="44">
        <v>1</v>
      </c>
    </row>
    <row r="23" spans="1:9" x14ac:dyDescent="0.2">
      <c r="A23" s="43" t="s">
        <v>39</v>
      </c>
      <c r="B23" s="44">
        <v>2</v>
      </c>
      <c r="C23" s="44">
        <v>0</v>
      </c>
      <c r="D23" s="44">
        <v>0</v>
      </c>
      <c r="E23" s="44">
        <v>2</v>
      </c>
      <c r="F23" s="44">
        <v>1</v>
      </c>
      <c r="G23" s="44">
        <v>0</v>
      </c>
      <c r="H23" s="44">
        <v>0</v>
      </c>
      <c r="I23" s="44">
        <v>1</v>
      </c>
    </row>
    <row r="24" spans="1:9" x14ac:dyDescent="0.2">
      <c r="A24" s="43" t="s">
        <v>126</v>
      </c>
      <c r="B24" s="44">
        <v>39</v>
      </c>
      <c r="C24" s="44">
        <v>1</v>
      </c>
      <c r="D24" s="44">
        <v>5</v>
      </c>
      <c r="E24" s="44">
        <v>27</v>
      </c>
      <c r="F24" s="44">
        <v>11</v>
      </c>
      <c r="G24" s="44">
        <v>4</v>
      </c>
      <c r="H24" s="44">
        <v>1</v>
      </c>
      <c r="I24" s="44">
        <v>12</v>
      </c>
    </row>
    <row r="25" spans="1:9" x14ac:dyDescent="0.2">
      <c r="A25" s="40"/>
      <c r="B25" s="40"/>
      <c r="C25" s="40"/>
      <c r="D25" s="40"/>
      <c r="E25" s="40"/>
      <c r="F25" s="40"/>
      <c r="G25" s="40"/>
      <c r="H25" s="40"/>
      <c r="I25" s="40"/>
    </row>
    <row r="26" spans="1:9" x14ac:dyDescent="0.2">
      <c r="A26" s="40"/>
      <c r="B26" s="40"/>
      <c r="C26" s="40"/>
      <c r="D26" s="40"/>
      <c r="E26" s="40"/>
      <c r="F26" s="40"/>
      <c r="G26" s="40"/>
      <c r="H26" s="40"/>
      <c r="I26" s="40"/>
    </row>
    <row r="27" spans="1:9" x14ac:dyDescent="0.2">
      <c r="A27" s="40"/>
      <c r="B27" s="40"/>
      <c r="C27" s="40"/>
      <c r="D27" s="40"/>
      <c r="E27" s="40"/>
      <c r="F27" s="40"/>
      <c r="G27" s="40"/>
      <c r="H27" s="40"/>
      <c r="I27" s="40"/>
    </row>
    <row r="28" spans="1:9" x14ac:dyDescent="0.2">
      <c r="A28" s="40"/>
      <c r="B28" s="40"/>
      <c r="C28" s="40"/>
      <c r="D28" s="40"/>
      <c r="E28" s="40"/>
      <c r="F28" s="40"/>
      <c r="G28" s="40"/>
      <c r="H28" s="40"/>
      <c r="I28" s="40"/>
    </row>
    <row r="29" spans="1:9" x14ac:dyDescent="0.2">
      <c r="A29" s="40"/>
      <c r="B29" s="40"/>
      <c r="C29" s="40"/>
      <c r="D29" s="40"/>
      <c r="E29" s="40"/>
      <c r="F29" s="40"/>
      <c r="G29" s="40"/>
      <c r="H29" s="40"/>
      <c r="I29" s="40"/>
    </row>
    <row r="30" spans="1:9" x14ac:dyDescent="0.2">
      <c r="A30" s="40"/>
      <c r="B30" s="40"/>
      <c r="C30" s="40"/>
      <c r="D30" s="40"/>
      <c r="E30" s="40"/>
      <c r="F30" s="40"/>
      <c r="G30" s="40"/>
      <c r="H30" s="40"/>
      <c r="I30" s="40"/>
    </row>
    <row r="31" spans="1:9" x14ac:dyDescent="0.2">
      <c r="A31" s="40"/>
      <c r="B31" s="40"/>
      <c r="C31" s="40"/>
      <c r="D31" s="40"/>
      <c r="E31" s="40"/>
      <c r="F31" s="40"/>
      <c r="G31" s="40"/>
      <c r="H31" s="40"/>
      <c r="I31" s="40"/>
    </row>
    <row r="32" spans="1:9" x14ac:dyDescent="0.2">
      <c r="A32" s="40"/>
      <c r="B32" s="40"/>
      <c r="C32" s="40"/>
      <c r="D32" s="40"/>
      <c r="E32" s="40"/>
      <c r="F32" s="40"/>
      <c r="G32" s="40"/>
      <c r="H32" s="40"/>
      <c r="I32" s="40"/>
    </row>
    <row r="33" spans="1:9" x14ac:dyDescent="0.2">
      <c r="A33" s="40"/>
      <c r="B33" s="40"/>
      <c r="C33" s="40"/>
      <c r="D33" s="40"/>
      <c r="E33" s="40"/>
      <c r="F33" s="40"/>
      <c r="G33" s="40"/>
      <c r="H33" s="40"/>
      <c r="I33" s="40"/>
    </row>
    <row r="34" spans="1:9" x14ac:dyDescent="0.2">
      <c r="A34" s="40"/>
      <c r="B34" s="40"/>
      <c r="C34" s="40"/>
      <c r="D34" s="40"/>
      <c r="E34" s="40"/>
      <c r="F34" s="40"/>
      <c r="G34" s="40"/>
      <c r="H34" s="40"/>
      <c r="I34" s="40"/>
    </row>
    <row r="35" spans="1:9" x14ac:dyDescent="0.2">
      <c r="A35" s="40"/>
      <c r="B35" s="40"/>
      <c r="C35" s="40"/>
      <c r="D35" s="40"/>
      <c r="E35" s="40"/>
      <c r="F35" s="40"/>
      <c r="G35" s="40"/>
      <c r="H35" s="40"/>
      <c r="I35" s="40"/>
    </row>
    <row r="36" spans="1:9" x14ac:dyDescent="0.2">
      <c r="A36" s="40"/>
      <c r="B36" s="40"/>
      <c r="C36" s="40"/>
      <c r="D36" s="40"/>
      <c r="E36" s="40"/>
      <c r="F36" s="40"/>
      <c r="G36" s="40"/>
      <c r="H36" s="40"/>
      <c r="I36" s="40"/>
    </row>
    <row r="37" spans="1:9" x14ac:dyDescent="0.2">
      <c r="A37" s="40"/>
      <c r="B37" s="40"/>
      <c r="C37" s="40"/>
      <c r="D37" s="40"/>
      <c r="E37" s="40"/>
      <c r="F37" s="40"/>
      <c r="G37" s="40"/>
      <c r="H37" s="40"/>
      <c r="I37" s="40"/>
    </row>
    <row r="38" spans="1:9" x14ac:dyDescent="0.2">
      <c r="A38" s="40"/>
      <c r="B38" s="40"/>
      <c r="C38" s="40"/>
      <c r="D38" s="40"/>
      <c r="E38" s="40"/>
      <c r="F38" s="40"/>
      <c r="G38" s="40"/>
      <c r="H38" s="40"/>
      <c r="I38" s="40"/>
    </row>
    <row r="39" spans="1:9" x14ac:dyDescent="0.2">
      <c r="A39" s="40"/>
      <c r="B39" s="40"/>
      <c r="C39" s="40"/>
      <c r="D39" s="40"/>
      <c r="E39" s="40"/>
      <c r="F39" s="40"/>
      <c r="G39" s="40"/>
      <c r="H39" s="40"/>
      <c r="I39" s="40"/>
    </row>
    <row r="40" spans="1:9" x14ac:dyDescent="0.2">
      <c r="A40" s="40"/>
      <c r="B40" s="40"/>
      <c r="C40" s="40"/>
      <c r="D40" s="40"/>
      <c r="E40" s="40"/>
      <c r="F40" s="40"/>
      <c r="G40" s="40"/>
      <c r="H40" s="40"/>
      <c r="I40" s="40"/>
    </row>
    <row r="41" spans="1:9" x14ac:dyDescent="0.2">
      <c r="A41" s="40"/>
      <c r="B41" s="40"/>
      <c r="C41" s="40"/>
      <c r="D41" s="40"/>
      <c r="E41" s="40"/>
      <c r="F41" s="40"/>
      <c r="G41" s="40"/>
      <c r="H41" s="40"/>
      <c r="I41" s="40"/>
    </row>
    <row r="42" spans="1:9" x14ac:dyDescent="0.2">
      <c r="A42" s="40"/>
      <c r="B42" s="40"/>
      <c r="C42" s="40"/>
      <c r="D42" s="40"/>
      <c r="E42" s="40"/>
      <c r="F42" s="40"/>
      <c r="G42" s="40"/>
      <c r="H42" s="40"/>
      <c r="I42" s="40"/>
    </row>
    <row r="43" spans="1:9" x14ac:dyDescent="0.2">
      <c r="A43" s="40"/>
      <c r="B43" s="40"/>
      <c r="C43" s="40"/>
      <c r="D43" s="40"/>
      <c r="E43" s="40"/>
      <c r="F43" s="40"/>
      <c r="G43" s="40"/>
      <c r="H43" s="40"/>
      <c r="I43" s="40"/>
    </row>
    <row r="44" spans="1:9" x14ac:dyDescent="0.2">
      <c r="A44" s="40"/>
      <c r="B44" s="40"/>
      <c r="C44" s="40"/>
      <c r="D44" s="40"/>
      <c r="E44" s="40"/>
      <c r="F44" s="40"/>
      <c r="G44" s="40"/>
      <c r="H44" s="40"/>
      <c r="I44" s="40"/>
    </row>
    <row r="45" spans="1:9" x14ac:dyDescent="0.2">
      <c r="A45" s="40"/>
      <c r="B45" s="40"/>
      <c r="C45" s="40"/>
      <c r="D45" s="40"/>
      <c r="E45" s="40"/>
      <c r="F45" s="40"/>
      <c r="G45" s="40"/>
      <c r="H45" s="40"/>
      <c r="I45" s="40"/>
    </row>
    <row r="46" spans="1:9" x14ac:dyDescent="0.2">
      <c r="A46" s="40"/>
      <c r="B46" s="40"/>
      <c r="C46" s="40"/>
      <c r="D46" s="40"/>
      <c r="E46" s="40"/>
      <c r="F46" s="40"/>
      <c r="G46" s="40"/>
      <c r="H46" s="40"/>
      <c r="I46" s="40"/>
    </row>
    <row r="47" spans="1:9" x14ac:dyDescent="0.2">
      <c r="A47" s="40"/>
      <c r="B47" s="40"/>
      <c r="C47" s="40"/>
      <c r="D47" s="40"/>
      <c r="E47" s="40"/>
      <c r="F47" s="40"/>
      <c r="G47" s="40"/>
      <c r="H47" s="40"/>
      <c r="I47" s="40"/>
    </row>
    <row r="48" spans="1:9" x14ac:dyDescent="0.2">
      <c r="A48" s="40"/>
      <c r="B48" s="40"/>
      <c r="C48" s="40"/>
      <c r="D48" s="40"/>
      <c r="E48" s="40"/>
      <c r="F48" s="40"/>
      <c r="G48" s="40"/>
      <c r="H48" s="40"/>
      <c r="I48" s="40"/>
    </row>
    <row r="49" spans="1:9" x14ac:dyDescent="0.2">
      <c r="A49" s="40"/>
      <c r="B49" s="40"/>
      <c r="C49" s="40"/>
      <c r="D49" s="40"/>
      <c r="E49" s="40"/>
      <c r="F49" s="40"/>
      <c r="G49" s="40"/>
      <c r="H49" s="40"/>
      <c r="I49" s="40"/>
    </row>
    <row r="50" spans="1:9" x14ac:dyDescent="0.2">
      <c r="A50" s="40"/>
      <c r="B50" s="40"/>
      <c r="C50" s="40"/>
      <c r="D50" s="40"/>
      <c r="E50" s="40"/>
      <c r="F50" s="40"/>
      <c r="G50" s="40"/>
      <c r="H50" s="40"/>
      <c r="I50" s="40"/>
    </row>
    <row r="51" spans="1:9" x14ac:dyDescent="0.2">
      <c r="A51" s="40"/>
      <c r="B51" s="40"/>
      <c r="C51" s="40"/>
      <c r="D51" s="40"/>
      <c r="E51" s="40"/>
      <c r="F51" s="40"/>
      <c r="G51" s="40"/>
      <c r="H51" s="40"/>
      <c r="I51" s="40"/>
    </row>
    <row r="52" spans="1:9" x14ac:dyDescent="0.2">
      <c r="A52" s="40"/>
      <c r="B52" s="40"/>
      <c r="C52" s="40"/>
      <c r="D52" s="40"/>
      <c r="E52" s="40"/>
      <c r="F52" s="40"/>
      <c r="G52" s="40"/>
      <c r="H52" s="40"/>
      <c r="I52" s="40"/>
    </row>
    <row r="53" spans="1:9" x14ac:dyDescent="0.2">
      <c r="A53" s="40"/>
      <c r="B53" s="40"/>
      <c r="C53" s="40"/>
      <c r="D53" s="40"/>
      <c r="E53" s="40"/>
      <c r="F53" s="40"/>
      <c r="G53" s="40"/>
      <c r="H53" s="40"/>
      <c r="I53" s="40"/>
    </row>
    <row r="54" spans="1:9" x14ac:dyDescent="0.2">
      <c r="A54" s="40"/>
      <c r="B54" s="40"/>
      <c r="C54" s="40"/>
      <c r="D54" s="40"/>
      <c r="E54" s="40"/>
      <c r="F54" s="40"/>
      <c r="G54" s="40"/>
      <c r="H54" s="40"/>
      <c r="I54" s="40"/>
    </row>
    <row r="55" spans="1:9" x14ac:dyDescent="0.2">
      <c r="A55" s="40"/>
      <c r="B55" s="40"/>
      <c r="C55" s="40"/>
      <c r="D55" s="40"/>
      <c r="E55" s="40"/>
      <c r="F55" s="40"/>
      <c r="G55" s="40"/>
      <c r="H55" s="40"/>
      <c r="I55" s="40"/>
    </row>
    <row r="56" spans="1:9" x14ac:dyDescent="0.2">
      <c r="A56" s="40"/>
      <c r="B56" s="40"/>
      <c r="C56" s="40"/>
      <c r="D56" s="40"/>
      <c r="E56" s="40"/>
      <c r="F56" s="40"/>
      <c r="G56" s="40"/>
      <c r="H56" s="40"/>
      <c r="I56" s="40"/>
    </row>
    <row r="57" spans="1:9" x14ac:dyDescent="0.2">
      <c r="A57" s="40"/>
      <c r="B57" s="40"/>
      <c r="C57" s="40"/>
      <c r="D57" s="40"/>
      <c r="E57" s="40"/>
      <c r="F57" s="40"/>
      <c r="G57" s="40"/>
      <c r="H57" s="40"/>
      <c r="I57" s="40"/>
    </row>
    <row r="58" spans="1:9" x14ac:dyDescent="0.2">
      <c r="A58" s="40"/>
      <c r="B58" s="40"/>
      <c r="C58" s="40"/>
      <c r="D58" s="40"/>
      <c r="E58" s="40"/>
      <c r="F58" s="40"/>
      <c r="G58" s="40"/>
      <c r="H58" s="40"/>
      <c r="I58" s="40"/>
    </row>
    <row r="59" spans="1:9" x14ac:dyDescent="0.2">
      <c r="A59" s="40"/>
      <c r="B59" s="40"/>
      <c r="C59" s="40"/>
      <c r="D59" s="40"/>
      <c r="E59" s="40"/>
      <c r="F59" s="40"/>
      <c r="G59" s="40"/>
      <c r="H59" s="40"/>
      <c r="I59" s="40"/>
    </row>
    <row r="60" spans="1:9" x14ac:dyDescent="0.2">
      <c r="A60" s="40"/>
      <c r="B60" s="40"/>
      <c r="C60" s="40"/>
      <c r="D60" s="40"/>
      <c r="E60" s="40"/>
      <c r="F60" s="40"/>
      <c r="G60" s="40"/>
      <c r="H60" s="40"/>
      <c r="I60" s="40"/>
    </row>
    <row r="61" spans="1:9" x14ac:dyDescent="0.2">
      <c r="A61" s="40"/>
      <c r="B61" s="40"/>
      <c r="C61" s="40"/>
      <c r="D61" s="40"/>
      <c r="E61" s="40"/>
      <c r="F61" s="40"/>
      <c r="G61" s="40"/>
      <c r="H61" s="40"/>
      <c r="I61" s="40"/>
    </row>
    <row r="62" spans="1:9" x14ac:dyDescent="0.2">
      <c r="A62" s="40"/>
      <c r="B62" s="40"/>
      <c r="C62" s="40"/>
      <c r="D62" s="40"/>
      <c r="E62" s="40"/>
      <c r="F62" s="40"/>
      <c r="G62" s="40"/>
      <c r="H62" s="40"/>
      <c r="I62" s="40"/>
    </row>
    <row r="63" spans="1:9" x14ac:dyDescent="0.2">
      <c r="A63" s="40"/>
      <c r="B63" s="40"/>
      <c r="C63" s="40"/>
      <c r="D63" s="40"/>
      <c r="E63" s="40"/>
      <c r="F63" s="40"/>
      <c r="G63" s="40"/>
      <c r="H63" s="40"/>
      <c r="I63" s="40"/>
    </row>
    <row r="64" spans="1:9" x14ac:dyDescent="0.2">
      <c r="A64" s="40"/>
      <c r="B64" s="40"/>
      <c r="C64" s="40"/>
      <c r="D64" s="40"/>
      <c r="E64" s="40"/>
      <c r="F64" s="40"/>
      <c r="G64" s="40"/>
      <c r="H64" s="40"/>
      <c r="I64" s="40"/>
    </row>
    <row r="65" spans="1:9" x14ac:dyDescent="0.2">
      <c r="A65" s="40"/>
      <c r="B65" s="40"/>
      <c r="C65" s="40"/>
      <c r="D65" s="40"/>
      <c r="E65" s="40"/>
      <c r="F65" s="40"/>
      <c r="G65" s="40"/>
      <c r="H65" s="40"/>
      <c r="I65" s="40"/>
    </row>
    <row r="66" spans="1:9" x14ac:dyDescent="0.2">
      <c r="A66" s="40"/>
      <c r="B66" s="40"/>
      <c r="C66" s="40"/>
      <c r="D66" s="40"/>
      <c r="E66" s="40"/>
      <c r="F66" s="40"/>
      <c r="G66" s="40"/>
      <c r="H66" s="40"/>
      <c r="I66" s="40"/>
    </row>
    <row r="67" spans="1:9" x14ac:dyDescent="0.2">
      <c r="A67" s="40"/>
      <c r="B67" s="40"/>
      <c r="C67" s="40"/>
      <c r="D67" s="40"/>
      <c r="E67" s="40"/>
      <c r="F67" s="40"/>
      <c r="G67" s="40"/>
      <c r="H67" s="40"/>
      <c r="I67" s="40"/>
    </row>
    <row r="68" spans="1:9" x14ac:dyDescent="0.2">
      <c r="A68" s="40"/>
      <c r="B68" s="40"/>
      <c r="C68" s="40"/>
      <c r="D68" s="40"/>
      <c r="E68" s="40"/>
      <c r="F68" s="40"/>
      <c r="G68" s="40"/>
      <c r="H68" s="40"/>
      <c r="I68" s="40"/>
    </row>
    <row r="69" spans="1:9" x14ac:dyDescent="0.2">
      <c r="A69" s="40"/>
      <c r="B69" s="40"/>
      <c r="C69" s="40"/>
      <c r="D69" s="40"/>
      <c r="E69" s="40"/>
      <c r="F69" s="40"/>
      <c r="G69" s="40"/>
      <c r="H69" s="40"/>
      <c r="I69" s="40"/>
    </row>
    <row r="70" spans="1:9" x14ac:dyDescent="0.2">
      <c r="A70" s="40"/>
      <c r="B70" s="40"/>
      <c r="C70" s="40"/>
      <c r="D70" s="40"/>
      <c r="E70" s="40"/>
      <c r="F70" s="40"/>
      <c r="G70" s="40"/>
      <c r="H70" s="40"/>
      <c r="I70" s="40"/>
    </row>
    <row r="71" spans="1:9" x14ac:dyDescent="0.2">
      <c r="A71" s="40"/>
      <c r="B71" s="40"/>
      <c r="C71" s="40"/>
      <c r="D71" s="40"/>
      <c r="E71" s="40"/>
      <c r="F71" s="40"/>
      <c r="G71" s="40"/>
      <c r="H71" s="40"/>
      <c r="I71" s="40"/>
    </row>
    <row r="72" spans="1:9" x14ac:dyDescent="0.2">
      <c r="A72" s="40"/>
      <c r="B72" s="40"/>
      <c r="C72" s="40"/>
      <c r="D72" s="40"/>
      <c r="E72" s="40"/>
      <c r="F72" s="40"/>
      <c r="G72" s="40"/>
      <c r="H72" s="40"/>
      <c r="I72" s="40"/>
    </row>
    <row r="73" spans="1:9" x14ac:dyDescent="0.2">
      <c r="A73" s="40"/>
      <c r="B73" s="40"/>
      <c r="C73" s="40"/>
      <c r="D73" s="40"/>
      <c r="E73" s="40"/>
      <c r="F73" s="40"/>
      <c r="G73" s="40"/>
      <c r="H73" s="40"/>
      <c r="I73" s="40"/>
    </row>
    <row r="74" spans="1:9" x14ac:dyDescent="0.2">
      <c r="A74" s="40"/>
      <c r="B74" s="40"/>
      <c r="C74" s="40"/>
      <c r="D74" s="40"/>
      <c r="E74" s="40"/>
      <c r="F74" s="40"/>
      <c r="G74" s="40"/>
      <c r="H74" s="40"/>
      <c r="I74" s="40"/>
    </row>
  </sheetData>
  <mergeCells count="2">
    <mergeCell ref="A1:H1"/>
    <mergeCell ref="A5:E5"/>
  </mergeCells>
  <pageMargins left="0.7" right="0.7" top="0.75" bottom="0.75" header="0.3" footer="0.3"/>
  <pageSetup scale="44" orientation="landscape" r:id="rId2"/>
  <headerFooter>
    <oddFooter>&amp;R&amp;P of &amp;N</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8EB89-FA6F-400A-9BBD-544D455B9E35}">
  <dimension ref="A1:H53"/>
  <sheetViews>
    <sheetView topLeftCell="B37" workbookViewId="0">
      <selection activeCell="F52" sqref="F52"/>
    </sheetView>
  </sheetViews>
  <sheetFormatPr defaultColWidth="30.7109375" defaultRowHeight="12.75" x14ac:dyDescent="0.2"/>
  <cols>
    <col min="1" max="1" width="0" style="2" hidden="1" customWidth="1"/>
    <col min="2" max="2" width="30.7109375" style="10"/>
    <col min="3" max="4" width="0" style="2" hidden="1" customWidth="1"/>
    <col min="5" max="8" width="30.7109375" style="10"/>
    <col min="9" max="16384" width="30.7109375" style="2"/>
  </cols>
  <sheetData>
    <row r="1" spans="1:8" ht="25.5" x14ac:dyDescent="0.2">
      <c r="A1" s="2" t="s">
        <v>2</v>
      </c>
      <c r="B1" s="2" t="s">
        <v>2</v>
      </c>
      <c r="C1" s="2" t="s">
        <v>65</v>
      </c>
      <c r="D1" s="2" t="s">
        <v>62</v>
      </c>
      <c r="E1" s="11" t="s">
        <v>180</v>
      </c>
      <c r="F1" s="11" t="s">
        <v>181</v>
      </c>
      <c r="G1" s="11" t="s">
        <v>182</v>
      </c>
      <c r="H1" s="6" t="s">
        <v>124</v>
      </c>
    </row>
    <row r="2" spans="1:8" x14ac:dyDescent="0.2">
      <c r="A2" s="2" t="s">
        <v>52</v>
      </c>
      <c r="B2" s="3" t="s">
        <v>72</v>
      </c>
      <c r="C2" s="2" t="s">
        <v>58</v>
      </c>
      <c r="D2" s="2" t="s">
        <v>9</v>
      </c>
      <c r="E2" s="4">
        <v>0</v>
      </c>
      <c r="F2" s="4">
        <v>0</v>
      </c>
      <c r="G2" s="4">
        <v>0</v>
      </c>
      <c r="H2" s="12">
        <f>SUM(E2:G2)</f>
        <v>0</v>
      </c>
    </row>
    <row r="3" spans="1:8" ht="25.5" x14ac:dyDescent="0.2">
      <c r="A3" s="2" t="s">
        <v>56</v>
      </c>
      <c r="B3" s="3" t="s">
        <v>73</v>
      </c>
      <c r="C3" s="2" t="s">
        <v>34</v>
      </c>
      <c r="D3" s="2" t="s">
        <v>13</v>
      </c>
      <c r="E3" s="4">
        <v>0</v>
      </c>
      <c r="F3" s="4">
        <v>1</v>
      </c>
      <c r="G3" s="4">
        <v>0</v>
      </c>
      <c r="H3" s="12">
        <f t="shared" ref="H3:H53" si="0">SUM(E3:G3)</f>
        <v>1</v>
      </c>
    </row>
    <row r="4" spans="1:8" ht="25.5" x14ac:dyDescent="0.2">
      <c r="A4" s="2" t="s">
        <v>49</v>
      </c>
      <c r="B4" s="3" t="s">
        <v>74</v>
      </c>
      <c r="C4" s="2" t="s">
        <v>34</v>
      </c>
      <c r="D4" s="2" t="s">
        <v>32</v>
      </c>
      <c r="E4" s="4">
        <v>0</v>
      </c>
      <c r="F4" s="4">
        <v>1</v>
      </c>
      <c r="G4" s="4">
        <v>0</v>
      </c>
      <c r="H4" s="12">
        <f t="shared" si="0"/>
        <v>1</v>
      </c>
    </row>
    <row r="5" spans="1:8" ht="25.5" x14ac:dyDescent="0.2">
      <c r="A5" s="2" t="s">
        <v>48</v>
      </c>
      <c r="B5" s="3" t="s">
        <v>75</v>
      </c>
      <c r="C5" s="2" t="s">
        <v>64</v>
      </c>
      <c r="D5" s="2" t="s">
        <v>0</v>
      </c>
      <c r="E5" s="4">
        <v>0</v>
      </c>
      <c r="F5" s="4">
        <v>1</v>
      </c>
      <c r="G5" s="4">
        <v>0</v>
      </c>
      <c r="H5" s="12">
        <f t="shared" si="0"/>
        <v>1</v>
      </c>
    </row>
    <row r="6" spans="1:8" ht="25.5" x14ac:dyDescent="0.2">
      <c r="A6" s="2" t="s">
        <v>22</v>
      </c>
      <c r="B6" s="3" t="s">
        <v>76</v>
      </c>
      <c r="C6" s="2" t="s">
        <v>64</v>
      </c>
      <c r="D6" s="2" t="s">
        <v>44</v>
      </c>
      <c r="E6" s="4">
        <v>0</v>
      </c>
      <c r="F6" s="4">
        <v>1</v>
      </c>
      <c r="G6" s="4">
        <v>0</v>
      </c>
      <c r="H6" s="12">
        <f t="shared" si="0"/>
        <v>1</v>
      </c>
    </row>
    <row r="7" spans="1:8" ht="25.5" x14ac:dyDescent="0.2">
      <c r="A7" s="2" t="s">
        <v>16</v>
      </c>
      <c r="B7" s="3" t="s">
        <v>77</v>
      </c>
      <c r="C7" s="2" t="s">
        <v>64</v>
      </c>
      <c r="D7" s="2" t="s">
        <v>0</v>
      </c>
      <c r="E7" s="4">
        <v>0</v>
      </c>
      <c r="F7" s="4">
        <v>1</v>
      </c>
      <c r="G7" s="4">
        <v>0</v>
      </c>
      <c r="H7" s="12">
        <f t="shared" si="0"/>
        <v>1</v>
      </c>
    </row>
    <row r="8" spans="1:8" ht="25.5" x14ac:dyDescent="0.2">
      <c r="A8" s="2" t="s">
        <v>5</v>
      </c>
      <c r="B8" s="3" t="s">
        <v>78</v>
      </c>
      <c r="C8" s="2" t="s">
        <v>64</v>
      </c>
      <c r="D8" s="2" t="s">
        <v>44</v>
      </c>
      <c r="E8" s="4">
        <v>0</v>
      </c>
      <c r="F8" s="4">
        <v>1</v>
      </c>
      <c r="G8" s="4">
        <v>0</v>
      </c>
      <c r="H8" s="12">
        <f t="shared" si="0"/>
        <v>1</v>
      </c>
    </row>
    <row r="9" spans="1:8" ht="25.5" x14ac:dyDescent="0.2">
      <c r="A9" s="2" t="s">
        <v>23</v>
      </c>
      <c r="B9" s="3" t="s">
        <v>79</v>
      </c>
      <c r="C9" s="2" t="s">
        <v>64</v>
      </c>
      <c r="D9" s="2" t="s">
        <v>0</v>
      </c>
      <c r="E9" s="4">
        <v>0</v>
      </c>
      <c r="F9" s="4">
        <v>1</v>
      </c>
      <c r="G9" s="4">
        <v>0</v>
      </c>
      <c r="H9" s="12">
        <f t="shared" si="0"/>
        <v>1</v>
      </c>
    </row>
    <row r="10" spans="1:8" ht="25.5" x14ac:dyDescent="0.2">
      <c r="A10" s="2" t="s">
        <v>33</v>
      </c>
      <c r="B10" s="3" t="s">
        <v>80</v>
      </c>
      <c r="C10" s="2" t="s">
        <v>64</v>
      </c>
      <c r="D10" s="2" t="s">
        <v>0</v>
      </c>
      <c r="E10" s="4">
        <v>0</v>
      </c>
      <c r="F10" s="4">
        <v>1</v>
      </c>
      <c r="G10" s="4">
        <v>0</v>
      </c>
      <c r="H10" s="12">
        <f t="shared" si="0"/>
        <v>1</v>
      </c>
    </row>
    <row r="11" spans="1:8" ht="25.5" x14ac:dyDescent="0.2">
      <c r="A11" s="2" t="s">
        <v>46</v>
      </c>
      <c r="B11" s="3" t="s">
        <v>81</v>
      </c>
      <c r="C11" s="2" t="s">
        <v>64</v>
      </c>
      <c r="D11" s="2" t="s">
        <v>44</v>
      </c>
      <c r="E11" s="4">
        <v>0</v>
      </c>
      <c r="F11" s="4">
        <v>1</v>
      </c>
      <c r="G11" s="4">
        <v>0</v>
      </c>
      <c r="H11" s="12">
        <f t="shared" si="0"/>
        <v>1</v>
      </c>
    </row>
    <row r="12" spans="1:8" ht="25.5" x14ac:dyDescent="0.2">
      <c r="A12" s="2" t="s">
        <v>61</v>
      </c>
      <c r="B12" s="3" t="s">
        <v>82</v>
      </c>
      <c r="C12" s="2" t="s">
        <v>64</v>
      </c>
      <c r="D12" s="2" t="s">
        <v>0</v>
      </c>
      <c r="E12" s="4">
        <v>0</v>
      </c>
      <c r="F12" s="4">
        <v>1</v>
      </c>
      <c r="G12" s="4">
        <v>0</v>
      </c>
      <c r="H12" s="12">
        <f t="shared" si="0"/>
        <v>1</v>
      </c>
    </row>
    <row r="13" spans="1:8" x14ac:dyDescent="0.2">
      <c r="A13" s="2" t="s">
        <v>55</v>
      </c>
      <c r="B13" s="3" t="s">
        <v>83</v>
      </c>
      <c r="C13" s="2" t="s">
        <v>57</v>
      </c>
      <c r="D13" s="2" t="s">
        <v>9</v>
      </c>
      <c r="E13" s="4">
        <v>1</v>
      </c>
      <c r="F13" s="4">
        <v>0</v>
      </c>
      <c r="G13" s="4">
        <v>0</v>
      </c>
      <c r="H13" s="12">
        <f t="shared" si="0"/>
        <v>1</v>
      </c>
    </row>
    <row r="14" spans="1:8" x14ac:dyDescent="0.2">
      <c r="A14" s="2" t="s">
        <v>36</v>
      </c>
      <c r="B14" s="3" t="s">
        <v>84</v>
      </c>
      <c r="C14" s="2" t="s">
        <v>57</v>
      </c>
      <c r="D14" s="2" t="s">
        <v>9</v>
      </c>
      <c r="E14" s="4">
        <v>1</v>
      </c>
      <c r="F14" s="4">
        <v>0</v>
      </c>
      <c r="G14" s="4">
        <v>0</v>
      </c>
      <c r="H14" s="12">
        <f t="shared" si="0"/>
        <v>1</v>
      </c>
    </row>
    <row r="15" spans="1:8" x14ac:dyDescent="0.2">
      <c r="A15" s="2" t="s">
        <v>11</v>
      </c>
      <c r="B15" s="3" t="s">
        <v>85</v>
      </c>
      <c r="C15" s="2" t="s">
        <v>57</v>
      </c>
      <c r="D15" s="2" t="s">
        <v>9</v>
      </c>
      <c r="E15" s="4">
        <v>0</v>
      </c>
      <c r="F15" s="4">
        <v>1</v>
      </c>
      <c r="G15" s="4">
        <v>0</v>
      </c>
      <c r="H15" s="12">
        <f t="shared" si="0"/>
        <v>1</v>
      </c>
    </row>
    <row r="16" spans="1:8" x14ac:dyDescent="0.2">
      <c r="A16" s="2" t="s">
        <v>50</v>
      </c>
      <c r="B16" s="3" t="s">
        <v>86</v>
      </c>
      <c r="C16" s="2" t="s">
        <v>57</v>
      </c>
      <c r="D16" s="2" t="s">
        <v>9</v>
      </c>
      <c r="E16" s="4">
        <v>0</v>
      </c>
      <c r="F16" s="4">
        <v>1</v>
      </c>
      <c r="G16" s="4">
        <v>0</v>
      </c>
      <c r="H16" s="12">
        <f t="shared" si="0"/>
        <v>1</v>
      </c>
    </row>
    <row r="17" spans="1:8" x14ac:dyDescent="0.2">
      <c r="A17" s="2" t="s">
        <v>40</v>
      </c>
      <c r="B17" s="3" t="s">
        <v>87</v>
      </c>
      <c r="C17" s="2" t="s">
        <v>57</v>
      </c>
      <c r="D17" s="2" t="s">
        <v>9</v>
      </c>
      <c r="E17" s="4">
        <v>0</v>
      </c>
      <c r="F17" s="4">
        <v>0</v>
      </c>
      <c r="G17" s="4">
        <v>0</v>
      </c>
      <c r="H17" s="12">
        <f t="shared" si="0"/>
        <v>0</v>
      </c>
    </row>
    <row r="18" spans="1:8" x14ac:dyDescent="0.2">
      <c r="A18" s="2" t="s">
        <v>63</v>
      </c>
      <c r="B18" s="3" t="s">
        <v>88</v>
      </c>
      <c r="C18" s="2" t="s">
        <v>57</v>
      </c>
      <c r="D18" s="2" t="s">
        <v>9</v>
      </c>
      <c r="E18" s="4">
        <v>0</v>
      </c>
      <c r="F18" s="4">
        <v>1</v>
      </c>
      <c r="G18" s="4">
        <v>0</v>
      </c>
      <c r="H18" s="12">
        <f t="shared" si="0"/>
        <v>1</v>
      </c>
    </row>
    <row r="19" spans="1:8" x14ac:dyDescent="0.2">
      <c r="A19" s="2" t="s">
        <v>54</v>
      </c>
      <c r="B19" s="3" t="s">
        <v>89</v>
      </c>
      <c r="C19" s="2" t="s">
        <v>57</v>
      </c>
      <c r="D19" s="2" t="s">
        <v>9</v>
      </c>
      <c r="E19" s="4">
        <v>0</v>
      </c>
      <c r="F19" s="4">
        <v>1</v>
      </c>
      <c r="G19" s="4">
        <v>0</v>
      </c>
      <c r="H19" s="12">
        <f t="shared" si="0"/>
        <v>1</v>
      </c>
    </row>
    <row r="20" spans="1:8" x14ac:dyDescent="0.2">
      <c r="A20" s="2" t="s">
        <v>41</v>
      </c>
      <c r="B20" s="3" t="s">
        <v>90</v>
      </c>
      <c r="C20" s="2" t="s">
        <v>57</v>
      </c>
      <c r="D20" s="2" t="s">
        <v>9</v>
      </c>
      <c r="E20" s="4">
        <v>0</v>
      </c>
      <c r="F20" s="4">
        <v>1</v>
      </c>
      <c r="G20" s="4">
        <v>0</v>
      </c>
      <c r="H20" s="12">
        <f t="shared" si="0"/>
        <v>1</v>
      </c>
    </row>
    <row r="21" spans="1:8" x14ac:dyDescent="0.2">
      <c r="A21" s="2" t="s">
        <v>29</v>
      </c>
      <c r="B21" s="3" t="s">
        <v>91</v>
      </c>
      <c r="C21" s="2" t="s">
        <v>21</v>
      </c>
      <c r="D21" s="2" t="s">
        <v>35</v>
      </c>
      <c r="E21" s="4">
        <v>0</v>
      </c>
      <c r="F21" s="4">
        <v>1</v>
      </c>
      <c r="G21" s="4">
        <v>0</v>
      </c>
      <c r="H21" s="12">
        <f t="shared" si="0"/>
        <v>1</v>
      </c>
    </row>
    <row r="22" spans="1:8" ht="25.5" x14ac:dyDescent="0.2">
      <c r="A22" s="2" t="s">
        <v>26</v>
      </c>
      <c r="B22" s="3" t="s">
        <v>92</v>
      </c>
      <c r="C22" s="2" t="s">
        <v>30</v>
      </c>
      <c r="D22" s="2" t="s">
        <v>9</v>
      </c>
      <c r="E22" s="4">
        <v>0</v>
      </c>
      <c r="F22" s="4">
        <v>1</v>
      </c>
      <c r="G22" s="4">
        <v>0</v>
      </c>
      <c r="H22" s="12">
        <f t="shared" si="0"/>
        <v>1</v>
      </c>
    </row>
    <row r="23" spans="1:8" ht="25.5" x14ac:dyDescent="0.2">
      <c r="A23" s="2" t="s">
        <v>10</v>
      </c>
      <c r="B23" s="3" t="s">
        <v>93</v>
      </c>
      <c r="C23" s="2" t="s">
        <v>30</v>
      </c>
      <c r="D23" s="2" t="s">
        <v>44</v>
      </c>
      <c r="E23" s="4">
        <v>0</v>
      </c>
      <c r="F23" s="4">
        <v>1</v>
      </c>
      <c r="G23" s="4">
        <v>0</v>
      </c>
      <c r="H23" s="12">
        <f t="shared" si="0"/>
        <v>1</v>
      </c>
    </row>
    <row r="24" spans="1:8" ht="25.5" x14ac:dyDescent="0.2">
      <c r="A24" s="2" t="s">
        <v>67</v>
      </c>
      <c r="B24" s="3" t="s">
        <v>94</v>
      </c>
      <c r="C24" s="2" t="s">
        <v>30</v>
      </c>
      <c r="D24" s="2" t="s">
        <v>35</v>
      </c>
      <c r="E24" s="4">
        <v>0</v>
      </c>
      <c r="F24" s="4">
        <v>1</v>
      </c>
      <c r="G24" s="4">
        <v>0</v>
      </c>
      <c r="H24" s="12">
        <f t="shared" si="0"/>
        <v>1</v>
      </c>
    </row>
    <row r="25" spans="1:8" ht="25.5" x14ac:dyDescent="0.2">
      <c r="A25" s="2" t="s">
        <v>12</v>
      </c>
      <c r="B25" s="3" t="s">
        <v>95</v>
      </c>
      <c r="C25" s="2" t="s">
        <v>30</v>
      </c>
      <c r="D25" s="2" t="s">
        <v>0</v>
      </c>
      <c r="E25" s="4">
        <v>0</v>
      </c>
      <c r="F25" s="4">
        <v>0</v>
      </c>
      <c r="G25" s="4">
        <v>0</v>
      </c>
      <c r="H25" s="12">
        <f t="shared" si="0"/>
        <v>0</v>
      </c>
    </row>
    <row r="26" spans="1:8" ht="25.5" x14ac:dyDescent="0.2">
      <c r="A26" s="2" t="s">
        <v>15</v>
      </c>
      <c r="B26" s="3" t="s">
        <v>96</v>
      </c>
      <c r="C26" s="2" t="s">
        <v>30</v>
      </c>
      <c r="D26" s="2" t="s">
        <v>44</v>
      </c>
      <c r="E26" s="4">
        <v>0</v>
      </c>
      <c r="F26" s="4">
        <v>0</v>
      </c>
      <c r="G26" s="4">
        <v>0</v>
      </c>
      <c r="H26" s="12">
        <f t="shared" si="0"/>
        <v>0</v>
      </c>
    </row>
    <row r="27" spans="1:8" ht="25.5" x14ac:dyDescent="0.2">
      <c r="A27" s="2" t="s">
        <v>28</v>
      </c>
      <c r="B27" s="3" t="s">
        <v>97</v>
      </c>
      <c r="C27" s="2" t="s">
        <v>30</v>
      </c>
      <c r="D27" s="2" t="s">
        <v>0</v>
      </c>
      <c r="E27" s="4">
        <v>0</v>
      </c>
      <c r="F27" s="4">
        <v>1</v>
      </c>
      <c r="G27" s="4">
        <v>0</v>
      </c>
      <c r="H27" s="12">
        <f t="shared" si="0"/>
        <v>1</v>
      </c>
    </row>
    <row r="28" spans="1:8" ht="25.5" x14ac:dyDescent="0.2">
      <c r="A28" s="2" t="s">
        <v>25</v>
      </c>
      <c r="B28" s="3" t="s">
        <v>98</v>
      </c>
      <c r="C28" s="2" t="s">
        <v>30</v>
      </c>
      <c r="D28" s="2" t="s">
        <v>35</v>
      </c>
      <c r="E28" s="4">
        <v>0</v>
      </c>
      <c r="F28" s="4">
        <v>1</v>
      </c>
      <c r="G28" s="4">
        <v>0</v>
      </c>
      <c r="H28" s="12">
        <f t="shared" si="0"/>
        <v>1</v>
      </c>
    </row>
    <row r="29" spans="1:8" ht="25.5" x14ac:dyDescent="0.2">
      <c r="A29" s="2" t="s">
        <v>6</v>
      </c>
      <c r="B29" s="3" t="s">
        <v>99</v>
      </c>
      <c r="C29" s="2" t="s">
        <v>30</v>
      </c>
      <c r="D29" s="2" t="s">
        <v>44</v>
      </c>
      <c r="E29" s="4">
        <v>0</v>
      </c>
      <c r="F29" s="4">
        <v>1</v>
      </c>
      <c r="G29" s="4">
        <v>0</v>
      </c>
      <c r="H29" s="12">
        <f t="shared" si="0"/>
        <v>1</v>
      </c>
    </row>
    <row r="30" spans="1:8" ht="25.5" x14ac:dyDescent="0.2">
      <c r="A30" s="2" t="s">
        <v>42</v>
      </c>
      <c r="B30" s="3" t="s">
        <v>100</v>
      </c>
      <c r="C30" s="2" t="s">
        <v>30</v>
      </c>
      <c r="D30" s="2" t="s">
        <v>13</v>
      </c>
      <c r="E30" s="4">
        <v>1</v>
      </c>
      <c r="F30" s="4">
        <v>0</v>
      </c>
      <c r="G30" s="4">
        <v>0</v>
      </c>
      <c r="H30" s="12">
        <f t="shared" si="0"/>
        <v>1</v>
      </c>
    </row>
    <row r="31" spans="1:8" ht="25.5" x14ac:dyDescent="0.2">
      <c r="A31" s="2" t="s">
        <v>19</v>
      </c>
      <c r="B31" s="3" t="s">
        <v>101</v>
      </c>
      <c r="C31" s="2" t="s">
        <v>30</v>
      </c>
      <c r="D31" s="2" t="s">
        <v>44</v>
      </c>
      <c r="E31" s="4">
        <v>0</v>
      </c>
      <c r="F31" s="4">
        <v>1</v>
      </c>
      <c r="G31" s="4">
        <v>0</v>
      </c>
      <c r="H31" s="12">
        <f t="shared" si="0"/>
        <v>1</v>
      </c>
    </row>
    <row r="32" spans="1:8" ht="25.5" x14ac:dyDescent="0.2">
      <c r="A32" s="2" t="s">
        <v>66</v>
      </c>
      <c r="B32" s="3" t="s">
        <v>102</v>
      </c>
      <c r="C32" s="2" t="s">
        <v>30</v>
      </c>
      <c r="D32" s="2" t="s">
        <v>44</v>
      </c>
      <c r="E32" s="4">
        <v>0</v>
      </c>
      <c r="F32" s="4">
        <v>1</v>
      </c>
      <c r="G32" s="4">
        <v>0</v>
      </c>
      <c r="H32" s="12">
        <f t="shared" si="0"/>
        <v>1</v>
      </c>
    </row>
    <row r="33" spans="1:8" ht="25.5" x14ac:dyDescent="0.2">
      <c r="A33" s="2" t="s">
        <v>17</v>
      </c>
      <c r="B33" s="3" t="s">
        <v>103</v>
      </c>
      <c r="C33" s="2" t="s">
        <v>30</v>
      </c>
      <c r="D33" s="2" t="s">
        <v>9</v>
      </c>
      <c r="E33" s="4">
        <v>0</v>
      </c>
      <c r="F33" s="4">
        <v>1</v>
      </c>
      <c r="G33" s="4">
        <v>0</v>
      </c>
      <c r="H33" s="12">
        <f t="shared" si="0"/>
        <v>1</v>
      </c>
    </row>
    <row r="34" spans="1:8" ht="25.5" x14ac:dyDescent="0.2">
      <c r="A34" s="2" t="s">
        <v>24</v>
      </c>
      <c r="B34" s="3" t="s">
        <v>104</v>
      </c>
      <c r="C34" s="2" t="s">
        <v>30</v>
      </c>
      <c r="D34" s="2" t="s">
        <v>13</v>
      </c>
      <c r="E34" s="4">
        <v>0</v>
      </c>
      <c r="F34" s="4">
        <v>1</v>
      </c>
      <c r="G34" s="4">
        <v>0</v>
      </c>
      <c r="H34" s="12">
        <f t="shared" si="0"/>
        <v>1</v>
      </c>
    </row>
    <row r="35" spans="1:8" ht="25.5" x14ac:dyDescent="0.2">
      <c r="A35" s="2" t="s">
        <v>51</v>
      </c>
      <c r="B35" s="3" t="s">
        <v>105</v>
      </c>
      <c r="C35" s="2" t="s">
        <v>30</v>
      </c>
      <c r="D35" s="2" t="s">
        <v>9</v>
      </c>
      <c r="E35" s="4">
        <v>0</v>
      </c>
      <c r="F35" s="4">
        <v>1</v>
      </c>
      <c r="G35" s="4">
        <v>0</v>
      </c>
      <c r="H35" s="12">
        <f t="shared" si="0"/>
        <v>1</v>
      </c>
    </row>
    <row r="36" spans="1:8" ht="25.5" x14ac:dyDescent="0.2">
      <c r="A36" s="2" t="s">
        <v>53</v>
      </c>
      <c r="B36" s="3" t="s">
        <v>106</v>
      </c>
      <c r="C36" s="2" t="s">
        <v>30</v>
      </c>
      <c r="D36" s="2" t="s">
        <v>9</v>
      </c>
      <c r="E36" s="4">
        <v>0</v>
      </c>
      <c r="F36" s="4">
        <v>1</v>
      </c>
      <c r="G36" s="4">
        <v>0</v>
      </c>
      <c r="H36" s="12">
        <f t="shared" si="0"/>
        <v>1</v>
      </c>
    </row>
    <row r="37" spans="1:8" ht="25.5" x14ac:dyDescent="0.2">
      <c r="A37" s="2" t="s">
        <v>1</v>
      </c>
      <c r="B37" s="3" t="s">
        <v>107</v>
      </c>
      <c r="C37" s="2" t="s">
        <v>30</v>
      </c>
      <c r="D37" s="2" t="s">
        <v>44</v>
      </c>
      <c r="E37" s="4">
        <v>0</v>
      </c>
      <c r="F37" s="4">
        <v>1</v>
      </c>
      <c r="G37" s="4">
        <v>0</v>
      </c>
      <c r="H37" s="12">
        <f t="shared" si="0"/>
        <v>1</v>
      </c>
    </row>
    <row r="38" spans="1:8" ht="25.5" x14ac:dyDescent="0.2">
      <c r="A38" s="2" t="s">
        <v>4</v>
      </c>
      <c r="B38" s="3" t="s">
        <v>108</v>
      </c>
      <c r="C38" s="2" t="s">
        <v>30</v>
      </c>
      <c r="D38" s="2" t="s">
        <v>32</v>
      </c>
      <c r="E38" s="4">
        <v>1</v>
      </c>
      <c r="F38" s="4">
        <v>0</v>
      </c>
      <c r="G38" s="4">
        <v>0</v>
      </c>
      <c r="H38" s="12">
        <f t="shared" si="0"/>
        <v>1</v>
      </c>
    </row>
    <row r="39" spans="1:8" ht="25.5" x14ac:dyDescent="0.2">
      <c r="A39" s="2" t="s">
        <v>7</v>
      </c>
      <c r="B39" s="3" t="s">
        <v>109</v>
      </c>
      <c r="C39" s="2" t="s">
        <v>30</v>
      </c>
      <c r="D39" s="2" t="s">
        <v>44</v>
      </c>
      <c r="E39" s="4">
        <v>0</v>
      </c>
      <c r="F39" s="4">
        <v>1</v>
      </c>
      <c r="G39" s="4">
        <v>0</v>
      </c>
      <c r="H39" s="12">
        <f t="shared" si="0"/>
        <v>1</v>
      </c>
    </row>
    <row r="40" spans="1:8" ht="25.5" x14ac:dyDescent="0.2">
      <c r="A40" s="2" t="s">
        <v>20</v>
      </c>
      <c r="B40" s="3" t="s">
        <v>110</v>
      </c>
      <c r="C40" s="2" t="s">
        <v>30</v>
      </c>
      <c r="D40" s="2" t="s">
        <v>32</v>
      </c>
      <c r="E40" s="4">
        <v>1</v>
      </c>
      <c r="F40" s="4">
        <v>0</v>
      </c>
      <c r="G40" s="4">
        <v>0</v>
      </c>
      <c r="H40" s="12">
        <f t="shared" si="0"/>
        <v>1</v>
      </c>
    </row>
    <row r="41" spans="1:8" ht="25.5" x14ac:dyDescent="0.2">
      <c r="A41" s="2" t="s">
        <v>38</v>
      </c>
      <c r="B41" s="3" t="s">
        <v>111</v>
      </c>
      <c r="C41" s="2" t="s">
        <v>30</v>
      </c>
      <c r="D41" s="2" t="s">
        <v>0</v>
      </c>
      <c r="E41" s="4">
        <v>0</v>
      </c>
      <c r="F41" s="4">
        <v>0</v>
      </c>
      <c r="G41" s="4">
        <v>1</v>
      </c>
      <c r="H41" s="12">
        <f t="shared" si="0"/>
        <v>1</v>
      </c>
    </row>
    <row r="42" spans="1:8" ht="25.5" x14ac:dyDescent="0.2">
      <c r="A42" s="2" t="s">
        <v>18</v>
      </c>
      <c r="B42" s="3" t="s">
        <v>112</v>
      </c>
      <c r="C42" s="2" t="s">
        <v>30</v>
      </c>
      <c r="D42" s="2" t="s">
        <v>0</v>
      </c>
      <c r="E42" s="4">
        <v>0</v>
      </c>
      <c r="F42" s="4">
        <v>0</v>
      </c>
      <c r="G42" s="4">
        <v>0</v>
      </c>
      <c r="H42" s="12">
        <f t="shared" si="0"/>
        <v>0</v>
      </c>
    </row>
    <row r="43" spans="1:8" ht="25.5" x14ac:dyDescent="0.2">
      <c r="A43" s="2" t="s">
        <v>68</v>
      </c>
      <c r="B43" s="3" t="s">
        <v>113</v>
      </c>
      <c r="C43" s="2" t="s">
        <v>30</v>
      </c>
      <c r="D43" s="2" t="s">
        <v>0</v>
      </c>
      <c r="E43" s="4">
        <v>1</v>
      </c>
      <c r="F43" s="4">
        <v>0</v>
      </c>
      <c r="G43" s="4">
        <v>0</v>
      </c>
      <c r="H43" s="12">
        <f t="shared" si="0"/>
        <v>1</v>
      </c>
    </row>
    <row r="44" spans="1:8" ht="25.5" x14ac:dyDescent="0.2">
      <c r="A44" s="2" t="s">
        <v>27</v>
      </c>
      <c r="B44" s="3" t="s">
        <v>114</v>
      </c>
      <c r="C44" s="2" t="s">
        <v>30</v>
      </c>
      <c r="D44" s="2" t="s">
        <v>35</v>
      </c>
      <c r="E44" s="4">
        <v>1</v>
      </c>
      <c r="F44" s="4">
        <v>0</v>
      </c>
      <c r="G44" s="4">
        <v>0</v>
      </c>
      <c r="H44" s="12">
        <f t="shared" si="0"/>
        <v>1</v>
      </c>
    </row>
    <row r="45" spans="1:8" ht="25.5" x14ac:dyDescent="0.2">
      <c r="A45" s="2" t="s">
        <v>37</v>
      </c>
      <c r="B45" s="3" t="s">
        <v>115</v>
      </c>
      <c r="C45" s="2" t="s">
        <v>30</v>
      </c>
      <c r="D45" s="2" t="s">
        <v>9</v>
      </c>
      <c r="E45" s="4">
        <v>1</v>
      </c>
      <c r="F45" s="4">
        <v>0</v>
      </c>
      <c r="G45" s="4">
        <v>0</v>
      </c>
      <c r="H45" s="12">
        <f t="shared" si="0"/>
        <v>1</v>
      </c>
    </row>
    <row r="46" spans="1:8" ht="25.5" x14ac:dyDescent="0.2">
      <c r="A46" s="2" t="s">
        <v>60</v>
      </c>
      <c r="B46" s="3" t="s">
        <v>116</v>
      </c>
      <c r="C46" s="2" t="s">
        <v>30</v>
      </c>
      <c r="D46" s="2" t="s">
        <v>32</v>
      </c>
      <c r="E46" s="4">
        <v>0</v>
      </c>
      <c r="F46" s="4">
        <v>1</v>
      </c>
      <c r="G46" s="4">
        <v>0</v>
      </c>
      <c r="H46" s="12">
        <f t="shared" si="0"/>
        <v>1</v>
      </c>
    </row>
    <row r="47" spans="1:8" ht="25.5" x14ac:dyDescent="0.2">
      <c r="A47" s="2" t="s">
        <v>59</v>
      </c>
      <c r="B47" s="3" t="s">
        <v>117</v>
      </c>
      <c r="C47" s="2" t="s">
        <v>30</v>
      </c>
      <c r="D47" s="2" t="s">
        <v>9</v>
      </c>
      <c r="E47" s="4">
        <v>1</v>
      </c>
      <c r="F47" s="4">
        <v>0</v>
      </c>
      <c r="G47" s="4">
        <v>0</v>
      </c>
      <c r="H47" s="12">
        <f t="shared" si="0"/>
        <v>1</v>
      </c>
    </row>
    <row r="48" spans="1:8" ht="25.5" x14ac:dyDescent="0.2">
      <c r="A48" s="2" t="s">
        <v>31</v>
      </c>
      <c r="B48" s="3" t="s">
        <v>118</v>
      </c>
      <c r="C48" s="2" t="s">
        <v>30</v>
      </c>
      <c r="D48" s="2" t="s">
        <v>9</v>
      </c>
      <c r="E48" s="4">
        <v>0</v>
      </c>
      <c r="F48" s="4">
        <v>1</v>
      </c>
      <c r="G48" s="4">
        <v>0</v>
      </c>
      <c r="H48" s="12">
        <f t="shared" si="0"/>
        <v>1</v>
      </c>
    </row>
    <row r="49" spans="1:8" ht="25.5" x14ac:dyDescent="0.2">
      <c r="A49" s="2" t="s">
        <v>14</v>
      </c>
      <c r="B49" s="3" t="s">
        <v>119</v>
      </c>
      <c r="C49" s="2" t="s">
        <v>30</v>
      </c>
      <c r="D49" s="2" t="s">
        <v>44</v>
      </c>
      <c r="E49" s="4">
        <v>0</v>
      </c>
      <c r="F49" s="4">
        <v>1</v>
      </c>
      <c r="G49" s="4">
        <v>0</v>
      </c>
      <c r="H49" s="12">
        <f t="shared" si="0"/>
        <v>1</v>
      </c>
    </row>
    <row r="50" spans="1:8" x14ac:dyDescent="0.2">
      <c r="A50" s="2" t="s">
        <v>47</v>
      </c>
      <c r="B50" s="3" t="s">
        <v>120</v>
      </c>
      <c r="C50" s="2" t="s">
        <v>3</v>
      </c>
      <c r="D50" s="2" t="s">
        <v>0</v>
      </c>
      <c r="E50" s="4">
        <v>0</v>
      </c>
      <c r="F50" s="4">
        <v>1</v>
      </c>
      <c r="G50" s="4">
        <v>0</v>
      </c>
      <c r="H50" s="12">
        <f t="shared" si="0"/>
        <v>1</v>
      </c>
    </row>
    <row r="51" spans="1:8" x14ac:dyDescent="0.2">
      <c r="A51" s="2" t="s">
        <v>8</v>
      </c>
      <c r="B51" s="3" t="s">
        <v>121</v>
      </c>
      <c r="C51" s="2" t="s">
        <v>39</v>
      </c>
      <c r="D51" s="2" t="s">
        <v>44</v>
      </c>
      <c r="E51" s="4">
        <v>0</v>
      </c>
      <c r="F51" s="4">
        <v>0</v>
      </c>
      <c r="G51" s="4">
        <v>0</v>
      </c>
      <c r="H51" s="12">
        <f t="shared" si="0"/>
        <v>0</v>
      </c>
    </row>
    <row r="52" spans="1:8" x14ac:dyDescent="0.2">
      <c r="A52" s="2" t="s">
        <v>43</v>
      </c>
      <c r="B52" s="3" t="s">
        <v>122</v>
      </c>
      <c r="C52" s="2" t="s">
        <v>39</v>
      </c>
      <c r="D52" s="2" t="s">
        <v>32</v>
      </c>
      <c r="E52" s="4">
        <v>1</v>
      </c>
      <c r="F52" s="4">
        <v>0</v>
      </c>
      <c r="G52" s="4">
        <v>0</v>
      </c>
      <c r="H52" s="12">
        <f t="shared" si="0"/>
        <v>1</v>
      </c>
    </row>
    <row r="53" spans="1:8" x14ac:dyDescent="0.2">
      <c r="A53" s="2" t="s">
        <v>45</v>
      </c>
      <c r="B53" s="3" t="s">
        <v>123</v>
      </c>
      <c r="C53" s="2" t="s">
        <v>39</v>
      </c>
      <c r="D53" s="2" t="s">
        <v>35</v>
      </c>
      <c r="E53" s="4">
        <v>1</v>
      </c>
      <c r="F53" s="4">
        <v>0</v>
      </c>
      <c r="G53" s="4">
        <v>0</v>
      </c>
      <c r="H53" s="12">
        <f t="shared" si="0"/>
        <v>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6C73-18EA-41E6-8A23-06300540CAD1}">
  <dimension ref="A1:O53"/>
  <sheetViews>
    <sheetView topLeftCell="O37" workbookViewId="0">
      <selection activeCell="B1" sqref="B1:O53"/>
    </sheetView>
  </sheetViews>
  <sheetFormatPr defaultColWidth="30.7109375" defaultRowHeight="12.75" x14ac:dyDescent="0.2"/>
  <cols>
    <col min="1" max="1" width="0" style="2" hidden="1" customWidth="1"/>
    <col min="2" max="2" width="30.7109375" style="10"/>
    <col min="3" max="4" width="0" style="2" hidden="1" customWidth="1"/>
    <col min="5" max="15" width="30.7109375" style="10"/>
    <col min="16" max="16384" width="30.7109375" style="2"/>
  </cols>
  <sheetData>
    <row r="1" spans="1:15" ht="38.25" x14ac:dyDescent="0.2">
      <c r="A1" s="2" t="s">
        <v>2</v>
      </c>
      <c r="B1" s="2" t="s">
        <v>2</v>
      </c>
      <c r="C1" s="2" t="s">
        <v>65</v>
      </c>
      <c r="D1" s="2" t="s">
        <v>62</v>
      </c>
      <c r="E1" s="11" t="s">
        <v>180</v>
      </c>
      <c r="F1" s="11" t="s">
        <v>181</v>
      </c>
      <c r="G1" s="11" t="s">
        <v>186</v>
      </c>
      <c r="H1" s="11" t="s">
        <v>187</v>
      </c>
      <c r="I1" s="11" t="s">
        <v>188</v>
      </c>
      <c r="J1" s="11" t="s">
        <v>189</v>
      </c>
      <c r="K1" s="11" t="s">
        <v>190</v>
      </c>
      <c r="L1" s="11" t="s">
        <v>191</v>
      </c>
      <c r="M1" s="11" t="s">
        <v>192</v>
      </c>
      <c r="N1" s="11" t="s">
        <v>193</v>
      </c>
      <c r="O1" s="11" t="s">
        <v>182</v>
      </c>
    </row>
    <row r="2" spans="1:15" x14ac:dyDescent="0.2">
      <c r="A2" s="2" t="s">
        <v>52</v>
      </c>
      <c r="B2" s="3" t="s">
        <v>72</v>
      </c>
      <c r="C2" s="2" t="s">
        <v>58</v>
      </c>
      <c r="D2" s="2" t="s">
        <v>9</v>
      </c>
      <c r="E2" s="4">
        <v>0</v>
      </c>
      <c r="F2" s="4">
        <v>0</v>
      </c>
      <c r="G2" s="4">
        <v>0</v>
      </c>
      <c r="H2" s="4">
        <v>0</v>
      </c>
      <c r="I2" s="4">
        <v>0</v>
      </c>
      <c r="J2" s="4">
        <v>0</v>
      </c>
      <c r="K2" s="4">
        <v>0</v>
      </c>
      <c r="L2" s="4">
        <v>0</v>
      </c>
      <c r="M2" s="4">
        <v>0</v>
      </c>
      <c r="N2" s="4">
        <v>0</v>
      </c>
      <c r="O2" s="4">
        <v>0</v>
      </c>
    </row>
    <row r="3" spans="1:15" ht="25.5" x14ac:dyDescent="0.2">
      <c r="A3" s="2" t="s">
        <v>56</v>
      </c>
      <c r="B3" s="3" t="s">
        <v>73</v>
      </c>
      <c r="C3" s="2" t="s">
        <v>34</v>
      </c>
      <c r="D3" s="2" t="s">
        <v>13</v>
      </c>
      <c r="E3" s="4">
        <v>0</v>
      </c>
      <c r="F3" s="4">
        <v>1</v>
      </c>
      <c r="G3" s="4">
        <v>0</v>
      </c>
      <c r="H3" s="4">
        <v>0</v>
      </c>
      <c r="I3" s="4">
        <v>0</v>
      </c>
      <c r="J3" s="4">
        <v>0</v>
      </c>
      <c r="K3" s="4">
        <v>0</v>
      </c>
      <c r="L3" s="4">
        <v>0</v>
      </c>
      <c r="M3" s="4">
        <v>0</v>
      </c>
      <c r="N3" s="4">
        <v>0</v>
      </c>
      <c r="O3" s="4">
        <v>0</v>
      </c>
    </row>
    <row r="4" spans="1:15" ht="25.5" x14ac:dyDescent="0.2">
      <c r="A4" s="2" t="s">
        <v>49</v>
      </c>
      <c r="B4" s="3" t="s">
        <v>74</v>
      </c>
      <c r="C4" s="2" t="s">
        <v>34</v>
      </c>
      <c r="D4" s="2" t="s">
        <v>32</v>
      </c>
      <c r="E4" s="4">
        <v>0</v>
      </c>
      <c r="F4" s="4">
        <v>1</v>
      </c>
      <c r="G4" s="4">
        <v>0</v>
      </c>
      <c r="H4" s="4">
        <v>0</v>
      </c>
      <c r="I4" s="4">
        <v>0</v>
      </c>
      <c r="J4" s="4">
        <v>0</v>
      </c>
      <c r="K4" s="4">
        <v>0</v>
      </c>
      <c r="L4" s="4">
        <v>0</v>
      </c>
      <c r="M4" s="4">
        <v>0</v>
      </c>
      <c r="N4" s="4">
        <v>0</v>
      </c>
      <c r="O4" s="4">
        <v>0</v>
      </c>
    </row>
    <row r="5" spans="1:15" ht="25.5" x14ac:dyDescent="0.2">
      <c r="A5" s="2" t="s">
        <v>48</v>
      </c>
      <c r="B5" s="3" t="s">
        <v>75</v>
      </c>
      <c r="C5" s="2" t="s">
        <v>64</v>
      </c>
      <c r="D5" s="2" t="s">
        <v>0</v>
      </c>
      <c r="E5" s="4">
        <v>0</v>
      </c>
      <c r="F5" s="4">
        <v>1</v>
      </c>
      <c r="G5" s="4">
        <v>0</v>
      </c>
      <c r="H5" s="4">
        <v>1</v>
      </c>
      <c r="I5" s="4">
        <v>0</v>
      </c>
      <c r="J5" s="4">
        <v>1</v>
      </c>
      <c r="K5" s="4">
        <v>1</v>
      </c>
      <c r="L5" s="4">
        <v>1</v>
      </c>
      <c r="M5" s="4">
        <v>0</v>
      </c>
      <c r="N5" s="4">
        <v>1</v>
      </c>
      <c r="O5" s="4">
        <v>0</v>
      </c>
    </row>
    <row r="6" spans="1:15" ht="25.5" x14ac:dyDescent="0.2">
      <c r="A6" s="2" t="s">
        <v>22</v>
      </c>
      <c r="B6" s="3" t="s">
        <v>76</v>
      </c>
      <c r="C6" s="2" t="s">
        <v>64</v>
      </c>
      <c r="D6" s="2" t="s">
        <v>44</v>
      </c>
      <c r="E6" s="4">
        <v>0</v>
      </c>
      <c r="F6" s="4">
        <v>1</v>
      </c>
      <c r="G6" s="4">
        <v>0</v>
      </c>
      <c r="H6" s="4">
        <v>0</v>
      </c>
      <c r="I6" s="4">
        <v>1</v>
      </c>
      <c r="J6" s="4">
        <v>0</v>
      </c>
      <c r="K6" s="4">
        <v>0</v>
      </c>
      <c r="L6" s="4">
        <v>0</v>
      </c>
      <c r="M6" s="4">
        <v>0</v>
      </c>
      <c r="N6" s="4">
        <v>0</v>
      </c>
      <c r="O6" s="4">
        <v>0</v>
      </c>
    </row>
    <row r="7" spans="1:15" ht="25.5" x14ac:dyDescent="0.2">
      <c r="A7" s="2" t="s">
        <v>16</v>
      </c>
      <c r="B7" s="3" t="s">
        <v>77</v>
      </c>
      <c r="C7" s="2" t="s">
        <v>64</v>
      </c>
      <c r="D7" s="2" t="s">
        <v>0</v>
      </c>
      <c r="E7" s="4">
        <v>0</v>
      </c>
      <c r="F7" s="4">
        <v>1</v>
      </c>
      <c r="G7" s="4">
        <v>0</v>
      </c>
      <c r="H7" s="4">
        <v>0</v>
      </c>
      <c r="I7" s="4">
        <v>1</v>
      </c>
      <c r="J7" s="4">
        <v>1</v>
      </c>
      <c r="K7" s="4">
        <v>0</v>
      </c>
      <c r="L7" s="4">
        <v>1</v>
      </c>
      <c r="M7" s="4">
        <v>0</v>
      </c>
      <c r="N7" s="4">
        <v>0</v>
      </c>
      <c r="O7" s="4">
        <v>0</v>
      </c>
    </row>
    <row r="8" spans="1:15" ht="25.5" x14ac:dyDescent="0.2">
      <c r="A8" s="2" t="s">
        <v>5</v>
      </c>
      <c r="B8" s="3" t="s">
        <v>78</v>
      </c>
      <c r="C8" s="2" t="s">
        <v>64</v>
      </c>
      <c r="D8" s="2" t="s">
        <v>44</v>
      </c>
      <c r="E8" s="4">
        <v>0</v>
      </c>
      <c r="F8" s="4">
        <v>1</v>
      </c>
      <c r="G8" s="4">
        <v>0</v>
      </c>
      <c r="H8" s="4">
        <v>0</v>
      </c>
      <c r="I8" s="4">
        <v>0</v>
      </c>
      <c r="J8" s="4">
        <v>0</v>
      </c>
      <c r="K8" s="4">
        <v>0</v>
      </c>
      <c r="L8" s="4">
        <v>0</v>
      </c>
      <c r="M8" s="4">
        <v>0</v>
      </c>
      <c r="N8" s="4">
        <v>1</v>
      </c>
      <c r="O8" s="4">
        <v>0</v>
      </c>
    </row>
    <row r="9" spans="1:15" ht="25.5" x14ac:dyDescent="0.2">
      <c r="A9" s="2" t="s">
        <v>23</v>
      </c>
      <c r="B9" s="3" t="s">
        <v>79</v>
      </c>
      <c r="C9" s="2" t="s">
        <v>64</v>
      </c>
      <c r="D9" s="2" t="s">
        <v>0</v>
      </c>
      <c r="E9" s="4">
        <v>0</v>
      </c>
      <c r="F9" s="4">
        <v>1</v>
      </c>
      <c r="G9" s="4">
        <v>0</v>
      </c>
      <c r="H9" s="4">
        <v>0</v>
      </c>
      <c r="I9" s="4">
        <v>0</v>
      </c>
      <c r="J9" s="4">
        <v>0</v>
      </c>
      <c r="K9" s="4">
        <v>0</v>
      </c>
      <c r="L9" s="4">
        <v>0</v>
      </c>
      <c r="M9" s="4">
        <v>1</v>
      </c>
      <c r="N9" s="4">
        <v>0</v>
      </c>
      <c r="O9" s="4">
        <v>0</v>
      </c>
    </row>
    <row r="10" spans="1:15" ht="25.5" x14ac:dyDescent="0.2">
      <c r="A10" s="2" t="s">
        <v>33</v>
      </c>
      <c r="B10" s="3" t="s">
        <v>80</v>
      </c>
      <c r="C10" s="2" t="s">
        <v>64</v>
      </c>
      <c r="D10" s="2" t="s">
        <v>0</v>
      </c>
      <c r="E10" s="4">
        <v>0</v>
      </c>
      <c r="F10" s="4">
        <v>1</v>
      </c>
      <c r="G10" s="4">
        <v>0</v>
      </c>
      <c r="H10" s="4">
        <v>0</v>
      </c>
      <c r="I10" s="4">
        <v>0</v>
      </c>
      <c r="J10" s="4">
        <v>0</v>
      </c>
      <c r="K10" s="4">
        <v>0</v>
      </c>
      <c r="L10" s="4">
        <v>0</v>
      </c>
      <c r="M10" s="4">
        <v>0</v>
      </c>
      <c r="N10" s="4">
        <v>1</v>
      </c>
      <c r="O10" s="4">
        <v>0</v>
      </c>
    </row>
    <row r="11" spans="1:15" ht="25.5" x14ac:dyDescent="0.2">
      <c r="A11" s="2" t="s">
        <v>46</v>
      </c>
      <c r="B11" s="3" t="s">
        <v>81</v>
      </c>
      <c r="C11" s="2" t="s">
        <v>64</v>
      </c>
      <c r="D11" s="2" t="s">
        <v>44</v>
      </c>
      <c r="E11" s="4">
        <v>0</v>
      </c>
      <c r="F11" s="4">
        <v>1</v>
      </c>
      <c r="G11" s="4">
        <v>0</v>
      </c>
      <c r="H11" s="4">
        <v>0</v>
      </c>
      <c r="I11" s="4">
        <v>0</v>
      </c>
      <c r="J11" s="4">
        <v>1</v>
      </c>
      <c r="K11" s="4">
        <v>1</v>
      </c>
      <c r="L11" s="4">
        <v>0</v>
      </c>
      <c r="M11" s="4">
        <v>0</v>
      </c>
      <c r="N11" s="4">
        <v>1</v>
      </c>
      <c r="O11" s="4">
        <v>0</v>
      </c>
    </row>
    <row r="12" spans="1:15" ht="25.5" x14ac:dyDescent="0.2">
      <c r="A12" s="2" t="s">
        <v>61</v>
      </c>
      <c r="B12" s="3" t="s">
        <v>82</v>
      </c>
      <c r="C12" s="2" t="s">
        <v>64</v>
      </c>
      <c r="D12" s="2" t="s">
        <v>0</v>
      </c>
      <c r="E12" s="4">
        <v>0</v>
      </c>
      <c r="F12" s="4">
        <v>1</v>
      </c>
      <c r="G12" s="4">
        <v>1</v>
      </c>
      <c r="H12" s="4">
        <v>1</v>
      </c>
      <c r="I12" s="4">
        <v>0</v>
      </c>
      <c r="J12" s="4">
        <v>1</v>
      </c>
      <c r="K12" s="4">
        <v>0</v>
      </c>
      <c r="L12" s="4">
        <v>1</v>
      </c>
      <c r="M12" s="4">
        <v>0</v>
      </c>
      <c r="N12" s="4">
        <v>0</v>
      </c>
      <c r="O12" s="4">
        <v>0</v>
      </c>
    </row>
    <row r="13" spans="1:15" x14ac:dyDescent="0.2">
      <c r="A13" s="2" t="s">
        <v>55</v>
      </c>
      <c r="B13" s="3" t="s">
        <v>83</v>
      </c>
      <c r="C13" s="2" t="s">
        <v>57</v>
      </c>
      <c r="D13" s="2" t="s">
        <v>9</v>
      </c>
      <c r="E13" s="4">
        <v>1</v>
      </c>
      <c r="F13" s="4">
        <v>0</v>
      </c>
      <c r="G13" s="4">
        <v>0</v>
      </c>
      <c r="H13" s="4">
        <v>0</v>
      </c>
      <c r="I13" s="4">
        <v>0</v>
      </c>
      <c r="J13" s="4">
        <v>0</v>
      </c>
      <c r="K13" s="4">
        <v>0</v>
      </c>
      <c r="L13" s="4">
        <v>0</v>
      </c>
      <c r="M13" s="4">
        <v>0</v>
      </c>
      <c r="N13" s="4">
        <v>0</v>
      </c>
      <c r="O13" s="4">
        <v>0</v>
      </c>
    </row>
    <row r="14" spans="1:15" x14ac:dyDescent="0.2">
      <c r="A14" s="2" t="s">
        <v>36</v>
      </c>
      <c r="B14" s="3" t="s">
        <v>84</v>
      </c>
      <c r="C14" s="2" t="s">
        <v>57</v>
      </c>
      <c r="D14" s="2" t="s">
        <v>9</v>
      </c>
      <c r="E14" s="4">
        <v>1</v>
      </c>
      <c r="F14" s="4">
        <v>0</v>
      </c>
      <c r="G14" s="4">
        <v>0</v>
      </c>
      <c r="H14" s="4">
        <v>0</v>
      </c>
      <c r="I14" s="4">
        <v>0</v>
      </c>
      <c r="J14" s="4">
        <v>0</v>
      </c>
      <c r="K14" s="4">
        <v>0</v>
      </c>
      <c r="L14" s="4">
        <v>0</v>
      </c>
      <c r="M14" s="4">
        <v>0</v>
      </c>
      <c r="N14" s="4">
        <v>0</v>
      </c>
      <c r="O14" s="4">
        <v>0</v>
      </c>
    </row>
    <row r="15" spans="1:15" x14ac:dyDescent="0.2">
      <c r="A15" s="2" t="s">
        <v>11</v>
      </c>
      <c r="B15" s="3" t="s">
        <v>85</v>
      </c>
      <c r="C15" s="2" t="s">
        <v>57</v>
      </c>
      <c r="D15" s="2" t="s">
        <v>9</v>
      </c>
      <c r="E15" s="4">
        <v>0</v>
      </c>
      <c r="F15" s="4">
        <v>1</v>
      </c>
      <c r="G15" s="4">
        <v>0</v>
      </c>
      <c r="H15" s="4">
        <v>0</v>
      </c>
      <c r="I15" s="4">
        <v>1</v>
      </c>
      <c r="J15" s="4">
        <v>0</v>
      </c>
      <c r="K15" s="4">
        <v>0</v>
      </c>
      <c r="L15" s="4">
        <v>0</v>
      </c>
      <c r="M15" s="4">
        <v>0</v>
      </c>
      <c r="N15" s="4">
        <v>0</v>
      </c>
      <c r="O15" s="4">
        <v>0</v>
      </c>
    </row>
    <row r="16" spans="1:15" x14ac:dyDescent="0.2">
      <c r="A16" s="2" t="s">
        <v>50</v>
      </c>
      <c r="B16" s="3" t="s">
        <v>86</v>
      </c>
      <c r="C16" s="2" t="s">
        <v>57</v>
      </c>
      <c r="D16" s="2" t="s">
        <v>9</v>
      </c>
      <c r="E16" s="4">
        <v>0</v>
      </c>
      <c r="F16" s="4">
        <v>1</v>
      </c>
      <c r="G16" s="4">
        <v>0</v>
      </c>
      <c r="H16" s="4">
        <v>1</v>
      </c>
      <c r="I16" s="4">
        <v>0</v>
      </c>
      <c r="J16" s="4">
        <v>0</v>
      </c>
      <c r="K16" s="4">
        <v>1</v>
      </c>
      <c r="L16" s="4">
        <v>0</v>
      </c>
      <c r="M16" s="4">
        <v>0</v>
      </c>
      <c r="N16" s="4">
        <v>0</v>
      </c>
      <c r="O16" s="4">
        <v>0</v>
      </c>
    </row>
    <row r="17" spans="1:15" x14ac:dyDescent="0.2">
      <c r="A17" s="2" t="s">
        <v>40</v>
      </c>
      <c r="B17" s="3" t="s">
        <v>87</v>
      </c>
      <c r="C17" s="2" t="s">
        <v>57</v>
      </c>
      <c r="D17" s="2" t="s">
        <v>9</v>
      </c>
      <c r="E17" s="4">
        <v>0</v>
      </c>
      <c r="F17" s="4">
        <v>0</v>
      </c>
      <c r="G17" s="4">
        <v>0</v>
      </c>
      <c r="H17" s="4">
        <v>0</v>
      </c>
      <c r="I17" s="4">
        <v>0</v>
      </c>
      <c r="J17" s="4">
        <v>0</v>
      </c>
      <c r="K17" s="4">
        <v>0</v>
      </c>
      <c r="L17" s="4">
        <v>0</v>
      </c>
      <c r="M17" s="4">
        <v>0</v>
      </c>
      <c r="N17" s="4">
        <v>0</v>
      </c>
      <c r="O17" s="4">
        <v>0</v>
      </c>
    </row>
    <row r="18" spans="1:15" x14ac:dyDescent="0.2">
      <c r="A18" s="2" t="s">
        <v>63</v>
      </c>
      <c r="B18" s="3" t="s">
        <v>88</v>
      </c>
      <c r="C18" s="2" t="s">
        <v>57</v>
      </c>
      <c r="D18" s="2" t="s">
        <v>9</v>
      </c>
      <c r="E18" s="4">
        <v>0</v>
      </c>
      <c r="F18" s="4">
        <v>1</v>
      </c>
      <c r="G18" s="4">
        <v>0</v>
      </c>
      <c r="H18" s="4">
        <v>1</v>
      </c>
      <c r="I18" s="4">
        <v>0</v>
      </c>
      <c r="J18" s="4">
        <v>0</v>
      </c>
      <c r="K18" s="4">
        <v>0</v>
      </c>
      <c r="L18" s="4">
        <v>0</v>
      </c>
      <c r="M18" s="4">
        <v>0</v>
      </c>
      <c r="N18" s="4">
        <v>0</v>
      </c>
      <c r="O18" s="4">
        <v>0</v>
      </c>
    </row>
    <row r="19" spans="1:15" x14ac:dyDescent="0.2">
      <c r="A19" s="2" t="s">
        <v>54</v>
      </c>
      <c r="B19" s="3" t="s">
        <v>89</v>
      </c>
      <c r="C19" s="2" t="s">
        <v>57</v>
      </c>
      <c r="D19" s="2" t="s">
        <v>9</v>
      </c>
      <c r="E19" s="4">
        <v>0</v>
      </c>
      <c r="F19" s="4">
        <v>1</v>
      </c>
      <c r="G19" s="4">
        <v>0</v>
      </c>
      <c r="H19" s="4">
        <v>0</v>
      </c>
      <c r="I19" s="4">
        <v>0</v>
      </c>
      <c r="J19" s="4">
        <v>1</v>
      </c>
      <c r="K19" s="4">
        <v>1</v>
      </c>
      <c r="L19" s="4">
        <v>0</v>
      </c>
      <c r="M19" s="4">
        <v>0</v>
      </c>
      <c r="N19" s="4">
        <v>1</v>
      </c>
      <c r="O19" s="4">
        <v>0</v>
      </c>
    </row>
    <row r="20" spans="1:15" x14ac:dyDescent="0.2">
      <c r="A20" s="2" t="s">
        <v>41</v>
      </c>
      <c r="B20" s="3" t="s">
        <v>90</v>
      </c>
      <c r="C20" s="2" t="s">
        <v>57</v>
      </c>
      <c r="D20" s="2" t="s">
        <v>9</v>
      </c>
      <c r="E20" s="4">
        <v>0</v>
      </c>
      <c r="F20" s="4">
        <v>1</v>
      </c>
      <c r="G20" s="4">
        <v>0</v>
      </c>
      <c r="H20" s="4">
        <v>0</v>
      </c>
      <c r="I20" s="4">
        <v>0</v>
      </c>
      <c r="J20" s="4">
        <v>0</v>
      </c>
      <c r="K20" s="4">
        <v>0</v>
      </c>
      <c r="L20" s="4">
        <v>0</v>
      </c>
      <c r="M20" s="4">
        <v>1</v>
      </c>
      <c r="N20" s="4">
        <v>1</v>
      </c>
      <c r="O20" s="4">
        <v>0</v>
      </c>
    </row>
    <row r="21" spans="1:15" x14ac:dyDescent="0.2">
      <c r="A21" s="2" t="s">
        <v>29</v>
      </c>
      <c r="B21" s="3" t="s">
        <v>91</v>
      </c>
      <c r="C21" s="2" t="s">
        <v>21</v>
      </c>
      <c r="D21" s="2" t="s">
        <v>35</v>
      </c>
      <c r="E21" s="4">
        <v>0</v>
      </c>
      <c r="F21" s="4">
        <v>1</v>
      </c>
      <c r="G21" s="4">
        <v>0</v>
      </c>
      <c r="H21" s="4">
        <v>0</v>
      </c>
      <c r="I21" s="4">
        <v>0</v>
      </c>
      <c r="J21" s="4">
        <v>0</v>
      </c>
      <c r="K21" s="4">
        <v>0</v>
      </c>
      <c r="L21" s="4">
        <v>0</v>
      </c>
      <c r="M21" s="4">
        <v>0</v>
      </c>
      <c r="N21" s="4">
        <v>1</v>
      </c>
      <c r="O21" s="4">
        <v>0</v>
      </c>
    </row>
    <row r="22" spans="1:15" ht="25.5" x14ac:dyDescent="0.2">
      <c r="A22" s="2" t="s">
        <v>26</v>
      </c>
      <c r="B22" s="3" t="s">
        <v>92</v>
      </c>
      <c r="C22" s="2" t="s">
        <v>30</v>
      </c>
      <c r="D22" s="2" t="s">
        <v>9</v>
      </c>
      <c r="E22" s="4">
        <v>0</v>
      </c>
      <c r="F22" s="4">
        <v>1</v>
      </c>
      <c r="G22" s="4">
        <v>0</v>
      </c>
      <c r="H22" s="4">
        <v>0</v>
      </c>
      <c r="I22" s="4">
        <v>0</v>
      </c>
      <c r="J22" s="4">
        <v>0</v>
      </c>
      <c r="K22" s="4">
        <v>0</v>
      </c>
      <c r="L22" s="4">
        <v>0</v>
      </c>
      <c r="M22" s="4">
        <v>0</v>
      </c>
      <c r="N22" s="4">
        <v>1</v>
      </c>
      <c r="O22" s="4">
        <v>0</v>
      </c>
    </row>
    <row r="23" spans="1:15" ht="25.5" x14ac:dyDescent="0.2">
      <c r="A23" s="2" t="s">
        <v>10</v>
      </c>
      <c r="B23" s="3" t="s">
        <v>93</v>
      </c>
      <c r="C23" s="2" t="s">
        <v>30</v>
      </c>
      <c r="D23" s="2" t="s">
        <v>44</v>
      </c>
      <c r="E23" s="4">
        <v>0</v>
      </c>
      <c r="F23" s="4">
        <v>1</v>
      </c>
      <c r="G23" s="4">
        <v>0</v>
      </c>
      <c r="H23" s="4">
        <v>1</v>
      </c>
      <c r="I23" s="4">
        <v>1</v>
      </c>
      <c r="J23" s="4">
        <v>1</v>
      </c>
      <c r="K23" s="4">
        <v>1</v>
      </c>
      <c r="L23" s="4">
        <v>1</v>
      </c>
      <c r="M23" s="4">
        <v>0</v>
      </c>
      <c r="N23" s="4">
        <v>0</v>
      </c>
      <c r="O23" s="4">
        <v>0</v>
      </c>
    </row>
    <row r="24" spans="1:15" ht="25.5" x14ac:dyDescent="0.2">
      <c r="A24" s="2" t="s">
        <v>67</v>
      </c>
      <c r="B24" s="3" t="s">
        <v>94</v>
      </c>
      <c r="C24" s="2" t="s">
        <v>30</v>
      </c>
      <c r="D24" s="2" t="s">
        <v>35</v>
      </c>
      <c r="E24" s="4">
        <v>0</v>
      </c>
      <c r="F24" s="4">
        <v>1</v>
      </c>
      <c r="G24" s="4">
        <v>0</v>
      </c>
      <c r="H24" s="4">
        <v>0</v>
      </c>
      <c r="I24" s="4">
        <v>0</v>
      </c>
      <c r="J24" s="4">
        <v>0</v>
      </c>
      <c r="K24" s="4">
        <v>0</v>
      </c>
      <c r="L24" s="4">
        <v>0</v>
      </c>
      <c r="M24" s="4">
        <v>0</v>
      </c>
      <c r="N24" s="4">
        <v>1</v>
      </c>
      <c r="O24" s="4">
        <v>0</v>
      </c>
    </row>
    <row r="25" spans="1:15" ht="25.5" x14ac:dyDescent="0.2">
      <c r="A25" s="2" t="s">
        <v>12</v>
      </c>
      <c r="B25" s="3" t="s">
        <v>95</v>
      </c>
      <c r="C25" s="2" t="s">
        <v>30</v>
      </c>
      <c r="D25" s="2" t="s">
        <v>0</v>
      </c>
      <c r="E25" s="4">
        <v>0</v>
      </c>
      <c r="F25" s="4">
        <v>0</v>
      </c>
      <c r="G25" s="4">
        <v>0</v>
      </c>
      <c r="H25" s="4">
        <v>0</v>
      </c>
      <c r="I25" s="4">
        <v>0</v>
      </c>
      <c r="J25" s="4">
        <v>0</v>
      </c>
      <c r="K25" s="4">
        <v>0</v>
      </c>
      <c r="L25" s="4">
        <v>0</v>
      </c>
      <c r="M25" s="4">
        <v>0</v>
      </c>
      <c r="N25" s="4">
        <v>0</v>
      </c>
      <c r="O25" s="4">
        <v>0</v>
      </c>
    </row>
    <row r="26" spans="1:15" ht="25.5" x14ac:dyDescent="0.2">
      <c r="A26" s="2" t="s">
        <v>15</v>
      </c>
      <c r="B26" s="3" t="s">
        <v>96</v>
      </c>
      <c r="C26" s="2" t="s">
        <v>30</v>
      </c>
      <c r="D26" s="2" t="s">
        <v>44</v>
      </c>
      <c r="E26" s="4">
        <v>0</v>
      </c>
      <c r="F26" s="4">
        <v>0</v>
      </c>
      <c r="G26" s="4">
        <v>0</v>
      </c>
      <c r="H26" s="4">
        <v>0</v>
      </c>
      <c r="I26" s="4">
        <v>0</v>
      </c>
      <c r="J26" s="4">
        <v>0</v>
      </c>
      <c r="K26" s="4">
        <v>0</v>
      </c>
      <c r="L26" s="4">
        <v>0</v>
      </c>
      <c r="M26" s="4">
        <v>0</v>
      </c>
      <c r="N26" s="4">
        <v>0</v>
      </c>
      <c r="O26" s="4">
        <v>0</v>
      </c>
    </row>
    <row r="27" spans="1:15" ht="25.5" x14ac:dyDescent="0.2">
      <c r="A27" s="2" t="s">
        <v>28</v>
      </c>
      <c r="B27" s="3" t="s">
        <v>97</v>
      </c>
      <c r="C27" s="2" t="s">
        <v>30</v>
      </c>
      <c r="D27" s="2" t="s">
        <v>0</v>
      </c>
      <c r="E27" s="4">
        <v>0</v>
      </c>
      <c r="F27" s="4">
        <v>1</v>
      </c>
      <c r="G27" s="4">
        <v>0</v>
      </c>
      <c r="H27" s="4">
        <v>0</v>
      </c>
      <c r="I27" s="4">
        <v>0</v>
      </c>
      <c r="J27" s="4">
        <v>0</v>
      </c>
      <c r="K27" s="4">
        <v>1</v>
      </c>
      <c r="L27" s="4">
        <v>0</v>
      </c>
      <c r="M27" s="4">
        <v>0</v>
      </c>
      <c r="N27" s="4">
        <v>1</v>
      </c>
      <c r="O27" s="4">
        <v>0</v>
      </c>
    </row>
    <row r="28" spans="1:15" ht="25.5" x14ac:dyDescent="0.2">
      <c r="A28" s="2" t="s">
        <v>25</v>
      </c>
      <c r="B28" s="3" t="s">
        <v>98</v>
      </c>
      <c r="C28" s="2" t="s">
        <v>30</v>
      </c>
      <c r="D28" s="2" t="s">
        <v>35</v>
      </c>
      <c r="E28" s="4">
        <v>0</v>
      </c>
      <c r="F28" s="4">
        <v>1</v>
      </c>
      <c r="G28" s="4">
        <v>0</v>
      </c>
      <c r="H28" s="4">
        <v>0</v>
      </c>
      <c r="I28" s="4">
        <v>0</v>
      </c>
      <c r="J28" s="4">
        <v>0</v>
      </c>
      <c r="K28" s="4">
        <v>0</v>
      </c>
      <c r="L28" s="4">
        <v>0</v>
      </c>
      <c r="M28" s="4">
        <v>0</v>
      </c>
      <c r="N28" s="4">
        <v>0</v>
      </c>
      <c r="O28" s="4">
        <v>0</v>
      </c>
    </row>
    <row r="29" spans="1:15" ht="25.5" x14ac:dyDescent="0.2">
      <c r="A29" s="2" t="s">
        <v>6</v>
      </c>
      <c r="B29" s="3" t="s">
        <v>99</v>
      </c>
      <c r="C29" s="2" t="s">
        <v>30</v>
      </c>
      <c r="D29" s="2" t="s">
        <v>44</v>
      </c>
      <c r="E29" s="4">
        <v>0</v>
      </c>
      <c r="F29" s="4">
        <v>1</v>
      </c>
      <c r="G29" s="4">
        <v>0</v>
      </c>
      <c r="H29" s="4">
        <v>0</v>
      </c>
      <c r="I29" s="4">
        <v>1</v>
      </c>
      <c r="J29" s="4">
        <v>0</v>
      </c>
      <c r="K29" s="4">
        <v>0</v>
      </c>
      <c r="L29" s="4">
        <v>0</v>
      </c>
      <c r="M29" s="4">
        <v>0</v>
      </c>
      <c r="N29" s="4">
        <v>1</v>
      </c>
      <c r="O29" s="4">
        <v>0</v>
      </c>
    </row>
    <row r="30" spans="1:15" ht="25.5" x14ac:dyDescent="0.2">
      <c r="A30" s="2" t="s">
        <v>42</v>
      </c>
      <c r="B30" s="3" t="s">
        <v>100</v>
      </c>
      <c r="C30" s="2" t="s">
        <v>30</v>
      </c>
      <c r="D30" s="2" t="s">
        <v>13</v>
      </c>
      <c r="E30" s="4">
        <v>1</v>
      </c>
      <c r="F30" s="4">
        <v>0</v>
      </c>
      <c r="G30" s="4">
        <v>0</v>
      </c>
      <c r="H30" s="4">
        <v>0</v>
      </c>
      <c r="I30" s="4">
        <v>0</v>
      </c>
      <c r="J30" s="4">
        <v>0</v>
      </c>
      <c r="K30" s="4">
        <v>0</v>
      </c>
      <c r="L30" s="4">
        <v>0</v>
      </c>
      <c r="M30" s="4">
        <v>0</v>
      </c>
      <c r="N30" s="4">
        <v>0</v>
      </c>
      <c r="O30" s="4">
        <v>0</v>
      </c>
    </row>
    <row r="31" spans="1:15" ht="25.5" x14ac:dyDescent="0.2">
      <c r="A31" s="2" t="s">
        <v>19</v>
      </c>
      <c r="B31" s="3" t="s">
        <v>101</v>
      </c>
      <c r="C31" s="2" t="s">
        <v>30</v>
      </c>
      <c r="D31" s="2" t="s">
        <v>44</v>
      </c>
      <c r="E31" s="4">
        <v>0</v>
      </c>
      <c r="F31" s="4">
        <v>1</v>
      </c>
      <c r="G31" s="4">
        <v>0</v>
      </c>
      <c r="H31" s="4">
        <v>1</v>
      </c>
      <c r="I31" s="4">
        <v>0</v>
      </c>
      <c r="J31" s="4">
        <v>0</v>
      </c>
      <c r="K31" s="4">
        <v>0</v>
      </c>
      <c r="L31" s="4">
        <v>0</v>
      </c>
      <c r="M31" s="4">
        <v>0</v>
      </c>
      <c r="N31" s="4">
        <v>0</v>
      </c>
      <c r="O31" s="4">
        <v>0</v>
      </c>
    </row>
    <row r="32" spans="1:15" ht="25.5" x14ac:dyDescent="0.2">
      <c r="A32" s="2" t="s">
        <v>66</v>
      </c>
      <c r="B32" s="3" t="s">
        <v>102</v>
      </c>
      <c r="C32" s="2" t="s">
        <v>30</v>
      </c>
      <c r="D32" s="2" t="s">
        <v>44</v>
      </c>
      <c r="E32" s="4">
        <v>0</v>
      </c>
      <c r="F32" s="4">
        <v>1</v>
      </c>
      <c r="G32" s="4">
        <v>1</v>
      </c>
      <c r="H32" s="4">
        <v>1</v>
      </c>
      <c r="I32" s="4">
        <v>0</v>
      </c>
      <c r="J32" s="4">
        <v>0</v>
      </c>
      <c r="K32" s="4">
        <v>1</v>
      </c>
      <c r="L32" s="4">
        <v>0</v>
      </c>
      <c r="M32" s="4">
        <v>0</v>
      </c>
      <c r="N32" s="4">
        <v>0</v>
      </c>
      <c r="O32" s="4">
        <v>0</v>
      </c>
    </row>
    <row r="33" spans="1:15" ht="25.5" x14ac:dyDescent="0.2">
      <c r="A33" s="2" t="s">
        <v>17</v>
      </c>
      <c r="B33" s="3" t="s">
        <v>103</v>
      </c>
      <c r="C33" s="2" t="s">
        <v>30</v>
      </c>
      <c r="D33" s="2" t="s">
        <v>9</v>
      </c>
      <c r="E33" s="4">
        <v>0</v>
      </c>
      <c r="F33" s="4">
        <v>1</v>
      </c>
      <c r="G33" s="4">
        <v>0</v>
      </c>
      <c r="H33" s="4">
        <v>0</v>
      </c>
      <c r="I33" s="4">
        <v>0</v>
      </c>
      <c r="J33" s="4">
        <v>0</v>
      </c>
      <c r="K33" s="4">
        <v>0</v>
      </c>
      <c r="L33" s="4">
        <v>0</v>
      </c>
      <c r="M33" s="4">
        <v>0</v>
      </c>
      <c r="N33" s="4">
        <v>0</v>
      </c>
      <c r="O33" s="4">
        <v>0</v>
      </c>
    </row>
    <row r="34" spans="1:15" ht="25.5" x14ac:dyDescent="0.2">
      <c r="A34" s="2" t="s">
        <v>24</v>
      </c>
      <c r="B34" s="3" t="s">
        <v>104</v>
      </c>
      <c r="C34" s="2" t="s">
        <v>30</v>
      </c>
      <c r="D34" s="2" t="s">
        <v>13</v>
      </c>
      <c r="E34" s="4">
        <v>0</v>
      </c>
      <c r="F34" s="4">
        <v>1</v>
      </c>
      <c r="G34" s="4">
        <v>1</v>
      </c>
      <c r="H34" s="4">
        <v>0</v>
      </c>
      <c r="I34" s="4">
        <v>0</v>
      </c>
      <c r="J34" s="4">
        <v>0</v>
      </c>
      <c r="K34" s="4">
        <v>0</v>
      </c>
      <c r="L34" s="4">
        <v>0</v>
      </c>
      <c r="M34" s="4">
        <v>0</v>
      </c>
      <c r="N34" s="4">
        <v>0</v>
      </c>
      <c r="O34" s="4">
        <v>0</v>
      </c>
    </row>
    <row r="35" spans="1:15" ht="25.5" x14ac:dyDescent="0.2">
      <c r="A35" s="2" t="s">
        <v>51</v>
      </c>
      <c r="B35" s="3" t="s">
        <v>105</v>
      </c>
      <c r="C35" s="2" t="s">
        <v>30</v>
      </c>
      <c r="D35" s="2" t="s">
        <v>9</v>
      </c>
      <c r="E35" s="4">
        <v>0</v>
      </c>
      <c r="F35" s="4">
        <v>1</v>
      </c>
      <c r="G35" s="4">
        <v>0</v>
      </c>
      <c r="H35" s="4">
        <v>0</v>
      </c>
      <c r="I35" s="4">
        <v>0</v>
      </c>
      <c r="J35" s="4">
        <v>0</v>
      </c>
      <c r="K35" s="4">
        <v>0</v>
      </c>
      <c r="L35" s="4">
        <v>1</v>
      </c>
      <c r="M35" s="4">
        <v>0</v>
      </c>
      <c r="N35" s="4">
        <v>0</v>
      </c>
      <c r="O35" s="4">
        <v>0</v>
      </c>
    </row>
    <row r="36" spans="1:15" ht="25.5" x14ac:dyDescent="0.2">
      <c r="A36" s="2" t="s">
        <v>53</v>
      </c>
      <c r="B36" s="3" t="s">
        <v>106</v>
      </c>
      <c r="C36" s="2" t="s">
        <v>30</v>
      </c>
      <c r="D36" s="2" t="s">
        <v>9</v>
      </c>
      <c r="E36" s="4">
        <v>0</v>
      </c>
      <c r="F36" s="4">
        <v>1</v>
      </c>
      <c r="G36" s="4">
        <v>0</v>
      </c>
      <c r="H36" s="4">
        <v>0</v>
      </c>
      <c r="I36" s="4">
        <v>1</v>
      </c>
      <c r="J36" s="4">
        <v>0</v>
      </c>
      <c r="K36" s="4">
        <v>0</v>
      </c>
      <c r="L36" s="4">
        <v>0</v>
      </c>
      <c r="M36" s="4">
        <v>0</v>
      </c>
      <c r="N36" s="4">
        <v>0</v>
      </c>
      <c r="O36" s="4">
        <v>0</v>
      </c>
    </row>
    <row r="37" spans="1:15" ht="25.5" x14ac:dyDescent="0.2">
      <c r="A37" s="2" t="s">
        <v>1</v>
      </c>
      <c r="B37" s="3" t="s">
        <v>107</v>
      </c>
      <c r="C37" s="2" t="s">
        <v>30</v>
      </c>
      <c r="D37" s="2" t="s">
        <v>44</v>
      </c>
      <c r="E37" s="4">
        <v>0</v>
      </c>
      <c r="F37" s="4">
        <v>1</v>
      </c>
      <c r="G37" s="4">
        <v>1</v>
      </c>
      <c r="H37" s="4">
        <v>0</v>
      </c>
      <c r="I37" s="4">
        <v>0</v>
      </c>
      <c r="J37" s="4">
        <v>0</v>
      </c>
      <c r="K37" s="4">
        <v>0</v>
      </c>
      <c r="L37" s="4">
        <v>0</v>
      </c>
      <c r="M37" s="4">
        <v>1</v>
      </c>
      <c r="N37" s="4">
        <v>0</v>
      </c>
      <c r="O37" s="4">
        <v>0</v>
      </c>
    </row>
    <row r="38" spans="1:15" ht="25.5" x14ac:dyDescent="0.2">
      <c r="A38" s="2" t="s">
        <v>4</v>
      </c>
      <c r="B38" s="3" t="s">
        <v>108</v>
      </c>
      <c r="C38" s="2" t="s">
        <v>30</v>
      </c>
      <c r="D38" s="2" t="s">
        <v>32</v>
      </c>
      <c r="E38" s="4">
        <v>1</v>
      </c>
      <c r="F38" s="4">
        <v>0</v>
      </c>
      <c r="G38" s="4">
        <v>0</v>
      </c>
      <c r="H38" s="4">
        <v>0</v>
      </c>
      <c r="I38" s="4">
        <v>0</v>
      </c>
      <c r="J38" s="4">
        <v>0</v>
      </c>
      <c r="K38" s="4">
        <v>0</v>
      </c>
      <c r="L38" s="4">
        <v>0</v>
      </c>
      <c r="M38" s="4">
        <v>0</v>
      </c>
      <c r="N38" s="4">
        <v>0</v>
      </c>
      <c r="O38" s="4">
        <v>0</v>
      </c>
    </row>
    <row r="39" spans="1:15" ht="25.5" x14ac:dyDescent="0.2">
      <c r="A39" s="2" t="s">
        <v>7</v>
      </c>
      <c r="B39" s="3" t="s">
        <v>109</v>
      </c>
      <c r="C39" s="2" t="s">
        <v>30</v>
      </c>
      <c r="D39" s="2" t="s">
        <v>44</v>
      </c>
      <c r="E39" s="4">
        <v>0</v>
      </c>
      <c r="F39" s="4">
        <v>1</v>
      </c>
      <c r="G39" s="4">
        <v>0</v>
      </c>
      <c r="H39" s="4">
        <v>0</v>
      </c>
      <c r="I39" s="4">
        <v>0</v>
      </c>
      <c r="J39" s="4">
        <v>0</v>
      </c>
      <c r="K39" s="4">
        <v>0</v>
      </c>
      <c r="L39" s="4">
        <v>1</v>
      </c>
      <c r="M39" s="4">
        <v>0</v>
      </c>
      <c r="N39" s="4">
        <v>0</v>
      </c>
      <c r="O39" s="4">
        <v>0</v>
      </c>
    </row>
    <row r="40" spans="1:15" ht="25.5" x14ac:dyDescent="0.2">
      <c r="A40" s="2" t="s">
        <v>20</v>
      </c>
      <c r="B40" s="3" t="s">
        <v>110</v>
      </c>
      <c r="C40" s="2" t="s">
        <v>30</v>
      </c>
      <c r="D40" s="2" t="s">
        <v>32</v>
      </c>
      <c r="E40" s="4">
        <v>1</v>
      </c>
      <c r="F40" s="4">
        <v>0</v>
      </c>
      <c r="G40" s="4">
        <v>0</v>
      </c>
      <c r="H40" s="4">
        <v>0</v>
      </c>
      <c r="I40" s="4">
        <v>0</v>
      </c>
      <c r="J40" s="4">
        <v>0</v>
      </c>
      <c r="K40" s="4">
        <v>0</v>
      </c>
      <c r="L40" s="4">
        <v>0</v>
      </c>
      <c r="M40" s="4">
        <v>0</v>
      </c>
      <c r="N40" s="4">
        <v>0</v>
      </c>
      <c r="O40" s="4">
        <v>0</v>
      </c>
    </row>
    <row r="41" spans="1:15" ht="25.5" x14ac:dyDescent="0.2">
      <c r="A41" s="2" t="s">
        <v>38</v>
      </c>
      <c r="B41" s="3" t="s">
        <v>111</v>
      </c>
      <c r="C41" s="2" t="s">
        <v>30</v>
      </c>
      <c r="D41" s="2" t="s">
        <v>0</v>
      </c>
      <c r="E41" s="4">
        <v>0</v>
      </c>
      <c r="F41" s="4">
        <v>0</v>
      </c>
      <c r="G41" s="4">
        <v>0</v>
      </c>
      <c r="H41" s="4">
        <v>0</v>
      </c>
      <c r="I41" s="4">
        <v>0</v>
      </c>
      <c r="J41" s="4">
        <v>0</v>
      </c>
      <c r="K41" s="4">
        <v>0</v>
      </c>
      <c r="L41" s="4">
        <v>0</v>
      </c>
      <c r="M41" s="4">
        <v>0</v>
      </c>
      <c r="N41" s="4">
        <v>0</v>
      </c>
      <c r="O41" s="4">
        <v>1</v>
      </c>
    </row>
    <row r="42" spans="1:15" ht="25.5" x14ac:dyDescent="0.2">
      <c r="A42" s="2" t="s">
        <v>18</v>
      </c>
      <c r="B42" s="3" t="s">
        <v>112</v>
      </c>
      <c r="C42" s="2" t="s">
        <v>30</v>
      </c>
      <c r="D42" s="2" t="s">
        <v>0</v>
      </c>
      <c r="E42" s="4">
        <v>0</v>
      </c>
      <c r="F42" s="4">
        <v>0</v>
      </c>
      <c r="G42" s="4">
        <v>0</v>
      </c>
      <c r="H42" s="4">
        <v>0</v>
      </c>
      <c r="I42" s="4">
        <v>0</v>
      </c>
      <c r="J42" s="4">
        <v>0</v>
      </c>
      <c r="K42" s="4">
        <v>0</v>
      </c>
      <c r="L42" s="4">
        <v>0</v>
      </c>
      <c r="M42" s="4">
        <v>0</v>
      </c>
      <c r="N42" s="4">
        <v>0</v>
      </c>
      <c r="O42" s="4">
        <v>0</v>
      </c>
    </row>
    <row r="43" spans="1:15" ht="25.5" x14ac:dyDescent="0.2">
      <c r="A43" s="2" t="s">
        <v>68</v>
      </c>
      <c r="B43" s="3" t="s">
        <v>113</v>
      </c>
      <c r="C43" s="2" t="s">
        <v>30</v>
      </c>
      <c r="D43" s="2" t="s">
        <v>0</v>
      </c>
      <c r="E43" s="4">
        <v>1</v>
      </c>
      <c r="F43" s="4">
        <v>0</v>
      </c>
      <c r="G43" s="4">
        <v>0</v>
      </c>
      <c r="H43" s="4">
        <v>0</v>
      </c>
      <c r="I43" s="4">
        <v>0</v>
      </c>
      <c r="J43" s="4">
        <v>0</v>
      </c>
      <c r="K43" s="4">
        <v>0</v>
      </c>
      <c r="L43" s="4">
        <v>0</v>
      </c>
      <c r="M43" s="4">
        <v>0</v>
      </c>
      <c r="N43" s="4">
        <v>0</v>
      </c>
      <c r="O43" s="4">
        <v>0</v>
      </c>
    </row>
    <row r="44" spans="1:15" ht="25.5" x14ac:dyDescent="0.2">
      <c r="A44" s="2" t="s">
        <v>27</v>
      </c>
      <c r="B44" s="3" t="s">
        <v>114</v>
      </c>
      <c r="C44" s="2" t="s">
        <v>30</v>
      </c>
      <c r="D44" s="2" t="s">
        <v>35</v>
      </c>
      <c r="E44" s="4">
        <v>1</v>
      </c>
      <c r="F44" s="4">
        <v>0</v>
      </c>
      <c r="G44" s="4">
        <v>0</v>
      </c>
      <c r="H44" s="4">
        <v>0</v>
      </c>
      <c r="I44" s="4">
        <v>0</v>
      </c>
      <c r="J44" s="4">
        <v>0</v>
      </c>
      <c r="K44" s="4">
        <v>0</v>
      </c>
      <c r="L44" s="4">
        <v>0</v>
      </c>
      <c r="M44" s="4">
        <v>0</v>
      </c>
      <c r="N44" s="4">
        <v>0</v>
      </c>
      <c r="O44" s="4">
        <v>0</v>
      </c>
    </row>
    <row r="45" spans="1:15" ht="25.5" x14ac:dyDescent="0.2">
      <c r="A45" s="2" t="s">
        <v>37</v>
      </c>
      <c r="B45" s="3" t="s">
        <v>115</v>
      </c>
      <c r="C45" s="2" t="s">
        <v>30</v>
      </c>
      <c r="D45" s="2" t="s">
        <v>9</v>
      </c>
      <c r="E45" s="4">
        <v>1</v>
      </c>
      <c r="F45" s="4">
        <v>0</v>
      </c>
      <c r="G45" s="4">
        <v>0</v>
      </c>
      <c r="H45" s="4">
        <v>0</v>
      </c>
      <c r="I45" s="4">
        <v>0</v>
      </c>
      <c r="J45" s="4">
        <v>0</v>
      </c>
      <c r="K45" s="4">
        <v>0</v>
      </c>
      <c r="L45" s="4">
        <v>0</v>
      </c>
      <c r="M45" s="4">
        <v>0</v>
      </c>
      <c r="N45" s="4">
        <v>0</v>
      </c>
      <c r="O45" s="4">
        <v>0</v>
      </c>
    </row>
    <row r="46" spans="1:15" ht="25.5" x14ac:dyDescent="0.2">
      <c r="A46" s="2" t="s">
        <v>60</v>
      </c>
      <c r="B46" s="3" t="s">
        <v>116</v>
      </c>
      <c r="C46" s="2" t="s">
        <v>30</v>
      </c>
      <c r="D46" s="2" t="s">
        <v>32</v>
      </c>
      <c r="E46" s="4">
        <v>0</v>
      </c>
      <c r="F46" s="4">
        <v>1</v>
      </c>
      <c r="G46" s="4">
        <v>1</v>
      </c>
      <c r="H46" s="4">
        <v>0</v>
      </c>
      <c r="I46" s="4">
        <v>0</v>
      </c>
      <c r="J46" s="4">
        <v>0</v>
      </c>
      <c r="K46" s="4">
        <v>1</v>
      </c>
      <c r="L46" s="4">
        <v>0</v>
      </c>
      <c r="M46" s="4">
        <v>0</v>
      </c>
      <c r="N46" s="4">
        <v>0</v>
      </c>
      <c r="O46" s="4">
        <v>0</v>
      </c>
    </row>
    <row r="47" spans="1:15" ht="25.5" x14ac:dyDescent="0.2">
      <c r="A47" s="2" t="s">
        <v>59</v>
      </c>
      <c r="B47" s="3" t="s">
        <v>117</v>
      </c>
      <c r="C47" s="2" t="s">
        <v>30</v>
      </c>
      <c r="D47" s="2" t="s">
        <v>9</v>
      </c>
      <c r="E47" s="4">
        <v>1</v>
      </c>
      <c r="F47" s="4">
        <v>0</v>
      </c>
      <c r="G47" s="4">
        <v>0</v>
      </c>
      <c r="H47" s="4">
        <v>0</v>
      </c>
      <c r="I47" s="4">
        <v>0</v>
      </c>
      <c r="J47" s="4">
        <v>0</v>
      </c>
      <c r="K47" s="4">
        <v>0</v>
      </c>
      <c r="L47" s="4">
        <v>0</v>
      </c>
      <c r="M47" s="4">
        <v>0</v>
      </c>
      <c r="N47" s="4">
        <v>0</v>
      </c>
      <c r="O47" s="4">
        <v>0</v>
      </c>
    </row>
    <row r="48" spans="1:15" ht="25.5" x14ac:dyDescent="0.2">
      <c r="A48" s="2" t="s">
        <v>31</v>
      </c>
      <c r="B48" s="3" t="s">
        <v>118</v>
      </c>
      <c r="C48" s="2" t="s">
        <v>30</v>
      </c>
      <c r="D48" s="2" t="s">
        <v>9</v>
      </c>
      <c r="E48" s="4">
        <v>0</v>
      </c>
      <c r="F48" s="4">
        <v>1</v>
      </c>
      <c r="G48" s="4">
        <v>0</v>
      </c>
      <c r="H48" s="4">
        <v>1</v>
      </c>
      <c r="I48" s="4">
        <v>1</v>
      </c>
      <c r="J48" s="4">
        <v>0</v>
      </c>
      <c r="K48" s="4">
        <v>0</v>
      </c>
      <c r="L48" s="4">
        <v>0</v>
      </c>
      <c r="M48" s="4">
        <v>0</v>
      </c>
      <c r="N48" s="4">
        <v>0</v>
      </c>
      <c r="O48" s="4">
        <v>0</v>
      </c>
    </row>
    <row r="49" spans="1:15" ht="25.5" x14ac:dyDescent="0.2">
      <c r="A49" s="2" t="s">
        <v>14</v>
      </c>
      <c r="B49" s="3" t="s">
        <v>119</v>
      </c>
      <c r="C49" s="2" t="s">
        <v>30</v>
      </c>
      <c r="D49" s="2" t="s">
        <v>44</v>
      </c>
      <c r="E49" s="4">
        <v>0</v>
      </c>
      <c r="F49" s="4">
        <v>1</v>
      </c>
      <c r="G49" s="4">
        <v>0</v>
      </c>
      <c r="H49" s="4">
        <v>0</v>
      </c>
      <c r="I49" s="4">
        <v>1</v>
      </c>
      <c r="J49" s="4">
        <v>0</v>
      </c>
      <c r="K49" s="4">
        <v>0</v>
      </c>
      <c r="L49" s="4">
        <v>0</v>
      </c>
      <c r="M49" s="4">
        <v>0</v>
      </c>
      <c r="N49" s="4">
        <v>0</v>
      </c>
      <c r="O49" s="4">
        <v>0</v>
      </c>
    </row>
    <row r="50" spans="1:15" x14ac:dyDescent="0.2">
      <c r="A50" s="2" t="s">
        <v>47</v>
      </c>
      <c r="B50" s="3" t="s">
        <v>120</v>
      </c>
      <c r="C50" s="2" t="s">
        <v>3</v>
      </c>
      <c r="D50" s="2" t="s">
        <v>0</v>
      </c>
      <c r="E50" s="4">
        <v>0</v>
      </c>
      <c r="F50" s="4">
        <v>1</v>
      </c>
      <c r="G50" s="4">
        <v>0</v>
      </c>
      <c r="H50" s="4">
        <v>0</v>
      </c>
      <c r="I50" s="4">
        <v>0</v>
      </c>
      <c r="J50" s="4">
        <v>0</v>
      </c>
      <c r="K50" s="4">
        <v>0</v>
      </c>
      <c r="L50" s="4">
        <v>0</v>
      </c>
      <c r="M50" s="4">
        <v>0</v>
      </c>
      <c r="N50" s="4">
        <v>0</v>
      </c>
      <c r="O50" s="4">
        <v>0</v>
      </c>
    </row>
    <row r="51" spans="1:15" x14ac:dyDescent="0.2">
      <c r="A51" s="2" t="s">
        <v>8</v>
      </c>
      <c r="B51" s="3" t="s">
        <v>121</v>
      </c>
      <c r="C51" s="2" t="s">
        <v>39</v>
      </c>
      <c r="D51" s="2" t="s">
        <v>44</v>
      </c>
      <c r="E51" s="4">
        <v>0</v>
      </c>
      <c r="F51" s="4">
        <v>0</v>
      </c>
      <c r="G51" s="4">
        <v>0</v>
      </c>
      <c r="H51" s="4">
        <v>0</v>
      </c>
      <c r="I51" s="4">
        <v>0</v>
      </c>
      <c r="J51" s="4">
        <v>0</v>
      </c>
      <c r="K51" s="4">
        <v>0</v>
      </c>
      <c r="L51" s="4">
        <v>0</v>
      </c>
      <c r="M51" s="4">
        <v>0</v>
      </c>
      <c r="N51" s="4">
        <v>0</v>
      </c>
      <c r="O51" s="4">
        <v>0</v>
      </c>
    </row>
    <row r="52" spans="1:15" x14ac:dyDescent="0.2">
      <c r="A52" s="2" t="s">
        <v>43</v>
      </c>
      <c r="B52" s="3" t="s">
        <v>122</v>
      </c>
      <c r="C52" s="2" t="s">
        <v>39</v>
      </c>
      <c r="D52" s="2" t="s">
        <v>32</v>
      </c>
      <c r="E52" s="4">
        <v>1</v>
      </c>
      <c r="F52" s="4">
        <v>0</v>
      </c>
      <c r="G52" s="4">
        <v>0</v>
      </c>
      <c r="H52" s="4">
        <v>0</v>
      </c>
      <c r="I52" s="4">
        <v>0</v>
      </c>
      <c r="J52" s="4">
        <v>0</v>
      </c>
      <c r="K52" s="4">
        <v>0</v>
      </c>
      <c r="L52" s="4">
        <v>0</v>
      </c>
      <c r="M52" s="4">
        <v>0</v>
      </c>
      <c r="N52" s="4">
        <v>0</v>
      </c>
      <c r="O52" s="4">
        <v>0</v>
      </c>
    </row>
    <row r="53" spans="1:15" x14ac:dyDescent="0.2">
      <c r="A53" s="2" t="s">
        <v>45</v>
      </c>
      <c r="B53" s="3" t="s">
        <v>123</v>
      </c>
      <c r="C53" s="2" t="s">
        <v>39</v>
      </c>
      <c r="D53" s="2" t="s">
        <v>35</v>
      </c>
      <c r="E53" s="4">
        <v>1</v>
      </c>
      <c r="F53" s="4">
        <v>0</v>
      </c>
      <c r="G53" s="4">
        <v>0</v>
      </c>
      <c r="H53" s="4">
        <v>0</v>
      </c>
      <c r="I53" s="4">
        <v>0</v>
      </c>
      <c r="J53" s="4">
        <v>0</v>
      </c>
      <c r="K53" s="4">
        <v>0</v>
      </c>
      <c r="L53" s="4">
        <v>0</v>
      </c>
      <c r="M53" s="4">
        <v>0</v>
      </c>
      <c r="N53" s="4">
        <v>0</v>
      </c>
      <c r="O53" s="4">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BD0F3-EF6F-45A2-8129-181E552E917D}">
  <dimension ref="A1:I53"/>
  <sheetViews>
    <sheetView topLeftCell="B37" workbookViewId="0">
      <selection activeCell="B1" sqref="B1:I53"/>
    </sheetView>
  </sheetViews>
  <sheetFormatPr defaultColWidth="30.7109375" defaultRowHeight="12.75" x14ac:dyDescent="0.2"/>
  <cols>
    <col min="1" max="1" width="0" style="2" hidden="1" customWidth="1"/>
    <col min="2" max="2" width="30.7109375" style="10"/>
    <col min="3" max="4" width="0" style="2" hidden="1" customWidth="1"/>
    <col min="5" max="9" width="30.7109375" style="10"/>
    <col min="10" max="16384" width="30.7109375" style="2"/>
  </cols>
  <sheetData>
    <row r="1" spans="1:9" ht="25.5" x14ac:dyDescent="0.2">
      <c r="A1" s="2" t="s">
        <v>2</v>
      </c>
      <c r="B1" s="2" t="s">
        <v>2</v>
      </c>
      <c r="C1" s="2" t="s">
        <v>65</v>
      </c>
      <c r="D1" s="2" t="s">
        <v>62</v>
      </c>
      <c r="E1" s="11" t="s">
        <v>69</v>
      </c>
      <c r="F1" s="11" t="s">
        <v>70</v>
      </c>
      <c r="G1" s="11" t="s">
        <v>71</v>
      </c>
      <c r="H1" s="11" t="s">
        <v>202</v>
      </c>
      <c r="I1" s="6" t="s">
        <v>124</v>
      </c>
    </row>
    <row r="2" spans="1:9" x14ac:dyDescent="0.2">
      <c r="A2" s="2" t="s">
        <v>52</v>
      </c>
      <c r="B2" s="3" t="s">
        <v>72</v>
      </c>
      <c r="C2" s="2" t="s">
        <v>58</v>
      </c>
      <c r="D2" s="2" t="s">
        <v>9</v>
      </c>
      <c r="E2" s="4">
        <v>0</v>
      </c>
      <c r="F2" s="4">
        <v>0</v>
      </c>
      <c r="G2" s="4">
        <v>0</v>
      </c>
      <c r="H2" s="4">
        <v>0</v>
      </c>
      <c r="I2" s="12">
        <f t="shared" ref="I2:I53" si="0">SUM(E2:H2)</f>
        <v>0</v>
      </c>
    </row>
    <row r="3" spans="1:9" ht="25.5" x14ac:dyDescent="0.2">
      <c r="A3" s="2" t="s">
        <v>56</v>
      </c>
      <c r="B3" s="3" t="s">
        <v>73</v>
      </c>
      <c r="C3" s="2" t="s">
        <v>34</v>
      </c>
      <c r="D3" s="2" t="s">
        <v>13</v>
      </c>
      <c r="E3" s="4">
        <v>0</v>
      </c>
      <c r="F3" s="4">
        <v>1</v>
      </c>
      <c r="G3" s="4">
        <v>0</v>
      </c>
      <c r="H3" s="4">
        <v>0</v>
      </c>
      <c r="I3" s="12">
        <f t="shared" si="0"/>
        <v>1</v>
      </c>
    </row>
    <row r="4" spans="1:9" ht="25.5" x14ac:dyDescent="0.2">
      <c r="A4" s="2" t="s">
        <v>49</v>
      </c>
      <c r="B4" s="3" t="s">
        <v>74</v>
      </c>
      <c r="C4" s="2" t="s">
        <v>34</v>
      </c>
      <c r="D4" s="2" t="s">
        <v>32</v>
      </c>
      <c r="E4" s="4">
        <v>0</v>
      </c>
      <c r="F4" s="4">
        <v>1</v>
      </c>
      <c r="G4" s="4">
        <v>0</v>
      </c>
      <c r="H4" s="4">
        <v>0</v>
      </c>
      <c r="I4" s="12">
        <f t="shared" si="0"/>
        <v>1</v>
      </c>
    </row>
    <row r="5" spans="1:9" ht="25.5" x14ac:dyDescent="0.2">
      <c r="A5" s="2" t="s">
        <v>48</v>
      </c>
      <c r="B5" s="3" t="s">
        <v>75</v>
      </c>
      <c r="C5" s="2" t="s">
        <v>64</v>
      </c>
      <c r="D5" s="2" t="s">
        <v>0</v>
      </c>
      <c r="E5" s="4">
        <v>0</v>
      </c>
      <c r="F5" s="4">
        <v>1</v>
      </c>
      <c r="G5" s="4">
        <v>0</v>
      </c>
      <c r="H5" s="4">
        <v>0</v>
      </c>
      <c r="I5" s="12">
        <f t="shared" si="0"/>
        <v>1</v>
      </c>
    </row>
    <row r="6" spans="1:9" ht="25.5" x14ac:dyDescent="0.2">
      <c r="A6" s="2" t="s">
        <v>22</v>
      </c>
      <c r="B6" s="3" t="s">
        <v>76</v>
      </c>
      <c r="C6" s="2" t="s">
        <v>64</v>
      </c>
      <c r="D6" s="2" t="s">
        <v>44</v>
      </c>
      <c r="E6" s="4">
        <v>0</v>
      </c>
      <c r="F6" s="4">
        <v>1</v>
      </c>
      <c r="G6" s="4">
        <v>0</v>
      </c>
      <c r="H6" s="4">
        <v>0</v>
      </c>
      <c r="I6" s="12">
        <f t="shared" si="0"/>
        <v>1</v>
      </c>
    </row>
    <row r="7" spans="1:9" ht="25.5" x14ac:dyDescent="0.2">
      <c r="A7" s="2" t="s">
        <v>16</v>
      </c>
      <c r="B7" s="3" t="s">
        <v>77</v>
      </c>
      <c r="C7" s="2" t="s">
        <v>64</v>
      </c>
      <c r="D7" s="2" t="s">
        <v>0</v>
      </c>
      <c r="E7" s="4">
        <v>1</v>
      </c>
      <c r="F7" s="4">
        <v>0</v>
      </c>
      <c r="G7" s="4">
        <v>0</v>
      </c>
      <c r="H7" s="4">
        <v>0</v>
      </c>
      <c r="I7" s="12">
        <f t="shared" si="0"/>
        <v>1</v>
      </c>
    </row>
    <row r="8" spans="1:9" ht="25.5" x14ac:dyDescent="0.2">
      <c r="A8" s="2" t="s">
        <v>5</v>
      </c>
      <c r="B8" s="3" t="s">
        <v>78</v>
      </c>
      <c r="C8" s="2" t="s">
        <v>64</v>
      </c>
      <c r="D8" s="2" t="s">
        <v>44</v>
      </c>
      <c r="E8" s="4">
        <v>0</v>
      </c>
      <c r="F8" s="4">
        <v>1</v>
      </c>
      <c r="G8" s="4">
        <v>0</v>
      </c>
      <c r="H8" s="4">
        <v>0</v>
      </c>
      <c r="I8" s="12">
        <f t="shared" si="0"/>
        <v>1</v>
      </c>
    </row>
    <row r="9" spans="1:9" ht="25.5" x14ac:dyDescent="0.2">
      <c r="A9" s="2" t="s">
        <v>23</v>
      </c>
      <c r="B9" s="3" t="s">
        <v>79</v>
      </c>
      <c r="C9" s="2" t="s">
        <v>64</v>
      </c>
      <c r="D9" s="2" t="s">
        <v>0</v>
      </c>
      <c r="E9" s="4">
        <v>1</v>
      </c>
      <c r="F9" s="4">
        <v>0</v>
      </c>
      <c r="G9" s="4">
        <v>0</v>
      </c>
      <c r="H9" s="4">
        <v>0</v>
      </c>
      <c r="I9" s="12">
        <f t="shared" si="0"/>
        <v>1</v>
      </c>
    </row>
    <row r="10" spans="1:9" ht="25.5" x14ac:dyDescent="0.2">
      <c r="A10" s="2" t="s">
        <v>33</v>
      </c>
      <c r="B10" s="3" t="s">
        <v>80</v>
      </c>
      <c r="C10" s="2" t="s">
        <v>64</v>
      </c>
      <c r="D10" s="2" t="s">
        <v>0</v>
      </c>
      <c r="E10" s="4">
        <v>0</v>
      </c>
      <c r="F10" s="4">
        <v>1</v>
      </c>
      <c r="G10" s="4">
        <v>0</v>
      </c>
      <c r="H10" s="4">
        <v>0</v>
      </c>
      <c r="I10" s="12">
        <f t="shared" si="0"/>
        <v>1</v>
      </c>
    </row>
    <row r="11" spans="1:9" ht="25.5" x14ac:dyDescent="0.2">
      <c r="A11" s="2" t="s">
        <v>46</v>
      </c>
      <c r="B11" s="3" t="s">
        <v>81</v>
      </c>
      <c r="C11" s="2" t="s">
        <v>64</v>
      </c>
      <c r="D11" s="2" t="s">
        <v>44</v>
      </c>
      <c r="E11" s="4">
        <v>0</v>
      </c>
      <c r="F11" s="4">
        <v>1</v>
      </c>
      <c r="G11" s="4">
        <v>0</v>
      </c>
      <c r="H11" s="4">
        <v>0</v>
      </c>
      <c r="I11" s="12">
        <f>SUM(E11:H11)</f>
        <v>1</v>
      </c>
    </row>
    <row r="12" spans="1:9" ht="25.5" x14ac:dyDescent="0.2">
      <c r="A12" s="2" t="s">
        <v>61</v>
      </c>
      <c r="B12" s="3" t="s">
        <v>82</v>
      </c>
      <c r="C12" s="2" t="s">
        <v>64</v>
      </c>
      <c r="D12" s="2" t="s">
        <v>0</v>
      </c>
      <c r="E12" s="4">
        <v>0</v>
      </c>
      <c r="F12" s="4">
        <v>1</v>
      </c>
      <c r="G12" s="4">
        <v>0</v>
      </c>
      <c r="H12" s="4">
        <v>0</v>
      </c>
      <c r="I12" s="12">
        <f t="shared" si="0"/>
        <v>1</v>
      </c>
    </row>
    <row r="13" spans="1:9" x14ac:dyDescent="0.2">
      <c r="A13" s="2" t="s">
        <v>55</v>
      </c>
      <c r="B13" s="3" t="s">
        <v>83</v>
      </c>
      <c r="C13" s="2" t="s">
        <v>57</v>
      </c>
      <c r="D13" s="2" t="s">
        <v>9</v>
      </c>
      <c r="E13" s="4">
        <v>1</v>
      </c>
      <c r="F13" s="4">
        <v>0</v>
      </c>
      <c r="G13" s="4">
        <v>0</v>
      </c>
      <c r="H13" s="4">
        <v>0</v>
      </c>
      <c r="I13" s="12">
        <f t="shared" si="0"/>
        <v>1</v>
      </c>
    </row>
    <row r="14" spans="1:9" x14ac:dyDescent="0.2">
      <c r="A14" s="2" t="s">
        <v>36</v>
      </c>
      <c r="B14" s="3" t="s">
        <v>84</v>
      </c>
      <c r="C14" s="2" t="s">
        <v>57</v>
      </c>
      <c r="D14" s="2" t="s">
        <v>9</v>
      </c>
      <c r="E14" s="4">
        <v>1</v>
      </c>
      <c r="F14" s="4">
        <v>0</v>
      </c>
      <c r="G14" s="4">
        <v>0</v>
      </c>
      <c r="H14" s="4">
        <v>0</v>
      </c>
      <c r="I14" s="12">
        <f t="shared" si="0"/>
        <v>1</v>
      </c>
    </row>
    <row r="15" spans="1:9" x14ac:dyDescent="0.2">
      <c r="A15" s="2" t="s">
        <v>11</v>
      </c>
      <c r="B15" s="3" t="s">
        <v>85</v>
      </c>
      <c r="C15" s="2" t="s">
        <v>57</v>
      </c>
      <c r="D15" s="2" t="s">
        <v>9</v>
      </c>
      <c r="E15" s="4">
        <v>0</v>
      </c>
      <c r="F15" s="4">
        <v>1</v>
      </c>
      <c r="G15" s="4">
        <v>0</v>
      </c>
      <c r="H15" s="4">
        <v>0</v>
      </c>
      <c r="I15" s="12">
        <f t="shared" si="0"/>
        <v>1</v>
      </c>
    </row>
    <row r="16" spans="1:9" x14ac:dyDescent="0.2">
      <c r="A16" s="2" t="s">
        <v>50</v>
      </c>
      <c r="B16" s="3" t="s">
        <v>86</v>
      </c>
      <c r="C16" s="2" t="s">
        <v>57</v>
      </c>
      <c r="D16" s="2" t="s">
        <v>9</v>
      </c>
      <c r="E16" s="4">
        <v>0</v>
      </c>
      <c r="F16" s="4">
        <v>1</v>
      </c>
      <c r="G16" s="4">
        <v>0</v>
      </c>
      <c r="H16" s="4">
        <v>0</v>
      </c>
      <c r="I16" s="12">
        <f t="shared" si="0"/>
        <v>1</v>
      </c>
    </row>
    <row r="17" spans="1:9" x14ac:dyDescent="0.2">
      <c r="A17" s="2" t="s">
        <v>40</v>
      </c>
      <c r="B17" s="3" t="s">
        <v>87</v>
      </c>
      <c r="C17" s="2" t="s">
        <v>57</v>
      </c>
      <c r="D17" s="2" t="s">
        <v>9</v>
      </c>
      <c r="E17" s="4">
        <v>0</v>
      </c>
      <c r="F17" s="4">
        <v>1</v>
      </c>
      <c r="G17" s="4">
        <v>0</v>
      </c>
      <c r="H17" s="4">
        <v>0</v>
      </c>
      <c r="I17" s="12">
        <f t="shared" si="0"/>
        <v>1</v>
      </c>
    </row>
    <row r="18" spans="1:9" x14ac:dyDescent="0.2">
      <c r="A18" s="2" t="s">
        <v>63</v>
      </c>
      <c r="B18" s="3" t="s">
        <v>88</v>
      </c>
      <c r="C18" s="2" t="s">
        <v>57</v>
      </c>
      <c r="D18" s="2" t="s">
        <v>9</v>
      </c>
      <c r="E18" s="4">
        <v>0</v>
      </c>
      <c r="F18" s="4">
        <v>1</v>
      </c>
      <c r="G18" s="4">
        <v>0</v>
      </c>
      <c r="H18" s="4">
        <v>0</v>
      </c>
      <c r="I18" s="12">
        <f t="shared" si="0"/>
        <v>1</v>
      </c>
    </row>
    <row r="19" spans="1:9" x14ac:dyDescent="0.2">
      <c r="A19" s="2" t="s">
        <v>54</v>
      </c>
      <c r="B19" s="3" t="s">
        <v>89</v>
      </c>
      <c r="C19" s="2" t="s">
        <v>57</v>
      </c>
      <c r="D19" s="2" t="s">
        <v>9</v>
      </c>
      <c r="E19" s="4">
        <v>0</v>
      </c>
      <c r="F19" s="4">
        <v>1</v>
      </c>
      <c r="G19" s="4">
        <v>0</v>
      </c>
      <c r="H19" s="4">
        <v>0</v>
      </c>
      <c r="I19" s="12">
        <f t="shared" si="0"/>
        <v>1</v>
      </c>
    </row>
    <row r="20" spans="1:9" x14ac:dyDescent="0.2">
      <c r="A20" s="2" t="s">
        <v>41</v>
      </c>
      <c r="B20" s="3" t="s">
        <v>90</v>
      </c>
      <c r="C20" s="2" t="s">
        <v>57</v>
      </c>
      <c r="D20" s="2" t="s">
        <v>9</v>
      </c>
      <c r="E20" s="4">
        <v>0</v>
      </c>
      <c r="F20" s="4">
        <v>1</v>
      </c>
      <c r="G20" s="4">
        <v>0</v>
      </c>
      <c r="H20" s="4">
        <v>0</v>
      </c>
      <c r="I20" s="12">
        <f t="shared" si="0"/>
        <v>1</v>
      </c>
    </row>
    <row r="21" spans="1:9" x14ac:dyDescent="0.2">
      <c r="A21" s="2" t="s">
        <v>29</v>
      </c>
      <c r="B21" s="3" t="s">
        <v>91</v>
      </c>
      <c r="C21" s="2" t="s">
        <v>21</v>
      </c>
      <c r="D21" s="2" t="s">
        <v>35</v>
      </c>
      <c r="E21" s="4">
        <v>0</v>
      </c>
      <c r="F21" s="4">
        <v>0</v>
      </c>
      <c r="G21" s="4">
        <v>0</v>
      </c>
      <c r="H21" s="4">
        <v>1</v>
      </c>
      <c r="I21" s="12">
        <f t="shared" si="0"/>
        <v>1</v>
      </c>
    </row>
    <row r="22" spans="1:9" ht="25.5" x14ac:dyDescent="0.2">
      <c r="A22" s="2" t="s">
        <v>26</v>
      </c>
      <c r="B22" s="3" t="s">
        <v>92</v>
      </c>
      <c r="C22" s="2" t="s">
        <v>30</v>
      </c>
      <c r="D22" s="2" t="s">
        <v>9</v>
      </c>
      <c r="E22" s="4">
        <v>0</v>
      </c>
      <c r="F22" s="4">
        <v>0</v>
      </c>
      <c r="G22" s="4">
        <v>0</v>
      </c>
      <c r="H22" s="4">
        <v>0</v>
      </c>
      <c r="I22" s="12">
        <f t="shared" si="0"/>
        <v>0</v>
      </c>
    </row>
    <row r="23" spans="1:9" ht="25.5" x14ac:dyDescent="0.2">
      <c r="A23" s="2" t="s">
        <v>10</v>
      </c>
      <c r="B23" s="3" t="s">
        <v>93</v>
      </c>
      <c r="C23" s="2" t="s">
        <v>30</v>
      </c>
      <c r="D23" s="2" t="s">
        <v>44</v>
      </c>
      <c r="E23" s="4">
        <v>0</v>
      </c>
      <c r="F23" s="4">
        <v>1</v>
      </c>
      <c r="G23" s="4">
        <v>0</v>
      </c>
      <c r="H23" s="4">
        <v>0</v>
      </c>
      <c r="I23" s="12">
        <f t="shared" si="0"/>
        <v>1</v>
      </c>
    </row>
    <row r="24" spans="1:9" ht="25.5" x14ac:dyDescent="0.2">
      <c r="A24" s="2" t="s">
        <v>67</v>
      </c>
      <c r="B24" s="3" t="s">
        <v>94</v>
      </c>
      <c r="C24" s="2" t="s">
        <v>30</v>
      </c>
      <c r="D24" s="2" t="s">
        <v>35</v>
      </c>
      <c r="E24" s="4">
        <v>0</v>
      </c>
      <c r="F24" s="4">
        <v>1</v>
      </c>
      <c r="G24" s="4">
        <v>0</v>
      </c>
      <c r="H24" s="4">
        <v>0</v>
      </c>
      <c r="I24" s="12">
        <f t="shared" si="0"/>
        <v>1</v>
      </c>
    </row>
    <row r="25" spans="1:9" ht="25.5" x14ac:dyDescent="0.2">
      <c r="A25" s="2" t="s">
        <v>12</v>
      </c>
      <c r="B25" s="3" t="s">
        <v>95</v>
      </c>
      <c r="C25" s="2" t="s">
        <v>30</v>
      </c>
      <c r="D25" s="2" t="s">
        <v>0</v>
      </c>
      <c r="E25" s="4">
        <v>0</v>
      </c>
      <c r="F25" s="4">
        <v>0</v>
      </c>
      <c r="G25" s="4">
        <v>0</v>
      </c>
      <c r="H25" s="4">
        <v>0</v>
      </c>
      <c r="I25" s="12">
        <f t="shared" si="0"/>
        <v>0</v>
      </c>
    </row>
    <row r="26" spans="1:9" ht="25.5" x14ac:dyDescent="0.2">
      <c r="A26" s="2" t="s">
        <v>15</v>
      </c>
      <c r="B26" s="3" t="s">
        <v>96</v>
      </c>
      <c r="C26" s="2" t="s">
        <v>30</v>
      </c>
      <c r="D26" s="2" t="s">
        <v>44</v>
      </c>
      <c r="E26" s="4">
        <v>0</v>
      </c>
      <c r="F26" s="4">
        <v>1</v>
      </c>
      <c r="G26" s="4">
        <v>0</v>
      </c>
      <c r="H26" s="4">
        <v>0</v>
      </c>
      <c r="I26" s="12">
        <f t="shared" si="0"/>
        <v>1</v>
      </c>
    </row>
    <row r="27" spans="1:9" ht="25.5" x14ac:dyDescent="0.2">
      <c r="A27" s="2" t="s">
        <v>28</v>
      </c>
      <c r="B27" s="3" t="s">
        <v>97</v>
      </c>
      <c r="C27" s="2" t="s">
        <v>30</v>
      </c>
      <c r="D27" s="2" t="s">
        <v>0</v>
      </c>
      <c r="E27" s="4">
        <v>0</v>
      </c>
      <c r="F27" s="4">
        <v>1</v>
      </c>
      <c r="G27" s="4">
        <v>0</v>
      </c>
      <c r="H27" s="4">
        <v>0</v>
      </c>
      <c r="I27" s="12">
        <f t="shared" si="0"/>
        <v>1</v>
      </c>
    </row>
    <row r="28" spans="1:9" ht="25.5" x14ac:dyDescent="0.2">
      <c r="A28" s="2" t="s">
        <v>25</v>
      </c>
      <c r="B28" s="3" t="s">
        <v>98</v>
      </c>
      <c r="C28" s="2" t="s">
        <v>30</v>
      </c>
      <c r="D28" s="2" t="s">
        <v>35</v>
      </c>
      <c r="E28" s="4">
        <v>0</v>
      </c>
      <c r="F28" s="4">
        <v>0</v>
      </c>
      <c r="G28" s="4">
        <v>0</v>
      </c>
      <c r="H28" s="4">
        <v>0</v>
      </c>
      <c r="I28" s="12">
        <f t="shared" si="0"/>
        <v>0</v>
      </c>
    </row>
    <row r="29" spans="1:9" ht="25.5" x14ac:dyDescent="0.2">
      <c r="A29" s="2" t="s">
        <v>6</v>
      </c>
      <c r="B29" s="3" t="s">
        <v>99</v>
      </c>
      <c r="C29" s="2" t="s">
        <v>30</v>
      </c>
      <c r="D29" s="2" t="s">
        <v>44</v>
      </c>
      <c r="E29" s="4">
        <v>0</v>
      </c>
      <c r="F29" s="4">
        <v>1</v>
      </c>
      <c r="G29" s="4">
        <v>0</v>
      </c>
      <c r="H29" s="4">
        <v>0</v>
      </c>
      <c r="I29" s="12">
        <f t="shared" si="0"/>
        <v>1</v>
      </c>
    </row>
    <row r="30" spans="1:9" ht="25.5" x14ac:dyDescent="0.2">
      <c r="A30" s="2" t="s">
        <v>42</v>
      </c>
      <c r="B30" s="3" t="s">
        <v>100</v>
      </c>
      <c r="C30" s="2" t="s">
        <v>30</v>
      </c>
      <c r="D30" s="2" t="s">
        <v>13</v>
      </c>
      <c r="E30" s="4">
        <v>1</v>
      </c>
      <c r="F30" s="4">
        <v>0</v>
      </c>
      <c r="G30" s="4">
        <v>0</v>
      </c>
      <c r="H30" s="4">
        <v>0</v>
      </c>
      <c r="I30" s="12">
        <f t="shared" si="0"/>
        <v>1</v>
      </c>
    </row>
    <row r="31" spans="1:9" ht="25.5" x14ac:dyDescent="0.2">
      <c r="A31" s="2" t="s">
        <v>19</v>
      </c>
      <c r="B31" s="3" t="s">
        <v>101</v>
      </c>
      <c r="C31" s="2" t="s">
        <v>30</v>
      </c>
      <c r="D31" s="2" t="s">
        <v>44</v>
      </c>
      <c r="E31" s="4">
        <v>0</v>
      </c>
      <c r="F31" s="4">
        <v>1</v>
      </c>
      <c r="G31" s="4">
        <v>0</v>
      </c>
      <c r="H31" s="4">
        <v>0</v>
      </c>
      <c r="I31" s="12">
        <f t="shared" si="0"/>
        <v>1</v>
      </c>
    </row>
    <row r="32" spans="1:9" ht="25.5" x14ac:dyDescent="0.2">
      <c r="A32" s="2" t="s">
        <v>66</v>
      </c>
      <c r="B32" s="3" t="s">
        <v>102</v>
      </c>
      <c r="C32" s="2" t="s">
        <v>30</v>
      </c>
      <c r="D32" s="2" t="s">
        <v>44</v>
      </c>
      <c r="E32" s="4">
        <v>0</v>
      </c>
      <c r="F32" s="4">
        <v>1</v>
      </c>
      <c r="G32" s="4">
        <v>0</v>
      </c>
      <c r="H32" s="4">
        <v>0</v>
      </c>
      <c r="I32" s="12">
        <f t="shared" si="0"/>
        <v>1</v>
      </c>
    </row>
    <row r="33" spans="1:9" ht="25.5" x14ac:dyDescent="0.2">
      <c r="A33" s="2" t="s">
        <v>17</v>
      </c>
      <c r="B33" s="3" t="s">
        <v>103</v>
      </c>
      <c r="C33" s="2" t="s">
        <v>30</v>
      </c>
      <c r="D33" s="2" t="s">
        <v>9</v>
      </c>
      <c r="E33" s="4">
        <v>0</v>
      </c>
      <c r="F33" s="4">
        <v>1</v>
      </c>
      <c r="G33" s="4">
        <v>0</v>
      </c>
      <c r="H33" s="4">
        <v>0</v>
      </c>
      <c r="I33" s="12">
        <f t="shared" si="0"/>
        <v>1</v>
      </c>
    </row>
    <row r="34" spans="1:9" ht="25.5" x14ac:dyDescent="0.2">
      <c r="A34" s="2" t="s">
        <v>24</v>
      </c>
      <c r="B34" s="3" t="s">
        <v>104</v>
      </c>
      <c r="C34" s="2" t="s">
        <v>30</v>
      </c>
      <c r="D34" s="2" t="s">
        <v>13</v>
      </c>
      <c r="E34" s="4">
        <v>1</v>
      </c>
      <c r="F34" s="4">
        <v>0</v>
      </c>
      <c r="G34" s="4">
        <v>0</v>
      </c>
      <c r="H34" s="4">
        <v>0</v>
      </c>
      <c r="I34" s="12">
        <f t="shared" si="0"/>
        <v>1</v>
      </c>
    </row>
    <row r="35" spans="1:9" ht="25.5" x14ac:dyDescent="0.2">
      <c r="A35" s="2" t="s">
        <v>51</v>
      </c>
      <c r="B35" s="3" t="s">
        <v>105</v>
      </c>
      <c r="C35" s="2" t="s">
        <v>30</v>
      </c>
      <c r="D35" s="2" t="s">
        <v>9</v>
      </c>
      <c r="E35" s="4">
        <v>0</v>
      </c>
      <c r="F35" s="4">
        <v>0</v>
      </c>
      <c r="G35" s="4">
        <v>0</v>
      </c>
      <c r="H35" s="4">
        <v>0</v>
      </c>
      <c r="I35" s="12">
        <f t="shared" si="0"/>
        <v>0</v>
      </c>
    </row>
    <row r="36" spans="1:9" ht="25.5" x14ac:dyDescent="0.2">
      <c r="A36" s="2" t="s">
        <v>53</v>
      </c>
      <c r="B36" s="3" t="s">
        <v>106</v>
      </c>
      <c r="C36" s="2" t="s">
        <v>30</v>
      </c>
      <c r="D36" s="2" t="s">
        <v>9</v>
      </c>
      <c r="E36" s="4">
        <v>0</v>
      </c>
      <c r="F36" s="4">
        <v>0</v>
      </c>
      <c r="G36" s="4">
        <v>0</v>
      </c>
      <c r="H36" s="4">
        <v>0</v>
      </c>
      <c r="I36" s="12">
        <f t="shared" si="0"/>
        <v>0</v>
      </c>
    </row>
    <row r="37" spans="1:9" ht="25.5" x14ac:dyDescent="0.2">
      <c r="A37" s="2" t="s">
        <v>1</v>
      </c>
      <c r="B37" s="3" t="s">
        <v>107</v>
      </c>
      <c r="C37" s="2" t="s">
        <v>30</v>
      </c>
      <c r="D37" s="2" t="s">
        <v>44</v>
      </c>
      <c r="E37" s="4">
        <v>0</v>
      </c>
      <c r="F37" s="4">
        <v>1</v>
      </c>
      <c r="G37" s="4">
        <v>0</v>
      </c>
      <c r="H37" s="4">
        <v>0</v>
      </c>
      <c r="I37" s="12">
        <f t="shared" si="0"/>
        <v>1</v>
      </c>
    </row>
    <row r="38" spans="1:9" ht="25.5" x14ac:dyDescent="0.2">
      <c r="A38" s="2" t="s">
        <v>4</v>
      </c>
      <c r="B38" s="3" t="s">
        <v>108</v>
      </c>
      <c r="C38" s="2" t="s">
        <v>30</v>
      </c>
      <c r="D38" s="2" t="s">
        <v>32</v>
      </c>
      <c r="E38" s="4">
        <v>1</v>
      </c>
      <c r="F38" s="4">
        <v>0</v>
      </c>
      <c r="G38" s="4">
        <v>0</v>
      </c>
      <c r="H38" s="4">
        <v>0</v>
      </c>
      <c r="I38" s="12">
        <f t="shared" si="0"/>
        <v>1</v>
      </c>
    </row>
    <row r="39" spans="1:9" ht="25.5" x14ac:dyDescent="0.2">
      <c r="A39" s="2" t="s">
        <v>7</v>
      </c>
      <c r="B39" s="3" t="s">
        <v>109</v>
      </c>
      <c r="C39" s="2" t="s">
        <v>30</v>
      </c>
      <c r="D39" s="2" t="s">
        <v>44</v>
      </c>
      <c r="E39" s="4">
        <v>0</v>
      </c>
      <c r="F39" s="4">
        <v>1</v>
      </c>
      <c r="G39" s="4">
        <v>0</v>
      </c>
      <c r="H39" s="4">
        <v>0</v>
      </c>
      <c r="I39" s="12">
        <f t="shared" si="0"/>
        <v>1</v>
      </c>
    </row>
    <row r="40" spans="1:9" ht="25.5" x14ac:dyDescent="0.2">
      <c r="A40" s="2" t="s">
        <v>20</v>
      </c>
      <c r="B40" s="3" t="s">
        <v>110</v>
      </c>
      <c r="C40" s="2" t="s">
        <v>30</v>
      </c>
      <c r="D40" s="2" t="s">
        <v>32</v>
      </c>
      <c r="E40" s="4">
        <v>1</v>
      </c>
      <c r="F40" s="4">
        <v>0</v>
      </c>
      <c r="G40" s="4">
        <v>0</v>
      </c>
      <c r="H40" s="4">
        <v>0</v>
      </c>
      <c r="I40" s="12">
        <f t="shared" si="0"/>
        <v>1</v>
      </c>
    </row>
    <row r="41" spans="1:9" ht="25.5" x14ac:dyDescent="0.2">
      <c r="A41" s="2" t="s">
        <v>38</v>
      </c>
      <c r="B41" s="3" t="s">
        <v>111</v>
      </c>
      <c r="C41" s="2" t="s">
        <v>30</v>
      </c>
      <c r="D41" s="2" t="s">
        <v>0</v>
      </c>
      <c r="E41" s="4">
        <v>0</v>
      </c>
      <c r="F41" s="4">
        <v>0</v>
      </c>
      <c r="G41" s="4">
        <v>1</v>
      </c>
      <c r="H41" s="4">
        <v>0</v>
      </c>
      <c r="I41" s="12">
        <f t="shared" si="0"/>
        <v>1</v>
      </c>
    </row>
    <row r="42" spans="1:9" ht="25.5" x14ac:dyDescent="0.2">
      <c r="A42" s="2" t="s">
        <v>18</v>
      </c>
      <c r="B42" s="3" t="s">
        <v>112</v>
      </c>
      <c r="C42" s="2" t="s">
        <v>30</v>
      </c>
      <c r="D42" s="2" t="s">
        <v>0</v>
      </c>
      <c r="E42" s="4">
        <v>0</v>
      </c>
      <c r="F42" s="4">
        <v>0</v>
      </c>
      <c r="G42" s="4">
        <v>0</v>
      </c>
      <c r="H42" s="4">
        <v>0</v>
      </c>
      <c r="I42" s="12">
        <f t="shared" si="0"/>
        <v>0</v>
      </c>
    </row>
    <row r="43" spans="1:9" ht="25.5" x14ac:dyDescent="0.2">
      <c r="A43" s="2" t="s">
        <v>68</v>
      </c>
      <c r="B43" s="3" t="s">
        <v>113</v>
      </c>
      <c r="C43" s="2" t="s">
        <v>30</v>
      </c>
      <c r="D43" s="2" t="s">
        <v>0</v>
      </c>
      <c r="E43" s="4">
        <v>1</v>
      </c>
      <c r="F43" s="4">
        <v>0</v>
      </c>
      <c r="G43" s="4">
        <v>0</v>
      </c>
      <c r="H43" s="4">
        <v>0</v>
      </c>
      <c r="I43" s="12">
        <f t="shared" si="0"/>
        <v>1</v>
      </c>
    </row>
    <row r="44" spans="1:9" ht="25.5" x14ac:dyDescent="0.2">
      <c r="A44" s="2" t="s">
        <v>27</v>
      </c>
      <c r="B44" s="3" t="s">
        <v>114</v>
      </c>
      <c r="C44" s="2" t="s">
        <v>30</v>
      </c>
      <c r="D44" s="2" t="s">
        <v>35</v>
      </c>
      <c r="E44" s="4">
        <v>0</v>
      </c>
      <c r="F44" s="4">
        <v>0</v>
      </c>
      <c r="G44" s="4">
        <v>1</v>
      </c>
      <c r="H44" s="4">
        <v>0</v>
      </c>
      <c r="I44" s="12">
        <f t="shared" si="0"/>
        <v>1</v>
      </c>
    </row>
    <row r="45" spans="1:9" ht="25.5" x14ac:dyDescent="0.2">
      <c r="A45" s="2" t="s">
        <v>37</v>
      </c>
      <c r="B45" s="3" t="s">
        <v>115</v>
      </c>
      <c r="C45" s="2" t="s">
        <v>30</v>
      </c>
      <c r="D45" s="2" t="s">
        <v>9</v>
      </c>
      <c r="E45" s="4">
        <v>1</v>
      </c>
      <c r="F45" s="4">
        <v>0</v>
      </c>
      <c r="G45" s="4">
        <v>0</v>
      </c>
      <c r="H45" s="4">
        <v>0</v>
      </c>
      <c r="I45" s="12">
        <f t="shared" si="0"/>
        <v>1</v>
      </c>
    </row>
    <row r="46" spans="1:9" ht="25.5" x14ac:dyDescent="0.2">
      <c r="A46" s="2" t="s">
        <v>60</v>
      </c>
      <c r="B46" s="3" t="s">
        <v>116</v>
      </c>
      <c r="C46" s="2" t="s">
        <v>30</v>
      </c>
      <c r="D46" s="2" t="s">
        <v>32</v>
      </c>
      <c r="E46" s="4">
        <v>1</v>
      </c>
      <c r="F46" s="4">
        <v>0</v>
      </c>
      <c r="G46" s="4">
        <v>0</v>
      </c>
      <c r="H46" s="4">
        <v>0</v>
      </c>
      <c r="I46" s="12">
        <f t="shared" si="0"/>
        <v>1</v>
      </c>
    </row>
    <row r="47" spans="1:9" ht="25.5" x14ac:dyDescent="0.2">
      <c r="A47" s="2" t="s">
        <v>59</v>
      </c>
      <c r="B47" s="3" t="s">
        <v>117</v>
      </c>
      <c r="C47" s="2" t="s">
        <v>30</v>
      </c>
      <c r="D47" s="2" t="s">
        <v>9</v>
      </c>
      <c r="E47" s="4">
        <v>0</v>
      </c>
      <c r="F47" s="4">
        <v>0</v>
      </c>
      <c r="G47" s="4">
        <v>0</v>
      </c>
      <c r="H47" s="4">
        <v>1</v>
      </c>
      <c r="I47" s="12">
        <f t="shared" si="0"/>
        <v>1</v>
      </c>
    </row>
    <row r="48" spans="1:9" ht="25.5" x14ac:dyDescent="0.2">
      <c r="A48" s="2" t="s">
        <v>31</v>
      </c>
      <c r="B48" s="3" t="s">
        <v>118</v>
      </c>
      <c r="C48" s="2" t="s">
        <v>30</v>
      </c>
      <c r="D48" s="2" t="s">
        <v>9</v>
      </c>
      <c r="E48" s="4">
        <v>0</v>
      </c>
      <c r="F48" s="4">
        <v>0</v>
      </c>
      <c r="G48" s="4">
        <v>1</v>
      </c>
      <c r="H48" s="4">
        <v>0</v>
      </c>
      <c r="I48" s="12">
        <f t="shared" si="0"/>
        <v>1</v>
      </c>
    </row>
    <row r="49" spans="1:9" ht="25.5" x14ac:dyDescent="0.2">
      <c r="A49" s="2" t="s">
        <v>14</v>
      </c>
      <c r="B49" s="3" t="s">
        <v>119</v>
      </c>
      <c r="C49" s="2" t="s">
        <v>30</v>
      </c>
      <c r="D49" s="2" t="s">
        <v>44</v>
      </c>
      <c r="E49" s="4">
        <v>0</v>
      </c>
      <c r="F49" s="4">
        <v>1</v>
      </c>
      <c r="G49" s="4">
        <v>0</v>
      </c>
      <c r="H49" s="4">
        <v>0</v>
      </c>
      <c r="I49" s="12">
        <f t="shared" si="0"/>
        <v>1</v>
      </c>
    </row>
    <row r="50" spans="1:9" x14ac:dyDescent="0.2">
      <c r="A50" s="2" t="s">
        <v>47</v>
      </c>
      <c r="B50" s="3" t="s">
        <v>120</v>
      </c>
      <c r="C50" s="2" t="s">
        <v>3</v>
      </c>
      <c r="D50" s="2" t="s">
        <v>0</v>
      </c>
      <c r="E50" s="4">
        <v>0</v>
      </c>
      <c r="F50" s="4">
        <v>0</v>
      </c>
      <c r="G50" s="4">
        <v>0</v>
      </c>
      <c r="H50" s="4">
        <v>0</v>
      </c>
      <c r="I50" s="12">
        <f t="shared" si="0"/>
        <v>0</v>
      </c>
    </row>
    <row r="51" spans="1:9" x14ac:dyDescent="0.2">
      <c r="A51" s="2" t="s">
        <v>8</v>
      </c>
      <c r="B51" s="3" t="s">
        <v>121</v>
      </c>
      <c r="C51" s="2" t="s">
        <v>39</v>
      </c>
      <c r="D51" s="2" t="s">
        <v>44</v>
      </c>
      <c r="E51" s="4">
        <v>0</v>
      </c>
      <c r="F51" s="4">
        <v>0</v>
      </c>
      <c r="G51" s="4">
        <v>0</v>
      </c>
      <c r="H51" s="4">
        <v>0</v>
      </c>
      <c r="I51" s="12">
        <f t="shared" si="0"/>
        <v>0</v>
      </c>
    </row>
    <row r="52" spans="1:9" x14ac:dyDescent="0.2">
      <c r="A52" s="2" t="s">
        <v>43</v>
      </c>
      <c r="B52" s="3" t="s">
        <v>122</v>
      </c>
      <c r="C52" s="2" t="s">
        <v>39</v>
      </c>
      <c r="D52" s="2" t="s">
        <v>32</v>
      </c>
      <c r="E52" s="4">
        <v>1</v>
      </c>
      <c r="F52" s="4">
        <v>0</v>
      </c>
      <c r="G52" s="4">
        <v>0</v>
      </c>
      <c r="H52" s="4">
        <v>0</v>
      </c>
      <c r="I52" s="12">
        <f t="shared" si="0"/>
        <v>1</v>
      </c>
    </row>
    <row r="53" spans="1:9" x14ac:dyDescent="0.2">
      <c r="A53" s="2" t="s">
        <v>45</v>
      </c>
      <c r="B53" s="3" t="s">
        <v>123</v>
      </c>
      <c r="C53" s="2" t="s">
        <v>39</v>
      </c>
      <c r="D53" s="2" t="s">
        <v>35</v>
      </c>
      <c r="E53" s="4">
        <v>0</v>
      </c>
      <c r="F53" s="4">
        <v>0</v>
      </c>
      <c r="G53" s="4">
        <v>1</v>
      </c>
      <c r="H53" s="4">
        <v>0</v>
      </c>
      <c r="I53" s="12">
        <f t="shared" si="0"/>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24DCC-8A5E-4497-8979-0DB5835CC83C}">
  <dimension ref="A1:N53"/>
  <sheetViews>
    <sheetView topLeftCell="I37" workbookViewId="0">
      <selection activeCell="B1" sqref="B1:N53"/>
    </sheetView>
  </sheetViews>
  <sheetFormatPr defaultColWidth="30.7109375" defaultRowHeight="12.75" x14ac:dyDescent="0.2"/>
  <cols>
    <col min="1" max="1" width="0" style="2" hidden="1" customWidth="1"/>
    <col min="2" max="2" width="30.7109375" style="10"/>
    <col min="3" max="4" width="0" style="2" hidden="1" customWidth="1"/>
    <col min="5" max="14" width="30.7109375" style="10"/>
    <col min="15" max="16384" width="30.7109375" style="2"/>
  </cols>
  <sheetData>
    <row r="1" spans="1:14" ht="38.25" x14ac:dyDescent="0.2">
      <c r="A1" s="2" t="s">
        <v>2</v>
      </c>
      <c r="B1" s="2" t="s">
        <v>2</v>
      </c>
      <c r="C1" s="2" t="s">
        <v>65</v>
      </c>
      <c r="D1" s="2" t="s">
        <v>62</v>
      </c>
      <c r="E1" s="11" t="s">
        <v>69</v>
      </c>
      <c r="F1" s="11" t="s">
        <v>70</v>
      </c>
      <c r="G1" s="11" t="s">
        <v>204</v>
      </c>
      <c r="H1" s="11" t="s">
        <v>205</v>
      </c>
      <c r="I1" s="11" t="s">
        <v>206</v>
      </c>
      <c r="J1" s="11" t="s">
        <v>207</v>
      </c>
      <c r="K1" s="11" t="s">
        <v>208</v>
      </c>
      <c r="L1" s="11" t="s">
        <v>209</v>
      </c>
      <c r="M1" s="11" t="s">
        <v>71</v>
      </c>
      <c r="N1" s="11" t="s">
        <v>202</v>
      </c>
    </row>
    <row r="2" spans="1:14" x14ac:dyDescent="0.2">
      <c r="A2" s="2" t="s">
        <v>52</v>
      </c>
      <c r="B2" s="3" t="s">
        <v>72</v>
      </c>
      <c r="C2" s="2" t="s">
        <v>58</v>
      </c>
      <c r="D2" s="2" t="s">
        <v>9</v>
      </c>
      <c r="E2" s="4">
        <v>0</v>
      </c>
      <c r="F2" s="4">
        <v>0</v>
      </c>
      <c r="G2" s="4">
        <v>0</v>
      </c>
      <c r="H2" s="4">
        <v>0</v>
      </c>
      <c r="I2" s="4">
        <v>0</v>
      </c>
      <c r="J2" s="4">
        <v>0</v>
      </c>
      <c r="K2" s="4">
        <v>0</v>
      </c>
      <c r="L2" s="4">
        <v>0</v>
      </c>
      <c r="M2" s="4">
        <v>0</v>
      </c>
      <c r="N2" s="4">
        <v>0</v>
      </c>
    </row>
    <row r="3" spans="1:14" ht="25.5" x14ac:dyDescent="0.2">
      <c r="A3" s="2" t="s">
        <v>56</v>
      </c>
      <c r="B3" s="3" t="s">
        <v>73</v>
      </c>
      <c r="C3" s="2" t="s">
        <v>34</v>
      </c>
      <c r="D3" s="2" t="s">
        <v>13</v>
      </c>
      <c r="E3" s="4">
        <v>0</v>
      </c>
      <c r="F3" s="4">
        <v>1</v>
      </c>
      <c r="G3" s="4">
        <v>0</v>
      </c>
      <c r="H3" s="4">
        <v>0</v>
      </c>
      <c r="I3" s="4">
        <v>0</v>
      </c>
      <c r="J3" s="4">
        <v>0</v>
      </c>
      <c r="K3" s="4">
        <v>0</v>
      </c>
      <c r="L3" s="4">
        <v>0</v>
      </c>
      <c r="M3" s="4">
        <v>0</v>
      </c>
      <c r="N3" s="4">
        <v>0</v>
      </c>
    </row>
    <row r="4" spans="1:14" ht="25.5" x14ac:dyDescent="0.2">
      <c r="A4" s="2" t="s">
        <v>49</v>
      </c>
      <c r="B4" s="3" t="s">
        <v>74</v>
      </c>
      <c r="C4" s="2" t="s">
        <v>34</v>
      </c>
      <c r="D4" s="2" t="s">
        <v>32</v>
      </c>
      <c r="E4" s="4">
        <v>0</v>
      </c>
      <c r="F4" s="4">
        <v>1</v>
      </c>
      <c r="G4" s="4">
        <v>0</v>
      </c>
      <c r="H4" s="4">
        <v>1</v>
      </c>
      <c r="I4" s="4">
        <v>0</v>
      </c>
      <c r="J4" s="4">
        <v>0</v>
      </c>
      <c r="K4" s="4">
        <v>0</v>
      </c>
      <c r="L4" s="4">
        <v>0</v>
      </c>
      <c r="M4" s="4">
        <v>0</v>
      </c>
      <c r="N4" s="4">
        <v>0</v>
      </c>
    </row>
    <row r="5" spans="1:14" ht="25.5" x14ac:dyDescent="0.2">
      <c r="A5" s="2" t="s">
        <v>48</v>
      </c>
      <c r="B5" s="3" t="s">
        <v>75</v>
      </c>
      <c r="C5" s="2" t="s">
        <v>64</v>
      </c>
      <c r="D5" s="2" t="s">
        <v>0</v>
      </c>
      <c r="E5" s="4">
        <v>0</v>
      </c>
      <c r="F5" s="4">
        <v>1</v>
      </c>
      <c r="G5" s="4">
        <v>1</v>
      </c>
      <c r="H5" s="4">
        <v>0</v>
      </c>
      <c r="I5" s="4">
        <v>0</v>
      </c>
      <c r="J5" s="4">
        <v>0</v>
      </c>
      <c r="K5" s="4">
        <v>0</v>
      </c>
      <c r="L5" s="4">
        <v>0</v>
      </c>
      <c r="M5" s="4">
        <v>0</v>
      </c>
      <c r="N5" s="4">
        <v>0</v>
      </c>
    </row>
    <row r="6" spans="1:14" ht="25.5" x14ac:dyDescent="0.2">
      <c r="A6" s="2" t="s">
        <v>22</v>
      </c>
      <c r="B6" s="3" t="s">
        <v>76</v>
      </c>
      <c r="C6" s="2" t="s">
        <v>64</v>
      </c>
      <c r="D6" s="2" t="s">
        <v>44</v>
      </c>
      <c r="E6" s="4">
        <v>0</v>
      </c>
      <c r="F6" s="4">
        <v>1</v>
      </c>
      <c r="G6" s="4">
        <v>0</v>
      </c>
      <c r="H6" s="4">
        <v>1</v>
      </c>
      <c r="I6" s="4">
        <v>0</v>
      </c>
      <c r="J6" s="4">
        <v>0</v>
      </c>
      <c r="K6" s="4">
        <v>0</v>
      </c>
      <c r="L6" s="4">
        <v>0</v>
      </c>
      <c r="M6" s="4">
        <v>0</v>
      </c>
      <c r="N6" s="4">
        <v>0</v>
      </c>
    </row>
    <row r="7" spans="1:14" ht="25.5" x14ac:dyDescent="0.2">
      <c r="A7" s="2" t="s">
        <v>16</v>
      </c>
      <c r="B7" s="3" t="s">
        <v>77</v>
      </c>
      <c r="C7" s="2" t="s">
        <v>64</v>
      </c>
      <c r="D7" s="2" t="s">
        <v>0</v>
      </c>
      <c r="E7" s="4">
        <v>1</v>
      </c>
      <c r="F7" s="4">
        <v>0</v>
      </c>
      <c r="G7" s="4">
        <v>0</v>
      </c>
      <c r="H7" s="4">
        <v>0</v>
      </c>
      <c r="I7" s="4">
        <v>0</v>
      </c>
      <c r="J7" s="4">
        <v>0</v>
      </c>
      <c r="K7" s="4">
        <v>0</v>
      </c>
      <c r="L7" s="4">
        <v>0</v>
      </c>
      <c r="M7" s="4">
        <v>0</v>
      </c>
      <c r="N7" s="4">
        <v>0</v>
      </c>
    </row>
    <row r="8" spans="1:14" ht="25.5" x14ac:dyDescent="0.2">
      <c r="A8" s="2" t="s">
        <v>5</v>
      </c>
      <c r="B8" s="3" t="s">
        <v>78</v>
      </c>
      <c r="C8" s="2" t="s">
        <v>64</v>
      </c>
      <c r="D8" s="2" t="s">
        <v>44</v>
      </c>
      <c r="E8" s="4">
        <v>0</v>
      </c>
      <c r="F8" s="4">
        <v>1</v>
      </c>
      <c r="G8" s="4">
        <v>0</v>
      </c>
      <c r="H8" s="4">
        <v>0</v>
      </c>
      <c r="I8" s="4">
        <v>0</v>
      </c>
      <c r="J8" s="4">
        <v>0</v>
      </c>
      <c r="K8" s="4">
        <v>0</v>
      </c>
      <c r="L8" s="4">
        <v>1</v>
      </c>
      <c r="M8" s="4">
        <v>0</v>
      </c>
      <c r="N8" s="4">
        <v>0</v>
      </c>
    </row>
    <row r="9" spans="1:14" ht="25.5" x14ac:dyDescent="0.2">
      <c r="A9" s="2" t="s">
        <v>23</v>
      </c>
      <c r="B9" s="3" t="s">
        <v>79</v>
      </c>
      <c r="C9" s="2" t="s">
        <v>64</v>
      </c>
      <c r="D9" s="2" t="s">
        <v>0</v>
      </c>
      <c r="E9" s="4">
        <v>1</v>
      </c>
      <c r="F9" s="4">
        <v>0</v>
      </c>
      <c r="G9" s="4">
        <v>0</v>
      </c>
      <c r="H9" s="4">
        <v>0</v>
      </c>
      <c r="I9" s="4">
        <v>0</v>
      </c>
      <c r="J9" s="4">
        <v>0</v>
      </c>
      <c r="K9" s="4">
        <v>0</v>
      </c>
      <c r="L9" s="4">
        <v>0</v>
      </c>
      <c r="M9" s="4">
        <v>0</v>
      </c>
      <c r="N9" s="4">
        <v>0</v>
      </c>
    </row>
    <row r="10" spans="1:14" ht="25.5" x14ac:dyDescent="0.2">
      <c r="A10" s="2" t="s">
        <v>33</v>
      </c>
      <c r="B10" s="3" t="s">
        <v>80</v>
      </c>
      <c r="C10" s="2" t="s">
        <v>64</v>
      </c>
      <c r="D10" s="2" t="s">
        <v>0</v>
      </c>
      <c r="E10" s="4">
        <v>0</v>
      </c>
      <c r="F10" s="4">
        <v>1</v>
      </c>
      <c r="G10" s="4">
        <v>0</v>
      </c>
      <c r="H10" s="4">
        <v>0</v>
      </c>
      <c r="I10" s="4">
        <v>0</v>
      </c>
      <c r="J10" s="4">
        <v>0</v>
      </c>
      <c r="K10" s="4">
        <v>0</v>
      </c>
      <c r="L10" s="4">
        <v>0</v>
      </c>
      <c r="M10" s="4">
        <v>0</v>
      </c>
      <c r="N10" s="4">
        <v>0</v>
      </c>
    </row>
    <row r="11" spans="1:14" ht="25.5" x14ac:dyDescent="0.2">
      <c r="A11" s="2" t="s">
        <v>46</v>
      </c>
      <c r="B11" s="3" t="s">
        <v>81</v>
      </c>
      <c r="C11" s="2" t="s">
        <v>64</v>
      </c>
      <c r="D11" s="2" t="s">
        <v>44</v>
      </c>
      <c r="E11" s="4">
        <v>0</v>
      </c>
      <c r="F11" s="4">
        <v>1</v>
      </c>
      <c r="G11" s="4">
        <v>0</v>
      </c>
      <c r="H11" s="4">
        <v>1</v>
      </c>
      <c r="I11" s="4">
        <v>0</v>
      </c>
      <c r="J11" s="4">
        <v>0</v>
      </c>
      <c r="K11" s="4">
        <v>0</v>
      </c>
      <c r="L11" s="4">
        <v>0</v>
      </c>
      <c r="M11" s="4">
        <v>0</v>
      </c>
      <c r="N11" s="4">
        <v>0</v>
      </c>
    </row>
    <row r="12" spans="1:14" ht="25.5" x14ac:dyDescent="0.2">
      <c r="A12" s="2" t="s">
        <v>61</v>
      </c>
      <c r="B12" s="3" t="s">
        <v>82</v>
      </c>
      <c r="C12" s="2" t="s">
        <v>64</v>
      </c>
      <c r="D12" s="2" t="s">
        <v>0</v>
      </c>
      <c r="E12" s="4">
        <v>0</v>
      </c>
      <c r="F12" s="4">
        <v>1</v>
      </c>
      <c r="G12" s="4">
        <v>1</v>
      </c>
      <c r="H12" s="4">
        <v>0</v>
      </c>
      <c r="I12" s="4">
        <v>0</v>
      </c>
      <c r="J12" s="4">
        <v>1</v>
      </c>
      <c r="K12" s="4">
        <v>0</v>
      </c>
      <c r="L12" s="4">
        <v>0</v>
      </c>
      <c r="M12" s="4">
        <v>0</v>
      </c>
      <c r="N12" s="4">
        <v>0</v>
      </c>
    </row>
    <row r="13" spans="1:14" x14ac:dyDescent="0.2">
      <c r="A13" s="2" t="s">
        <v>55</v>
      </c>
      <c r="B13" s="3" t="s">
        <v>83</v>
      </c>
      <c r="C13" s="2" t="s">
        <v>57</v>
      </c>
      <c r="D13" s="2" t="s">
        <v>9</v>
      </c>
      <c r="E13" s="4">
        <v>1</v>
      </c>
      <c r="F13" s="4">
        <v>0</v>
      </c>
      <c r="G13" s="4">
        <v>0</v>
      </c>
      <c r="H13" s="4">
        <v>0</v>
      </c>
      <c r="I13" s="4">
        <v>0</v>
      </c>
      <c r="J13" s="4">
        <v>0</v>
      </c>
      <c r="K13" s="4">
        <v>0</v>
      </c>
      <c r="L13" s="4">
        <v>0</v>
      </c>
      <c r="M13" s="4">
        <v>0</v>
      </c>
      <c r="N13" s="4">
        <v>0</v>
      </c>
    </row>
    <row r="14" spans="1:14" x14ac:dyDescent="0.2">
      <c r="A14" s="2" t="s">
        <v>36</v>
      </c>
      <c r="B14" s="3" t="s">
        <v>84</v>
      </c>
      <c r="C14" s="2" t="s">
        <v>57</v>
      </c>
      <c r="D14" s="2" t="s">
        <v>9</v>
      </c>
      <c r="E14" s="4">
        <v>1</v>
      </c>
      <c r="F14" s="4">
        <v>0</v>
      </c>
      <c r="G14" s="4">
        <v>0</v>
      </c>
      <c r="H14" s="4">
        <v>0</v>
      </c>
      <c r="I14" s="4">
        <v>0</v>
      </c>
      <c r="J14" s="4">
        <v>0</v>
      </c>
      <c r="K14" s="4">
        <v>0</v>
      </c>
      <c r="L14" s="4">
        <v>0</v>
      </c>
      <c r="M14" s="4">
        <v>0</v>
      </c>
      <c r="N14" s="4">
        <v>0</v>
      </c>
    </row>
    <row r="15" spans="1:14" x14ac:dyDescent="0.2">
      <c r="A15" s="2" t="s">
        <v>11</v>
      </c>
      <c r="B15" s="3" t="s">
        <v>85</v>
      </c>
      <c r="C15" s="2" t="s">
        <v>57</v>
      </c>
      <c r="D15" s="2" t="s">
        <v>9</v>
      </c>
      <c r="E15" s="4">
        <v>0</v>
      </c>
      <c r="F15" s="4">
        <v>1</v>
      </c>
      <c r="G15" s="4">
        <v>0</v>
      </c>
      <c r="H15" s="4">
        <v>1</v>
      </c>
      <c r="I15" s="4">
        <v>0</v>
      </c>
      <c r="J15" s="4">
        <v>0</v>
      </c>
      <c r="K15" s="4">
        <v>0</v>
      </c>
      <c r="L15" s="4">
        <v>1</v>
      </c>
      <c r="M15" s="4">
        <v>0</v>
      </c>
      <c r="N15" s="4">
        <v>0</v>
      </c>
    </row>
    <row r="16" spans="1:14" x14ac:dyDescent="0.2">
      <c r="A16" s="2" t="s">
        <v>50</v>
      </c>
      <c r="B16" s="3" t="s">
        <v>86</v>
      </c>
      <c r="C16" s="2" t="s">
        <v>57</v>
      </c>
      <c r="D16" s="2" t="s">
        <v>9</v>
      </c>
      <c r="E16" s="4">
        <v>0</v>
      </c>
      <c r="F16" s="4">
        <v>1</v>
      </c>
      <c r="G16" s="4">
        <v>0</v>
      </c>
      <c r="H16" s="4">
        <v>1</v>
      </c>
      <c r="I16" s="4">
        <v>0</v>
      </c>
      <c r="J16" s="4">
        <v>0</v>
      </c>
      <c r="K16" s="4">
        <v>0</v>
      </c>
      <c r="L16" s="4">
        <v>0</v>
      </c>
      <c r="M16" s="4">
        <v>0</v>
      </c>
      <c r="N16" s="4">
        <v>0</v>
      </c>
    </row>
    <row r="17" spans="1:14" x14ac:dyDescent="0.2">
      <c r="A17" s="2" t="s">
        <v>40</v>
      </c>
      <c r="B17" s="3" t="s">
        <v>87</v>
      </c>
      <c r="C17" s="2" t="s">
        <v>57</v>
      </c>
      <c r="D17" s="2" t="s">
        <v>9</v>
      </c>
      <c r="E17" s="4">
        <v>0</v>
      </c>
      <c r="F17" s="4">
        <v>1</v>
      </c>
      <c r="G17" s="4">
        <v>0</v>
      </c>
      <c r="H17" s="4">
        <v>0</v>
      </c>
      <c r="I17" s="4">
        <v>0</v>
      </c>
      <c r="J17" s="4">
        <v>1</v>
      </c>
      <c r="K17" s="4">
        <v>0</v>
      </c>
      <c r="L17" s="4">
        <v>0</v>
      </c>
      <c r="M17" s="4">
        <v>0</v>
      </c>
      <c r="N17" s="4">
        <v>0</v>
      </c>
    </row>
    <row r="18" spans="1:14" x14ac:dyDescent="0.2">
      <c r="A18" s="2" t="s">
        <v>63</v>
      </c>
      <c r="B18" s="3" t="s">
        <v>88</v>
      </c>
      <c r="C18" s="2" t="s">
        <v>57</v>
      </c>
      <c r="D18" s="2" t="s">
        <v>9</v>
      </c>
      <c r="E18" s="4">
        <v>0</v>
      </c>
      <c r="F18" s="4">
        <v>1</v>
      </c>
      <c r="G18" s="4">
        <v>0</v>
      </c>
      <c r="H18" s="4">
        <v>1</v>
      </c>
      <c r="I18" s="4">
        <v>0</v>
      </c>
      <c r="J18" s="4">
        <v>0</v>
      </c>
      <c r="K18" s="4">
        <v>0</v>
      </c>
      <c r="L18" s="4">
        <v>0</v>
      </c>
      <c r="M18" s="4">
        <v>0</v>
      </c>
      <c r="N18" s="4">
        <v>0</v>
      </c>
    </row>
    <row r="19" spans="1:14" x14ac:dyDescent="0.2">
      <c r="A19" s="2" t="s">
        <v>54</v>
      </c>
      <c r="B19" s="3" t="s">
        <v>89</v>
      </c>
      <c r="C19" s="2" t="s">
        <v>57</v>
      </c>
      <c r="D19" s="2" t="s">
        <v>9</v>
      </c>
      <c r="E19" s="4">
        <v>0</v>
      </c>
      <c r="F19" s="4">
        <v>1</v>
      </c>
      <c r="G19" s="4">
        <v>0</v>
      </c>
      <c r="H19" s="4">
        <v>0</v>
      </c>
      <c r="I19" s="4">
        <v>0</v>
      </c>
      <c r="J19" s="4">
        <v>0</v>
      </c>
      <c r="K19" s="4">
        <v>0</v>
      </c>
      <c r="L19" s="4">
        <v>0</v>
      </c>
      <c r="M19" s="4">
        <v>0</v>
      </c>
      <c r="N19" s="4">
        <v>0</v>
      </c>
    </row>
    <row r="20" spans="1:14" x14ac:dyDescent="0.2">
      <c r="A20" s="2" t="s">
        <v>41</v>
      </c>
      <c r="B20" s="3" t="s">
        <v>90</v>
      </c>
      <c r="C20" s="2" t="s">
        <v>57</v>
      </c>
      <c r="D20" s="2" t="s">
        <v>9</v>
      </c>
      <c r="E20" s="4">
        <v>0</v>
      </c>
      <c r="F20" s="4">
        <v>1</v>
      </c>
      <c r="G20" s="4">
        <v>0</v>
      </c>
      <c r="H20" s="4">
        <v>1</v>
      </c>
      <c r="I20" s="4">
        <v>0</v>
      </c>
      <c r="J20" s="4">
        <v>0</v>
      </c>
      <c r="K20" s="4">
        <v>0</v>
      </c>
      <c r="L20" s="4">
        <v>0</v>
      </c>
      <c r="M20" s="4">
        <v>0</v>
      </c>
      <c r="N20" s="4">
        <v>0</v>
      </c>
    </row>
    <row r="21" spans="1:14" x14ac:dyDescent="0.2">
      <c r="A21" s="2" t="s">
        <v>29</v>
      </c>
      <c r="B21" s="3" t="s">
        <v>91</v>
      </c>
      <c r="C21" s="2" t="s">
        <v>21</v>
      </c>
      <c r="D21" s="2" t="s">
        <v>35</v>
      </c>
      <c r="E21" s="4">
        <v>0</v>
      </c>
      <c r="F21" s="4">
        <v>0</v>
      </c>
      <c r="G21" s="4">
        <v>0</v>
      </c>
      <c r="H21" s="4">
        <v>0</v>
      </c>
      <c r="I21" s="4">
        <v>0</v>
      </c>
      <c r="J21" s="4">
        <v>0</v>
      </c>
      <c r="K21" s="4">
        <v>0</v>
      </c>
      <c r="L21" s="4">
        <v>0</v>
      </c>
      <c r="M21" s="4">
        <v>0</v>
      </c>
      <c r="N21" s="4">
        <v>1</v>
      </c>
    </row>
    <row r="22" spans="1:14" ht="25.5" x14ac:dyDescent="0.2">
      <c r="A22" s="2" t="s">
        <v>26</v>
      </c>
      <c r="B22" s="3" t="s">
        <v>92</v>
      </c>
      <c r="C22" s="2" t="s">
        <v>30</v>
      </c>
      <c r="D22" s="2" t="s">
        <v>9</v>
      </c>
      <c r="E22" s="4">
        <v>0</v>
      </c>
      <c r="F22" s="4">
        <v>0</v>
      </c>
      <c r="G22" s="4">
        <v>0</v>
      </c>
      <c r="H22" s="4">
        <v>0</v>
      </c>
      <c r="I22" s="4">
        <v>0</v>
      </c>
      <c r="J22" s="4">
        <v>0</v>
      </c>
      <c r="K22" s="4">
        <v>0</v>
      </c>
      <c r="L22" s="4">
        <v>0</v>
      </c>
      <c r="M22" s="4">
        <v>0</v>
      </c>
      <c r="N22" s="4">
        <v>0</v>
      </c>
    </row>
    <row r="23" spans="1:14" ht="25.5" x14ac:dyDescent="0.2">
      <c r="A23" s="2" t="s">
        <v>10</v>
      </c>
      <c r="B23" s="3" t="s">
        <v>93</v>
      </c>
      <c r="C23" s="2" t="s">
        <v>30</v>
      </c>
      <c r="D23" s="2" t="s">
        <v>44</v>
      </c>
      <c r="E23" s="4">
        <v>0</v>
      </c>
      <c r="F23" s="4">
        <v>1</v>
      </c>
      <c r="G23" s="4">
        <v>0</v>
      </c>
      <c r="H23" s="4">
        <v>1</v>
      </c>
      <c r="I23" s="4">
        <v>0</v>
      </c>
      <c r="J23" s="4">
        <v>0</v>
      </c>
      <c r="K23" s="4">
        <v>0</v>
      </c>
      <c r="L23" s="4">
        <v>0</v>
      </c>
      <c r="M23" s="4">
        <v>0</v>
      </c>
      <c r="N23" s="4">
        <v>0</v>
      </c>
    </row>
    <row r="24" spans="1:14" ht="25.5" x14ac:dyDescent="0.2">
      <c r="A24" s="2" t="s">
        <v>67</v>
      </c>
      <c r="B24" s="3" t="s">
        <v>94</v>
      </c>
      <c r="C24" s="2" t="s">
        <v>30</v>
      </c>
      <c r="D24" s="2" t="s">
        <v>35</v>
      </c>
      <c r="E24" s="4">
        <v>0</v>
      </c>
      <c r="F24" s="4">
        <v>1</v>
      </c>
      <c r="G24" s="4">
        <v>0</v>
      </c>
      <c r="H24" s="4">
        <v>0</v>
      </c>
      <c r="I24" s="4">
        <v>0</v>
      </c>
      <c r="J24" s="4">
        <v>0</v>
      </c>
      <c r="K24" s="4">
        <v>0</v>
      </c>
      <c r="L24" s="4">
        <v>1</v>
      </c>
      <c r="M24" s="4">
        <v>0</v>
      </c>
      <c r="N24" s="4">
        <v>0</v>
      </c>
    </row>
    <row r="25" spans="1:14" ht="25.5" x14ac:dyDescent="0.2">
      <c r="A25" s="2" t="s">
        <v>12</v>
      </c>
      <c r="B25" s="3" t="s">
        <v>95</v>
      </c>
      <c r="C25" s="2" t="s">
        <v>30</v>
      </c>
      <c r="D25" s="2" t="s">
        <v>0</v>
      </c>
      <c r="E25" s="4">
        <v>0</v>
      </c>
      <c r="F25" s="4">
        <v>0</v>
      </c>
      <c r="G25" s="4">
        <v>0</v>
      </c>
      <c r="H25" s="4">
        <v>0</v>
      </c>
      <c r="I25" s="4">
        <v>0</v>
      </c>
      <c r="J25" s="4">
        <v>0</v>
      </c>
      <c r="K25" s="4">
        <v>0</v>
      </c>
      <c r="L25" s="4">
        <v>0</v>
      </c>
      <c r="M25" s="4">
        <v>0</v>
      </c>
      <c r="N25" s="4">
        <v>0</v>
      </c>
    </row>
    <row r="26" spans="1:14" ht="25.5" x14ac:dyDescent="0.2">
      <c r="A26" s="2" t="s">
        <v>15</v>
      </c>
      <c r="B26" s="3" t="s">
        <v>96</v>
      </c>
      <c r="C26" s="2" t="s">
        <v>30</v>
      </c>
      <c r="D26" s="2" t="s">
        <v>44</v>
      </c>
      <c r="E26" s="4">
        <v>0</v>
      </c>
      <c r="F26" s="4">
        <v>1</v>
      </c>
      <c r="G26" s="4">
        <v>0</v>
      </c>
      <c r="H26" s="4">
        <v>0</v>
      </c>
      <c r="I26" s="4">
        <v>0</v>
      </c>
      <c r="J26" s="4">
        <v>0</v>
      </c>
      <c r="K26" s="4">
        <v>0</v>
      </c>
      <c r="L26" s="4">
        <v>0</v>
      </c>
      <c r="M26" s="4">
        <v>0</v>
      </c>
      <c r="N26" s="4">
        <v>0</v>
      </c>
    </row>
    <row r="27" spans="1:14" ht="25.5" x14ac:dyDescent="0.2">
      <c r="A27" s="2" t="s">
        <v>28</v>
      </c>
      <c r="B27" s="3" t="s">
        <v>97</v>
      </c>
      <c r="C27" s="2" t="s">
        <v>30</v>
      </c>
      <c r="D27" s="2" t="s">
        <v>0</v>
      </c>
      <c r="E27" s="4">
        <v>0</v>
      </c>
      <c r="F27" s="4">
        <v>1</v>
      </c>
      <c r="G27" s="4">
        <v>0</v>
      </c>
      <c r="H27" s="4">
        <v>0</v>
      </c>
      <c r="I27" s="4">
        <v>0</v>
      </c>
      <c r="J27" s="4">
        <v>0</v>
      </c>
      <c r="K27" s="4">
        <v>0</v>
      </c>
      <c r="L27" s="4">
        <v>0</v>
      </c>
      <c r="M27" s="4">
        <v>0</v>
      </c>
      <c r="N27" s="4">
        <v>0</v>
      </c>
    </row>
    <row r="28" spans="1:14" ht="25.5" x14ac:dyDescent="0.2">
      <c r="A28" s="2" t="s">
        <v>25</v>
      </c>
      <c r="B28" s="3" t="s">
        <v>98</v>
      </c>
      <c r="C28" s="2" t="s">
        <v>30</v>
      </c>
      <c r="D28" s="2" t="s">
        <v>35</v>
      </c>
      <c r="E28" s="4">
        <v>0</v>
      </c>
      <c r="F28" s="4">
        <v>0</v>
      </c>
      <c r="G28" s="4">
        <v>0</v>
      </c>
      <c r="H28" s="4">
        <v>0</v>
      </c>
      <c r="I28" s="4">
        <v>0</v>
      </c>
      <c r="J28" s="4">
        <v>0</v>
      </c>
      <c r="K28" s="4">
        <v>0</v>
      </c>
      <c r="L28" s="4">
        <v>0</v>
      </c>
      <c r="M28" s="4">
        <v>0</v>
      </c>
      <c r="N28" s="4">
        <v>0</v>
      </c>
    </row>
    <row r="29" spans="1:14" ht="25.5" x14ac:dyDescent="0.2">
      <c r="A29" s="2" t="s">
        <v>6</v>
      </c>
      <c r="B29" s="3" t="s">
        <v>99</v>
      </c>
      <c r="C29" s="2" t="s">
        <v>30</v>
      </c>
      <c r="D29" s="2" t="s">
        <v>44</v>
      </c>
      <c r="E29" s="4">
        <v>0</v>
      </c>
      <c r="F29" s="4">
        <v>1</v>
      </c>
      <c r="G29" s="4">
        <v>0</v>
      </c>
      <c r="H29" s="4">
        <v>1</v>
      </c>
      <c r="I29" s="4">
        <v>0</v>
      </c>
      <c r="J29" s="4">
        <v>0</v>
      </c>
      <c r="K29" s="4">
        <v>0</v>
      </c>
      <c r="L29" s="4">
        <v>1</v>
      </c>
      <c r="M29" s="4">
        <v>0</v>
      </c>
      <c r="N29" s="4">
        <v>0</v>
      </c>
    </row>
    <row r="30" spans="1:14" ht="25.5" x14ac:dyDescent="0.2">
      <c r="A30" s="2" t="s">
        <v>42</v>
      </c>
      <c r="B30" s="3" t="s">
        <v>100</v>
      </c>
      <c r="C30" s="2" t="s">
        <v>30</v>
      </c>
      <c r="D30" s="2" t="s">
        <v>13</v>
      </c>
      <c r="E30" s="4">
        <v>1</v>
      </c>
      <c r="F30" s="4">
        <v>0</v>
      </c>
      <c r="G30" s="4">
        <v>0</v>
      </c>
      <c r="H30" s="4">
        <v>0</v>
      </c>
      <c r="I30" s="4">
        <v>0</v>
      </c>
      <c r="J30" s="4">
        <v>0</v>
      </c>
      <c r="K30" s="4">
        <v>0</v>
      </c>
      <c r="L30" s="4">
        <v>0</v>
      </c>
      <c r="M30" s="4">
        <v>0</v>
      </c>
      <c r="N30" s="4">
        <v>0</v>
      </c>
    </row>
    <row r="31" spans="1:14" ht="25.5" x14ac:dyDescent="0.2">
      <c r="A31" s="2" t="s">
        <v>19</v>
      </c>
      <c r="B31" s="3" t="s">
        <v>101</v>
      </c>
      <c r="C31" s="2" t="s">
        <v>30</v>
      </c>
      <c r="D31" s="2" t="s">
        <v>44</v>
      </c>
      <c r="E31" s="4">
        <v>0</v>
      </c>
      <c r="F31" s="4">
        <v>1</v>
      </c>
      <c r="G31" s="4">
        <v>0</v>
      </c>
      <c r="H31" s="4">
        <v>0</v>
      </c>
      <c r="I31" s="4">
        <v>0</v>
      </c>
      <c r="J31" s="4">
        <v>1</v>
      </c>
      <c r="K31" s="4">
        <v>1</v>
      </c>
      <c r="L31" s="4">
        <v>0</v>
      </c>
      <c r="M31" s="4">
        <v>0</v>
      </c>
      <c r="N31" s="4">
        <v>0</v>
      </c>
    </row>
    <row r="32" spans="1:14" ht="25.5" x14ac:dyDescent="0.2">
      <c r="A32" s="2" t="s">
        <v>66</v>
      </c>
      <c r="B32" s="3" t="s">
        <v>102</v>
      </c>
      <c r="C32" s="2" t="s">
        <v>30</v>
      </c>
      <c r="D32" s="2" t="s">
        <v>44</v>
      </c>
      <c r="E32" s="4">
        <v>0</v>
      </c>
      <c r="F32" s="4">
        <v>1</v>
      </c>
      <c r="G32" s="4">
        <v>0</v>
      </c>
      <c r="H32" s="4">
        <v>0</v>
      </c>
      <c r="I32" s="4">
        <v>1</v>
      </c>
      <c r="J32" s="4">
        <v>0</v>
      </c>
      <c r="K32" s="4">
        <v>0</v>
      </c>
      <c r="L32" s="4">
        <v>0</v>
      </c>
      <c r="M32" s="4">
        <v>0</v>
      </c>
      <c r="N32" s="4">
        <v>0</v>
      </c>
    </row>
    <row r="33" spans="1:14" ht="25.5" x14ac:dyDescent="0.2">
      <c r="A33" s="2" t="s">
        <v>17</v>
      </c>
      <c r="B33" s="3" t="s">
        <v>103</v>
      </c>
      <c r="C33" s="2" t="s">
        <v>30</v>
      </c>
      <c r="D33" s="2" t="s">
        <v>9</v>
      </c>
      <c r="E33" s="4">
        <v>0</v>
      </c>
      <c r="F33" s="4">
        <v>1</v>
      </c>
      <c r="G33" s="4">
        <v>0</v>
      </c>
      <c r="H33" s="4">
        <v>1</v>
      </c>
      <c r="I33" s="4">
        <v>0</v>
      </c>
      <c r="J33" s="4">
        <v>0</v>
      </c>
      <c r="K33" s="4">
        <v>0</v>
      </c>
      <c r="L33" s="4">
        <v>0</v>
      </c>
      <c r="M33" s="4">
        <v>0</v>
      </c>
      <c r="N33" s="4">
        <v>0</v>
      </c>
    </row>
    <row r="34" spans="1:14" ht="25.5" x14ac:dyDescent="0.2">
      <c r="A34" s="2" t="s">
        <v>24</v>
      </c>
      <c r="B34" s="3" t="s">
        <v>104</v>
      </c>
      <c r="C34" s="2" t="s">
        <v>30</v>
      </c>
      <c r="D34" s="2" t="s">
        <v>13</v>
      </c>
      <c r="E34" s="4">
        <v>1</v>
      </c>
      <c r="F34" s="4">
        <v>0</v>
      </c>
      <c r="G34" s="4">
        <v>0</v>
      </c>
      <c r="H34" s="4">
        <v>0</v>
      </c>
      <c r="I34" s="4">
        <v>0</v>
      </c>
      <c r="J34" s="4">
        <v>0</v>
      </c>
      <c r="K34" s="4">
        <v>0</v>
      </c>
      <c r="L34" s="4">
        <v>0</v>
      </c>
      <c r="M34" s="4">
        <v>0</v>
      </c>
      <c r="N34" s="4">
        <v>0</v>
      </c>
    </row>
    <row r="35" spans="1:14" ht="25.5" x14ac:dyDescent="0.2">
      <c r="A35" s="2" t="s">
        <v>51</v>
      </c>
      <c r="B35" s="3" t="s">
        <v>105</v>
      </c>
      <c r="C35" s="2" t="s">
        <v>30</v>
      </c>
      <c r="D35" s="2" t="s">
        <v>9</v>
      </c>
      <c r="E35" s="4">
        <v>0</v>
      </c>
      <c r="F35" s="4">
        <v>0</v>
      </c>
      <c r="G35" s="4">
        <v>0</v>
      </c>
      <c r="H35" s="4">
        <v>0</v>
      </c>
      <c r="I35" s="4">
        <v>0</v>
      </c>
      <c r="J35" s="4">
        <v>0</v>
      </c>
      <c r="K35" s="4">
        <v>0</v>
      </c>
      <c r="L35" s="4">
        <v>0</v>
      </c>
      <c r="M35" s="4">
        <v>0</v>
      </c>
      <c r="N35" s="4">
        <v>0</v>
      </c>
    </row>
    <row r="36" spans="1:14" ht="25.5" x14ac:dyDescent="0.2">
      <c r="A36" s="2" t="s">
        <v>53</v>
      </c>
      <c r="B36" s="3" t="s">
        <v>106</v>
      </c>
      <c r="C36" s="2" t="s">
        <v>30</v>
      </c>
      <c r="D36" s="2" t="s">
        <v>9</v>
      </c>
      <c r="E36" s="4">
        <v>0</v>
      </c>
      <c r="F36" s="4">
        <v>0</v>
      </c>
      <c r="G36" s="4">
        <v>0</v>
      </c>
      <c r="H36" s="4">
        <v>0</v>
      </c>
      <c r="I36" s="4">
        <v>0</v>
      </c>
      <c r="J36" s="4">
        <v>0</v>
      </c>
      <c r="K36" s="4">
        <v>0</v>
      </c>
      <c r="L36" s="4">
        <v>0</v>
      </c>
      <c r="M36" s="4">
        <v>0</v>
      </c>
      <c r="N36" s="4">
        <v>0</v>
      </c>
    </row>
    <row r="37" spans="1:14" ht="25.5" x14ac:dyDescent="0.2">
      <c r="A37" s="2" t="s">
        <v>1</v>
      </c>
      <c r="B37" s="3" t="s">
        <v>107</v>
      </c>
      <c r="C37" s="2" t="s">
        <v>30</v>
      </c>
      <c r="D37" s="2" t="s">
        <v>44</v>
      </c>
      <c r="E37" s="4">
        <v>0</v>
      </c>
      <c r="F37" s="4">
        <v>1</v>
      </c>
      <c r="G37" s="4">
        <v>0</v>
      </c>
      <c r="H37" s="4">
        <v>1</v>
      </c>
      <c r="I37" s="4">
        <v>0</v>
      </c>
      <c r="J37" s="4">
        <v>0</v>
      </c>
      <c r="K37" s="4">
        <v>0</v>
      </c>
      <c r="L37" s="4">
        <v>0</v>
      </c>
      <c r="M37" s="4">
        <v>0</v>
      </c>
      <c r="N37" s="4">
        <v>0</v>
      </c>
    </row>
    <row r="38" spans="1:14" ht="25.5" x14ac:dyDescent="0.2">
      <c r="A38" s="2" t="s">
        <v>4</v>
      </c>
      <c r="B38" s="3" t="s">
        <v>108</v>
      </c>
      <c r="C38" s="2" t="s">
        <v>30</v>
      </c>
      <c r="D38" s="2" t="s">
        <v>32</v>
      </c>
      <c r="E38" s="4">
        <v>1</v>
      </c>
      <c r="F38" s="4">
        <v>0</v>
      </c>
      <c r="G38" s="4">
        <v>0</v>
      </c>
      <c r="H38" s="4">
        <v>0</v>
      </c>
      <c r="I38" s="4">
        <v>0</v>
      </c>
      <c r="J38" s="4">
        <v>0</v>
      </c>
      <c r="K38" s="4">
        <v>0</v>
      </c>
      <c r="L38" s="4">
        <v>0</v>
      </c>
      <c r="M38" s="4">
        <v>0</v>
      </c>
      <c r="N38" s="4">
        <v>0</v>
      </c>
    </row>
    <row r="39" spans="1:14" ht="25.5" x14ac:dyDescent="0.2">
      <c r="A39" s="2" t="s">
        <v>7</v>
      </c>
      <c r="B39" s="3" t="s">
        <v>109</v>
      </c>
      <c r="C39" s="2" t="s">
        <v>30</v>
      </c>
      <c r="D39" s="2" t="s">
        <v>44</v>
      </c>
      <c r="E39" s="4">
        <v>0</v>
      </c>
      <c r="F39" s="4">
        <v>1</v>
      </c>
      <c r="G39" s="4">
        <v>0</v>
      </c>
      <c r="H39" s="4">
        <v>0</v>
      </c>
      <c r="I39" s="4">
        <v>0</v>
      </c>
      <c r="J39" s="4">
        <v>0</v>
      </c>
      <c r="K39" s="4">
        <v>0</v>
      </c>
      <c r="L39" s="4">
        <v>0</v>
      </c>
      <c r="M39" s="4">
        <v>0</v>
      </c>
      <c r="N39" s="4">
        <v>0</v>
      </c>
    </row>
    <row r="40" spans="1:14" ht="25.5" x14ac:dyDescent="0.2">
      <c r="A40" s="2" t="s">
        <v>20</v>
      </c>
      <c r="B40" s="3" t="s">
        <v>110</v>
      </c>
      <c r="C40" s="2" t="s">
        <v>30</v>
      </c>
      <c r="D40" s="2" t="s">
        <v>32</v>
      </c>
      <c r="E40" s="4">
        <v>1</v>
      </c>
      <c r="F40" s="4">
        <v>0</v>
      </c>
      <c r="G40" s="4">
        <v>0</v>
      </c>
      <c r="H40" s="4">
        <v>0</v>
      </c>
      <c r="I40" s="4">
        <v>0</v>
      </c>
      <c r="J40" s="4">
        <v>0</v>
      </c>
      <c r="K40" s="4">
        <v>0</v>
      </c>
      <c r="L40" s="4">
        <v>0</v>
      </c>
      <c r="M40" s="4">
        <v>0</v>
      </c>
      <c r="N40" s="4">
        <v>0</v>
      </c>
    </row>
    <row r="41" spans="1:14" ht="25.5" x14ac:dyDescent="0.2">
      <c r="A41" s="2" t="s">
        <v>38</v>
      </c>
      <c r="B41" s="3" t="s">
        <v>111</v>
      </c>
      <c r="C41" s="2" t="s">
        <v>30</v>
      </c>
      <c r="D41" s="2" t="s">
        <v>0</v>
      </c>
      <c r="E41" s="4">
        <v>0</v>
      </c>
      <c r="F41" s="4">
        <v>0</v>
      </c>
      <c r="G41" s="4">
        <v>0</v>
      </c>
      <c r="H41" s="4">
        <v>0</v>
      </c>
      <c r="I41" s="4">
        <v>0</v>
      </c>
      <c r="J41" s="4">
        <v>0</v>
      </c>
      <c r="K41" s="4">
        <v>0</v>
      </c>
      <c r="L41" s="4">
        <v>0</v>
      </c>
      <c r="M41" s="4">
        <v>1</v>
      </c>
      <c r="N41" s="4">
        <v>0</v>
      </c>
    </row>
    <row r="42" spans="1:14" ht="25.5" x14ac:dyDescent="0.2">
      <c r="A42" s="2" t="s">
        <v>18</v>
      </c>
      <c r="B42" s="3" t="s">
        <v>112</v>
      </c>
      <c r="C42" s="2" t="s">
        <v>30</v>
      </c>
      <c r="D42" s="2" t="s">
        <v>0</v>
      </c>
      <c r="E42" s="4">
        <v>0</v>
      </c>
      <c r="F42" s="4">
        <v>0</v>
      </c>
      <c r="G42" s="4">
        <v>0</v>
      </c>
      <c r="H42" s="4">
        <v>0</v>
      </c>
      <c r="I42" s="4">
        <v>0</v>
      </c>
      <c r="J42" s="4">
        <v>0</v>
      </c>
      <c r="K42" s="4">
        <v>0</v>
      </c>
      <c r="L42" s="4">
        <v>0</v>
      </c>
      <c r="M42" s="4">
        <v>0</v>
      </c>
      <c r="N42" s="4">
        <v>0</v>
      </c>
    </row>
    <row r="43" spans="1:14" ht="25.5" x14ac:dyDescent="0.2">
      <c r="A43" s="2" t="s">
        <v>68</v>
      </c>
      <c r="B43" s="3" t="s">
        <v>113</v>
      </c>
      <c r="C43" s="2" t="s">
        <v>30</v>
      </c>
      <c r="D43" s="2" t="s">
        <v>0</v>
      </c>
      <c r="E43" s="4">
        <v>1</v>
      </c>
      <c r="F43" s="4">
        <v>0</v>
      </c>
      <c r="G43" s="4">
        <v>0</v>
      </c>
      <c r="H43" s="4">
        <v>0</v>
      </c>
      <c r="I43" s="4">
        <v>0</v>
      </c>
      <c r="J43" s="4">
        <v>0</v>
      </c>
      <c r="K43" s="4">
        <v>0</v>
      </c>
      <c r="L43" s="4">
        <v>0</v>
      </c>
      <c r="M43" s="4">
        <v>0</v>
      </c>
      <c r="N43" s="4">
        <v>0</v>
      </c>
    </row>
    <row r="44" spans="1:14" ht="25.5" x14ac:dyDescent="0.2">
      <c r="A44" s="2" t="s">
        <v>27</v>
      </c>
      <c r="B44" s="3" t="s">
        <v>114</v>
      </c>
      <c r="C44" s="2" t="s">
        <v>30</v>
      </c>
      <c r="D44" s="2" t="s">
        <v>35</v>
      </c>
      <c r="E44" s="4">
        <v>0</v>
      </c>
      <c r="F44" s="4">
        <v>0</v>
      </c>
      <c r="G44" s="4">
        <v>0</v>
      </c>
      <c r="H44" s="4">
        <v>0</v>
      </c>
      <c r="I44" s="4">
        <v>0</v>
      </c>
      <c r="J44" s="4">
        <v>0</v>
      </c>
      <c r="K44" s="4">
        <v>0</v>
      </c>
      <c r="L44" s="4">
        <v>0</v>
      </c>
      <c r="M44" s="4">
        <v>1</v>
      </c>
      <c r="N44" s="4">
        <v>0</v>
      </c>
    </row>
    <row r="45" spans="1:14" ht="25.5" x14ac:dyDescent="0.2">
      <c r="A45" s="2" t="s">
        <v>37</v>
      </c>
      <c r="B45" s="3" t="s">
        <v>115</v>
      </c>
      <c r="C45" s="2" t="s">
        <v>30</v>
      </c>
      <c r="D45" s="2" t="s">
        <v>9</v>
      </c>
      <c r="E45" s="4">
        <v>1</v>
      </c>
      <c r="F45" s="4">
        <v>0</v>
      </c>
      <c r="G45" s="4">
        <v>0</v>
      </c>
      <c r="H45" s="4">
        <v>0</v>
      </c>
      <c r="I45" s="4">
        <v>0</v>
      </c>
      <c r="J45" s="4">
        <v>0</v>
      </c>
      <c r="K45" s="4">
        <v>0</v>
      </c>
      <c r="L45" s="4">
        <v>0</v>
      </c>
      <c r="M45" s="4">
        <v>0</v>
      </c>
      <c r="N45" s="4">
        <v>0</v>
      </c>
    </row>
    <row r="46" spans="1:14" ht="25.5" x14ac:dyDescent="0.2">
      <c r="A46" s="2" t="s">
        <v>60</v>
      </c>
      <c r="B46" s="3" t="s">
        <v>116</v>
      </c>
      <c r="C46" s="2" t="s">
        <v>30</v>
      </c>
      <c r="D46" s="2" t="s">
        <v>32</v>
      </c>
      <c r="E46" s="4">
        <v>1</v>
      </c>
      <c r="F46" s="4">
        <v>0</v>
      </c>
      <c r="G46" s="4">
        <v>0</v>
      </c>
      <c r="H46" s="4">
        <v>0</v>
      </c>
      <c r="I46" s="4">
        <v>0</v>
      </c>
      <c r="J46" s="4">
        <v>0</v>
      </c>
      <c r="K46" s="4">
        <v>0</v>
      </c>
      <c r="L46" s="4">
        <v>0</v>
      </c>
      <c r="M46" s="4">
        <v>0</v>
      </c>
      <c r="N46" s="4">
        <v>0</v>
      </c>
    </row>
    <row r="47" spans="1:14" ht="25.5" x14ac:dyDescent="0.2">
      <c r="A47" s="2" t="s">
        <v>59</v>
      </c>
      <c r="B47" s="3" t="s">
        <v>117</v>
      </c>
      <c r="C47" s="2" t="s">
        <v>30</v>
      </c>
      <c r="D47" s="2" t="s">
        <v>9</v>
      </c>
      <c r="E47" s="4">
        <v>0</v>
      </c>
      <c r="F47" s="4">
        <v>0</v>
      </c>
      <c r="G47" s="4">
        <v>0</v>
      </c>
      <c r="H47" s="4">
        <v>0</v>
      </c>
      <c r="I47" s="4">
        <v>0</v>
      </c>
      <c r="J47" s="4">
        <v>0</v>
      </c>
      <c r="K47" s="4">
        <v>0</v>
      </c>
      <c r="L47" s="4">
        <v>0</v>
      </c>
      <c r="M47" s="4">
        <v>0</v>
      </c>
      <c r="N47" s="4">
        <v>1</v>
      </c>
    </row>
    <row r="48" spans="1:14" ht="25.5" x14ac:dyDescent="0.2">
      <c r="A48" s="2" t="s">
        <v>31</v>
      </c>
      <c r="B48" s="3" t="s">
        <v>118</v>
      </c>
      <c r="C48" s="2" t="s">
        <v>30</v>
      </c>
      <c r="D48" s="2" t="s">
        <v>9</v>
      </c>
      <c r="E48" s="4">
        <v>0</v>
      </c>
      <c r="F48" s="4">
        <v>0</v>
      </c>
      <c r="G48" s="4">
        <v>0</v>
      </c>
      <c r="H48" s="4">
        <v>0</v>
      </c>
      <c r="I48" s="4">
        <v>0</v>
      </c>
      <c r="J48" s="4">
        <v>0</v>
      </c>
      <c r="K48" s="4">
        <v>0</v>
      </c>
      <c r="L48" s="4">
        <v>0</v>
      </c>
      <c r="M48" s="4">
        <v>1</v>
      </c>
      <c r="N48" s="4">
        <v>0</v>
      </c>
    </row>
    <row r="49" spans="1:14" ht="25.5" x14ac:dyDescent="0.2">
      <c r="A49" s="2" t="s">
        <v>14</v>
      </c>
      <c r="B49" s="3" t="s">
        <v>119</v>
      </c>
      <c r="C49" s="2" t="s">
        <v>30</v>
      </c>
      <c r="D49" s="2" t="s">
        <v>44</v>
      </c>
      <c r="E49" s="4">
        <v>0</v>
      </c>
      <c r="F49" s="4">
        <v>1</v>
      </c>
      <c r="G49" s="4">
        <v>0</v>
      </c>
      <c r="H49" s="4">
        <v>1</v>
      </c>
      <c r="I49" s="4">
        <v>0</v>
      </c>
      <c r="J49" s="4">
        <v>0</v>
      </c>
      <c r="K49" s="4">
        <v>0</v>
      </c>
      <c r="L49" s="4">
        <v>1</v>
      </c>
      <c r="M49" s="4">
        <v>0</v>
      </c>
      <c r="N49" s="4">
        <v>0</v>
      </c>
    </row>
    <row r="50" spans="1:14" x14ac:dyDescent="0.2">
      <c r="A50" s="2" t="s">
        <v>47</v>
      </c>
      <c r="B50" s="3" t="s">
        <v>120</v>
      </c>
      <c r="C50" s="2" t="s">
        <v>3</v>
      </c>
      <c r="D50" s="2" t="s">
        <v>0</v>
      </c>
      <c r="E50" s="4">
        <v>0</v>
      </c>
      <c r="F50" s="4">
        <v>0</v>
      </c>
      <c r="G50" s="4">
        <v>0</v>
      </c>
      <c r="H50" s="4">
        <v>0</v>
      </c>
      <c r="I50" s="4">
        <v>0</v>
      </c>
      <c r="J50" s="4">
        <v>0</v>
      </c>
      <c r="K50" s="4">
        <v>0</v>
      </c>
      <c r="L50" s="4">
        <v>0</v>
      </c>
      <c r="M50" s="4">
        <v>0</v>
      </c>
      <c r="N50" s="4">
        <v>0</v>
      </c>
    </row>
    <row r="51" spans="1:14" x14ac:dyDescent="0.2">
      <c r="A51" s="2" t="s">
        <v>8</v>
      </c>
      <c r="B51" s="3" t="s">
        <v>121</v>
      </c>
      <c r="C51" s="2" t="s">
        <v>39</v>
      </c>
      <c r="D51" s="2" t="s">
        <v>44</v>
      </c>
      <c r="E51" s="4">
        <v>0</v>
      </c>
      <c r="F51" s="4">
        <v>0</v>
      </c>
      <c r="G51" s="4">
        <v>0</v>
      </c>
      <c r="H51" s="4">
        <v>0</v>
      </c>
      <c r="I51" s="4">
        <v>0</v>
      </c>
      <c r="J51" s="4">
        <v>0</v>
      </c>
      <c r="K51" s="4">
        <v>0</v>
      </c>
      <c r="L51" s="4">
        <v>0</v>
      </c>
      <c r="M51" s="4">
        <v>0</v>
      </c>
      <c r="N51" s="4">
        <v>0</v>
      </c>
    </row>
    <row r="52" spans="1:14" x14ac:dyDescent="0.2">
      <c r="A52" s="2" t="s">
        <v>43</v>
      </c>
      <c r="B52" s="3" t="s">
        <v>122</v>
      </c>
      <c r="C52" s="2" t="s">
        <v>39</v>
      </c>
      <c r="D52" s="2" t="s">
        <v>32</v>
      </c>
      <c r="E52" s="4">
        <v>1</v>
      </c>
      <c r="F52" s="4">
        <v>0</v>
      </c>
      <c r="G52" s="4">
        <v>0</v>
      </c>
      <c r="H52" s="4">
        <v>0</v>
      </c>
      <c r="I52" s="4">
        <v>0</v>
      </c>
      <c r="J52" s="4">
        <v>0</v>
      </c>
      <c r="K52" s="4">
        <v>0</v>
      </c>
      <c r="L52" s="4">
        <v>0</v>
      </c>
      <c r="M52" s="4">
        <v>0</v>
      </c>
      <c r="N52" s="4">
        <v>0</v>
      </c>
    </row>
    <row r="53" spans="1:14" x14ac:dyDescent="0.2">
      <c r="A53" s="2" t="s">
        <v>45</v>
      </c>
      <c r="B53" s="3" t="s">
        <v>123</v>
      </c>
      <c r="C53" s="2" t="s">
        <v>39</v>
      </c>
      <c r="D53" s="2" t="s">
        <v>35</v>
      </c>
      <c r="E53" s="4">
        <v>0</v>
      </c>
      <c r="F53" s="4">
        <v>0</v>
      </c>
      <c r="G53" s="4">
        <v>0</v>
      </c>
      <c r="H53" s="4">
        <v>0</v>
      </c>
      <c r="I53" s="4">
        <v>0</v>
      </c>
      <c r="J53" s="4">
        <v>0</v>
      </c>
      <c r="K53" s="4">
        <v>0</v>
      </c>
      <c r="L53" s="4">
        <v>0</v>
      </c>
      <c r="M53" s="4">
        <v>1</v>
      </c>
      <c r="N53" s="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972FF-EAD6-48D7-B502-FAF41394D90E}">
  <dimension ref="A1:I53"/>
  <sheetViews>
    <sheetView topLeftCell="I37" workbookViewId="0">
      <selection activeCell="B1" sqref="B1:I53"/>
    </sheetView>
  </sheetViews>
  <sheetFormatPr defaultColWidth="30.7109375" defaultRowHeight="12.75" x14ac:dyDescent="0.2"/>
  <cols>
    <col min="1" max="1" width="0" style="2" hidden="1" customWidth="1"/>
    <col min="2" max="2" width="30.7109375" style="10"/>
    <col min="3" max="4" width="0" style="2" hidden="1" customWidth="1"/>
    <col min="5" max="9" width="30.7109375" style="10"/>
    <col min="10" max="16384" width="30.7109375" style="2"/>
  </cols>
  <sheetData>
    <row r="1" spans="1:9" x14ac:dyDescent="0.2">
      <c r="A1" s="2" t="s">
        <v>2</v>
      </c>
      <c r="B1" s="2" t="s">
        <v>2</v>
      </c>
      <c r="C1" s="2" t="s">
        <v>65</v>
      </c>
      <c r="D1" s="2" t="s">
        <v>62</v>
      </c>
      <c r="E1" s="13" t="s">
        <v>69</v>
      </c>
      <c r="F1" s="13" t="s">
        <v>70</v>
      </c>
      <c r="G1" s="13" t="s">
        <v>71</v>
      </c>
      <c r="H1" s="13" t="s">
        <v>216</v>
      </c>
      <c r="I1" s="14" t="s">
        <v>124</v>
      </c>
    </row>
    <row r="2" spans="1:9" x14ac:dyDescent="0.2">
      <c r="A2" s="2" t="s">
        <v>52</v>
      </c>
      <c r="B2" s="3" t="s">
        <v>72</v>
      </c>
      <c r="C2" s="2" t="s">
        <v>58</v>
      </c>
      <c r="D2" s="2" t="s">
        <v>9</v>
      </c>
      <c r="E2" s="4">
        <v>0</v>
      </c>
      <c r="F2" s="4">
        <v>1</v>
      </c>
      <c r="G2" s="4">
        <v>0</v>
      </c>
      <c r="H2" s="4">
        <v>0</v>
      </c>
      <c r="I2" s="12">
        <f>SUM(E2:H2)</f>
        <v>1</v>
      </c>
    </row>
    <row r="3" spans="1:9" ht="25.5" x14ac:dyDescent="0.2">
      <c r="A3" s="2" t="s">
        <v>56</v>
      </c>
      <c r="B3" s="3" t="s">
        <v>73</v>
      </c>
      <c r="C3" s="2" t="s">
        <v>34</v>
      </c>
      <c r="D3" s="2" t="s">
        <v>13</v>
      </c>
      <c r="E3" s="4">
        <v>0</v>
      </c>
      <c r="F3" s="4">
        <v>1</v>
      </c>
      <c r="G3" s="4">
        <v>0</v>
      </c>
      <c r="H3" s="4">
        <v>0</v>
      </c>
      <c r="I3" s="12">
        <f t="shared" ref="I3:I53" si="0">SUM(E3:H3)</f>
        <v>1</v>
      </c>
    </row>
    <row r="4" spans="1:9" ht="25.5" x14ac:dyDescent="0.2">
      <c r="A4" s="2" t="s">
        <v>49</v>
      </c>
      <c r="B4" s="3" t="s">
        <v>74</v>
      </c>
      <c r="C4" s="2" t="s">
        <v>34</v>
      </c>
      <c r="D4" s="2" t="s">
        <v>32</v>
      </c>
      <c r="E4" s="4">
        <v>0</v>
      </c>
      <c r="F4" s="4">
        <v>1</v>
      </c>
      <c r="G4" s="4">
        <v>0</v>
      </c>
      <c r="H4" s="4">
        <v>0</v>
      </c>
      <c r="I4" s="12">
        <f t="shared" si="0"/>
        <v>1</v>
      </c>
    </row>
    <row r="5" spans="1:9" ht="25.5" x14ac:dyDescent="0.2">
      <c r="A5" s="2" t="s">
        <v>48</v>
      </c>
      <c r="B5" s="3" t="s">
        <v>75</v>
      </c>
      <c r="C5" s="2" t="s">
        <v>64</v>
      </c>
      <c r="D5" s="2" t="s">
        <v>0</v>
      </c>
      <c r="E5" s="4">
        <v>0</v>
      </c>
      <c r="F5" s="4">
        <v>0</v>
      </c>
      <c r="G5" s="4">
        <v>0</v>
      </c>
      <c r="H5" s="4">
        <v>0</v>
      </c>
      <c r="I5" s="12">
        <f t="shared" si="0"/>
        <v>0</v>
      </c>
    </row>
    <row r="6" spans="1:9" ht="25.5" x14ac:dyDescent="0.2">
      <c r="A6" s="2" t="s">
        <v>22</v>
      </c>
      <c r="B6" s="3" t="s">
        <v>76</v>
      </c>
      <c r="C6" s="2" t="s">
        <v>64</v>
      </c>
      <c r="D6" s="2" t="s">
        <v>44</v>
      </c>
      <c r="E6" s="4">
        <v>0</v>
      </c>
      <c r="F6" s="4">
        <v>0</v>
      </c>
      <c r="G6" s="4">
        <v>0</v>
      </c>
      <c r="H6" s="4">
        <v>0</v>
      </c>
      <c r="I6" s="12">
        <f t="shared" si="0"/>
        <v>0</v>
      </c>
    </row>
    <row r="7" spans="1:9" ht="25.5" x14ac:dyDescent="0.2">
      <c r="A7" s="2" t="s">
        <v>16</v>
      </c>
      <c r="B7" s="3" t="s">
        <v>77</v>
      </c>
      <c r="C7" s="2" t="s">
        <v>64</v>
      </c>
      <c r="D7" s="2" t="s">
        <v>0</v>
      </c>
      <c r="E7" s="4">
        <v>0</v>
      </c>
      <c r="F7" s="4">
        <v>1</v>
      </c>
      <c r="G7" s="4">
        <v>0</v>
      </c>
      <c r="H7" s="4">
        <v>0</v>
      </c>
      <c r="I7" s="12">
        <f t="shared" si="0"/>
        <v>1</v>
      </c>
    </row>
    <row r="8" spans="1:9" ht="25.5" x14ac:dyDescent="0.2">
      <c r="A8" s="2" t="s">
        <v>5</v>
      </c>
      <c r="B8" s="3" t="s">
        <v>78</v>
      </c>
      <c r="C8" s="2" t="s">
        <v>64</v>
      </c>
      <c r="D8" s="2" t="s">
        <v>44</v>
      </c>
      <c r="E8" s="4">
        <v>0</v>
      </c>
      <c r="F8" s="4">
        <v>1</v>
      </c>
      <c r="G8" s="4">
        <v>0</v>
      </c>
      <c r="H8" s="4">
        <v>0</v>
      </c>
      <c r="I8" s="12">
        <f t="shared" si="0"/>
        <v>1</v>
      </c>
    </row>
    <row r="9" spans="1:9" ht="25.5" x14ac:dyDescent="0.2">
      <c r="A9" s="2" t="s">
        <v>23</v>
      </c>
      <c r="B9" s="3" t="s">
        <v>79</v>
      </c>
      <c r="C9" s="2" t="s">
        <v>64</v>
      </c>
      <c r="D9" s="2" t="s">
        <v>0</v>
      </c>
      <c r="E9" s="4">
        <v>0</v>
      </c>
      <c r="F9" s="4">
        <v>1</v>
      </c>
      <c r="G9" s="4">
        <v>0</v>
      </c>
      <c r="H9" s="4">
        <v>0</v>
      </c>
      <c r="I9" s="12">
        <f t="shared" si="0"/>
        <v>1</v>
      </c>
    </row>
    <row r="10" spans="1:9" ht="25.5" x14ac:dyDescent="0.2">
      <c r="A10" s="2" t="s">
        <v>33</v>
      </c>
      <c r="B10" s="3" t="s">
        <v>80</v>
      </c>
      <c r="C10" s="2" t="s">
        <v>64</v>
      </c>
      <c r="D10" s="2" t="s">
        <v>0</v>
      </c>
      <c r="E10" s="4">
        <v>1</v>
      </c>
      <c r="F10" s="4">
        <v>0</v>
      </c>
      <c r="G10" s="4">
        <v>0</v>
      </c>
      <c r="H10" s="4">
        <v>0</v>
      </c>
      <c r="I10" s="12">
        <f t="shared" si="0"/>
        <v>1</v>
      </c>
    </row>
    <row r="11" spans="1:9" ht="25.5" x14ac:dyDescent="0.2">
      <c r="A11" s="2" t="s">
        <v>46</v>
      </c>
      <c r="B11" s="3" t="s">
        <v>81</v>
      </c>
      <c r="C11" s="2" t="s">
        <v>64</v>
      </c>
      <c r="D11" s="2" t="s">
        <v>44</v>
      </c>
      <c r="E11" s="4">
        <v>0</v>
      </c>
      <c r="F11" s="4">
        <v>0</v>
      </c>
      <c r="G11" s="4">
        <v>0</v>
      </c>
      <c r="H11" s="4">
        <v>0</v>
      </c>
      <c r="I11" s="12">
        <f t="shared" si="0"/>
        <v>0</v>
      </c>
    </row>
    <row r="12" spans="1:9" ht="25.5" x14ac:dyDescent="0.2">
      <c r="A12" s="2" t="s">
        <v>61</v>
      </c>
      <c r="B12" s="3" t="s">
        <v>82</v>
      </c>
      <c r="C12" s="2" t="s">
        <v>64</v>
      </c>
      <c r="D12" s="2" t="s">
        <v>0</v>
      </c>
      <c r="E12" s="4">
        <v>0</v>
      </c>
      <c r="F12" s="4">
        <v>1</v>
      </c>
      <c r="G12" s="4">
        <v>0</v>
      </c>
      <c r="H12" s="4">
        <v>0</v>
      </c>
      <c r="I12" s="12">
        <f t="shared" si="0"/>
        <v>1</v>
      </c>
    </row>
    <row r="13" spans="1:9" x14ac:dyDescent="0.2">
      <c r="A13" s="2" t="s">
        <v>55</v>
      </c>
      <c r="B13" s="3" t="s">
        <v>83</v>
      </c>
      <c r="C13" s="2" t="s">
        <v>57</v>
      </c>
      <c r="D13" s="2" t="s">
        <v>9</v>
      </c>
      <c r="E13" s="4">
        <v>1</v>
      </c>
      <c r="F13" s="4">
        <v>0</v>
      </c>
      <c r="G13" s="4">
        <v>0</v>
      </c>
      <c r="H13" s="4">
        <v>0</v>
      </c>
      <c r="I13" s="12">
        <f t="shared" si="0"/>
        <v>1</v>
      </c>
    </row>
    <row r="14" spans="1:9" x14ac:dyDescent="0.2">
      <c r="A14" s="2" t="s">
        <v>36</v>
      </c>
      <c r="B14" s="3" t="s">
        <v>84</v>
      </c>
      <c r="C14" s="2" t="s">
        <v>57</v>
      </c>
      <c r="D14" s="2" t="s">
        <v>9</v>
      </c>
      <c r="E14" s="4">
        <v>1</v>
      </c>
      <c r="F14" s="4">
        <v>0</v>
      </c>
      <c r="G14" s="4">
        <v>0</v>
      </c>
      <c r="H14" s="4">
        <v>0</v>
      </c>
      <c r="I14" s="12">
        <f t="shared" si="0"/>
        <v>1</v>
      </c>
    </row>
    <row r="15" spans="1:9" x14ac:dyDescent="0.2">
      <c r="A15" s="2" t="s">
        <v>11</v>
      </c>
      <c r="B15" s="3" t="s">
        <v>85</v>
      </c>
      <c r="C15" s="2" t="s">
        <v>57</v>
      </c>
      <c r="D15" s="2" t="s">
        <v>9</v>
      </c>
      <c r="E15" s="4">
        <v>0</v>
      </c>
      <c r="F15" s="4">
        <v>1</v>
      </c>
      <c r="G15" s="4">
        <v>0</v>
      </c>
      <c r="H15" s="4">
        <v>0</v>
      </c>
      <c r="I15" s="12">
        <f t="shared" si="0"/>
        <v>1</v>
      </c>
    </row>
    <row r="16" spans="1:9" x14ac:dyDescent="0.2">
      <c r="A16" s="2" t="s">
        <v>50</v>
      </c>
      <c r="B16" s="3" t="s">
        <v>86</v>
      </c>
      <c r="C16" s="2" t="s">
        <v>57</v>
      </c>
      <c r="D16" s="2" t="s">
        <v>9</v>
      </c>
      <c r="E16" s="4">
        <v>0</v>
      </c>
      <c r="F16" s="4">
        <v>1</v>
      </c>
      <c r="G16" s="4">
        <v>0</v>
      </c>
      <c r="H16" s="4">
        <v>0</v>
      </c>
      <c r="I16" s="12">
        <f t="shared" si="0"/>
        <v>1</v>
      </c>
    </row>
    <row r="17" spans="1:9" x14ac:dyDescent="0.2">
      <c r="A17" s="2" t="s">
        <v>40</v>
      </c>
      <c r="B17" s="3" t="s">
        <v>87</v>
      </c>
      <c r="C17" s="2" t="s">
        <v>57</v>
      </c>
      <c r="D17" s="2" t="s">
        <v>9</v>
      </c>
      <c r="E17" s="4">
        <v>0</v>
      </c>
      <c r="F17" s="4">
        <v>1</v>
      </c>
      <c r="G17" s="4">
        <v>0</v>
      </c>
      <c r="H17" s="4">
        <v>0</v>
      </c>
      <c r="I17" s="12">
        <f t="shared" si="0"/>
        <v>1</v>
      </c>
    </row>
    <row r="18" spans="1:9" x14ac:dyDescent="0.2">
      <c r="A18" s="2" t="s">
        <v>63</v>
      </c>
      <c r="B18" s="3" t="s">
        <v>88</v>
      </c>
      <c r="C18" s="2" t="s">
        <v>57</v>
      </c>
      <c r="D18" s="2" t="s">
        <v>9</v>
      </c>
      <c r="E18" s="4">
        <v>0</v>
      </c>
      <c r="F18" s="4">
        <v>1</v>
      </c>
      <c r="G18" s="4">
        <v>0</v>
      </c>
      <c r="H18" s="4">
        <v>0</v>
      </c>
      <c r="I18" s="12">
        <f t="shared" si="0"/>
        <v>1</v>
      </c>
    </row>
    <row r="19" spans="1:9" x14ac:dyDescent="0.2">
      <c r="A19" s="2" t="s">
        <v>54</v>
      </c>
      <c r="B19" s="3" t="s">
        <v>89</v>
      </c>
      <c r="C19" s="2" t="s">
        <v>57</v>
      </c>
      <c r="D19" s="2" t="s">
        <v>9</v>
      </c>
      <c r="E19" s="4">
        <v>0</v>
      </c>
      <c r="F19" s="4">
        <v>1</v>
      </c>
      <c r="G19" s="4">
        <v>0</v>
      </c>
      <c r="H19" s="4">
        <v>0</v>
      </c>
      <c r="I19" s="12">
        <f t="shared" si="0"/>
        <v>1</v>
      </c>
    </row>
    <row r="20" spans="1:9" x14ac:dyDescent="0.2">
      <c r="A20" s="2" t="s">
        <v>41</v>
      </c>
      <c r="B20" s="3" t="s">
        <v>90</v>
      </c>
      <c r="C20" s="2" t="s">
        <v>57</v>
      </c>
      <c r="D20" s="2" t="s">
        <v>9</v>
      </c>
      <c r="E20" s="4">
        <v>0</v>
      </c>
      <c r="F20" s="4">
        <v>1</v>
      </c>
      <c r="G20" s="4">
        <v>0</v>
      </c>
      <c r="H20" s="4">
        <v>0</v>
      </c>
      <c r="I20" s="12">
        <f t="shared" si="0"/>
        <v>1</v>
      </c>
    </row>
    <row r="21" spans="1:9" x14ac:dyDescent="0.2">
      <c r="A21" s="2" t="s">
        <v>29</v>
      </c>
      <c r="B21" s="3" t="s">
        <v>91</v>
      </c>
      <c r="C21" s="2" t="s">
        <v>21</v>
      </c>
      <c r="D21" s="2" t="s">
        <v>35</v>
      </c>
      <c r="E21" s="4">
        <v>0</v>
      </c>
      <c r="F21" s="4">
        <v>1</v>
      </c>
      <c r="G21" s="4">
        <v>0</v>
      </c>
      <c r="H21" s="4">
        <v>0</v>
      </c>
      <c r="I21" s="12">
        <f t="shared" si="0"/>
        <v>1</v>
      </c>
    </row>
    <row r="22" spans="1:9" ht="25.5" x14ac:dyDescent="0.2">
      <c r="A22" s="2" t="s">
        <v>26</v>
      </c>
      <c r="B22" s="3" t="s">
        <v>92</v>
      </c>
      <c r="C22" s="2" t="s">
        <v>30</v>
      </c>
      <c r="D22" s="2" t="s">
        <v>9</v>
      </c>
      <c r="E22" s="4">
        <v>0</v>
      </c>
      <c r="F22" s="4">
        <v>0</v>
      </c>
      <c r="G22" s="4">
        <v>0</v>
      </c>
      <c r="H22" s="4">
        <v>0</v>
      </c>
      <c r="I22" s="12">
        <f t="shared" si="0"/>
        <v>0</v>
      </c>
    </row>
    <row r="23" spans="1:9" ht="25.5" x14ac:dyDescent="0.2">
      <c r="A23" s="2" t="s">
        <v>10</v>
      </c>
      <c r="B23" s="3" t="s">
        <v>93</v>
      </c>
      <c r="C23" s="2" t="s">
        <v>30</v>
      </c>
      <c r="D23" s="2" t="s">
        <v>44</v>
      </c>
      <c r="E23" s="4">
        <v>0</v>
      </c>
      <c r="F23" s="4">
        <v>1</v>
      </c>
      <c r="G23" s="4">
        <v>0</v>
      </c>
      <c r="H23" s="4">
        <v>0</v>
      </c>
      <c r="I23" s="12">
        <f t="shared" si="0"/>
        <v>1</v>
      </c>
    </row>
    <row r="24" spans="1:9" ht="25.5" x14ac:dyDescent="0.2">
      <c r="A24" s="2" t="s">
        <v>67</v>
      </c>
      <c r="B24" s="3" t="s">
        <v>94</v>
      </c>
      <c r="C24" s="2" t="s">
        <v>30</v>
      </c>
      <c r="D24" s="2" t="s">
        <v>35</v>
      </c>
      <c r="E24" s="4">
        <v>0</v>
      </c>
      <c r="F24" s="4">
        <v>1</v>
      </c>
      <c r="G24" s="4">
        <v>0</v>
      </c>
      <c r="H24" s="4">
        <v>0</v>
      </c>
      <c r="I24" s="12">
        <f t="shared" si="0"/>
        <v>1</v>
      </c>
    </row>
    <row r="25" spans="1:9" ht="25.5" x14ac:dyDescent="0.2">
      <c r="A25" s="2" t="s">
        <v>12</v>
      </c>
      <c r="B25" s="3" t="s">
        <v>95</v>
      </c>
      <c r="C25" s="2" t="s">
        <v>30</v>
      </c>
      <c r="D25" s="2" t="s">
        <v>0</v>
      </c>
      <c r="E25" s="4">
        <v>0</v>
      </c>
      <c r="F25" s="4">
        <v>0</v>
      </c>
      <c r="G25" s="4">
        <v>0</v>
      </c>
      <c r="H25" s="4">
        <v>0</v>
      </c>
      <c r="I25" s="12">
        <f t="shared" si="0"/>
        <v>0</v>
      </c>
    </row>
    <row r="26" spans="1:9" ht="25.5" x14ac:dyDescent="0.2">
      <c r="A26" s="2" t="s">
        <v>15</v>
      </c>
      <c r="B26" s="3" t="s">
        <v>96</v>
      </c>
      <c r="C26" s="2" t="s">
        <v>30</v>
      </c>
      <c r="D26" s="2" t="s">
        <v>44</v>
      </c>
      <c r="E26" s="4">
        <v>0</v>
      </c>
      <c r="F26" s="4">
        <v>1</v>
      </c>
      <c r="G26" s="4">
        <v>0</v>
      </c>
      <c r="H26" s="4">
        <v>0</v>
      </c>
      <c r="I26" s="12">
        <f t="shared" si="0"/>
        <v>1</v>
      </c>
    </row>
    <row r="27" spans="1:9" ht="25.5" x14ac:dyDescent="0.2">
      <c r="A27" s="2" t="s">
        <v>28</v>
      </c>
      <c r="B27" s="3" t="s">
        <v>97</v>
      </c>
      <c r="C27" s="2" t="s">
        <v>30</v>
      </c>
      <c r="D27" s="2" t="s">
        <v>0</v>
      </c>
      <c r="E27" s="4">
        <v>0</v>
      </c>
      <c r="F27" s="4">
        <v>1</v>
      </c>
      <c r="G27" s="4">
        <v>0</v>
      </c>
      <c r="H27" s="4">
        <v>0</v>
      </c>
      <c r="I27" s="12">
        <f t="shared" si="0"/>
        <v>1</v>
      </c>
    </row>
    <row r="28" spans="1:9" ht="25.5" x14ac:dyDescent="0.2">
      <c r="A28" s="2" t="s">
        <v>25</v>
      </c>
      <c r="B28" s="3" t="s">
        <v>98</v>
      </c>
      <c r="C28" s="2" t="s">
        <v>30</v>
      </c>
      <c r="D28" s="2" t="s">
        <v>35</v>
      </c>
      <c r="E28" s="4">
        <v>0</v>
      </c>
      <c r="F28" s="4">
        <v>0</v>
      </c>
      <c r="G28" s="4">
        <v>0</v>
      </c>
      <c r="H28" s="4">
        <v>0</v>
      </c>
      <c r="I28" s="12">
        <f t="shared" si="0"/>
        <v>0</v>
      </c>
    </row>
    <row r="29" spans="1:9" ht="25.5" x14ac:dyDescent="0.2">
      <c r="A29" s="2" t="s">
        <v>6</v>
      </c>
      <c r="B29" s="3" t="s">
        <v>99</v>
      </c>
      <c r="C29" s="2" t="s">
        <v>30</v>
      </c>
      <c r="D29" s="2" t="s">
        <v>44</v>
      </c>
      <c r="E29" s="4">
        <v>0</v>
      </c>
      <c r="F29" s="4">
        <v>1</v>
      </c>
      <c r="G29" s="4">
        <v>0</v>
      </c>
      <c r="H29" s="4">
        <v>0</v>
      </c>
      <c r="I29" s="12">
        <f t="shared" si="0"/>
        <v>1</v>
      </c>
    </row>
    <row r="30" spans="1:9" ht="25.5" x14ac:dyDescent="0.2">
      <c r="A30" s="2" t="s">
        <v>42</v>
      </c>
      <c r="B30" s="3" t="s">
        <v>100</v>
      </c>
      <c r="C30" s="2" t="s">
        <v>30</v>
      </c>
      <c r="D30" s="2" t="s">
        <v>13</v>
      </c>
      <c r="E30" s="4">
        <v>0</v>
      </c>
      <c r="F30" s="4">
        <v>1</v>
      </c>
      <c r="G30" s="4">
        <v>0</v>
      </c>
      <c r="H30" s="4">
        <v>0</v>
      </c>
      <c r="I30" s="12">
        <f t="shared" si="0"/>
        <v>1</v>
      </c>
    </row>
    <row r="31" spans="1:9" ht="25.5" x14ac:dyDescent="0.2">
      <c r="A31" s="2" t="s">
        <v>19</v>
      </c>
      <c r="B31" s="3" t="s">
        <v>101</v>
      </c>
      <c r="C31" s="2" t="s">
        <v>30</v>
      </c>
      <c r="D31" s="2" t="s">
        <v>44</v>
      </c>
      <c r="E31" s="4">
        <v>0</v>
      </c>
      <c r="F31" s="4">
        <v>0</v>
      </c>
      <c r="G31" s="4">
        <v>0</v>
      </c>
      <c r="H31" s="4">
        <v>0</v>
      </c>
      <c r="I31" s="12">
        <f t="shared" si="0"/>
        <v>0</v>
      </c>
    </row>
    <row r="32" spans="1:9" ht="25.5" x14ac:dyDescent="0.2">
      <c r="A32" s="2" t="s">
        <v>66</v>
      </c>
      <c r="B32" s="3" t="s">
        <v>102</v>
      </c>
      <c r="C32" s="2" t="s">
        <v>30</v>
      </c>
      <c r="D32" s="2" t="s">
        <v>44</v>
      </c>
      <c r="E32" s="4">
        <v>0</v>
      </c>
      <c r="F32" s="4">
        <v>1</v>
      </c>
      <c r="G32" s="4">
        <v>0</v>
      </c>
      <c r="H32" s="4">
        <v>0</v>
      </c>
      <c r="I32" s="12">
        <f t="shared" si="0"/>
        <v>1</v>
      </c>
    </row>
    <row r="33" spans="1:9" ht="25.5" x14ac:dyDescent="0.2">
      <c r="A33" s="2" t="s">
        <v>17</v>
      </c>
      <c r="B33" s="3" t="s">
        <v>103</v>
      </c>
      <c r="C33" s="2" t="s">
        <v>30</v>
      </c>
      <c r="D33" s="2" t="s">
        <v>9</v>
      </c>
      <c r="E33" s="4">
        <v>0</v>
      </c>
      <c r="F33" s="4">
        <v>1</v>
      </c>
      <c r="G33" s="4">
        <v>0</v>
      </c>
      <c r="H33" s="4">
        <v>0</v>
      </c>
      <c r="I33" s="12">
        <f t="shared" si="0"/>
        <v>1</v>
      </c>
    </row>
    <row r="34" spans="1:9" ht="25.5" x14ac:dyDescent="0.2">
      <c r="A34" s="2" t="s">
        <v>24</v>
      </c>
      <c r="B34" s="3" t="s">
        <v>104</v>
      </c>
      <c r="C34" s="2" t="s">
        <v>30</v>
      </c>
      <c r="D34" s="2" t="s">
        <v>13</v>
      </c>
      <c r="E34" s="4">
        <v>1</v>
      </c>
      <c r="F34" s="4">
        <v>0</v>
      </c>
      <c r="G34" s="4">
        <v>0</v>
      </c>
      <c r="H34" s="4">
        <v>0</v>
      </c>
      <c r="I34" s="12">
        <f t="shared" si="0"/>
        <v>1</v>
      </c>
    </row>
    <row r="35" spans="1:9" ht="25.5" x14ac:dyDescent="0.2">
      <c r="A35" s="2" t="s">
        <v>51</v>
      </c>
      <c r="B35" s="3" t="s">
        <v>105</v>
      </c>
      <c r="C35" s="2" t="s">
        <v>30</v>
      </c>
      <c r="D35" s="2" t="s">
        <v>9</v>
      </c>
      <c r="E35" s="4">
        <v>0</v>
      </c>
      <c r="F35" s="4">
        <v>0</v>
      </c>
      <c r="G35" s="4">
        <v>0</v>
      </c>
      <c r="H35" s="4">
        <v>0</v>
      </c>
      <c r="I35" s="12">
        <f t="shared" si="0"/>
        <v>0</v>
      </c>
    </row>
    <row r="36" spans="1:9" ht="25.5" x14ac:dyDescent="0.2">
      <c r="A36" s="2" t="s">
        <v>53</v>
      </c>
      <c r="B36" s="3" t="s">
        <v>106</v>
      </c>
      <c r="C36" s="2" t="s">
        <v>30</v>
      </c>
      <c r="D36" s="2" t="s">
        <v>9</v>
      </c>
      <c r="E36" s="4">
        <v>0</v>
      </c>
      <c r="F36" s="4">
        <v>1</v>
      </c>
      <c r="G36" s="4">
        <v>0</v>
      </c>
      <c r="H36" s="4">
        <v>0</v>
      </c>
      <c r="I36" s="12">
        <f t="shared" si="0"/>
        <v>1</v>
      </c>
    </row>
    <row r="37" spans="1:9" ht="25.5" x14ac:dyDescent="0.2">
      <c r="A37" s="2" t="s">
        <v>1</v>
      </c>
      <c r="B37" s="3" t="s">
        <v>107</v>
      </c>
      <c r="C37" s="2" t="s">
        <v>30</v>
      </c>
      <c r="D37" s="2" t="s">
        <v>44</v>
      </c>
      <c r="E37" s="4">
        <v>0</v>
      </c>
      <c r="F37" s="4">
        <v>1</v>
      </c>
      <c r="G37" s="4">
        <v>0</v>
      </c>
      <c r="H37" s="4">
        <v>0</v>
      </c>
      <c r="I37" s="12">
        <f t="shared" si="0"/>
        <v>1</v>
      </c>
    </row>
    <row r="38" spans="1:9" ht="25.5" x14ac:dyDescent="0.2">
      <c r="A38" s="2" t="s">
        <v>4</v>
      </c>
      <c r="B38" s="3" t="s">
        <v>108</v>
      </c>
      <c r="C38" s="2" t="s">
        <v>30</v>
      </c>
      <c r="D38" s="2" t="s">
        <v>32</v>
      </c>
      <c r="E38" s="4">
        <v>0</v>
      </c>
      <c r="F38" s="4">
        <v>1</v>
      </c>
      <c r="G38" s="4">
        <v>0</v>
      </c>
      <c r="H38" s="4">
        <v>0</v>
      </c>
      <c r="I38" s="12">
        <f t="shared" si="0"/>
        <v>1</v>
      </c>
    </row>
    <row r="39" spans="1:9" ht="25.5" x14ac:dyDescent="0.2">
      <c r="A39" s="2" t="s">
        <v>7</v>
      </c>
      <c r="B39" s="3" t="s">
        <v>109</v>
      </c>
      <c r="C39" s="2" t="s">
        <v>30</v>
      </c>
      <c r="D39" s="2" t="s">
        <v>44</v>
      </c>
      <c r="E39" s="4">
        <v>0</v>
      </c>
      <c r="F39" s="4">
        <v>1</v>
      </c>
      <c r="G39" s="4">
        <v>0</v>
      </c>
      <c r="H39" s="4">
        <v>0</v>
      </c>
      <c r="I39" s="12">
        <f t="shared" si="0"/>
        <v>1</v>
      </c>
    </row>
    <row r="40" spans="1:9" ht="25.5" x14ac:dyDescent="0.2">
      <c r="A40" s="2" t="s">
        <v>20</v>
      </c>
      <c r="B40" s="3" t="s">
        <v>110</v>
      </c>
      <c r="C40" s="2" t="s">
        <v>30</v>
      </c>
      <c r="D40" s="2" t="s">
        <v>32</v>
      </c>
      <c r="E40" s="4">
        <v>0</v>
      </c>
      <c r="F40" s="4">
        <v>0</v>
      </c>
      <c r="G40" s="4">
        <v>1</v>
      </c>
      <c r="H40" s="4">
        <v>0</v>
      </c>
      <c r="I40" s="12">
        <f t="shared" si="0"/>
        <v>1</v>
      </c>
    </row>
    <row r="41" spans="1:9" ht="25.5" x14ac:dyDescent="0.2">
      <c r="A41" s="2" t="s">
        <v>38</v>
      </c>
      <c r="B41" s="3" t="s">
        <v>111</v>
      </c>
      <c r="C41" s="2" t="s">
        <v>30</v>
      </c>
      <c r="D41" s="2" t="s">
        <v>0</v>
      </c>
      <c r="E41" s="4">
        <v>0</v>
      </c>
      <c r="F41" s="4">
        <v>0</v>
      </c>
      <c r="G41" s="4">
        <v>1</v>
      </c>
      <c r="H41" s="4">
        <v>0</v>
      </c>
      <c r="I41" s="12">
        <f t="shared" si="0"/>
        <v>1</v>
      </c>
    </row>
    <row r="42" spans="1:9" ht="25.5" x14ac:dyDescent="0.2">
      <c r="A42" s="2" t="s">
        <v>18</v>
      </c>
      <c r="B42" s="3" t="s">
        <v>112</v>
      </c>
      <c r="C42" s="2" t="s">
        <v>30</v>
      </c>
      <c r="D42" s="2" t="s">
        <v>0</v>
      </c>
      <c r="E42" s="4">
        <v>0</v>
      </c>
      <c r="F42" s="4">
        <v>0</v>
      </c>
      <c r="G42" s="4">
        <v>0</v>
      </c>
      <c r="H42" s="4">
        <v>0</v>
      </c>
      <c r="I42" s="12">
        <f t="shared" si="0"/>
        <v>0</v>
      </c>
    </row>
    <row r="43" spans="1:9" ht="25.5" x14ac:dyDescent="0.2">
      <c r="A43" s="2" t="s">
        <v>68</v>
      </c>
      <c r="B43" s="3" t="s">
        <v>113</v>
      </c>
      <c r="C43" s="2" t="s">
        <v>30</v>
      </c>
      <c r="D43" s="2" t="s">
        <v>0</v>
      </c>
      <c r="E43" s="4">
        <v>1</v>
      </c>
      <c r="F43" s="4">
        <v>0</v>
      </c>
      <c r="G43" s="4">
        <v>0</v>
      </c>
      <c r="H43" s="4">
        <v>0</v>
      </c>
      <c r="I43" s="12">
        <f t="shared" si="0"/>
        <v>1</v>
      </c>
    </row>
    <row r="44" spans="1:9" ht="25.5" x14ac:dyDescent="0.2">
      <c r="A44" s="2" t="s">
        <v>27</v>
      </c>
      <c r="B44" s="3" t="s">
        <v>114</v>
      </c>
      <c r="C44" s="2" t="s">
        <v>30</v>
      </c>
      <c r="D44" s="2" t="s">
        <v>35</v>
      </c>
      <c r="E44" s="4">
        <v>0</v>
      </c>
      <c r="F44" s="4">
        <v>1</v>
      </c>
      <c r="G44" s="4">
        <v>0</v>
      </c>
      <c r="H44" s="4">
        <v>0</v>
      </c>
      <c r="I44" s="12">
        <f t="shared" si="0"/>
        <v>1</v>
      </c>
    </row>
    <row r="45" spans="1:9" ht="25.5" x14ac:dyDescent="0.2">
      <c r="A45" s="2" t="s">
        <v>37</v>
      </c>
      <c r="B45" s="3" t="s">
        <v>115</v>
      </c>
      <c r="C45" s="2" t="s">
        <v>30</v>
      </c>
      <c r="D45" s="2" t="s">
        <v>9</v>
      </c>
      <c r="E45" s="4">
        <v>0</v>
      </c>
      <c r="F45" s="4">
        <v>1</v>
      </c>
      <c r="G45" s="4">
        <v>0</v>
      </c>
      <c r="H45" s="4">
        <v>0</v>
      </c>
      <c r="I45" s="12">
        <f t="shared" si="0"/>
        <v>1</v>
      </c>
    </row>
    <row r="46" spans="1:9" ht="25.5" x14ac:dyDescent="0.2">
      <c r="A46" s="2" t="s">
        <v>60</v>
      </c>
      <c r="B46" s="3" t="s">
        <v>116</v>
      </c>
      <c r="C46" s="2" t="s">
        <v>30</v>
      </c>
      <c r="D46" s="2" t="s">
        <v>32</v>
      </c>
      <c r="E46" s="4">
        <v>0</v>
      </c>
      <c r="F46" s="4">
        <v>1</v>
      </c>
      <c r="G46" s="4">
        <v>0</v>
      </c>
      <c r="H46" s="4">
        <v>0</v>
      </c>
      <c r="I46" s="12">
        <f t="shared" si="0"/>
        <v>1</v>
      </c>
    </row>
    <row r="47" spans="1:9" ht="25.5" x14ac:dyDescent="0.2">
      <c r="A47" s="2" t="s">
        <v>59</v>
      </c>
      <c r="B47" s="3" t="s">
        <v>117</v>
      </c>
      <c r="C47" s="2" t="s">
        <v>30</v>
      </c>
      <c r="D47" s="2" t="s">
        <v>9</v>
      </c>
      <c r="E47" s="4">
        <v>0</v>
      </c>
      <c r="F47" s="4">
        <v>0</v>
      </c>
      <c r="G47" s="4">
        <v>0</v>
      </c>
      <c r="H47" s="4">
        <v>1</v>
      </c>
      <c r="I47" s="12">
        <f t="shared" si="0"/>
        <v>1</v>
      </c>
    </row>
    <row r="48" spans="1:9" ht="25.5" x14ac:dyDescent="0.2">
      <c r="A48" s="2" t="s">
        <v>31</v>
      </c>
      <c r="B48" s="3" t="s">
        <v>118</v>
      </c>
      <c r="C48" s="2" t="s">
        <v>30</v>
      </c>
      <c r="D48" s="2" t="s">
        <v>9</v>
      </c>
      <c r="E48" s="4">
        <v>0</v>
      </c>
      <c r="F48" s="4">
        <v>1</v>
      </c>
      <c r="G48" s="4">
        <v>0</v>
      </c>
      <c r="H48" s="4">
        <v>0</v>
      </c>
      <c r="I48" s="12">
        <f t="shared" si="0"/>
        <v>1</v>
      </c>
    </row>
    <row r="49" spans="1:9" ht="25.5" x14ac:dyDescent="0.2">
      <c r="A49" s="2" t="s">
        <v>14</v>
      </c>
      <c r="B49" s="3" t="s">
        <v>119</v>
      </c>
      <c r="C49" s="2" t="s">
        <v>30</v>
      </c>
      <c r="D49" s="2" t="s">
        <v>44</v>
      </c>
      <c r="E49" s="4">
        <v>0</v>
      </c>
      <c r="F49" s="4">
        <v>1</v>
      </c>
      <c r="G49" s="4">
        <v>0</v>
      </c>
      <c r="H49" s="4">
        <v>0</v>
      </c>
      <c r="I49" s="12">
        <f t="shared" si="0"/>
        <v>1</v>
      </c>
    </row>
    <row r="50" spans="1:9" x14ac:dyDescent="0.2">
      <c r="A50" s="2" t="s">
        <v>47</v>
      </c>
      <c r="B50" s="3" t="s">
        <v>120</v>
      </c>
      <c r="C50" s="2" t="s">
        <v>3</v>
      </c>
      <c r="D50" s="2" t="s">
        <v>0</v>
      </c>
      <c r="E50" s="4">
        <v>0</v>
      </c>
      <c r="F50" s="4">
        <v>0</v>
      </c>
      <c r="G50" s="4">
        <v>0</v>
      </c>
      <c r="H50" s="4">
        <v>0</v>
      </c>
      <c r="I50" s="12">
        <f t="shared" si="0"/>
        <v>0</v>
      </c>
    </row>
    <row r="51" spans="1:9" x14ac:dyDescent="0.2">
      <c r="A51" s="2" t="s">
        <v>8</v>
      </c>
      <c r="B51" s="3" t="s">
        <v>121</v>
      </c>
      <c r="C51" s="2" t="s">
        <v>39</v>
      </c>
      <c r="D51" s="2" t="s">
        <v>44</v>
      </c>
      <c r="E51" s="4">
        <v>0</v>
      </c>
      <c r="F51" s="4">
        <v>0</v>
      </c>
      <c r="G51" s="4">
        <v>0</v>
      </c>
      <c r="H51" s="4">
        <v>0</v>
      </c>
      <c r="I51" s="12">
        <f t="shared" si="0"/>
        <v>0</v>
      </c>
    </row>
    <row r="52" spans="1:9" x14ac:dyDescent="0.2">
      <c r="A52" s="2" t="s">
        <v>43</v>
      </c>
      <c r="B52" s="3" t="s">
        <v>122</v>
      </c>
      <c r="C52" s="2" t="s">
        <v>39</v>
      </c>
      <c r="D52" s="2" t="s">
        <v>32</v>
      </c>
      <c r="E52" s="4">
        <v>1</v>
      </c>
      <c r="F52" s="4">
        <v>0</v>
      </c>
      <c r="G52" s="4">
        <v>0</v>
      </c>
      <c r="H52" s="4">
        <v>0</v>
      </c>
      <c r="I52" s="12">
        <f t="shared" si="0"/>
        <v>1</v>
      </c>
    </row>
    <row r="53" spans="1:9" x14ac:dyDescent="0.2">
      <c r="A53" s="2" t="s">
        <v>45</v>
      </c>
      <c r="B53" s="3" t="s">
        <v>123</v>
      </c>
      <c r="C53" s="2" t="s">
        <v>39</v>
      </c>
      <c r="D53" s="2" t="s">
        <v>35</v>
      </c>
      <c r="E53" s="4">
        <v>0</v>
      </c>
      <c r="F53" s="4">
        <v>1</v>
      </c>
      <c r="G53" s="4">
        <v>0</v>
      </c>
      <c r="H53" s="4">
        <v>0</v>
      </c>
      <c r="I53" s="12">
        <f t="shared" si="0"/>
        <v>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0D6D1-F0BB-45E2-8CC8-081A2C466497}">
  <dimension ref="A1:P53"/>
  <sheetViews>
    <sheetView topLeftCell="K37" workbookViewId="0">
      <selection activeCell="B1" sqref="B1:P53"/>
    </sheetView>
  </sheetViews>
  <sheetFormatPr defaultColWidth="30.7109375" defaultRowHeight="12.75" x14ac:dyDescent="0.2"/>
  <cols>
    <col min="1" max="1" width="0" style="2" hidden="1" customWidth="1"/>
    <col min="2" max="2" width="30.7109375" style="10"/>
    <col min="3" max="4" width="0" style="2" hidden="1" customWidth="1"/>
    <col min="5" max="16" width="30.7109375" style="10"/>
    <col min="17" max="16384" width="30.7109375" style="2"/>
  </cols>
  <sheetData>
    <row r="1" spans="1:16" ht="38.25" x14ac:dyDescent="0.2">
      <c r="A1" s="2" t="s">
        <v>2</v>
      </c>
      <c r="B1" s="2" t="s">
        <v>2</v>
      </c>
      <c r="C1" s="2" t="s">
        <v>65</v>
      </c>
      <c r="D1" s="2" t="s">
        <v>62</v>
      </c>
      <c r="E1" s="11" t="s">
        <v>69</v>
      </c>
      <c r="F1" s="11" t="s">
        <v>70</v>
      </c>
      <c r="G1" s="11" t="s">
        <v>218</v>
      </c>
      <c r="H1" s="11" t="s">
        <v>219</v>
      </c>
      <c r="I1" s="11" t="s">
        <v>220</v>
      </c>
      <c r="J1" s="11" t="s">
        <v>221</v>
      </c>
      <c r="K1" s="11" t="s">
        <v>222</v>
      </c>
      <c r="L1" s="11" t="s">
        <v>223</v>
      </c>
      <c r="M1" s="11" t="s">
        <v>224</v>
      </c>
      <c r="N1" s="11" t="s">
        <v>225</v>
      </c>
      <c r="O1" s="11" t="s">
        <v>71</v>
      </c>
      <c r="P1" s="11" t="s">
        <v>216</v>
      </c>
    </row>
    <row r="2" spans="1:16" x14ac:dyDescent="0.2">
      <c r="A2" s="2" t="s">
        <v>52</v>
      </c>
      <c r="B2" s="3" t="s">
        <v>72</v>
      </c>
      <c r="C2" s="2" t="s">
        <v>58</v>
      </c>
      <c r="D2" s="2" t="s">
        <v>9</v>
      </c>
      <c r="E2" s="4">
        <v>0</v>
      </c>
      <c r="F2" s="4">
        <v>1</v>
      </c>
      <c r="G2" s="4">
        <v>0</v>
      </c>
      <c r="H2" s="4">
        <v>0</v>
      </c>
      <c r="I2" s="4">
        <v>0</v>
      </c>
      <c r="J2" s="4">
        <v>0</v>
      </c>
      <c r="K2" s="4">
        <v>0</v>
      </c>
      <c r="L2" s="4">
        <v>0</v>
      </c>
      <c r="M2" s="4">
        <v>0</v>
      </c>
      <c r="N2" s="4">
        <v>1</v>
      </c>
      <c r="O2" s="4">
        <v>0</v>
      </c>
      <c r="P2" s="4">
        <v>0</v>
      </c>
    </row>
    <row r="3" spans="1:16" ht="25.5" x14ac:dyDescent="0.2">
      <c r="A3" s="2" t="s">
        <v>56</v>
      </c>
      <c r="B3" s="3" t="s">
        <v>73</v>
      </c>
      <c r="C3" s="2" t="s">
        <v>34</v>
      </c>
      <c r="D3" s="2" t="s">
        <v>13</v>
      </c>
      <c r="E3" s="4">
        <v>0</v>
      </c>
      <c r="F3" s="4">
        <v>1</v>
      </c>
      <c r="G3" s="4">
        <v>0</v>
      </c>
      <c r="H3" s="4">
        <v>0</v>
      </c>
      <c r="I3" s="4">
        <v>1</v>
      </c>
      <c r="J3" s="4">
        <v>0</v>
      </c>
      <c r="K3" s="4">
        <v>0</v>
      </c>
      <c r="L3" s="4">
        <v>0</v>
      </c>
      <c r="M3" s="4">
        <v>0</v>
      </c>
      <c r="N3" s="4">
        <v>0</v>
      </c>
      <c r="O3" s="4">
        <v>0</v>
      </c>
      <c r="P3" s="4">
        <v>0</v>
      </c>
    </row>
    <row r="4" spans="1:16" ht="25.5" x14ac:dyDescent="0.2">
      <c r="A4" s="2" t="s">
        <v>49</v>
      </c>
      <c r="B4" s="3" t="s">
        <v>74</v>
      </c>
      <c r="C4" s="2" t="s">
        <v>34</v>
      </c>
      <c r="D4" s="2" t="s">
        <v>32</v>
      </c>
      <c r="E4" s="4">
        <v>0</v>
      </c>
      <c r="F4" s="4">
        <v>1</v>
      </c>
      <c r="G4" s="4">
        <v>0</v>
      </c>
      <c r="H4" s="4">
        <v>0</v>
      </c>
      <c r="I4" s="4">
        <v>0</v>
      </c>
      <c r="J4" s="4">
        <v>0</v>
      </c>
      <c r="K4" s="4">
        <v>1</v>
      </c>
      <c r="L4" s="4">
        <v>0</v>
      </c>
      <c r="M4" s="4">
        <v>0</v>
      </c>
      <c r="N4" s="4">
        <v>0</v>
      </c>
      <c r="O4" s="4">
        <v>0</v>
      </c>
      <c r="P4" s="4">
        <v>0</v>
      </c>
    </row>
    <row r="5" spans="1:16" ht="25.5" x14ac:dyDescent="0.2">
      <c r="A5" s="2" t="s">
        <v>48</v>
      </c>
      <c r="B5" s="3" t="s">
        <v>75</v>
      </c>
      <c r="C5" s="2" t="s">
        <v>64</v>
      </c>
      <c r="D5" s="2" t="s">
        <v>0</v>
      </c>
      <c r="E5" s="4">
        <v>0</v>
      </c>
      <c r="F5" s="4">
        <v>0</v>
      </c>
      <c r="G5" s="4">
        <v>0</v>
      </c>
      <c r="H5" s="4">
        <v>0</v>
      </c>
      <c r="I5" s="4">
        <v>0</v>
      </c>
      <c r="J5" s="4">
        <v>0</v>
      </c>
      <c r="K5" s="4">
        <v>0</v>
      </c>
      <c r="L5" s="4">
        <v>0</v>
      </c>
      <c r="M5" s="4">
        <v>0</v>
      </c>
      <c r="N5" s="4">
        <v>0</v>
      </c>
      <c r="O5" s="4">
        <v>0</v>
      </c>
      <c r="P5" s="4">
        <v>0</v>
      </c>
    </row>
    <row r="6" spans="1:16" ht="25.5" x14ac:dyDescent="0.2">
      <c r="A6" s="2" t="s">
        <v>22</v>
      </c>
      <c r="B6" s="3" t="s">
        <v>76</v>
      </c>
      <c r="C6" s="2" t="s">
        <v>64</v>
      </c>
      <c r="D6" s="2" t="s">
        <v>44</v>
      </c>
      <c r="E6" s="4">
        <v>0</v>
      </c>
      <c r="F6" s="4">
        <v>0</v>
      </c>
      <c r="G6" s="4">
        <v>0</v>
      </c>
      <c r="H6" s="4">
        <v>0</v>
      </c>
      <c r="I6" s="4">
        <v>0</v>
      </c>
      <c r="J6" s="4">
        <v>0</v>
      </c>
      <c r="K6" s="4">
        <v>0</v>
      </c>
      <c r="L6" s="4">
        <v>0</v>
      </c>
      <c r="M6" s="4">
        <v>0</v>
      </c>
      <c r="N6" s="4">
        <v>0</v>
      </c>
      <c r="O6" s="4">
        <v>0</v>
      </c>
      <c r="P6" s="4">
        <v>0</v>
      </c>
    </row>
    <row r="7" spans="1:16" ht="25.5" x14ac:dyDescent="0.2">
      <c r="A7" s="2" t="s">
        <v>16</v>
      </c>
      <c r="B7" s="3" t="s">
        <v>77</v>
      </c>
      <c r="C7" s="2" t="s">
        <v>64</v>
      </c>
      <c r="D7" s="2" t="s">
        <v>0</v>
      </c>
      <c r="E7" s="4">
        <v>0</v>
      </c>
      <c r="F7" s="4">
        <v>1</v>
      </c>
      <c r="G7" s="4">
        <v>0</v>
      </c>
      <c r="H7" s="4">
        <v>0</v>
      </c>
      <c r="I7" s="4">
        <v>1</v>
      </c>
      <c r="J7" s="4">
        <v>1</v>
      </c>
      <c r="K7" s="4">
        <v>0</v>
      </c>
      <c r="L7" s="4">
        <v>0</v>
      </c>
      <c r="M7" s="4">
        <v>0</v>
      </c>
      <c r="N7" s="4">
        <v>0</v>
      </c>
      <c r="O7" s="4">
        <v>0</v>
      </c>
      <c r="P7" s="4">
        <v>0</v>
      </c>
    </row>
    <row r="8" spans="1:16" ht="25.5" x14ac:dyDescent="0.2">
      <c r="A8" s="2" t="s">
        <v>5</v>
      </c>
      <c r="B8" s="3" t="s">
        <v>78</v>
      </c>
      <c r="C8" s="2" t="s">
        <v>64</v>
      </c>
      <c r="D8" s="2" t="s">
        <v>44</v>
      </c>
      <c r="E8" s="4">
        <v>0</v>
      </c>
      <c r="F8" s="4">
        <v>1</v>
      </c>
      <c r="G8" s="4">
        <v>0</v>
      </c>
      <c r="H8" s="4">
        <v>0</v>
      </c>
      <c r="I8" s="4">
        <v>0</v>
      </c>
      <c r="J8" s="4">
        <v>0</v>
      </c>
      <c r="K8" s="4">
        <v>0</v>
      </c>
      <c r="L8" s="4">
        <v>1</v>
      </c>
      <c r="M8" s="4">
        <v>1</v>
      </c>
      <c r="N8" s="4">
        <v>0</v>
      </c>
      <c r="O8" s="4">
        <v>0</v>
      </c>
      <c r="P8" s="4">
        <v>0</v>
      </c>
    </row>
    <row r="9" spans="1:16" ht="25.5" x14ac:dyDescent="0.2">
      <c r="A9" s="2" t="s">
        <v>23</v>
      </c>
      <c r="B9" s="3" t="s">
        <v>79</v>
      </c>
      <c r="C9" s="2" t="s">
        <v>64</v>
      </c>
      <c r="D9" s="2" t="s">
        <v>0</v>
      </c>
      <c r="E9" s="4">
        <v>0</v>
      </c>
      <c r="F9" s="4">
        <v>1</v>
      </c>
      <c r="G9" s="4">
        <v>0</v>
      </c>
      <c r="H9" s="4">
        <v>0</v>
      </c>
      <c r="I9" s="4">
        <v>0</v>
      </c>
      <c r="J9" s="4">
        <v>0</v>
      </c>
      <c r="K9" s="4">
        <v>0</v>
      </c>
      <c r="L9" s="4">
        <v>0</v>
      </c>
      <c r="M9" s="4">
        <v>1</v>
      </c>
      <c r="N9" s="4">
        <v>0</v>
      </c>
      <c r="O9" s="4">
        <v>0</v>
      </c>
      <c r="P9" s="4">
        <v>0</v>
      </c>
    </row>
    <row r="10" spans="1:16" ht="25.5" x14ac:dyDescent="0.2">
      <c r="A10" s="2" t="s">
        <v>33</v>
      </c>
      <c r="B10" s="3" t="s">
        <v>80</v>
      </c>
      <c r="C10" s="2" t="s">
        <v>64</v>
      </c>
      <c r="D10" s="2" t="s">
        <v>0</v>
      </c>
      <c r="E10" s="4">
        <v>1</v>
      </c>
      <c r="F10" s="4">
        <v>0</v>
      </c>
      <c r="G10" s="4">
        <v>0</v>
      </c>
      <c r="H10" s="4">
        <v>0</v>
      </c>
      <c r="I10" s="4">
        <v>0</v>
      </c>
      <c r="J10" s="4">
        <v>0</v>
      </c>
      <c r="K10" s="4">
        <v>0</v>
      </c>
      <c r="L10" s="4">
        <v>0</v>
      </c>
      <c r="M10" s="4">
        <v>0</v>
      </c>
      <c r="N10" s="4">
        <v>0</v>
      </c>
      <c r="O10" s="4">
        <v>0</v>
      </c>
      <c r="P10" s="4">
        <v>0</v>
      </c>
    </row>
    <row r="11" spans="1:16" ht="25.5" x14ac:dyDescent="0.2">
      <c r="A11" s="2" t="s">
        <v>46</v>
      </c>
      <c r="B11" s="3" t="s">
        <v>81</v>
      </c>
      <c r="C11" s="2" t="s">
        <v>64</v>
      </c>
      <c r="D11" s="2" t="s">
        <v>44</v>
      </c>
      <c r="E11" s="4">
        <v>0</v>
      </c>
      <c r="F11" s="4">
        <v>0</v>
      </c>
      <c r="G11" s="4">
        <v>0</v>
      </c>
      <c r="H11" s="4">
        <v>0</v>
      </c>
      <c r="I11" s="4">
        <v>0</v>
      </c>
      <c r="J11" s="4">
        <v>0</v>
      </c>
      <c r="K11" s="4">
        <v>0</v>
      </c>
      <c r="L11" s="4">
        <v>0</v>
      </c>
      <c r="M11" s="4">
        <v>0</v>
      </c>
      <c r="N11" s="4">
        <v>0</v>
      </c>
      <c r="O11" s="4">
        <v>0</v>
      </c>
      <c r="P11" s="4">
        <v>0</v>
      </c>
    </row>
    <row r="12" spans="1:16" ht="25.5" x14ac:dyDescent="0.2">
      <c r="A12" s="2" t="s">
        <v>61</v>
      </c>
      <c r="B12" s="3" t="s">
        <v>82</v>
      </c>
      <c r="C12" s="2" t="s">
        <v>64</v>
      </c>
      <c r="D12" s="2" t="s">
        <v>0</v>
      </c>
      <c r="E12" s="4">
        <v>0</v>
      </c>
      <c r="F12" s="4">
        <v>1</v>
      </c>
      <c r="G12" s="4">
        <v>1</v>
      </c>
      <c r="H12" s="4">
        <v>0</v>
      </c>
      <c r="I12" s="4">
        <v>0</v>
      </c>
      <c r="J12" s="4">
        <v>0</v>
      </c>
      <c r="K12" s="4">
        <v>0</v>
      </c>
      <c r="L12" s="4">
        <v>0</v>
      </c>
      <c r="M12" s="4">
        <v>0</v>
      </c>
      <c r="N12" s="4">
        <v>1</v>
      </c>
      <c r="O12" s="4">
        <v>0</v>
      </c>
      <c r="P12" s="4">
        <v>0</v>
      </c>
    </row>
    <row r="13" spans="1:16" x14ac:dyDescent="0.2">
      <c r="A13" s="2" t="s">
        <v>55</v>
      </c>
      <c r="B13" s="3" t="s">
        <v>83</v>
      </c>
      <c r="C13" s="2" t="s">
        <v>57</v>
      </c>
      <c r="D13" s="2" t="s">
        <v>9</v>
      </c>
      <c r="E13" s="4">
        <v>1</v>
      </c>
      <c r="F13" s="4">
        <v>0</v>
      </c>
      <c r="G13" s="4">
        <v>0</v>
      </c>
      <c r="H13" s="4">
        <v>0</v>
      </c>
      <c r="I13" s="4">
        <v>0</v>
      </c>
      <c r="J13" s="4">
        <v>0</v>
      </c>
      <c r="K13" s="4">
        <v>0</v>
      </c>
      <c r="L13" s="4">
        <v>0</v>
      </c>
      <c r="M13" s="4">
        <v>0</v>
      </c>
      <c r="N13" s="4">
        <v>0</v>
      </c>
      <c r="O13" s="4">
        <v>0</v>
      </c>
      <c r="P13" s="4">
        <v>0</v>
      </c>
    </row>
    <row r="14" spans="1:16" x14ac:dyDescent="0.2">
      <c r="A14" s="2" t="s">
        <v>36</v>
      </c>
      <c r="B14" s="3" t="s">
        <v>84</v>
      </c>
      <c r="C14" s="2" t="s">
        <v>57</v>
      </c>
      <c r="D14" s="2" t="s">
        <v>9</v>
      </c>
      <c r="E14" s="4">
        <v>1</v>
      </c>
      <c r="F14" s="4">
        <v>0</v>
      </c>
      <c r="G14" s="4">
        <v>0</v>
      </c>
      <c r="H14" s="4">
        <v>0</v>
      </c>
      <c r="I14" s="4">
        <v>0</v>
      </c>
      <c r="J14" s="4">
        <v>0</v>
      </c>
      <c r="K14" s="4">
        <v>0</v>
      </c>
      <c r="L14" s="4">
        <v>0</v>
      </c>
      <c r="M14" s="4">
        <v>0</v>
      </c>
      <c r="N14" s="4">
        <v>0</v>
      </c>
      <c r="O14" s="4">
        <v>0</v>
      </c>
      <c r="P14" s="4">
        <v>0</v>
      </c>
    </row>
    <row r="15" spans="1:16" x14ac:dyDescent="0.2">
      <c r="A15" s="2" t="s">
        <v>11</v>
      </c>
      <c r="B15" s="3" t="s">
        <v>85</v>
      </c>
      <c r="C15" s="2" t="s">
        <v>57</v>
      </c>
      <c r="D15" s="2" t="s">
        <v>9</v>
      </c>
      <c r="E15" s="4">
        <v>0</v>
      </c>
      <c r="F15" s="4">
        <v>1</v>
      </c>
      <c r="G15" s="4">
        <v>0</v>
      </c>
      <c r="H15" s="4">
        <v>0</v>
      </c>
      <c r="I15" s="4">
        <v>1</v>
      </c>
      <c r="J15" s="4">
        <v>0</v>
      </c>
      <c r="K15" s="4">
        <v>0</v>
      </c>
      <c r="L15" s="4">
        <v>0</v>
      </c>
      <c r="M15" s="4">
        <v>1</v>
      </c>
      <c r="N15" s="4">
        <v>0</v>
      </c>
      <c r="O15" s="4">
        <v>0</v>
      </c>
      <c r="P15" s="4">
        <v>0</v>
      </c>
    </row>
    <row r="16" spans="1:16" x14ac:dyDescent="0.2">
      <c r="A16" s="2" t="s">
        <v>50</v>
      </c>
      <c r="B16" s="3" t="s">
        <v>86</v>
      </c>
      <c r="C16" s="2" t="s">
        <v>57</v>
      </c>
      <c r="D16" s="2" t="s">
        <v>9</v>
      </c>
      <c r="E16" s="4">
        <v>0</v>
      </c>
      <c r="F16" s="4">
        <v>1</v>
      </c>
      <c r="G16" s="4">
        <v>1</v>
      </c>
      <c r="H16" s="4">
        <v>0</v>
      </c>
      <c r="I16" s="4">
        <v>0</v>
      </c>
      <c r="J16" s="4">
        <v>0</v>
      </c>
      <c r="K16" s="4">
        <v>0</v>
      </c>
      <c r="L16" s="4">
        <v>0</v>
      </c>
      <c r="M16" s="4">
        <v>0</v>
      </c>
      <c r="N16" s="4">
        <v>0</v>
      </c>
      <c r="O16" s="4">
        <v>0</v>
      </c>
      <c r="P16" s="4">
        <v>0</v>
      </c>
    </row>
    <row r="17" spans="1:16" x14ac:dyDescent="0.2">
      <c r="A17" s="2" t="s">
        <v>40</v>
      </c>
      <c r="B17" s="3" t="s">
        <v>87</v>
      </c>
      <c r="C17" s="2" t="s">
        <v>57</v>
      </c>
      <c r="D17" s="2" t="s">
        <v>9</v>
      </c>
      <c r="E17" s="4">
        <v>0</v>
      </c>
      <c r="F17" s="4">
        <v>1</v>
      </c>
      <c r="G17" s="4">
        <v>0</v>
      </c>
      <c r="H17" s="4">
        <v>0</v>
      </c>
      <c r="I17" s="4">
        <v>1</v>
      </c>
      <c r="J17" s="4">
        <v>0</v>
      </c>
      <c r="K17" s="4">
        <v>0</v>
      </c>
      <c r="L17" s="4">
        <v>0</v>
      </c>
      <c r="M17" s="4">
        <v>0</v>
      </c>
      <c r="N17" s="4">
        <v>0</v>
      </c>
      <c r="O17" s="4">
        <v>0</v>
      </c>
      <c r="P17" s="4">
        <v>0</v>
      </c>
    </row>
    <row r="18" spans="1:16" x14ac:dyDescent="0.2">
      <c r="A18" s="2" t="s">
        <v>63</v>
      </c>
      <c r="B18" s="3" t="s">
        <v>88</v>
      </c>
      <c r="C18" s="2" t="s">
        <v>57</v>
      </c>
      <c r="D18" s="2" t="s">
        <v>9</v>
      </c>
      <c r="E18" s="4">
        <v>0</v>
      </c>
      <c r="F18" s="4">
        <v>1</v>
      </c>
      <c r="G18" s="4">
        <v>0</v>
      </c>
      <c r="H18" s="4">
        <v>0</v>
      </c>
      <c r="I18" s="4">
        <v>0</v>
      </c>
      <c r="J18" s="4">
        <v>0</v>
      </c>
      <c r="K18" s="4">
        <v>0</v>
      </c>
      <c r="L18" s="4">
        <v>0</v>
      </c>
      <c r="M18" s="4">
        <v>0</v>
      </c>
      <c r="N18" s="4">
        <v>0</v>
      </c>
      <c r="O18" s="4">
        <v>0</v>
      </c>
      <c r="P18" s="4">
        <v>0</v>
      </c>
    </row>
    <row r="19" spans="1:16" x14ac:dyDescent="0.2">
      <c r="A19" s="2" t="s">
        <v>54</v>
      </c>
      <c r="B19" s="3" t="s">
        <v>89</v>
      </c>
      <c r="C19" s="2" t="s">
        <v>57</v>
      </c>
      <c r="D19" s="2" t="s">
        <v>9</v>
      </c>
      <c r="E19" s="4">
        <v>0</v>
      </c>
      <c r="F19" s="4">
        <v>1</v>
      </c>
      <c r="G19" s="4">
        <v>0</v>
      </c>
      <c r="H19" s="4">
        <v>0</v>
      </c>
      <c r="I19" s="4">
        <v>0</v>
      </c>
      <c r="J19" s="4">
        <v>0</v>
      </c>
      <c r="K19" s="4">
        <v>0</v>
      </c>
      <c r="L19" s="4">
        <v>0</v>
      </c>
      <c r="M19" s="4">
        <v>1</v>
      </c>
      <c r="N19" s="4">
        <v>0</v>
      </c>
      <c r="O19" s="4">
        <v>0</v>
      </c>
      <c r="P19" s="4">
        <v>0</v>
      </c>
    </row>
    <row r="20" spans="1:16" x14ac:dyDescent="0.2">
      <c r="A20" s="2" t="s">
        <v>41</v>
      </c>
      <c r="B20" s="3" t="s">
        <v>90</v>
      </c>
      <c r="C20" s="2" t="s">
        <v>57</v>
      </c>
      <c r="D20" s="2" t="s">
        <v>9</v>
      </c>
      <c r="E20" s="4">
        <v>0</v>
      </c>
      <c r="F20" s="4">
        <v>1</v>
      </c>
      <c r="G20" s="4">
        <v>0</v>
      </c>
      <c r="H20" s="4">
        <v>0</v>
      </c>
      <c r="I20" s="4">
        <v>0</v>
      </c>
      <c r="J20" s="4">
        <v>0</v>
      </c>
      <c r="K20" s="4">
        <v>0</v>
      </c>
      <c r="L20" s="4">
        <v>0</v>
      </c>
      <c r="M20" s="4">
        <v>0</v>
      </c>
      <c r="N20" s="4">
        <v>0</v>
      </c>
      <c r="O20" s="4">
        <v>0</v>
      </c>
      <c r="P20" s="4">
        <v>0</v>
      </c>
    </row>
    <row r="21" spans="1:16" x14ac:dyDescent="0.2">
      <c r="A21" s="2" t="s">
        <v>29</v>
      </c>
      <c r="B21" s="3" t="s">
        <v>91</v>
      </c>
      <c r="C21" s="2" t="s">
        <v>21</v>
      </c>
      <c r="D21" s="2" t="s">
        <v>35</v>
      </c>
      <c r="E21" s="4">
        <v>0</v>
      </c>
      <c r="F21" s="4">
        <v>1</v>
      </c>
      <c r="G21" s="4">
        <v>0</v>
      </c>
      <c r="H21" s="4">
        <v>0</v>
      </c>
      <c r="I21" s="4">
        <v>1</v>
      </c>
      <c r="J21" s="4">
        <v>0</v>
      </c>
      <c r="K21" s="4">
        <v>0</v>
      </c>
      <c r="L21" s="4">
        <v>0</v>
      </c>
      <c r="M21" s="4">
        <v>0</v>
      </c>
      <c r="N21" s="4">
        <v>0</v>
      </c>
      <c r="O21" s="4">
        <v>0</v>
      </c>
      <c r="P21" s="4">
        <v>0</v>
      </c>
    </row>
    <row r="22" spans="1:16" ht="25.5" x14ac:dyDescent="0.2">
      <c r="A22" s="2" t="s">
        <v>26</v>
      </c>
      <c r="B22" s="3" t="s">
        <v>92</v>
      </c>
      <c r="C22" s="2" t="s">
        <v>30</v>
      </c>
      <c r="D22" s="2" t="s">
        <v>9</v>
      </c>
      <c r="E22" s="4">
        <v>0</v>
      </c>
      <c r="F22" s="4">
        <v>0</v>
      </c>
      <c r="G22" s="4">
        <v>0</v>
      </c>
      <c r="H22" s="4">
        <v>0</v>
      </c>
      <c r="I22" s="4">
        <v>0</v>
      </c>
      <c r="J22" s="4">
        <v>0</v>
      </c>
      <c r="K22" s="4">
        <v>0</v>
      </c>
      <c r="L22" s="4">
        <v>0</v>
      </c>
      <c r="M22" s="4">
        <v>0</v>
      </c>
      <c r="N22" s="4">
        <v>0</v>
      </c>
      <c r="O22" s="4">
        <v>0</v>
      </c>
      <c r="P22" s="4">
        <v>0</v>
      </c>
    </row>
    <row r="23" spans="1:16" ht="25.5" x14ac:dyDescent="0.2">
      <c r="A23" s="2" t="s">
        <v>10</v>
      </c>
      <c r="B23" s="3" t="s">
        <v>93</v>
      </c>
      <c r="C23" s="2" t="s">
        <v>30</v>
      </c>
      <c r="D23" s="2" t="s">
        <v>44</v>
      </c>
      <c r="E23" s="4">
        <v>0</v>
      </c>
      <c r="F23" s="4">
        <v>1</v>
      </c>
      <c r="G23" s="4">
        <v>0</v>
      </c>
      <c r="H23" s="4">
        <v>0</v>
      </c>
      <c r="I23" s="4">
        <v>0</v>
      </c>
      <c r="J23" s="4">
        <v>0</v>
      </c>
      <c r="K23" s="4">
        <v>0</v>
      </c>
      <c r="L23" s="4">
        <v>0</v>
      </c>
      <c r="M23" s="4">
        <v>0</v>
      </c>
      <c r="N23" s="4">
        <v>0</v>
      </c>
      <c r="O23" s="4">
        <v>0</v>
      </c>
      <c r="P23" s="4">
        <v>0</v>
      </c>
    </row>
    <row r="24" spans="1:16" ht="25.5" x14ac:dyDescent="0.2">
      <c r="A24" s="2" t="s">
        <v>67</v>
      </c>
      <c r="B24" s="3" t="s">
        <v>94</v>
      </c>
      <c r="C24" s="2" t="s">
        <v>30</v>
      </c>
      <c r="D24" s="2" t="s">
        <v>35</v>
      </c>
      <c r="E24" s="4">
        <v>0</v>
      </c>
      <c r="F24" s="4">
        <v>1</v>
      </c>
      <c r="G24" s="4">
        <v>1</v>
      </c>
      <c r="H24" s="4">
        <v>0</v>
      </c>
      <c r="I24" s="4">
        <v>0</v>
      </c>
      <c r="J24" s="4">
        <v>0</v>
      </c>
      <c r="K24" s="4">
        <v>0</v>
      </c>
      <c r="L24" s="4">
        <v>0</v>
      </c>
      <c r="M24" s="4">
        <v>0</v>
      </c>
      <c r="N24" s="4">
        <v>0</v>
      </c>
      <c r="O24" s="4">
        <v>0</v>
      </c>
      <c r="P24" s="4">
        <v>0</v>
      </c>
    </row>
    <row r="25" spans="1:16" ht="25.5" x14ac:dyDescent="0.2">
      <c r="A25" s="2" t="s">
        <v>12</v>
      </c>
      <c r="B25" s="3" t="s">
        <v>95</v>
      </c>
      <c r="C25" s="2" t="s">
        <v>30</v>
      </c>
      <c r="D25" s="2" t="s">
        <v>0</v>
      </c>
      <c r="E25" s="4">
        <v>0</v>
      </c>
      <c r="F25" s="4">
        <v>0</v>
      </c>
      <c r="G25" s="4">
        <v>0</v>
      </c>
      <c r="H25" s="4">
        <v>0</v>
      </c>
      <c r="I25" s="4">
        <v>0</v>
      </c>
      <c r="J25" s="4">
        <v>0</v>
      </c>
      <c r="K25" s="4">
        <v>0</v>
      </c>
      <c r="L25" s="4">
        <v>0</v>
      </c>
      <c r="M25" s="4">
        <v>0</v>
      </c>
      <c r="N25" s="4">
        <v>0</v>
      </c>
      <c r="O25" s="4">
        <v>0</v>
      </c>
      <c r="P25" s="4">
        <v>0</v>
      </c>
    </row>
    <row r="26" spans="1:16" ht="25.5" x14ac:dyDescent="0.2">
      <c r="A26" s="2" t="s">
        <v>15</v>
      </c>
      <c r="B26" s="3" t="s">
        <v>96</v>
      </c>
      <c r="C26" s="2" t="s">
        <v>30</v>
      </c>
      <c r="D26" s="2" t="s">
        <v>44</v>
      </c>
      <c r="E26" s="4">
        <v>0</v>
      </c>
      <c r="F26" s="4">
        <v>1</v>
      </c>
      <c r="G26" s="4">
        <v>1</v>
      </c>
      <c r="H26" s="4">
        <v>1</v>
      </c>
      <c r="I26" s="4">
        <v>0</v>
      </c>
      <c r="J26" s="4">
        <v>0</v>
      </c>
      <c r="K26" s="4">
        <v>0</v>
      </c>
      <c r="L26" s="4">
        <v>0</v>
      </c>
      <c r="M26" s="4">
        <v>0</v>
      </c>
      <c r="N26" s="4">
        <v>0</v>
      </c>
      <c r="O26" s="4">
        <v>0</v>
      </c>
      <c r="P26" s="4">
        <v>0</v>
      </c>
    </row>
    <row r="27" spans="1:16" ht="25.5" x14ac:dyDescent="0.2">
      <c r="A27" s="2" t="s">
        <v>28</v>
      </c>
      <c r="B27" s="3" t="s">
        <v>97</v>
      </c>
      <c r="C27" s="2" t="s">
        <v>30</v>
      </c>
      <c r="D27" s="2" t="s">
        <v>0</v>
      </c>
      <c r="E27" s="4">
        <v>0</v>
      </c>
      <c r="F27" s="4">
        <v>1</v>
      </c>
      <c r="G27" s="4">
        <v>0</v>
      </c>
      <c r="H27" s="4">
        <v>0</v>
      </c>
      <c r="I27" s="4">
        <v>0</v>
      </c>
      <c r="J27" s="4">
        <v>0</v>
      </c>
      <c r="K27" s="4">
        <v>0</v>
      </c>
      <c r="L27" s="4">
        <v>0</v>
      </c>
      <c r="M27" s="4">
        <v>0</v>
      </c>
      <c r="N27" s="4">
        <v>0</v>
      </c>
      <c r="O27" s="4">
        <v>0</v>
      </c>
      <c r="P27" s="4">
        <v>0</v>
      </c>
    </row>
    <row r="28" spans="1:16" ht="25.5" x14ac:dyDescent="0.2">
      <c r="A28" s="2" t="s">
        <v>25</v>
      </c>
      <c r="B28" s="3" t="s">
        <v>98</v>
      </c>
      <c r="C28" s="2" t="s">
        <v>30</v>
      </c>
      <c r="D28" s="2" t="s">
        <v>35</v>
      </c>
      <c r="E28" s="4">
        <v>0</v>
      </c>
      <c r="F28" s="4">
        <v>0</v>
      </c>
      <c r="G28" s="4">
        <v>0</v>
      </c>
      <c r="H28" s="4">
        <v>0</v>
      </c>
      <c r="I28" s="4">
        <v>0</v>
      </c>
      <c r="J28" s="4">
        <v>0</v>
      </c>
      <c r="K28" s="4">
        <v>0</v>
      </c>
      <c r="L28" s="4">
        <v>0</v>
      </c>
      <c r="M28" s="4">
        <v>0</v>
      </c>
      <c r="N28" s="4">
        <v>0</v>
      </c>
      <c r="O28" s="4">
        <v>0</v>
      </c>
      <c r="P28" s="4">
        <v>0</v>
      </c>
    </row>
    <row r="29" spans="1:16" ht="25.5" x14ac:dyDescent="0.2">
      <c r="A29" s="2" t="s">
        <v>6</v>
      </c>
      <c r="B29" s="3" t="s">
        <v>99</v>
      </c>
      <c r="C29" s="2" t="s">
        <v>30</v>
      </c>
      <c r="D29" s="2" t="s">
        <v>44</v>
      </c>
      <c r="E29" s="4">
        <v>0</v>
      </c>
      <c r="F29" s="4">
        <v>1</v>
      </c>
      <c r="G29" s="4">
        <v>0</v>
      </c>
      <c r="H29" s="4">
        <v>0</v>
      </c>
      <c r="I29" s="4">
        <v>0</v>
      </c>
      <c r="J29" s="4">
        <v>0</v>
      </c>
      <c r="K29" s="4">
        <v>0</v>
      </c>
      <c r="L29" s="4">
        <v>0</v>
      </c>
      <c r="M29" s="4">
        <v>0</v>
      </c>
      <c r="N29" s="4">
        <v>0</v>
      </c>
      <c r="O29" s="4">
        <v>0</v>
      </c>
      <c r="P29" s="4">
        <v>0</v>
      </c>
    </row>
    <row r="30" spans="1:16" ht="25.5" x14ac:dyDescent="0.2">
      <c r="A30" s="2" t="s">
        <v>42</v>
      </c>
      <c r="B30" s="3" t="s">
        <v>100</v>
      </c>
      <c r="C30" s="2" t="s">
        <v>30</v>
      </c>
      <c r="D30" s="2" t="s">
        <v>13</v>
      </c>
      <c r="E30" s="4">
        <v>0</v>
      </c>
      <c r="F30" s="4">
        <v>1</v>
      </c>
      <c r="G30" s="4">
        <v>0</v>
      </c>
      <c r="H30" s="4">
        <v>0</v>
      </c>
      <c r="I30" s="4">
        <v>0</v>
      </c>
      <c r="J30" s="4">
        <v>0</v>
      </c>
      <c r="K30" s="4">
        <v>0</v>
      </c>
      <c r="L30" s="4">
        <v>0</v>
      </c>
      <c r="M30" s="4">
        <v>0</v>
      </c>
      <c r="N30" s="4">
        <v>0</v>
      </c>
      <c r="O30" s="4">
        <v>0</v>
      </c>
      <c r="P30" s="4">
        <v>0</v>
      </c>
    </row>
    <row r="31" spans="1:16" ht="25.5" x14ac:dyDescent="0.2">
      <c r="A31" s="2" t="s">
        <v>19</v>
      </c>
      <c r="B31" s="3" t="s">
        <v>101</v>
      </c>
      <c r="C31" s="2" t="s">
        <v>30</v>
      </c>
      <c r="D31" s="2" t="s">
        <v>44</v>
      </c>
      <c r="E31" s="4">
        <v>0</v>
      </c>
      <c r="F31" s="4">
        <v>0</v>
      </c>
      <c r="G31" s="4">
        <v>0</v>
      </c>
      <c r="H31" s="4">
        <v>0</v>
      </c>
      <c r="I31" s="4">
        <v>0</v>
      </c>
      <c r="J31" s="4">
        <v>0</v>
      </c>
      <c r="K31" s="4">
        <v>0</v>
      </c>
      <c r="L31" s="4">
        <v>0</v>
      </c>
      <c r="M31" s="4">
        <v>0</v>
      </c>
      <c r="N31" s="4">
        <v>0</v>
      </c>
      <c r="O31" s="4">
        <v>0</v>
      </c>
      <c r="P31" s="4">
        <v>0</v>
      </c>
    </row>
    <row r="32" spans="1:16" ht="25.5" x14ac:dyDescent="0.2">
      <c r="A32" s="2" t="s">
        <v>66</v>
      </c>
      <c r="B32" s="3" t="s">
        <v>102</v>
      </c>
      <c r="C32" s="2" t="s">
        <v>30</v>
      </c>
      <c r="D32" s="2" t="s">
        <v>44</v>
      </c>
      <c r="E32" s="4">
        <v>0</v>
      </c>
      <c r="F32" s="4">
        <v>1</v>
      </c>
      <c r="G32" s="4">
        <v>0</v>
      </c>
      <c r="H32" s="4">
        <v>0</v>
      </c>
      <c r="I32" s="4">
        <v>0</v>
      </c>
      <c r="J32" s="4">
        <v>0</v>
      </c>
      <c r="K32" s="4">
        <v>1</v>
      </c>
      <c r="L32" s="4">
        <v>0</v>
      </c>
      <c r="M32" s="4">
        <v>0</v>
      </c>
      <c r="N32" s="4">
        <v>0</v>
      </c>
      <c r="O32" s="4">
        <v>0</v>
      </c>
      <c r="P32" s="4">
        <v>0</v>
      </c>
    </row>
    <row r="33" spans="1:16" ht="25.5" x14ac:dyDescent="0.2">
      <c r="A33" s="2" t="s">
        <v>17</v>
      </c>
      <c r="B33" s="3" t="s">
        <v>103</v>
      </c>
      <c r="C33" s="2" t="s">
        <v>30</v>
      </c>
      <c r="D33" s="2" t="s">
        <v>9</v>
      </c>
      <c r="E33" s="4">
        <v>0</v>
      </c>
      <c r="F33" s="4">
        <v>1</v>
      </c>
      <c r="G33" s="4">
        <v>0</v>
      </c>
      <c r="H33" s="4">
        <v>0</v>
      </c>
      <c r="I33" s="4">
        <v>0</v>
      </c>
      <c r="J33" s="4">
        <v>0</v>
      </c>
      <c r="K33" s="4">
        <v>0</v>
      </c>
      <c r="L33" s="4">
        <v>0</v>
      </c>
      <c r="M33" s="4">
        <v>0</v>
      </c>
      <c r="N33" s="4">
        <v>0</v>
      </c>
      <c r="O33" s="4">
        <v>0</v>
      </c>
      <c r="P33" s="4">
        <v>0</v>
      </c>
    </row>
    <row r="34" spans="1:16" ht="25.5" x14ac:dyDescent="0.2">
      <c r="A34" s="2" t="s">
        <v>24</v>
      </c>
      <c r="B34" s="3" t="s">
        <v>104</v>
      </c>
      <c r="C34" s="2" t="s">
        <v>30</v>
      </c>
      <c r="D34" s="2" t="s">
        <v>13</v>
      </c>
      <c r="E34" s="4">
        <v>1</v>
      </c>
      <c r="F34" s="4">
        <v>0</v>
      </c>
      <c r="G34" s="4">
        <v>0</v>
      </c>
      <c r="H34" s="4">
        <v>0</v>
      </c>
      <c r="I34" s="4">
        <v>0</v>
      </c>
      <c r="J34" s="4">
        <v>0</v>
      </c>
      <c r="K34" s="4">
        <v>0</v>
      </c>
      <c r="L34" s="4">
        <v>0</v>
      </c>
      <c r="M34" s="4">
        <v>0</v>
      </c>
      <c r="N34" s="4">
        <v>0</v>
      </c>
      <c r="O34" s="4">
        <v>0</v>
      </c>
      <c r="P34" s="4">
        <v>0</v>
      </c>
    </row>
    <row r="35" spans="1:16" ht="25.5" x14ac:dyDescent="0.2">
      <c r="A35" s="2" t="s">
        <v>51</v>
      </c>
      <c r="B35" s="3" t="s">
        <v>105</v>
      </c>
      <c r="C35" s="2" t="s">
        <v>30</v>
      </c>
      <c r="D35" s="2" t="s">
        <v>9</v>
      </c>
      <c r="E35" s="4">
        <v>0</v>
      </c>
      <c r="F35" s="4">
        <v>0</v>
      </c>
      <c r="G35" s="4">
        <v>0</v>
      </c>
      <c r="H35" s="4">
        <v>0</v>
      </c>
      <c r="I35" s="4">
        <v>0</v>
      </c>
      <c r="J35" s="4">
        <v>0</v>
      </c>
      <c r="K35" s="4">
        <v>0</v>
      </c>
      <c r="L35" s="4">
        <v>0</v>
      </c>
      <c r="M35" s="4">
        <v>0</v>
      </c>
      <c r="N35" s="4">
        <v>0</v>
      </c>
      <c r="O35" s="4">
        <v>0</v>
      </c>
      <c r="P35" s="4">
        <v>0</v>
      </c>
    </row>
    <row r="36" spans="1:16" ht="25.5" x14ac:dyDescent="0.2">
      <c r="A36" s="2" t="s">
        <v>53</v>
      </c>
      <c r="B36" s="3" t="s">
        <v>106</v>
      </c>
      <c r="C36" s="2" t="s">
        <v>30</v>
      </c>
      <c r="D36" s="2" t="s">
        <v>9</v>
      </c>
      <c r="E36" s="4">
        <v>0</v>
      </c>
      <c r="F36" s="4">
        <v>1</v>
      </c>
      <c r="G36" s="4">
        <v>0</v>
      </c>
      <c r="H36" s="4">
        <v>0</v>
      </c>
      <c r="I36" s="4">
        <v>0</v>
      </c>
      <c r="J36" s="4">
        <v>0</v>
      </c>
      <c r="K36" s="4">
        <v>1</v>
      </c>
      <c r="L36" s="4">
        <v>0</v>
      </c>
      <c r="M36" s="4">
        <v>0</v>
      </c>
      <c r="N36" s="4">
        <v>0</v>
      </c>
      <c r="O36" s="4">
        <v>0</v>
      </c>
      <c r="P36" s="4">
        <v>0</v>
      </c>
    </row>
    <row r="37" spans="1:16" ht="25.5" x14ac:dyDescent="0.2">
      <c r="A37" s="2" t="s">
        <v>1</v>
      </c>
      <c r="B37" s="3" t="s">
        <v>107</v>
      </c>
      <c r="C37" s="2" t="s">
        <v>30</v>
      </c>
      <c r="D37" s="2" t="s">
        <v>44</v>
      </c>
      <c r="E37" s="4">
        <v>0</v>
      </c>
      <c r="F37" s="4">
        <v>1</v>
      </c>
      <c r="G37" s="4">
        <v>0</v>
      </c>
      <c r="H37" s="4">
        <v>1</v>
      </c>
      <c r="I37" s="4">
        <v>0</v>
      </c>
      <c r="J37" s="4">
        <v>0</v>
      </c>
      <c r="K37" s="4">
        <v>0</v>
      </c>
      <c r="L37" s="4">
        <v>0</v>
      </c>
      <c r="M37" s="4">
        <v>0</v>
      </c>
      <c r="N37" s="4">
        <v>0</v>
      </c>
      <c r="O37" s="4">
        <v>0</v>
      </c>
      <c r="P37" s="4">
        <v>0</v>
      </c>
    </row>
    <row r="38" spans="1:16" ht="25.5" x14ac:dyDescent="0.2">
      <c r="A38" s="2" t="s">
        <v>4</v>
      </c>
      <c r="B38" s="3" t="s">
        <v>108</v>
      </c>
      <c r="C38" s="2" t="s">
        <v>30</v>
      </c>
      <c r="D38" s="2" t="s">
        <v>32</v>
      </c>
      <c r="E38" s="4">
        <v>0</v>
      </c>
      <c r="F38" s="4">
        <v>1</v>
      </c>
      <c r="G38" s="4">
        <v>0</v>
      </c>
      <c r="H38" s="4">
        <v>1</v>
      </c>
      <c r="I38" s="4">
        <v>0</v>
      </c>
      <c r="J38" s="4">
        <v>0</v>
      </c>
      <c r="K38" s="4">
        <v>0</v>
      </c>
      <c r="L38" s="4">
        <v>0</v>
      </c>
      <c r="M38" s="4">
        <v>0</v>
      </c>
      <c r="N38" s="4">
        <v>0</v>
      </c>
      <c r="O38" s="4">
        <v>0</v>
      </c>
      <c r="P38" s="4">
        <v>0</v>
      </c>
    </row>
    <row r="39" spans="1:16" ht="25.5" x14ac:dyDescent="0.2">
      <c r="A39" s="2" t="s">
        <v>7</v>
      </c>
      <c r="B39" s="3" t="s">
        <v>109</v>
      </c>
      <c r="C39" s="2" t="s">
        <v>30</v>
      </c>
      <c r="D39" s="2" t="s">
        <v>44</v>
      </c>
      <c r="E39" s="4">
        <v>0</v>
      </c>
      <c r="F39" s="4">
        <v>1</v>
      </c>
      <c r="G39" s="4">
        <v>0</v>
      </c>
      <c r="H39" s="4">
        <v>0</v>
      </c>
      <c r="I39" s="4">
        <v>0</v>
      </c>
      <c r="J39" s="4">
        <v>0</v>
      </c>
      <c r="K39" s="4">
        <v>0</v>
      </c>
      <c r="L39" s="4">
        <v>0</v>
      </c>
      <c r="M39" s="4">
        <v>0</v>
      </c>
      <c r="N39" s="4">
        <v>0</v>
      </c>
      <c r="O39" s="4">
        <v>0</v>
      </c>
      <c r="P39" s="4">
        <v>0</v>
      </c>
    </row>
    <row r="40" spans="1:16" ht="25.5" x14ac:dyDescent="0.2">
      <c r="A40" s="2" t="s">
        <v>20</v>
      </c>
      <c r="B40" s="3" t="s">
        <v>110</v>
      </c>
      <c r="C40" s="2" t="s">
        <v>30</v>
      </c>
      <c r="D40" s="2" t="s">
        <v>32</v>
      </c>
      <c r="E40" s="4">
        <v>0</v>
      </c>
      <c r="F40" s="4">
        <v>0</v>
      </c>
      <c r="G40" s="4">
        <v>0</v>
      </c>
      <c r="H40" s="4">
        <v>0</v>
      </c>
      <c r="I40" s="4">
        <v>0</v>
      </c>
      <c r="J40" s="4">
        <v>0</v>
      </c>
      <c r="K40" s="4">
        <v>0</v>
      </c>
      <c r="L40" s="4">
        <v>0</v>
      </c>
      <c r="M40" s="4">
        <v>0</v>
      </c>
      <c r="N40" s="4">
        <v>0</v>
      </c>
      <c r="O40" s="4">
        <v>1</v>
      </c>
      <c r="P40" s="4">
        <v>0</v>
      </c>
    </row>
    <row r="41" spans="1:16" ht="25.5" x14ac:dyDescent="0.2">
      <c r="A41" s="2" t="s">
        <v>38</v>
      </c>
      <c r="B41" s="3" t="s">
        <v>111</v>
      </c>
      <c r="C41" s="2" t="s">
        <v>30</v>
      </c>
      <c r="D41" s="2" t="s">
        <v>0</v>
      </c>
      <c r="E41" s="4">
        <v>0</v>
      </c>
      <c r="F41" s="4">
        <v>0</v>
      </c>
      <c r="G41" s="4">
        <v>0</v>
      </c>
      <c r="H41" s="4">
        <v>0</v>
      </c>
      <c r="I41" s="4">
        <v>0</v>
      </c>
      <c r="J41" s="4">
        <v>0</v>
      </c>
      <c r="K41" s="4">
        <v>0</v>
      </c>
      <c r="L41" s="4">
        <v>0</v>
      </c>
      <c r="M41" s="4">
        <v>0</v>
      </c>
      <c r="N41" s="4">
        <v>0</v>
      </c>
      <c r="O41" s="4">
        <v>1</v>
      </c>
      <c r="P41" s="4">
        <v>0</v>
      </c>
    </row>
    <row r="42" spans="1:16" ht="25.5" x14ac:dyDescent="0.2">
      <c r="A42" s="2" t="s">
        <v>18</v>
      </c>
      <c r="B42" s="3" t="s">
        <v>112</v>
      </c>
      <c r="C42" s="2" t="s">
        <v>30</v>
      </c>
      <c r="D42" s="2" t="s">
        <v>0</v>
      </c>
      <c r="E42" s="4">
        <v>0</v>
      </c>
      <c r="F42" s="4">
        <v>0</v>
      </c>
      <c r="G42" s="4">
        <v>0</v>
      </c>
      <c r="H42" s="4">
        <v>0</v>
      </c>
      <c r="I42" s="4">
        <v>0</v>
      </c>
      <c r="J42" s="4">
        <v>0</v>
      </c>
      <c r="K42" s="4">
        <v>0</v>
      </c>
      <c r="L42" s="4">
        <v>0</v>
      </c>
      <c r="M42" s="4">
        <v>0</v>
      </c>
      <c r="N42" s="4">
        <v>0</v>
      </c>
      <c r="O42" s="4">
        <v>0</v>
      </c>
      <c r="P42" s="4">
        <v>0</v>
      </c>
    </row>
    <row r="43" spans="1:16" ht="25.5" x14ac:dyDescent="0.2">
      <c r="A43" s="2" t="s">
        <v>68</v>
      </c>
      <c r="B43" s="3" t="s">
        <v>113</v>
      </c>
      <c r="C43" s="2" t="s">
        <v>30</v>
      </c>
      <c r="D43" s="2" t="s">
        <v>0</v>
      </c>
      <c r="E43" s="4">
        <v>1</v>
      </c>
      <c r="F43" s="4">
        <v>0</v>
      </c>
      <c r="G43" s="4">
        <v>0</v>
      </c>
      <c r="H43" s="4">
        <v>0</v>
      </c>
      <c r="I43" s="4">
        <v>0</v>
      </c>
      <c r="J43" s="4">
        <v>0</v>
      </c>
      <c r="K43" s="4">
        <v>0</v>
      </c>
      <c r="L43" s="4">
        <v>0</v>
      </c>
      <c r="M43" s="4">
        <v>0</v>
      </c>
      <c r="N43" s="4">
        <v>0</v>
      </c>
      <c r="O43" s="4">
        <v>0</v>
      </c>
      <c r="P43" s="4">
        <v>0</v>
      </c>
    </row>
    <row r="44" spans="1:16" ht="25.5" x14ac:dyDescent="0.2">
      <c r="A44" s="2" t="s">
        <v>27</v>
      </c>
      <c r="B44" s="3" t="s">
        <v>114</v>
      </c>
      <c r="C44" s="2" t="s">
        <v>30</v>
      </c>
      <c r="D44" s="2" t="s">
        <v>35</v>
      </c>
      <c r="E44" s="4">
        <v>0</v>
      </c>
      <c r="F44" s="4">
        <v>1</v>
      </c>
      <c r="G44" s="4">
        <v>1</v>
      </c>
      <c r="H44" s="4">
        <v>0</v>
      </c>
      <c r="I44" s="4">
        <v>0</v>
      </c>
      <c r="J44" s="4">
        <v>0</v>
      </c>
      <c r="K44" s="4">
        <v>0</v>
      </c>
      <c r="L44" s="4">
        <v>0</v>
      </c>
      <c r="M44" s="4">
        <v>0</v>
      </c>
      <c r="N44" s="4">
        <v>0</v>
      </c>
      <c r="O44" s="4">
        <v>0</v>
      </c>
      <c r="P44" s="4">
        <v>0</v>
      </c>
    </row>
    <row r="45" spans="1:16" ht="25.5" x14ac:dyDescent="0.2">
      <c r="A45" s="2" t="s">
        <v>37</v>
      </c>
      <c r="B45" s="3" t="s">
        <v>115</v>
      </c>
      <c r="C45" s="2" t="s">
        <v>30</v>
      </c>
      <c r="D45" s="2" t="s">
        <v>9</v>
      </c>
      <c r="E45" s="4">
        <v>0</v>
      </c>
      <c r="F45" s="4">
        <v>1</v>
      </c>
      <c r="G45" s="4">
        <v>0</v>
      </c>
      <c r="H45" s="4">
        <v>0</v>
      </c>
      <c r="I45" s="4">
        <v>0</v>
      </c>
      <c r="J45" s="4">
        <v>0</v>
      </c>
      <c r="K45" s="4">
        <v>1</v>
      </c>
      <c r="L45" s="4">
        <v>0</v>
      </c>
      <c r="M45" s="4">
        <v>0</v>
      </c>
      <c r="N45" s="4">
        <v>0</v>
      </c>
      <c r="O45" s="4">
        <v>0</v>
      </c>
      <c r="P45" s="4">
        <v>0</v>
      </c>
    </row>
    <row r="46" spans="1:16" ht="25.5" x14ac:dyDescent="0.2">
      <c r="A46" s="2" t="s">
        <v>60</v>
      </c>
      <c r="B46" s="3" t="s">
        <v>116</v>
      </c>
      <c r="C46" s="2" t="s">
        <v>30</v>
      </c>
      <c r="D46" s="2" t="s">
        <v>32</v>
      </c>
      <c r="E46" s="4">
        <v>0</v>
      </c>
      <c r="F46" s="4">
        <v>1</v>
      </c>
      <c r="G46" s="4">
        <v>0</v>
      </c>
      <c r="H46" s="4">
        <v>0</v>
      </c>
      <c r="I46" s="4">
        <v>0</v>
      </c>
      <c r="J46" s="4">
        <v>0</v>
      </c>
      <c r="K46" s="4">
        <v>0</v>
      </c>
      <c r="L46" s="4">
        <v>1</v>
      </c>
      <c r="M46" s="4">
        <v>0</v>
      </c>
      <c r="N46" s="4">
        <v>0</v>
      </c>
      <c r="O46" s="4">
        <v>0</v>
      </c>
      <c r="P46" s="4">
        <v>0</v>
      </c>
    </row>
    <row r="47" spans="1:16" ht="25.5" x14ac:dyDescent="0.2">
      <c r="A47" s="2" t="s">
        <v>59</v>
      </c>
      <c r="B47" s="3" t="s">
        <v>117</v>
      </c>
      <c r="C47" s="2" t="s">
        <v>30</v>
      </c>
      <c r="D47" s="2" t="s">
        <v>9</v>
      </c>
      <c r="E47" s="4">
        <v>0</v>
      </c>
      <c r="F47" s="4">
        <v>0</v>
      </c>
      <c r="G47" s="4">
        <v>0</v>
      </c>
      <c r="H47" s="4">
        <v>0</v>
      </c>
      <c r="I47" s="4">
        <v>0</v>
      </c>
      <c r="J47" s="4">
        <v>0</v>
      </c>
      <c r="K47" s="4">
        <v>0</v>
      </c>
      <c r="L47" s="4">
        <v>0</v>
      </c>
      <c r="M47" s="4">
        <v>0</v>
      </c>
      <c r="N47" s="4">
        <v>0</v>
      </c>
      <c r="O47" s="4">
        <v>0</v>
      </c>
      <c r="P47" s="4">
        <v>1</v>
      </c>
    </row>
    <row r="48" spans="1:16" ht="25.5" x14ac:dyDescent="0.2">
      <c r="A48" s="2" t="s">
        <v>31</v>
      </c>
      <c r="B48" s="3" t="s">
        <v>118</v>
      </c>
      <c r="C48" s="2" t="s">
        <v>30</v>
      </c>
      <c r="D48" s="2" t="s">
        <v>9</v>
      </c>
      <c r="E48" s="4">
        <v>0</v>
      </c>
      <c r="F48" s="4">
        <v>1</v>
      </c>
      <c r="G48" s="4">
        <v>0</v>
      </c>
      <c r="H48" s="4">
        <v>1</v>
      </c>
      <c r="I48" s="4">
        <v>0</v>
      </c>
      <c r="J48" s="4">
        <v>0</v>
      </c>
      <c r="K48" s="4">
        <v>0</v>
      </c>
      <c r="L48" s="4">
        <v>0</v>
      </c>
      <c r="M48" s="4">
        <v>0</v>
      </c>
      <c r="N48" s="4">
        <v>0</v>
      </c>
      <c r="O48" s="4">
        <v>0</v>
      </c>
      <c r="P48" s="4">
        <v>0</v>
      </c>
    </row>
    <row r="49" spans="1:16" ht="25.5" x14ac:dyDescent="0.2">
      <c r="A49" s="2" t="s">
        <v>14</v>
      </c>
      <c r="B49" s="3" t="s">
        <v>119</v>
      </c>
      <c r="C49" s="2" t="s">
        <v>30</v>
      </c>
      <c r="D49" s="2" t="s">
        <v>44</v>
      </c>
      <c r="E49" s="4">
        <v>0</v>
      </c>
      <c r="F49" s="4">
        <v>1</v>
      </c>
      <c r="G49" s="4">
        <v>1</v>
      </c>
      <c r="H49" s="4">
        <v>0</v>
      </c>
      <c r="I49" s="4">
        <v>0</v>
      </c>
      <c r="J49" s="4">
        <v>0</v>
      </c>
      <c r="K49" s="4">
        <v>0</v>
      </c>
      <c r="L49" s="4">
        <v>0</v>
      </c>
      <c r="M49" s="4">
        <v>0</v>
      </c>
      <c r="N49" s="4">
        <v>0</v>
      </c>
      <c r="O49" s="4">
        <v>0</v>
      </c>
      <c r="P49" s="4">
        <v>0</v>
      </c>
    </row>
    <row r="50" spans="1:16" x14ac:dyDescent="0.2">
      <c r="A50" s="2" t="s">
        <v>47</v>
      </c>
      <c r="B50" s="3" t="s">
        <v>120</v>
      </c>
      <c r="C50" s="2" t="s">
        <v>3</v>
      </c>
      <c r="D50" s="2" t="s">
        <v>0</v>
      </c>
      <c r="E50" s="4">
        <v>0</v>
      </c>
      <c r="F50" s="4">
        <v>0</v>
      </c>
      <c r="G50" s="4">
        <v>0</v>
      </c>
      <c r="H50" s="4">
        <v>0</v>
      </c>
      <c r="I50" s="4">
        <v>0</v>
      </c>
      <c r="J50" s="4">
        <v>0</v>
      </c>
      <c r="K50" s="4">
        <v>0</v>
      </c>
      <c r="L50" s="4">
        <v>0</v>
      </c>
      <c r="M50" s="4">
        <v>0</v>
      </c>
      <c r="N50" s="4">
        <v>0</v>
      </c>
      <c r="O50" s="4">
        <v>0</v>
      </c>
      <c r="P50" s="4">
        <v>0</v>
      </c>
    </row>
    <row r="51" spans="1:16" x14ac:dyDescent="0.2">
      <c r="A51" s="2" t="s">
        <v>8</v>
      </c>
      <c r="B51" s="3" t="s">
        <v>121</v>
      </c>
      <c r="C51" s="2" t="s">
        <v>39</v>
      </c>
      <c r="D51" s="2" t="s">
        <v>44</v>
      </c>
      <c r="E51" s="4">
        <v>0</v>
      </c>
      <c r="F51" s="4">
        <v>0</v>
      </c>
      <c r="G51" s="4">
        <v>0</v>
      </c>
      <c r="H51" s="4">
        <v>0</v>
      </c>
      <c r="I51" s="4">
        <v>0</v>
      </c>
      <c r="J51" s="4">
        <v>0</v>
      </c>
      <c r="K51" s="4">
        <v>0</v>
      </c>
      <c r="L51" s="4">
        <v>0</v>
      </c>
      <c r="M51" s="4">
        <v>0</v>
      </c>
      <c r="N51" s="4">
        <v>0</v>
      </c>
      <c r="O51" s="4">
        <v>0</v>
      </c>
      <c r="P51" s="4">
        <v>0</v>
      </c>
    </row>
    <row r="52" spans="1:16" x14ac:dyDescent="0.2">
      <c r="A52" s="2" t="s">
        <v>43</v>
      </c>
      <c r="B52" s="3" t="s">
        <v>122</v>
      </c>
      <c r="C52" s="2" t="s">
        <v>39</v>
      </c>
      <c r="D52" s="2" t="s">
        <v>32</v>
      </c>
      <c r="E52" s="4">
        <v>1</v>
      </c>
      <c r="F52" s="4">
        <v>0</v>
      </c>
      <c r="G52" s="4">
        <v>0</v>
      </c>
      <c r="H52" s="4">
        <v>0</v>
      </c>
      <c r="I52" s="4">
        <v>0</v>
      </c>
      <c r="J52" s="4">
        <v>0</v>
      </c>
      <c r="K52" s="4">
        <v>0</v>
      </c>
      <c r="L52" s="4">
        <v>0</v>
      </c>
      <c r="M52" s="4">
        <v>0</v>
      </c>
      <c r="N52" s="4">
        <v>0</v>
      </c>
      <c r="O52" s="4">
        <v>0</v>
      </c>
      <c r="P52" s="4">
        <v>0</v>
      </c>
    </row>
    <row r="53" spans="1:16" x14ac:dyDescent="0.2">
      <c r="A53" s="2" t="s">
        <v>45</v>
      </c>
      <c r="B53" s="3" t="s">
        <v>123</v>
      </c>
      <c r="C53" s="2" t="s">
        <v>39</v>
      </c>
      <c r="D53" s="2" t="s">
        <v>35</v>
      </c>
      <c r="E53" s="4">
        <v>0</v>
      </c>
      <c r="F53" s="4">
        <v>1</v>
      </c>
      <c r="G53" s="4">
        <v>0</v>
      </c>
      <c r="H53" s="4">
        <v>0</v>
      </c>
      <c r="I53" s="4">
        <v>0</v>
      </c>
      <c r="J53" s="4">
        <v>1</v>
      </c>
      <c r="K53" s="4">
        <v>0</v>
      </c>
      <c r="L53" s="4">
        <v>0</v>
      </c>
      <c r="M53" s="4">
        <v>0</v>
      </c>
      <c r="N53" s="4">
        <v>0</v>
      </c>
      <c r="O53" s="4">
        <v>0</v>
      </c>
      <c r="P53" s="4">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405C-F6D6-47A1-8D9F-1DE273326F6E}">
  <dimension ref="A1:H53"/>
  <sheetViews>
    <sheetView topLeftCell="B37" workbookViewId="0">
      <selection activeCell="B1" sqref="B1:H53"/>
    </sheetView>
  </sheetViews>
  <sheetFormatPr defaultColWidth="30.7109375" defaultRowHeight="12.75" x14ac:dyDescent="0.2"/>
  <cols>
    <col min="1" max="1" width="0" style="2" hidden="1" customWidth="1"/>
    <col min="2" max="2" width="30.7109375" style="10"/>
    <col min="3" max="4" width="0" style="2" hidden="1" customWidth="1"/>
    <col min="5" max="8" width="30.7109375" style="10"/>
    <col min="9" max="16384" width="30.7109375" style="2"/>
  </cols>
  <sheetData>
    <row r="1" spans="1:8" ht="38.25" x14ac:dyDescent="0.2">
      <c r="A1" s="2" t="s">
        <v>2</v>
      </c>
      <c r="B1" s="2" t="s">
        <v>2</v>
      </c>
      <c r="C1" s="2" t="s">
        <v>65</v>
      </c>
      <c r="D1" s="2" t="s">
        <v>62</v>
      </c>
      <c r="E1" s="11" t="s">
        <v>234</v>
      </c>
      <c r="F1" s="11" t="s">
        <v>235</v>
      </c>
      <c r="G1" s="11" t="s">
        <v>236</v>
      </c>
      <c r="H1" s="6" t="s">
        <v>124</v>
      </c>
    </row>
    <row r="2" spans="1:8" x14ac:dyDescent="0.2">
      <c r="A2" s="2" t="s">
        <v>52</v>
      </c>
      <c r="B2" s="3" t="s">
        <v>72</v>
      </c>
      <c r="C2" s="2" t="s">
        <v>58</v>
      </c>
      <c r="D2" s="2" t="s">
        <v>9</v>
      </c>
      <c r="E2" s="4">
        <v>0</v>
      </c>
      <c r="F2" s="4">
        <v>0</v>
      </c>
      <c r="G2" s="4">
        <v>0</v>
      </c>
      <c r="H2" s="12">
        <f>SUM(E2:G2)</f>
        <v>0</v>
      </c>
    </row>
    <row r="3" spans="1:8" ht="25.5" x14ac:dyDescent="0.2">
      <c r="A3" s="2" t="s">
        <v>56</v>
      </c>
      <c r="B3" s="3" t="s">
        <v>73</v>
      </c>
      <c r="C3" s="2" t="s">
        <v>34</v>
      </c>
      <c r="D3" s="2" t="s">
        <v>13</v>
      </c>
      <c r="E3" s="4">
        <v>1</v>
      </c>
      <c r="F3" s="4">
        <v>0</v>
      </c>
      <c r="G3" s="4">
        <v>0</v>
      </c>
      <c r="H3" s="12">
        <f t="shared" ref="H3:H53" si="0">SUM(E3:G3)</f>
        <v>1</v>
      </c>
    </row>
    <row r="4" spans="1:8" ht="25.5" x14ac:dyDescent="0.2">
      <c r="A4" s="2" t="s">
        <v>49</v>
      </c>
      <c r="B4" s="3" t="s">
        <v>74</v>
      </c>
      <c r="C4" s="2" t="s">
        <v>34</v>
      </c>
      <c r="D4" s="2" t="s">
        <v>32</v>
      </c>
      <c r="E4" s="4">
        <v>1</v>
      </c>
      <c r="F4" s="4">
        <v>0</v>
      </c>
      <c r="G4" s="4">
        <v>0</v>
      </c>
      <c r="H4" s="12">
        <f t="shared" si="0"/>
        <v>1</v>
      </c>
    </row>
    <row r="5" spans="1:8" ht="25.5" x14ac:dyDescent="0.2">
      <c r="A5" s="2" t="s">
        <v>48</v>
      </c>
      <c r="B5" s="3" t="s">
        <v>75</v>
      </c>
      <c r="C5" s="2" t="s">
        <v>64</v>
      </c>
      <c r="D5" s="2" t="s">
        <v>0</v>
      </c>
      <c r="E5" s="4">
        <v>1</v>
      </c>
      <c r="F5" s="4">
        <v>0</v>
      </c>
      <c r="G5" s="4">
        <v>0</v>
      </c>
      <c r="H5" s="12">
        <f t="shared" si="0"/>
        <v>1</v>
      </c>
    </row>
    <row r="6" spans="1:8" ht="25.5" x14ac:dyDescent="0.2">
      <c r="A6" s="2" t="s">
        <v>22</v>
      </c>
      <c r="B6" s="3" t="s">
        <v>76</v>
      </c>
      <c r="C6" s="2" t="s">
        <v>64</v>
      </c>
      <c r="D6" s="2" t="s">
        <v>44</v>
      </c>
      <c r="E6" s="4">
        <v>0</v>
      </c>
      <c r="F6" s="4">
        <v>0</v>
      </c>
      <c r="G6" s="4">
        <v>0</v>
      </c>
      <c r="H6" s="12">
        <f t="shared" si="0"/>
        <v>0</v>
      </c>
    </row>
    <row r="7" spans="1:8" ht="25.5" x14ac:dyDescent="0.2">
      <c r="A7" s="2" t="s">
        <v>16</v>
      </c>
      <c r="B7" s="3" t="s">
        <v>77</v>
      </c>
      <c r="C7" s="2" t="s">
        <v>64</v>
      </c>
      <c r="D7" s="2" t="s">
        <v>0</v>
      </c>
      <c r="E7" s="4">
        <v>1</v>
      </c>
      <c r="F7" s="4">
        <v>0</v>
      </c>
      <c r="G7" s="4">
        <v>0</v>
      </c>
      <c r="H7" s="12">
        <f t="shared" si="0"/>
        <v>1</v>
      </c>
    </row>
    <row r="8" spans="1:8" ht="25.5" x14ac:dyDescent="0.2">
      <c r="A8" s="2" t="s">
        <v>5</v>
      </c>
      <c r="B8" s="3" t="s">
        <v>78</v>
      </c>
      <c r="C8" s="2" t="s">
        <v>64</v>
      </c>
      <c r="D8" s="2" t="s">
        <v>44</v>
      </c>
      <c r="E8" s="4">
        <v>1</v>
      </c>
      <c r="F8" s="4">
        <v>0</v>
      </c>
      <c r="G8" s="4">
        <v>0</v>
      </c>
      <c r="H8" s="12">
        <f t="shared" si="0"/>
        <v>1</v>
      </c>
    </row>
    <row r="9" spans="1:8" ht="25.5" x14ac:dyDescent="0.2">
      <c r="A9" s="2" t="s">
        <v>23</v>
      </c>
      <c r="B9" s="3" t="s">
        <v>79</v>
      </c>
      <c r="C9" s="2" t="s">
        <v>64</v>
      </c>
      <c r="D9" s="2" t="s">
        <v>0</v>
      </c>
      <c r="E9" s="4">
        <v>1</v>
      </c>
      <c r="F9" s="4">
        <v>0</v>
      </c>
      <c r="G9" s="4">
        <v>0</v>
      </c>
      <c r="H9" s="12">
        <f t="shared" si="0"/>
        <v>1</v>
      </c>
    </row>
    <row r="10" spans="1:8" ht="25.5" x14ac:dyDescent="0.2">
      <c r="A10" s="2" t="s">
        <v>33</v>
      </c>
      <c r="B10" s="3" t="s">
        <v>80</v>
      </c>
      <c r="C10" s="2" t="s">
        <v>64</v>
      </c>
      <c r="D10" s="2" t="s">
        <v>0</v>
      </c>
      <c r="E10" s="4">
        <v>1</v>
      </c>
      <c r="F10" s="4">
        <v>0</v>
      </c>
      <c r="G10" s="4">
        <v>0</v>
      </c>
      <c r="H10" s="12">
        <f t="shared" si="0"/>
        <v>1</v>
      </c>
    </row>
    <row r="11" spans="1:8" ht="25.5" x14ac:dyDescent="0.2">
      <c r="A11" s="2" t="s">
        <v>46</v>
      </c>
      <c r="B11" s="3" t="s">
        <v>81</v>
      </c>
      <c r="C11" s="2" t="s">
        <v>64</v>
      </c>
      <c r="D11" s="2" t="s">
        <v>44</v>
      </c>
      <c r="E11" s="4">
        <v>1</v>
      </c>
      <c r="F11" s="4">
        <v>0</v>
      </c>
      <c r="G11" s="4">
        <v>0</v>
      </c>
      <c r="H11" s="12">
        <f t="shared" si="0"/>
        <v>1</v>
      </c>
    </row>
    <row r="12" spans="1:8" ht="25.5" x14ac:dyDescent="0.2">
      <c r="A12" s="2" t="s">
        <v>61</v>
      </c>
      <c r="B12" s="3" t="s">
        <v>82</v>
      </c>
      <c r="C12" s="2" t="s">
        <v>64</v>
      </c>
      <c r="D12" s="2" t="s">
        <v>0</v>
      </c>
      <c r="E12" s="4">
        <v>1</v>
      </c>
      <c r="F12" s="4">
        <v>0</v>
      </c>
      <c r="G12" s="4">
        <v>0</v>
      </c>
      <c r="H12" s="12">
        <f t="shared" si="0"/>
        <v>1</v>
      </c>
    </row>
    <row r="13" spans="1:8" x14ac:dyDescent="0.2">
      <c r="A13" s="2" t="s">
        <v>55</v>
      </c>
      <c r="B13" s="3" t="s">
        <v>83</v>
      </c>
      <c r="C13" s="2" t="s">
        <v>57</v>
      </c>
      <c r="D13" s="2" t="s">
        <v>9</v>
      </c>
      <c r="E13" s="4">
        <v>1</v>
      </c>
      <c r="F13" s="4">
        <v>0</v>
      </c>
      <c r="G13" s="4">
        <v>0</v>
      </c>
      <c r="H13" s="12">
        <f t="shared" si="0"/>
        <v>1</v>
      </c>
    </row>
    <row r="14" spans="1:8" x14ac:dyDescent="0.2">
      <c r="A14" s="2" t="s">
        <v>36</v>
      </c>
      <c r="B14" s="3" t="s">
        <v>84</v>
      </c>
      <c r="C14" s="2" t="s">
        <v>57</v>
      </c>
      <c r="D14" s="2" t="s">
        <v>9</v>
      </c>
      <c r="E14" s="4">
        <v>1</v>
      </c>
      <c r="F14" s="4">
        <v>0</v>
      </c>
      <c r="G14" s="4">
        <v>0</v>
      </c>
      <c r="H14" s="12">
        <f t="shared" si="0"/>
        <v>1</v>
      </c>
    </row>
    <row r="15" spans="1:8" x14ac:dyDescent="0.2">
      <c r="A15" s="2" t="s">
        <v>11</v>
      </c>
      <c r="B15" s="3" t="s">
        <v>85</v>
      </c>
      <c r="C15" s="2" t="s">
        <v>57</v>
      </c>
      <c r="D15" s="2" t="s">
        <v>9</v>
      </c>
      <c r="E15" s="4">
        <v>1</v>
      </c>
      <c r="F15" s="4">
        <v>0</v>
      </c>
      <c r="G15" s="4">
        <v>0</v>
      </c>
      <c r="H15" s="12">
        <f t="shared" si="0"/>
        <v>1</v>
      </c>
    </row>
    <row r="16" spans="1:8" x14ac:dyDescent="0.2">
      <c r="A16" s="2" t="s">
        <v>50</v>
      </c>
      <c r="B16" s="3" t="s">
        <v>86</v>
      </c>
      <c r="C16" s="2" t="s">
        <v>57</v>
      </c>
      <c r="D16" s="2" t="s">
        <v>9</v>
      </c>
      <c r="E16" s="4">
        <v>1</v>
      </c>
      <c r="F16" s="4">
        <v>0</v>
      </c>
      <c r="G16" s="4">
        <v>0</v>
      </c>
      <c r="H16" s="12">
        <f t="shared" si="0"/>
        <v>1</v>
      </c>
    </row>
    <row r="17" spans="1:8" x14ac:dyDescent="0.2">
      <c r="A17" s="2" t="s">
        <v>40</v>
      </c>
      <c r="B17" s="3" t="s">
        <v>87</v>
      </c>
      <c r="C17" s="2" t="s">
        <v>57</v>
      </c>
      <c r="D17" s="2" t="s">
        <v>9</v>
      </c>
      <c r="E17" s="4">
        <v>0</v>
      </c>
      <c r="F17" s="4">
        <v>0</v>
      </c>
      <c r="G17" s="4">
        <v>0</v>
      </c>
      <c r="H17" s="12">
        <f t="shared" si="0"/>
        <v>0</v>
      </c>
    </row>
    <row r="18" spans="1:8" x14ac:dyDescent="0.2">
      <c r="A18" s="2" t="s">
        <v>63</v>
      </c>
      <c r="B18" s="3" t="s">
        <v>88</v>
      </c>
      <c r="C18" s="2" t="s">
        <v>57</v>
      </c>
      <c r="D18" s="2" t="s">
        <v>9</v>
      </c>
      <c r="E18" s="4">
        <v>1</v>
      </c>
      <c r="F18" s="4">
        <v>0</v>
      </c>
      <c r="G18" s="4">
        <v>0</v>
      </c>
      <c r="H18" s="12">
        <f t="shared" si="0"/>
        <v>1</v>
      </c>
    </row>
    <row r="19" spans="1:8" x14ac:dyDescent="0.2">
      <c r="A19" s="2" t="s">
        <v>54</v>
      </c>
      <c r="B19" s="3" t="s">
        <v>89</v>
      </c>
      <c r="C19" s="2" t="s">
        <v>57</v>
      </c>
      <c r="D19" s="2" t="s">
        <v>9</v>
      </c>
      <c r="E19" s="4">
        <v>1</v>
      </c>
      <c r="F19" s="4">
        <v>0</v>
      </c>
      <c r="G19" s="4">
        <v>0</v>
      </c>
      <c r="H19" s="12">
        <f t="shared" si="0"/>
        <v>1</v>
      </c>
    </row>
    <row r="20" spans="1:8" x14ac:dyDescent="0.2">
      <c r="A20" s="2" t="s">
        <v>41</v>
      </c>
      <c r="B20" s="3" t="s">
        <v>90</v>
      </c>
      <c r="C20" s="2" t="s">
        <v>57</v>
      </c>
      <c r="D20" s="2" t="s">
        <v>9</v>
      </c>
      <c r="E20" s="4">
        <v>1</v>
      </c>
      <c r="F20" s="4">
        <v>0</v>
      </c>
      <c r="G20" s="4">
        <v>0</v>
      </c>
      <c r="H20" s="12">
        <f t="shared" si="0"/>
        <v>1</v>
      </c>
    </row>
    <row r="21" spans="1:8" x14ac:dyDescent="0.2">
      <c r="A21" s="2" t="s">
        <v>29</v>
      </c>
      <c r="B21" s="3" t="s">
        <v>91</v>
      </c>
      <c r="C21" s="2" t="s">
        <v>21</v>
      </c>
      <c r="D21" s="2" t="s">
        <v>35</v>
      </c>
      <c r="E21" s="4">
        <v>1</v>
      </c>
      <c r="F21" s="4">
        <v>0</v>
      </c>
      <c r="G21" s="4">
        <v>0</v>
      </c>
      <c r="H21" s="12">
        <f t="shared" si="0"/>
        <v>1</v>
      </c>
    </row>
    <row r="22" spans="1:8" ht="25.5" x14ac:dyDescent="0.2">
      <c r="A22" s="2" t="s">
        <v>26</v>
      </c>
      <c r="B22" s="3" t="s">
        <v>92</v>
      </c>
      <c r="C22" s="2" t="s">
        <v>30</v>
      </c>
      <c r="D22" s="2" t="s">
        <v>9</v>
      </c>
      <c r="E22" s="4">
        <v>1</v>
      </c>
      <c r="F22" s="4">
        <v>0</v>
      </c>
      <c r="G22" s="4">
        <v>0</v>
      </c>
      <c r="H22" s="12">
        <f t="shared" si="0"/>
        <v>1</v>
      </c>
    </row>
    <row r="23" spans="1:8" ht="25.5" x14ac:dyDescent="0.2">
      <c r="A23" s="2" t="s">
        <v>10</v>
      </c>
      <c r="B23" s="3" t="s">
        <v>93</v>
      </c>
      <c r="C23" s="2" t="s">
        <v>30</v>
      </c>
      <c r="D23" s="2" t="s">
        <v>44</v>
      </c>
      <c r="E23" s="4">
        <v>1</v>
      </c>
      <c r="F23" s="4">
        <v>0</v>
      </c>
      <c r="G23" s="4">
        <v>0</v>
      </c>
      <c r="H23" s="12">
        <f t="shared" si="0"/>
        <v>1</v>
      </c>
    </row>
    <row r="24" spans="1:8" ht="25.5" x14ac:dyDescent="0.2">
      <c r="A24" s="2" t="s">
        <v>67</v>
      </c>
      <c r="B24" s="3" t="s">
        <v>94</v>
      </c>
      <c r="C24" s="2" t="s">
        <v>30</v>
      </c>
      <c r="D24" s="2" t="s">
        <v>35</v>
      </c>
      <c r="E24" s="4">
        <v>1</v>
      </c>
      <c r="F24" s="4">
        <v>0</v>
      </c>
      <c r="G24" s="4">
        <v>0</v>
      </c>
      <c r="H24" s="12">
        <f t="shared" si="0"/>
        <v>1</v>
      </c>
    </row>
    <row r="25" spans="1:8" ht="25.5" x14ac:dyDescent="0.2">
      <c r="A25" s="2" t="s">
        <v>12</v>
      </c>
      <c r="B25" s="3" t="s">
        <v>95</v>
      </c>
      <c r="C25" s="2" t="s">
        <v>30</v>
      </c>
      <c r="D25" s="2" t="s">
        <v>0</v>
      </c>
      <c r="E25" s="4">
        <v>0</v>
      </c>
      <c r="F25" s="4">
        <v>0</v>
      </c>
      <c r="G25" s="4">
        <v>0</v>
      </c>
      <c r="H25" s="12">
        <f t="shared" si="0"/>
        <v>0</v>
      </c>
    </row>
    <row r="26" spans="1:8" ht="25.5" x14ac:dyDescent="0.2">
      <c r="A26" s="2" t="s">
        <v>15</v>
      </c>
      <c r="B26" s="3" t="s">
        <v>96</v>
      </c>
      <c r="C26" s="2" t="s">
        <v>30</v>
      </c>
      <c r="D26" s="2" t="s">
        <v>44</v>
      </c>
      <c r="E26" s="4">
        <v>1</v>
      </c>
      <c r="F26" s="4">
        <v>0</v>
      </c>
      <c r="G26" s="4">
        <v>0</v>
      </c>
      <c r="H26" s="12">
        <f t="shared" si="0"/>
        <v>1</v>
      </c>
    </row>
    <row r="27" spans="1:8" ht="25.5" x14ac:dyDescent="0.2">
      <c r="A27" s="2" t="s">
        <v>28</v>
      </c>
      <c r="B27" s="3" t="s">
        <v>97</v>
      </c>
      <c r="C27" s="2" t="s">
        <v>30</v>
      </c>
      <c r="D27" s="2" t="s">
        <v>0</v>
      </c>
      <c r="E27" s="4">
        <v>1</v>
      </c>
      <c r="F27" s="4">
        <v>0</v>
      </c>
      <c r="G27" s="4">
        <v>0</v>
      </c>
      <c r="H27" s="12">
        <f t="shared" si="0"/>
        <v>1</v>
      </c>
    </row>
    <row r="28" spans="1:8" ht="25.5" x14ac:dyDescent="0.2">
      <c r="A28" s="2" t="s">
        <v>25</v>
      </c>
      <c r="B28" s="3" t="s">
        <v>98</v>
      </c>
      <c r="C28" s="2" t="s">
        <v>30</v>
      </c>
      <c r="D28" s="2" t="s">
        <v>35</v>
      </c>
      <c r="E28" s="4">
        <v>0</v>
      </c>
      <c r="F28" s="4">
        <v>0</v>
      </c>
      <c r="G28" s="4">
        <v>0</v>
      </c>
      <c r="H28" s="12">
        <f t="shared" si="0"/>
        <v>0</v>
      </c>
    </row>
    <row r="29" spans="1:8" ht="25.5" x14ac:dyDescent="0.2">
      <c r="A29" s="2" t="s">
        <v>6</v>
      </c>
      <c r="B29" s="3" t="s">
        <v>99</v>
      </c>
      <c r="C29" s="2" t="s">
        <v>30</v>
      </c>
      <c r="D29" s="2" t="s">
        <v>44</v>
      </c>
      <c r="E29" s="4">
        <v>0</v>
      </c>
      <c r="F29" s="4">
        <v>0</v>
      </c>
      <c r="G29" s="4">
        <v>0</v>
      </c>
      <c r="H29" s="12">
        <f t="shared" si="0"/>
        <v>0</v>
      </c>
    </row>
    <row r="30" spans="1:8" ht="25.5" x14ac:dyDescent="0.2">
      <c r="A30" s="2" t="s">
        <v>42</v>
      </c>
      <c r="B30" s="3" t="s">
        <v>100</v>
      </c>
      <c r="C30" s="2" t="s">
        <v>30</v>
      </c>
      <c r="D30" s="2" t="s">
        <v>13</v>
      </c>
      <c r="E30" s="4">
        <v>1</v>
      </c>
      <c r="F30" s="4">
        <v>0</v>
      </c>
      <c r="G30" s="4">
        <v>0</v>
      </c>
      <c r="H30" s="12">
        <f t="shared" si="0"/>
        <v>1</v>
      </c>
    </row>
    <row r="31" spans="1:8" ht="25.5" x14ac:dyDescent="0.2">
      <c r="A31" s="2" t="s">
        <v>19</v>
      </c>
      <c r="B31" s="3" t="s">
        <v>101</v>
      </c>
      <c r="C31" s="2" t="s">
        <v>30</v>
      </c>
      <c r="D31" s="2" t="s">
        <v>44</v>
      </c>
      <c r="E31" s="4">
        <v>0</v>
      </c>
      <c r="F31" s="4">
        <v>0</v>
      </c>
      <c r="G31" s="4">
        <v>0</v>
      </c>
      <c r="H31" s="12">
        <f t="shared" si="0"/>
        <v>0</v>
      </c>
    </row>
    <row r="32" spans="1:8" ht="25.5" x14ac:dyDescent="0.2">
      <c r="A32" s="2" t="s">
        <v>66</v>
      </c>
      <c r="B32" s="3" t="s">
        <v>102</v>
      </c>
      <c r="C32" s="2" t="s">
        <v>30</v>
      </c>
      <c r="D32" s="2" t="s">
        <v>44</v>
      </c>
      <c r="E32" s="4">
        <v>1</v>
      </c>
      <c r="F32" s="4">
        <v>0</v>
      </c>
      <c r="G32" s="4">
        <v>0</v>
      </c>
      <c r="H32" s="12">
        <f t="shared" si="0"/>
        <v>1</v>
      </c>
    </row>
    <row r="33" spans="1:8" ht="25.5" x14ac:dyDescent="0.2">
      <c r="A33" s="2" t="s">
        <v>17</v>
      </c>
      <c r="B33" s="3" t="s">
        <v>103</v>
      </c>
      <c r="C33" s="2" t="s">
        <v>30</v>
      </c>
      <c r="D33" s="2" t="s">
        <v>9</v>
      </c>
      <c r="E33" s="4">
        <v>1</v>
      </c>
      <c r="F33" s="4">
        <v>0</v>
      </c>
      <c r="G33" s="4">
        <v>0</v>
      </c>
      <c r="H33" s="12">
        <f t="shared" si="0"/>
        <v>1</v>
      </c>
    </row>
    <row r="34" spans="1:8" ht="25.5" x14ac:dyDescent="0.2">
      <c r="A34" s="2" t="s">
        <v>24</v>
      </c>
      <c r="B34" s="3" t="s">
        <v>104</v>
      </c>
      <c r="C34" s="2" t="s">
        <v>30</v>
      </c>
      <c r="D34" s="2" t="s">
        <v>13</v>
      </c>
      <c r="E34" s="4">
        <v>1</v>
      </c>
      <c r="F34" s="4">
        <v>0</v>
      </c>
      <c r="G34" s="4">
        <v>0</v>
      </c>
      <c r="H34" s="12">
        <f t="shared" si="0"/>
        <v>1</v>
      </c>
    </row>
    <row r="35" spans="1:8" ht="25.5" x14ac:dyDescent="0.2">
      <c r="A35" s="2" t="s">
        <v>51</v>
      </c>
      <c r="B35" s="3" t="s">
        <v>105</v>
      </c>
      <c r="C35" s="2" t="s">
        <v>30</v>
      </c>
      <c r="D35" s="2" t="s">
        <v>9</v>
      </c>
      <c r="E35" s="4">
        <v>0</v>
      </c>
      <c r="F35" s="4">
        <v>0</v>
      </c>
      <c r="G35" s="4">
        <v>0</v>
      </c>
      <c r="H35" s="12">
        <f t="shared" si="0"/>
        <v>0</v>
      </c>
    </row>
    <row r="36" spans="1:8" ht="25.5" x14ac:dyDescent="0.2">
      <c r="A36" s="2" t="s">
        <v>53</v>
      </c>
      <c r="B36" s="3" t="s">
        <v>106</v>
      </c>
      <c r="C36" s="2" t="s">
        <v>30</v>
      </c>
      <c r="D36" s="2" t="s">
        <v>9</v>
      </c>
      <c r="E36" s="4">
        <v>0</v>
      </c>
      <c r="F36" s="4">
        <v>0</v>
      </c>
      <c r="G36" s="4">
        <v>0</v>
      </c>
      <c r="H36" s="12">
        <f t="shared" si="0"/>
        <v>0</v>
      </c>
    </row>
    <row r="37" spans="1:8" ht="25.5" x14ac:dyDescent="0.2">
      <c r="A37" s="2" t="s">
        <v>1</v>
      </c>
      <c r="B37" s="3" t="s">
        <v>107</v>
      </c>
      <c r="C37" s="2" t="s">
        <v>30</v>
      </c>
      <c r="D37" s="2" t="s">
        <v>44</v>
      </c>
      <c r="E37" s="4">
        <v>1</v>
      </c>
      <c r="F37" s="4">
        <v>0</v>
      </c>
      <c r="G37" s="4">
        <v>0</v>
      </c>
      <c r="H37" s="12">
        <f t="shared" si="0"/>
        <v>1</v>
      </c>
    </row>
    <row r="38" spans="1:8" ht="25.5" x14ac:dyDescent="0.2">
      <c r="A38" s="2" t="s">
        <v>4</v>
      </c>
      <c r="B38" s="3" t="s">
        <v>108</v>
      </c>
      <c r="C38" s="2" t="s">
        <v>30</v>
      </c>
      <c r="D38" s="2" t="s">
        <v>32</v>
      </c>
      <c r="E38" s="4">
        <v>1</v>
      </c>
      <c r="F38" s="4">
        <v>0</v>
      </c>
      <c r="G38" s="4">
        <v>0</v>
      </c>
      <c r="H38" s="12">
        <f t="shared" si="0"/>
        <v>1</v>
      </c>
    </row>
    <row r="39" spans="1:8" ht="25.5" x14ac:dyDescent="0.2">
      <c r="A39" s="2" t="s">
        <v>7</v>
      </c>
      <c r="B39" s="3" t="s">
        <v>109</v>
      </c>
      <c r="C39" s="2" t="s">
        <v>30</v>
      </c>
      <c r="D39" s="2" t="s">
        <v>44</v>
      </c>
      <c r="E39" s="4">
        <v>1</v>
      </c>
      <c r="F39" s="4">
        <v>0</v>
      </c>
      <c r="G39" s="4">
        <v>0</v>
      </c>
      <c r="H39" s="12">
        <f t="shared" si="0"/>
        <v>1</v>
      </c>
    </row>
    <row r="40" spans="1:8" ht="25.5" x14ac:dyDescent="0.2">
      <c r="A40" s="2" t="s">
        <v>20</v>
      </c>
      <c r="B40" s="3" t="s">
        <v>110</v>
      </c>
      <c r="C40" s="2" t="s">
        <v>30</v>
      </c>
      <c r="D40" s="2" t="s">
        <v>32</v>
      </c>
      <c r="E40" s="4">
        <v>1</v>
      </c>
      <c r="F40" s="4">
        <v>0</v>
      </c>
      <c r="G40" s="4">
        <v>0</v>
      </c>
      <c r="H40" s="12">
        <f t="shared" si="0"/>
        <v>1</v>
      </c>
    </row>
    <row r="41" spans="1:8" ht="25.5" x14ac:dyDescent="0.2">
      <c r="A41" s="2" t="s">
        <v>38</v>
      </c>
      <c r="B41" s="3" t="s">
        <v>111</v>
      </c>
      <c r="C41" s="2" t="s">
        <v>30</v>
      </c>
      <c r="D41" s="2" t="s">
        <v>0</v>
      </c>
      <c r="E41" s="4">
        <v>1</v>
      </c>
      <c r="F41" s="4">
        <v>0</v>
      </c>
      <c r="G41" s="4">
        <v>0</v>
      </c>
      <c r="H41" s="12">
        <f t="shared" si="0"/>
        <v>1</v>
      </c>
    </row>
    <row r="42" spans="1:8" ht="25.5" x14ac:dyDescent="0.2">
      <c r="A42" s="2" t="s">
        <v>18</v>
      </c>
      <c r="B42" s="3" t="s">
        <v>112</v>
      </c>
      <c r="C42" s="2" t="s">
        <v>30</v>
      </c>
      <c r="D42" s="2" t="s">
        <v>0</v>
      </c>
      <c r="E42" s="4">
        <v>0</v>
      </c>
      <c r="F42" s="4">
        <v>0</v>
      </c>
      <c r="G42" s="4">
        <v>0</v>
      </c>
      <c r="H42" s="12">
        <f t="shared" si="0"/>
        <v>0</v>
      </c>
    </row>
    <row r="43" spans="1:8" ht="25.5" x14ac:dyDescent="0.2">
      <c r="A43" s="2" t="s">
        <v>68</v>
      </c>
      <c r="B43" s="3" t="s">
        <v>113</v>
      </c>
      <c r="C43" s="2" t="s">
        <v>30</v>
      </c>
      <c r="D43" s="2" t="s">
        <v>0</v>
      </c>
      <c r="E43" s="4">
        <v>0</v>
      </c>
      <c r="F43" s="4">
        <v>0</v>
      </c>
      <c r="G43" s="4">
        <v>0</v>
      </c>
      <c r="H43" s="12">
        <f t="shared" si="0"/>
        <v>0</v>
      </c>
    </row>
    <row r="44" spans="1:8" ht="25.5" x14ac:dyDescent="0.2">
      <c r="A44" s="2" t="s">
        <v>27</v>
      </c>
      <c r="B44" s="3" t="s">
        <v>114</v>
      </c>
      <c r="C44" s="2" t="s">
        <v>30</v>
      </c>
      <c r="D44" s="2" t="s">
        <v>35</v>
      </c>
      <c r="E44" s="4">
        <v>1</v>
      </c>
      <c r="F44" s="4">
        <v>0</v>
      </c>
      <c r="G44" s="4">
        <v>0</v>
      </c>
      <c r="H44" s="12">
        <f t="shared" si="0"/>
        <v>1</v>
      </c>
    </row>
    <row r="45" spans="1:8" ht="25.5" x14ac:dyDescent="0.2">
      <c r="A45" s="2" t="s">
        <v>37</v>
      </c>
      <c r="B45" s="3" t="s">
        <v>115</v>
      </c>
      <c r="C45" s="2" t="s">
        <v>30</v>
      </c>
      <c r="D45" s="2" t="s">
        <v>9</v>
      </c>
      <c r="E45" s="4">
        <v>1</v>
      </c>
      <c r="F45" s="4">
        <v>0</v>
      </c>
      <c r="G45" s="4">
        <v>0</v>
      </c>
      <c r="H45" s="12">
        <f t="shared" si="0"/>
        <v>1</v>
      </c>
    </row>
    <row r="46" spans="1:8" ht="25.5" x14ac:dyDescent="0.2">
      <c r="A46" s="2" t="s">
        <v>60</v>
      </c>
      <c r="B46" s="3" t="s">
        <v>116</v>
      </c>
      <c r="C46" s="2" t="s">
        <v>30</v>
      </c>
      <c r="D46" s="2" t="s">
        <v>32</v>
      </c>
      <c r="E46" s="4">
        <v>1</v>
      </c>
      <c r="F46" s="4">
        <v>0</v>
      </c>
      <c r="G46" s="4">
        <v>0</v>
      </c>
      <c r="H46" s="12">
        <f t="shared" si="0"/>
        <v>1</v>
      </c>
    </row>
    <row r="47" spans="1:8" ht="25.5" x14ac:dyDescent="0.2">
      <c r="A47" s="2" t="s">
        <v>59</v>
      </c>
      <c r="B47" s="3" t="s">
        <v>117</v>
      </c>
      <c r="C47" s="2" t="s">
        <v>30</v>
      </c>
      <c r="D47" s="2" t="s">
        <v>9</v>
      </c>
      <c r="E47" s="4">
        <v>0</v>
      </c>
      <c r="F47" s="4">
        <v>0</v>
      </c>
      <c r="G47" s="4">
        <v>1</v>
      </c>
      <c r="H47" s="12">
        <f t="shared" si="0"/>
        <v>1</v>
      </c>
    </row>
    <row r="48" spans="1:8" ht="25.5" x14ac:dyDescent="0.2">
      <c r="A48" s="2" t="s">
        <v>31</v>
      </c>
      <c r="B48" s="3" t="s">
        <v>118</v>
      </c>
      <c r="C48" s="2" t="s">
        <v>30</v>
      </c>
      <c r="D48" s="2" t="s">
        <v>9</v>
      </c>
      <c r="E48" s="4">
        <v>0</v>
      </c>
      <c r="F48" s="4">
        <v>0</v>
      </c>
      <c r="G48" s="4">
        <v>0</v>
      </c>
      <c r="H48" s="12">
        <f t="shared" si="0"/>
        <v>0</v>
      </c>
    </row>
    <row r="49" spans="1:8" ht="25.5" x14ac:dyDescent="0.2">
      <c r="A49" s="2" t="s">
        <v>14</v>
      </c>
      <c r="B49" s="3" t="s">
        <v>119</v>
      </c>
      <c r="C49" s="2" t="s">
        <v>30</v>
      </c>
      <c r="D49" s="2" t="s">
        <v>44</v>
      </c>
      <c r="E49" s="4">
        <v>0</v>
      </c>
      <c r="F49" s="4">
        <v>1</v>
      </c>
      <c r="G49" s="4">
        <v>0</v>
      </c>
      <c r="H49" s="12">
        <f t="shared" si="0"/>
        <v>1</v>
      </c>
    </row>
    <row r="50" spans="1:8" x14ac:dyDescent="0.2">
      <c r="A50" s="2" t="s">
        <v>47</v>
      </c>
      <c r="B50" s="3" t="s">
        <v>120</v>
      </c>
      <c r="C50" s="2" t="s">
        <v>3</v>
      </c>
      <c r="D50" s="2" t="s">
        <v>0</v>
      </c>
      <c r="E50" s="4">
        <v>0</v>
      </c>
      <c r="F50" s="4">
        <v>0</v>
      </c>
      <c r="G50" s="4">
        <v>0</v>
      </c>
      <c r="H50" s="12">
        <f t="shared" si="0"/>
        <v>0</v>
      </c>
    </row>
    <row r="51" spans="1:8" x14ac:dyDescent="0.2">
      <c r="A51" s="2" t="s">
        <v>8</v>
      </c>
      <c r="B51" s="3" t="s">
        <v>121</v>
      </c>
      <c r="C51" s="2" t="s">
        <v>39</v>
      </c>
      <c r="D51" s="2" t="s">
        <v>44</v>
      </c>
      <c r="E51" s="4">
        <v>0</v>
      </c>
      <c r="F51" s="4">
        <v>0</v>
      </c>
      <c r="G51" s="4">
        <v>0</v>
      </c>
      <c r="H51" s="12">
        <f t="shared" si="0"/>
        <v>0</v>
      </c>
    </row>
    <row r="52" spans="1:8" x14ac:dyDescent="0.2">
      <c r="A52" s="2" t="s">
        <v>43</v>
      </c>
      <c r="B52" s="3" t="s">
        <v>122</v>
      </c>
      <c r="C52" s="2" t="s">
        <v>39</v>
      </c>
      <c r="D52" s="2" t="s">
        <v>32</v>
      </c>
      <c r="E52" s="4">
        <v>1</v>
      </c>
      <c r="F52" s="4">
        <v>0</v>
      </c>
      <c r="G52" s="4">
        <v>0</v>
      </c>
      <c r="H52" s="12">
        <f t="shared" si="0"/>
        <v>1</v>
      </c>
    </row>
    <row r="53" spans="1:8" x14ac:dyDescent="0.2">
      <c r="A53" s="2" t="s">
        <v>45</v>
      </c>
      <c r="B53" s="3" t="s">
        <v>123</v>
      </c>
      <c r="C53" s="2" t="s">
        <v>39</v>
      </c>
      <c r="D53" s="2" t="s">
        <v>35</v>
      </c>
      <c r="E53" s="4">
        <v>1</v>
      </c>
      <c r="F53" s="4">
        <v>0</v>
      </c>
      <c r="G53" s="4">
        <v>0</v>
      </c>
      <c r="H53" s="12">
        <f t="shared" si="0"/>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1E1DA-2EE9-4866-9725-18FD7EB0B526}">
  <dimension ref="A1:L53"/>
  <sheetViews>
    <sheetView topLeftCell="G37" workbookViewId="0">
      <selection activeCell="J54" sqref="J54"/>
    </sheetView>
  </sheetViews>
  <sheetFormatPr defaultColWidth="30.7109375" defaultRowHeight="12.75" x14ac:dyDescent="0.2"/>
  <cols>
    <col min="1" max="1" width="0" style="2" hidden="1" customWidth="1"/>
    <col min="2" max="2" width="30.7109375" style="10"/>
    <col min="3" max="4" width="0" style="2" hidden="1" customWidth="1"/>
    <col min="5" max="12" width="30.7109375" style="10"/>
    <col min="13" max="16384" width="30.7109375" style="2"/>
  </cols>
  <sheetData>
    <row r="1" spans="1:12" ht="38.25" x14ac:dyDescent="0.2">
      <c r="A1" s="2" t="s">
        <v>2</v>
      </c>
      <c r="B1" s="2" t="s">
        <v>2</v>
      </c>
      <c r="C1" s="2" t="s">
        <v>65</v>
      </c>
      <c r="D1" s="2" t="s">
        <v>62</v>
      </c>
      <c r="E1" s="11" t="s">
        <v>234</v>
      </c>
      <c r="F1" s="11" t="s">
        <v>240</v>
      </c>
      <c r="G1" s="11" t="s">
        <v>241</v>
      </c>
      <c r="H1" s="11" t="s">
        <v>242</v>
      </c>
      <c r="I1" s="11" t="s">
        <v>243</v>
      </c>
      <c r="J1" s="11" t="s">
        <v>244</v>
      </c>
      <c r="K1" s="11" t="s">
        <v>235</v>
      </c>
      <c r="L1" s="11" t="s">
        <v>236</v>
      </c>
    </row>
    <row r="2" spans="1:12" x14ac:dyDescent="0.2">
      <c r="A2" s="2" t="s">
        <v>52</v>
      </c>
      <c r="B2" s="3" t="s">
        <v>72</v>
      </c>
      <c r="C2" s="2" t="s">
        <v>58</v>
      </c>
      <c r="D2" s="2" t="s">
        <v>9</v>
      </c>
      <c r="E2" s="4">
        <v>0</v>
      </c>
      <c r="F2" s="4">
        <v>0</v>
      </c>
      <c r="G2" s="4">
        <v>0</v>
      </c>
      <c r="H2" s="4">
        <v>0</v>
      </c>
      <c r="I2" s="4">
        <v>0</v>
      </c>
      <c r="J2" s="4">
        <v>0</v>
      </c>
      <c r="K2" s="4">
        <v>0</v>
      </c>
      <c r="L2" s="4">
        <v>0</v>
      </c>
    </row>
    <row r="3" spans="1:12" ht="25.5" x14ac:dyDescent="0.2">
      <c r="A3" s="2" t="s">
        <v>56</v>
      </c>
      <c r="B3" s="3" t="s">
        <v>73</v>
      </c>
      <c r="C3" s="2" t="s">
        <v>34</v>
      </c>
      <c r="D3" s="2" t="s">
        <v>13</v>
      </c>
      <c r="E3" s="4">
        <v>1</v>
      </c>
      <c r="F3" s="4">
        <v>0</v>
      </c>
      <c r="G3" s="4">
        <v>0</v>
      </c>
      <c r="H3" s="4">
        <v>1</v>
      </c>
      <c r="I3" s="4">
        <v>0</v>
      </c>
      <c r="J3" s="4">
        <v>0</v>
      </c>
      <c r="K3" s="4">
        <v>0</v>
      </c>
      <c r="L3" s="4">
        <v>0</v>
      </c>
    </row>
    <row r="4" spans="1:12" ht="25.5" x14ac:dyDescent="0.2">
      <c r="A4" s="2" t="s">
        <v>49</v>
      </c>
      <c r="B4" s="3" t="s">
        <v>74</v>
      </c>
      <c r="C4" s="2" t="s">
        <v>34</v>
      </c>
      <c r="D4" s="2" t="s">
        <v>32</v>
      </c>
      <c r="E4" s="4">
        <v>1</v>
      </c>
      <c r="F4" s="4">
        <v>0</v>
      </c>
      <c r="G4" s="4">
        <v>1</v>
      </c>
      <c r="H4" s="4">
        <v>0</v>
      </c>
      <c r="I4" s="4">
        <v>0</v>
      </c>
      <c r="J4" s="4">
        <v>0</v>
      </c>
      <c r="K4" s="4">
        <v>0</v>
      </c>
      <c r="L4" s="4">
        <v>0</v>
      </c>
    </row>
    <row r="5" spans="1:12" ht="25.5" x14ac:dyDescent="0.2">
      <c r="A5" s="2" t="s">
        <v>48</v>
      </c>
      <c r="B5" s="3" t="s">
        <v>75</v>
      </c>
      <c r="C5" s="2" t="s">
        <v>64</v>
      </c>
      <c r="D5" s="2" t="s">
        <v>0</v>
      </c>
      <c r="E5" s="4">
        <v>1</v>
      </c>
      <c r="F5" s="4">
        <v>0</v>
      </c>
      <c r="G5" s="4">
        <v>0</v>
      </c>
      <c r="H5" s="4">
        <v>1</v>
      </c>
      <c r="I5" s="4">
        <v>0</v>
      </c>
      <c r="J5" s="4">
        <v>0</v>
      </c>
      <c r="K5" s="4">
        <v>0</v>
      </c>
      <c r="L5" s="4">
        <v>0</v>
      </c>
    </row>
    <row r="6" spans="1:12" ht="25.5" x14ac:dyDescent="0.2">
      <c r="A6" s="2" t="s">
        <v>22</v>
      </c>
      <c r="B6" s="3" t="s">
        <v>76</v>
      </c>
      <c r="C6" s="2" t="s">
        <v>64</v>
      </c>
      <c r="D6" s="2" t="s">
        <v>44</v>
      </c>
      <c r="E6" s="4">
        <v>0</v>
      </c>
      <c r="F6" s="4">
        <v>0</v>
      </c>
      <c r="G6" s="4">
        <v>0</v>
      </c>
      <c r="H6" s="4">
        <v>0</v>
      </c>
      <c r="I6" s="4">
        <v>0</v>
      </c>
      <c r="J6" s="4">
        <v>0</v>
      </c>
      <c r="K6" s="4">
        <v>0</v>
      </c>
      <c r="L6" s="4">
        <v>0</v>
      </c>
    </row>
    <row r="7" spans="1:12" ht="25.5" x14ac:dyDescent="0.2">
      <c r="A7" s="2" t="s">
        <v>16</v>
      </c>
      <c r="B7" s="3" t="s">
        <v>77</v>
      </c>
      <c r="C7" s="2" t="s">
        <v>64</v>
      </c>
      <c r="D7" s="2" t="s">
        <v>0</v>
      </c>
      <c r="E7" s="4">
        <v>1</v>
      </c>
      <c r="F7" s="4">
        <v>0</v>
      </c>
      <c r="G7" s="4">
        <v>0</v>
      </c>
      <c r="H7" s="4">
        <v>0</v>
      </c>
      <c r="I7" s="4">
        <v>1</v>
      </c>
      <c r="J7" s="4">
        <v>0</v>
      </c>
      <c r="K7" s="4">
        <v>0</v>
      </c>
      <c r="L7" s="4">
        <v>0</v>
      </c>
    </row>
    <row r="8" spans="1:12" ht="25.5" x14ac:dyDescent="0.2">
      <c r="A8" s="2" t="s">
        <v>5</v>
      </c>
      <c r="B8" s="3" t="s">
        <v>78</v>
      </c>
      <c r="C8" s="2" t="s">
        <v>64</v>
      </c>
      <c r="D8" s="2" t="s">
        <v>44</v>
      </c>
      <c r="E8" s="4">
        <v>1</v>
      </c>
      <c r="F8" s="4">
        <v>0</v>
      </c>
      <c r="G8" s="4">
        <v>0</v>
      </c>
      <c r="H8" s="4">
        <v>1</v>
      </c>
      <c r="I8" s="4">
        <v>1</v>
      </c>
      <c r="J8" s="4">
        <v>0</v>
      </c>
      <c r="K8" s="4">
        <v>0</v>
      </c>
      <c r="L8" s="4">
        <v>0</v>
      </c>
    </row>
    <row r="9" spans="1:12" ht="25.5" x14ac:dyDescent="0.2">
      <c r="A9" s="2" t="s">
        <v>23</v>
      </c>
      <c r="B9" s="3" t="s">
        <v>79</v>
      </c>
      <c r="C9" s="2" t="s">
        <v>64</v>
      </c>
      <c r="D9" s="2" t="s">
        <v>0</v>
      </c>
      <c r="E9" s="4">
        <v>1</v>
      </c>
      <c r="F9" s="4">
        <v>0</v>
      </c>
      <c r="G9" s="4">
        <v>0</v>
      </c>
      <c r="H9" s="4">
        <v>1</v>
      </c>
      <c r="I9" s="4">
        <v>1</v>
      </c>
      <c r="J9" s="4">
        <v>0</v>
      </c>
      <c r="K9" s="4">
        <v>0</v>
      </c>
      <c r="L9" s="4">
        <v>0</v>
      </c>
    </row>
    <row r="10" spans="1:12" ht="25.5" x14ac:dyDescent="0.2">
      <c r="A10" s="2" t="s">
        <v>33</v>
      </c>
      <c r="B10" s="3" t="s">
        <v>80</v>
      </c>
      <c r="C10" s="2" t="s">
        <v>64</v>
      </c>
      <c r="D10" s="2" t="s">
        <v>0</v>
      </c>
      <c r="E10" s="4">
        <v>1</v>
      </c>
      <c r="F10" s="4">
        <v>0</v>
      </c>
      <c r="G10" s="4">
        <v>0</v>
      </c>
      <c r="H10" s="4">
        <v>1</v>
      </c>
      <c r="I10" s="4">
        <v>0</v>
      </c>
      <c r="J10" s="4">
        <v>0</v>
      </c>
      <c r="K10" s="4">
        <v>0</v>
      </c>
      <c r="L10" s="4">
        <v>0</v>
      </c>
    </row>
    <row r="11" spans="1:12" ht="25.5" x14ac:dyDescent="0.2">
      <c r="A11" s="2" t="s">
        <v>46</v>
      </c>
      <c r="B11" s="3" t="s">
        <v>81</v>
      </c>
      <c r="C11" s="2" t="s">
        <v>64</v>
      </c>
      <c r="D11" s="2" t="s">
        <v>44</v>
      </c>
      <c r="E11" s="4">
        <v>1</v>
      </c>
      <c r="F11" s="4">
        <v>0</v>
      </c>
      <c r="G11" s="4">
        <v>0</v>
      </c>
      <c r="H11" s="4">
        <v>0</v>
      </c>
      <c r="I11" s="4">
        <v>0</v>
      </c>
      <c r="J11" s="4">
        <v>0</v>
      </c>
      <c r="K11" s="4">
        <v>0</v>
      </c>
      <c r="L11" s="4">
        <v>0</v>
      </c>
    </row>
    <row r="12" spans="1:12" ht="25.5" x14ac:dyDescent="0.2">
      <c r="A12" s="2" t="s">
        <v>61</v>
      </c>
      <c r="B12" s="3" t="s">
        <v>82</v>
      </c>
      <c r="C12" s="2" t="s">
        <v>64</v>
      </c>
      <c r="D12" s="2" t="s">
        <v>0</v>
      </c>
      <c r="E12" s="4">
        <v>1</v>
      </c>
      <c r="F12" s="4">
        <v>0</v>
      </c>
      <c r="G12" s="4">
        <v>0</v>
      </c>
      <c r="H12" s="4">
        <v>1</v>
      </c>
      <c r="I12" s="4">
        <v>1</v>
      </c>
      <c r="J12" s="4">
        <v>0</v>
      </c>
      <c r="K12" s="4">
        <v>0</v>
      </c>
      <c r="L12" s="4">
        <v>0</v>
      </c>
    </row>
    <row r="13" spans="1:12" x14ac:dyDescent="0.2">
      <c r="A13" s="2" t="s">
        <v>55</v>
      </c>
      <c r="B13" s="3" t="s">
        <v>83</v>
      </c>
      <c r="C13" s="2" t="s">
        <v>57</v>
      </c>
      <c r="D13" s="2" t="s">
        <v>9</v>
      </c>
      <c r="E13" s="4">
        <v>1</v>
      </c>
      <c r="F13" s="4">
        <v>0</v>
      </c>
      <c r="G13" s="4">
        <v>0</v>
      </c>
      <c r="H13" s="4">
        <v>1</v>
      </c>
      <c r="I13" s="4">
        <v>0</v>
      </c>
      <c r="J13" s="4">
        <v>0</v>
      </c>
      <c r="K13" s="4">
        <v>0</v>
      </c>
      <c r="L13" s="4">
        <v>0</v>
      </c>
    </row>
    <row r="14" spans="1:12" x14ac:dyDescent="0.2">
      <c r="A14" s="2" t="s">
        <v>36</v>
      </c>
      <c r="B14" s="3" t="s">
        <v>84</v>
      </c>
      <c r="C14" s="2" t="s">
        <v>57</v>
      </c>
      <c r="D14" s="2" t="s">
        <v>9</v>
      </c>
      <c r="E14" s="4">
        <v>1</v>
      </c>
      <c r="F14" s="4">
        <v>0</v>
      </c>
      <c r="G14" s="4">
        <v>0</v>
      </c>
      <c r="H14" s="4">
        <v>1</v>
      </c>
      <c r="I14" s="4">
        <v>0</v>
      </c>
      <c r="J14" s="4">
        <v>0</v>
      </c>
      <c r="K14" s="4">
        <v>0</v>
      </c>
      <c r="L14" s="4">
        <v>0</v>
      </c>
    </row>
    <row r="15" spans="1:12" x14ac:dyDescent="0.2">
      <c r="A15" s="2" t="s">
        <v>11</v>
      </c>
      <c r="B15" s="3" t="s">
        <v>85</v>
      </c>
      <c r="C15" s="2" t="s">
        <v>57</v>
      </c>
      <c r="D15" s="2" t="s">
        <v>9</v>
      </c>
      <c r="E15" s="4">
        <v>1</v>
      </c>
      <c r="F15" s="4">
        <v>0</v>
      </c>
      <c r="G15" s="4">
        <v>0</v>
      </c>
      <c r="H15" s="4">
        <v>1</v>
      </c>
      <c r="I15" s="4">
        <v>1</v>
      </c>
      <c r="J15" s="4">
        <v>0</v>
      </c>
      <c r="K15" s="4">
        <v>0</v>
      </c>
      <c r="L15" s="4">
        <v>0</v>
      </c>
    </row>
    <row r="16" spans="1:12" x14ac:dyDescent="0.2">
      <c r="A16" s="2" t="s">
        <v>50</v>
      </c>
      <c r="B16" s="3" t="s">
        <v>86</v>
      </c>
      <c r="C16" s="2" t="s">
        <v>57</v>
      </c>
      <c r="D16" s="2" t="s">
        <v>9</v>
      </c>
      <c r="E16" s="4">
        <v>1</v>
      </c>
      <c r="F16" s="4">
        <v>0</v>
      </c>
      <c r="G16" s="4">
        <v>0</v>
      </c>
      <c r="H16" s="4">
        <v>1</v>
      </c>
      <c r="I16" s="4">
        <v>0</v>
      </c>
      <c r="J16" s="4">
        <v>0</v>
      </c>
      <c r="K16" s="4">
        <v>0</v>
      </c>
      <c r="L16" s="4">
        <v>0</v>
      </c>
    </row>
    <row r="17" spans="1:12" x14ac:dyDescent="0.2">
      <c r="A17" s="2" t="s">
        <v>40</v>
      </c>
      <c r="B17" s="3" t="s">
        <v>87</v>
      </c>
      <c r="C17" s="2" t="s">
        <v>57</v>
      </c>
      <c r="D17" s="2" t="s">
        <v>9</v>
      </c>
      <c r="E17" s="4">
        <v>0</v>
      </c>
      <c r="F17" s="4">
        <v>0</v>
      </c>
      <c r="G17" s="4">
        <v>0</v>
      </c>
      <c r="H17" s="4">
        <v>0</v>
      </c>
      <c r="I17" s="4">
        <v>0</v>
      </c>
      <c r="J17" s="4">
        <v>0</v>
      </c>
      <c r="K17" s="4">
        <v>0</v>
      </c>
      <c r="L17" s="4">
        <v>0</v>
      </c>
    </row>
    <row r="18" spans="1:12" x14ac:dyDescent="0.2">
      <c r="A18" s="2" t="s">
        <v>63</v>
      </c>
      <c r="B18" s="3" t="s">
        <v>88</v>
      </c>
      <c r="C18" s="2" t="s">
        <v>57</v>
      </c>
      <c r="D18" s="2" t="s">
        <v>9</v>
      </c>
      <c r="E18" s="4">
        <v>1</v>
      </c>
      <c r="F18" s="4">
        <v>0</v>
      </c>
      <c r="G18" s="4">
        <v>0</v>
      </c>
      <c r="H18" s="4">
        <v>1</v>
      </c>
      <c r="I18" s="4">
        <v>0</v>
      </c>
      <c r="J18" s="4">
        <v>0</v>
      </c>
      <c r="K18" s="4">
        <v>0</v>
      </c>
      <c r="L18" s="4">
        <v>0</v>
      </c>
    </row>
    <row r="19" spans="1:12" x14ac:dyDescent="0.2">
      <c r="A19" s="2" t="s">
        <v>54</v>
      </c>
      <c r="B19" s="3" t="s">
        <v>89</v>
      </c>
      <c r="C19" s="2" t="s">
        <v>57</v>
      </c>
      <c r="D19" s="2" t="s">
        <v>9</v>
      </c>
      <c r="E19" s="4">
        <v>1</v>
      </c>
      <c r="F19" s="4">
        <v>0</v>
      </c>
      <c r="G19" s="4">
        <v>0</v>
      </c>
      <c r="H19" s="4">
        <v>1</v>
      </c>
      <c r="I19" s="4">
        <v>0</v>
      </c>
      <c r="J19" s="4">
        <v>0</v>
      </c>
      <c r="K19" s="4">
        <v>0</v>
      </c>
      <c r="L19" s="4">
        <v>0</v>
      </c>
    </row>
    <row r="20" spans="1:12" x14ac:dyDescent="0.2">
      <c r="A20" s="2" t="s">
        <v>41</v>
      </c>
      <c r="B20" s="3" t="s">
        <v>90</v>
      </c>
      <c r="C20" s="2" t="s">
        <v>57</v>
      </c>
      <c r="D20" s="2" t="s">
        <v>9</v>
      </c>
      <c r="E20" s="4">
        <v>1</v>
      </c>
      <c r="F20" s="4">
        <v>0</v>
      </c>
      <c r="G20" s="4">
        <v>0</v>
      </c>
      <c r="H20" s="4">
        <v>1</v>
      </c>
      <c r="I20" s="4">
        <v>1</v>
      </c>
      <c r="J20" s="4">
        <v>0</v>
      </c>
      <c r="K20" s="4">
        <v>0</v>
      </c>
      <c r="L20" s="4">
        <v>0</v>
      </c>
    </row>
    <row r="21" spans="1:12" x14ac:dyDescent="0.2">
      <c r="A21" s="2" t="s">
        <v>29</v>
      </c>
      <c r="B21" s="3" t="s">
        <v>91</v>
      </c>
      <c r="C21" s="2" t="s">
        <v>21</v>
      </c>
      <c r="D21" s="2" t="s">
        <v>35</v>
      </c>
      <c r="E21" s="4">
        <v>1</v>
      </c>
      <c r="F21" s="4">
        <v>0</v>
      </c>
      <c r="G21" s="4">
        <v>0</v>
      </c>
      <c r="H21" s="4">
        <v>0</v>
      </c>
      <c r="I21" s="4">
        <v>1</v>
      </c>
      <c r="J21" s="4">
        <v>1</v>
      </c>
      <c r="K21" s="4">
        <v>0</v>
      </c>
      <c r="L21" s="4">
        <v>0</v>
      </c>
    </row>
    <row r="22" spans="1:12" ht="25.5" x14ac:dyDescent="0.2">
      <c r="A22" s="2" t="s">
        <v>26</v>
      </c>
      <c r="B22" s="3" t="s">
        <v>92</v>
      </c>
      <c r="C22" s="2" t="s">
        <v>30</v>
      </c>
      <c r="D22" s="2" t="s">
        <v>9</v>
      </c>
      <c r="E22" s="4">
        <v>1</v>
      </c>
      <c r="F22" s="4">
        <v>0</v>
      </c>
      <c r="G22" s="4">
        <v>0</v>
      </c>
      <c r="H22" s="4">
        <v>1</v>
      </c>
      <c r="I22" s="4">
        <v>0</v>
      </c>
      <c r="J22" s="4">
        <v>0</v>
      </c>
      <c r="K22" s="4">
        <v>0</v>
      </c>
      <c r="L22" s="4">
        <v>0</v>
      </c>
    </row>
    <row r="23" spans="1:12" ht="25.5" x14ac:dyDescent="0.2">
      <c r="A23" s="2" t="s">
        <v>10</v>
      </c>
      <c r="B23" s="3" t="s">
        <v>93</v>
      </c>
      <c r="C23" s="2" t="s">
        <v>30</v>
      </c>
      <c r="D23" s="2" t="s">
        <v>44</v>
      </c>
      <c r="E23" s="4">
        <v>1</v>
      </c>
      <c r="F23" s="4">
        <v>0</v>
      </c>
      <c r="G23" s="4">
        <v>0</v>
      </c>
      <c r="H23" s="4">
        <v>1</v>
      </c>
      <c r="I23" s="4">
        <v>0</v>
      </c>
      <c r="J23" s="4">
        <v>0</v>
      </c>
      <c r="K23" s="4">
        <v>0</v>
      </c>
      <c r="L23" s="4">
        <v>0</v>
      </c>
    </row>
    <row r="24" spans="1:12" ht="25.5" x14ac:dyDescent="0.2">
      <c r="A24" s="2" t="s">
        <v>67</v>
      </c>
      <c r="B24" s="3" t="s">
        <v>94</v>
      </c>
      <c r="C24" s="2" t="s">
        <v>30</v>
      </c>
      <c r="D24" s="2" t="s">
        <v>35</v>
      </c>
      <c r="E24" s="4">
        <v>1</v>
      </c>
      <c r="F24" s="4">
        <v>0</v>
      </c>
      <c r="G24" s="4">
        <v>0</v>
      </c>
      <c r="H24" s="4">
        <v>1</v>
      </c>
      <c r="I24" s="4">
        <v>1</v>
      </c>
      <c r="J24" s="4">
        <v>0</v>
      </c>
      <c r="K24" s="4">
        <v>0</v>
      </c>
      <c r="L24" s="4">
        <v>0</v>
      </c>
    </row>
    <row r="25" spans="1:12" ht="25.5" x14ac:dyDescent="0.2">
      <c r="A25" s="2" t="s">
        <v>12</v>
      </c>
      <c r="B25" s="3" t="s">
        <v>95</v>
      </c>
      <c r="C25" s="2" t="s">
        <v>30</v>
      </c>
      <c r="D25" s="2" t="s">
        <v>0</v>
      </c>
      <c r="E25" s="4">
        <v>0</v>
      </c>
      <c r="F25" s="4">
        <v>0</v>
      </c>
      <c r="G25" s="4">
        <v>0</v>
      </c>
      <c r="H25" s="4">
        <v>0</v>
      </c>
      <c r="I25" s="4">
        <v>0</v>
      </c>
      <c r="J25" s="4">
        <v>0</v>
      </c>
      <c r="K25" s="4">
        <v>0</v>
      </c>
      <c r="L25" s="4">
        <v>0</v>
      </c>
    </row>
    <row r="26" spans="1:12" ht="25.5" x14ac:dyDescent="0.2">
      <c r="A26" s="2" t="s">
        <v>15</v>
      </c>
      <c r="B26" s="3" t="s">
        <v>96</v>
      </c>
      <c r="C26" s="2" t="s">
        <v>30</v>
      </c>
      <c r="D26" s="2" t="s">
        <v>44</v>
      </c>
      <c r="E26" s="4">
        <v>1</v>
      </c>
      <c r="F26" s="4">
        <v>0</v>
      </c>
      <c r="G26" s="4">
        <v>0</v>
      </c>
      <c r="H26" s="4">
        <v>1</v>
      </c>
      <c r="I26" s="4">
        <v>0</v>
      </c>
      <c r="J26" s="4">
        <v>0</v>
      </c>
      <c r="K26" s="4">
        <v>0</v>
      </c>
      <c r="L26" s="4">
        <v>0</v>
      </c>
    </row>
    <row r="27" spans="1:12" ht="25.5" x14ac:dyDescent="0.2">
      <c r="A27" s="2" t="s">
        <v>28</v>
      </c>
      <c r="B27" s="3" t="s">
        <v>97</v>
      </c>
      <c r="C27" s="2" t="s">
        <v>30</v>
      </c>
      <c r="D27" s="2" t="s">
        <v>0</v>
      </c>
      <c r="E27" s="4">
        <v>1</v>
      </c>
      <c r="F27" s="4">
        <v>0</v>
      </c>
      <c r="G27" s="4">
        <v>0</v>
      </c>
      <c r="H27" s="4">
        <v>1</v>
      </c>
      <c r="I27" s="4">
        <v>0</v>
      </c>
      <c r="J27" s="4">
        <v>0</v>
      </c>
      <c r="K27" s="4">
        <v>0</v>
      </c>
      <c r="L27" s="4">
        <v>0</v>
      </c>
    </row>
    <row r="28" spans="1:12" ht="25.5" x14ac:dyDescent="0.2">
      <c r="A28" s="2" t="s">
        <v>25</v>
      </c>
      <c r="B28" s="3" t="s">
        <v>98</v>
      </c>
      <c r="C28" s="2" t="s">
        <v>30</v>
      </c>
      <c r="D28" s="2" t="s">
        <v>35</v>
      </c>
      <c r="E28" s="4">
        <v>0</v>
      </c>
      <c r="F28" s="4">
        <v>0</v>
      </c>
      <c r="G28" s="4">
        <v>0</v>
      </c>
      <c r="H28" s="4">
        <v>0</v>
      </c>
      <c r="I28" s="4">
        <v>0</v>
      </c>
      <c r="J28" s="4">
        <v>0</v>
      </c>
      <c r="K28" s="4">
        <v>0</v>
      </c>
      <c r="L28" s="4">
        <v>0</v>
      </c>
    </row>
    <row r="29" spans="1:12" ht="25.5" x14ac:dyDescent="0.2">
      <c r="A29" s="2" t="s">
        <v>6</v>
      </c>
      <c r="B29" s="3" t="s">
        <v>99</v>
      </c>
      <c r="C29" s="2" t="s">
        <v>30</v>
      </c>
      <c r="D29" s="2" t="s">
        <v>44</v>
      </c>
      <c r="E29" s="4">
        <v>0</v>
      </c>
      <c r="F29" s="4">
        <v>0</v>
      </c>
      <c r="G29" s="4">
        <v>0</v>
      </c>
      <c r="H29" s="4">
        <v>0</v>
      </c>
      <c r="I29" s="4">
        <v>0</v>
      </c>
      <c r="J29" s="4">
        <v>0</v>
      </c>
      <c r="K29" s="4">
        <v>0</v>
      </c>
      <c r="L29" s="4">
        <v>0</v>
      </c>
    </row>
    <row r="30" spans="1:12" ht="25.5" x14ac:dyDescent="0.2">
      <c r="A30" s="2" t="s">
        <v>42</v>
      </c>
      <c r="B30" s="3" t="s">
        <v>100</v>
      </c>
      <c r="C30" s="2" t="s">
        <v>30</v>
      </c>
      <c r="D30" s="2" t="s">
        <v>13</v>
      </c>
      <c r="E30" s="4">
        <v>1</v>
      </c>
      <c r="F30" s="4">
        <v>0</v>
      </c>
      <c r="G30" s="4">
        <v>0</v>
      </c>
      <c r="H30" s="4">
        <v>1</v>
      </c>
      <c r="I30" s="4">
        <v>0</v>
      </c>
      <c r="J30" s="4">
        <v>0</v>
      </c>
      <c r="K30" s="4">
        <v>0</v>
      </c>
      <c r="L30" s="4">
        <v>0</v>
      </c>
    </row>
    <row r="31" spans="1:12" ht="25.5" x14ac:dyDescent="0.2">
      <c r="A31" s="2" t="s">
        <v>19</v>
      </c>
      <c r="B31" s="3" t="s">
        <v>101</v>
      </c>
      <c r="C31" s="2" t="s">
        <v>30</v>
      </c>
      <c r="D31" s="2" t="s">
        <v>44</v>
      </c>
      <c r="E31" s="4">
        <v>0</v>
      </c>
      <c r="F31" s="4">
        <v>0</v>
      </c>
      <c r="G31" s="4">
        <v>0</v>
      </c>
      <c r="H31" s="4">
        <v>0</v>
      </c>
      <c r="I31" s="4">
        <v>0</v>
      </c>
      <c r="J31" s="4">
        <v>0</v>
      </c>
      <c r="K31" s="4">
        <v>0</v>
      </c>
      <c r="L31" s="4">
        <v>0</v>
      </c>
    </row>
    <row r="32" spans="1:12" ht="25.5" x14ac:dyDescent="0.2">
      <c r="A32" s="2" t="s">
        <v>66</v>
      </c>
      <c r="B32" s="3" t="s">
        <v>102</v>
      </c>
      <c r="C32" s="2" t="s">
        <v>30</v>
      </c>
      <c r="D32" s="2" t="s">
        <v>44</v>
      </c>
      <c r="E32" s="4">
        <v>1</v>
      </c>
      <c r="F32" s="4">
        <v>0</v>
      </c>
      <c r="G32" s="4">
        <v>1</v>
      </c>
      <c r="H32" s="4">
        <v>0</v>
      </c>
      <c r="I32" s="4">
        <v>1</v>
      </c>
      <c r="J32" s="4">
        <v>0</v>
      </c>
      <c r="K32" s="4">
        <v>0</v>
      </c>
      <c r="L32" s="4">
        <v>0</v>
      </c>
    </row>
    <row r="33" spans="1:12" ht="25.5" x14ac:dyDescent="0.2">
      <c r="A33" s="2" t="s">
        <v>17</v>
      </c>
      <c r="B33" s="3" t="s">
        <v>103</v>
      </c>
      <c r="C33" s="2" t="s">
        <v>30</v>
      </c>
      <c r="D33" s="2" t="s">
        <v>9</v>
      </c>
      <c r="E33" s="4">
        <v>1</v>
      </c>
      <c r="F33" s="4">
        <v>0</v>
      </c>
      <c r="G33" s="4">
        <v>0</v>
      </c>
      <c r="H33" s="4">
        <v>1</v>
      </c>
      <c r="I33" s="4">
        <v>0</v>
      </c>
      <c r="J33" s="4">
        <v>0</v>
      </c>
      <c r="K33" s="4">
        <v>0</v>
      </c>
      <c r="L33" s="4">
        <v>0</v>
      </c>
    </row>
    <row r="34" spans="1:12" ht="25.5" x14ac:dyDescent="0.2">
      <c r="A34" s="2" t="s">
        <v>24</v>
      </c>
      <c r="B34" s="3" t="s">
        <v>104</v>
      </c>
      <c r="C34" s="2" t="s">
        <v>30</v>
      </c>
      <c r="D34" s="2" t="s">
        <v>13</v>
      </c>
      <c r="E34" s="4">
        <v>1</v>
      </c>
      <c r="F34" s="4">
        <v>0</v>
      </c>
      <c r="G34" s="4">
        <v>0</v>
      </c>
      <c r="H34" s="4">
        <v>1</v>
      </c>
      <c r="I34" s="4">
        <v>0</v>
      </c>
      <c r="J34" s="4">
        <v>0</v>
      </c>
      <c r="K34" s="4">
        <v>0</v>
      </c>
      <c r="L34" s="4">
        <v>0</v>
      </c>
    </row>
    <row r="35" spans="1:12" ht="25.5" x14ac:dyDescent="0.2">
      <c r="A35" s="2" t="s">
        <v>51</v>
      </c>
      <c r="B35" s="3" t="s">
        <v>105</v>
      </c>
      <c r="C35" s="2" t="s">
        <v>30</v>
      </c>
      <c r="D35" s="2" t="s">
        <v>9</v>
      </c>
      <c r="E35" s="4">
        <v>0</v>
      </c>
      <c r="F35" s="4">
        <v>0</v>
      </c>
      <c r="G35" s="4">
        <v>0</v>
      </c>
      <c r="H35" s="4">
        <v>0</v>
      </c>
      <c r="I35" s="4">
        <v>0</v>
      </c>
      <c r="J35" s="4">
        <v>0</v>
      </c>
      <c r="K35" s="4">
        <v>0</v>
      </c>
      <c r="L35" s="4">
        <v>0</v>
      </c>
    </row>
    <row r="36" spans="1:12" ht="25.5" x14ac:dyDescent="0.2">
      <c r="A36" s="2" t="s">
        <v>53</v>
      </c>
      <c r="B36" s="3" t="s">
        <v>106</v>
      </c>
      <c r="C36" s="2" t="s">
        <v>30</v>
      </c>
      <c r="D36" s="2" t="s">
        <v>9</v>
      </c>
      <c r="E36" s="4">
        <v>0</v>
      </c>
      <c r="F36" s="4">
        <v>0</v>
      </c>
      <c r="G36" s="4">
        <v>0</v>
      </c>
      <c r="H36" s="4">
        <v>0</v>
      </c>
      <c r="I36" s="4">
        <v>0</v>
      </c>
      <c r="J36" s="4">
        <v>0</v>
      </c>
      <c r="K36" s="4">
        <v>0</v>
      </c>
      <c r="L36" s="4">
        <v>0</v>
      </c>
    </row>
    <row r="37" spans="1:12" ht="25.5" x14ac:dyDescent="0.2">
      <c r="A37" s="2" t="s">
        <v>1</v>
      </c>
      <c r="B37" s="3" t="s">
        <v>107</v>
      </c>
      <c r="C37" s="2" t="s">
        <v>30</v>
      </c>
      <c r="D37" s="2" t="s">
        <v>44</v>
      </c>
      <c r="E37" s="4">
        <v>1</v>
      </c>
      <c r="F37" s="4">
        <v>0</v>
      </c>
      <c r="G37" s="4">
        <v>0</v>
      </c>
      <c r="H37" s="4">
        <v>0</v>
      </c>
      <c r="I37" s="4">
        <v>1</v>
      </c>
      <c r="J37" s="4">
        <v>0</v>
      </c>
      <c r="K37" s="4">
        <v>0</v>
      </c>
      <c r="L37" s="4">
        <v>0</v>
      </c>
    </row>
    <row r="38" spans="1:12" ht="25.5" x14ac:dyDescent="0.2">
      <c r="A38" s="2" t="s">
        <v>4</v>
      </c>
      <c r="B38" s="3" t="s">
        <v>108</v>
      </c>
      <c r="C38" s="2" t="s">
        <v>30</v>
      </c>
      <c r="D38" s="2" t="s">
        <v>32</v>
      </c>
      <c r="E38" s="4">
        <v>1</v>
      </c>
      <c r="F38" s="4">
        <v>0</v>
      </c>
      <c r="G38" s="4">
        <v>0</v>
      </c>
      <c r="H38" s="4">
        <v>0</v>
      </c>
      <c r="I38" s="4">
        <v>0</v>
      </c>
      <c r="J38" s="4">
        <v>1</v>
      </c>
      <c r="K38" s="4">
        <v>0</v>
      </c>
      <c r="L38" s="4">
        <v>0</v>
      </c>
    </row>
    <row r="39" spans="1:12" ht="25.5" x14ac:dyDescent="0.2">
      <c r="A39" s="2" t="s">
        <v>7</v>
      </c>
      <c r="B39" s="3" t="s">
        <v>109</v>
      </c>
      <c r="C39" s="2" t="s">
        <v>30</v>
      </c>
      <c r="D39" s="2" t="s">
        <v>44</v>
      </c>
      <c r="E39" s="4">
        <v>1</v>
      </c>
      <c r="F39" s="4">
        <v>0</v>
      </c>
      <c r="G39" s="4">
        <v>0</v>
      </c>
      <c r="H39" s="4">
        <v>0</v>
      </c>
      <c r="I39" s="4">
        <v>0</v>
      </c>
      <c r="J39" s="4">
        <v>1</v>
      </c>
      <c r="K39" s="4">
        <v>0</v>
      </c>
      <c r="L39" s="4">
        <v>0</v>
      </c>
    </row>
    <row r="40" spans="1:12" ht="25.5" x14ac:dyDescent="0.2">
      <c r="A40" s="2" t="s">
        <v>20</v>
      </c>
      <c r="B40" s="3" t="s">
        <v>110</v>
      </c>
      <c r="C40" s="2" t="s">
        <v>30</v>
      </c>
      <c r="D40" s="2" t="s">
        <v>32</v>
      </c>
      <c r="E40" s="4">
        <v>1</v>
      </c>
      <c r="F40" s="4">
        <v>0</v>
      </c>
      <c r="G40" s="4">
        <v>0</v>
      </c>
      <c r="H40" s="4">
        <v>1</v>
      </c>
      <c r="I40" s="4">
        <v>0</v>
      </c>
      <c r="J40" s="4">
        <v>0</v>
      </c>
      <c r="K40" s="4">
        <v>0</v>
      </c>
      <c r="L40" s="4">
        <v>0</v>
      </c>
    </row>
    <row r="41" spans="1:12" ht="25.5" x14ac:dyDescent="0.2">
      <c r="A41" s="2" t="s">
        <v>38</v>
      </c>
      <c r="B41" s="3" t="s">
        <v>111</v>
      </c>
      <c r="C41" s="2" t="s">
        <v>30</v>
      </c>
      <c r="D41" s="2" t="s">
        <v>0</v>
      </c>
      <c r="E41" s="4">
        <v>1</v>
      </c>
      <c r="F41" s="4">
        <v>1</v>
      </c>
      <c r="G41" s="4">
        <v>0</v>
      </c>
      <c r="H41" s="4">
        <v>0</v>
      </c>
      <c r="I41" s="4">
        <v>0</v>
      </c>
      <c r="J41" s="4">
        <v>0</v>
      </c>
      <c r="K41" s="4">
        <v>0</v>
      </c>
      <c r="L41" s="4">
        <v>0</v>
      </c>
    </row>
    <row r="42" spans="1:12" ht="25.5" x14ac:dyDescent="0.2">
      <c r="A42" s="2" t="s">
        <v>18</v>
      </c>
      <c r="B42" s="3" t="s">
        <v>112</v>
      </c>
      <c r="C42" s="2" t="s">
        <v>30</v>
      </c>
      <c r="D42" s="2" t="s">
        <v>0</v>
      </c>
      <c r="E42" s="4">
        <v>0</v>
      </c>
      <c r="F42" s="4">
        <v>0</v>
      </c>
      <c r="G42" s="4">
        <v>0</v>
      </c>
      <c r="H42" s="4">
        <v>0</v>
      </c>
      <c r="I42" s="4">
        <v>0</v>
      </c>
      <c r="J42" s="4">
        <v>0</v>
      </c>
      <c r="K42" s="4">
        <v>0</v>
      </c>
      <c r="L42" s="4">
        <v>0</v>
      </c>
    </row>
    <row r="43" spans="1:12" ht="25.5" x14ac:dyDescent="0.2">
      <c r="A43" s="2" t="s">
        <v>68</v>
      </c>
      <c r="B43" s="3" t="s">
        <v>113</v>
      </c>
      <c r="C43" s="2" t="s">
        <v>30</v>
      </c>
      <c r="D43" s="2" t="s">
        <v>0</v>
      </c>
      <c r="E43" s="4">
        <v>0</v>
      </c>
      <c r="F43" s="4">
        <v>0</v>
      </c>
      <c r="G43" s="4">
        <v>0</v>
      </c>
      <c r="H43" s="4">
        <v>0</v>
      </c>
      <c r="I43" s="4">
        <v>0</v>
      </c>
      <c r="J43" s="4">
        <v>0</v>
      </c>
      <c r="K43" s="4">
        <v>0</v>
      </c>
      <c r="L43" s="4">
        <v>0</v>
      </c>
    </row>
    <row r="44" spans="1:12" ht="25.5" x14ac:dyDescent="0.2">
      <c r="A44" s="2" t="s">
        <v>27</v>
      </c>
      <c r="B44" s="3" t="s">
        <v>114</v>
      </c>
      <c r="C44" s="2" t="s">
        <v>30</v>
      </c>
      <c r="D44" s="2" t="s">
        <v>35</v>
      </c>
      <c r="E44" s="4">
        <v>1</v>
      </c>
      <c r="F44" s="4">
        <v>0</v>
      </c>
      <c r="G44" s="4">
        <v>1</v>
      </c>
      <c r="H44" s="4">
        <v>1</v>
      </c>
      <c r="I44" s="4">
        <v>0</v>
      </c>
      <c r="J44" s="4">
        <v>0</v>
      </c>
      <c r="K44" s="4">
        <v>0</v>
      </c>
      <c r="L44" s="4">
        <v>0</v>
      </c>
    </row>
    <row r="45" spans="1:12" ht="25.5" x14ac:dyDescent="0.2">
      <c r="A45" s="2" t="s">
        <v>37</v>
      </c>
      <c r="B45" s="3" t="s">
        <v>115</v>
      </c>
      <c r="C45" s="2" t="s">
        <v>30</v>
      </c>
      <c r="D45" s="2" t="s">
        <v>9</v>
      </c>
      <c r="E45" s="4">
        <v>1</v>
      </c>
      <c r="F45" s="4">
        <v>0</v>
      </c>
      <c r="G45" s="4">
        <v>0</v>
      </c>
      <c r="H45" s="4">
        <v>1</v>
      </c>
      <c r="I45" s="4">
        <v>0</v>
      </c>
      <c r="J45" s="4">
        <v>1</v>
      </c>
      <c r="K45" s="4">
        <v>0</v>
      </c>
      <c r="L45" s="4">
        <v>0</v>
      </c>
    </row>
    <row r="46" spans="1:12" ht="25.5" x14ac:dyDescent="0.2">
      <c r="A46" s="2" t="s">
        <v>60</v>
      </c>
      <c r="B46" s="3" t="s">
        <v>116</v>
      </c>
      <c r="C46" s="2" t="s">
        <v>30</v>
      </c>
      <c r="D46" s="2" t="s">
        <v>32</v>
      </c>
      <c r="E46" s="4">
        <v>1</v>
      </c>
      <c r="F46" s="4">
        <v>0</v>
      </c>
      <c r="G46" s="4">
        <v>1</v>
      </c>
      <c r="H46" s="4">
        <v>0</v>
      </c>
      <c r="I46" s="4">
        <v>0</v>
      </c>
      <c r="J46" s="4">
        <v>0</v>
      </c>
      <c r="K46" s="4">
        <v>0</v>
      </c>
      <c r="L46" s="4">
        <v>0</v>
      </c>
    </row>
    <row r="47" spans="1:12" ht="25.5" x14ac:dyDescent="0.2">
      <c r="A47" s="2" t="s">
        <v>59</v>
      </c>
      <c r="B47" s="3" t="s">
        <v>117</v>
      </c>
      <c r="C47" s="2" t="s">
        <v>30</v>
      </c>
      <c r="D47" s="2" t="s">
        <v>9</v>
      </c>
      <c r="E47" s="4">
        <v>0</v>
      </c>
      <c r="F47" s="4">
        <v>0</v>
      </c>
      <c r="G47" s="4">
        <v>0</v>
      </c>
      <c r="H47" s="4">
        <v>0</v>
      </c>
      <c r="I47" s="4">
        <v>0</v>
      </c>
      <c r="J47" s="4">
        <v>0</v>
      </c>
      <c r="K47" s="4">
        <v>0</v>
      </c>
      <c r="L47" s="4">
        <v>1</v>
      </c>
    </row>
    <row r="48" spans="1:12" ht="25.5" x14ac:dyDescent="0.2">
      <c r="A48" s="2" t="s">
        <v>31</v>
      </c>
      <c r="B48" s="3" t="s">
        <v>118</v>
      </c>
      <c r="C48" s="2" t="s">
        <v>30</v>
      </c>
      <c r="D48" s="2" t="s">
        <v>9</v>
      </c>
      <c r="E48" s="4">
        <v>0</v>
      </c>
      <c r="F48" s="4">
        <v>0</v>
      </c>
      <c r="G48" s="4">
        <v>0</v>
      </c>
      <c r="H48" s="4">
        <v>0</v>
      </c>
      <c r="I48" s="4">
        <v>0</v>
      </c>
      <c r="J48" s="4">
        <v>0</v>
      </c>
      <c r="K48" s="4">
        <v>0</v>
      </c>
      <c r="L48" s="4">
        <v>0</v>
      </c>
    </row>
    <row r="49" spans="1:12" ht="25.5" x14ac:dyDescent="0.2">
      <c r="A49" s="2" t="s">
        <v>14</v>
      </c>
      <c r="B49" s="3" t="s">
        <v>119</v>
      </c>
      <c r="C49" s="2" t="s">
        <v>30</v>
      </c>
      <c r="D49" s="2" t="s">
        <v>44</v>
      </c>
      <c r="E49" s="4">
        <v>0</v>
      </c>
      <c r="F49" s="4">
        <v>0</v>
      </c>
      <c r="G49" s="4">
        <v>0</v>
      </c>
      <c r="H49" s="4">
        <v>0</v>
      </c>
      <c r="I49" s="4">
        <v>0</v>
      </c>
      <c r="J49" s="4">
        <v>0</v>
      </c>
      <c r="K49" s="4">
        <v>1</v>
      </c>
      <c r="L49" s="4">
        <v>0</v>
      </c>
    </row>
    <row r="50" spans="1:12" x14ac:dyDescent="0.2">
      <c r="A50" s="2" t="s">
        <v>47</v>
      </c>
      <c r="B50" s="3" t="s">
        <v>120</v>
      </c>
      <c r="C50" s="2" t="s">
        <v>3</v>
      </c>
      <c r="D50" s="2" t="s">
        <v>0</v>
      </c>
      <c r="E50" s="4">
        <v>0</v>
      </c>
      <c r="F50" s="4">
        <v>0</v>
      </c>
      <c r="G50" s="4">
        <v>0</v>
      </c>
      <c r="H50" s="4">
        <v>0</v>
      </c>
      <c r="I50" s="4">
        <v>0</v>
      </c>
      <c r="J50" s="4">
        <v>0</v>
      </c>
      <c r="K50" s="4">
        <v>0</v>
      </c>
      <c r="L50" s="4">
        <v>0</v>
      </c>
    </row>
    <row r="51" spans="1:12" x14ac:dyDescent="0.2">
      <c r="A51" s="2" t="s">
        <v>8</v>
      </c>
      <c r="B51" s="3" t="s">
        <v>121</v>
      </c>
      <c r="C51" s="2" t="s">
        <v>39</v>
      </c>
      <c r="D51" s="2" t="s">
        <v>44</v>
      </c>
      <c r="E51" s="4">
        <v>0</v>
      </c>
      <c r="F51" s="4">
        <v>0</v>
      </c>
      <c r="G51" s="4">
        <v>0</v>
      </c>
      <c r="H51" s="4">
        <v>0</v>
      </c>
      <c r="I51" s="4">
        <v>0</v>
      </c>
      <c r="J51" s="4">
        <v>0</v>
      </c>
      <c r="K51" s="4">
        <v>0</v>
      </c>
      <c r="L51" s="4">
        <v>0</v>
      </c>
    </row>
    <row r="52" spans="1:12" x14ac:dyDescent="0.2">
      <c r="A52" s="2" t="s">
        <v>43</v>
      </c>
      <c r="B52" s="3" t="s">
        <v>122</v>
      </c>
      <c r="C52" s="2" t="s">
        <v>39</v>
      </c>
      <c r="D52" s="2" t="s">
        <v>32</v>
      </c>
      <c r="E52" s="4">
        <v>1</v>
      </c>
      <c r="F52" s="4">
        <v>0</v>
      </c>
      <c r="G52" s="4">
        <v>0</v>
      </c>
      <c r="H52" s="4">
        <v>1</v>
      </c>
      <c r="I52" s="4">
        <v>0</v>
      </c>
      <c r="J52" s="4">
        <v>0</v>
      </c>
      <c r="K52" s="4">
        <v>0</v>
      </c>
      <c r="L52" s="4">
        <v>0</v>
      </c>
    </row>
    <row r="53" spans="1:12" x14ac:dyDescent="0.2">
      <c r="A53" s="2" t="s">
        <v>45</v>
      </c>
      <c r="B53" s="3" t="s">
        <v>123</v>
      </c>
      <c r="C53" s="2" t="s">
        <v>39</v>
      </c>
      <c r="D53" s="2" t="s">
        <v>35</v>
      </c>
      <c r="E53" s="4">
        <v>1</v>
      </c>
      <c r="F53" s="4">
        <v>0</v>
      </c>
      <c r="G53" s="4">
        <v>0</v>
      </c>
      <c r="H53" s="4">
        <v>1</v>
      </c>
      <c r="I53" s="4">
        <v>1</v>
      </c>
      <c r="J53" s="4">
        <v>0</v>
      </c>
      <c r="K53" s="4">
        <v>0</v>
      </c>
      <c r="L53" s="4">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143CC-D78F-4AEC-96E3-565C81C0D48B}">
  <dimension ref="A1:J53"/>
  <sheetViews>
    <sheetView topLeftCell="A2" workbookViewId="0">
      <selection activeCell="E10" sqref="E10"/>
    </sheetView>
  </sheetViews>
  <sheetFormatPr defaultRowHeight="15" x14ac:dyDescent="0.25"/>
  <cols>
    <col min="1" max="1" width="12.85546875" customWidth="1"/>
    <col min="2" max="2" width="13.85546875" customWidth="1"/>
    <col min="3" max="3" width="13.7109375" customWidth="1"/>
    <col min="5" max="5" width="14.28515625" customWidth="1"/>
    <col min="6" max="6" width="25.7109375" customWidth="1"/>
    <col min="7" max="7" width="20.7109375" customWidth="1"/>
    <col min="8" max="8" width="23" customWidth="1"/>
    <col min="9" max="9" width="20.7109375" customWidth="1"/>
  </cols>
  <sheetData>
    <row r="1" spans="1:10" x14ac:dyDescent="0.25">
      <c r="A1" t="s">
        <v>2</v>
      </c>
      <c r="B1" t="s">
        <v>260</v>
      </c>
      <c r="C1" t="s">
        <v>65</v>
      </c>
      <c r="D1" t="s">
        <v>62</v>
      </c>
      <c r="E1" t="s">
        <v>250</v>
      </c>
      <c r="F1" t="s">
        <v>251</v>
      </c>
      <c r="G1" t="s">
        <v>252</v>
      </c>
      <c r="H1" t="s">
        <v>253</v>
      </c>
      <c r="I1" t="s">
        <v>254</v>
      </c>
      <c r="J1" t="s">
        <v>124</v>
      </c>
    </row>
    <row r="2" spans="1:10" x14ac:dyDescent="0.25">
      <c r="A2" t="s">
        <v>52</v>
      </c>
      <c r="B2" t="s">
        <v>72</v>
      </c>
      <c r="C2" t="s">
        <v>58</v>
      </c>
      <c r="D2" t="s">
        <v>9</v>
      </c>
      <c r="E2">
        <v>0</v>
      </c>
      <c r="F2">
        <v>1</v>
      </c>
      <c r="G2">
        <v>0</v>
      </c>
      <c r="H2">
        <v>0</v>
      </c>
      <c r="I2">
        <v>0</v>
      </c>
      <c r="J2">
        <f>IF(SUM(Table3[[#This Row],[1. Translation]:[5. General comments]])&gt;0,1,0)</f>
        <v>1</v>
      </c>
    </row>
    <row r="3" spans="1:10" x14ac:dyDescent="0.25">
      <c r="A3" t="s">
        <v>56</v>
      </c>
      <c r="B3" t="s">
        <v>73</v>
      </c>
      <c r="C3" t="s">
        <v>34</v>
      </c>
      <c r="D3" t="s">
        <v>13</v>
      </c>
      <c r="E3">
        <v>0</v>
      </c>
      <c r="F3">
        <v>0</v>
      </c>
      <c r="G3">
        <v>0</v>
      </c>
      <c r="H3">
        <v>0</v>
      </c>
      <c r="I3">
        <v>0</v>
      </c>
      <c r="J3">
        <f>IF(SUM(Table3[[#This Row],[1. Translation]:[5. General comments]])&gt;0,1,0)</f>
        <v>0</v>
      </c>
    </row>
    <row r="4" spans="1:10" x14ac:dyDescent="0.25">
      <c r="A4" t="s">
        <v>49</v>
      </c>
      <c r="B4" t="s">
        <v>74</v>
      </c>
      <c r="C4" t="s">
        <v>34</v>
      </c>
      <c r="D4" t="s">
        <v>32</v>
      </c>
      <c r="E4">
        <v>1</v>
      </c>
      <c r="F4">
        <v>1</v>
      </c>
      <c r="G4">
        <v>1</v>
      </c>
      <c r="H4">
        <v>0</v>
      </c>
      <c r="I4">
        <v>0</v>
      </c>
      <c r="J4">
        <f>IF(SUM(Table3[[#This Row],[1. Translation]:[5. General comments]])&gt;0,1,0)</f>
        <v>1</v>
      </c>
    </row>
    <row r="5" spans="1:10" x14ac:dyDescent="0.25">
      <c r="A5" t="s">
        <v>48</v>
      </c>
      <c r="B5" t="s">
        <v>75</v>
      </c>
      <c r="C5" t="s">
        <v>64</v>
      </c>
      <c r="D5" t="s">
        <v>0</v>
      </c>
      <c r="E5">
        <v>0</v>
      </c>
      <c r="F5">
        <v>0</v>
      </c>
      <c r="G5">
        <v>0</v>
      </c>
      <c r="H5">
        <v>0</v>
      </c>
      <c r="I5">
        <v>0</v>
      </c>
      <c r="J5">
        <f>IF(SUM(Table3[[#This Row],[1. Translation]:[5. General comments]])&gt;0,1,0)</f>
        <v>0</v>
      </c>
    </row>
    <row r="6" spans="1:10" x14ac:dyDescent="0.25">
      <c r="A6" t="s">
        <v>22</v>
      </c>
      <c r="B6" t="s">
        <v>76</v>
      </c>
      <c r="C6" t="s">
        <v>64</v>
      </c>
      <c r="D6" t="s">
        <v>44</v>
      </c>
      <c r="E6">
        <v>0</v>
      </c>
      <c r="F6">
        <v>0</v>
      </c>
      <c r="G6">
        <v>0</v>
      </c>
      <c r="H6">
        <v>0</v>
      </c>
      <c r="I6">
        <v>0</v>
      </c>
      <c r="J6">
        <f>IF(SUM(Table3[[#This Row],[1. Translation]:[5. General comments]])&gt;0,1,0)</f>
        <v>0</v>
      </c>
    </row>
    <row r="7" spans="1:10" x14ac:dyDescent="0.25">
      <c r="A7" t="s">
        <v>16</v>
      </c>
      <c r="B7" t="s">
        <v>77</v>
      </c>
      <c r="C7" t="s">
        <v>64</v>
      </c>
      <c r="D7" t="s">
        <v>0</v>
      </c>
      <c r="E7">
        <v>0</v>
      </c>
      <c r="F7">
        <v>0</v>
      </c>
      <c r="G7">
        <v>0</v>
      </c>
      <c r="H7">
        <v>0</v>
      </c>
      <c r="I7">
        <v>0</v>
      </c>
      <c r="J7">
        <f>IF(SUM(Table3[[#This Row],[1. Translation]:[5. General comments]])&gt;0,1,0)</f>
        <v>0</v>
      </c>
    </row>
    <row r="8" spans="1:10" x14ac:dyDescent="0.25">
      <c r="A8" t="s">
        <v>5</v>
      </c>
      <c r="B8" t="s">
        <v>78</v>
      </c>
      <c r="C8" t="s">
        <v>64</v>
      </c>
      <c r="D8" t="s">
        <v>44</v>
      </c>
      <c r="E8">
        <v>1</v>
      </c>
      <c r="F8">
        <v>1</v>
      </c>
      <c r="G8">
        <v>1</v>
      </c>
      <c r="H8">
        <v>0</v>
      </c>
      <c r="I8">
        <v>0</v>
      </c>
      <c r="J8">
        <f>IF(SUM(Table3[[#This Row],[1. Translation]:[5. General comments]])&gt;0,1,0)</f>
        <v>1</v>
      </c>
    </row>
    <row r="9" spans="1:10" x14ac:dyDescent="0.25">
      <c r="A9" t="s">
        <v>23</v>
      </c>
      <c r="B9" t="s">
        <v>79</v>
      </c>
      <c r="C9" t="s">
        <v>64</v>
      </c>
      <c r="D9" t="s">
        <v>0</v>
      </c>
      <c r="E9">
        <v>0</v>
      </c>
      <c r="F9">
        <v>0</v>
      </c>
      <c r="G9">
        <v>0</v>
      </c>
      <c r="H9">
        <v>0</v>
      </c>
      <c r="I9">
        <v>0</v>
      </c>
      <c r="J9">
        <f>IF(SUM(Table3[[#This Row],[1. Translation]:[5. General comments]])&gt;0,1,0)</f>
        <v>0</v>
      </c>
    </row>
    <row r="10" spans="1:10" x14ac:dyDescent="0.25">
      <c r="A10" t="s">
        <v>33</v>
      </c>
      <c r="B10" t="s">
        <v>80</v>
      </c>
      <c r="C10" t="s">
        <v>64</v>
      </c>
      <c r="D10" t="s">
        <v>0</v>
      </c>
      <c r="E10">
        <v>0</v>
      </c>
      <c r="F10">
        <v>0</v>
      </c>
      <c r="G10">
        <v>0</v>
      </c>
      <c r="H10">
        <v>1</v>
      </c>
      <c r="I10">
        <v>0</v>
      </c>
      <c r="J10">
        <f>IF(SUM(Table3[[#This Row],[1. Translation]:[5. General comments]])&gt;0,1,0)</f>
        <v>1</v>
      </c>
    </row>
    <row r="11" spans="1:10" x14ac:dyDescent="0.25">
      <c r="A11" t="s">
        <v>46</v>
      </c>
      <c r="B11" t="s">
        <v>81</v>
      </c>
      <c r="C11" t="s">
        <v>64</v>
      </c>
      <c r="D11" t="s">
        <v>44</v>
      </c>
      <c r="E11">
        <v>1</v>
      </c>
      <c r="F11">
        <v>1</v>
      </c>
      <c r="G11">
        <v>1</v>
      </c>
      <c r="H11">
        <v>0</v>
      </c>
      <c r="I11">
        <v>0</v>
      </c>
      <c r="J11">
        <f>IF(SUM(Table3[[#This Row],[1. Translation]:[5. General comments]])&gt;0,1,0)</f>
        <v>1</v>
      </c>
    </row>
    <row r="12" spans="1:10" x14ac:dyDescent="0.25">
      <c r="A12" t="s">
        <v>61</v>
      </c>
      <c r="B12" t="s">
        <v>82</v>
      </c>
      <c r="C12" t="s">
        <v>64</v>
      </c>
      <c r="D12" t="s">
        <v>0</v>
      </c>
      <c r="E12">
        <v>0</v>
      </c>
      <c r="F12">
        <v>0</v>
      </c>
      <c r="G12">
        <v>0</v>
      </c>
      <c r="H12">
        <v>0</v>
      </c>
      <c r="I12">
        <v>0</v>
      </c>
      <c r="J12">
        <f>IF(SUM(Table3[[#This Row],[1. Translation]:[5. General comments]])&gt;0,1,0)</f>
        <v>0</v>
      </c>
    </row>
    <row r="13" spans="1:10" x14ac:dyDescent="0.25">
      <c r="A13" t="s">
        <v>55</v>
      </c>
      <c r="B13" t="s">
        <v>83</v>
      </c>
      <c r="C13" t="s">
        <v>57</v>
      </c>
      <c r="D13" t="s">
        <v>9</v>
      </c>
      <c r="E13">
        <v>0</v>
      </c>
      <c r="F13">
        <v>0</v>
      </c>
      <c r="G13">
        <v>1</v>
      </c>
      <c r="H13">
        <v>1</v>
      </c>
      <c r="I13">
        <v>0</v>
      </c>
      <c r="J13">
        <f>IF(SUM(Table3[[#This Row],[1. Translation]:[5. General comments]])&gt;0,1,0)</f>
        <v>1</v>
      </c>
    </row>
    <row r="14" spans="1:10" x14ac:dyDescent="0.25">
      <c r="A14" t="s">
        <v>36</v>
      </c>
      <c r="B14" t="s">
        <v>84</v>
      </c>
      <c r="C14" t="s">
        <v>57</v>
      </c>
      <c r="D14" t="s">
        <v>9</v>
      </c>
      <c r="E14">
        <v>0</v>
      </c>
      <c r="F14">
        <v>0</v>
      </c>
      <c r="G14">
        <v>0</v>
      </c>
      <c r="H14">
        <v>1</v>
      </c>
      <c r="I14">
        <v>0</v>
      </c>
      <c r="J14">
        <f>IF(SUM(Table3[[#This Row],[1. Translation]:[5. General comments]])&gt;0,1,0)</f>
        <v>1</v>
      </c>
    </row>
    <row r="15" spans="1:10" x14ac:dyDescent="0.25">
      <c r="A15" t="s">
        <v>11</v>
      </c>
      <c r="B15" t="s">
        <v>85</v>
      </c>
      <c r="C15" t="s">
        <v>57</v>
      </c>
      <c r="D15" t="s">
        <v>9</v>
      </c>
      <c r="E15">
        <v>0</v>
      </c>
      <c r="F15">
        <v>0</v>
      </c>
      <c r="G15">
        <v>0</v>
      </c>
      <c r="H15">
        <v>0</v>
      </c>
      <c r="I15">
        <v>0</v>
      </c>
      <c r="J15">
        <f>IF(SUM(Table3[[#This Row],[1. Translation]:[5. General comments]])&gt;0,1,0)</f>
        <v>0</v>
      </c>
    </row>
    <row r="16" spans="1:10" x14ac:dyDescent="0.25">
      <c r="A16" t="s">
        <v>50</v>
      </c>
      <c r="B16" t="s">
        <v>86</v>
      </c>
      <c r="C16" t="s">
        <v>57</v>
      </c>
      <c r="D16" t="s">
        <v>9</v>
      </c>
      <c r="E16">
        <v>0</v>
      </c>
      <c r="F16">
        <v>0</v>
      </c>
      <c r="G16">
        <v>0</v>
      </c>
      <c r="H16">
        <v>0</v>
      </c>
      <c r="I16">
        <v>0</v>
      </c>
      <c r="J16">
        <f>IF(SUM(Table3[[#This Row],[1. Translation]:[5. General comments]])&gt;0,1,0)</f>
        <v>0</v>
      </c>
    </row>
    <row r="17" spans="1:10" x14ac:dyDescent="0.25">
      <c r="A17" t="s">
        <v>40</v>
      </c>
      <c r="B17" t="s">
        <v>87</v>
      </c>
      <c r="C17" t="s">
        <v>57</v>
      </c>
      <c r="D17" t="s">
        <v>9</v>
      </c>
      <c r="E17">
        <v>0</v>
      </c>
      <c r="F17">
        <v>0</v>
      </c>
      <c r="G17">
        <v>0</v>
      </c>
      <c r="H17">
        <v>0</v>
      </c>
      <c r="I17">
        <v>0</v>
      </c>
      <c r="J17">
        <f>IF(SUM(Table3[[#This Row],[1. Translation]:[5. General comments]])&gt;0,1,0)</f>
        <v>0</v>
      </c>
    </row>
    <row r="18" spans="1:10" x14ac:dyDescent="0.25">
      <c r="A18" t="s">
        <v>63</v>
      </c>
      <c r="B18" t="s">
        <v>88</v>
      </c>
      <c r="C18" t="s">
        <v>57</v>
      </c>
      <c r="D18" t="s">
        <v>9</v>
      </c>
      <c r="E18">
        <v>0</v>
      </c>
      <c r="F18">
        <v>0</v>
      </c>
      <c r="G18">
        <v>0</v>
      </c>
      <c r="H18">
        <v>0</v>
      </c>
      <c r="I18">
        <v>0</v>
      </c>
      <c r="J18">
        <f>IF(SUM(Table3[[#This Row],[1. Translation]:[5. General comments]])&gt;0,1,0)</f>
        <v>0</v>
      </c>
    </row>
    <row r="19" spans="1:10" x14ac:dyDescent="0.25">
      <c r="A19" t="s">
        <v>54</v>
      </c>
      <c r="B19" t="s">
        <v>89</v>
      </c>
      <c r="C19" t="s">
        <v>57</v>
      </c>
      <c r="D19" t="s">
        <v>9</v>
      </c>
      <c r="E19">
        <v>1</v>
      </c>
      <c r="F19">
        <v>1</v>
      </c>
      <c r="G19">
        <v>1</v>
      </c>
      <c r="H19">
        <v>0</v>
      </c>
      <c r="I19">
        <v>0</v>
      </c>
      <c r="J19">
        <f>IF(SUM(Table3[[#This Row],[1. Translation]:[5. General comments]])&gt;0,1,0)</f>
        <v>1</v>
      </c>
    </row>
    <row r="20" spans="1:10" x14ac:dyDescent="0.25">
      <c r="A20" t="s">
        <v>41</v>
      </c>
      <c r="B20" t="s">
        <v>90</v>
      </c>
      <c r="C20" t="s">
        <v>57</v>
      </c>
      <c r="D20" t="s">
        <v>9</v>
      </c>
      <c r="E20">
        <v>0</v>
      </c>
      <c r="F20">
        <v>0</v>
      </c>
      <c r="G20">
        <v>0</v>
      </c>
      <c r="H20">
        <v>1</v>
      </c>
      <c r="I20">
        <v>0</v>
      </c>
      <c r="J20">
        <f>IF(SUM(Table3[[#This Row],[1. Translation]:[5. General comments]])&gt;0,1,0)</f>
        <v>1</v>
      </c>
    </row>
    <row r="21" spans="1:10" x14ac:dyDescent="0.25">
      <c r="A21" t="s">
        <v>29</v>
      </c>
      <c r="B21" t="s">
        <v>91</v>
      </c>
      <c r="C21" t="s">
        <v>21</v>
      </c>
      <c r="D21" t="s">
        <v>35</v>
      </c>
      <c r="E21">
        <v>0</v>
      </c>
      <c r="F21">
        <v>0</v>
      </c>
      <c r="G21">
        <v>0</v>
      </c>
      <c r="H21">
        <v>0</v>
      </c>
      <c r="I21">
        <v>1</v>
      </c>
      <c r="J21">
        <f>IF(SUM(Table3[[#This Row],[1. Translation]:[5. General comments]])&gt;0,1,0)</f>
        <v>1</v>
      </c>
    </row>
    <row r="22" spans="1:10" x14ac:dyDescent="0.25">
      <c r="A22" t="s">
        <v>26</v>
      </c>
      <c r="B22" t="s">
        <v>92</v>
      </c>
      <c r="C22" t="s">
        <v>30</v>
      </c>
      <c r="D22" t="s">
        <v>9</v>
      </c>
      <c r="E22">
        <v>0</v>
      </c>
      <c r="F22">
        <v>0</v>
      </c>
      <c r="G22">
        <v>0</v>
      </c>
      <c r="H22">
        <v>0</v>
      </c>
      <c r="I22">
        <v>0</v>
      </c>
      <c r="J22">
        <f>IF(SUM(Table3[[#This Row],[1. Translation]:[5. General comments]])&gt;0,1,0)</f>
        <v>0</v>
      </c>
    </row>
    <row r="23" spans="1:10" x14ac:dyDescent="0.25">
      <c r="A23" t="s">
        <v>10</v>
      </c>
      <c r="B23" t="s">
        <v>93</v>
      </c>
      <c r="C23" t="s">
        <v>30</v>
      </c>
      <c r="D23" t="s">
        <v>44</v>
      </c>
      <c r="E23">
        <v>0</v>
      </c>
      <c r="F23">
        <v>0</v>
      </c>
      <c r="G23">
        <v>0</v>
      </c>
      <c r="H23">
        <v>0</v>
      </c>
      <c r="I23">
        <v>0</v>
      </c>
      <c r="J23">
        <f>IF(SUM(Table3[[#This Row],[1. Translation]:[5. General comments]])&gt;0,1,0)</f>
        <v>0</v>
      </c>
    </row>
    <row r="24" spans="1:10" x14ac:dyDescent="0.25">
      <c r="A24" t="s">
        <v>67</v>
      </c>
      <c r="B24" t="s">
        <v>94</v>
      </c>
      <c r="C24" t="s">
        <v>30</v>
      </c>
      <c r="D24" t="s">
        <v>35</v>
      </c>
      <c r="E24">
        <v>0</v>
      </c>
      <c r="F24">
        <v>0</v>
      </c>
      <c r="G24">
        <v>0</v>
      </c>
      <c r="H24">
        <v>0</v>
      </c>
      <c r="I24">
        <v>0</v>
      </c>
      <c r="J24">
        <f>IF(SUM(Table3[[#This Row],[1. Translation]:[5. General comments]])&gt;0,1,0)</f>
        <v>0</v>
      </c>
    </row>
    <row r="25" spans="1:10" x14ac:dyDescent="0.25">
      <c r="A25" t="s">
        <v>12</v>
      </c>
      <c r="B25" t="s">
        <v>95</v>
      </c>
      <c r="C25" t="s">
        <v>30</v>
      </c>
      <c r="D25" t="s">
        <v>0</v>
      </c>
      <c r="E25">
        <v>0</v>
      </c>
      <c r="F25">
        <v>0</v>
      </c>
      <c r="G25">
        <v>0</v>
      </c>
      <c r="H25">
        <v>0</v>
      </c>
      <c r="I25">
        <v>0</v>
      </c>
      <c r="J25">
        <f>IF(SUM(Table3[[#This Row],[1. Translation]:[5. General comments]])&gt;0,1,0)</f>
        <v>0</v>
      </c>
    </row>
    <row r="26" spans="1:10" x14ac:dyDescent="0.25">
      <c r="A26" t="s">
        <v>15</v>
      </c>
      <c r="B26" t="s">
        <v>96</v>
      </c>
      <c r="C26" t="s">
        <v>30</v>
      </c>
      <c r="D26" t="s">
        <v>44</v>
      </c>
      <c r="E26">
        <v>1</v>
      </c>
      <c r="F26">
        <v>0</v>
      </c>
      <c r="G26">
        <v>0</v>
      </c>
      <c r="H26">
        <v>0</v>
      </c>
      <c r="I26">
        <v>0</v>
      </c>
      <c r="J26">
        <f>IF(SUM(Table3[[#This Row],[1. Translation]:[5. General comments]])&gt;0,1,0)</f>
        <v>1</v>
      </c>
    </row>
    <row r="27" spans="1:10" x14ac:dyDescent="0.25">
      <c r="A27" t="s">
        <v>28</v>
      </c>
      <c r="B27" t="s">
        <v>97</v>
      </c>
      <c r="C27" t="s">
        <v>30</v>
      </c>
      <c r="D27" t="s">
        <v>0</v>
      </c>
      <c r="E27">
        <v>0</v>
      </c>
      <c r="F27">
        <v>0</v>
      </c>
      <c r="G27">
        <v>0</v>
      </c>
      <c r="H27">
        <v>0</v>
      </c>
      <c r="I27">
        <v>0</v>
      </c>
      <c r="J27">
        <f>IF(SUM(Table3[[#This Row],[1. Translation]:[5. General comments]])&gt;0,1,0)</f>
        <v>0</v>
      </c>
    </row>
    <row r="28" spans="1:10" x14ac:dyDescent="0.25">
      <c r="A28" t="s">
        <v>25</v>
      </c>
      <c r="B28" t="s">
        <v>98</v>
      </c>
      <c r="C28" t="s">
        <v>30</v>
      </c>
      <c r="D28" t="s">
        <v>35</v>
      </c>
      <c r="E28">
        <v>0</v>
      </c>
      <c r="F28">
        <v>0</v>
      </c>
      <c r="G28">
        <v>0</v>
      </c>
      <c r="H28">
        <v>0</v>
      </c>
      <c r="I28">
        <v>0</v>
      </c>
      <c r="J28">
        <f>IF(SUM(Table3[[#This Row],[1. Translation]:[5. General comments]])&gt;0,1,0)</f>
        <v>0</v>
      </c>
    </row>
    <row r="29" spans="1:10" x14ac:dyDescent="0.25">
      <c r="A29" t="s">
        <v>6</v>
      </c>
      <c r="B29" t="s">
        <v>99</v>
      </c>
      <c r="C29" t="s">
        <v>30</v>
      </c>
      <c r="D29" t="s">
        <v>44</v>
      </c>
      <c r="E29">
        <v>0</v>
      </c>
      <c r="F29">
        <v>1</v>
      </c>
      <c r="G29">
        <v>0</v>
      </c>
      <c r="H29">
        <v>0</v>
      </c>
      <c r="I29">
        <v>0</v>
      </c>
      <c r="J29">
        <f>IF(SUM(Table3[[#This Row],[1. Translation]:[5. General comments]])&gt;0,1,0)</f>
        <v>1</v>
      </c>
    </row>
    <row r="30" spans="1:10" x14ac:dyDescent="0.25">
      <c r="A30" t="s">
        <v>42</v>
      </c>
      <c r="B30" t="s">
        <v>100</v>
      </c>
      <c r="C30" t="s">
        <v>30</v>
      </c>
      <c r="D30" t="s">
        <v>13</v>
      </c>
      <c r="E30">
        <v>1</v>
      </c>
      <c r="F30">
        <v>0</v>
      </c>
      <c r="G30">
        <v>0</v>
      </c>
      <c r="H30">
        <v>0</v>
      </c>
      <c r="I30">
        <v>0</v>
      </c>
      <c r="J30">
        <f>IF(SUM(Table3[[#This Row],[1. Translation]:[5. General comments]])&gt;0,1,0)</f>
        <v>1</v>
      </c>
    </row>
    <row r="31" spans="1:10" x14ac:dyDescent="0.25">
      <c r="A31" t="s">
        <v>19</v>
      </c>
      <c r="B31" t="s">
        <v>101</v>
      </c>
      <c r="C31" t="s">
        <v>30</v>
      </c>
      <c r="D31" t="s">
        <v>44</v>
      </c>
      <c r="E31">
        <v>0</v>
      </c>
      <c r="F31">
        <v>0</v>
      </c>
      <c r="G31">
        <v>0</v>
      </c>
      <c r="H31">
        <v>0</v>
      </c>
      <c r="I31">
        <v>0</v>
      </c>
      <c r="J31">
        <f>IF(SUM(Table3[[#This Row],[1. Translation]:[5. General comments]])&gt;0,1,0)</f>
        <v>0</v>
      </c>
    </row>
    <row r="32" spans="1:10" x14ac:dyDescent="0.25">
      <c r="A32" t="s">
        <v>66</v>
      </c>
      <c r="B32" t="s">
        <v>102</v>
      </c>
      <c r="C32" t="s">
        <v>30</v>
      </c>
      <c r="D32" t="s">
        <v>44</v>
      </c>
      <c r="E32">
        <v>0</v>
      </c>
      <c r="F32">
        <v>0</v>
      </c>
      <c r="G32">
        <v>0</v>
      </c>
      <c r="H32">
        <v>0</v>
      </c>
      <c r="I32">
        <v>0</v>
      </c>
      <c r="J32">
        <f>IF(SUM(Table3[[#This Row],[1. Translation]:[5. General comments]])&gt;0,1,0)</f>
        <v>0</v>
      </c>
    </row>
    <row r="33" spans="1:10" x14ac:dyDescent="0.25">
      <c r="A33" t="s">
        <v>17</v>
      </c>
      <c r="B33" t="s">
        <v>103</v>
      </c>
      <c r="C33" t="s">
        <v>30</v>
      </c>
      <c r="D33" t="s">
        <v>9</v>
      </c>
      <c r="E33">
        <v>0</v>
      </c>
      <c r="F33">
        <v>0</v>
      </c>
      <c r="G33">
        <v>0</v>
      </c>
      <c r="H33">
        <v>0</v>
      </c>
      <c r="I33">
        <v>0</v>
      </c>
      <c r="J33">
        <f>IF(SUM(Table3[[#This Row],[1. Translation]:[5. General comments]])&gt;0,1,0)</f>
        <v>0</v>
      </c>
    </row>
    <row r="34" spans="1:10" x14ac:dyDescent="0.25">
      <c r="A34" t="s">
        <v>24</v>
      </c>
      <c r="B34" t="s">
        <v>104</v>
      </c>
      <c r="C34" t="s">
        <v>30</v>
      </c>
      <c r="D34" t="s">
        <v>13</v>
      </c>
      <c r="E34">
        <v>1</v>
      </c>
      <c r="F34">
        <v>1</v>
      </c>
      <c r="G34">
        <v>1</v>
      </c>
      <c r="H34">
        <v>0</v>
      </c>
      <c r="I34">
        <v>0</v>
      </c>
      <c r="J34">
        <f>IF(SUM(Table3[[#This Row],[1. Translation]:[5. General comments]])&gt;0,1,0)</f>
        <v>1</v>
      </c>
    </row>
    <row r="35" spans="1:10" x14ac:dyDescent="0.25">
      <c r="A35" t="s">
        <v>51</v>
      </c>
      <c r="B35" t="s">
        <v>105</v>
      </c>
      <c r="C35" t="s">
        <v>30</v>
      </c>
      <c r="D35" t="s">
        <v>9</v>
      </c>
      <c r="E35">
        <v>0</v>
      </c>
      <c r="F35">
        <v>1</v>
      </c>
      <c r="G35">
        <v>0</v>
      </c>
      <c r="H35">
        <v>0</v>
      </c>
      <c r="I35">
        <v>0</v>
      </c>
      <c r="J35">
        <f>IF(SUM(Table3[[#This Row],[1. Translation]:[5. General comments]])&gt;0,1,0)</f>
        <v>1</v>
      </c>
    </row>
    <row r="36" spans="1:10" x14ac:dyDescent="0.25">
      <c r="A36" t="s">
        <v>53</v>
      </c>
      <c r="B36" t="s">
        <v>106</v>
      </c>
      <c r="C36" t="s">
        <v>30</v>
      </c>
      <c r="D36" t="s">
        <v>9</v>
      </c>
      <c r="E36">
        <v>0</v>
      </c>
      <c r="F36">
        <v>0</v>
      </c>
      <c r="G36">
        <v>0</v>
      </c>
      <c r="H36">
        <v>0</v>
      </c>
      <c r="I36">
        <v>0</v>
      </c>
      <c r="J36">
        <f>IF(SUM(Table3[[#This Row],[1. Translation]:[5. General comments]])&gt;0,1,0)</f>
        <v>0</v>
      </c>
    </row>
    <row r="37" spans="1:10" x14ac:dyDescent="0.25">
      <c r="A37" t="s">
        <v>1</v>
      </c>
      <c r="B37" t="s">
        <v>107</v>
      </c>
      <c r="C37" t="s">
        <v>30</v>
      </c>
      <c r="D37" t="s">
        <v>44</v>
      </c>
      <c r="E37">
        <v>1</v>
      </c>
      <c r="F37">
        <v>0</v>
      </c>
      <c r="G37">
        <v>0</v>
      </c>
      <c r="H37">
        <v>0</v>
      </c>
      <c r="I37">
        <v>0</v>
      </c>
      <c r="J37">
        <f>IF(SUM(Table3[[#This Row],[1. Translation]:[5. General comments]])&gt;0,1,0)</f>
        <v>1</v>
      </c>
    </row>
    <row r="38" spans="1:10" x14ac:dyDescent="0.25">
      <c r="A38" t="s">
        <v>4</v>
      </c>
      <c r="B38" t="s">
        <v>108</v>
      </c>
      <c r="C38" t="s">
        <v>30</v>
      </c>
      <c r="D38" t="s">
        <v>32</v>
      </c>
      <c r="E38">
        <v>0</v>
      </c>
      <c r="F38">
        <v>0</v>
      </c>
      <c r="G38">
        <v>0</v>
      </c>
      <c r="H38">
        <v>0</v>
      </c>
      <c r="I38">
        <v>0</v>
      </c>
      <c r="J38">
        <f>IF(SUM(Table3[[#This Row],[1. Translation]:[5. General comments]])&gt;0,1,0)</f>
        <v>0</v>
      </c>
    </row>
    <row r="39" spans="1:10" x14ac:dyDescent="0.25">
      <c r="A39" t="s">
        <v>7</v>
      </c>
      <c r="B39" t="s">
        <v>109</v>
      </c>
      <c r="C39" t="s">
        <v>30</v>
      </c>
      <c r="D39" t="s">
        <v>44</v>
      </c>
      <c r="E39">
        <v>0</v>
      </c>
      <c r="F39">
        <v>0</v>
      </c>
      <c r="G39">
        <v>0</v>
      </c>
      <c r="H39">
        <v>0</v>
      </c>
      <c r="I39">
        <v>0</v>
      </c>
      <c r="J39">
        <f>IF(SUM(Table3[[#This Row],[1. Translation]:[5. General comments]])&gt;0,1,0)</f>
        <v>0</v>
      </c>
    </row>
    <row r="40" spans="1:10" x14ac:dyDescent="0.25">
      <c r="A40" t="s">
        <v>20</v>
      </c>
      <c r="B40" t="s">
        <v>110</v>
      </c>
      <c r="C40" t="s">
        <v>30</v>
      </c>
      <c r="D40" t="s">
        <v>32</v>
      </c>
      <c r="E40">
        <v>0</v>
      </c>
      <c r="F40">
        <v>0</v>
      </c>
      <c r="G40">
        <v>0</v>
      </c>
      <c r="H40">
        <v>0</v>
      </c>
      <c r="I40">
        <v>0</v>
      </c>
      <c r="J40">
        <f>IF(SUM(Table3[[#This Row],[1. Translation]:[5. General comments]])&gt;0,1,0)</f>
        <v>0</v>
      </c>
    </row>
    <row r="41" spans="1:10" x14ac:dyDescent="0.25">
      <c r="A41" t="s">
        <v>38</v>
      </c>
      <c r="B41" t="s">
        <v>111</v>
      </c>
      <c r="C41" t="s">
        <v>30</v>
      </c>
      <c r="D41" t="s">
        <v>0</v>
      </c>
      <c r="E41">
        <v>0</v>
      </c>
      <c r="F41">
        <v>0</v>
      </c>
      <c r="G41">
        <v>0</v>
      </c>
      <c r="H41">
        <v>1</v>
      </c>
      <c r="I41">
        <v>0</v>
      </c>
      <c r="J41">
        <f>IF(SUM(Table3[[#This Row],[1. Translation]:[5. General comments]])&gt;0,1,0)</f>
        <v>1</v>
      </c>
    </row>
    <row r="42" spans="1:10" x14ac:dyDescent="0.25">
      <c r="A42" t="s">
        <v>18</v>
      </c>
      <c r="B42" t="s">
        <v>112</v>
      </c>
      <c r="C42" t="s">
        <v>30</v>
      </c>
      <c r="D42" t="s">
        <v>0</v>
      </c>
      <c r="E42">
        <v>0</v>
      </c>
      <c r="F42">
        <v>0</v>
      </c>
      <c r="G42">
        <v>0</v>
      </c>
      <c r="H42">
        <v>0</v>
      </c>
      <c r="I42">
        <v>0</v>
      </c>
      <c r="J42">
        <f>IF(SUM(Table3[[#This Row],[1. Translation]:[5. General comments]])&gt;0,1,0)</f>
        <v>0</v>
      </c>
    </row>
    <row r="43" spans="1:10" x14ac:dyDescent="0.25">
      <c r="A43" t="s">
        <v>68</v>
      </c>
      <c r="B43" t="s">
        <v>113</v>
      </c>
      <c r="C43" t="s">
        <v>30</v>
      </c>
      <c r="D43" t="s">
        <v>0</v>
      </c>
      <c r="E43">
        <v>1</v>
      </c>
      <c r="F43">
        <v>0</v>
      </c>
      <c r="G43">
        <v>1</v>
      </c>
      <c r="H43">
        <v>0</v>
      </c>
      <c r="I43">
        <v>1</v>
      </c>
      <c r="J43">
        <f>IF(SUM(Table3[[#This Row],[1. Translation]:[5. General comments]])&gt;0,1,0)</f>
        <v>1</v>
      </c>
    </row>
    <row r="44" spans="1:10" x14ac:dyDescent="0.25">
      <c r="A44" t="s">
        <v>27</v>
      </c>
      <c r="B44" t="s">
        <v>114</v>
      </c>
      <c r="C44" t="s">
        <v>30</v>
      </c>
      <c r="D44" t="s">
        <v>35</v>
      </c>
      <c r="E44">
        <v>0</v>
      </c>
      <c r="F44">
        <v>0</v>
      </c>
      <c r="G44">
        <v>0</v>
      </c>
      <c r="H44">
        <v>1</v>
      </c>
      <c r="I44">
        <v>0</v>
      </c>
      <c r="J44">
        <f>IF(SUM(Table3[[#This Row],[1. Translation]:[5. General comments]])&gt;0,1,0)</f>
        <v>1</v>
      </c>
    </row>
    <row r="45" spans="1:10" x14ac:dyDescent="0.25">
      <c r="A45" t="s">
        <v>37</v>
      </c>
      <c r="B45" t="s">
        <v>115</v>
      </c>
      <c r="C45" t="s">
        <v>30</v>
      </c>
      <c r="D45" t="s">
        <v>9</v>
      </c>
      <c r="E45">
        <v>0</v>
      </c>
      <c r="F45">
        <v>0</v>
      </c>
      <c r="G45">
        <v>0</v>
      </c>
      <c r="H45">
        <v>0</v>
      </c>
      <c r="I45">
        <v>0</v>
      </c>
      <c r="J45">
        <f>IF(SUM(Table3[[#This Row],[1. Translation]:[5. General comments]])&gt;0,1,0)</f>
        <v>0</v>
      </c>
    </row>
    <row r="46" spans="1:10" x14ac:dyDescent="0.25">
      <c r="A46" t="s">
        <v>60</v>
      </c>
      <c r="B46" t="s">
        <v>116</v>
      </c>
      <c r="C46" t="s">
        <v>30</v>
      </c>
      <c r="D46" t="s">
        <v>32</v>
      </c>
      <c r="E46">
        <v>0</v>
      </c>
      <c r="F46">
        <v>0</v>
      </c>
      <c r="G46">
        <v>0</v>
      </c>
      <c r="H46">
        <v>1</v>
      </c>
      <c r="I46">
        <v>0</v>
      </c>
      <c r="J46">
        <f>IF(SUM(Table3[[#This Row],[1. Translation]:[5. General comments]])&gt;0,1,0)</f>
        <v>1</v>
      </c>
    </row>
    <row r="47" spans="1:10" x14ac:dyDescent="0.25">
      <c r="A47" t="s">
        <v>59</v>
      </c>
      <c r="B47" t="s">
        <v>117</v>
      </c>
      <c r="C47" t="s">
        <v>30</v>
      </c>
      <c r="D47" t="s">
        <v>9</v>
      </c>
      <c r="E47">
        <v>0</v>
      </c>
      <c r="F47">
        <v>0</v>
      </c>
      <c r="G47">
        <v>0</v>
      </c>
      <c r="H47">
        <v>0</v>
      </c>
      <c r="I47">
        <v>0</v>
      </c>
      <c r="J47">
        <f>IF(SUM(Table3[[#This Row],[1. Translation]:[5. General comments]])&gt;0,1,0)</f>
        <v>0</v>
      </c>
    </row>
    <row r="48" spans="1:10" x14ac:dyDescent="0.25">
      <c r="A48" t="s">
        <v>31</v>
      </c>
      <c r="B48" t="s">
        <v>118</v>
      </c>
      <c r="C48" t="s">
        <v>30</v>
      </c>
      <c r="D48" t="s">
        <v>9</v>
      </c>
      <c r="E48">
        <v>0</v>
      </c>
      <c r="F48">
        <v>0</v>
      </c>
      <c r="G48">
        <v>0</v>
      </c>
      <c r="H48">
        <v>0</v>
      </c>
      <c r="I48">
        <v>0</v>
      </c>
      <c r="J48">
        <f>IF(SUM(Table3[[#This Row],[1. Translation]:[5. General comments]])&gt;0,1,0)</f>
        <v>0</v>
      </c>
    </row>
    <row r="49" spans="1:10" x14ac:dyDescent="0.25">
      <c r="A49" t="s">
        <v>14</v>
      </c>
      <c r="B49" t="s">
        <v>119</v>
      </c>
      <c r="C49" t="s">
        <v>30</v>
      </c>
      <c r="D49" t="s">
        <v>44</v>
      </c>
      <c r="E49">
        <v>0</v>
      </c>
      <c r="F49">
        <v>0</v>
      </c>
      <c r="G49">
        <v>0</v>
      </c>
      <c r="H49">
        <v>0</v>
      </c>
      <c r="I49">
        <v>0</v>
      </c>
      <c r="J49">
        <f>IF(SUM(Table3[[#This Row],[1. Translation]:[5. General comments]])&gt;0,1,0)</f>
        <v>0</v>
      </c>
    </row>
    <row r="50" spans="1:10" x14ac:dyDescent="0.25">
      <c r="A50" t="s">
        <v>47</v>
      </c>
      <c r="B50" t="s">
        <v>120</v>
      </c>
      <c r="C50" t="s">
        <v>3</v>
      </c>
      <c r="D50" t="s">
        <v>0</v>
      </c>
      <c r="E50">
        <v>0</v>
      </c>
      <c r="F50">
        <v>0</v>
      </c>
      <c r="G50">
        <v>0</v>
      </c>
      <c r="H50">
        <v>0</v>
      </c>
      <c r="I50">
        <v>0</v>
      </c>
      <c r="J50">
        <f>IF(SUM(Table3[[#This Row],[1. Translation]:[5. General comments]])&gt;0,1,0)</f>
        <v>0</v>
      </c>
    </row>
    <row r="51" spans="1:10" x14ac:dyDescent="0.25">
      <c r="A51" t="s">
        <v>8</v>
      </c>
      <c r="B51" t="s">
        <v>121</v>
      </c>
      <c r="C51" t="s">
        <v>39</v>
      </c>
      <c r="D51" t="s">
        <v>44</v>
      </c>
      <c r="E51">
        <v>0</v>
      </c>
      <c r="F51">
        <v>0</v>
      </c>
      <c r="G51">
        <v>0</v>
      </c>
      <c r="H51">
        <v>0</v>
      </c>
      <c r="I51">
        <v>0</v>
      </c>
      <c r="J51">
        <f>IF(SUM(Table3[[#This Row],[1. Translation]:[5. General comments]])&gt;0,1,0)</f>
        <v>0</v>
      </c>
    </row>
    <row r="52" spans="1:10" x14ac:dyDescent="0.25">
      <c r="A52" t="s">
        <v>43</v>
      </c>
      <c r="B52" t="s">
        <v>122</v>
      </c>
      <c r="C52" t="s">
        <v>39</v>
      </c>
      <c r="D52" t="s">
        <v>32</v>
      </c>
      <c r="E52">
        <v>1</v>
      </c>
      <c r="F52">
        <v>1</v>
      </c>
      <c r="G52">
        <v>1</v>
      </c>
      <c r="H52">
        <v>0</v>
      </c>
      <c r="I52">
        <v>0</v>
      </c>
      <c r="J52">
        <f>IF(SUM(Table3[[#This Row],[1. Translation]:[5. General comments]])&gt;0,1,0)</f>
        <v>1</v>
      </c>
    </row>
    <row r="53" spans="1:10" x14ac:dyDescent="0.25">
      <c r="A53" t="s">
        <v>45</v>
      </c>
      <c r="B53" t="s">
        <v>123</v>
      </c>
      <c r="C53" t="s">
        <v>39</v>
      </c>
      <c r="D53" t="s">
        <v>35</v>
      </c>
      <c r="E53">
        <v>0</v>
      </c>
      <c r="F53">
        <v>0</v>
      </c>
      <c r="G53">
        <v>0</v>
      </c>
      <c r="H53">
        <v>0</v>
      </c>
      <c r="I53">
        <v>0</v>
      </c>
      <c r="J53">
        <f>IF(SUM(Table3[[#This Row],[1. Translation]:[5. General comments]])&gt;0,1,0)</f>
        <v>0</v>
      </c>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A6249-B87B-44EB-9587-9EC0557C4806}">
  <dimension ref="A1:O21"/>
  <sheetViews>
    <sheetView view="pageBreakPreview" zoomScale="80" zoomScaleNormal="80" zoomScaleSheetLayoutView="80" workbookViewId="0">
      <selection activeCell="E28" sqref="E28"/>
    </sheetView>
  </sheetViews>
  <sheetFormatPr defaultColWidth="8.85546875" defaultRowHeight="12.75" x14ac:dyDescent="0.2"/>
  <cols>
    <col min="1" max="1" width="59.7109375" style="18" bestFit="1" customWidth="1"/>
    <col min="2" max="2" width="12.28515625" style="18" bestFit="1" customWidth="1"/>
    <col min="3" max="3" width="14.42578125" style="18" bestFit="1" customWidth="1"/>
    <col min="4" max="4" width="12.140625" style="18" bestFit="1" customWidth="1"/>
    <col min="5" max="5" width="13.42578125" style="18" bestFit="1" customWidth="1"/>
    <col min="6" max="6" width="12" style="18" bestFit="1" customWidth="1"/>
    <col min="7" max="7" width="13.5703125" style="18" bestFit="1" customWidth="1"/>
    <col min="8" max="13" width="8.85546875" style="18"/>
    <col min="14" max="14" width="10.42578125" style="18" customWidth="1"/>
    <col min="15" max="16384" width="8.85546875" style="18"/>
  </cols>
  <sheetData>
    <row r="1" spans="1:15" x14ac:dyDescent="0.2">
      <c r="A1" s="93" t="s">
        <v>263</v>
      </c>
      <c r="B1" s="93"/>
      <c r="C1" s="93"/>
      <c r="D1" s="93"/>
      <c r="E1" s="93"/>
      <c r="F1" s="66"/>
      <c r="G1" s="68" t="s">
        <v>268</v>
      </c>
      <c r="H1" s="67"/>
    </row>
    <row r="2" spans="1:15" x14ac:dyDescent="0.2">
      <c r="A2" s="69" t="s">
        <v>264</v>
      </c>
      <c r="B2" s="69"/>
      <c r="C2" s="69"/>
      <c r="D2" s="69"/>
      <c r="E2" s="69"/>
      <c r="F2" s="69"/>
      <c r="G2" s="69"/>
      <c r="H2" s="69"/>
      <c r="I2" s="69"/>
      <c r="J2" s="69"/>
    </row>
    <row r="3" spans="1:15" ht="12.75" customHeight="1" x14ac:dyDescent="0.2">
      <c r="A3" s="69"/>
      <c r="B3" s="69"/>
      <c r="C3" s="69"/>
      <c r="D3" s="69"/>
      <c r="E3" s="69"/>
      <c r="G3" s="69"/>
      <c r="H3" s="69"/>
      <c r="I3" s="69"/>
      <c r="J3" s="69"/>
    </row>
    <row r="4" spans="1:15" s="16" customFormat="1" ht="15.75" customHeight="1" x14ac:dyDescent="0.2">
      <c r="A4" s="87" t="s">
        <v>265</v>
      </c>
      <c r="B4" s="88"/>
      <c r="C4" s="88"/>
      <c r="D4" s="88"/>
      <c r="E4" s="88"/>
      <c r="F4" s="88"/>
      <c r="G4" s="89"/>
      <c r="H4" s="18"/>
      <c r="I4" s="18"/>
      <c r="J4" s="18"/>
      <c r="K4" s="18"/>
      <c r="L4" s="18"/>
      <c r="M4" s="18"/>
      <c r="N4" s="18"/>
      <c r="O4" s="18"/>
    </row>
    <row r="5" spans="1:15" s="21" customFormat="1" ht="16.5" customHeight="1" x14ac:dyDescent="0.2">
      <c r="A5" s="84" t="s">
        <v>266</v>
      </c>
      <c r="B5" s="85"/>
      <c r="C5" s="85"/>
      <c r="D5" s="85"/>
      <c r="E5" s="85"/>
      <c r="F5" s="85"/>
      <c r="G5" s="86"/>
      <c r="H5" s="18"/>
      <c r="I5" s="18"/>
      <c r="J5" s="18"/>
      <c r="K5" s="18"/>
      <c r="L5" s="18"/>
      <c r="M5" s="18"/>
      <c r="N5" s="18"/>
      <c r="O5" s="18"/>
    </row>
    <row r="6" spans="1:15" s="31" customFormat="1" ht="27.6" customHeight="1" x14ac:dyDescent="0.2">
      <c r="A6" s="90" t="s">
        <v>294</v>
      </c>
      <c r="B6" s="91"/>
      <c r="C6" s="91"/>
      <c r="D6" s="91"/>
      <c r="E6" s="91"/>
      <c r="F6" s="91"/>
      <c r="G6" s="92"/>
      <c r="H6" s="18"/>
      <c r="I6" s="18"/>
      <c r="J6" s="18"/>
      <c r="K6" s="18"/>
      <c r="L6" s="18"/>
      <c r="M6" s="18"/>
      <c r="N6" s="18"/>
      <c r="O6" s="18"/>
    </row>
    <row r="7" spans="1:15" s="31" customFormat="1" ht="13.15" customHeight="1" x14ac:dyDescent="0.2">
      <c r="A7" s="37"/>
      <c r="B7" s="38"/>
      <c r="C7" s="38"/>
      <c r="D7" s="38"/>
      <c r="E7" s="38"/>
      <c r="F7" s="38"/>
      <c r="G7" s="39"/>
      <c r="H7" s="18"/>
      <c r="I7" s="18"/>
      <c r="J7" s="18"/>
      <c r="K7" s="18"/>
      <c r="L7" s="18"/>
      <c r="M7" s="18"/>
      <c r="N7" s="18"/>
      <c r="O7" s="18"/>
    </row>
    <row r="8" spans="1:15" s="31" customFormat="1" ht="42.75" customHeight="1" x14ac:dyDescent="0.2">
      <c r="A8" s="90" t="s">
        <v>295</v>
      </c>
      <c r="B8" s="91"/>
      <c r="C8" s="91"/>
      <c r="D8" s="91"/>
      <c r="E8" s="91"/>
      <c r="F8" s="91"/>
      <c r="G8" s="92"/>
      <c r="H8" s="18"/>
      <c r="I8" s="18"/>
      <c r="J8" s="18"/>
      <c r="K8" s="18"/>
      <c r="L8" s="18"/>
      <c r="M8" s="18"/>
      <c r="N8" s="18"/>
      <c r="O8" s="18"/>
    </row>
    <row r="9" spans="1:15" s="31" customFormat="1" ht="13.9" customHeight="1" x14ac:dyDescent="0.2">
      <c r="A9" s="37"/>
      <c r="B9" s="38"/>
      <c r="C9" s="38"/>
      <c r="D9" s="38"/>
      <c r="E9" s="38"/>
      <c r="F9" s="38"/>
      <c r="G9" s="39"/>
      <c r="H9" s="18"/>
      <c r="I9" s="18"/>
      <c r="J9" s="18"/>
      <c r="K9" s="18"/>
      <c r="L9" s="18"/>
      <c r="M9" s="18"/>
      <c r="N9" s="18"/>
      <c r="O9" s="18"/>
    </row>
    <row r="10" spans="1:15" s="31" customFormat="1" ht="34.15" customHeight="1" x14ac:dyDescent="0.2">
      <c r="A10" s="81" t="s">
        <v>267</v>
      </c>
      <c r="B10" s="82"/>
      <c r="C10" s="82"/>
      <c r="D10" s="82"/>
      <c r="E10" s="82"/>
      <c r="F10" s="82"/>
      <c r="G10" s="83"/>
      <c r="H10" s="18"/>
      <c r="I10" s="18"/>
      <c r="J10" s="18"/>
      <c r="K10" s="18"/>
      <c r="L10" s="18"/>
      <c r="M10" s="18"/>
      <c r="N10" s="18"/>
      <c r="O10" s="18"/>
    </row>
    <row r="12" spans="1:15" s="27" customFormat="1" ht="45.75" customHeight="1" x14ac:dyDescent="0.2">
      <c r="A12" s="52" t="s">
        <v>2</v>
      </c>
      <c r="B12" s="51" t="s">
        <v>255</v>
      </c>
      <c r="C12" s="51" t="s">
        <v>256</v>
      </c>
      <c r="D12" s="51" t="s">
        <v>257</v>
      </c>
      <c r="E12" s="51" t="s">
        <v>258</v>
      </c>
      <c r="F12" s="51" t="s">
        <v>259</v>
      </c>
      <c r="G12" s="54" t="s">
        <v>129</v>
      </c>
    </row>
    <row r="13" spans="1:15" x14ac:dyDescent="0.2">
      <c r="A13" s="43" t="s">
        <v>58</v>
      </c>
      <c r="B13" s="44">
        <v>0</v>
      </c>
      <c r="C13" s="44">
        <v>1</v>
      </c>
      <c r="D13" s="44">
        <v>0</v>
      </c>
      <c r="E13" s="44">
        <v>0</v>
      </c>
      <c r="F13" s="44">
        <v>0</v>
      </c>
      <c r="G13" s="44">
        <v>1</v>
      </c>
    </row>
    <row r="14" spans="1:15" x14ac:dyDescent="0.2">
      <c r="A14" s="43" t="s">
        <v>34</v>
      </c>
      <c r="B14" s="44">
        <v>1</v>
      </c>
      <c r="C14" s="44">
        <v>1</v>
      </c>
      <c r="D14" s="44">
        <v>1</v>
      </c>
      <c r="E14" s="44">
        <v>0</v>
      </c>
      <c r="F14" s="44">
        <v>0</v>
      </c>
      <c r="G14" s="44">
        <v>1</v>
      </c>
    </row>
    <row r="15" spans="1:15" x14ac:dyDescent="0.2">
      <c r="A15" s="43" t="s">
        <v>64</v>
      </c>
      <c r="B15" s="44">
        <v>2</v>
      </c>
      <c r="C15" s="44">
        <v>2</v>
      </c>
      <c r="D15" s="44">
        <v>2</v>
      </c>
      <c r="E15" s="44">
        <v>1</v>
      </c>
      <c r="F15" s="44">
        <v>0</v>
      </c>
      <c r="G15" s="44">
        <v>3</v>
      </c>
    </row>
    <row r="16" spans="1:15" x14ac:dyDescent="0.2">
      <c r="A16" s="43" t="s">
        <v>57</v>
      </c>
      <c r="B16" s="44">
        <v>1</v>
      </c>
      <c r="C16" s="44">
        <v>1</v>
      </c>
      <c r="D16" s="44">
        <v>2</v>
      </c>
      <c r="E16" s="44">
        <v>3</v>
      </c>
      <c r="F16" s="44">
        <v>0</v>
      </c>
      <c r="G16" s="44">
        <v>4</v>
      </c>
    </row>
    <row r="17" spans="1:7" x14ac:dyDescent="0.2">
      <c r="A17" s="43" t="s">
        <v>21</v>
      </c>
      <c r="B17" s="44">
        <v>0</v>
      </c>
      <c r="C17" s="44">
        <v>0</v>
      </c>
      <c r="D17" s="44">
        <v>0</v>
      </c>
      <c r="E17" s="44">
        <v>0</v>
      </c>
      <c r="F17" s="44">
        <v>1</v>
      </c>
      <c r="G17" s="44">
        <v>1</v>
      </c>
    </row>
    <row r="18" spans="1:7" x14ac:dyDescent="0.2">
      <c r="A18" s="43" t="s">
        <v>30</v>
      </c>
      <c r="B18" s="44">
        <v>5</v>
      </c>
      <c r="C18" s="44">
        <v>3</v>
      </c>
      <c r="D18" s="44">
        <v>2</v>
      </c>
      <c r="E18" s="44">
        <v>3</v>
      </c>
      <c r="F18" s="44">
        <v>1</v>
      </c>
      <c r="G18" s="44">
        <v>10</v>
      </c>
    </row>
    <row r="19" spans="1:7" x14ac:dyDescent="0.2">
      <c r="A19" s="43" t="s">
        <v>3</v>
      </c>
      <c r="B19" s="44">
        <v>0</v>
      </c>
      <c r="C19" s="44">
        <v>0</v>
      </c>
      <c r="D19" s="44">
        <v>0</v>
      </c>
      <c r="E19" s="44">
        <v>0</v>
      </c>
      <c r="F19" s="44">
        <v>0</v>
      </c>
      <c r="G19" s="44">
        <v>0</v>
      </c>
    </row>
    <row r="20" spans="1:7" x14ac:dyDescent="0.2">
      <c r="A20" s="43" t="s">
        <v>39</v>
      </c>
      <c r="B20" s="44">
        <v>1</v>
      </c>
      <c r="C20" s="44">
        <v>1</v>
      </c>
      <c r="D20" s="44">
        <v>1</v>
      </c>
      <c r="E20" s="44">
        <v>0</v>
      </c>
      <c r="F20" s="44">
        <v>0</v>
      </c>
      <c r="G20" s="44">
        <v>1</v>
      </c>
    </row>
    <row r="21" spans="1:7" x14ac:dyDescent="0.2">
      <c r="A21" s="43" t="s">
        <v>126</v>
      </c>
      <c r="B21" s="44">
        <v>10</v>
      </c>
      <c r="C21" s="44">
        <v>9</v>
      </c>
      <c r="D21" s="44">
        <v>8</v>
      </c>
      <c r="E21" s="44">
        <v>7</v>
      </c>
      <c r="F21" s="44">
        <v>2</v>
      </c>
      <c r="G21" s="44">
        <v>21</v>
      </c>
    </row>
  </sheetData>
  <mergeCells count="6">
    <mergeCell ref="A1:E1"/>
    <mergeCell ref="A10:G10"/>
    <mergeCell ref="A5:G5"/>
    <mergeCell ref="A4:G4"/>
    <mergeCell ref="A6:G6"/>
    <mergeCell ref="A8:G8"/>
  </mergeCells>
  <pageMargins left="0.7" right="0.7" top="0.75" bottom="0.75" header="0.3" footer="0.3"/>
  <pageSetup scale="80" orientation="landscape" r:id="rId2"/>
  <headerFooter>
    <oddFooter>&amp;R&amp;P of &amp;N</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3854B-B084-4C21-9FB9-84DF9152C3E3}">
  <dimension ref="A1"/>
  <sheetViews>
    <sheetView workbookViewId="0"/>
  </sheetViews>
  <sheetFormatPr defaultRowHeight="15" x14ac:dyDescent="0.25"/>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347B8-D842-4B27-90C6-816B6DDE1A41}">
  <dimension ref="A1:C53"/>
  <sheetViews>
    <sheetView workbookViewId="0">
      <selection activeCell="C11" sqref="C11"/>
    </sheetView>
  </sheetViews>
  <sheetFormatPr defaultColWidth="30.7109375" defaultRowHeight="12.75" x14ac:dyDescent="0.2"/>
  <cols>
    <col min="1" max="16384" width="30.7109375" style="2"/>
  </cols>
  <sheetData>
    <row r="1" spans="1:3" x14ac:dyDescent="0.2">
      <c r="A1" s="2" t="s">
        <v>2</v>
      </c>
      <c r="B1" s="2" t="s">
        <v>65</v>
      </c>
      <c r="C1" s="2" t="s">
        <v>62</v>
      </c>
    </row>
    <row r="2" spans="1:3" x14ac:dyDescent="0.2">
      <c r="A2" s="2" t="s">
        <v>52</v>
      </c>
      <c r="B2" s="2" t="s">
        <v>58</v>
      </c>
      <c r="C2" s="2" t="s">
        <v>9</v>
      </c>
    </row>
    <row r="3" spans="1:3" ht="25.5" x14ac:dyDescent="0.2">
      <c r="A3" s="2" t="s">
        <v>56</v>
      </c>
      <c r="B3" s="2" t="s">
        <v>34</v>
      </c>
      <c r="C3" s="2" t="s">
        <v>13</v>
      </c>
    </row>
    <row r="4" spans="1:3" ht="25.5" x14ac:dyDescent="0.2">
      <c r="A4" s="2" t="s">
        <v>49</v>
      </c>
      <c r="B4" s="2" t="s">
        <v>34</v>
      </c>
      <c r="C4" s="2" t="s">
        <v>32</v>
      </c>
    </row>
    <row r="5" spans="1:3" ht="25.5" x14ac:dyDescent="0.2">
      <c r="A5" s="2" t="s">
        <v>48</v>
      </c>
      <c r="B5" s="2" t="s">
        <v>64</v>
      </c>
      <c r="C5" s="2" t="s">
        <v>0</v>
      </c>
    </row>
    <row r="6" spans="1:3" ht="25.5" x14ac:dyDescent="0.2">
      <c r="A6" s="2" t="s">
        <v>22</v>
      </c>
      <c r="B6" s="2" t="s">
        <v>64</v>
      </c>
      <c r="C6" s="2" t="s">
        <v>44</v>
      </c>
    </row>
    <row r="7" spans="1:3" ht="25.5" x14ac:dyDescent="0.2">
      <c r="A7" s="2" t="s">
        <v>16</v>
      </c>
      <c r="B7" s="2" t="s">
        <v>64</v>
      </c>
      <c r="C7" s="2" t="s">
        <v>0</v>
      </c>
    </row>
    <row r="8" spans="1:3" ht="25.5" x14ac:dyDescent="0.2">
      <c r="A8" s="2" t="s">
        <v>5</v>
      </c>
      <c r="B8" s="2" t="s">
        <v>64</v>
      </c>
      <c r="C8" s="2" t="s">
        <v>44</v>
      </c>
    </row>
    <row r="9" spans="1:3" ht="25.5" x14ac:dyDescent="0.2">
      <c r="A9" s="2" t="s">
        <v>23</v>
      </c>
      <c r="B9" s="2" t="s">
        <v>64</v>
      </c>
      <c r="C9" s="2" t="s">
        <v>0</v>
      </c>
    </row>
    <row r="10" spans="1:3" ht="25.5" x14ac:dyDescent="0.2">
      <c r="A10" s="2" t="s">
        <v>33</v>
      </c>
      <c r="B10" s="2" t="s">
        <v>64</v>
      </c>
      <c r="C10" s="2" t="s">
        <v>0</v>
      </c>
    </row>
    <row r="11" spans="1:3" ht="25.5" x14ac:dyDescent="0.2">
      <c r="A11" s="2" t="s">
        <v>46</v>
      </c>
      <c r="B11" s="2" t="s">
        <v>64</v>
      </c>
      <c r="C11" s="2" t="s">
        <v>44</v>
      </c>
    </row>
    <row r="12" spans="1:3" ht="25.5" x14ac:dyDescent="0.2">
      <c r="A12" s="2" t="s">
        <v>61</v>
      </c>
      <c r="B12" s="2" t="s">
        <v>64</v>
      </c>
      <c r="C12" s="2" t="s">
        <v>0</v>
      </c>
    </row>
    <row r="13" spans="1:3" x14ac:dyDescent="0.2">
      <c r="A13" s="2" t="s">
        <v>55</v>
      </c>
      <c r="B13" s="2" t="s">
        <v>57</v>
      </c>
      <c r="C13" s="2" t="s">
        <v>9</v>
      </c>
    </row>
    <row r="14" spans="1:3" x14ac:dyDescent="0.2">
      <c r="A14" s="2" t="s">
        <v>36</v>
      </c>
      <c r="B14" s="2" t="s">
        <v>57</v>
      </c>
      <c r="C14" s="2" t="s">
        <v>9</v>
      </c>
    </row>
    <row r="15" spans="1:3" x14ac:dyDescent="0.2">
      <c r="A15" s="2" t="s">
        <v>11</v>
      </c>
      <c r="B15" s="2" t="s">
        <v>57</v>
      </c>
      <c r="C15" s="2" t="s">
        <v>9</v>
      </c>
    </row>
    <row r="16" spans="1:3" x14ac:dyDescent="0.2">
      <c r="A16" s="2" t="s">
        <v>50</v>
      </c>
      <c r="B16" s="2" t="s">
        <v>57</v>
      </c>
      <c r="C16" s="2" t="s">
        <v>9</v>
      </c>
    </row>
    <row r="17" spans="1:3" x14ac:dyDescent="0.2">
      <c r="A17" s="2" t="s">
        <v>40</v>
      </c>
      <c r="B17" s="2" t="s">
        <v>57</v>
      </c>
      <c r="C17" s="2" t="s">
        <v>9</v>
      </c>
    </row>
    <row r="18" spans="1:3" x14ac:dyDescent="0.2">
      <c r="A18" s="2" t="s">
        <v>63</v>
      </c>
      <c r="B18" s="2" t="s">
        <v>57</v>
      </c>
      <c r="C18" s="2" t="s">
        <v>9</v>
      </c>
    </row>
    <row r="19" spans="1:3" x14ac:dyDescent="0.2">
      <c r="A19" s="2" t="s">
        <v>54</v>
      </c>
      <c r="B19" s="2" t="s">
        <v>57</v>
      </c>
      <c r="C19" s="2" t="s">
        <v>9</v>
      </c>
    </row>
    <row r="20" spans="1:3" x14ac:dyDescent="0.2">
      <c r="A20" s="2" t="s">
        <v>41</v>
      </c>
      <c r="B20" s="2" t="s">
        <v>57</v>
      </c>
      <c r="C20" s="2" t="s">
        <v>9</v>
      </c>
    </row>
    <row r="21" spans="1:3" x14ac:dyDescent="0.2">
      <c r="A21" s="2" t="s">
        <v>29</v>
      </c>
      <c r="B21" s="2" t="s">
        <v>21</v>
      </c>
      <c r="C21" s="2" t="s">
        <v>35</v>
      </c>
    </row>
    <row r="22" spans="1:3" ht="25.5" x14ac:dyDescent="0.2">
      <c r="A22" s="2" t="s">
        <v>26</v>
      </c>
      <c r="B22" s="2" t="s">
        <v>30</v>
      </c>
      <c r="C22" s="2" t="s">
        <v>9</v>
      </c>
    </row>
    <row r="23" spans="1:3" ht="25.5" x14ac:dyDescent="0.2">
      <c r="A23" s="2" t="s">
        <v>10</v>
      </c>
      <c r="B23" s="2" t="s">
        <v>30</v>
      </c>
      <c r="C23" s="2" t="s">
        <v>44</v>
      </c>
    </row>
    <row r="24" spans="1:3" ht="25.5" x14ac:dyDescent="0.2">
      <c r="A24" s="2" t="s">
        <v>67</v>
      </c>
      <c r="B24" s="2" t="s">
        <v>30</v>
      </c>
      <c r="C24" s="2" t="s">
        <v>35</v>
      </c>
    </row>
    <row r="25" spans="1:3" ht="25.5" x14ac:dyDescent="0.2">
      <c r="A25" s="2" t="s">
        <v>12</v>
      </c>
      <c r="B25" s="2" t="s">
        <v>30</v>
      </c>
      <c r="C25" s="2" t="s">
        <v>0</v>
      </c>
    </row>
    <row r="26" spans="1:3" ht="25.5" x14ac:dyDescent="0.2">
      <c r="A26" s="2" t="s">
        <v>15</v>
      </c>
      <c r="B26" s="2" t="s">
        <v>30</v>
      </c>
      <c r="C26" s="2" t="s">
        <v>44</v>
      </c>
    </row>
    <row r="27" spans="1:3" ht="25.5" x14ac:dyDescent="0.2">
      <c r="A27" s="2" t="s">
        <v>28</v>
      </c>
      <c r="B27" s="2" t="s">
        <v>30</v>
      </c>
      <c r="C27" s="2" t="s">
        <v>0</v>
      </c>
    </row>
    <row r="28" spans="1:3" ht="25.5" x14ac:dyDescent="0.2">
      <c r="A28" s="2" t="s">
        <v>25</v>
      </c>
      <c r="B28" s="2" t="s">
        <v>30</v>
      </c>
      <c r="C28" s="2" t="s">
        <v>35</v>
      </c>
    </row>
    <row r="29" spans="1:3" ht="25.5" x14ac:dyDescent="0.2">
      <c r="A29" s="2" t="s">
        <v>6</v>
      </c>
      <c r="B29" s="2" t="s">
        <v>30</v>
      </c>
      <c r="C29" s="2" t="s">
        <v>44</v>
      </c>
    </row>
    <row r="30" spans="1:3" ht="25.5" x14ac:dyDescent="0.2">
      <c r="A30" s="2" t="s">
        <v>42</v>
      </c>
      <c r="B30" s="2" t="s">
        <v>30</v>
      </c>
      <c r="C30" s="2" t="s">
        <v>13</v>
      </c>
    </row>
    <row r="31" spans="1:3" ht="25.5" x14ac:dyDescent="0.2">
      <c r="A31" s="2" t="s">
        <v>19</v>
      </c>
      <c r="B31" s="2" t="s">
        <v>30</v>
      </c>
      <c r="C31" s="2" t="s">
        <v>44</v>
      </c>
    </row>
    <row r="32" spans="1:3" ht="25.5" x14ac:dyDescent="0.2">
      <c r="A32" s="2" t="s">
        <v>66</v>
      </c>
      <c r="B32" s="2" t="s">
        <v>30</v>
      </c>
      <c r="C32" s="2" t="s">
        <v>44</v>
      </c>
    </row>
    <row r="33" spans="1:3" ht="25.5" x14ac:dyDescent="0.2">
      <c r="A33" s="2" t="s">
        <v>17</v>
      </c>
      <c r="B33" s="2" t="s">
        <v>30</v>
      </c>
      <c r="C33" s="2" t="s">
        <v>9</v>
      </c>
    </row>
    <row r="34" spans="1:3" ht="25.5" x14ac:dyDescent="0.2">
      <c r="A34" s="2" t="s">
        <v>24</v>
      </c>
      <c r="B34" s="2" t="s">
        <v>30</v>
      </c>
      <c r="C34" s="2" t="s">
        <v>13</v>
      </c>
    </row>
    <row r="35" spans="1:3" ht="25.5" x14ac:dyDescent="0.2">
      <c r="A35" s="2" t="s">
        <v>51</v>
      </c>
      <c r="B35" s="2" t="s">
        <v>30</v>
      </c>
      <c r="C35" s="2" t="s">
        <v>9</v>
      </c>
    </row>
    <row r="36" spans="1:3" ht="25.5" x14ac:dyDescent="0.2">
      <c r="A36" s="2" t="s">
        <v>53</v>
      </c>
      <c r="B36" s="2" t="s">
        <v>30</v>
      </c>
      <c r="C36" s="2" t="s">
        <v>9</v>
      </c>
    </row>
    <row r="37" spans="1:3" ht="25.5" x14ac:dyDescent="0.2">
      <c r="A37" s="2" t="s">
        <v>1</v>
      </c>
      <c r="B37" s="2" t="s">
        <v>30</v>
      </c>
      <c r="C37" s="2" t="s">
        <v>44</v>
      </c>
    </row>
    <row r="38" spans="1:3" ht="25.5" x14ac:dyDescent="0.2">
      <c r="A38" s="2" t="s">
        <v>4</v>
      </c>
      <c r="B38" s="2" t="s">
        <v>30</v>
      </c>
      <c r="C38" s="2" t="s">
        <v>32</v>
      </c>
    </row>
    <row r="39" spans="1:3" ht="25.5" x14ac:dyDescent="0.2">
      <c r="A39" s="2" t="s">
        <v>7</v>
      </c>
      <c r="B39" s="2" t="s">
        <v>30</v>
      </c>
      <c r="C39" s="2" t="s">
        <v>44</v>
      </c>
    </row>
    <row r="40" spans="1:3" ht="25.5" x14ac:dyDescent="0.2">
      <c r="A40" s="2" t="s">
        <v>20</v>
      </c>
      <c r="B40" s="2" t="s">
        <v>30</v>
      </c>
      <c r="C40" s="2" t="s">
        <v>32</v>
      </c>
    </row>
    <row r="41" spans="1:3" ht="25.5" x14ac:dyDescent="0.2">
      <c r="A41" s="2" t="s">
        <v>38</v>
      </c>
      <c r="B41" s="2" t="s">
        <v>30</v>
      </c>
      <c r="C41" s="2" t="s">
        <v>0</v>
      </c>
    </row>
    <row r="42" spans="1:3" ht="25.5" x14ac:dyDescent="0.2">
      <c r="A42" s="2" t="s">
        <v>18</v>
      </c>
      <c r="B42" s="2" t="s">
        <v>30</v>
      </c>
      <c r="C42" s="2" t="s">
        <v>0</v>
      </c>
    </row>
    <row r="43" spans="1:3" ht="25.5" x14ac:dyDescent="0.2">
      <c r="A43" s="2" t="s">
        <v>68</v>
      </c>
      <c r="B43" s="2" t="s">
        <v>30</v>
      </c>
      <c r="C43" s="2" t="s">
        <v>0</v>
      </c>
    </row>
    <row r="44" spans="1:3" ht="25.5" x14ac:dyDescent="0.2">
      <c r="A44" s="2" t="s">
        <v>27</v>
      </c>
      <c r="B44" s="2" t="s">
        <v>30</v>
      </c>
      <c r="C44" s="2" t="s">
        <v>35</v>
      </c>
    </row>
    <row r="45" spans="1:3" ht="25.5" x14ac:dyDescent="0.2">
      <c r="A45" s="2" t="s">
        <v>37</v>
      </c>
      <c r="B45" s="2" t="s">
        <v>30</v>
      </c>
      <c r="C45" s="2" t="s">
        <v>9</v>
      </c>
    </row>
    <row r="46" spans="1:3" ht="25.5" x14ac:dyDescent="0.2">
      <c r="A46" s="2" t="s">
        <v>60</v>
      </c>
      <c r="B46" s="2" t="s">
        <v>30</v>
      </c>
      <c r="C46" s="2" t="s">
        <v>32</v>
      </c>
    </row>
    <row r="47" spans="1:3" ht="25.5" x14ac:dyDescent="0.2">
      <c r="A47" s="2" t="s">
        <v>59</v>
      </c>
      <c r="B47" s="2" t="s">
        <v>30</v>
      </c>
      <c r="C47" s="2" t="s">
        <v>9</v>
      </c>
    </row>
    <row r="48" spans="1:3" ht="25.5" x14ac:dyDescent="0.2">
      <c r="A48" s="2" t="s">
        <v>31</v>
      </c>
      <c r="B48" s="2" t="s">
        <v>30</v>
      </c>
      <c r="C48" s="2" t="s">
        <v>9</v>
      </c>
    </row>
    <row r="49" spans="1:3" ht="25.5" x14ac:dyDescent="0.2">
      <c r="A49" s="2" t="s">
        <v>14</v>
      </c>
      <c r="B49" s="2" t="s">
        <v>30</v>
      </c>
      <c r="C49" s="2" t="s">
        <v>44</v>
      </c>
    </row>
    <row r="50" spans="1:3" x14ac:dyDescent="0.2">
      <c r="A50" s="2" t="s">
        <v>47</v>
      </c>
      <c r="B50" s="2" t="s">
        <v>3</v>
      </c>
      <c r="C50" s="2" t="s">
        <v>0</v>
      </c>
    </row>
    <row r="51" spans="1:3" x14ac:dyDescent="0.2">
      <c r="A51" s="2" t="s">
        <v>8</v>
      </c>
      <c r="B51" s="2" t="s">
        <v>39</v>
      </c>
      <c r="C51" s="2" t="s">
        <v>44</v>
      </c>
    </row>
    <row r="52" spans="1:3" x14ac:dyDescent="0.2">
      <c r="A52" s="2" t="s">
        <v>43</v>
      </c>
      <c r="B52" s="2" t="s">
        <v>39</v>
      </c>
      <c r="C52" s="2" t="s">
        <v>32</v>
      </c>
    </row>
    <row r="53" spans="1:3" x14ac:dyDescent="0.2">
      <c r="A53" s="2" t="s">
        <v>45</v>
      </c>
      <c r="B53" s="2" t="s">
        <v>39</v>
      </c>
      <c r="C53" s="2" t="s">
        <v>35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F0EB5-CFEF-48C5-9396-859F4FD10A51}">
  <dimension ref="A1:J53"/>
  <sheetViews>
    <sheetView topLeftCell="E37" workbookViewId="0">
      <selection activeCell="B1" sqref="B1:J53"/>
    </sheetView>
  </sheetViews>
  <sheetFormatPr defaultColWidth="30.7109375" defaultRowHeight="12.75" x14ac:dyDescent="0.2"/>
  <cols>
    <col min="1" max="1" width="0" style="2" hidden="1" customWidth="1"/>
    <col min="2" max="2" width="30.7109375" style="10"/>
    <col min="3" max="4" width="0" style="2" hidden="1" customWidth="1"/>
    <col min="5" max="10" width="30.7109375" style="10"/>
    <col min="11" max="16384" width="30.7109375" style="2"/>
  </cols>
  <sheetData>
    <row r="1" spans="1:10" x14ac:dyDescent="0.2">
      <c r="A1" s="2" t="s">
        <v>2</v>
      </c>
      <c r="B1" s="2" t="s">
        <v>2</v>
      </c>
      <c r="C1" s="2" t="s">
        <v>65</v>
      </c>
      <c r="D1" s="2" t="s">
        <v>62</v>
      </c>
      <c r="E1" s="13" t="s">
        <v>250</v>
      </c>
      <c r="F1" s="13" t="s">
        <v>251</v>
      </c>
      <c r="G1" s="13" t="s">
        <v>252</v>
      </c>
      <c r="H1" s="13" t="s">
        <v>253</v>
      </c>
      <c r="I1" s="13" t="s">
        <v>254</v>
      </c>
      <c r="J1" s="14" t="s">
        <v>124</v>
      </c>
    </row>
    <row r="2" spans="1:10" x14ac:dyDescent="0.2">
      <c r="A2" s="2" t="s">
        <v>52</v>
      </c>
      <c r="B2" s="3" t="s">
        <v>72</v>
      </c>
      <c r="C2" s="2" t="s">
        <v>58</v>
      </c>
      <c r="D2" s="2" t="s">
        <v>9</v>
      </c>
      <c r="E2" s="4">
        <v>0</v>
      </c>
      <c r="F2" s="4">
        <v>1</v>
      </c>
      <c r="G2" s="4">
        <v>0</v>
      </c>
      <c r="H2" s="4">
        <v>0</v>
      </c>
      <c r="I2" s="4">
        <v>0</v>
      </c>
      <c r="J2" s="12">
        <f>SUM(E2:I2)</f>
        <v>1</v>
      </c>
    </row>
    <row r="3" spans="1:10" ht="25.5" x14ac:dyDescent="0.2">
      <c r="A3" s="2" t="s">
        <v>56</v>
      </c>
      <c r="B3" s="3" t="s">
        <v>73</v>
      </c>
      <c r="C3" s="2" t="s">
        <v>34</v>
      </c>
      <c r="D3" s="2" t="s">
        <v>13</v>
      </c>
      <c r="E3" s="4">
        <v>0</v>
      </c>
      <c r="F3" s="4">
        <v>0</v>
      </c>
      <c r="G3" s="4">
        <v>0</v>
      </c>
      <c r="H3" s="4">
        <v>0</v>
      </c>
      <c r="I3" s="4">
        <v>0</v>
      </c>
      <c r="J3" s="12">
        <f t="shared" ref="J3:J53" si="0">SUM(E3:I3)</f>
        <v>0</v>
      </c>
    </row>
    <row r="4" spans="1:10" ht="25.5" x14ac:dyDescent="0.2">
      <c r="A4" s="2" t="s">
        <v>49</v>
      </c>
      <c r="B4" s="3" t="s">
        <v>74</v>
      </c>
      <c r="C4" s="2" t="s">
        <v>34</v>
      </c>
      <c r="D4" s="2" t="s">
        <v>32</v>
      </c>
      <c r="E4" s="4">
        <v>1</v>
      </c>
      <c r="F4" s="4">
        <v>1</v>
      </c>
      <c r="G4" s="4">
        <v>1</v>
      </c>
      <c r="H4" s="4">
        <v>0</v>
      </c>
      <c r="I4" s="4">
        <v>0</v>
      </c>
      <c r="J4" s="12">
        <f t="shared" si="0"/>
        <v>3</v>
      </c>
    </row>
    <row r="5" spans="1:10" ht="25.5" x14ac:dyDescent="0.2">
      <c r="A5" s="2" t="s">
        <v>48</v>
      </c>
      <c r="B5" s="3" t="s">
        <v>75</v>
      </c>
      <c r="C5" s="2" t="s">
        <v>64</v>
      </c>
      <c r="D5" s="2" t="s">
        <v>0</v>
      </c>
      <c r="E5" s="4">
        <v>0</v>
      </c>
      <c r="F5" s="4">
        <v>0</v>
      </c>
      <c r="G5" s="4">
        <v>0</v>
      </c>
      <c r="H5" s="4">
        <v>0</v>
      </c>
      <c r="I5" s="4">
        <v>0</v>
      </c>
      <c r="J5" s="12">
        <f t="shared" si="0"/>
        <v>0</v>
      </c>
    </row>
    <row r="6" spans="1:10" ht="25.5" x14ac:dyDescent="0.2">
      <c r="A6" s="2" t="s">
        <v>22</v>
      </c>
      <c r="B6" s="3" t="s">
        <v>76</v>
      </c>
      <c r="C6" s="2" t="s">
        <v>64</v>
      </c>
      <c r="D6" s="2" t="s">
        <v>44</v>
      </c>
      <c r="E6" s="4">
        <v>0</v>
      </c>
      <c r="F6" s="4">
        <v>0</v>
      </c>
      <c r="G6" s="4">
        <v>0</v>
      </c>
      <c r="H6" s="4">
        <v>0</v>
      </c>
      <c r="I6" s="4">
        <v>0</v>
      </c>
      <c r="J6" s="12">
        <f t="shared" si="0"/>
        <v>0</v>
      </c>
    </row>
    <row r="7" spans="1:10" ht="25.5" x14ac:dyDescent="0.2">
      <c r="A7" s="2" t="s">
        <v>16</v>
      </c>
      <c r="B7" s="3" t="s">
        <v>77</v>
      </c>
      <c r="C7" s="2" t="s">
        <v>64</v>
      </c>
      <c r="D7" s="2" t="s">
        <v>0</v>
      </c>
      <c r="E7" s="4">
        <v>0</v>
      </c>
      <c r="F7" s="4">
        <v>0</v>
      </c>
      <c r="G7" s="4">
        <v>0</v>
      </c>
      <c r="H7" s="4">
        <v>0</v>
      </c>
      <c r="I7" s="4">
        <v>0</v>
      </c>
      <c r="J7" s="12">
        <f t="shared" si="0"/>
        <v>0</v>
      </c>
    </row>
    <row r="8" spans="1:10" ht="25.5" x14ac:dyDescent="0.2">
      <c r="A8" s="2" t="s">
        <v>5</v>
      </c>
      <c r="B8" s="3" t="s">
        <v>78</v>
      </c>
      <c r="C8" s="2" t="s">
        <v>64</v>
      </c>
      <c r="D8" s="2" t="s">
        <v>44</v>
      </c>
      <c r="E8" s="4">
        <v>1</v>
      </c>
      <c r="F8" s="4">
        <v>1</v>
      </c>
      <c r="G8" s="4">
        <v>1</v>
      </c>
      <c r="H8" s="4">
        <v>0</v>
      </c>
      <c r="I8" s="4">
        <v>0</v>
      </c>
      <c r="J8" s="12">
        <f t="shared" si="0"/>
        <v>3</v>
      </c>
    </row>
    <row r="9" spans="1:10" ht="25.5" x14ac:dyDescent="0.2">
      <c r="A9" s="2" t="s">
        <v>23</v>
      </c>
      <c r="B9" s="3" t="s">
        <v>79</v>
      </c>
      <c r="C9" s="2" t="s">
        <v>64</v>
      </c>
      <c r="D9" s="2" t="s">
        <v>0</v>
      </c>
      <c r="E9" s="4">
        <v>0</v>
      </c>
      <c r="F9" s="4">
        <v>0</v>
      </c>
      <c r="G9" s="4">
        <v>0</v>
      </c>
      <c r="H9" s="4">
        <v>0</v>
      </c>
      <c r="I9" s="4">
        <v>0</v>
      </c>
      <c r="J9" s="12">
        <f t="shared" si="0"/>
        <v>0</v>
      </c>
    </row>
    <row r="10" spans="1:10" ht="25.5" x14ac:dyDescent="0.2">
      <c r="A10" s="2" t="s">
        <v>33</v>
      </c>
      <c r="B10" s="3" t="s">
        <v>80</v>
      </c>
      <c r="C10" s="2" t="s">
        <v>64</v>
      </c>
      <c r="D10" s="2" t="s">
        <v>0</v>
      </c>
      <c r="E10" s="4">
        <v>0</v>
      </c>
      <c r="F10" s="4">
        <v>0</v>
      </c>
      <c r="G10" s="4">
        <v>0</v>
      </c>
      <c r="H10" s="4">
        <v>1</v>
      </c>
      <c r="I10" s="4">
        <v>0</v>
      </c>
      <c r="J10" s="12">
        <f t="shared" si="0"/>
        <v>1</v>
      </c>
    </row>
    <row r="11" spans="1:10" ht="25.5" x14ac:dyDescent="0.2">
      <c r="A11" s="2" t="s">
        <v>46</v>
      </c>
      <c r="B11" s="3" t="s">
        <v>81</v>
      </c>
      <c r="C11" s="2" t="s">
        <v>64</v>
      </c>
      <c r="D11" s="2" t="s">
        <v>44</v>
      </c>
      <c r="E11" s="4">
        <v>1</v>
      </c>
      <c r="F11" s="4">
        <v>1</v>
      </c>
      <c r="G11" s="4">
        <v>1</v>
      </c>
      <c r="H11" s="4">
        <v>0</v>
      </c>
      <c r="I11" s="4">
        <v>0</v>
      </c>
      <c r="J11" s="12">
        <f t="shared" si="0"/>
        <v>3</v>
      </c>
    </row>
    <row r="12" spans="1:10" ht="25.5" x14ac:dyDescent="0.2">
      <c r="A12" s="2" t="s">
        <v>61</v>
      </c>
      <c r="B12" s="3" t="s">
        <v>82</v>
      </c>
      <c r="C12" s="2" t="s">
        <v>64</v>
      </c>
      <c r="D12" s="2" t="s">
        <v>0</v>
      </c>
      <c r="E12" s="4">
        <v>0</v>
      </c>
      <c r="F12" s="4">
        <v>0</v>
      </c>
      <c r="G12" s="4">
        <v>0</v>
      </c>
      <c r="H12" s="4">
        <v>0</v>
      </c>
      <c r="I12" s="4">
        <v>0</v>
      </c>
      <c r="J12" s="12">
        <f t="shared" si="0"/>
        <v>0</v>
      </c>
    </row>
    <row r="13" spans="1:10" x14ac:dyDescent="0.2">
      <c r="A13" s="2" t="s">
        <v>55</v>
      </c>
      <c r="B13" s="3" t="s">
        <v>83</v>
      </c>
      <c r="C13" s="2" t="s">
        <v>57</v>
      </c>
      <c r="D13" s="2" t="s">
        <v>9</v>
      </c>
      <c r="E13" s="4">
        <v>0</v>
      </c>
      <c r="F13" s="4">
        <v>0</v>
      </c>
      <c r="G13" s="4">
        <v>1</v>
      </c>
      <c r="H13" s="4">
        <v>1</v>
      </c>
      <c r="I13" s="4">
        <v>0</v>
      </c>
      <c r="J13" s="12">
        <f t="shared" si="0"/>
        <v>2</v>
      </c>
    </row>
    <row r="14" spans="1:10" x14ac:dyDescent="0.2">
      <c r="A14" s="2" t="s">
        <v>36</v>
      </c>
      <c r="B14" s="3" t="s">
        <v>84</v>
      </c>
      <c r="C14" s="2" t="s">
        <v>57</v>
      </c>
      <c r="D14" s="2" t="s">
        <v>9</v>
      </c>
      <c r="E14" s="4">
        <v>0</v>
      </c>
      <c r="F14" s="4">
        <v>0</v>
      </c>
      <c r="G14" s="4">
        <v>0</v>
      </c>
      <c r="H14" s="4">
        <v>1</v>
      </c>
      <c r="I14" s="4">
        <v>0</v>
      </c>
      <c r="J14" s="12">
        <f t="shared" si="0"/>
        <v>1</v>
      </c>
    </row>
    <row r="15" spans="1:10" x14ac:dyDescent="0.2">
      <c r="A15" s="2" t="s">
        <v>11</v>
      </c>
      <c r="B15" s="3" t="s">
        <v>85</v>
      </c>
      <c r="C15" s="2" t="s">
        <v>57</v>
      </c>
      <c r="D15" s="2" t="s">
        <v>9</v>
      </c>
      <c r="E15" s="4">
        <v>0</v>
      </c>
      <c r="F15" s="4">
        <v>0</v>
      </c>
      <c r="G15" s="4">
        <v>0</v>
      </c>
      <c r="H15" s="4">
        <v>0</v>
      </c>
      <c r="I15" s="4">
        <v>0</v>
      </c>
      <c r="J15" s="12">
        <f t="shared" si="0"/>
        <v>0</v>
      </c>
    </row>
    <row r="16" spans="1:10" x14ac:dyDescent="0.2">
      <c r="A16" s="2" t="s">
        <v>50</v>
      </c>
      <c r="B16" s="3" t="s">
        <v>86</v>
      </c>
      <c r="C16" s="2" t="s">
        <v>57</v>
      </c>
      <c r="D16" s="2" t="s">
        <v>9</v>
      </c>
      <c r="E16" s="4">
        <v>0</v>
      </c>
      <c r="F16" s="4">
        <v>0</v>
      </c>
      <c r="G16" s="4">
        <v>0</v>
      </c>
      <c r="H16" s="4">
        <v>0</v>
      </c>
      <c r="I16" s="4">
        <v>0</v>
      </c>
      <c r="J16" s="12">
        <f t="shared" si="0"/>
        <v>0</v>
      </c>
    </row>
    <row r="17" spans="1:10" x14ac:dyDescent="0.2">
      <c r="A17" s="2" t="s">
        <v>40</v>
      </c>
      <c r="B17" s="3" t="s">
        <v>87</v>
      </c>
      <c r="C17" s="2" t="s">
        <v>57</v>
      </c>
      <c r="D17" s="2" t="s">
        <v>9</v>
      </c>
      <c r="E17" s="4">
        <v>0</v>
      </c>
      <c r="F17" s="4">
        <v>0</v>
      </c>
      <c r="G17" s="4">
        <v>0</v>
      </c>
      <c r="H17" s="4">
        <v>0</v>
      </c>
      <c r="I17" s="4">
        <v>0</v>
      </c>
      <c r="J17" s="12">
        <f t="shared" si="0"/>
        <v>0</v>
      </c>
    </row>
    <row r="18" spans="1:10" x14ac:dyDescent="0.2">
      <c r="A18" s="2" t="s">
        <v>63</v>
      </c>
      <c r="B18" s="3" t="s">
        <v>88</v>
      </c>
      <c r="C18" s="2" t="s">
        <v>57</v>
      </c>
      <c r="D18" s="2" t="s">
        <v>9</v>
      </c>
      <c r="E18" s="4">
        <v>0</v>
      </c>
      <c r="F18" s="4">
        <v>0</v>
      </c>
      <c r="G18" s="4">
        <v>0</v>
      </c>
      <c r="H18" s="4">
        <v>0</v>
      </c>
      <c r="I18" s="4">
        <v>0</v>
      </c>
      <c r="J18" s="12">
        <f t="shared" si="0"/>
        <v>0</v>
      </c>
    </row>
    <row r="19" spans="1:10" x14ac:dyDescent="0.2">
      <c r="A19" s="2" t="s">
        <v>54</v>
      </c>
      <c r="B19" s="3" t="s">
        <v>89</v>
      </c>
      <c r="C19" s="2" t="s">
        <v>57</v>
      </c>
      <c r="D19" s="2" t="s">
        <v>9</v>
      </c>
      <c r="E19" s="4">
        <v>1</v>
      </c>
      <c r="F19" s="4">
        <v>1</v>
      </c>
      <c r="G19" s="4">
        <v>1</v>
      </c>
      <c r="H19" s="4">
        <v>0</v>
      </c>
      <c r="I19" s="4">
        <v>0</v>
      </c>
      <c r="J19" s="12">
        <f t="shared" si="0"/>
        <v>3</v>
      </c>
    </row>
    <row r="20" spans="1:10" x14ac:dyDescent="0.2">
      <c r="A20" s="2" t="s">
        <v>41</v>
      </c>
      <c r="B20" s="3" t="s">
        <v>90</v>
      </c>
      <c r="C20" s="2" t="s">
        <v>57</v>
      </c>
      <c r="D20" s="2" t="s">
        <v>9</v>
      </c>
      <c r="E20" s="4">
        <v>0</v>
      </c>
      <c r="F20" s="4">
        <v>0</v>
      </c>
      <c r="G20" s="4">
        <v>0</v>
      </c>
      <c r="H20" s="4">
        <v>1</v>
      </c>
      <c r="I20" s="4">
        <v>0</v>
      </c>
      <c r="J20" s="12">
        <f t="shared" si="0"/>
        <v>1</v>
      </c>
    </row>
    <row r="21" spans="1:10" x14ac:dyDescent="0.2">
      <c r="A21" s="2" t="s">
        <v>29</v>
      </c>
      <c r="B21" s="3" t="s">
        <v>91</v>
      </c>
      <c r="C21" s="2" t="s">
        <v>21</v>
      </c>
      <c r="D21" s="2" t="s">
        <v>35</v>
      </c>
      <c r="E21" s="4">
        <v>0</v>
      </c>
      <c r="F21" s="4">
        <v>0</v>
      </c>
      <c r="G21" s="4">
        <v>0</v>
      </c>
      <c r="H21" s="4">
        <v>0</v>
      </c>
      <c r="I21" s="4">
        <v>1</v>
      </c>
      <c r="J21" s="12">
        <f t="shared" si="0"/>
        <v>1</v>
      </c>
    </row>
    <row r="22" spans="1:10" ht="25.5" x14ac:dyDescent="0.2">
      <c r="A22" s="2" t="s">
        <v>26</v>
      </c>
      <c r="B22" s="3" t="s">
        <v>92</v>
      </c>
      <c r="C22" s="2" t="s">
        <v>30</v>
      </c>
      <c r="D22" s="2" t="s">
        <v>9</v>
      </c>
      <c r="E22" s="4">
        <v>0</v>
      </c>
      <c r="F22" s="4">
        <v>0</v>
      </c>
      <c r="G22" s="4">
        <v>0</v>
      </c>
      <c r="H22" s="4">
        <v>0</v>
      </c>
      <c r="I22" s="4">
        <v>0</v>
      </c>
      <c r="J22" s="12">
        <f t="shared" si="0"/>
        <v>0</v>
      </c>
    </row>
    <row r="23" spans="1:10" ht="25.5" x14ac:dyDescent="0.2">
      <c r="A23" s="2" t="s">
        <v>10</v>
      </c>
      <c r="B23" s="3" t="s">
        <v>93</v>
      </c>
      <c r="C23" s="2" t="s">
        <v>30</v>
      </c>
      <c r="D23" s="2" t="s">
        <v>44</v>
      </c>
      <c r="E23" s="4">
        <v>0</v>
      </c>
      <c r="F23" s="4">
        <v>0</v>
      </c>
      <c r="G23" s="4">
        <v>0</v>
      </c>
      <c r="H23" s="4">
        <v>0</v>
      </c>
      <c r="I23" s="4">
        <v>0</v>
      </c>
      <c r="J23" s="12">
        <f t="shared" si="0"/>
        <v>0</v>
      </c>
    </row>
    <row r="24" spans="1:10" ht="25.5" x14ac:dyDescent="0.2">
      <c r="A24" s="2" t="s">
        <v>67</v>
      </c>
      <c r="B24" s="3" t="s">
        <v>94</v>
      </c>
      <c r="C24" s="2" t="s">
        <v>30</v>
      </c>
      <c r="D24" s="2" t="s">
        <v>35</v>
      </c>
      <c r="E24" s="4">
        <v>0</v>
      </c>
      <c r="F24" s="4">
        <v>0</v>
      </c>
      <c r="G24" s="4">
        <v>0</v>
      </c>
      <c r="H24" s="4">
        <v>0</v>
      </c>
      <c r="I24" s="4">
        <v>0</v>
      </c>
      <c r="J24" s="12">
        <f t="shared" si="0"/>
        <v>0</v>
      </c>
    </row>
    <row r="25" spans="1:10" ht="25.5" x14ac:dyDescent="0.2">
      <c r="A25" s="2" t="s">
        <v>12</v>
      </c>
      <c r="B25" s="3" t="s">
        <v>95</v>
      </c>
      <c r="C25" s="2" t="s">
        <v>30</v>
      </c>
      <c r="D25" s="2" t="s">
        <v>0</v>
      </c>
      <c r="E25" s="4">
        <v>0</v>
      </c>
      <c r="F25" s="4">
        <v>0</v>
      </c>
      <c r="G25" s="4">
        <v>0</v>
      </c>
      <c r="H25" s="4">
        <v>0</v>
      </c>
      <c r="I25" s="4">
        <v>0</v>
      </c>
      <c r="J25" s="12">
        <f t="shared" si="0"/>
        <v>0</v>
      </c>
    </row>
    <row r="26" spans="1:10" ht="25.5" x14ac:dyDescent="0.2">
      <c r="A26" s="2" t="s">
        <v>15</v>
      </c>
      <c r="B26" s="3" t="s">
        <v>96</v>
      </c>
      <c r="C26" s="2" t="s">
        <v>30</v>
      </c>
      <c r="D26" s="2" t="s">
        <v>44</v>
      </c>
      <c r="E26" s="4">
        <v>1</v>
      </c>
      <c r="F26" s="4">
        <v>0</v>
      </c>
      <c r="G26" s="4">
        <v>0</v>
      </c>
      <c r="H26" s="4">
        <v>0</v>
      </c>
      <c r="I26" s="4">
        <v>0</v>
      </c>
      <c r="J26" s="12">
        <f t="shared" si="0"/>
        <v>1</v>
      </c>
    </row>
    <row r="27" spans="1:10" ht="25.5" x14ac:dyDescent="0.2">
      <c r="A27" s="2" t="s">
        <v>28</v>
      </c>
      <c r="B27" s="3" t="s">
        <v>97</v>
      </c>
      <c r="C27" s="2" t="s">
        <v>30</v>
      </c>
      <c r="D27" s="2" t="s">
        <v>0</v>
      </c>
      <c r="E27" s="4">
        <v>0</v>
      </c>
      <c r="F27" s="4">
        <v>0</v>
      </c>
      <c r="G27" s="4">
        <v>0</v>
      </c>
      <c r="H27" s="4">
        <v>0</v>
      </c>
      <c r="I27" s="4">
        <v>0</v>
      </c>
      <c r="J27" s="12">
        <f t="shared" si="0"/>
        <v>0</v>
      </c>
    </row>
    <row r="28" spans="1:10" ht="25.5" x14ac:dyDescent="0.2">
      <c r="A28" s="2" t="s">
        <v>25</v>
      </c>
      <c r="B28" s="3" t="s">
        <v>98</v>
      </c>
      <c r="C28" s="2" t="s">
        <v>30</v>
      </c>
      <c r="D28" s="2" t="s">
        <v>35</v>
      </c>
      <c r="E28" s="4">
        <v>0</v>
      </c>
      <c r="F28" s="4">
        <v>0</v>
      </c>
      <c r="G28" s="4">
        <v>0</v>
      </c>
      <c r="H28" s="4">
        <v>0</v>
      </c>
      <c r="I28" s="4">
        <v>0</v>
      </c>
      <c r="J28" s="12">
        <f t="shared" si="0"/>
        <v>0</v>
      </c>
    </row>
    <row r="29" spans="1:10" ht="25.5" x14ac:dyDescent="0.2">
      <c r="A29" s="2" t="s">
        <v>6</v>
      </c>
      <c r="B29" s="3" t="s">
        <v>99</v>
      </c>
      <c r="C29" s="2" t="s">
        <v>30</v>
      </c>
      <c r="D29" s="2" t="s">
        <v>44</v>
      </c>
      <c r="E29" s="4">
        <v>0</v>
      </c>
      <c r="F29" s="4">
        <v>1</v>
      </c>
      <c r="G29" s="4">
        <v>0</v>
      </c>
      <c r="H29" s="4">
        <v>0</v>
      </c>
      <c r="I29" s="4">
        <v>0</v>
      </c>
      <c r="J29" s="12">
        <f t="shared" si="0"/>
        <v>1</v>
      </c>
    </row>
    <row r="30" spans="1:10" ht="25.5" x14ac:dyDescent="0.2">
      <c r="A30" s="2" t="s">
        <v>42</v>
      </c>
      <c r="B30" s="3" t="s">
        <v>100</v>
      </c>
      <c r="C30" s="2" t="s">
        <v>30</v>
      </c>
      <c r="D30" s="2" t="s">
        <v>13</v>
      </c>
      <c r="E30" s="4">
        <v>1</v>
      </c>
      <c r="F30" s="4">
        <v>0</v>
      </c>
      <c r="G30" s="4">
        <v>0</v>
      </c>
      <c r="H30" s="4">
        <v>0</v>
      </c>
      <c r="I30" s="4">
        <v>0</v>
      </c>
      <c r="J30" s="12">
        <f t="shared" si="0"/>
        <v>1</v>
      </c>
    </row>
    <row r="31" spans="1:10" ht="25.5" x14ac:dyDescent="0.2">
      <c r="A31" s="2" t="s">
        <v>19</v>
      </c>
      <c r="B31" s="3" t="s">
        <v>101</v>
      </c>
      <c r="C31" s="2" t="s">
        <v>30</v>
      </c>
      <c r="D31" s="2" t="s">
        <v>44</v>
      </c>
      <c r="E31" s="4">
        <v>0</v>
      </c>
      <c r="F31" s="4">
        <v>0</v>
      </c>
      <c r="G31" s="4">
        <v>0</v>
      </c>
      <c r="H31" s="4">
        <v>0</v>
      </c>
      <c r="I31" s="4">
        <v>0</v>
      </c>
      <c r="J31" s="12">
        <f t="shared" si="0"/>
        <v>0</v>
      </c>
    </row>
    <row r="32" spans="1:10" ht="25.5" x14ac:dyDescent="0.2">
      <c r="A32" s="2" t="s">
        <v>66</v>
      </c>
      <c r="B32" s="3" t="s">
        <v>102</v>
      </c>
      <c r="C32" s="2" t="s">
        <v>30</v>
      </c>
      <c r="D32" s="2" t="s">
        <v>44</v>
      </c>
      <c r="E32" s="4">
        <v>0</v>
      </c>
      <c r="F32" s="4">
        <v>0</v>
      </c>
      <c r="G32" s="4">
        <v>0</v>
      </c>
      <c r="H32" s="4">
        <v>0</v>
      </c>
      <c r="I32" s="4">
        <v>0</v>
      </c>
      <c r="J32" s="12">
        <f t="shared" si="0"/>
        <v>0</v>
      </c>
    </row>
    <row r="33" spans="1:10" ht="25.5" x14ac:dyDescent="0.2">
      <c r="A33" s="2" t="s">
        <v>17</v>
      </c>
      <c r="B33" s="3" t="s">
        <v>103</v>
      </c>
      <c r="C33" s="2" t="s">
        <v>30</v>
      </c>
      <c r="D33" s="2" t="s">
        <v>9</v>
      </c>
      <c r="E33" s="4">
        <v>0</v>
      </c>
      <c r="F33" s="4">
        <v>0</v>
      </c>
      <c r="G33" s="4">
        <v>0</v>
      </c>
      <c r="H33" s="4">
        <v>0</v>
      </c>
      <c r="I33" s="4">
        <v>0</v>
      </c>
      <c r="J33" s="12">
        <f t="shared" si="0"/>
        <v>0</v>
      </c>
    </row>
    <row r="34" spans="1:10" ht="25.5" x14ac:dyDescent="0.2">
      <c r="A34" s="2" t="s">
        <v>24</v>
      </c>
      <c r="B34" s="3" t="s">
        <v>104</v>
      </c>
      <c r="C34" s="2" t="s">
        <v>30</v>
      </c>
      <c r="D34" s="2" t="s">
        <v>13</v>
      </c>
      <c r="E34" s="4">
        <v>1</v>
      </c>
      <c r="F34" s="4">
        <v>1</v>
      </c>
      <c r="G34" s="4">
        <v>1</v>
      </c>
      <c r="H34" s="4">
        <v>0</v>
      </c>
      <c r="I34" s="4">
        <v>0</v>
      </c>
      <c r="J34" s="12">
        <f t="shared" si="0"/>
        <v>3</v>
      </c>
    </row>
    <row r="35" spans="1:10" ht="25.5" x14ac:dyDescent="0.2">
      <c r="A35" s="2" t="s">
        <v>51</v>
      </c>
      <c r="B35" s="3" t="s">
        <v>105</v>
      </c>
      <c r="C35" s="2" t="s">
        <v>30</v>
      </c>
      <c r="D35" s="2" t="s">
        <v>9</v>
      </c>
      <c r="E35" s="4">
        <v>0</v>
      </c>
      <c r="F35" s="4">
        <v>1</v>
      </c>
      <c r="G35" s="4">
        <v>0</v>
      </c>
      <c r="H35" s="4">
        <v>0</v>
      </c>
      <c r="I35" s="4">
        <v>0</v>
      </c>
      <c r="J35" s="12">
        <f t="shared" si="0"/>
        <v>1</v>
      </c>
    </row>
    <row r="36" spans="1:10" ht="25.5" x14ac:dyDescent="0.2">
      <c r="A36" s="2" t="s">
        <v>53</v>
      </c>
      <c r="B36" s="3" t="s">
        <v>106</v>
      </c>
      <c r="C36" s="2" t="s">
        <v>30</v>
      </c>
      <c r="D36" s="2" t="s">
        <v>9</v>
      </c>
      <c r="E36" s="4">
        <v>0</v>
      </c>
      <c r="F36" s="4">
        <v>0</v>
      </c>
      <c r="G36" s="4">
        <v>0</v>
      </c>
      <c r="H36" s="4">
        <v>0</v>
      </c>
      <c r="I36" s="4">
        <v>0</v>
      </c>
      <c r="J36" s="12">
        <f t="shared" si="0"/>
        <v>0</v>
      </c>
    </row>
    <row r="37" spans="1:10" ht="25.5" x14ac:dyDescent="0.2">
      <c r="A37" s="2" t="s">
        <v>1</v>
      </c>
      <c r="B37" s="3" t="s">
        <v>107</v>
      </c>
      <c r="C37" s="2" t="s">
        <v>30</v>
      </c>
      <c r="D37" s="2" t="s">
        <v>44</v>
      </c>
      <c r="E37" s="4">
        <v>1</v>
      </c>
      <c r="F37" s="4">
        <v>0</v>
      </c>
      <c r="G37" s="4">
        <v>0</v>
      </c>
      <c r="H37" s="4">
        <v>0</v>
      </c>
      <c r="I37" s="4">
        <v>0</v>
      </c>
      <c r="J37" s="12">
        <f t="shared" si="0"/>
        <v>1</v>
      </c>
    </row>
    <row r="38" spans="1:10" ht="25.5" x14ac:dyDescent="0.2">
      <c r="A38" s="2" t="s">
        <v>4</v>
      </c>
      <c r="B38" s="3" t="s">
        <v>108</v>
      </c>
      <c r="C38" s="2" t="s">
        <v>30</v>
      </c>
      <c r="D38" s="2" t="s">
        <v>32</v>
      </c>
      <c r="E38" s="4">
        <v>0</v>
      </c>
      <c r="F38" s="4">
        <v>0</v>
      </c>
      <c r="G38" s="4">
        <v>0</v>
      </c>
      <c r="H38" s="4">
        <v>0</v>
      </c>
      <c r="I38" s="4">
        <v>0</v>
      </c>
      <c r="J38" s="12">
        <f t="shared" si="0"/>
        <v>0</v>
      </c>
    </row>
    <row r="39" spans="1:10" ht="25.5" x14ac:dyDescent="0.2">
      <c r="A39" s="2" t="s">
        <v>7</v>
      </c>
      <c r="B39" s="3" t="s">
        <v>109</v>
      </c>
      <c r="C39" s="2" t="s">
        <v>30</v>
      </c>
      <c r="D39" s="2" t="s">
        <v>44</v>
      </c>
      <c r="E39" s="4">
        <v>0</v>
      </c>
      <c r="F39" s="4">
        <v>0</v>
      </c>
      <c r="G39" s="4">
        <v>0</v>
      </c>
      <c r="H39" s="4">
        <v>0</v>
      </c>
      <c r="I39" s="4">
        <v>0</v>
      </c>
      <c r="J39" s="12">
        <f t="shared" si="0"/>
        <v>0</v>
      </c>
    </row>
    <row r="40" spans="1:10" ht="25.5" x14ac:dyDescent="0.2">
      <c r="A40" s="2" t="s">
        <v>20</v>
      </c>
      <c r="B40" s="3" t="s">
        <v>110</v>
      </c>
      <c r="C40" s="2" t="s">
        <v>30</v>
      </c>
      <c r="D40" s="2" t="s">
        <v>32</v>
      </c>
      <c r="E40" s="4">
        <v>0</v>
      </c>
      <c r="F40" s="4">
        <v>0</v>
      </c>
      <c r="G40" s="4">
        <v>0</v>
      </c>
      <c r="H40" s="4">
        <v>0</v>
      </c>
      <c r="I40" s="4">
        <v>0</v>
      </c>
      <c r="J40" s="12">
        <f t="shared" si="0"/>
        <v>0</v>
      </c>
    </row>
    <row r="41" spans="1:10" ht="25.5" x14ac:dyDescent="0.2">
      <c r="A41" s="2" t="s">
        <v>38</v>
      </c>
      <c r="B41" s="3" t="s">
        <v>111</v>
      </c>
      <c r="C41" s="2" t="s">
        <v>30</v>
      </c>
      <c r="D41" s="2" t="s">
        <v>0</v>
      </c>
      <c r="E41" s="4">
        <v>0</v>
      </c>
      <c r="F41" s="4">
        <v>0</v>
      </c>
      <c r="G41" s="4">
        <v>0</v>
      </c>
      <c r="H41" s="4">
        <v>1</v>
      </c>
      <c r="I41" s="4">
        <v>0</v>
      </c>
      <c r="J41" s="12">
        <f t="shared" si="0"/>
        <v>1</v>
      </c>
    </row>
    <row r="42" spans="1:10" ht="25.5" x14ac:dyDescent="0.2">
      <c r="A42" s="2" t="s">
        <v>18</v>
      </c>
      <c r="B42" s="3" t="s">
        <v>112</v>
      </c>
      <c r="C42" s="2" t="s">
        <v>30</v>
      </c>
      <c r="D42" s="2" t="s">
        <v>0</v>
      </c>
      <c r="E42" s="4">
        <v>0</v>
      </c>
      <c r="F42" s="4">
        <v>0</v>
      </c>
      <c r="G42" s="4">
        <v>0</v>
      </c>
      <c r="H42" s="4">
        <v>0</v>
      </c>
      <c r="I42" s="4">
        <v>0</v>
      </c>
      <c r="J42" s="12">
        <f t="shared" si="0"/>
        <v>0</v>
      </c>
    </row>
    <row r="43" spans="1:10" ht="25.5" x14ac:dyDescent="0.2">
      <c r="A43" s="2" t="s">
        <v>68</v>
      </c>
      <c r="B43" s="3" t="s">
        <v>113</v>
      </c>
      <c r="C43" s="2" t="s">
        <v>30</v>
      </c>
      <c r="D43" s="2" t="s">
        <v>0</v>
      </c>
      <c r="E43" s="4">
        <v>1</v>
      </c>
      <c r="F43" s="4">
        <v>0</v>
      </c>
      <c r="G43" s="4">
        <v>1</v>
      </c>
      <c r="H43" s="4">
        <v>0</v>
      </c>
      <c r="I43" s="4">
        <v>1</v>
      </c>
      <c r="J43" s="12">
        <f t="shared" si="0"/>
        <v>3</v>
      </c>
    </row>
    <row r="44" spans="1:10" ht="25.5" x14ac:dyDescent="0.2">
      <c r="A44" s="2" t="s">
        <v>27</v>
      </c>
      <c r="B44" s="3" t="s">
        <v>114</v>
      </c>
      <c r="C44" s="2" t="s">
        <v>30</v>
      </c>
      <c r="D44" s="2" t="s">
        <v>35</v>
      </c>
      <c r="E44" s="4">
        <v>0</v>
      </c>
      <c r="F44" s="4">
        <v>0</v>
      </c>
      <c r="G44" s="4">
        <v>0</v>
      </c>
      <c r="H44" s="4">
        <v>1</v>
      </c>
      <c r="I44" s="4">
        <v>0</v>
      </c>
      <c r="J44" s="12">
        <f t="shared" si="0"/>
        <v>1</v>
      </c>
    </row>
    <row r="45" spans="1:10" ht="25.5" x14ac:dyDescent="0.2">
      <c r="A45" s="2" t="s">
        <v>37</v>
      </c>
      <c r="B45" s="3" t="s">
        <v>115</v>
      </c>
      <c r="C45" s="2" t="s">
        <v>30</v>
      </c>
      <c r="D45" s="2" t="s">
        <v>9</v>
      </c>
      <c r="E45" s="4">
        <v>0</v>
      </c>
      <c r="F45" s="4">
        <v>0</v>
      </c>
      <c r="G45" s="4">
        <v>0</v>
      </c>
      <c r="H45" s="4">
        <v>0</v>
      </c>
      <c r="I45" s="4">
        <v>0</v>
      </c>
      <c r="J45" s="12">
        <f t="shared" si="0"/>
        <v>0</v>
      </c>
    </row>
    <row r="46" spans="1:10" ht="25.5" x14ac:dyDescent="0.2">
      <c r="A46" s="2" t="s">
        <v>60</v>
      </c>
      <c r="B46" s="3" t="s">
        <v>116</v>
      </c>
      <c r="C46" s="2" t="s">
        <v>30</v>
      </c>
      <c r="D46" s="2" t="s">
        <v>32</v>
      </c>
      <c r="E46" s="4">
        <v>0</v>
      </c>
      <c r="F46" s="4">
        <v>0</v>
      </c>
      <c r="G46" s="4">
        <v>0</v>
      </c>
      <c r="H46" s="4">
        <v>1</v>
      </c>
      <c r="I46" s="4">
        <v>0</v>
      </c>
      <c r="J46" s="12">
        <f t="shared" si="0"/>
        <v>1</v>
      </c>
    </row>
    <row r="47" spans="1:10" ht="25.5" x14ac:dyDescent="0.2">
      <c r="A47" s="2" t="s">
        <v>59</v>
      </c>
      <c r="B47" s="3" t="s">
        <v>117</v>
      </c>
      <c r="C47" s="2" t="s">
        <v>30</v>
      </c>
      <c r="D47" s="2" t="s">
        <v>9</v>
      </c>
      <c r="E47" s="4">
        <v>0</v>
      </c>
      <c r="F47" s="4">
        <v>0</v>
      </c>
      <c r="G47" s="4">
        <v>0</v>
      </c>
      <c r="H47" s="4">
        <v>0</v>
      </c>
      <c r="I47" s="4">
        <v>0</v>
      </c>
      <c r="J47" s="12">
        <f t="shared" si="0"/>
        <v>0</v>
      </c>
    </row>
    <row r="48" spans="1:10" ht="25.5" x14ac:dyDescent="0.2">
      <c r="A48" s="2" t="s">
        <v>31</v>
      </c>
      <c r="B48" s="3" t="s">
        <v>118</v>
      </c>
      <c r="C48" s="2" t="s">
        <v>30</v>
      </c>
      <c r="D48" s="2" t="s">
        <v>9</v>
      </c>
      <c r="E48" s="4">
        <v>0</v>
      </c>
      <c r="F48" s="4">
        <v>0</v>
      </c>
      <c r="G48" s="4">
        <v>0</v>
      </c>
      <c r="H48" s="4">
        <v>0</v>
      </c>
      <c r="I48" s="4">
        <v>0</v>
      </c>
      <c r="J48" s="12">
        <f t="shared" si="0"/>
        <v>0</v>
      </c>
    </row>
    <row r="49" spans="1:10" ht="25.5" x14ac:dyDescent="0.2">
      <c r="A49" s="2" t="s">
        <v>14</v>
      </c>
      <c r="B49" s="3" t="s">
        <v>119</v>
      </c>
      <c r="C49" s="2" t="s">
        <v>30</v>
      </c>
      <c r="D49" s="2" t="s">
        <v>44</v>
      </c>
      <c r="E49" s="4">
        <v>0</v>
      </c>
      <c r="F49" s="4">
        <v>0</v>
      </c>
      <c r="G49" s="4">
        <v>0</v>
      </c>
      <c r="H49" s="4">
        <v>0</v>
      </c>
      <c r="I49" s="4">
        <v>0</v>
      </c>
      <c r="J49" s="12">
        <f t="shared" si="0"/>
        <v>0</v>
      </c>
    </row>
    <row r="50" spans="1:10" x14ac:dyDescent="0.2">
      <c r="A50" s="2" t="s">
        <v>47</v>
      </c>
      <c r="B50" s="3" t="s">
        <v>120</v>
      </c>
      <c r="C50" s="2" t="s">
        <v>3</v>
      </c>
      <c r="D50" s="2" t="s">
        <v>0</v>
      </c>
      <c r="E50" s="4">
        <v>0</v>
      </c>
      <c r="F50" s="4">
        <v>0</v>
      </c>
      <c r="G50" s="4">
        <v>0</v>
      </c>
      <c r="H50" s="4">
        <v>0</v>
      </c>
      <c r="I50" s="4">
        <v>0</v>
      </c>
      <c r="J50" s="12">
        <f t="shared" si="0"/>
        <v>0</v>
      </c>
    </row>
    <row r="51" spans="1:10" x14ac:dyDescent="0.2">
      <c r="A51" s="2" t="s">
        <v>8</v>
      </c>
      <c r="B51" s="3" t="s">
        <v>121</v>
      </c>
      <c r="C51" s="2" t="s">
        <v>39</v>
      </c>
      <c r="D51" s="2" t="s">
        <v>44</v>
      </c>
      <c r="E51" s="4">
        <v>0</v>
      </c>
      <c r="F51" s="4">
        <v>0</v>
      </c>
      <c r="G51" s="4">
        <v>0</v>
      </c>
      <c r="H51" s="4">
        <v>0</v>
      </c>
      <c r="I51" s="4">
        <v>0</v>
      </c>
      <c r="J51" s="12">
        <f t="shared" si="0"/>
        <v>0</v>
      </c>
    </row>
    <row r="52" spans="1:10" x14ac:dyDescent="0.2">
      <c r="A52" s="2" t="s">
        <v>43</v>
      </c>
      <c r="B52" s="3" t="s">
        <v>122</v>
      </c>
      <c r="C52" s="2" t="s">
        <v>39</v>
      </c>
      <c r="D52" s="2" t="s">
        <v>32</v>
      </c>
      <c r="E52" s="4">
        <v>1</v>
      </c>
      <c r="F52" s="4">
        <v>1</v>
      </c>
      <c r="G52" s="4">
        <v>1</v>
      </c>
      <c r="H52" s="4">
        <v>0</v>
      </c>
      <c r="I52" s="4">
        <v>0</v>
      </c>
      <c r="J52" s="12">
        <f t="shared" si="0"/>
        <v>3</v>
      </c>
    </row>
    <row r="53" spans="1:10" x14ac:dyDescent="0.2">
      <c r="A53" s="2" t="s">
        <v>45</v>
      </c>
      <c r="B53" s="3" t="s">
        <v>123</v>
      </c>
      <c r="C53" s="2" t="s">
        <v>39</v>
      </c>
      <c r="D53" s="2" t="s">
        <v>35</v>
      </c>
      <c r="E53" s="4">
        <v>0</v>
      </c>
      <c r="F53" s="4">
        <v>0</v>
      </c>
      <c r="G53" s="4">
        <v>0</v>
      </c>
      <c r="H53" s="4">
        <v>0</v>
      </c>
      <c r="I53" s="4">
        <v>0</v>
      </c>
      <c r="J53" s="12">
        <f t="shared" si="0"/>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65534F253E5CD469705343EDC065E1C" ma:contentTypeVersion="8" ma:contentTypeDescription="Create a new document." ma:contentTypeScope="" ma:versionID="9e44815aebb7a0568bea1cee5818ffa4">
  <xsd:schema xmlns:xsd="http://www.w3.org/2001/XMLSchema" xmlns:xs="http://www.w3.org/2001/XMLSchema" xmlns:p="http://schemas.microsoft.com/office/2006/metadata/properties" xmlns:ns3="0a6679bd-afbc-4e9d-9586-e8b9cae1c10d" targetNamespace="http://schemas.microsoft.com/office/2006/metadata/properties" ma:root="true" ma:fieldsID="7518f889024894246abbaf025907505f" ns3:_="">
    <xsd:import namespace="0a6679bd-afbc-4e9d-9586-e8b9cae1c10d"/>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DateTaken" minOccurs="0"/>
                <xsd:element ref="ns3:MediaServiceEventHashCode" minOccurs="0"/>
                <xsd:element ref="ns3:MediaServiceGenerationTime"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6679bd-afbc-4e9d-9586-e8b9cae1c1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223C71-66B7-47C9-8E34-90F85F7A514C}">
  <ds:schemaRefs>
    <ds:schemaRef ds:uri="http://schemas.microsoft.com/office/2006/documentManagement/types"/>
    <ds:schemaRef ds:uri="http://www.w3.org/XML/1998/namespace"/>
    <ds:schemaRef ds:uri="http://purl.org/dc/dcmitype/"/>
    <ds:schemaRef ds:uri="http://purl.org/dc/term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0a6679bd-afbc-4e9d-9586-e8b9cae1c10d"/>
  </ds:schemaRefs>
</ds:datastoreItem>
</file>

<file path=customXml/itemProps2.xml><?xml version="1.0" encoding="utf-8"?>
<ds:datastoreItem xmlns:ds="http://schemas.openxmlformats.org/officeDocument/2006/customXml" ds:itemID="{38A896C8-9DE9-4799-A8C6-3028E59378C6}">
  <ds:schemaRefs>
    <ds:schemaRef ds:uri="http://schemas.microsoft.com/sharepoint/v3/contenttype/forms"/>
  </ds:schemaRefs>
</ds:datastoreItem>
</file>

<file path=customXml/itemProps3.xml><?xml version="1.0" encoding="utf-8"?>
<ds:datastoreItem xmlns:ds="http://schemas.openxmlformats.org/officeDocument/2006/customXml" ds:itemID="{D6BB9F5B-428C-4540-980A-E31BE100A3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6679bd-afbc-4e9d-9586-e8b9cae1c1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44</vt:i4>
      </vt:variant>
      <vt:variant>
        <vt:lpstr>Named Ranges</vt:lpstr>
      </vt:variant>
      <vt:variant>
        <vt:i4>14</vt:i4>
      </vt:variant>
    </vt:vector>
  </HeadingPairs>
  <TitlesOfParts>
    <vt:vector size="58" baseType="lpstr">
      <vt:lpstr>Q1 Category Data</vt:lpstr>
      <vt:lpstr>Sheet6</vt:lpstr>
      <vt:lpstr>6C-1 Question 1</vt:lpstr>
      <vt:lpstr>Q1 Category-Data</vt:lpstr>
      <vt:lpstr>Q1 Theme Data</vt:lpstr>
      <vt:lpstr>Sheet2</vt:lpstr>
      <vt:lpstr>Sheet3</vt:lpstr>
      <vt:lpstr>Sheet4</vt:lpstr>
      <vt:lpstr>Sheet5</vt:lpstr>
      <vt:lpstr>Sheet7</vt:lpstr>
      <vt:lpstr>6C-1.1 Q 1 Themes</vt:lpstr>
      <vt:lpstr>Q1 Theme-Data</vt:lpstr>
      <vt:lpstr>Sheet8</vt:lpstr>
      <vt:lpstr>Sheet9</vt:lpstr>
      <vt:lpstr>Sheet10</vt:lpstr>
      <vt:lpstr>Sheet11</vt:lpstr>
      <vt:lpstr>6C-2 Question 2</vt:lpstr>
      <vt:lpstr>Q2 Category-Data</vt:lpstr>
      <vt:lpstr>6C-2.1 Q2 Themes</vt:lpstr>
      <vt:lpstr>Q2 Theme-Data</vt:lpstr>
      <vt:lpstr>6C-3 Question 3</vt:lpstr>
      <vt:lpstr>6C3.1 Q3 Themes</vt:lpstr>
      <vt:lpstr>6C-4 Question 4</vt:lpstr>
      <vt:lpstr>6C-4.1 Q4 Themes</vt:lpstr>
      <vt:lpstr>6C-5 Question 5</vt:lpstr>
      <vt:lpstr>6C-5.1 Q5 Themes</vt:lpstr>
      <vt:lpstr>Q6 Category Data</vt:lpstr>
      <vt:lpstr>Sheet12</vt:lpstr>
      <vt:lpstr>6C-6 Question 6</vt:lpstr>
      <vt:lpstr>Q6Theme Data</vt:lpstr>
      <vt:lpstr>6C6.1 Q6 Themes</vt:lpstr>
      <vt:lpstr>Q3 Category-Data</vt:lpstr>
      <vt:lpstr>Q3 Theme-Data</vt:lpstr>
      <vt:lpstr>Q4 Category-Data</vt:lpstr>
      <vt:lpstr>Q4 Theme-Data</vt:lpstr>
      <vt:lpstr>Q5 Category-Data</vt:lpstr>
      <vt:lpstr>Q5 Theme-Data</vt:lpstr>
      <vt:lpstr>Q6 Category-Data</vt:lpstr>
      <vt:lpstr>Q6 Theme-Data</vt:lpstr>
      <vt:lpstr>Q7 Category Data</vt:lpstr>
      <vt:lpstr>6C-7 Question 7</vt:lpstr>
      <vt:lpstr>Sheet1</vt:lpstr>
      <vt:lpstr>Respondent</vt:lpstr>
      <vt:lpstr>Q7 Category-Data</vt:lpstr>
      <vt:lpstr>'6C-6 Question 6'!Print_Area</vt:lpstr>
      <vt:lpstr>'6C-1 Question 1'!Print_Titles</vt:lpstr>
      <vt:lpstr>'6C-1.1 Q 1 Themes'!Print_Titles</vt:lpstr>
      <vt:lpstr>'6C-2 Question 2'!Print_Titles</vt:lpstr>
      <vt:lpstr>'6C-2.1 Q2 Themes'!Print_Titles</vt:lpstr>
      <vt:lpstr>'6C-3 Question 3'!Print_Titles</vt:lpstr>
      <vt:lpstr>'6C3.1 Q3 Themes'!Print_Titles</vt:lpstr>
      <vt:lpstr>'6C-4 Question 4'!Print_Titles</vt:lpstr>
      <vt:lpstr>'6C-4.1 Q4 Themes'!Print_Titles</vt:lpstr>
      <vt:lpstr>'6C-5 Question 5'!Print_Titles</vt:lpstr>
      <vt:lpstr>'6C-5.1 Q5 Themes'!Print_Titles</vt:lpstr>
      <vt:lpstr>'6C-6 Question 6'!Print_Titles</vt:lpstr>
      <vt:lpstr>'6C6.1 Q6 Themes'!Print_Titles</vt:lpstr>
      <vt:lpstr>'6C-7 Question 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Marek Grabowski</dc:creator>
  <cp:lastModifiedBy>Armand Kotze</cp:lastModifiedBy>
  <cp:lastPrinted>2019-09-09T14:34:08Z</cp:lastPrinted>
  <dcterms:created xsi:type="dcterms:W3CDTF">2019-09-04T00:52:28Z</dcterms:created>
  <dcterms:modified xsi:type="dcterms:W3CDTF">2019-09-09T15:26:40Z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0x010100765534F253E5CD469705343EDC065E1C</vt:lpwstr>
  </property>
</Properties>
</file>