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Ifac-vmfs01\profiles\kshukarova\Desktop\IAASB\LCEs\Board Papers December 2019\Papers final\"/>
    </mc:Choice>
  </mc:AlternateContent>
  <xr:revisionPtr revIDLastSave="0" documentId="13_ncr:1_{68B4FDCF-B3FE-45A2-AF43-BEFEEA0028EB}" xr6:coauthVersionLast="41" xr6:coauthVersionMax="41" xr10:uidLastSave="{00000000-0000-0000-0000-000000000000}"/>
  <bookViews>
    <workbookView xWindow="-110" yWindow="-110" windowWidth="19420" windowHeight="10420" xr2:uid="{00000000-000D-0000-FFFF-FFFF00000000}"/>
  </bookViews>
  <sheets>
    <sheet name="Agenda item 6-C.1" sheetId="7" r:id="rId1"/>
    <sheet name="Agenda item 6-C.2" sheetId="11" r:id="rId2"/>
    <sheet name="Agenda item 6-C.3" sheetId="10" r:id="rId3"/>
    <sheet name="Agenda item 6-C.4" sheetId="20" r:id="rId4"/>
    <sheet name="Agenda item 6-C.5" sheetId="14" r:id="rId5"/>
    <sheet name="Agenda item 6-C.6" sheetId="15" r:id="rId6"/>
    <sheet name="Agenda item 6-C.7" sheetId="19" r:id="rId7"/>
    <sheet name="Agenda item 6-C.8" sheetId="21" r:id="rId8"/>
    <sheet name="Agenda item 6-C.9" sheetId="22" r:id="rId9"/>
    <sheet name="Agenda item 6-C.10" sheetId="25" r:id="rId10"/>
    <sheet name="Agenda item 6-C.11" sheetId="26" r:id="rId11"/>
  </sheets>
  <calcPr calcId="191029"/>
  <pivotCaches>
    <pivotCache cacheId="16" r:id="rId12"/>
    <pivotCache cacheId="17" r:id="rId13"/>
    <pivotCache cacheId="18" r:id="rId14"/>
    <pivotCache cacheId="19" r:id="rId15"/>
    <pivotCache cacheId="20" r:id="rId16"/>
    <pivotCache cacheId="21" r:id="rId17"/>
    <pivotCache cacheId="22" r:id="rId18"/>
    <pivotCache cacheId="23" r:id="rId19"/>
    <pivotCache cacheId="24" r:id="rId20"/>
    <pivotCache cacheId="25" r:id="rId21"/>
    <pivotCache cacheId="26" r:id="rId22"/>
    <pivotCache cacheId="27" r:id="rId23"/>
    <pivotCache cacheId="28" r:id="rId24"/>
    <pivotCache cacheId="29" r:id="rId25"/>
    <pivotCache cacheId="30" r:id="rId26"/>
    <pivotCache cacheId="31" r:id="rId27"/>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8" i="21" l="1"/>
  <c r="H17" i="21"/>
  <c r="H16" i="21"/>
  <c r="H15" i="21"/>
  <c r="H14" i="21"/>
  <c r="H13" i="21"/>
  <c r="H12" i="21"/>
  <c r="H11" i="21"/>
  <c r="H10" i="21"/>
  <c r="G18" i="19"/>
  <c r="G17" i="19"/>
  <c r="G16" i="19"/>
  <c r="G15" i="19"/>
  <c r="G14" i="19"/>
  <c r="G13" i="19"/>
  <c r="G12" i="19"/>
  <c r="G11" i="19"/>
  <c r="G10" i="19"/>
  <c r="G18" i="15"/>
  <c r="G17" i="15"/>
  <c r="G16" i="15"/>
  <c r="G15" i="15"/>
  <c r="G14" i="15"/>
  <c r="G13" i="15"/>
  <c r="G12" i="15"/>
  <c r="G11" i="15"/>
  <c r="G10" i="15"/>
  <c r="G18" i="14"/>
  <c r="G17" i="14"/>
  <c r="G16" i="14"/>
  <c r="G15" i="14"/>
  <c r="G14" i="14"/>
  <c r="G13" i="14"/>
  <c r="G12" i="14"/>
  <c r="G11" i="14"/>
  <c r="G10" i="14"/>
  <c r="G18" i="7" l="1"/>
  <c r="G17" i="7"/>
  <c r="G16" i="7"/>
  <c r="G15" i="7"/>
  <c r="G14" i="7"/>
  <c r="G13" i="7"/>
  <c r="G12" i="7"/>
  <c r="G11" i="7"/>
  <c r="G10" i="7"/>
  <c r="F7" i="19"/>
  <c r="B7" i="19"/>
  <c r="C7" i="19"/>
  <c r="E7" i="19"/>
  <c r="D7" i="19"/>
  <c r="E7" i="7"/>
  <c r="B7" i="7"/>
  <c r="F7" i="7"/>
  <c r="D7" i="7"/>
  <c r="C7" i="7"/>
  <c r="G7" i="7" l="1"/>
  <c r="G7" i="19"/>
  <c r="F7" i="14"/>
  <c r="D7" i="14"/>
  <c r="E7" i="14"/>
  <c r="C7" i="14"/>
  <c r="B7" i="14"/>
  <c r="F7" i="15"/>
  <c r="E7" i="15"/>
  <c r="C7" i="15"/>
  <c r="D7" i="15"/>
  <c r="B7" i="15"/>
  <c r="G7" i="15" l="1"/>
  <c r="G7" i="14"/>
  <c r="B7" i="21"/>
  <c r="C7" i="21"/>
  <c r="E7" i="21"/>
  <c r="G7" i="21"/>
  <c r="D7" i="21"/>
  <c r="F7" i="21"/>
  <c r="H7" i="21" l="1"/>
</calcChain>
</file>

<file path=xl/sharedStrings.xml><?xml version="1.0" encoding="utf-8"?>
<sst xmlns="http://schemas.openxmlformats.org/spreadsheetml/2006/main" count="376" uniqueCount="179">
  <si>
    <t>Respondent</t>
  </si>
  <si>
    <t>6. Member Bodies and Other Professional Organizations</t>
  </si>
  <si>
    <t>7. Academics</t>
  </si>
  <si>
    <t>4. Accounting Firms</t>
  </si>
  <si>
    <t>8. Individuals and Other</t>
  </si>
  <si>
    <t>1. Monitoring Group</t>
  </si>
  <si>
    <t>3. National Auditing Standard Setters</t>
  </si>
  <si>
    <t>5. Public Sector Organizations</t>
  </si>
  <si>
    <t>2. Regulators and Audit Oversight Authorities</t>
  </si>
  <si>
    <t>Total</t>
  </si>
  <si>
    <t>Grand Total</t>
  </si>
  <si>
    <t>Sum of 02. Q1 Agree</t>
  </si>
  <si>
    <t>Sum of 03. Q1 Agree but with further comments</t>
  </si>
  <si>
    <t>Audit of Less Complex Entities : Summary of Feedback from Respondents</t>
  </si>
  <si>
    <r>
      <rPr>
        <b/>
        <sz val="10"/>
        <color theme="3"/>
        <rFont val="Arial"/>
        <family val="2"/>
      </rPr>
      <t>Q1: Views about description of LCEs</t>
    </r>
    <r>
      <rPr>
        <sz val="10"/>
        <color theme="1"/>
        <rFont val="Arial"/>
        <family val="2"/>
      </rPr>
      <t xml:space="preserve"> 
We are looking for views about how LCEs could be described (see page 5). In your view, is the description appropriate for the types of entities that would be the focus of our work in relation to audits of LCEs, and are there any other characteristics that should be included?</t>
    </r>
  </si>
  <si>
    <t>Sum of 02. Q2 (a) Risk assessment (ISA 315)</t>
  </si>
  <si>
    <t>Sum of 03. Q2 (a) Estimates (ISA 540)</t>
  </si>
  <si>
    <t>Sum of 04. Q2 (a) Fraud (ISA 240)</t>
  </si>
  <si>
    <t>Sum of 05. Q2 (a) Documentation (ISA 230)</t>
  </si>
  <si>
    <t>Sum of 06. Q2 (a) Auditors responses to assessed risks (ISA 330)</t>
  </si>
  <si>
    <t>Sum of 07. Q2 (a) Audit evidence (ISA 500)</t>
  </si>
  <si>
    <t>Sum of 08. Q2 (a) Communicating with TCWG (ISA 260 &amp; ISA 265)</t>
  </si>
  <si>
    <t>Sum of 09. Q2 (a) Planning (ISA 300)</t>
  </si>
  <si>
    <t>Sum of 10. Q2 (a) Sampling (ISA 530)</t>
  </si>
  <si>
    <t>Sum of 11. Q2 (a) Materiality (ISA 320)</t>
  </si>
  <si>
    <t>Sum of 12. Q2 (a) Analytical procedures (ISA 520)</t>
  </si>
  <si>
    <t>Sum of 13. Q2 (a) Going concern (ISA 570)</t>
  </si>
  <si>
    <t>Sum of 14. Q2 (a) Using a service organization (ISA 402)</t>
  </si>
  <si>
    <t>Sum of 15. Q2 (a) Related parties (ISA 550)</t>
  </si>
  <si>
    <t>Sum of 16. Q2 (a) Consideration of laws and regulations (ISA 250)</t>
  </si>
  <si>
    <t>Sum of 17. Q2 (a) Group audits (ISA 600)</t>
  </si>
  <si>
    <t>Sum of 18. Q2 (a) Quality control (ISQC 1)</t>
  </si>
  <si>
    <t>Sum of 19. Q2 (a) Auditor reporting standards</t>
  </si>
  <si>
    <t>Sum of 20. Q2 (a) ISAs usually not applicable to LCEs</t>
  </si>
  <si>
    <t>Sum of 2. Q4 (a.1) Option A - Agree</t>
  </si>
  <si>
    <t>Sum of 3. Q4 (a.1) Option A - Agree but with further comments</t>
  </si>
  <si>
    <r>
      <rPr>
        <b/>
        <sz val="10"/>
        <color theme="3"/>
        <rFont val="Arial"/>
        <family val="2"/>
      </rPr>
      <t>Q4 (a.1) Option A - Possible action - Views on revising the ISA</t>
    </r>
    <r>
      <rPr>
        <sz val="10"/>
        <color theme="1"/>
        <rFont val="Arial"/>
        <family val="2"/>
      </rPr>
      <t xml:space="preserve">
(a)	For each of the possible actions (either individually or in combination):
(i)	Would the possible action appropriately address the challenges that have been identified?
(ii)	What could the implications or consequences be if the possible action(s) is undertaken? This may include if, in your view, it would not be appropriate to pursue a particular possible action, and why.</t>
    </r>
  </si>
  <si>
    <t>Sum of 2. Q4 (a.2) Option B - Agree</t>
  </si>
  <si>
    <t>Sum of 3. Q4 (a.2) Option B - Agree but with further comments</t>
  </si>
  <si>
    <r>
      <rPr>
        <b/>
        <sz val="10"/>
        <color theme="3"/>
        <rFont val="Arial"/>
        <family val="2"/>
      </rPr>
      <t>Q4 (a.2): Option B - Possible action - Views on separate auditing LCE standard</t>
    </r>
    <r>
      <rPr>
        <sz val="10"/>
        <color theme="1"/>
        <rFont val="Arial"/>
        <family val="2"/>
      </rPr>
      <t xml:space="preserve">
(a)	For each of the possible actions (either individually or in combination):
(i)	Would the possible action appropriately address the challenges that have been identified?
(ii)	What could the implications or consequences be if the possible action(s) is undertaken? This may include if, in your view, it would not be appropriate to pursue a particular possible action, and why.</t>
    </r>
  </si>
  <si>
    <t>Respondents</t>
  </si>
  <si>
    <r>
      <rPr>
        <b/>
        <sz val="10"/>
        <color theme="3"/>
        <rFont val="Arial"/>
        <family val="2"/>
      </rPr>
      <t>Q4 (a.3): Option C - Possible action - Views on guidance for audits of LCEs</t>
    </r>
    <r>
      <rPr>
        <sz val="10"/>
        <color theme="1"/>
        <rFont val="Arial"/>
        <family val="2"/>
      </rPr>
      <t xml:space="preserve">
(a)	For each of the possible actions (either individually or in combination):
(i)	Would the possible action appropriately address the challenges that have been identified?
(ii)	What could the implications or consequences be if the possible action(s) is undertaken? This may include if, in your view, it would not be appropriate to pursue a particular possible action, and why.</t>
    </r>
  </si>
  <si>
    <t>Sum of 02. Q2 (b.2) Methodology</t>
  </si>
  <si>
    <t>Sum of 03. Q2 (b.2) Technology</t>
  </si>
  <si>
    <t>Sum of 04. Q2 (b.2) Guidance and examples</t>
  </si>
  <si>
    <t>Sum of 05. Q2 (b.2) Training</t>
  </si>
  <si>
    <t>Sum of 06. Q2 (b.2) Developing jurisdictional approaches for SME audits</t>
  </si>
  <si>
    <t>Sum of 07. Q2 (b.2) Implementing a new drafting framework</t>
  </si>
  <si>
    <t>Sum of 08. Q2 (b.2) Other actions</t>
  </si>
  <si>
    <t>Sum of 09. Q2 (b.2) None</t>
  </si>
  <si>
    <t>Sum of 02. Q4 (c) Option A - Revising the ISA</t>
  </si>
  <si>
    <t>Sum of 03. Q4 (c) Option B - Separate auditing LCE standard</t>
  </si>
  <si>
    <t>Sum of 04. Q4 (c) Option C - Guidance for audits of LCE</t>
  </si>
  <si>
    <t>Sum of 05. Q4 (c) Combined approaches</t>
  </si>
  <si>
    <t>Sum of 06. Q4 (c) Other action priorities</t>
  </si>
  <si>
    <t>Sum of 07. Q4 (c) None</t>
  </si>
  <si>
    <r>
      <rPr>
        <b/>
        <sz val="10"/>
        <color theme="3"/>
        <rFont val="Arial"/>
        <family val="2"/>
      </rPr>
      <t>Q4: (c) Priority of actions</t>
    </r>
    <r>
      <rPr>
        <sz val="10"/>
        <color theme="1"/>
        <rFont val="Arial"/>
        <family val="2"/>
      </rPr>
      <t xml:space="preserve">
(c)	In your view, what possible actions should be pursued by us as a priority, and why? This may include one or more of the possible actions, or aspects of those actions, set out in Section III, or noted in response to 4(b) above. </t>
    </r>
  </si>
  <si>
    <t>Sum of 02. Q4 (b) Alternative approaches to LCE assurance</t>
  </si>
  <si>
    <t>Sum of 03. Q4 (b) Interpretations, practice notes, guidance</t>
  </si>
  <si>
    <t>Sum of 04. Q4 (b) Leveraging technology</t>
  </si>
  <si>
    <t>Sum of 05. Q4 (b) Further evidence based research</t>
  </si>
  <si>
    <t>Sum of 06. Q4 (b) Other actions</t>
  </si>
  <si>
    <t>Sum of 07. Q4 (b) None</t>
  </si>
  <si>
    <r>
      <rPr>
        <b/>
        <sz val="10"/>
        <color theme="3"/>
        <rFont val="Arial"/>
        <family val="2"/>
      </rPr>
      <t>Q4 (b): Other possible actions not identified</t>
    </r>
    <r>
      <rPr>
        <sz val="10"/>
        <color theme="1"/>
        <rFont val="Arial"/>
        <family val="2"/>
      </rPr>
      <t xml:space="preserve">
(b)	Are there any other possible actions that have not been identified that should be considered as we progress our work on audits of LCEs?</t>
    </r>
  </si>
  <si>
    <t>Sum of 02. Q3 Value of audit and public expectations</t>
  </si>
  <si>
    <t>Sum of 03. Q3 Technology and methodology</t>
  </si>
  <si>
    <t>Sum of 04. Q3 Engagement with regulators and NSS</t>
  </si>
  <si>
    <t>Sum of 05. Q3 Education and people</t>
  </si>
  <si>
    <t>Sum of 06. Q3 Commercial considerations</t>
  </si>
  <si>
    <t>Sum of 07. Q3 Audit exemption thresholds</t>
  </si>
  <si>
    <t>Sum of 08. Q3 Other engagements and forms of assurance</t>
  </si>
  <si>
    <t>Sum of 09. Q3 Enhanced accessibility of ISA</t>
  </si>
  <si>
    <t>Sum of 10. Q3 Ongoing outreach with stakeholders</t>
  </si>
  <si>
    <t>Sum of 11. Q3 Growing complexity of accounting standards</t>
  </si>
  <si>
    <t>Sum of 12. Q3 IAASB should not focus on influencing others to act</t>
  </si>
  <si>
    <t>Sum of 13. Q3 Other comments</t>
  </si>
  <si>
    <t>Sum of 14. Q3 None</t>
  </si>
  <si>
    <t>Sum of 02. Q5 Globally coordinated solution</t>
  </si>
  <si>
    <t>Sum of 03. Q5 Collaborating with others</t>
  </si>
  <si>
    <t>Sum of 04. Q5 Urgency of actions</t>
  </si>
  <si>
    <t>Sum of 05. Q5 Further scalability considerations</t>
  </si>
  <si>
    <t>Sum of 06. Q5 Engagements other than audit</t>
  </si>
  <si>
    <t>Sum of 07. Q5 Auditor reporting</t>
  </si>
  <si>
    <t>Sum of 08. Q5 Capacity and resources</t>
  </si>
  <si>
    <t>Sum of 09. Q5 Role of IAASB in promoting the value of audit</t>
  </si>
  <si>
    <t>Sum of 10. Q5 Impact of technology on LCE audits</t>
  </si>
  <si>
    <t>Sum of 11. Q5 Adequate SMP representation</t>
  </si>
  <si>
    <t>Sum of 12. Q5 Other matters</t>
  </si>
  <si>
    <t>Sum of 13. Q5 None</t>
  </si>
  <si>
    <t>Level 1 Analysis</t>
  </si>
  <si>
    <t>Level 2 Analysis</t>
  </si>
  <si>
    <t>Sum of 4. Q4 (a.1) Option A - Neither agree or disagree and with further comments</t>
  </si>
  <si>
    <t>Sum of 5. Q4 (a.1) Option A - Disagree</t>
  </si>
  <si>
    <t>Sum of 6. Q4 (a.1) Option A - None</t>
  </si>
  <si>
    <t>Sum of 4. Q4 (a.2) Option B - Neither agree or disagree and with further comments</t>
  </si>
  <si>
    <t>Sum of 5. Q4 (a.2) Option B - Disagree</t>
  </si>
  <si>
    <t>Sum of 6. Q4 (a.2) Option B - None</t>
  </si>
  <si>
    <t>Sum of 2. Q4 (a.3) Option C - Agree</t>
  </si>
  <si>
    <t>Sum of 3. Q4 (a.3) Option C - Agree but with further comments</t>
  </si>
  <si>
    <t>Sum of 4. Q4 (a.3) Option C - Neither agree or disagree and with further comments</t>
  </si>
  <si>
    <t>Sum of 5. Q4 (a.3) Option C - Disagree</t>
  </si>
  <si>
    <t>Sum of 6. Q4 (a.3) Option C - None</t>
  </si>
  <si>
    <t>Sum of 02. Q2 (b.1) Length and volume</t>
  </si>
  <si>
    <t>Sum of 03. Q2 (b.1) Scalability issues and approach to standards</t>
  </si>
  <si>
    <t>Sum of 04. Q2 (b.1) Language</t>
  </si>
  <si>
    <t>Sum of 05. Q2 (b.1) Overdocumentation</t>
  </si>
  <si>
    <t>Sum of 06. Q2 (b.1) Diminishing professional judgement and checklist approach to audits</t>
  </si>
  <si>
    <t>Sum of 07. Q2 (b.1) Lack of financial reporting sophistication of preparers</t>
  </si>
  <si>
    <t>Sum of 08. Q2 (b.1) Regulatory inspections</t>
  </si>
  <si>
    <t>Sum of 09. Q2 (b.1) Limited guidance and implementation resources</t>
  </si>
  <si>
    <t>Sum of 10. Q2 (b.1) Limited resources</t>
  </si>
  <si>
    <t>Sum of 11. Q2 (b.1) Increased prescriptiveness</t>
  </si>
  <si>
    <t>Sum of 12. Q2 (b.1) Other causes</t>
  </si>
  <si>
    <t>Sum of 13. Q2 (b.1) None</t>
  </si>
  <si>
    <t>Sum of 04. Q1 Neither agree or disagree and with further comments</t>
  </si>
  <si>
    <t>Sum of 05. Q1 Disagree</t>
  </si>
  <si>
    <t>Sum of 06. Q1 None</t>
  </si>
  <si>
    <t>Agenda Item 6-C.1</t>
  </si>
  <si>
    <t>Agenda Item 6-C.2</t>
  </si>
  <si>
    <t>Agenda Item 6-C.3</t>
  </si>
  <si>
    <t>Agenda Item 6-C.4</t>
  </si>
  <si>
    <t>Agenda Item 6-C.5</t>
  </si>
  <si>
    <t>Agenda Item 6-C.6</t>
  </si>
  <si>
    <t>Agenda Item 6-C.7</t>
  </si>
  <si>
    <t>Agenda Item 6-C.8</t>
  </si>
  <si>
    <t>Agenda Item 6-C.9</t>
  </si>
  <si>
    <t>Agenda Item 6-C.10</t>
  </si>
  <si>
    <t>Agenda Item 6-C.11</t>
  </si>
  <si>
    <t>Sum of 22. Q2 (a) Other standards and concerns</t>
  </si>
  <si>
    <t>Sum of 23. Q2 (a) None</t>
  </si>
  <si>
    <t>Sum of 01. Q1 Listed and public interest entities</t>
  </si>
  <si>
    <t>Sum of 02. Q1 Entities forming part of a group</t>
  </si>
  <si>
    <t>Sum of 03. Q1 NGOs, charities and public sector entities</t>
  </si>
  <si>
    <t>Sum of 04. Q1 Additional risk based factors and characteristics</t>
  </si>
  <si>
    <t>Sum of 05. Q1 Need for further guidance and examples to enhance clarity and consistency</t>
  </si>
  <si>
    <t>Sum of 06. Q1 Quantitative criteria</t>
  </si>
  <si>
    <t>Sum of 07. Q1 Use of judgement vs checklist approach with decision making</t>
  </si>
  <si>
    <t>Sum of 08. Q1 Views on complexity</t>
  </si>
  <si>
    <t>Sum of 09. Q1 Views on internal controls</t>
  </si>
  <si>
    <t>Sum of 10. Q1 Views on concentration of ownership</t>
  </si>
  <si>
    <t>Sum of 11. Q1 Views on other characteristics</t>
  </si>
  <si>
    <t>Sum of 12. Q1 Difficulties applying the LCE definition on a globally and consistent basis</t>
  </si>
  <si>
    <t>Sum of 13. Q1 Other views</t>
  </si>
  <si>
    <t>Agree but with further comments</t>
  </si>
  <si>
    <t>Neither agree or disagree and with further comments</t>
  </si>
  <si>
    <t>Sum of A. Q4 (c) Option A + C (combo)</t>
  </si>
  <si>
    <t>Sum of B. Q4 (c) Option A + B (combo)</t>
  </si>
  <si>
    <t>Sum of C. Q4 (c) Option B + C (combo)</t>
  </si>
  <si>
    <t>Sum of 01. Q4 (a.1) Additional complexity and length</t>
  </si>
  <si>
    <t>Sum of 02. Q4 (a.1) Long time to develop</t>
  </si>
  <si>
    <t>Sum of 03. Q4 (a.1) Support for the building-block approach</t>
  </si>
  <si>
    <t>Sum of 04. Q4 (a.1) Revising all ISA in one substantial project</t>
  </si>
  <si>
    <t>Sum of 05. Q4 (a.1) Targeted revisions and a rolling (phased) plan for revisions</t>
  </si>
  <si>
    <t>Sum of 06. Q4 (a.1) Use of simpler language and simpler structure while revising the ISA</t>
  </si>
  <si>
    <t>Sum of 07. Q4 (a.1) Structural changes to ISA and new drafting framework</t>
  </si>
  <si>
    <t>Sum of 08. Q4 (a.1) Other views</t>
  </si>
  <si>
    <t>Disagree</t>
  </si>
  <si>
    <t>Sum of 01. Q4 (a.2) Widening stakeholders expectation gap and creating a perception of lesser quality audit for LCEs</t>
  </si>
  <si>
    <t>Sum of 02. Q4 (a.2) Difficulties in determining when the LCE standard should apply</t>
  </si>
  <si>
    <t>Sum of 03. Q4 (a.2) Views about LCE standard based on different framework</t>
  </si>
  <si>
    <t>Sum of 04. Q4 (a.2) Good solution if based on ISA and provides same level of assurance</t>
  </si>
  <si>
    <t>Sum of 05. Q4 (a.2) Long time to develop</t>
  </si>
  <si>
    <t>Sum of 06. Q4 (a.2) Fragmentation of the profession (two tier auditors)</t>
  </si>
  <si>
    <t>Sum of 08. Q4 (a.2) Adverse effect on audit quality</t>
  </si>
  <si>
    <t>Sum of 09. Q4 (a.2) Other views</t>
  </si>
  <si>
    <t>Sum of 01. Q4 (a.3) Effective solution in a combined approach as it does not resolve the problem on its own</t>
  </si>
  <si>
    <t>Sum of 02. Q4 (a.3) Further exaggerate the length and complexity issue as there is more material to read and understand</t>
  </si>
  <si>
    <t>Sum of 03. Q4 (a.3) Already available</t>
  </si>
  <si>
    <t>Sum of 04. Q4 (a.3) Non-authoritative nature of guidance</t>
  </si>
  <si>
    <t>Sum of 05. Q4 (a.3) Targeted examples and practical tools</t>
  </si>
  <si>
    <t>Sum of 06. Q4 (a.3) Less time and resources to complete in short term</t>
  </si>
  <si>
    <t>Sum of 07. Q4 (a.3) Other views</t>
  </si>
  <si>
    <r>
      <rPr>
        <b/>
        <sz val="10"/>
        <color theme="3"/>
        <rFont val="Arial"/>
        <family val="2"/>
      </rPr>
      <t>Q2 (b.1): Underlining causes of the challenges with ISAs</t>
    </r>
    <r>
      <rPr>
        <sz val="10"/>
        <color theme="1"/>
        <rFont val="Arial"/>
        <family val="2"/>
      </rPr>
      <t xml:space="preserve">
In relation to 2(a) above, what, in your view, is the underlying cause(s) of these challenges and how have you managed or addressed these challenges? Are there any other broad challenges that have not been identified that should be considered as we progress our work on audits of LCEs?</t>
    </r>
  </si>
  <si>
    <r>
      <rPr>
        <b/>
        <sz val="10"/>
        <color theme="3"/>
        <rFont val="Arial"/>
        <family val="2"/>
      </rPr>
      <t>Q2 (a): Aspects of ISAs that are difficult to apply with LCE audits</t>
    </r>
    <r>
      <rPr>
        <sz val="10"/>
        <color theme="1"/>
        <rFont val="Arial"/>
        <family val="2"/>
      </rPr>
      <t xml:space="preserve">
What are the particular aspects of the ISAs that are difficult to apply? It would be most helpful if your answer includes references to the specific ISAs and the particular requirements in these ISAs that are most problematic in an audit of an LCE.</t>
    </r>
  </si>
  <si>
    <r>
      <rPr>
        <b/>
        <sz val="10"/>
        <color theme="3"/>
        <rFont val="Arial"/>
        <family val="2"/>
      </rPr>
      <t>Q2 (b.2): Addressing the challenges with ISAs</t>
    </r>
    <r>
      <rPr>
        <sz val="10"/>
        <color theme="1"/>
        <rFont val="Arial"/>
        <family val="2"/>
      </rPr>
      <t xml:space="preserve">
In relation to 2(a) above, what, in your view, is the underlying cause(s) of these challenges and how have you managed or addressed these challenges? Are there any other broad challenges that have not been identified that should be considered as we progress our work on audits of LCEs?</t>
    </r>
  </si>
  <si>
    <r>
      <rPr>
        <b/>
        <sz val="10"/>
        <color theme="3"/>
        <rFont val="Arial"/>
        <family val="2"/>
      </rPr>
      <t>Q3: Challenges not within control and scope of IAASB work on audits of LCEs</t>
    </r>
    <r>
      <rPr>
        <sz val="10"/>
        <color theme="1"/>
        <rFont val="Arial"/>
        <family val="2"/>
      </rPr>
      <t xml:space="preserve">
3.	With regard to the factors driving challenges that are not within our control, or have been scoped out of our exploratory information gathering activities (as set out in Section II), if the IAASB were to focus on encouraging others to act, where should this focus be, and why?</t>
    </r>
  </si>
  <si>
    <r>
      <rPr>
        <b/>
        <sz val="10"/>
        <color theme="3"/>
        <rFont val="Arial"/>
        <family val="2"/>
      </rPr>
      <t>Q5: Other matters for IAASB consideration</t>
    </r>
    <r>
      <rPr>
        <sz val="10"/>
        <color theme="1"/>
        <rFont val="Arial"/>
        <family val="2"/>
      </rPr>
      <t xml:space="preserve">
5.	Are there any other matters that should be considered by us as we deliberate on the way forward in relation to audits of LCEs?</t>
    </r>
  </si>
  <si>
    <t>Sum of 21. Q2 (a) External Confirmations</t>
  </si>
  <si>
    <t>Sum of 07. Q4 (a.2) Increased costs for dual maintenance of methodologies and difficulties with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</si>
</sst>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6"/>
      <color theme="1"/>
      <name val="Arial"/>
      <family val="2"/>
    </font>
    <font>
      <sz val="11"/>
      <color theme="1"/>
      <name val="Calibri"/>
      <family val="2"/>
      <scheme val="minor"/>
    </font>
    <font>
      <b/>
      <sz val="12"/>
      <color rgb="FF000066"/>
      <name val="Arial"/>
      <family val="2"/>
    </font>
    <font>
      <sz val="10"/>
      <color theme="1"/>
      <name val="Arial"/>
      <family val="2"/>
    </font>
    <font>
      <b/>
      <sz val="10"/>
      <color theme="3"/>
      <name val="Arial"/>
      <family val="2"/>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1" xfId="0" applyNumberFormat="1" applyFont="1" applyBorder="1"/>
    <xf numFmtId="0" fontId="1" fillId="2" borderId="2" xfId="0" applyNumberFormat="1" applyFont="1" applyFill="1" applyBorder="1"/>
    <xf numFmtId="0" fontId="2" fillId="0" borderId="0" xfId="0" applyFont="1" applyAlignment="1">
      <alignment vertical="top"/>
    </xf>
    <xf numFmtId="0" fontId="0" fillId="0" borderId="0" xfId="0" applyAlignment="1">
      <alignment horizontal="center" wrapText="1"/>
    </xf>
    <xf numFmtId="0" fontId="4" fillId="0" borderId="0" xfId="0" applyFont="1" applyAlignment="1">
      <alignment horizontal="center" vertical="center"/>
    </xf>
    <xf numFmtId="9" fontId="7" fillId="0" borderId="0" xfId="1" applyFont="1"/>
    <xf numFmtId="9" fontId="7" fillId="0" borderId="0" xfId="1" applyFont="1" applyFill="1"/>
    <xf numFmtId="9" fontId="7" fillId="0" borderId="0" xfId="0" applyNumberFormat="1" applyFont="1" applyFill="1"/>
    <xf numFmtId="0" fontId="4" fillId="0" borderId="6" xfId="0" applyFont="1" applyBorder="1" applyAlignment="1">
      <alignment horizontal="center" vertical="center"/>
    </xf>
    <xf numFmtId="0" fontId="0" fillId="0" borderId="0" xfId="0" pivotButton="1" applyAlignment="1">
      <alignment horizontal="center" wrapText="1"/>
    </xf>
    <xf numFmtId="0" fontId="1" fillId="2" borderId="1" xfId="0" pivotButton="1" applyFont="1" applyFill="1" applyBorder="1" applyAlignment="1">
      <alignment horizontal="center" wrapText="1"/>
    </xf>
    <xf numFmtId="9" fontId="7" fillId="0" borderId="0" xfId="1" applyFont="1" applyAlignment="1">
      <alignment horizontal="right" wrapText="1"/>
    </xf>
    <xf numFmtId="0" fontId="0" fillId="0" borderId="0" xfId="0" applyAlignment="1">
      <alignment horizontal="left" indent="1"/>
    </xf>
    <xf numFmtId="0" fontId="0" fillId="0" borderId="0" xfId="0" pivotButton="1" applyAlignment="1">
      <alignment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cellXfs>
  <cellStyles count="2">
    <cellStyle name="Normal" xfId="0" builtinId="0"/>
    <cellStyle name="Percent" xfId="1" builtinId="5"/>
  </cellStyles>
  <dxfs count="31">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horizontal="center"/>
    </dxf>
    <dxf>
      <alignment wrapText="1"/>
    </dxf>
    <dxf>
      <alignment wrapText="1"/>
    </dxf>
    <dxf>
      <alignment horizont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kshukarova/Desktop/IAASB/LCEs/Board%20Papers%20December%202019/Crosstab%20Query.xlsx" TargetMode="External"/><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396539004629" createdVersion="6" refreshedVersion="6" minRefreshableVersion="3" recordCount="93" xr:uid="{B4C9C22A-F7B1-4DB1-B9C9-2B76EA0B7810}">
  <cacheSource type="worksheet">
    <worksheetSource ref="G1:K94" sheet="Sheet1" r:id="rId2"/>
  </cacheSource>
  <cacheFields count="9">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1. Q1 Total" numFmtId="0">
      <sharedItems containsSemiMixedTypes="0" containsString="0" containsNumber="1" containsInteger="1" minValue="1" maxValue="1"/>
    </cacheField>
    <cacheField name="02. Q1 Agree" numFmtId="0">
      <sharedItems containsSemiMixedTypes="0" containsString="0" containsNumber="1" containsInteger="1" minValue="0" maxValue="1"/>
    </cacheField>
    <cacheField name="03. Q1 Agree but with further comments" numFmtId="0">
      <sharedItems containsSemiMixedTypes="0" containsString="0" containsNumber="1" containsInteger="1" minValue="0" maxValue="1"/>
    </cacheField>
    <cacheField name="04. Q1 Neither agree or disagree and with further comments" numFmtId="0">
      <sharedItems containsSemiMixedTypes="0" containsString="0" containsNumber="1" containsInteger="1" minValue="0" maxValue="1"/>
    </cacheField>
    <cacheField name="05. Q1 Disagree" numFmtId="0">
      <sharedItems containsSemiMixedTypes="0" containsString="0" containsNumber="1" containsInteger="1" minValue="0" maxValue="1"/>
    </cacheField>
    <cacheField name="06. Q1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03504050926" createdVersion="6" refreshedVersion="6" minRefreshableVersion="3" recordCount="93" xr:uid="{D7B9B2BC-DC7C-4E14-8268-2BCA4A134AA7}">
  <cacheSource type="worksheet">
    <worksheetSource ref="F1:F94" sheet="Sheet1" r:id="rId2"/>
  </cacheSource>
  <cacheFields count="16">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1. Q2 (b.1) Total" numFmtId="0">
      <sharedItems containsSemiMixedTypes="0" containsString="0" containsNumber="1" containsInteger="1" minValue="1" maxValue="11"/>
    </cacheField>
    <cacheField name="02. Q2 (b.1) Length and volume" numFmtId="0">
      <sharedItems containsSemiMixedTypes="0" containsString="0" containsNumber="1" containsInteger="1" minValue="0" maxValue="1"/>
    </cacheField>
    <cacheField name="03. Q2 (b.1) Scalability issues and approach to standards" numFmtId="0">
      <sharedItems containsSemiMixedTypes="0" containsString="0" containsNumber="1" containsInteger="1" minValue="0" maxValue="1"/>
    </cacheField>
    <cacheField name="04. Q2 (b.1) Language" numFmtId="0">
      <sharedItems containsSemiMixedTypes="0" containsString="0" containsNumber="1" containsInteger="1" minValue="0" maxValue="1"/>
    </cacheField>
    <cacheField name="05. Q2 (b.1) Overdocumentation" numFmtId="0">
      <sharedItems containsSemiMixedTypes="0" containsString="0" containsNumber="1" containsInteger="1" minValue="0" maxValue="1"/>
    </cacheField>
    <cacheField name="06. Q2 (b.1) Diminishing professional judgement and checklist approach to audits" numFmtId="0">
      <sharedItems containsSemiMixedTypes="0" containsString="0" containsNumber="1" containsInteger="1" minValue="0" maxValue="1"/>
    </cacheField>
    <cacheField name="07. Q2 (b.1) Lack of financial reporting sophistication of preparers" numFmtId="0">
      <sharedItems containsSemiMixedTypes="0" containsString="0" containsNumber="1" containsInteger="1" minValue="0" maxValue="1"/>
    </cacheField>
    <cacheField name="08. Q2 (b.1) Regulatory inspections" numFmtId="0">
      <sharedItems containsSemiMixedTypes="0" containsString="0" containsNumber="1" containsInteger="1" minValue="0" maxValue="1"/>
    </cacheField>
    <cacheField name="09. Q2 (b.1) Limited guidance and implementation resources" numFmtId="0">
      <sharedItems containsSemiMixedTypes="0" containsString="0" containsNumber="1" containsInteger="1" minValue="0" maxValue="1"/>
    </cacheField>
    <cacheField name="10. Q2 (b.1) Limited resources" numFmtId="0">
      <sharedItems containsSemiMixedTypes="0" containsString="0" containsNumber="1" containsInteger="1" minValue="0" maxValue="1"/>
    </cacheField>
    <cacheField name="11. Q2 (b.1) Increased prescriptiveness" numFmtId="0">
      <sharedItems containsSemiMixedTypes="0" containsString="0" containsNumber="1" containsInteger="1" minValue="0" maxValue="1"/>
    </cacheField>
    <cacheField name="12. Q2 (b.1) Other causes" numFmtId="0">
      <sharedItems containsSemiMixedTypes="0" containsString="0" containsNumber="1" containsInteger="1" minValue="0" maxValue="1"/>
    </cacheField>
    <cacheField name="13. Q2 (b.1)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07698495372" createdVersion="6" refreshedVersion="6" minRefreshableVersion="3" recordCount="93" xr:uid="{F7F1FCAB-4D8E-40B4-8283-F4DA04D19E0E}">
  <cacheSource type="worksheet">
    <worksheetSource ref="F1:K94" sheet="Sheet1" r:id="rId2"/>
  </cacheSource>
  <cacheFields count="25">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2 (a) Risk assessment (ISA 315)" numFmtId="0">
      <sharedItems containsSemiMixedTypes="0" containsString="0" containsNumber="1" containsInteger="1" minValue="0" maxValue="1"/>
    </cacheField>
    <cacheField name="03. Q2 (a) Estimates (ISA 540)" numFmtId="0">
      <sharedItems containsSemiMixedTypes="0" containsString="0" containsNumber="1" containsInteger="1" minValue="0" maxValue="1"/>
    </cacheField>
    <cacheField name="04. Q2 (a) Fraud (ISA 240)" numFmtId="0">
      <sharedItems containsSemiMixedTypes="0" containsString="0" containsNumber="1" containsInteger="1" minValue="0" maxValue="1"/>
    </cacheField>
    <cacheField name="05. Q2 (a) Documentation (ISA 230)" numFmtId="0">
      <sharedItems containsSemiMixedTypes="0" containsString="0" containsNumber="1" containsInteger="1" minValue="0" maxValue="1"/>
    </cacheField>
    <cacheField name="06. Q2 (a) Auditors responses to assessed risks (ISA 330)" numFmtId="0">
      <sharedItems containsSemiMixedTypes="0" containsString="0" containsNumber="1" containsInteger="1" minValue="0" maxValue="1"/>
    </cacheField>
    <cacheField name="07. Q2 (a) Audit evidence (ISA 500)" numFmtId="0">
      <sharedItems containsSemiMixedTypes="0" containsString="0" containsNumber="1" containsInteger="1" minValue="0" maxValue="1"/>
    </cacheField>
    <cacheField name="08. Q2 (a) Communicating with TCWG (ISA 260 &amp; ISA 265)" numFmtId="0">
      <sharedItems containsSemiMixedTypes="0" containsString="0" containsNumber="1" containsInteger="1" minValue="0" maxValue="1"/>
    </cacheField>
    <cacheField name="09. Q2 (a) Planning (ISA 300)" numFmtId="0">
      <sharedItems containsSemiMixedTypes="0" containsString="0" containsNumber="1" containsInteger="1" minValue="0" maxValue="1"/>
    </cacheField>
    <cacheField name="10. Q2 (a) Sampling (ISA 530)" numFmtId="0">
      <sharedItems containsSemiMixedTypes="0" containsString="0" containsNumber="1" containsInteger="1" minValue="0" maxValue="1"/>
    </cacheField>
    <cacheField name="11. Q2 (a) Materiality (ISA 320)" numFmtId="0">
      <sharedItems containsSemiMixedTypes="0" containsString="0" containsNumber="1" containsInteger="1" minValue="0" maxValue="1"/>
    </cacheField>
    <cacheField name="12. Q2 (a) Analytical procedures (ISA 520)" numFmtId="0">
      <sharedItems containsSemiMixedTypes="0" containsString="0" containsNumber="1" containsInteger="1" minValue="0" maxValue="1"/>
    </cacheField>
    <cacheField name="13. Q2 (a) Going concern (ISA 570)" numFmtId="0">
      <sharedItems containsSemiMixedTypes="0" containsString="0" containsNumber="1" containsInteger="1" minValue="0" maxValue="1"/>
    </cacheField>
    <cacheField name="14. Q2 (a) Using a service organization (ISA 402)" numFmtId="0">
      <sharedItems containsSemiMixedTypes="0" containsString="0" containsNumber="1" containsInteger="1" minValue="0" maxValue="1"/>
    </cacheField>
    <cacheField name="15. Q2 (a) Related parties (ISA 550)" numFmtId="0">
      <sharedItems containsSemiMixedTypes="0" containsString="0" containsNumber="1" containsInteger="1" minValue="0" maxValue="1"/>
    </cacheField>
    <cacheField name="16. Q2 (a) Consideration of laws and regulations (ISA 250)" numFmtId="0">
      <sharedItems containsSemiMixedTypes="0" containsString="0" containsNumber="1" containsInteger="1" minValue="0" maxValue="1"/>
    </cacheField>
    <cacheField name="17. Q2 (a) Group audits (ISA 600)" numFmtId="0">
      <sharedItems containsSemiMixedTypes="0" containsString="0" containsNumber="1" containsInteger="1" minValue="0" maxValue="1"/>
    </cacheField>
    <cacheField name="18. Q2 (a) Quality control (ISQC 1)" numFmtId="0">
      <sharedItems containsSemiMixedTypes="0" containsString="0" containsNumber="1" containsInteger="1" minValue="0" maxValue="1"/>
    </cacheField>
    <cacheField name="19. Q2 (a) Auditor reporting standards" numFmtId="0">
      <sharedItems containsSemiMixedTypes="0" containsString="0" containsNumber="1" containsInteger="1" minValue="0" maxValue="1"/>
    </cacheField>
    <cacheField name="20. Q2 (a) ISAs usually not applicable to LCEs" numFmtId="0">
      <sharedItems containsSemiMixedTypes="0" containsString="0" containsNumber="1" containsInteger="1" minValue="0" maxValue="1"/>
    </cacheField>
    <cacheField name="21. Q2 (a) External Confrimaions" numFmtId="0">
      <sharedItems containsSemiMixedTypes="0" containsString="0" containsNumber="1" containsInteger="1" minValue="0" maxValue="1"/>
    </cacheField>
    <cacheField name="22. Q2 (a) Other standards and concerns" numFmtId="0">
      <sharedItems containsSemiMixedTypes="0" containsString="0" containsNumber="1" containsInteger="1" minValue="0" maxValue="1"/>
    </cacheField>
    <cacheField name="23. Q2 (a)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13177083334" createdVersion="6" refreshedVersion="6" minRefreshableVersion="3" recordCount="93" xr:uid="{04B4DAB6-ACBA-40BB-9BAE-5A45D7372D3A}">
  <cacheSource type="worksheet">
    <worksheetSource ref="A1:K94" sheet="Sheet1" r:id="rId2"/>
  </cacheSource>
  <cacheFields count="11">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2 (b.2) Methodology" numFmtId="0">
      <sharedItems containsSemiMixedTypes="0" containsString="0" containsNumber="1" containsInteger="1" minValue="0" maxValue="1"/>
    </cacheField>
    <cacheField name="03. Q2 (b.2) Technology" numFmtId="0">
      <sharedItems containsSemiMixedTypes="0" containsString="0" containsNumber="1" containsInteger="1" minValue="0" maxValue="1"/>
    </cacheField>
    <cacheField name="04. Q2 (b.2) Guidance and examples" numFmtId="0">
      <sharedItems containsSemiMixedTypes="0" containsString="0" containsNumber="1" containsInteger="1" minValue="0" maxValue="1"/>
    </cacheField>
    <cacheField name="05. Q2 (b.2) Training" numFmtId="0">
      <sharedItems containsSemiMixedTypes="0" containsString="0" containsNumber="1" containsInteger="1" minValue="0" maxValue="1"/>
    </cacheField>
    <cacheField name="06. Q2 (b.2) Developing jurisdictional approaches for SME audits" numFmtId="0">
      <sharedItems containsSemiMixedTypes="0" containsString="0" containsNumber="1" containsInteger="1" minValue="0" maxValue="1"/>
    </cacheField>
    <cacheField name="07. Q2 (b.2) Implementing a new drafting framework" numFmtId="0">
      <sharedItems containsSemiMixedTypes="0" containsString="0" containsNumber="1" containsInteger="1" minValue="0" maxValue="1"/>
    </cacheField>
    <cacheField name="08. Q2 (b.2) Other actions" numFmtId="0">
      <sharedItems containsSemiMixedTypes="0" containsString="0" containsNumber="1" containsInteger="1" minValue="0" maxValue="1"/>
    </cacheField>
    <cacheField name="09. Q2 (b.2)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16720833331" createdVersion="6" refreshedVersion="6" minRefreshableVersion="3" recordCount="93" xr:uid="{219CF631-AA9B-4910-958A-BC14A63F668B}">
  <cacheSource type="worksheet">
    <worksheetSource ref="A1:K94" sheet="Sheet1" r:id="rId2"/>
  </cacheSource>
  <cacheFields count="9">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4 (b) Alternative approaches to LCE assurance" numFmtId="0">
      <sharedItems containsSemiMixedTypes="0" containsString="0" containsNumber="1" containsInteger="1" minValue="0" maxValue="1"/>
    </cacheField>
    <cacheField name="03. Q4 (b) Interpretations, practice notes, guidance" numFmtId="0">
      <sharedItems containsSemiMixedTypes="0" containsString="0" containsNumber="1" containsInteger="1" minValue="0" maxValue="1"/>
    </cacheField>
    <cacheField name="04. Q4 (b) Leveraging technology" numFmtId="0">
      <sharedItems containsSemiMixedTypes="0" containsString="0" containsNumber="1" containsInteger="1" minValue="0" maxValue="1"/>
    </cacheField>
    <cacheField name="05. Q4 (b) Further evidence based research" numFmtId="0">
      <sharedItems containsSemiMixedTypes="0" containsString="0" containsNumber="1" containsInteger="1" minValue="0" maxValue="1"/>
    </cacheField>
    <cacheField name="06. Q4 (b) Other actions" numFmtId="0">
      <sharedItems containsSemiMixedTypes="0" containsString="0" containsNumber="1" containsInteger="1" minValue="0" maxValue="1"/>
    </cacheField>
    <cacheField name="07. Q4 (b)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26405902777" createdVersion="6" refreshedVersion="6" minRefreshableVersion="3" recordCount="93" xr:uid="{F511D1B5-23B2-40A5-9429-9CC60BDB5DB9}">
  <cacheSource type="worksheet">
    <worksheetSource ref="A1:K94" sheet="Sheet1" r:id="rId2"/>
  </cacheSource>
  <cacheFields count="16">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3 Value of audit and public expectations" numFmtId="0">
      <sharedItems containsSemiMixedTypes="0" containsString="0" containsNumber="1" containsInteger="1" minValue="0" maxValue="1"/>
    </cacheField>
    <cacheField name="03. Q3 Technology and methodology" numFmtId="0">
      <sharedItems containsSemiMixedTypes="0" containsString="0" containsNumber="1" containsInteger="1" minValue="0" maxValue="1"/>
    </cacheField>
    <cacheField name="04. Q3 Engagement with regulators and NSS" numFmtId="0">
      <sharedItems containsSemiMixedTypes="0" containsString="0" containsNumber="1" containsInteger="1" minValue="0" maxValue="1"/>
    </cacheField>
    <cacheField name="05. Q3 Education and people" numFmtId="0">
      <sharedItems containsSemiMixedTypes="0" containsString="0" containsNumber="1" containsInteger="1" minValue="0" maxValue="1"/>
    </cacheField>
    <cacheField name="06. Q3 Commercial considerations" numFmtId="0">
      <sharedItems containsSemiMixedTypes="0" containsString="0" containsNumber="1" containsInteger="1" minValue="0" maxValue="1"/>
    </cacheField>
    <cacheField name="07. Q3 Audit exemption thresholds" numFmtId="0">
      <sharedItems containsSemiMixedTypes="0" containsString="0" containsNumber="1" containsInteger="1" minValue="0" maxValue="1"/>
    </cacheField>
    <cacheField name="08. Q3 Other engagements and forms of assurance" numFmtId="0">
      <sharedItems containsSemiMixedTypes="0" containsString="0" containsNumber="1" containsInteger="1" minValue="0" maxValue="1"/>
    </cacheField>
    <cacheField name="09. Q3 Enhanced accessibility of ISA" numFmtId="0">
      <sharedItems containsSemiMixedTypes="0" containsString="0" containsNumber="1" containsInteger="1" minValue="0" maxValue="1"/>
    </cacheField>
    <cacheField name="10. Q3 Ongoing outreach with stakeholders" numFmtId="0">
      <sharedItems containsSemiMixedTypes="0" containsString="0" containsNumber="1" containsInteger="1" minValue="0" maxValue="1"/>
    </cacheField>
    <cacheField name="11. Q3 Growing complexity of accounting standards" numFmtId="0">
      <sharedItems containsSemiMixedTypes="0" containsString="0" containsNumber="1" containsInteger="1" minValue="0" maxValue="1"/>
    </cacheField>
    <cacheField name="12. Q3 IAASB should not focus on influencing others to act" numFmtId="0">
      <sharedItems containsSemiMixedTypes="0" containsString="0" containsNumber="1" containsInteger="1" minValue="0" maxValue="1"/>
    </cacheField>
    <cacheField name="13. Q3 Other comments" numFmtId="0">
      <sharedItems containsSemiMixedTypes="0" containsString="0" containsNumber="1" containsInteger="1" minValue="0" maxValue="1"/>
    </cacheField>
    <cacheField name="14. Q3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29829166664" createdVersion="6" refreshedVersion="6" minRefreshableVersion="3" recordCount="93" xr:uid="{694B6C85-12D9-40B2-9C74-19465D190016}">
  <cacheSource type="worksheet">
    <worksheetSource ref="A1:K94" sheet="Sheet1" r:id="rId2"/>
  </cacheSource>
  <cacheFields count="15">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5 Globally coordinated solution" numFmtId="0">
      <sharedItems containsSemiMixedTypes="0" containsString="0" containsNumber="1" containsInteger="1" minValue="0" maxValue="1"/>
    </cacheField>
    <cacheField name="03. Q5 Collaborating with others" numFmtId="0">
      <sharedItems containsSemiMixedTypes="0" containsString="0" containsNumber="1" containsInteger="1" minValue="0" maxValue="1"/>
    </cacheField>
    <cacheField name="04. Q5 Urgency of actions" numFmtId="0">
      <sharedItems containsSemiMixedTypes="0" containsString="0" containsNumber="1" containsInteger="1" minValue="0" maxValue="1"/>
    </cacheField>
    <cacheField name="05. Q5 Further scalability considerations" numFmtId="0">
      <sharedItems containsSemiMixedTypes="0" containsString="0" containsNumber="1" containsInteger="1" minValue="0" maxValue="1"/>
    </cacheField>
    <cacheField name="06. Q5 Engagements other than audit" numFmtId="0">
      <sharedItems containsSemiMixedTypes="0" containsString="0" containsNumber="1" containsInteger="1" minValue="0" maxValue="1"/>
    </cacheField>
    <cacheField name="07. Q5 Auditor reporting" numFmtId="0">
      <sharedItems containsSemiMixedTypes="0" containsString="0" containsNumber="1" containsInteger="1" minValue="0" maxValue="1"/>
    </cacheField>
    <cacheField name="08. Q5 Capacity and resources" numFmtId="0">
      <sharedItems containsSemiMixedTypes="0" containsString="0" containsNumber="1" containsInteger="1" minValue="0" maxValue="1"/>
    </cacheField>
    <cacheField name="09. Q5 Role of IAASB in promoting the value of audit" numFmtId="0">
      <sharedItems containsSemiMixedTypes="0" containsString="0" containsNumber="1" containsInteger="1" minValue="0" maxValue="1"/>
    </cacheField>
    <cacheField name="10. Q5 Impact of technology on LCE audits" numFmtId="0">
      <sharedItems containsSemiMixedTypes="0" containsString="0" containsNumber="1" containsInteger="1" minValue="0" maxValue="1"/>
    </cacheField>
    <cacheField name="11. Q5 Adequate SMP representation" numFmtId="0">
      <sharedItems containsSemiMixedTypes="0" containsString="0" containsNumber="1" containsInteger="1" minValue="0" maxValue="1"/>
    </cacheField>
    <cacheField name="12. Q5 Other matters" numFmtId="0">
      <sharedItems containsSemiMixedTypes="0" containsString="0" containsNumber="1" containsInteger="1" minValue="0" maxValue="1"/>
    </cacheField>
    <cacheField name="13. Q5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48331018517" createdVersion="6" refreshedVersion="6" minRefreshableVersion="3" recordCount="93" xr:uid="{9BC7D474-831F-49A2-98CE-D7C7D160C0FF}">
  <cacheSource type="worksheet">
    <worksheetSource ref="A1:K94" sheet="Sheet1" r:id="rId2"/>
  </cacheSource>
  <cacheFields count="8">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2. Q4 (a.1) Option A - Agree" numFmtId="0">
      <sharedItems containsSemiMixedTypes="0" containsString="0" containsNumber="1" containsInteger="1" minValue="0" maxValue="1"/>
    </cacheField>
    <cacheField name="3. Q4 (a.1) Option A - Agree but with further comments" numFmtId="0">
      <sharedItems containsSemiMixedTypes="0" containsString="0" containsNumber="1" containsInteger="1" minValue="0" maxValue="1"/>
    </cacheField>
    <cacheField name="4. Q4 (a.1) Option A - Neither agree or disagree and with further comments" numFmtId="0">
      <sharedItems containsSemiMixedTypes="0" containsString="0" containsNumber="1" containsInteger="1" minValue="0" maxValue="1"/>
    </cacheField>
    <cacheField name="5. Q4 (a.1) Option A - Disagree" numFmtId="0">
      <sharedItems containsSemiMixedTypes="0" containsString="0" containsNumber="1" containsInteger="1" minValue="0" maxValue="1"/>
    </cacheField>
    <cacheField name="6. Q4 (a.1) Option A -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54272222225" createdVersion="6" refreshedVersion="6" minRefreshableVersion="3" recordCount="93" xr:uid="{F4598EE9-E233-42E4-A0E5-DA00AAF61C82}">
  <cacheSource type="worksheet">
    <worksheetSource ref="A1:K94" sheet="Sheet1" r:id="rId2"/>
  </cacheSource>
  <cacheFields count="8">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2. Q4 (a.2) Option B - Agree" numFmtId="0">
      <sharedItems containsSemiMixedTypes="0" containsString="0" containsNumber="1" containsInteger="1" minValue="0" maxValue="1"/>
    </cacheField>
    <cacheField name="3. Q4 (a.2) Option B - Agree but with further comments" numFmtId="0">
      <sharedItems containsSemiMixedTypes="0" containsString="0" containsNumber="1" containsInteger="1" minValue="0" maxValue="1"/>
    </cacheField>
    <cacheField name="4. Q4 (a.2) Option B - Neither agree or disagree and with further comments" numFmtId="0">
      <sharedItems containsSemiMixedTypes="0" containsString="0" containsNumber="1" containsInteger="1" minValue="0" maxValue="1"/>
    </cacheField>
    <cacheField name="5. Q4 (a.2) Option B - Disagree" numFmtId="0">
      <sharedItems containsSemiMixedTypes="0" containsString="0" containsNumber="1" containsInteger="1" minValue="0" maxValue="1"/>
    </cacheField>
    <cacheField name="6. Q4 (a.2) Option B -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58664699072" createdVersion="6" refreshedVersion="6" minRefreshableVersion="3" recordCount="93" xr:uid="{2326BC29-2F56-45FE-A715-B0A15740B4AA}">
  <cacheSource type="worksheet">
    <worksheetSource ref="A1:K94" sheet="Sheet1" r:id="rId2"/>
  </cacheSource>
  <cacheFields count="8">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2. Q4 (a.3) Option C - Agree" numFmtId="0">
      <sharedItems containsSemiMixedTypes="0" containsString="0" containsNumber="1" containsInteger="1" minValue="0" maxValue="1"/>
    </cacheField>
    <cacheField name="3. Q4 (a.3) Option C - Agree but with further comments" numFmtId="0">
      <sharedItems containsSemiMixedTypes="0" containsString="0" containsNumber="1" containsInteger="1" minValue="0" maxValue="1"/>
    </cacheField>
    <cacheField name="4. Q4 (a.3) Option C - Neither agree or disagree and with further comments" numFmtId="0">
      <sharedItems containsSemiMixedTypes="0" containsString="0" containsNumber="1" containsInteger="1" minValue="0" maxValue="1"/>
    </cacheField>
    <cacheField name="5. Q4 (a.3) Option C - Disagree" numFmtId="0">
      <sharedItems containsSemiMixedTypes="0" containsString="0" containsNumber="1" containsInteger="1" minValue="0" maxValue="1"/>
    </cacheField>
    <cacheField name="6. Q4 (a.3) Option C -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482586689817" createdVersion="6" refreshedVersion="6" minRefreshableVersion="3" recordCount="93" xr:uid="{1DA66066-50A6-472A-BE47-6863EC8A7CF3}">
  <cacheSource type="worksheet">
    <worksheetSource ref="A1:K94" sheet="Sheet1" r:id="rId2"/>
  </cacheSource>
  <cacheFields count="9">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02. Q4 (c) Option A - Revising the ISA" numFmtId="0">
      <sharedItems containsSemiMixedTypes="0" containsString="0" containsNumber="1" containsInteger="1" minValue="0" maxValue="1"/>
    </cacheField>
    <cacheField name="03. Q4 (c) Option B - Separate auditing LCE standard" numFmtId="0">
      <sharedItems containsSemiMixedTypes="0" containsString="0" containsNumber="1" containsInteger="1" minValue="0" maxValue="1"/>
    </cacheField>
    <cacheField name="04. Q4 (c) Option C - Guidance for audits of LCE" numFmtId="0">
      <sharedItems containsSemiMixedTypes="0" containsString="0" containsNumber="1" containsInteger="1" minValue="0" maxValue="1"/>
    </cacheField>
    <cacheField name="05. Q4 (c) Combined approaches" numFmtId="0">
      <sharedItems containsSemiMixedTypes="0" containsString="0" containsNumber="1" containsInteger="1" minValue="0" maxValue="1"/>
    </cacheField>
    <cacheField name="06. Q4 (c) Other action priorities" numFmtId="0">
      <sharedItems containsSemiMixedTypes="0" containsString="0" containsNumber="1" containsInteger="1" minValue="0" maxValue="1"/>
    </cacheField>
    <cacheField name="07. Q4 (c) Non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550998726852" createdVersion="6" refreshedVersion="6" minRefreshableVersion="3" recordCount="93" xr:uid="{8CF8FA15-2496-4318-9868-48DD7452F55F}">
  <cacheSource type="worksheet">
    <worksheetSource ref="A1:K94" sheet="Sheet1" r:id="rId2"/>
  </cacheSource>
  <cacheFields count="17">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Agree / Neither" numFmtId="0">
      <sharedItems containsBlank="1" count="3">
        <s v="Agree but with further comments"/>
        <m/>
        <s v="Neither agree or disagree and with further comments"/>
      </sharedItems>
    </cacheField>
    <cacheField name="01. Q1 Listed and public interest entities" numFmtId="0">
      <sharedItems containsSemiMixedTypes="0" containsString="0" containsNumber="1" containsInteger="1" minValue="0" maxValue="1"/>
    </cacheField>
    <cacheField name="02. Q1 Entities forming part of a group" numFmtId="0">
      <sharedItems containsSemiMixedTypes="0" containsString="0" containsNumber="1" containsInteger="1" minValue="0" maxValue="1"/>
    </cacheField>
    <cacheField name="03. Q1 NGOs, charities and public sector entities" numFmtId="0">
      <sharedItems containsSemiMixedTypes="0" containsString="0" containsNumber="1" containsInteger="1" minValue="0" maxValue="1"/>
    </cacheField>
    <cacheField name="04. Q1 Additional risk based factors and characteristics" numFmtId="0">
      <sharedItems containsSemiMixedTypes="0" containsString="0" containsNumber="1" containsInteger="1" minValue="0" maxValue="1"/>
    </cacheField>
    <cacheField name="05. Q1 Need for further guidance and examples to enhance clarity and consistency" numFmtId="0">
      <sharedItems containsSemiMixedTypes="0" containsString="0" containsNumber="1" containsInteger="1" minValue="0" maxValue="1"/>
    </cacheField>
    <cacheField name="06. Q1 Quantitative criteria" numFmtId="0">
      <sharedItems containsSemiMixedTypes="0" containsString="0" containsNumber="1" containsInteger="1" minValue="0" maxValue="1"/>
    </cacheField>
    <cacheField name="07. Q1 Use of judgement vs checklist approach with decision making" numFmtId="0">
      <sharedItems containsSemiMixedTypes="0" containsString="0" containsNumber="1" containsInteger="1" minValue="0" maxValue="1"/>
    </cacheField>
    <cacheField name="08. Q1 Views on complexity" numFmtId="0">
      <sharedItems containsSemiMixedTypes="0" containsString="0" containsNumber="1" containsInteger="1" minValue="0" maxValue="1"/>
    </cacheField>
    <cacheField name="09. Q1 Views on internal controls" numFmtId="0">
      <sharedItems containsSemiMixedTypes="0" containsString="0" containsNumber="1" containsInteger="1" minValue="0" maxValue="1"/>
    </cacheField>
    <cacheField name="10. Q1 Views on concentration of ownership" numFmtId="0">
      <sharedItems containsSemiMixedTypes="0" containsString="0" containsNumber="1" containsInteger="1" minValue="0" maxValue="1"/>
    </cacheField>
    <cacheField name="11. Q1 Views on other characteristics" numFmtId="0">
      <sharedItems containsSemiMixedTypes="0" containsString="0" containsNumber="1" containsInteger="1" minValue="0" maxValue="1"/>
    </cacheField>
    <cacheField name="12. Q1 Difficulties applying the LCE definition on a globally and consistent basis" numFmtId="0">
      <sharedItems containsSemiMixedTypes="0" containsString="0" containsNumber="1" containsInteger="1" minValue="0" maxValue="1"/>
    </cacheField>
    <cacheField name="13. Q1 Other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555168865743" createdVersion="6" refreshedVersion="6" minRefreshableVersion="3" recordCount="93" xr:uid="{5D9DB14A-F824-4F7C-9B57-EFA5B00242B1}">
  <cacheSource type="worksheet">
    <worksheetSource ref="A1:K94" sheet="Sheet1" r:id="rId2"/>
  </cacheSource>
  <cacheFields count="6">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A. Q4 (c) Option A + C (combo)" numFmtId="0">
      <sharedItems containsSemiMixedTypes="0" containsString="0" containsNumber="1" containsInteger="1" minValue="0" maxValue="1"/>
    </cacheField>
    <cacheField name="B. Q4 (c) Option A + B (combo)" numFmtId="0">
      <sharedItems containsSemiMixedTypes="0" containsString="0" containsNumber="1" containsInteger="1" minValue="0" maxValue="1"/>
    </cacheField>
    <cacheField name="C. Q4 (c) Option B + C (combo)"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574284259259" createdVersion="6" refreshedVersion="6" minRefreshableVersion="3" recordCount="93" xr:uid="{2F424E15-FCED-4882-B535-1C032AEEE3F8}">
  <cacheSource type="worksheet">
    <worksheetSource ref="A1:K94" sheet="Sheet1" r:id="rId2"/>
  </cacheSource>
  <cacheFields count="12">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Agree / Neither / Disagree" numFmtId="0">
      <sharedItems containsBlank="1" count="4">
        <s v="Agree but with further comments"/>
        <m/>
        <s v="Disagree"/>
        <s v="Neither agree or disagree and with further comments"/>
      </sharedItems>
    </cacheField>
    <cacheField name="01. Q4 (a.1) Additional complexity and length" numFmtId="0">
      <sharedItems containsSemiMixedTypes="0" containsString="0" containsNumber="1" containsInteger="1" minValue="0" maxValue="1"/>
    </cacheField>
    <cacheField name="02. Q4 (a.1) Long time to develop" numFmtId="0">
      <sharedItems containsSemiMixedTypes="0" containsString="0" containsNumber="1" containsInteger="1" minValue="0" maxValue="1"/>
    </cacheField>
    <cacheField name="03. Q4 (a.1) Support for the building-block approach" numFmtId="0">
      <sharedItems containsSemiMixedTypes="0" containsString="0" containsNumber="1" containsInteger="1" minValue="0" maxValue="1"/>
    </cacheField>
    <cacheField name="04. Q4 (a.1) Revising all ISA in one substantial project" numFmtId="0">
      <sharedItems containsSemiMixedTypes="0" containsString="0" containsNumber="1" containsInteger="1" minValue="0" maxValue="1"/>
    </cacheField>
    <cacheField name="05. Q4 (a.1) Targeted revisions and a rolling (phased) plan for revisions" numFmtId="0">
      <sharedItems containsSemiMixedTypes="0" containsString="0" containsNumber="1" containsInteger="1" minValue="0" maxValue="1"/>
    </cacheField>
    <cacheField name="06. Q4 (a.1) Use of simpler language and simpler structure while revising the ISA" numFmtId="0">
      <sharedItems containsSemiMixedTypes="0" containsString="0" containsNumber="1" containsInteger="1" minValue="0" maxValue="1"/>
    </cacheField>
    <cacheField name="07. Q4 (a.1) Structural changes to ISA and new drafting framework" numFmtId="0">
      <sharedItems containsSemiMixedTypes="0" containsString="0" containsNumber="1" containsInteger="1" minValue="0" maxValue="1"/>
    </cacheField>
    <cacheField name="08. Q4 (a.1) Other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58808483796" createdVersion="6" refreshedVersion="6" minRefreshableVersion="3" recordCount="93" xr:uid="{A2520B88-A751-4786-B8C8-C484C0597B53}">
  <cacheSource type="worksheet">
    <worksheetSource ref="A1:K94" sheet="Sheet1" r:id="rId2"/>
  </cacheSource>
  <cacheFields count="13">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Agree / Neither / Disagree" numFmtId="0">
      <sharedItems containsBlank="1" count="4">
        <s v="Agree but with further comments"/>
        <m/>
        <s v="Neither agree or disagree and with further comments"/>
        <s v="Disagree"/>
      </sharedItems>
    </cacheField>
    <cacheField name="01. Q4 (a.2) Widening stakeholders expectation gap and creating a perception of lesser quality audit for LCEs" numFmtId="0">
      <sharedItems containsSemiMixedTypes="0" containsString="0" containsNumber="1" containsInteger="1" minValue="0" maxValue="1"/>
    </cacheField>
    <cacheField name="02. Q4 (a.2) Difficulties in determining when the LCE standard should apply" numFmtId="0">
      <sharedItems containsSemiMixedTypes="0" containsString="0" containsNumber="1" containsInteger="1" minValue="0" maxValue="1"/>
    </cacheField>
    <cacheField name="03. Q4 (a.2) Views about LCE standard based on different framework" numFmtId="0">
      <sharedItems containsSemiMixedTypes="0" containsString="0" containsNumber="1" containsInteger="1" minValue="0" maxValue="1"/>
    </cacheField>
    <cacheField name="04. Q4 (a.2) Good solution if based on ISA and provides same level of assurance" numFmtId="0">
      <sharedItems containsSemiMixedTypes="0" containsString="0" containsNumber="1" containsInteger="1" minValue="0" maxValue="1"/>
    </cacheField>
    <cacheField name="05. Q4 (a.2) Long time to develop" numFmtId="0">
      <sharedItems containsSemiMixedTypes="0" containsString="0" containsNumber="1" containsInteger="1" minValue="0" maxValue="1"/>
    </cacheField>
    <cacheField name="06. Q4 (a.2) Fragmentation of the profession (two tier auditors)" numFmtId="0">
      <sharedItems containsSemiMixedTypes="0" containsString="0" containsNumber="1" containsInteger="1" minValue="0" maxValue="1"/>
    </cacheField>
    <cacheField name="07. Q4 (a.2) Increased costs for dual maintenance of methodologies and dificulties with training" numFmtId="0">
      <sharedItems containsSemiMixedTypes="0" containsString="0" containsNumber="1" containsInteger="1" minValue="0" maxValue="1"/>
    </cacheField>
    <cacheField name="08. Q4 (a.2) Adverse effect on audit quality" numFmtId="0">
      <sharedItems containsSemiMixedTypes="0" containsString="0" containsNumber="1" containsInteger="1" minValue="0" maxValue="1"/>
    </cacheField>
    <cacheField name="09. Q4 (a.2) Other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hukarova Savovska" refreshedDate="43788.598384953701" createdVersion="6" refreshedVersion="6" minRefreshableVersion="3" recordCount="93" xr:uid="{12A0A91D-8A95-4216-B63A-DAAC7EAF0C7B}">
  <cacheSource type="worksheet">
    <worksheetSource ref="A1:K94" sheet="Sheet1" r:id="rId2"/>
  </cacheSource>
  <cacheFields count="11">
    <cacheField name="Respondent" numFmtId="0">
      <sharedItems count="93">
        <s v="Accountancy Europe - 83"/>
        <s v="Adele Driscoll - 2"/>
        <s v="Adrian &amp; Partners AB - 26"/>
        <s v="Ali Sarehraz - 32"/>
        <s v="Alla Ejova - 42"/>
        <s v="American Institute of Certified Public Accountants (AICPA) - 27"/>
        <s v="ASSIREVI - 3"/>
        <s v="Audit Assistant Limited - 33"/>
        <s v="Auditing and Assurance Standards Board of the Institute of Chartered Accountants of India - 12"/>
        <s v="Australian Auditing and Assurance Standards Board - 73"/>
        <s v="Austrian Chamber of Tax Advisors and Public Accountants (KSW) - 20"/>
        <s v="Baker Tilly International - 43"/>
        <s v="BDO International - 60"/>
        <s v="Belgian Institute for Tax Advisors and Accountants (ITAA) - 59"/>
        <s v="Belgium Institute of Registered Auditors (IBR-IRE) - 11"/>
        <s v="Brazilian Federal Accounting Council (CFC) - 44"/>
        <s v="California Society of CPAs - 14"/>
        <s v="Canadian Auditing and Assurance Standards Board - 81"/>
        <s v="Canadian Public Accountability Board - 5"/>
        <s v="Cayman Islands Institute of Professional Accountants (CIIPA) - 9"/>
        <s v="Chartered Accountants Academy - 66"/>
        <s v="Chartered Accountants Australia and New Zealand (CA ANZ) and ACCA - 51"/>
        <s v="CNCC &amp; CSOEC - 61"/>
        <s v="Committee of European Auditing Oversight Bodies - 90"/>
        <s v="Consiglio Nazionale dei Dottori Commercialisti e degli Esperti Contabili - 34"/>
        <s v="CPA Australia - 67"/>
        <s v="CPA Ireland - 70"/>
        <s v="Cristian Munarriz - 93"/>
        <s v="Crowe Global - 86"/>
        <s v="Czech Republic Public Audit Oversight Board - 89"/>
        <s v="Dailamipour and Co. - 31"/>
        <s v="Deloitte Touche Tohmatsu Limited - 46"/>
        <s v="Duncan &amp; Toplis Limited - 15"/>
        <s v="Ernst &amp; Young Global Limited - 25"/>
        <s v="European Federation of Accountants and Auditors for SMEs  (EFEAA) - 38"/>
        <s v="EXPERTsuisse - 50"/>
        <s v="Federación Argentina de Consejos Profesionales (FACPCE) - 76"/>
        <s v="Gabriel Yepez - 13"/>
        <s v="Gary Young - 19"/>
        <s v="GGI Practice Group of Auditing Reporting and Compliance - 29"/>
        <s v="Grant Thornton International Limited - 62"/>
        <s v="HLB International - 57"/>
        <s v="Hong Kong Institute of Certified Public Accountants - 74"/>
        <s v="Hunter College - 68"/>
        <s v="HW Fisher - 17"/>
        <s v="IFAC - 4"/>
        <s v="IFAC SMPC - 77"/>
        <s v="IFIAR - 88"/>
        <s v="Independent Regulatory Board for Auditors (IRBA) - 35"/>
        <s v="Institut der Wirtschaftspruefer in Deutschland e.V. (IDW) - 49"/>
        <s v="Institute of Certified Public Accountants of Uganda - 55"/>
        <s v="Institute of Chartered Accountants of England and Wales (ICAEW) - 24"/>
        <s v="Institute of Chartered Accountants of Nigeria - 6"/>
        <s v="Institute of Chartered Accountants of Pakistan - 64"/>
        <s v="Institute of Chartered Accountants of Scotland (ICAS) - 28"/>
        <s v="Institute of Chartered Accountants of Sri Lanka - 92"/>
        <s v="Institute of Independent Auditors of Brazil (IBRACON) - 75"/>
        <s v="Institute of Public Accountants of Australia (IPA) - 91"/>
        <s v="Institute of Singapore Chartered Accountants - 54"/>
        <s v="Instituto de Censores Jurados de Cuentas de España - 22"/>
        <s v="Instituto Mexicano de Contadores Públicos A.C. (Audit and Assurance Standards Commission) - 39"/>
        <s v="Instituto Mexicano de Contadores Públicos, A.C. - 37"/>
        <s v="Inter-American Accounting Association (IAA) - 47"/>
        <s v="Irish Auditing and Accounting Supervisory Authority (IAASA) - 36"/>
        <s v="Korean Auditing and Assurance Standards Board (KAASB) - 23"/>
        <s v="KPMG IFRG Limited - 72"/>
        <s v="Malaysian Institute of Accountants (MIA) - 30"/>
        <s v="Malaysian Institute of Public Accountants (MICPA) - 10"/>
        <s v="MGI Worldwide - 18"/>
        <s v="Michel Maher - 16"/>
        <s v="MNP LLP - 8"/>
        <s v="Moore Global - 78"/>
        <s v="New Zealand Auditing and Assurance Standards Board - 53"/>
        <s v="NEXIA International - 52"/>
        <s v="Nordic Federation of Public Accountants - 58"/>
        <s v="Pitcher Partners - 7"/>
        <s v="PKF International Limited - 69"/>
        <s v="PKF South Africa - 82"/>
        <s v="PwC - 84"/>
        <s v="Royal Netherlands Institute of Chartered Accountants (NBA) - 85"/>
        <s v="RSM International Limited - 65"/>
        <s v="Rymand&amp;co - 87"/>
        <s v="SAMantilla - 1"/>
        <s v="Shahedan and Co - 80"/>
        <s v="South African Institute of Chartered Accountants (SAICA) - 63"/>
        <s v="South African Institute of Professional Accountants (SAIPA) - 56"/>
        <s v="SRA - 21"/>
        <s v="The Institute of Chartered Accountants of Ghana - 71"/>
        <s v="The Japanese Institute of Certified Public Accountants - 41"/>
        <s v="U.S. Government Accountability Office (GAO) - 45"/>
        <s v="Union of Chambers of Certified Public Accountants of Turkey (TURMOB) - 79"/>
        <s v="Vera Massarygina - 48"/>
        <s v="Wales Audit Office  - 40"/>
      </sharedItems>
    </cacheField>
    <cacheField name="Region" numFmtId="0">
      <sharedItems/>
    </cacheField>
    <cacheField name="Respondent type" numFmtId="0">
      <sharedItems count="8">
        <s v="6. Member Bodies and Other Professional Organizations"/>
        <s v="8. Individuals and Other"/>
        <s v="4. Accounting Firms"/>
        <s v="3. National Auditing Standard Setters"/>
        <s v="2. Regulators and Audit Oversight Authorities"/>
        <s v="7. Academics"/>
        <s v="1. Monitoring Group"/>
        <s v="5. Public Sector Organizations"/>
      </sharedItems>
    </cacheField>
    <cacheField name="Agree /  Neither / Disagree" numFmtId="0">
      <sharedItems containsBlank="1" count="4">
        <s v="Disagree"/>
        <m/>
        <s v="Agree but with further comments"/>
        <s v="Neither agree or disagree and with further comments"/>
      </sharedItems>
    </cacheField>
    <cacheField name="01. Q4 (a.3) Effective solution in a combined approach as it does not resolve the problem on its own" numFmtId="0">
      <sharedItems containsSemiMixedTypes="0" containsString="0" containsNumber="1" containsInteger="1" minValue="0" maxValue="1"/>
    </cacheField>
    <cacheField name="02. Q4 (a.3) Further exaggerate the length and complexity issue as there is more material to read and understand" numFmtId="0">
      <sharedItems containsSemiMixedTypes="0" containsString="0" containsNumber="1" containsInteger="1" minValue="0" maxValue="1"/>
    </cacheField>
    <cacheField name="03. Q4 (a.3) Already available" numFmtId="0">
      <sharedItems containsSemiMixedTypes="0" containsString="0" containsNumber="1" containsInteger="1" minValue="0" maxValue="1"/>
    </cacheField>
    <cacheField name="04. Q4 (a.3) Non-authoritative nature of guidance" numFmtId="0">
      <sharedItems containsSemiMixedTypes="0" containsString="0" containsNumber="1" containsInteger="1" minValue="0" maxValue="1"/>
    </cacheField>
    <cacheField name="05. Q4 (a.3) Targeted examples and practical tools" numFmtId="0">
      <sharedItems containsSemiMixedTypes="0" containsString="0" containsNumber="1" containsInteger="1" minValue="0" maxValue="1"/>
    </cacheField>
    <cacheField name="06. Q4 (a.3) Less time and resources to complete in short term" numFmtId="0">
      <sharedItems containsSemiMixedTypes="0" containsString="0" containsNumber="1" containsInteger="1" minValue="0" maxValue="1"/>
    </cacheField>
    <cacheField name="07. Q4 (a.3) Other view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1"/>
    <n v="0"/>
    <n v="1"/>
    <n v="0"/>
    <n v="0"/>
    <n v="0"/>
  </r>
  <r>
    <x v="1"/>
    <s v="Middle East and Africa"/>
    <x v="1"/>
    <n v="1"/>
    <n v="0"/>
    <n v="0"/>
    <n v="0"/>
    <n v="0"/>
    <n v="1"/>
  </r>
  <r>
    <x v="2"/>
    <s v="Europe"/>
    <x v="2"/>
    <n v="1"/>
    <n v="0"/>
    <n v="0"/>
    <n v="1"/>
    <n v="0"/>
    <n v="0"/>
  </r>
  <r>
    <x v="3"/>
    <s v="Middle East and Africa"/>
    <x v="1"/>
    <n v="1"/>
    <n v="0"/>
    <n v="1"/>
    <n v="0"/>
    <n v="0"/>
    <n v="0"/>
  </r>
  <r>
    <x v="4"/>
    <s v="Europe"/>
    <x v="1"/>
    <n v="1"/>
    <n v="0"/>
    <n v="0"/>
    <n v="1"/>
    <n v="0"/>
    <n v="0"/>
  </r>
  <r>
    <x v="5"/>
    <s v="North America"/>
    <x v="3"/>
    <n v="1"/>
    <n v="0"/>
    <n v="1"/>
    <n v="0"/>
    <n v="0"/>
    <n v="0"/>
  </r>
  <r>
    <x v="6"/>
    <s v="Europe"/>
    <x v="0"/>
    <n v="1"/>
    <n v="0"/>
    <n v="1"/>
    <n v="0"/>
    <n v="0"/>
    <n v="0"/>
  </r>
  <r>
    <x v="7"/>
    <s v="Asia Pacific"/>
    <x v="1"/>
    <n v="1"/>
    <n v="0"/>
    <n v="1"/>
    <n v="0"/>
    <n v="0"/>
    <n v="0"/>
  </r>
  <r>
    <x v="8"/>
    <s v="Asia Pacific"/>
    <x v="3"/>
    <n v="1"/>
    <n v="0"/>
    <n v="0"/>
    <n v="1"/>
    <n v="0"/>
    <n v="0"/>
  </r>
  <r>
    <x v="9"/>
    <s v="Asia Pacific"/>
    <x v="3"/>
    <n v="1"/>
    <n v="0"/>
    <n v="0"/>
    <n v="1"/>
    <n v="0"/>
    <n v="0"/>
  </r>
  <r>
    <x v="10"/>
    <s v="Europe"/>
    <x v="3"/>
    <n v="1"/>
    <n v="0"/>
    <n v="1"/>
    <n v="0"/>
    <n v="0"/>
    <n v="0"/>
  </r>
  <r>
    <x v="11"/>
    <s v="Global"/>
    <x v="2"/>
    <n v="1"/>
    <n v="0"/>
    <n v="0"/>
    <n v="1"/>
    <n v="0"/>
    <n v="0"/>
  </r>
  <r>
    <x v="12"/>
    <s v="Global"/>
    <x v="2"/>
    <n v="1"/>
    <n v="0"/>
    <n v="1"/>
    <n v="0"/>
    <n v="0"/>
    <n v="0"/>
  </r>
  <r>
    <x v="13"/>
    <s v="Europe"/>
    <x v="0"/>
    <n v="1"/>
    <n v="0"/>
    <n v="0"/>
    <n v="1"/>
    <n v="0"/>
    <n v="0"/>
  </r>
  <r>
    <x v="14"/>
    <s v="Europe"/>
    <x v="0"/>
    <n v="1"/>
    <n v="0"/>
    <n v="1"/>
    <n v="0"/>
    <n v="0"/>
    <n v="0"/>
  </r>
  <r>
    <x v="15"/>
    <s v="South America"/>
    <x v="3"/>
    <n v="1"/>
    <n v="0"/>
    <n v="0"/>
    <n v="1"/>
    <n v="0"/>
    <n v="0"/>
  </r>
  <r>
    <x v="16"/>
    <s v="North America"/>
    <x v="0"/>
    <n v="1"/>
    <n v="0"/>
    <n v="0"/>
    <n v="1"/>
    <n v="0"/>
    <n v="0"/>
  </r>
  <r>
    <x v="17"/>
    <s v="North America"/>
    <x v="3"/>
    <n v="1"/>
    <n v="0"/>
    <n v="1"/>
    <n v="0"/>
    <n v="0"/>
    <n v="0"/>
  </r>
  <r>
    <x v="18"/>
    <s v="North America"/>
    <x v="4"/>
    <n v="1"/>
    <n v="0"/>
    <n v="0"/>
    <n v="1"/>
    <n v="0"/>
    <n v="0"/>
  </r>
  <r>
    <x v="19"/>
    <s v="South America"/>
    <x v="0"/>
    <n v="1"/>
    <n v="0"/>
    <n v="0"/>
    <n v="1"/>
    <n v="0"/>
    <n v="0"/>
  </r>
  <r>
    <x v="20"/>
    <s v="Middle East and Africa"/>
    <x v="1"/>
    <n v="1"/>
    <n v="1"/>
    <n v="0"/>
    <n v="0"/>
    <n v="0"/>
    <n v="0"/>
  </r>
  <r>
    <x v="21"/>
    <s v="Global"/>
    <x v="0"/>
    <n v="1"/>
    <n v="0"/>
    <n v="1"/>
    <n v="0"/>
    <n v="0"/>
    <n v="0"/>
  </r>
  <r>
    <x v="22"/>
    <s v="Europe"/>
    <x v="3"/>
    <n v="1"/>
    <n v="0"/>
    <n v="1"/>
    <n v="0"/>
    <n v="0"/>
    <n v="0"/>
  </r>
  <r>
    <x v="23"/>
    <s v="Europe"/>
    <x v="4"/>
    <n v="1"/>
    <n v="0"/>
    <n v="0"/>
    <n v="1"/>
    <n v="0"/>
    <n v="0"/>
  </r>
  <r>
    <x v="24"/>
    <s v="Europe"/>
    <x v="0"/>
    <n v="1"/>
    <n v="0"/>
    <n v="1"/>
    <n v="0"/>
    <n v="0"/>
    <n v="0"/>
  </r>
  <r>
    <x v="25"/>
    <s v="Asia Pacific"/>
    <x v="0"/>
    <n v="1"/>
    <n v="0"/>
    <n v="0"/>
    <n v="1"/>
    <n v="0"/>
    <n v="0"/>
  </r>
  <r>
    <x v="26"/>
    <s v="Europe"/>
    <x v="0"/>
    <n v="1"/>
    <n v="0"/>
    <n v="1"/>
    <n v="0"/>
    <n v="0"/>
    <n v="0"/>
  </r>
  <r>
    <x v="27"/>
    <s v="South America"/>
    <x v="1"/>
    <n v="1"/>
    <n v="0"/>
    <n v="0"/>
    <n v="1"/>
    <n v="0"/>
    <n v="0"/>
  </r>
  <r>
    <x v="28"/>
    <s v="Global"/>
    <x v="2"/>
    <n v="1"/>
    <n v="1"/>
    <n v="0"/>
    <n v="0"/>
    <n v="0"/>
    <n v="0"/>
  </r>
  <r>
    <x v="29"/>
    <s v="Europe"/>
    <x v="4"/>
    <n v="1"/>
    <n v="0"/>
    <n v="0"/>
    <n v="1"/>
    <n v="0"/>
    <n v="0"/>
  </r>
  <r>
    <x v="30"/>
    <s v="Middle East and Africa"/>
    <x v="2"/>
    <n v="1"/>
    <n v="0"/>
    <n v="0"/>
    <n v="1"/>
    <n v="0"/>
    <n v="0"/>
  </r>
  <r>
    <x v="31"/>
    <s v="Global"/>
    <x v="2"/>
    <n v="1"/>
    <n v="0"/>
    <n v="0"/>
    <n v="0"/>
    <n v="1"/>
    <n v="0"/>
  </r>
  <r>
    <x v="32"/>
    <s v="Europe"/>
    <x v="2"/>
    <n v="1"/>
    <n v="0"/>
    <n v="1"/>
    <n v="0"/>
    <n v="0"/>
    <n v="0"/>
  </r>
  <r>
    <x v="33"/>
    <s v="Global"/>
    <x v="2"/>
    <n v="1"/>
    <n v="0"/>
    <n v="1"/>
    <n v="0"/>
    <n v="0"/>
    <n v="0"/>
  </r>
  <r>
    <x v="34"/>
    <s v="Europe"/>
    <x v="0"/>
    <n v="1"/>
    <n v="0"/>
    <n v="0"/>
    <n v="0"/>
    <n v="1"/>
    <n v="0"/>
  </r>
  <r>
    <x v="35"/>
    <s v="Europe"/>
    <x v="0"/>
    <n v="1"/>
    <n v="0"/>
    <n v="0"/>
    <n v="1"/>
    <n v="0"/>
    <n v="0"/>
  </r>
  <r>
    <x v="36"/>
    <s v="South America"/>
    <x v="0"/>
    <n v="1"/>
    <n v="0"/>
    <n v="0"/>
    <n v="0"/>
    <n v="1"/>
    <n v="0"/>
  </r>
  <r>
    <x v="37"/>
    <s v="South America"/>
    <x v="1"/>
    <n v="1"/>
    <n v="0"/>
    <n v="0"/>
    <n v="1"/>
    <n v="0"/>
    <n v="0"/>
  </r>
  <r>
    <x v="38"/>
    <s v="Asia Pacific"/>
    <x v="1"/>
    <n v="1"/>
    <n v="0"/>
    <n v="0"/>
    <n v="0"/>
    <n v="0"/>
    <n v="1"/>
  </r>
  <r>
    <x v="39"/>
    <s v="Europe"/>
    <x v="2"/>
    <n v="1"/>
    <n v="0"/>
    <n v="0"/>
    <n v="0"/>
    <n v="1"/>
    <n v="0"/>
  </r>
  <r>
    <x v="40"/>
    <s v="Global"/>
    <x v="2"/>
    <n v="1"/>
    <n v="0"/>
    <n v="1"/>
    <n v="0"/>
    <n v="0"/>
    <n v="0"/>
  </r>
  <r>
    <x v="41"/>
    <s v="Global"/>
    <x v="2"/>
    <n v="1"/>
    <n v="0"/>
    <n v="1"/>
    <n v="0"/>
    <n v="0"/>
    <n v="0"/>
  </r>
  <r>
    <x v="42"/>
    <s v="Asia Pacific"/>
    <x v="3"/>
    <n v="1"/>
    <n v="0"/>
    <n v="1"/>
    <n v="0"/>
    <n v="0"/>
    <n v="0"/>
  </r>
  <r>
    <x v="43"/>
    <s v="North America"/>
    <x v="5"/>
    <n v="1"/>
    <n v="0"/>
    <n v="1"/>
    <n v="0"/>
    <n v="0"/>
    <n v="0"/>
  </r>
  <r>
    <x v="44"/>
    <s v="Europe"/>
    <x v="2"/>
    <n v="1"/>
    <n v="0"/>
    <n v="1"/>
    <n v="0"/>
    <n v="0"/>
    <n v="0"/>
  </r>
  <r>
    <x v="45"/>
    <s v="Global"/>
    <x v="0"/>
    <n v="1"/>
    <n v="0"/>
    <n v="0"/>
    <n v="0"/>
    <n v="0"/>
    <n v="1"/>
  </r>
  <r>
    <x v="46"/>
    <s v="Global"/>
    <x v="0"/>
    <n v="1"/>
    <n v="0"/>
    <n v="0"/>
    <n v="1"/>
    <n v="0"/>
    <n v="0"/>
  </r>
  <r>
    <x v="47"/>
    <s v="Global"/>
    <x v="6"/>
    <n v="1"/>
    <n v="0"/>
    <n v="0"/>
    <n v="1"/>
    <n v="0"/>
    <n v="0"/>
  </r>
  <r>
    <x v="48"/>
    <s v="Middle East and Africa"/>
    <x v="4"/>
    <n v="1"/>
    <n v="0"/>
    <n v="0"/>
    <n v="0"/>
    <n v="0"/>
    <n v="1"/>
  </r>
  <r>
    <x v="49"/>
    <s v="Europe"/>
    <x v="3"/>
    <n v="1"/>
    <n v="0"/>
    <n v="0"/>
    <n v="1"/>
    <n v="0"/>
    <n v="0"/>
  </r>
  <r>
    <x v="50"/>
    <s v="Middle East and Africa"/>
    <x v="0"/>
    <n v="1"/>
    <n v="0"/>
    <n v="1"/>
    <n v="0"/>
    <n v="0"/>
    <n v="0"/>
  </r>
  <r>
    <x v="51"/>
    <s v="Europe"/>
    <x v="0"/>
    <n v="1"/>
    <n v="0"/>
    <n v="1"/>
    <n v="0"/>
    <n v="0"/>
    <n v="0"/>
  </r>
  <r>
    <x v="52"/>
    <s v="Middle East and Africa"/>
    <x v="0"/>
    <n v="1"/>
    <n v="0"/>
    <n v="1"/>
    <n v="0"/>
    <n v="0"/>
    <n v="0"/>
  </r>
  <r>
    <x v="53"/>
    <s v="Asia Pacific"/>
    <x v="0"/>
    <n v="1"/>
    <n v="0"/>
    <n v="0"/>
    <n v="1"/>
    <n v="0"/>
    <n v="0"/>
  </r>
  <r>
    <x v="54"/>
    <s v="Europe"/>
    <x v="0"/>
    <n v="1"/>
    <n v="0"/>
    <n v="0"/>
    <n v="1"/>
    <n v="0"/>
    <n v="0"/>
  </r>
  <r>
    <x v="55"/>
    <s v="Asia Pacific"/>
    <x v="0"/>
    <n v="1"/>
    <n v="0"/>
    <n v="1"/>
    <n v="0"/>
    <n v="0"/>
    <n v="0"/>
  </r>
  <r>
    <x v="56"/>
    <s v="South America"/>
    <x v="0"/>
    <n v="1"/>
    <n v="0"/>
    <n v="1"/>
    <n v="0"/>
    <n v="0"/>
    <n v="0"/>
  </r>
  <r>
    <x v="57"/>
    <s v="Asia Pacific"/>
    <x v="0"/>
    <n v="1"/>
    <n v="0"/>
    <n v="1"/>
    <n v="0"/>
    <n v="0"/>
    <n v="0"/>
  </r>
  <r>
    <x v="58"/>
    <s v="Asia Pacific"/>
    <x v="0"/>
    <n v="1"/>
    <n v="0"/>
    <n v="1"/>
    <n v="0"/>
    <n v="0"/>
    <n v="0"/>
  </r>
  <r>
    <x v="59"/>
    <s v="Europe"/>
    <x v="0"/>
    <n v="1"/>
    <n v="0"/>
    <n v="0"/>
    <n v="1"/>
    <n v="0"/>
    <n v="0"/>
  </r>
  <r>
    <x v="60"/>
    <s v="South America"/>
    <x v="0"/>
    <n v="1"/>
    <n v="0"/>
    <n v="0"/>
    <n v="0"/>
    <n v="0"/>
    <n v="1"/>
  </r>
  <r>
    <x v="61"/>
    <s v="South America"/>
    <x v="0"/>
    <n v="1"/>
    <n v="0"/>
    <n v="1"/>
    <n v="0"/>
    <n v="0"/>
    <n v="0"/>
  </r>
  <r>
    <x v="62"/>
    <s v="South America"/>
    <x v="0"/>
    <n v="1"/>
    <n v="0"/>
    <n v="1"/>
    <n v="0"/>
    <n v="0"/>
    <n v="0"/>
  </r>
  <r>
    <x v="63"/>
    <s v="Europe"/>
    <x v="4"/>
    <n v="1"/>
    <n v="0"/>
    <n v="0"/>
    <n v="1"/>
    <n v="0"/>
    <n v="0"/>
  </r>
  <r>
    <x v="64"/>
    <s v="Asia Pacific"/>
    <x v="3"/>
    <n v="1"/>
    <n v="0"/>
    <n v="1"/>
    <n v="0"/>
    <n v="0"/>
    <n v="0"/>
  </r>
  <r>
    <x v="65"/>
    <s v="Global"/>
    <x v="2"/>
    <n v="1"/>
    <n v="0"/>
    <n v="0"/>
    <n v="1"/>
    <n v="0"/>
    <n v="0"/>
  </r>
  <r>
    <x v="66"/>
    <s v="Asia Pacific"/>
    <x v="3"/>
    <n v="1"/>
    <n v="0"/>
    <n v="1"/>
    <n v="0"/>
    <n v="0"/>
    <n v="0"/>
  </r>
  <r>
    <x v="67"/>
    <s v="Asia Pacific"/>
    <x v="0"/>
    <n v="1"/>
    <n v="0"/>
    <n v="1"/>
    <n v="0"/>
    <n v="0"/>
    <n v="0"/>
  </r>
  <r>
    <x v="68"/>
    <s v="Global"/>
    <x v="2"/>
    <n v="1"/>
    <n v="0"/>
    <n v="1"/>
    <n v="0"/>
    <n v="0"/>
    <n v="0"/>
  </r>
  <r>
    <x v="69"/>
    <s v="North America"/>
    <x v="1"/>
    <n v="1"/>
    <n v="0"/>
    <n v="0"/>
    <n v="0"/>
    <n v="0"/>
    <n v="1"/>
  </r>
  <r>
    <x v="70"/>
    <s v="North America"/>
    <x v="2"/>
    <n v="1"/>
    <n v="0"/>
    <n v="0"/>
    <n v="1"/>
    <n v="0"/>
    <n v="0"/>
  </r>
  <r>
    <x v="71"/>
    <s v="Global"/>
    <x v="2"/>
    <n v="1"/>
    <n v="0"/>
    <n v="1"/>
    <n v="0"/>
    <n v="0"/>
    <n v="0"/>
  </r>
  <r>
    <x v="72"/>
    <s v="Asia Pacific"/>
    <x v="3"/>
    <n v="1"/>
    <n v="0"/>
    <n v="1"/>
    <n v="0"/>
    <n v="0"/>
    <n v="0"/>
  </r>
  <r>
    <x v="73"/>
    <s v="Global"/>
    <x v="2"/>
    <n v="1"/>
    <n v="0"/>
    <n v="0"/>
    <n v="1"/>
    <n v="0"/>
    <n v="0"/>
  </r>
  <r>
    <x v="74"/>
    <s v="Europe"/>
    <x v="0"/>
    <n v="1"/>
    <n v="0"/>
    <n v="1"/>
    <n v="0"/>
    <n v="0"/>
    <n v="0"/>
  </r>
  <r>
    <x v="75"/>
    <s v="Asia Pacific"/>
    <x v="2"/>
    <n v="1"/>
    <n v="0"/>
    <n v="0"/>
    <n v="1"/>
    <n v="0"/>
    <n v="0"/>
  </r>
  <r>
    <x v="76"/>
    <s v="Global"/>
    <x v="2"/>
    <n v="1"/>
    <n v="0"/>
    <n v="1"/>
    <n v="0"/>
    <n v="0"/>
    <n v="0"/>
  </r>
  <r>
    <x v="77"/>
    <s v="Middle East and Africa"/>
    <x v="2"/>
    <n v="1"/>
    <n v="0"/>
    <n v="1"/>
    <n v="0"/>
    <n v="0"/>
    <n v="0"/>
  </r>
  <r>
    <x v="78"/>
    <s v="Global"/>
    <x v="2"/>
    <n v="1"/>
    <n v="0"/>
    <n v="1"/>
    <n v="0"/>
    <n v="0"/>
    <n v="0"/>
  </r>
  <r>
    <x v="79"/>
    <s v="Europe"/>
    <x v="3"/>
    <n v="1"/>
    <n v="0"/>
    <n v="0"/>
    <n v="1"/>
    <n v="0"/>
    <n v="0"/>
  </r>
  <r>
    <x v="80"/>
    <s v="Global"/>
    <x v="2"/>
    <n v="1"/>
    <n v="0"/>
    <n v="1"/>
    <n v="0"/>
    <n v="0"/>
    <n v="0"/>
  </r>
  <r>
    <x v="81"/>
    <s v="Middle East and Africa"/>
    <x v="1"/>
    <n v="1"/>
    <n v="0"/>
    <n v="0"/>
    <n v="0"/>
    <n v="0"/>
    <n v="1"/>
  </r>
  <r>
    <x v="82"/>
    <s v="South America"/>
    <x v="1"/>
    <n v="1"/>
    <n v="0"/>
    <n v="0"/>
    <n v="1"/>
    <n v="0"/>
    <n v="0"/>
  </r>
  <r>
    <x v="83"/>
    <s v="Middle East and Africa"/>
    <x v="2"/>
    <n v="1"/>
    <n v="0"/>
    <n v="0"/>
    <n v="1"/>
    <n v="0"/>
    <n v="0"/>
  </r>
  <r>
    <x v="84"/>
    <s v="Middle East and Africa"/>
    <x v="0"/>
    <n v="1"/>
    <n v="0"/>
    <n v="0"/>
    <n v="1"/>
    <n v="0"/>
    <n v="0"/>
  </r>
  <r>
    <x v="85"/>
    <s v="Middle East and Africa"/>
    <x v="0"/>
    <n v="1"/>
    <n v="0"/>
    <n v="0"/>
    <n v="1"/>
    <n v="0"/>
    <n v="0"/>
  </r>
  <r>
    <x v="86"/>
    <s v="Europe"/>
    <x v="2"/>
    <n v="1"/>
    <n v="0"/>
    <n v="0"/>
    <n v="1"/>
    <n v="0"/>
    <n v="0"/>
  </r>
  <r>
    <x v="87"/>
    <s v="Middle East and Africa"/>
    <x v="0"/>
    <n v="1"/>
    <n v="1"/>
    <n v="0"/>
    <n v="0"/>
    <n v="0"/>
    <n v="0"/>
  </r>
  <r>
    <x v="88"/>
    <s v="Asia Pacific"/>
    <x v="3"/>
    <n v="1"/>
    <n v="0"/>
    <n v="1"/>
    <n v="0"/>
    <n v="0"/>
    <n v="0"/>
  </r>
  <r>
    <x v="89"/>
    <s v="North America"/>
    <x v="7"/>
    <n v="1"/>
    <n v="0"/>
    <n v="0"/>
    <n v="1"/>
    <n v="0"/>
    <n v="0"/>
  </r>
  <r>
    <x v="90"/>
    <s v="Europe"/>
    <x v="0"/>
    <n v="1"/>
    <n v="0"/>
    <n v="0"/>
    <n v="1"/>
    <n v="0"/>
    <n v="0"/>
  </r>
  <r>
    <x v="91"/>
    <s v="Europe"/>
    <x v="1"/>
    <n v="1"/>
    <n v="0"/>
    <n v="1"/>
    <n v="0"/>
    <n v="0"/>
    <n v="0"/>
  </r>
  <r>
    <x v="92"/>
    <s v="Europe"/>
    <x v="7"/>
    <n v="1"/>
    <n v="0"/>
    <n v="0"/>
    <n v="1"/>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1"/>
    <n v="1"/>
    <n v="0"/>
    <n v="0"/>
    <n v="1"/>
    <n v="0"/>
    <n v="0"/>
    <n v="0"/>
    <n v="0"/>
    <n v="0"/>
    <n v="0"/>
    <n v="1"/>
    <n v="0"/>
  </r>
  <r>
    <x v="1"/>
    <s v="Middle East and Africa"/>
    <x v="1"/>
    <n v="1"/>
    <n v="0"/>
    <n v="0"/>
    <n v="0"/>
    <n v="0"/>
    <n v="1"/>
    <n v="0"/>
    <n v="0"/>
    <n v="0"/>
    <n v="0"/>
    <n v="0"/>
    <n v="0"/>
    <n v="0"/>
  </r>
  <r>
    <x v="2"/>
    <s v="Europe"/>
    <x v="2"/>
    <n v="1"/>
    <n v="0"/>
    <n v="1"/>
    <n v="0"/>
    <n v="0"/>
    <n v="1"/>
    <n v="0"/>
    <n v="0"/>
    <n v="0"/>
    <n v="0"/>
    <n v="0"/>
    <n v="0"/>
    <n v="0"/>
  </r>
  <r>
    <x v="3"/>
    <s v="Middle East and Africa"/>
    <x v="1"/>
    <n v="1"/>
    <n v="0"/>
    <n v="0"/>
    <n v="0"/>
    <n v="0"/>
    <n v="0"/>
    <n v="0"/>
    <n v="0"/>
    <n v="0"/>
    <n v="0"/>
    <n v="0"/>
    <n v="0"/>
    <n v="1"/>
  </r>
  <r>
    <x v="4"/>
    <s v="Europe"/>
    <x v="1"/>
    <n v="1"/>
    <n v="0"/>
    <n v="0"/>
    <n v="0"/>
    <n v="0"/>
    <n v="0"/>
    <n v="0"/>
    <n v="0"/>
    <n v="0"/>
    <n v="0"/>
    <n v="0"/>
    <n v="0"/>
    <n v="1"/>
  </r>
  <r>
    <x v="5"/>
    <s v="North America"/>
    <x v="3"/>
    <n v="1"/>
    <n v="0"/>
    <n v="1"/>
    <n v="0"/>
    <n v="1"/>
    <n v="0"/>
    <n v="0"/>
    <n v="1"/>
    <n v="0"/>
    <n v="0"/>
    <n v="0"/>
    <n v="0"/>
    <n v="0"/>
  </r>
  <r>
    <x v="6"/>
    <s v="Europe"/>
    <x v="0"/>
    <n v="1"/>
    <n v="0"/>
    <n v="0"/>
    <n v="0"/>
    <n v="0"/>
    <n v="0"/>
    <n v="0"/>
    <n v="0"/>
    <n v="0"/>
    <n v="0"/>
    <n v="0"/>
    <n v="0"/>
    <n v="1"/>
  </r>
  <r>
    <x v="7"/>
    <s v="Asia Pacific"/>
    <x v="1"/>
    <n v="1"/>
    <n v="0"/>
    <n v="0"/>
    <n v="0"/>
    <n v="0"/>
    <n v="0"/>
    <n v="0"/>
    <n v="0"/>
    <n v="0"/>
    <n v="0"/>
    <n v="0"/>
    <n v="1"/>
    <n v="0"/>
  </r>
  <r>
    <x v="8"/>
    <s v="Asia Pacific"/>
    <x v="3"/>
    <n v="1"/>
    <n v="1"/>
    <n v="1"/>
    <n v="0"/>
    <n v="1"/>
    <n v="0"/>
    <n v="0"/>
    <n v="0"/>
    <n v="0"/>
    <n v="0"/>
    <n v="0"/>
    <n v="0"/>
    <n v="0"/>
  </r>
  <r>
    <x v="9"/>
    <s v="Asia Pacific"/>
    <x v="3"/>
    <n v="1"/>
    <n v="1"/>
    <n v="1"/>
    <n v="1"/>
    <n v="1"/>
    <n v="1"/>
    <n v="0"/>
    <n v="0"/>
    <n v="1"/>
    <n v="0"/>
    <n v="1"/>
    <n v="1"/>
    <n v="0"/>
  </r>
  <r>
    <x v="10"/>
    <s v="Europe"/>
    <x v="3"/>
    <n v="1"/>
    <n v="1"/>
    <n v="0"/>
    <n v="1"/>
    <n v="0"/>
    <n v="0"/>
    <n v="0"/>
    <n v="0"/>
    <n v="0"/>
    <n v="0"/>
    <n v="0"/>
    <n v="0"/>
    <n v="0"/>
  </r>
  <r>
    <x v="11"/>
    <s v="Global"/>
    <x v="2"/>
    <n v="1"/>
    <n v="0"/>
    <n v="0"/>
    <n v="0"/>
    <n v="0"/>
    <n v="0"/>
    <n v="0"/>
    <n v="0"/>
    <n v="0"/>
    <n v="0"/>
    <n v="0"/>
    <n v="1"/>
    <n v="0"/>
  </r>
  <r>
    <x v="12"/>
    <s v="Global"/>
    <x v="2"/>
    <n v="1"/>
    <n v="0"/>
    <n v="1"/>
    <n v="0"/>
    <n v="0"/>
    <n v="0"/>
    <n v="1"/>
    <n v="0"/>
    <n v="0"/>
    <n v="0"/>
    <n v="1"/>
    <n v="0"/>
    <n v="0"/>
  </r>
  <r>
    <x v="13"/>
    <s v="Europe"/>
    <x v="0"/>
    <n v="1"/>
    <n v="0"/>
    <n v="1"/>
    <n v="0"/>
    <n v="1"/>
    <n v="0"/>
    <n v="0"/>
    <n v="0"/>
    <n v="0"/>
    <n v="0"/>
    <n v="0"/>
    <n v="1"/>
    <n v="0"/>
  </r>
  <r>
    <x v="14"/>
    <s v="Europe"/>
    <x v="0"/>
    <n v="1"/>
    <n v="1"/>
    <n v="0"/>
    <n v="0"/>
    <n v="1"/>
    <n v="0"/>
    <n v="0"/>
    <n v="0"/>
    <n v="0"/>
    <n v="0"/>
    <n v="0"/>
    <n v="0"/>
    <n v="0"/>
  </r>
  <r>
    <x v="15"/>
    <s v="South America"/>
    <x v="3"/>
    <n v="1"/>
    <n v="0"/>
    <n v="0"/>
    <n v="0"/>
    <n v="0"/>
    <n v="0"/>
    <n v="0"/>
    <n v="0"/>
    <n v="0"/>
    <n v="0"/>
    <n v="0"/>
    <n v="0"/>
    <n v="1"/>
  </r>
  <r>
    <x v="16"/>
    <s v="North America"/>
    <x v="0"/>
    <n v="1"/>
    <n v="1"/>
    <n v="0"/>
    <n v="0"/>
    <n v="0"/>
    <n v="0"/>
    <n v="1"/>
    <n v="0"/>
    <n v="0"/>
    <n v="0"/>
    <n v="0"/>
    <n v="1"/>
    <n v="0"/>
  </r>
  <r>
    <x v="17"/>
    <s v="North America"/>
    <x v="3"/>
    <n v="1"/>
    <n v="0"/>
    <n v="1"/>
    <n v="0"/>
    <n v="0"/>
    <n v="0"/>
    <n v="1"/>
    <n v="0"/>
    <n v="0"/>
    <n v="0"/>
    <n v="0"/>
    <n v="0"/>
    <n v="0"/>
  </r>
  <r>
    <x v="18"/>
    <s v="North America"/>
    <x v="4"/>
    <n v="1"/>
    <n v="0"/>
    <n v="0"/>
    <n v="0"/>
    <n v="0"/>
    <n v="1"/>
    <n v="0"/>
    <n v="0"/>
    <n v="0"/>
    <n v="0"/>
    <n v="0"/>
    <n v="0"/>
    <n v="0"/>
  </r>
  <r>
    <x v="19"/>
    <s v="South America"/>
    <x v="0"/>
    <n v="1"/>
    <n v="0"/>
    <n v="0"/>
    <n v="0"/>
    <n v="0"/>
    <n v="0"/>
    <n v="1"/>
    <n v="0"/>
    <n v="0"/>
    <n v="0"/>
    <n v="0"/>
    <n v="0"/>
    <n v="0"/>
  </r>
  <r>
    <x v="20"/>
    <s v="Middle East and Africa"/>
    <x v="1"/>
    <n v="1"/>
    <n v="0"/>
    <n v="0"/>
    <n v="0"/>
    <n v="0"/>
    <n v="0"/>
    <n v="0"/>
    <n v="0"/>
    <n v="0"/>
    <n v="0"/>
    <n v="0"/>
    <n v="0"/>
    <n v="1"/>
  </r>
  <r>
    <x v="21"/>
    <s v="Global"/>
    <x v="0"/>
    <n v="1"/>
    <n v="1"/>
    <n v="0"/>
    <n v="1"/>
    <n v="0"/>
    <n v="0"/>
    <n v="0"/>
    <n v="0"/>
    <n v="0"/>
    <n v="0"/>
    <n v="0"/>
    <n v="0"/>
    <n v="0"/>
  </r>
  <r>
    <x v="22"/>
    <s v="Europe"/>
    <x v="3"/>
    <n v="1"/>
    <n v="1"/>
    <n v="0"/>
    <n v="1"/>
    <n v="0"/>
    <n v="0"/>
    <n v="0"/>
    <n v="0"/>
    <n v="1"/>
    <n v="0"/>
    <n v="0"/>
    <n v="1"/>
    <n v="0"/>
  </r>
  <r>
    <x v="23"/>
    <s v="Europe"/>
    <x v="4"/>
    <n v="1"/>
    <n v="0"/>
    <n v="1"/>
    <n v="1"/>
    <n v="0"/>
    <n v="0"/>
    <n v="0"/>
    <n v="0"/>
    <n v="0"/>
    <n v="0"/>
    <n v="0"/>
    <n v="0"/>
    <n v="0"/>
  </r>
  <r>
    <x v="24"/>
    <s v="Europe"/>
    <x v="0"/>
    <n v="1"/>
    <n v="0"/>
    <n v="0"/>
    <n v="0"/>
    <n v="0"/>
    <n v="0"/>
    <n v="0"/>
    <n v="0"/>
    <n v="0"/>
    <n v="0"/>
    <n v="0"/>
    <n v="0"/>
    <n v="1"/>
  </r>
  <r>
    <x v="25"/>
    <s v="Asia Pacific"/>
    <x v="0"/>
    <n v="1"/>
    <n v="1"/>
    <n v="0"/>
    <n v="1"/>
    <n v="0"/>
    <n v="0"/>
    <n v="0"/>
    <n v="0"/>
    <n v="0"/>
    <n v="0"/>
    <n v="0"/>
    <n v="0"/>
    <n v="0"/>
  </r>
  <r>
    <x v="26"/>
    <s v="Europe"/>
    <x v="0"/>
    <n v="1"/>
    <n v="1"/>
    <n v="0"/>
    <n v="0"/>
    <n v="0"/>
    <n v="0"/>
    <n v="0"/>
    <n v="0"/>
    <n v="1"/>
    <n v="0"/>
    <n v="0"/>
    <n v="0"/>
    <n v="0"/>
  </r>
  <r>
    <x v="27"/>
    <s v="South America"/>
    <x v="1"/>
    <n v="1"/>
    <n v="0"/>
    <n v="0"/>
    <n v="0"/>
    <n v="0"/>
    <n v="0"/>
    <n v="0"/>
    <n v="0"/>
    <n v="0"/>
    <n v="0"/>
    <n v="0"/>
    <n v="0"/>
    <n v="1"/>
  </r>
  <r>
    <x v="28"/>
    <s v="Global"/>
    <x v="2"/>
    <n v="1"/>
    <n v="0"/>
    <n v="0"/>
    <n v="1"/>
    <n v="0"/>
    <n v="0"/>
    <n v="0"/>
    <n v="1"/>
    <n v="0"/>
    <n v="0"/>
    <n v="0"/>
    <n v="0"/>
    <n v="0"/>
  </r>
  <r>
    <x v="29"/>
    <s v="Europe"/>
    <x v="4"/>
    <n v="1"/>
    <n v="0"/>
    <n v="0"/>
    <n v="0"/>
    <n v="0"/>
    <n v="0"/>
    <n v="0"/>
    <n v="0"/>
    <n v="0"/>
    <n v="0"/>
    <n v="0"/>
    <n v="0"/>
    <n v="1"/>
  </r>
  <r>
    <x v="30"/>
    <s v="Middle East and Africa"/>
    <x v="2"/>
    <n v="1"/>
    <n v="0"/>
    <n v="0"/>
    <n v="0"/>
    <n v="0"/>
    <n v="0"/>
    <n v="0"/>
    <n v="0"/>
    <n v="0"/>
    <n v="0"/>
    <n v="0"/>
    <n v="1"/>
    <n v="0"/>
  </r>
  <r>
    <x v="31"/>
    <s v="Global"/>
    <x v="2"/>
    <n v="1"/>
    <n v="0"/>
    <n v="0"/>
    <n v="0"/>
    <n v="1"/>
    <n v="0"/>
    <n v="0"/>
    <n v="0"/>
    <n v="1"/>
    <n v="0"/>
    <n v="0"/>
    <n v="0"/>
    <n v="0"/>
  </r>
  <r>
    <x v="32"/>
    <s v="Europe"/>
    <x v="2"/>
    <n v="1"/>
    <n v="0"/>
    <n v="1"/>
    <n v="0"/>
    <n v="0"/>
    <n v="0"/>
    <n v="0"/>
    <n v="0"/>
    <n v="0"/>
    <n v="0"/>
    <n v="0"/>
    <n v="0"/>
    <n v="0"/>
  </r>
  <r>
    <x v="33"/>
    <s v="Global"/>
    <x v="2"/>
    <n v="1"/>
    <n v="0"/>
    <n v="0"/>
    <n v="0"/>
    <n v="0"/>
    <n v="0"/>
    <n v="0"/>
    <n v="0"/>
    <n v="1"/>
    <n v="0"/>
    <n v="0"/>
    <n v="0"/>
    <n v="0"/>
  </r>
  <r>
    <x v="34"/>
    <s v="Europe"/>
    <x v="0"/>
    <n v="1"/>
    <n v="1"/>
    <n v="1"/>
    <n v="0"/>
    <n v="0"/>
    <n v="0"/>
    <n v="0"/>
    <n v="0"/>
    <n v="0"/>
    <n v="0"/>
    <n v="0"/>
    <n v="0"/>
    <n v="0"/>
  </r>
  <r>
    <x v="35"/>
    <s v="Europe"/>
    <x v="0"/>
    <n v="1"/>
    <n v="0"/>
    <n v="1"/>
    <n v="0"/>
    <n v="0"/>
    <n v="0"/>
    <n v="0"/>
    <n v="0"/>
    <n v="0"/>
    <n v="0"/>
    <n v="0"/>
    <n v="0"/>
    <n v="0"/>
  </r>
  <r>
    <x v="36"/>
    <s v="South America"/>
    <x v="0"/>
    <n v="1"/>
    <n v="1"/>
    <n v="0"/>
    <n v="0"/>
    <n v="0"/>
    <n v="0"/>
    <n v="0"/>
    <n v="0"/>
    <n v="0"/>
    <n v="0"/>
    <n v="0"/>
    <n v="0"/>
    <n v="0"/>
  </r>
  <r>
    <x v="37"/>
    <s v="South America"/>
    <x v="1"/>
    <n v="1"/>
    <n v="0"/>
    <n v="0"/>
    <n v="0"/>
    <n v="0"/>
    <n v="0"/>
    <n v="0"/>
    <n v="0"/>
    <n v="0"/>
    <n v="0"/>
    <n v="0"/>
    <n v="0"/>
    <n v="1"/>
  </r>
  <r>
    <x v="38"/>
    <s v="Asia Pacific"/>
    <x v="1"/>
    <n v="1"/>
    <n v="0"/>
    <n v="0"/>
    <n v="0"/>
    <n v="0"/>
    <n v="0"/>
    <n v="0"/>
    <n v="0"/>
    <n v="0"/>
    <n v="0"/>
    <n v="0"/>
    <n v="0"/>
    <n v="1"/>
  </r>
  <r>
    <x v="39"/>
    <s v="Europe"/>
    <x v="2"/>
    <n v="1"/>
    <n v="0"/>
    <n v="0"/>
    <n v="0"/>
    <n v="0"/>
    <n v="0"/>
    <n v="0"/>
    <n v="0"/>
    <n v="0"/>
    <n v="0"/>
    <n v="0"/>
    <n v="0"/>
    <n v="1"/>
  </r>
  <r>
    <x v="40"/>
    <s v="Global"/>
    <x v="2"/>
    <n v="1"/>
    <n v="0"/>
    <n v="0"/>
    <n v="0"/>
    <n v="0"/>
    <n v="0"/>
    <n v="0"/>
    <n v="1"/>
    <n v="0"/>
    <n v="0"/>
    <n v="0"/>
    <n v="1"/>
    <n v="0"/>
  </r>
  <r>
    <x v="41"/>
    <s v="Global"/>
    <x v="2"/>
    <n v="1"/>
    <n v="1"/>
    <n v="0"/>
    <n v="0"/>
    <n v="1"/>
    <n v="1"/>
    <n v="0"/>
    <n v="0"/>
    <n v="0"/>
    <n v="1"/>
    <n v="0"/>
    <n v="1"/>
    <n v="0"/>
  </r>
  <r>
    <x v="42"/>
    <s v="Asia Pacific"/>
    <x v="3"/>
    <n v="1"/>
    <n v="0"/>
    <n v="0"/>
    <n v="0"/>
    <n v="0"/>
    <n v="0"/>
    <n v="0"/>
    <n v="0"/>
    <n v="0"/>
    <n v="0"/>
    <n v="0"/>
    <n v="0"/>
    <n v="1"/>
  </r>
  <r>
    <x v="43"/>
    <s v="North America"/>
    <x v="5"/>
    <n v="1"/>
    <n v="0"/>
    <n v="1"/>
    <n v="1"/>
    <n v="0"/>
    <n v="0"/>
    <n v="0"/>
    <n v="0"/>
    <n v="0"/>
    <n v="0"/>
    <n v="0"/>
    <n v="0"/>
    <n v="0"/>
  </r>
  <r>
    <x v="44"/>
    <s v="Europe"/>
    <x v="2"/>
    <n v="1"/>
    <n v="0"/>
    <n v="0"/>
    <n v="0"/>
    <n v="0"/>
    <n v="0"/>
    <n v="0"/>
    <n v="0"/>
    <n v="0"/>
    <n v="0"/>
    <n v="1"/>
    <n v="0"/>
    <n v="0"/>
  </r>
  <r>
    <x v="45"/>
    <s v="Global"/>
    <x v="0"/>
    <n v="1"/>
    <n v="0"/>
    <n v="0"/>
    <n v="0"/>
    <n v="0"/>
    <n v="0"/>
    <n v="0"/>
    <n v="0"/>
    <n v="0"/>
    <n v="0"/>
    <n v="0"/>
    <n v="0"/>
    <n v="1"/>
  </r>
  <r>
    <x v="46"/>
    <s v="Global"/>
    <x v="0"/>
    <n v="1"/>
    <n v="1"/>
    <n v="1"/>
    <n v="0"/>
    <n v="1"/>
    <n v="0"/>
    <n v="0"/>
    <n v="0"/>
    <n v="0"/>
    <n v="0"/>
    <n v="0"/>
    <n v="1"/>
    <n v="0"/>
  </r>
  <r>
    <x v="47"/>
    <s v="Global"/>
    <x v="6"/>
    <n v="1"/>
    <n v="0"/>
    <n v="1"/>
    <n v="1"/>
    <n v="0"/>
    <n v="0"/>
    <n v="0"/>
    <n v="0"/>
    <n v="0"/>
    <n v="0"/>
    <n v="0"/>
    <n v="0"/>
    <n v="0"/>
  </r>
  <r>
    <x v="48"/>
    <s v="Middle East and Africa"/>
    <x v="4"/>
    <n v="1"/>
    <n v="0"/>
    <n v="0"/>
    <n v="0"/>
    <n v="0"/>
    <n v="0"/>
    <n v="0"/>
    <n v="0"/>
    <n v="0"/>
    <n v="0"/>
    <n v="0"/>
    <n v="0"/>
    <n v="1"/>
  </r>
  <r>
    <x v="49"/>
    <s v="Europe"/>
    <x v="3"/>
    <n v="1"/>
    <n v="0"/>
    <n v="1"/>
    <n v="0"/>
    <n v="0"/>
    <n v="0"/>
    <n v="0"/>
    <n v="1"/>
    <n v="0"/>
    <n v="0"/>
    <n v="0"/>
    <n v="0"/>
    <n v="0"/>
  </r>
  <r>
    <x v="50"/>
    <s v="Middle East and Africa"/>
    <x v="0"/>
    <n v="1"/>
    <n v="0"/>
    <n v="1"/>
    <n v="0"/>
    <n v="1"/>
    <n v="0"/>
    <n v="0"/>
    <n v="0"/>
    <n v="0"/>
    <n v="1"/>
    <n v="0"/>
    <n v="1"/>
    <n v="0"/>
  </r>
  <r>
    <x v="51"/>
    <s v="Europe"/>
    <x v="0"/>
    <n v="1"/>
    <n v="0"/>
    <n v="0"/>
    <n v="0"/>
    <n v="0"/>
    <n v="0"/>
    <n v="0"/>
    <n v="0"/>
    <n v="0"/>
    <n v="0"/>
    <n v="1"/>
    <n v="1"/>
    <n v="0"/>
  </r>
  <r>
    <x v="52"/>
    <s v="Middle East and Africa"/>
    <x v="0"/>
    <n v="1"/>
    <n v="0"/>
    <n v="0"/>
    <n v="0"/>
    <n v="0"/>
    <n v="0"/>
    <n v="0"/>
    <n v="0"/>
    <n v="0"/>
    <n v="0"/>
    <n v="0"/>
    <n v="0"/>
    <n v="1"/>
  </r>
  <r>
    <x v="53"/>
    <s v="Asia Pacific"/>
    <x v="0"/>
    <n v="1"/>
    <n v="0"/>
    <n v="0"/>
    <n v="0"/>
    <n v="0"/>
    <n v="0"/>
    <n v="0"/>
    <n v="0"/>
    <n v="0"/>
    <n v="0"/>
    <n v="0"/>
    <n v="1"/>
    <n v="0"/>
  </r>
  <r>
    <x v="54"/>
    <s v="Europe"/>
    <x v="0"/>
    <n v="1"/>
    <n v="1"/>
    <n v="0"/>
    <n v="0"/>
    <n v="0"/>
    <n v="0"/>
    <n v="0"/>
    <n v="0"/>
    <n v="0"/>
    <n v="0"/>
    <n v="0"/>
    <n v="0"/>
    <n v="1"/>
  </r>
  <r>
    <x v="55"/>
    <s v="Asia Pacific"/>
    <x v="0"/>
    <n v="1"/>
    <n v="0"/>
    <n v="1"/>
    <n v="0"/>
    <n v="0"/>
    <n v="1"/>
    <n v="0"/>
    <n v="0"/>
    <n v="0"/>
    <n v="0"/>
    <n v="0"/>
    <n v="0"/>
    <n v="0"/>
  </r>
  <r>
    <x v="56"/>
    <s v="South America"/>
    <x v="0"/>
    <n v="1"/>
    <n v="0"/>
    <n v="0"/>
    <n v="0"/>
    <n v="0"/>
    <n v="0"/>
    <n v="0"/>
    <n v="0"/>
    <n v="0"/>
    <n v="0"/>
    <n v="0"/>
    <n v="1"/>
    <n v="0"/>
  </r>
  <r>
    <x v="57"/>
    <s v="Asia Pacific"/>
    <x v="0"/>
    <n v="1"/>
    <n v="0"/>
    <n v="0"/>
    <n v="0"/>
    <n v="0"/>
    <n v="1"/>
    <n v="0"/>
    <n v="0"/>
    <n v="1"/>
    <n v="0"/>
    <n v="1"/>
    <n v="0"/>
    <n v="0"/>
  </r>
  <r>
    <x v="58"/>
    <s v="Asia Pacific"/>
    <x v="0"/>
    <n v="1"/>
    <n v="0"/>
    <n v="0"/>
    <n v="0"/>
    <n v="0"/>
    <n v="1"/>
    <n v="0"/>
    <n v="0"/>
    <n v="0"/>
    <n v="0"/>
    <n v="0"/>
    <n v="0"/>
    <n v="1"/>
  </r>
  <r>
    <x v="59"/>
    <s v="Europe"/>
    <x v="0"/>
    <n v="1"/>
    <n v="0"/>
    <n v="0"/>
    <n v="1"/>
    <n v="1"/>
    <n v="0"/>
    <n v="0"/>
    <n v="0"/>
    <n v="0"/>
    <n v="0"/>
    <n v="0"/>
    <n v="0"/>
    <n v="0"/>
  </r>
  <r>
    <x v="60"/>
    <s v="South America"/>
    <x v="0"/>
    <n v="1"/>
    <n v="0"/>
    <n v="0"/>
    <n v="0"/>
    <n v="0"/>
    <n v="0"/>
    <n v="0"/>
    <n v="0"/>
    <n v="0"/>
    <n v="0"/>
    <n v="0"/>
    <n v="0"/>
    <n v="1"/>
  </r>
  <r>
    <x v="61"/>
    <s v="South America"/>
    <x v="0"/>
    <n v="1"/>
    <n v="0"/>
    <n v="0"/>
    <n v="0"/>
    <n v="0"/>
    <n v="0"/>
    <n v="0"/>
    <n v="0"/>
    <n v="1"/>
    <n v="0"/>
    <n v="0"/>
    <n v="0"/>
    <n v="0"/>
  </r>
  <r>
    <x v="62"/>
    <s v="South America"/>
    <x v="0"/>
    <n v="1"/>
    <n v="0"/>
    <n v="0"/>
    <n v="0"/>
    <n v="0"/>
    <n v="0"/>
    <n v="0"/>
    <n v="0"/>
    <n v="0"/>
    <n v="0"/>
    <n v="0"/>
    <n v="1"/>
    <n v="0"/>
  </r>
  <r>
    <x v="63"/>
    <s v="Europe"/>
    <x v="4"/>
    <n v="1"/>
    <n v="0"/>
    <n v="1"/>
    <n v="1"/>
    <n v="0"/>
    <n v="0"/>
    <n v="0"/>
    <n v="0"/>
    <n v="0"/>
    <n v="0"/>
    <n v="0"/>
    <n v="0"/>
    <n v="0"/>
  </r>
  <r>
    <x v="64"/>
    <s v="Asia Pacific"/>
    <x v="3"/>
    <n v="1"/>
    <n v="1"/>
    <n v="1"/>
    <n v="0"/>
    <n v="0"/>
    <n v="0"/>
    <n v="1"/>
    <n v="0"/>
    <n v="0"/>
    <n v="0"/>
    <n v="0"/>
    <n v="0"/>
    <n v="1"/>
  </r>
  <r>
    <x v="65"/>
    <s v="Global"/>
    <x v="2"/>
    <n v="1"/>
    <n v="0"/>
    <n v="1"/>
    <n v="0"/>
    <n v="0"/>
    <n v="0"/>
    <n v="1"/>
    <n v="0"/>
    <n v="0"/>
    <n v="0"/>
    <n v="0"/>
    <n v="1"/>
    <n v="0"/>
  </r>
  <r>
    <x v="66"/>
    <s v="Asia Pacific"/>
    <x v="3"/>
    <n v="1"/>
    <n v="0"/>
    <n v="0"/>
    <n v="0"/>
    <n v="0"/>
    <n v="0"/>
    <n v="1"/>
    <n v="0"/>
    <n v="0"/>
    <n v="0"/>
    <n v="0"/>
    <n v="1"/>
    <n v="0"/>
  </r>
  <r>
    <x v="67"/>
    <s v="Asia Pacific"/>
    <x v="0"/>
    <n v="1"/>
    <n v="0"/>
    <n v="1"/>
    <n v="0"/>
    <n v="0"/>
    <n v="0"/>
    <n v="0"/>
    <n v="0"/>
    <n v="0"/>
    <n v="0"/>
    <n v="0"/>
    <n v="0"/>
    <n v="0"/>
  </r>
  <r>
    <x v="68"/>
    <s v="Global"/>
    <x v="2"/>
    <n v="1"/>
    <n v="0"/>
    <n v="0"/>
    <n v="0"/>
    <n v="0"/>
    <n v="0"/>
    <n v="0"/>
    <n v="0"/>
    <n v="0"/>
    <n v="0"/>
    <n v="0"/>
    <n v="1"/>
    <n v="0"/>
  </r>
  <r>
    <x v="69"/>
    <s v="North America"/>
    <x v="1"/>
    <n v="1"/>
    <n v="0"/>
    <n v="0"/>
    <n v="0"/>
    <n v="0"/>
    <n v="0"/>
    <n v="0"/>
    <n v="0"/>
    <n v="0"/>
    <n v="0"/>
    <n v="0"/>
    <n v="0"/>
    <n v="1"/>
  </r>
  <r>
    <x v="70"/>
    <s v="North America"/>
    <x v="2"/>
    <n v="1"/>
    <n v="0"/>
    <n v="1"/>
    <n v="0"/>
    <n v="0"/>
    <n v="0"/>
    <n v="0"/>
    <n v="0"/>
    <n v="0"/>
    <n v="0"/>
    <n v="0"/>
    <n v="0"/>
    <n v="0"/>
  </r>
  <r>
    <x v="71"/>
    <s v="Global"/>
    <x v="2"/>
    <n v="1"/>
    <n v="0"/>
    <n v="0"/>
    <n v="0"/>
    <n v="0"/>
    <n v="0"/>
    <n v="0"/>
    <n v="0"/>
    <n v="0"/>
    <n v="0"/>
    <n v="0"/>
    <n v="1"/>
    <n v="0"/>
  </r>
  <r>
    <x v="72"/>
    <s v="Asia Pacific"/>
    <x v="3"/>
    <n v="1"/>
    <n v="0"/>
    <n v="0"/>
    <n v="0"/>
    <n v="0"/>
    <n v="0"/>
    <n v="0"/>
    <n v="0"/>
    <n v="0"/>
    <n v="0"/>
    <n v="0"/>
    <n v="0"/>
    <n v="1"/>
  </r>
  <r>
    <x v="73"/>
    <s v="Global"/>
    <x v="2"/>
    <n v="1"/>
    <n v="0"/>
    <n v="0"/>
    <n v="1"/>
    <n v="0"/>
    <n v="0"/>
    <n v="0"/>
    <n v="0"/>
    <n v="0"/>
    <n v="0"/>
    <n v="0"/>
    <n v="1"/>
    <n v="0"/>
  </r>
  <r>
    <x v="74"/>
    <s v="Europe"/>
    <x v="0"/>
    <n v="1"/>
    <n v="1"/>
    <n v="1"/>
    <n v="0"/>
    <n v="1"/>
    <n v="1"/>
    <n v="0"/>
    <n v="0"/>
    <n v="0"/>
    <n v="0"/>
    <n v="0"/>
    <n v="0"/>
    <n v="0"/>
  </r>
  <r>
    <x v="75"/>
    <s v="Asia Pacific"/>
    <x v="2"/>
    <n v="1"/>
    <n v="0"/>
    <n v="0"/>
    <n v="0"/>
    <n v="0"/>
    <n v="0"/>
    <n v="0"/>
    <n v="0"/>
    <n v="0"/>
    <n v="0"/>
    <n v="0"/>
    <n v="0"/>
    <n v="1"/>
  </r>
  <r>
    <x v="76"/>
    <s v="Global"/>
    <x v="2"/>
    <n v="1"/>
    <n v="0"/>
    <n v="0"/>
    <n v="0"/>
    <n v="0"/>
    <n v="0"/>
    <n v="0"/>
    <n v="0"/>
    <n v="0"/>
    <n v="0"/>
    <n v="0"/>
    <n v="1"/>
    <n v="0"/>
  </r>
  <r>
    <x v="77"/>
    <s v="Middle East and Africa"/>
    <x v="2"/>
    <n v="1"/>
    <n v="0"/>
    <n v="0"/>
    <n v="0"/>
    <n v="0"/>
    <n v="1"/>
    <n v="0"/>
    <n v="0"/>
    <n v="0"/>
    <n v="0"/>
    <n v="0"/>
    <n v="0"/>
    <n v="0"/>
  </r>
  <r>
    <x v="78"/>
    <s v="Global"/>
    <x v="2"/>
    <n v="1"/>
    <n v="1"/>
    <n v="0"/>
    <n v="1"/>
    <n v="0"/>
    <n v="0"/>
    <n v="0"/>
    <n v="1"/>
    <n v="0"/>
    <n v="0"/>
    <n v="0"/>
    <n v="1"/>
    <n v="0"/>
  </r>
  <r>
    <x v="79"/>
    <s v="Europe"/>
    <x v="3"/>
    <n v="1"/>
    <n v="0"/>
    <n v="0"/>
    <n v="1"/>
    <n v="0"/>
    <n v="0"/>
    <n v="0"/>
    <n v="0"/>
    <n v="0"/>
    <n v="0"/>
    <n v="0"/>
    <n v="0"/>
    <n v="0"/>
  </r>
  <r>
    <x v="80"/>
    <s v="Global"/>
    <x v="2"/>
    <n v="1"/>
    <n v="1"/>
    <n v="0"/>
    <n v="0"/>
    <n v="0"/>
    <n v="0"/>
    <n v="0"/>
    <n v="0"/>
    <n v="0"/>
    <n v="0"/>
    <n v="0"/>
    <n v="0"/>
    <n v="1"/>
  </r>
  <r>
    <x v="81"/>
    <s v="Middle East and Africa"/>
    <x v="1"/>
    <n v="1"/>
    <n v="0"/>
    <n v="0"/>
    <n v="0"/>
    <n v="0"/>
    <n v="0"/>
    <n v="0"/>
    <n v="0"/>
    <n v="0"/>
    <n v="0"/>
    <n v="0"/>
    <n v="0"/>
    <n v="1"/>
  </r>
  <r>
    <x v="82"/>
    <s v="South America"/>
    <x v="1"/>
    <n v="1"/>
    <n v="0"/>
    <n v="0"/>
    <n v="0"/>
    <n v="0"/>
    <n v="0"/>
    <n v="0"/>
    <n v="0"/>
    <n v="0"/>
    <n v="0"/>
    <n v="0"/>
    <n v="0"/>
    <n v="1"/>
  </r>
  <r>
    <x v="83"/>
    <s v="Middle East and Africa"/>
    <x v="2"/>
    <n v="1"/>
    <n v="0"/>
    <n v="0"/>
    <n v="0"/>
    <n v="0"/>
    <n v="0"/>
    <n v="0"/>
    <n v="0"/>
    <n v="0"/>
    <n v="0"/>
    <n v="0"/>
    <n v="0"/>
    <n v="1"/>
  </r>
  <r>
    <x v="84"/>
    <s v="Middle East and Africa"/>
    <x v="0"/>
    <n v="11"/>
    <n v="1"/>
    <n v="1"/>
    <n v="1"/>
    <n v="1"/>
    <n v="1"/>
    <n v="0"/>
    <n v="1"/>
    <n v="1"/>
    <n v="1"/>
    <n v="1"/>
    <n v="0"/>
    <n v="0"/>
  </r>
  <r>
    <x v="85"/>
    <s v="Middle East and Africa"/>
    <x v="0"/>
    <n v="1"/>
    <n v="0"/>
    <n v="0"/>
    <n v="1"/>
    <n v="0"/>
    <n v="0"/>
    <n v="0"/>
    <n v="1"/>
    <n v="0"/>
    <n v="1"/>
    <n v="0"/>
    <n v="1"/>
    <n v="0"/>
  </r>
  <r>
    <x v="86"/>
    <s v="Europe"/>
    <x v="2"/>
    <n v="1"/>
    <n v="0"/>
    <n v="0"/>
    <n v="0"/>
    <n v="0"/>
    <n v="0"/>
    <n v="0"/>
    <n v="0"/>
    <n v="0"/>
    <n v="0"/>
    <n v="0"/>
    <n v="0"/>
    <n v="1"/>
  </r>
  <r>
    <x v="87"/>
    <s v="Middle East and Africa"/>
    <x v="0"/>
    <n v="1"/>
    <n v="1"/>
    <n v="0"/>
    <n v="0"/>
    <n v="0"/>
    <n v="0"/>
    <n v="0"/>
    <n v="0"/>
    <n v="0"/>
    <n v="0"/>
    <n v="0"/>
    <n v="1"/>
    <n v="0"/>
  </r>
  <r>
    <x v="88"/>
    <s v="Asia Pacific"/>
    <x v="3"/>
    <n v="1"/>
    <n v="1"/>
    <n v="0"/>
    <n v="0"/>
    <n v="0"/>
    <n v="1"/>
    <n v="0"/>
    <n v="0"/>
    <n v="0"/>
    <n v="0"/>
    <n v="0"/>
    <n v="0"/>
    <n v="0"/>
  </r>
  <r>
    <x v="89"/>
    <s v="North America"/>
    <x v="7"/>
    <n v="1"/>
    <n v="0"/>
    <n v="0"/>
    <n v="0"/>
    <n v="0"/>
    <n v="0"/>
    <n v="0"/>
    <n v="0"/>
    <n v="0"/>
    <n v="0"/>
    <n v="0"/>
    <n v="0"/>
    <n v="1"/>
  </r>
  <r>
    <x v="90"/>
    <s v="Europe"/>
    <x v="0"/>
    <n v="1"/>
    <n v="1"/>
    <n v="0"/>
    <n v="0"/>
    <n v="0"/>
    <n v="0"/>
    <n v="0"/>
    <n v="0"/>
    <n v="0"/>
    <n v="0"/>
    <n v="0"/>
    <n v="1"/>
    <n v="0"/>
  </r>
  <r>
    <x v="91"/>
    <s v="Europe"/>
    <x v="1"/>
    <n v="1"/>
    <n v="0"/>
    <n v="0"/>
    <n v="1"/>
    <n v="0"/>
    <n v="0"/>
    <n v="0"/>
    <n v="0"/>
    <n v="0"/>
    <n v="0"/>
    <n v="0"/>
    <n v="0"/>
    <n v="0"/>
  </r>
  <r>
    <x v="92"/>
    <s v="Europe"/>
    <x v="7"/>
    <n v="1"/>
    <n v="0"/>
    <n v="0"/>
    <n v="0"/>
    <n v="0"/>
    <n v="0"/>
    <n v="0"/>
    <n v="0"/>
    <n v="0"/>
    <n v="0"/>
    <n v="0"/>
    <n v="0"/>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1"/>
    <n v="0"/>
    <n v="0"/>
    <n v="1"/>
    <n v="0"/>
    <n v="0"/>
    <n v="0"/>
    <n v="0"/>
    <n v="0"/>
    <n v="0"/>
    <n v="0"/>
    <n v="0"/>
    <n v="0"/>
    <n v="0"/>
    <n v="0"/>
    <n v="0"/>
    <n v="0"/>
    <n v="0"/>
    <n v="0"/>
    <n v="0"/>
    <n v="0"/>
    <n v="0"/>
  </r>
  <r>
    <x v="1"/>
    <s v="Middle East and Africa"/>
    <x v="1"/>
    <n v="0"/>
    <n v="0"/>
    <n v="0"/>
    <n v="0"/>
    <n v="0"/>
    <n v="0"/>
    <n v="0"/>
    <n v="0"/>
    <n v="0"/>
    <n v="0"/>
    <n v="0"/>
    <n v="0"/>
    <n v="0"/>
    <n v="0"/>
    <n v="0"/>
    <n v="0"/>
    <n v="0"/>
    <n v="0"/>
    <n v="0"/>
    <n v="0"/>
    <n v="0"/>
    <n v="1"/>
  </r>
  <r>
    <x v="2"/>
    <s v="Europe"/>
    <x v="2"/>
    <n v="0"/>
    <n v="0"/>
    <n v="0"/>
    <n v="0"/>
    <n v="0"/>
    <n v="0"/>
    <n v="0"/>
    <n v="0"/>
    <n v="0"/>
    <n v="0"/>
    <n v="0"/>
    <n v="0"/>
    <n v="0"/>
    <n v="0"/>
    <n v="0"/>
    <n v="0"/>
    <n v="0"/>
    <n v="0"/>
    <n v="0"/>
    <n v="0"/>
    <n v="0"/>
    <n v="1"/>
  </r>
  <r>
    <x v="3"/>
    <s v="Middle East and Africa"/>
    <x v="1"/>
    <n v="0"/>
    <n v="0"/>
    <n v="0"/>
    <n v="0"/>
    <n v="0"/>
    <n v="0"/>
    <n v="0"/>
    <n v="0"/>
    <n v="0"/>
    <n v="0"/>
    <n v="0"/>
    <n v="0"/>
    <n v="0"/>
    <n v="0"/>
    <n v="0"/>
    <n v="0"/>
    <n v="0"/>
    <n v="0"/>
    <n v="0"/>
    <n v="0"/>
    <n v="0"/>
    <n v="1"/>
  </r>
  <r>
    <x v="4"/>
    <s v="Europe"/>
    <x v="1"/>
    <n v="0"/>
    <n v="0"/>
    <n v="1"/>
    <n v="0"/>
    <n v="1"/>
    <n v="0"/>
    <n v="0"/>
    <n v="1"/>
    <n v="0"/>
    <n v="0"/>
    <n v="0"/>
    <n v="0"/>
    <n v="0"/>
    <n v="0"/>
    <n v="0"/>
    <n v="0"/>
    <n v="0"/>
    <n v="0"/>
    <n v="0"/>
    <n v="0"/>
    <n v="0"/>
    <n v="0"/>
  </r>
  <r>
    <x v="5"/>
    <s v="North America"/>
    <x v="3"/>
    <n v="1"/>
    <n v="1"/>
    <n v="0"/>
    <n v="0"/>
    <n v="0"/>
    <n v="0"/>
    <n v="1"/>
    <n v="0"/>
    <n v="0"/>
    <n v="0"/>
    <n v="0"/>
    <n v="0"/>
    <n v="0"/>
    <n v="0"/>
    <n v="0"/>
    <n v="1"/>
    <n v="0"/>
    <n v="0"/>
    <n v="0"/>
    <n v="0"/>
    <n v="0"/>
    <n v="0"/>
  </r>
  <r>
    <x v="6"/>
    <s v="Europe"/>
    <x v="0"/>
    <n v="1"/>
    <n v="1"/>
    <n v="1"/>
    <n v="0"/>
    <n v="0"/>
    <n v="0"/>
    <n v="0"/>
    <n v="0"/>
    <n v="0"/>
    <n v="0"/>
    <n v="0"/>
    <n v="0"/>
    <n v="0"/>
    <n v="0"/>
    <n v="0"/>
    <n v="0"/>
    <n v="0"/>
    <n v="0"/>
    <n v="0"/>
    <n v="0"/>
    <n v="0"/>
    <n v="0"/>
  </r>
  <r>
    <x v="7"/>
    <s v="Asia Pacific"/>
    <x v="1"/>
    <n v="0"/>
    <n v="0"/>
    <n v="0"/>
    <n v="0"/>
    <n v="1"/>
    <n v="0"/>
    <n v="0"/>
    <n v="0"/>
    <n v="0"/>
    <n v="1"/>
    <n v="0"/>
    <n v="0"/>
    <n v="1"/>
    <n v="0"/>
    <n v="0"/>
    <n v="0"/>
    <n v="0"/>
    <n v="1"/>
    <n v="0"/>
    <n v="0"/>
    <n v="0"/>
    <n v="0"/>
  </r>
  <r>
    <x v="8"/>
    <s v="Asia Pacific"/>
    <x v="3"/>
    <n v="0"/>
    <n v="0"/>
    <n v="0"/>
    <n v="0"/>
    <n v="0"/>
    <n v="0"/>
    <n v="0"/>
    <n v="0"/>
    <n v="0"/>
    <n v="0"/>
    <n v="0"/>
    <n v="0"/>
    <n v="0"/>
    <n v="0"/>
    <n v="0"/>
    <n v="0"/>
    <n v="0"/>
    <n v="0"/>
    <n v="0"/>
    <n v="0"/>
    <n v="0"/>
    <n v="1"/>
  </r>
  <r>
    <x v="9"/>
    <s v="Asia Pacific"/>
    <x v="3"/>
    <n v="1"/>
    <n v="1"/>
    <n v="1"/>
    <n v="0"/>
    <n v="1"/>
    <n v="0"/>
    <n v="0"/>
    <n v="0"/>
    <n v="0"/>
    <n v="0"/>
    <n v="1"/>
    <n v="0"/>
    <n v="0"/>
    <n v="0"/>
    <n v="0"/>
    <n v="0"/>
    <n v="0"/>
    <n v="0"/>
    <n v="0"/>
    <n v="0"/>
    <n v="1"/>
    <n v="0"/>
  </r>
  <r>
    <x v="10"/>
    <s v="Europe"/>
    <x v="3"/>
    <n v="1"/>
    <n v="0"/>
    <n v="0"/>
    <n v="1"/>
    <n v="0"/>
    <n v="0"/>
    <n v="0"/>
    <n v="0"/>
    <n v="0"/>
    <n v="0"/>
    <n v="0"/>
    <n v="0"/>
    <n v="0"/>
    <n v="0"/>
    <n v="0"/>
    <n v="0"/>
    <n v="0"/>
    <n v="0"/>
    <n v="0"/>
    <n v="0"/>
    <n v="0"/>
    <n v="0"/>
  </r>
  <r>
    <x v="11"/>
    <s v="Global"/>
    <x v="2"/>
    <n v="1"/>
    <n v="1"/>
    <n v="1"/>
    <n v="1"/>
    <n v="0"/>
    <n v="1"/>
    <n v="0"/>
    <n v="0"/>
    <n v="1"/>
    <n v="0"/>
    <n v="0"/>
    <n v="1"/>
    <n v="0"/>
    <n v="0"/>
    <n v="0"/>
    <n v="0"/>
    <n v="0"/>
    <n v="0"/>
    <n v="0"/>
    <n v="0"/>
    <n v="0"/>
    <n v="0"/>
  </r>
  <r>
    <x v="12"/>
    <s v="Global"/>
    <x v="2"/>
    <n v="1"/>
    <n v="1"/>
    <n v="1"/>
    <n v="0"/>
    <n v="0"/>
    <n v="0"/>
    <n v="1"/>
    <n v="0"/>
    <n v="0"/>
    <n v="0"/>
    <n v="0"/>
    <n v="0"/>
    <n v="0"/>
    <n v="0"/>
    <n v="1"/>
    <n v="0"/>
    <n v="0"/>
    <n v="0"/>
    <n v="0"/>
    <n v="0"/>
    <n v="0"/>
    <n v="0"/>
  </r>
  <r>
    <x v="13"/>
    <s v="Europe"/>
    <x v="0"/>
    <n v="0"/>
    <n v="0"/>
    <n v="0"/>
    <n v="0"/>
    <n v="0"/>
    <n v="0"/>
    <n v="0"/>
    <n v="0"/>
    <n v="0"/>
    <n v="0"/>
    <n v="0"/>
    <n v="0"/>
    <n v="0"/>
    <n v="0"/>
    <n v="0"/>
    <n v="0"/>
    <n v="0"/>
    <n v="0"/>
    <n v="0"/>
    <n v="0"/>
    <n v="0"/>
    <n v="1"/>
  </r>
  <r>
    <x v="14"/>
    <s v="Europe"/>
    <x v="0"/>
    <n v="1"/>
    <n v="0"/>
    <n v="0"/>
    <n v="0"/>
    <n v="0"/>
    <n v="0"/>
    <n v="0"/>
    <n v="0"/>
    <n v="0"/>
    <n v="0"/>
    <n v="0"/>
    <n v="0"/>
    <n v="0"/>
    <n v="0"/>
    <n v="0"/>
    <n v="0"/>
    <n v="0"/>
    <n v="0"/>
    <n v="0"/>
    <n v="0"/>
    <n v="0"/>
    <n v="0"/>
  </r>
  <r>
    <x v="15"/>
    <s v="South America"/>
    <x v="3"/>
    <n v="0"/>
    <n v="0"/>
    <n v="0"/>
    <n v="0"/>
    <n v="0"/>
    <n v="0"/>
    <n v="0"/>
    <n v="0"/>
    <n v="0"/>
    <n v="0"/>
    <n v="0"/>
    <n v="0"/>
    <n v="0"/>
    <n v="0"/>
    <n v="0"/>
    <n v="0"/>
    <n v="0"/>
    <n v="0"/>
    <n v="0"/>
    <n v="0"/>
    <n v="0"/>
    <n v="1"/>
  </r>
  <r>
    <x v="16"/>
    <s v="North America"/>
    <x v="0"/>
    <n v="1"/>
    <n v="0"/>
    <n v="0"/>
    <n v="1"/>
    <n v="0"/>
    <n v="0"/>
    <n v="0"/>
    <n v="0"/>
    <n v="0"/>
    <n v="0"/>
    <n v="0"/>
    <n v="0"/>
    <n v="0"/>
    <n v="0"/>
    <n v="0"/>
    <n v="0"/>
    <n v="0"/>
    <n v="0"/>
    <n v="0"/>
    <n v="0"/>
    <n v="0"/>
    <n v="0"/>
  </r>
  <r>
    <x v="17"/>
    <s v="North America"/>
    <x v="3"/>
    <n v="1"/>
    <n v="0"/>
    <n v="1"/>
    <n v="0"/>
    <n v="0"/>
    <n v="0"/>
    <n v="1"/>
    <n v="0"/>
    <n v="0"/>
    <n v="0"/>
    <n v="0"/>
    <n v="0"/>
    <n v="0"/>
    <n v="0"/>
    <n v="0"/>
    <n v="0"/>
    <n v="0"/>
    <n v="0"/>
    <n v="0"/>
    <n v="0"/>
    <n v="1"/>
    <n v="0"/>
  </r>
  <r>
    <x v="18"/>
    <s v="North America"/>
    <x v="4"/>
    <n v="0"/>
    <n v="0"/>
    <n v="0"/>
    <n v="0"/>
    <n v="0"/>
    <n v="0"/>
    <n v="0"/>
    <n v="0"/>
    <n v="0"/>
    <n v="0"/>
    <n v="0"/>
    <n v="0"/>
    <n v="0"/>
    <n v="0"/>
    <n v="0"/>
    <n v="0"/>
    <n v="0"/>
    <n v="0"/>
    <n v="0"/>
    <n v="0"/>
    <n v="0"/>
    <n v="1"/>
  </r>
  <r>
    <x v="19"/>
    <s v="South America"/>
    <x v="0"/>
    <n v="1"/>
    <n v="0"/>
    <n v="0"/>
    <n v="0"/>
    <n v="0"/>
    <n v="0"/>
    <n v="0"/>
    <n v="0"/>
    <n v="0"/>
    <n v="0"/>
    <n v="0"/>
    <n v="0"/>
    <n v="0"/>
    <n v="0"/>
    <n v="0"/>
    <n v="0"/>
    <n v="0"/>
    <n v="0"/>
    <n v="0"/>
    <n v="0"/>
    <n v="0"/>
    <n v="0"/>
  </r>
  <r>
    <x v="20"/>
    <s v="Middle East and Africa"/>
    <x v="1"/>
    <n v="0"/>
    <n v="0"/>
    <n v="0"/>
    <n v="0"/>
    <n v="0"/>
    <n v="0"/>
    <n v="0"/>
    <n v="0"/>
    <n v="0"/>
    <n v="0"/>
    <n v="0"/>
    <n v="0"/>
    <n v="0"/>
    <n v="0"/>
    <n v="0"/>
    <n v="0"/>
    <n v="0"/>
    <n v="0"/>
    <n v="0"/>
    <n v="0"/>
    <n v="0"/>
    <n v="1"/>
  </r>
  <r>
    <x v="21"/>
    <s v="Global"/>
    <x v="0"/>
    <n v="1"/>
    <n v="0"/>
    <n v="1"/>
    <n v="1"/>
    <n v="0"/>
    <n v="0"/>
    <n v="0"/>
    <n v="0"/>
    <n v="0"/>
    <n v="0"/>
    <n v="0"/>
    <n v="0"/>
    <n v="0"/>
    <n v="0"/>
    <n v="0"/>
    <n v="0"/>
    <n v="1"/>
    <n v="0"/>
    <n v="0"/>
    <n v="0"/>
    <n v="0"/>
    <n v="0"/>
  </r>
  <r>
    <x v="22"/>
    <s v="Europe"/>
    <x v="3"/>
    <n v="1"/>
    <n v="1"/>
    <n v="0"/>
    <n v="1"/>
    <n v="0"/>
    <n v="0"/>
    <n v="0"/>
    <n v="0"/>
    <n v="0"/>
    <n v="0"/>
    <n v="0"/>
    <n v="0"/>
    <n v="0"/>
    <n v="1"/>
    <n v="0"/>
    <n v="0"/>
    <n v="0"/>
    <n v="0"/>
    <n v="0"/>
    <n v="0"/>
    <n v="0"/>
    <n v="0"/>
  </r>
  <r>
    <x v="23"/>
    <s v="Europe"/>
    <x v="4"/>
    <n v="0"/>
    <n v="0"/>
    <n v="0"/>
    <n v="0"/>
    <n v="0"/>
    <n v="0"/>
    <n v="0"/>
    <n v="0"/>
    <n v="0"/>
    <n v="0"/>
    <n v="0"/>
    <n v="0"/>
    <n v="0"/>
    <n v="0"/>
    <n v="0"/>
    <n v="0"/>
    <n v="0"/>
    <n v="0"/>
    <n v="0"/>
    <n v="0"/>
    <n v="0"/>
    <n v="1"/>
  </r>
  <r>
    <x v="24"/>
    <s v="Europe"/>
    <x v="0"/>
    <n v="1"/>
    <n v="1"/>
    <n v="0"/>
    <n v="0"/>
    <n v="1"/>
    <n v="0"/>
    <n v="0"/>
    <n v="0"/>
    <n v="0"/>
    <n v="0"/>
    <n v="1"/>
    <n v="0"/>
    <n v="1"/>
    <n v="0"/>
    <n v="0"/>
    <n v="0"/>
    <n v="0"/>
    <n v="0"/>
    <n v="0"/>
    <n v="0"/>
    <n v="1"/>
    <n v="0"/>
  </r>
  <r>
    <x v="25"/>
    <s v="Asia Pacific"/>
    <x v="0"/>
    <n v="1"/>
    <n v="1"/>
    <n v="1"/>
    <n v="0"/>
    <n v="0"/>
    <n v="0"/>
    <n v="0"/>
    <n v="0"/>
    <n v="0"/>
    <n v="0"/>
    <n v="0"/>
    <n v="0"/>
    <n v="0"/>
    <n v="0"/>
    <n v="0"/>
    <n v="0"/>
    <n v="0"/>
    <n v="0"/>
    <n v="0"/>
    <n v="0"/>
    <n v="0"/>
    <n v="0"/>
  </r>
  <r>
    <x v="26"/>
    <s v="Europe"/>
    <x v="0"/>
    <n v="1"/>
    <n v="0"/>
    <n v="1"/>
    <n v="1"/>
    <n v="1"/>
    <n v="0"/>
    <n v="0"/>
    <n v="1"/>
    <n v="0"/>
    <n v="0"/>
    <n v="0"/>
    <n v="0"/>
    <n v="0"/>
    <n v="0"/>
    <n v="0"/>
    <n v="0"/>
    <n v="0"/>
    <n v="0"/>
    <n v="0"/>
    <n v="0"/>
    <n v="0"/>
    <n v="0"/>
  </r>
  <r>
    <x v="27"/>
    <s v="South America"/>
    <x v="1"/>
    <n v="1"/>
    <n v="1"/>
    <n v="1"/>
    <n v="1"/>
    <n v="0"/>
    <n v="0"/>
    <n v="1"/>
    <n v="0"/>
    <n v="0"/>
    <n v="0"/>
    <n v="0"/>
    <n v="0"/>
    <n v="0"/>
    <n v="1"/>
    <n v="0"/>
    <n v="0"/>
    <n v="0"/>
    <n v="0"/>
    <n v="0"/>
    <n v="0"/>
    <n v="1"/>
    <n v="0"/>
  </r>
  <r>
    <x v="28"/>
    <s v="Global"/>
    <x v="2"/>
    <n v="1"/>
    <n v="0"/>
    <n v="0"/>
    <n v="1"/>
    <n v="0"/>
    <n v="1"/>
    <n v="0"/>
    <n v="0"/>
    <n v="0"/>
    <n v="0"/>
    <n v="0"/>
    <n v="0"/>
    <n v="0"/>
    <n v="0"/>
    <n v="0"/>
    <n v="0"/>
    <n v="0"/>
    <n v="0"/>
    <n v="0"/>
    <n v="0"/>
    <n v="0"/>
    <n v="0"/>
  </r>
  <r>
    <x v="29"/>
    <s v="Europe"/>
    <x v="4"/>
    <n v="0"/>
    <n v="0"/>
    <n v="0"/>
    <n v="0"/>
    <n v="0"/>
    <n v="0"/>
    <n v="0"/>
    <n v="0"/>
    <n v="0"/>
    <n v="0"/>
    <n v="0"/>
    <n v="0"/>
    <n v="0"/>
    <n v="0"/>
    <n v="0"/>
    <n v="0"/>
    <n v="0"/>
    <n v="0"/>
    <n v="0"/>
    <n v="0"/>
    <n v="0"/>
    <n v="1"/>
  </r>
  <r>
    <x v="30"/>
    <s v="Middle East and Africa"/>
    <x v="2"/>
    <n v="1"/>
    <n v="1"/>
    <n v="0"/>
    <n v="0"/>
    <n v="1"/>
    <n v="0"/>
    <n v="0"/>
    <n v="0"/>
    <n v="0"/>
    <n v="0"/>
    <n v="0"/>
    <n v="0"/>
    <n v="0"/>
    <n v="1"/>
    <n v="0"/>
    <n v="0"/>
    <n v="0"/>
    <n v="0"/>
    <n v="0"/>
    <n v="0"/>
    <n v="0"/>
    <n v="0"/>
  </r>
  <r>
    <x v="31"/>
    <s v="Global"/>
    <x v="2"/>
    <n v="1"/>
    <n v="1"/>
    <n v="1"/>
    <n v="1"/>
    <n v="0"/>
    <n v="0"/>
    <n v="0"/>
    <n v="0"/>
    <n v="0"/>
    <n v="0"/>
    <n v="0"/>
    <n v="0"/>
    <n v="0"/>
    <n v="0"/>
    <n v="0"/>
    <n v="1"/>
    <n v="0"/>
    <n v="0"/>
    <n v="0"/>
    <n v="0"/>
    <n v="0"/>
    <n v="0"/>
  </r>
  <r>
    <x v="32"/>
    <s v="Europe"/>
    <x v="2"/>
    <n v="1"/>
    <n v="1"/>
    <n v="0"/>
    <n v="0"/>
    <n v="0"/>
    <n v="0"/>
    <n v="0"/>
    <n v="0"/>
    <n v="0"/>
    <n v="0"/>
    <n v="0"/>
    <n v="0"/>
    <n v="0"/>
    <n v="0"/>
    <n v="0"/>
    <n v="0"/>
    <n v="0"/>
    <n v="0"/>
    <n v="0"/>
    <n v="0"/>
    <n v="0"/>
    <n v="0"/>
  </r>
  <r>
    <x v="33"/>
    <s v="Global"/>
    <x v="2"/>
    <n v="1"/>
    <n v="1"/>
    <n v="0"/>
    <n v="1"/>
    <n v="0"/>
    <n v="0"/>
    <n v="0"/>
    <n v="0"/>
    <n v="1"/>
    <n v="0"/>
    <n v="0"/>
    <n v="0"/>
    <n v="0"/>
    <n v="0"/>
    <n v="0"/>
    <n v="0"/>
    <n v="0"/>
    <n v="0"/>
    <n v="0"/>
    <n v="0"/>
    <n v="0"/>
    <n v="0"/>
  </r>
  <r>
    <x v="34"/>
    <s v="Europe"/>
    <x v="0"/>
    <n v="1"/>
    <n v="1"/>
    <n v="0"/>
    <n v="1"/>
    <n v="0"/>
    <n v="0"/>
    <n v="0"/>
    <n v="0"/>
    <n v="0"/>
    <n v="0"/>
    <n v="0"/>
    <n v="0"/>
    <n v="0"/>
    <n v="0"/>
    <n v="0"/>
    <n v="0"/>
    <n v="0"/>
    <n v="0"/>
    <n v="0"/>
    <n v="0"/>
    <n v="0"/>
    <n v="0"/>
  </r>
  <r>
    <x v="35"/>
    <s v="Europe"/>
    <x v="0"/>
    <n v="0"/>
    <n v="0"/>
    <n v="0"/>
    <n v="0"/>
    <n v="0"/>
    <n v="0"/>
    <n v="0"/>
    <n v="0"/>
    <n v="0"/>
    <n v="0"/>
    <n v="0"/>
    <n v="0"/>
    <n v="0"/>
    <n v="0"/>
    <n v="0"/>
    <n v="0"/>
    <n v="0"/>
    <n v="0"/>
    <n v="0"/>
    <n v="0"/>
    <n v="0"/>
    <n v="1"/>
  </r>
  <r>
    <x v="36"/>
    <s v="South America"/>
    <x v="0"/>
    <n v="0"/>
    <n v="0"/>
    <n v="0"/>
    <n v="0"/>
    <n v="0"/>
    <n v="0"/>
    <n v="0"/>
    <n v="0"/>
    <n v="0"/>
    <n v="0"/>
    <n v="0"/>
    <n v="0"/>
    <n v="0"/>
    <n v="0"/>
    <n v="0"/>
    <n v="0"/>
    <n v="0"/>
    <n v="0"/>
    <n v="0"/>
    <n v="0"/>
    <n v="1"/>
    <n v="0"/>
  </r>
  <r>
    <x v="37"/>
    <s v="South America"/>
    <x v="1"/>
    <n v="0"/>
    <n v="0"/>
    <n v="0"/>
    <n v="0"/>
    <n v="0"/>
    <n v="0"/>
    <n v="0"/>
    <n v="0"/>
    <n v="0"/>
    <n v="0"/>
    <n v="0"/>
    <n v="0"/>
    <n v="0"/>
    <n v="0"/>
    <n v="0"/>
    <n v="0"/>
    <n v="0"/>
    <n v="0"/>
    <n v="0"/>
    <n v="0"/>
    <n v="0"/>
    <n v="1"/>
  </r>
  <r>
    <x v="38"/>
    <s v="Asia Pacific"/>
    <x v="1"/>
    <n v="0"/>
    <n v="0"/>
    <n v="0"/>
    <n v="0"/>
    <n v="0"/>
    <n v="0"/>
    <n v="0"/>
    <n v="0"/>
    <n v="0"/>
    <n v="0"/>
    <n v="0"/>
    <n v="0"/>
    <n v="0"/>
    <n v="0"/>
    <n v="0"/>
    <n v="0"/>
    <n v="0"/>
    <n v="0"/>
    <n v="0"/>
    <n v="0"/>
    <n v="0"/>
    <n v="1"/>
  </r>
  <r>
    <x v="39"/>
    <s v="Europe"/>
    <x v="2"/>
    <n v="0"/>
    <n v="0"/>
    <n v="0"/>
    <n v="1"/>
    <n v="0"/>
    <n v="0"/>
    <n v="0"/>
    <n v="0"/>
    <n v="0"/>
    <n v="0"/>
    <n v="0"/>
    <n v="0"/>
    <n v="0"/>
    <n v="0"/>
    <n v="0"/>
    <n v="0"/>
    <n v="0"/>
    <n v="0"/>
    <n v="0"/>
    <n v="0"/>
    <n v="0"/>
    <n v="0"/>
  </r>
  <r>
    <x v="40"/>
    <s v="Global"/>
    <x v="2"/>
    <n v="1"/>
    <n v="1"/>
    <n v="0"/>
    <n v="1"/>
    <n v="1"/>
    <n v="0"/>
    <n v="1"/>
    <n v="1"/>
    <n v="1"/>
    <n v="0"/>
    <n v="1"/>
    <n v="0"/>
    <n v="0"/>
    <n v="0"/>
    <n v="0"/>
    <n v="0"/>
    <n v="0"/>
    <n v="0"/>
    <n v="0"/>
    <n v="0"/>
    <n v="0"/>
    <n v="0"/>
  </r>
  <r>
    <x v="41"/>
    <s v="Global"/>
    <x v="2"/>
    <n v="0"/>
    <n v="0"/>
    <n v="0"/>
    <n v="0"/>
    <n v="0"/>
    <n v="0"/>
    <n v="0"/>
    <n v="0"/>
    <n v="0"/>
    <n v="0"/>
    <n v="0"/>
    <n v="0"/>
    <n v="0"/>
    <n v="0"/>
    <n v="0"/>
    <n v="0"/>
    <n v="0"/>
    <n v="0"/>
    <n v="0"/>
    <n v="0"/>
    <n v="1"/>
    <n v="0"/>
  </r>
  <r>
    <x v="42"/>
    <s v="Asia Pacific"/>
    <x v="3"/>
    <n v="1"/>
    <n v="1"/>
    <n v="1"/>
    <n v="0"/>
    <n v="0"/>
    <n v="0"/>
    <n v="0"/>
    <n v="1"/>
    <n v="1"/>
    <n v="1"/>
    <n v="1"/>
    <n v="0"/>
    <n v="0"/>
    <n v="0"/>
    <n v="0"/>
    <n v="0"/>
    <n v="0"/>
    <n v="0"/>
    <n v="0"/>
    <n v="0"/>
    <n v="0"/>
    <n v="0"/>
  </r>
  <r>
    <x v="43"/>
    <s v="North America"/>
    <x v="5"/>
    <n v="1"/>
    <n v="0"/>
    <n v="0"/>
    <n v="0"/>
    <n v="0"/>
    <n v="0"/>
    <n v="0"/>
    <n v="0"/>
    <n v="0"/>
    <n v="0"/>
    <n v="0"/>
    <n v="0"/>
    <n v="0"/>
    <n v="0"/>
    <n v="0"/>
    <n v="0"/>
    <n v="0"/>
    <n v="0"/>
    <n v="0"/>
    <n v="0"/>
    <n v="0"/>
    <n v="0"/>
  </r>
  <r>
    <x v="44"/>
    <s v="Europe"/>
    <x v="2"/>
    <n v="1"/>
    <n v="1"/>
    <n v="0"/>
    <n v="1"/>
    <n v="0"/>
    <n v="0"/>
    <n v="0"/>
    <n v="1"/>
    <n v="1"/>
    <n v="0"/>
    <n v="0"/>
    <n v="0"/>
    <n v="0"/>
    <n v="1"/>
    <n v="0"/>
    <n v="0"/>
    <n v="0"/>
    <n v="0"/>
    <n v="0"/>
    <n v="0"/>
    <n v="0"/>
    <n v="0"/>
  </r>
  <r>
    <x v="45"/>
    <s v="Global"/>
    <x v="0"/>
    <n v="0"/>
    <n v="0"/>
    <n v="0"/>
    <n v="0"/>
    <n v="0"/>
    <n v="0"/>
    <n v="0"/>
    <n v="0"/>
    <n v="0"/>
    <n v="0"/>
    <n v="0"/>
    <n v="0"/>
    <n v="0"/>
    <n v="0"/>
    <n v="0"/>
    <n v="0"/>
    <n v="0"/>
    <n v="0"/>
    <n v="0"/>
    <n v="0"/>
    <n v="0"/>
    <n v="1"/>
  </r>
  <r>
    <x v="46"/>
    <s v="Global"/>
    <x v="0"/>
    <n v="0"/>
    <n v="0"/>
    <n v="0"/>
    <n v="0"/>
    <n v="0"/>
    <n v="0"/>
    <n v="0"/>
    <n v="0"/>
    <n v="0"/>
    <n v="0"/>
    <n v="0"/>
    <n v="0"/>
    <n v="0"/>
    <n v="0"/>
    <n v="0"/>
    <n v="0"/>
    <n v="0"/>
    <n v="0"/>
    <n v="0"/>
    <n v="0"/>
    <n v="0"/>
    <n v="1"/>
  </r>
  <r>
    <x v="47"/>
    <s v="Global"/>
    <x v="6"/>
    <n v="0"/>
    <n v="0"/>
    <n v="0"/>
    <n v="0"/>
    <n v="0"/>
    <n v="0"/>
    <n v="0"/>
    <n v="0"/>
    <n v="0"/>
    <n v="0"/>
    <n v="0"/>
    <n v="0"/>
    <n v="0"/>
    <n v="0"/>
    <n v="0"/>
    <n v="0"/>
    <n v="0"/>
    <n v="0"/>
    <n v="0"/>
    <n v="0"/>
    <n v="1"/>
    <n v="0"/>
  </r>
  <r>
    <x v="48"/>
    <s v="Middle East and Africa"/>
    <x v="4"/>
    <n v="0"/>
    <n v="0"/>
    <n v="0"/>
    <n v="0"/>
    <n v="0"/>
    <n v="0"/>
    <n v="0"/>
    <n v="0"/>
    <n v="0"/>
    <n v="0"/>
    <n v="0"/>
    <n v="0"/>
    <n v="0"/>
    <n v="0"/>
    <n v="0"/>
    <n v="0"/>
    <n v="0"/>
    <n v="0"/>
    <n v="0"/>
    <n v="0"/>
    <n v="0"/>
    <n v="1"/>
  </r>
  <r>
    <x v="49"/>
    <s v="Europe"/>
    <x v="3"/>
    <n v="0"/>
    <n v="0"/>
    <n v="0"/>
    <n v="0"/>
    <n v="0"/>
    <n v="0"/>
    <n v="0"/>
    <n v="0"/>
    <n v="0"/>
    <n v="0"/>
    <n v="0"/>
    <n v="0"/>
    <n v="0"/>
    <n v="0"/>
    <n v="0"/>
    <n v="0"/>
    <n v="0"/>
    <n v="0"/>
    <n v="0"/>
    <n v="0"/>
    <n v="0"/>
    <n v="1"/>
  </r>
  <r>
    <x v="50"/>
    <s v="Middle East and Africa"/>
    <x v="0"/>
    <n v="1"/>
    <n v="1"/>
    <n v="1"/>
    <n v="0"/>
    <n v="0"/>
    <n v="1"/>
    <n v="1"/>
    <n v="1"/>
    <n v="0"/>
    <n v="1"/>
    <n v="0"/>
    <n v="1"/>
    <n v="0"/>
    <n v="0"/>
    <n v="0"/>
    <n v="0"/>
    <n v="0"/>
    <n v="1"/>
    <n v="0"/>
    <n v="1"/>
    <n v="0"/>
    <n v="0"/>
  </r>
  <r>
    <x v="51"/>
    <s v="Europe"/>
    <x v="0"/>
    <n v="1"/>
    <n v="1"/>
    <n v="0"/>
    <n v="1"/>
    <n v="0"/>
    <n v="1"/>
    <n v="0"/>
    <n v="0"/>
    <n v="0"/>
    <n v="1"/>
    <n v="0"/>
    <n v="0"/>
    <n v="0"/>
    <n v="0"/>
    <n v="0"/>
    <n v="1"/>
    <n v="0"/>
    <n v="0"/>
    <n v="0"/>
    <n v="0"/>
    <n v="1"/>
    <n v="0"/>
  </r>
  <r>
    <x v="52"/>
    <s v="Middle East and Africa"/>
    <x v="0"/>
    <n v="0"/>
    <n v="1"/>
    <n v="0"/>
    <n v="0"/>
    <n v="0"/>
    <n v="0"/>
    <n v="0"/>
    <n v="0"/>
    <n v="0"/>
    <n v="0"/>
    <n v="0"/>
    <n v="1"/>
    <n v="0"/>
    <n v="0"/>
    <n v="0"/>
    <n v="0"/>
    <n v="0"/>
    <n v="0"/>
    <n v="0"/>
    <n v="0"/>
    <n v="0"/>
    <n v="0"/>
  </r>
  <r>
    <x v="53"/>
    <s v="Asia Pacific"/>
    <x v="0"/>
    <n v="1"/>
    <n v="0"/>
    <n v="0"/>
    <n v="1"/>
    <n v="0"/>
    <n v="0"/>
    <n v="0"/>
    <n v="0"/>
    <n v="1"/>
    <n v="0"/>
    <n v="0"/>
    <n v="0"/>
    <n v="0"/>
    <n v="0"/>
    <n v="0"/>
    <n v="0"/>
    <n v="0"/>
    <n v="0"/>
    <n v="0"/>
    <n v="0"/>
    <n v="0"/>
    <n v="0"/>
  </r>
  <r>
    <x v="54"/>
    <s v="Europe"/>
    <x v="0"/>
    <n v="1"/>
    <n v="0"/>
    <n v="0"/>
    <n v="1"/>
    <n v="0"/>
    <n v="0"/>
    <n v="0"/>
    <n v="0"/>
    <n v="0"/>
    <n v="0"/>
    <n v="0"/>
    <n v="0"/>
    <n v="0"/>
    <n v="0"/>
    <n v="0"/>
    <n v="0"/>
    <n v="0"/>
    <n v="0"/>
    <n v="0"/>
    <n v="0"/>
    <n v="0"/>
    <n v="0"/>
  </r>
  <r>
    <x v="55"/>
    <s v="Asia Pacific"/>
    <x v="0"/>
    <n v="1"/>
    <n v="1"/>
    <n v="1"/>
    <n v="1"/>
    <n v="1"/>
    <n v="1"/>
    <n v="1"/>
    <n v="1"/>
    <n v="1"/>
    <n v="1"/>
    <n v="1"/>
    <n v="1"/>
    <n v="1"/>
    <n v="1"/>
    <n v="0"/>
    <n v="1"/>
    <n v="0"/>
    <n v="1"/>
    <n v="0"/>
    <n v="1"/>
    <n v="1"/>
    <n v="0"/>
  </r>
  <r>
    <x v="56"/>
    <s v="South America"/>
    <x v="0"/>
    <n v="1"/>
    <n v="1"/>
    <n v="1"/>
    <n v="0"/>
    <n v="0"/>
    <n v="0"/>
    <n v="0"/>
    <n v="0"/>
    <n v="0"/>
    <n v="0"/>
    <n v="0"/>
    <n v="0"/>
    <n v="0"/>
    <n v="0"/>
    <n v="0"/>
    <n v="0"/>
    <n v="0"/>
    <n v="0"/>
    <n v="0"/>
    <n v="0"/>
    <n v="0"/>
    <n v="0"/>
  </r>
  <r>
    <x v="57"/>
    <s v="Asia Pacific"/>
    <x v="0"/>
    <n v="1"/>
    <n v="0"/>
    <n v="1"/>
    <n v="0"/>
    <n v="0"/>
    <n v="0"/>
    <n v="0"/>
    <n v="0"/>
    <n v="0"/>
    <n v="0"/>
    <n v="0"/>
    <n v="0"/>
    <n v="0"/>
    <n v="0"/>
    <n v="0"/>
    <n v="0"/>
    <n v="0"/>
    <n v="0"/>
    <n v="0"/>
    <n v="0"/>
    <n v="0"/>
    <n v="0"/>
  </r>
  <r>
    <x v="58"/>
    <s v="Asia Pacific"/>
    <x v="0"/>
    <n v="1"/>
    <n v="1"/>
    <n v="0"/>
    <n v="0"/>
    <n v="0"/>
    <n v="0"/>
    <n v="0"/>
    <n v="0"/>
    <n v="0"/>
    <n v="0"/>
    <n v="0"/>
    <n v="0"/>
    <n v="0"/>
    <n v="0"/>
    <n v="0"/>
    <n v="0"/>
    <n v="0"/>
    <n v="0"/>
    <n v="0"/>
    <n v="0"/>
    <n v="0"/>
    <n v="0"/>
  </r>
  <r>
    <x v="59"/>
    <s v="Europe"/>
    <x v="0"/>
    <n v="1"/>
    <n v="0"/>
    <n v="0"/>
    <n v="0"/>
    <n v="0"/>
    <n v="0"/>
    <n v="0"/>
    <n v="0"/>
    <n v="0"/>
    <n v="0"/>
    <n v="0"/>
    <n v="0"/>
    <n v="0"/>
    <n v="0"/>
    <n v="0"/>
    <n v="0"/>
    <n v="0"/>
    <n v="0"/>
    <n v="0"/>
    <n v="0"/>
    <n v="0"/>
    <n v="0"/>
  </r>
  <r>
    <x v="60"/>
    <s v="South America"/>
    <x v="0"/>
    <n v="0"/>
    <n v="0"/>
    <n v="0"/>
    <n v="0"/>
    <n v="0"/>
    <n v="0"/>
    <n v="0"/>
    <n v="0"/>
    <n v="0"/>
    <n v="0"/>
    <n v="0"/>
    <n v="0"/>
    <n v="0"/>
    <n v="0"/>
    <n v="0"/>
    <n v="0"/>
    <n v="0"/>
    <n v="0"/>
    <n v="0"/>
    <n v="0"/>
    <n v="0"/>
    <n v="1"/>
  </r>
  <r>
    <x v="61"/>
    <s v="South America"/>
    <x v="0"/>
    <n v="1"/>
    <n v="0"/>
    <n v="0"/>
    <n v="0"/>
    <n v="1"/>
    <n v="0"/>
    <n v="0"/>
    <n v="0"/>
    <n v="0"/>
    <n v="1"/>
    <n v="0"/>
    <n v="0"/>
    <n v="0"/>
    <n v="0"/>
    <n v="0"/>
    <n v="0"/>
    <n v="0"/>
    <n v="0"/>
    <n v="1"/>
    <n v="0"/>
    <n v="0"/>
    <n v="0"/>
  </r>
  <r>
    <x v="62"/>
    <s v="South America"/>
    <x v="0"/>
    <n v="1"/>
    <n v="0"/>
    <n v="0"/>
    <n v="0"/>
    <n v="0"/>
    <n v="0"/>
    <n v="0"/>
    <n v="0"/>
    <n v="0"/>
    <n v="0"/>
    <n v="0"/>
    <n v="0"/>
    <n v="0"/>
    <n v="0"/>
    <n v="0"/>
    <n v="0"/>
    <n v="0"/>
    <n v="0"/>
    <n v="0"/>
    <n v="0"/>
    <n v="0"/>
    <n v="0"/>
  </r>
  <r>
    <x v="63"/>
    <s v="Europe"/>
    <x v="4"/>
    <n v="0"/>
    <n v="0"/>
    <n v="0"/>
    <n v="0"/>
    <n v="0"/>
    <n v="0"/>
    <n v="0"/>
    <n v="0"/>
    <n v="0"/>
    <n v="0"/>
    <n v="0"/>
    <n v="0"/>
    <n v="0"/>
    <n v="0"/>
    <n v="0"/>
    <n v="0"/>
    <n v="0"/>
    <n v="0"/>
    <n v="0"/>
    <n v="0"/>
    <n v="0"/>
    <n v="1"/>
  </r>
  <r>
    <x v="64"/>
    <s v="Asia Pacific"/>
    <x v="3"/>
    <n v="1"/>
    <n v="1"/>
    <n v="1"/>
    <n v="1"/>
    <n v="0"/>
    <n v="0"/>
    <n v="1"/>
    <n v="0"/>
    <n v="1"/>
    <n v="0"/>
    <n v="0"/>
    <n v="0"/>
    <n v="0"/>
    <n v="0"/>
    <n v="0"/>
    <n v="0"/>
    <n v="0"/>
    <n v="0"/>
    <n v="0"/>
    <n v="0"/>
    <n v="0"/>
    <n v="0"/>
  </r>
  <r>
    <x v="65"/>
    <s v="Global"/>
    <x v="2"/>
    <n v="1"/>
    <n v="1"/>
    <n v="1"/>
    <n v="1"/>
    <n v="0"/>
    <n v="0"/>
    <n v="1"/>
    <n v="0"/>
    <n v="0"/>
    <n v="0"/>
    <n v="0"/>
    <n v="0"/>
    <n v="0"/>
    <n v="0"/>
    <n v="0"/>
    <n v="0"/>
    <n v="1"/>
    <n v="0"/>
    <n v="1"/>
    <n v="0"/>
    <n v="1"/>
    <n v="0"/>
  </r>
  <r>
    <x v="66"/>
    <s v="Asia Pacific"/>
    <x v="3"/>
    <n v="1"/>
    <n v="1"/>
    <n v="1"/>
    <n v="1"/>
    <n v="0"/>
    <n v="1"/>
    <n v="0"/>
    <n v="0"/>
    <n v="0"/>
    <n v="0"/>
    <n v="0"/>
    <n v="0"/>
    <n v="0"/>
    <n v="0"/>
    <n v="0"/>
    <n v="0"/>
    <n v="0"/>
    <n v="0"/>
    <n v="0"/>
    <n v="0"/>
    <n v="0"/>
    <n v="0"/>
  </r>
  <r>
    <x v="67"/>
    <s v="Asia Pacific"/>
    <x v="0"/>
    <n v="1"/>
    <n v="0"/>
    <n v="1"/>
    <n v="1"/>
    <n v="0"/>
    <n v="0"/>
    <n v="0"/>
    <n v="0"/>
    <n v="0"/>
    <n v="0"/>
    <n v="0"/>
    <n v="0"/>
    <n v="0"/>
    <n v="0"/>
    <n v="0"/>
    <n v="0"/>
    <n v="0"/>
    <n v="0"/>
    <n v="0"/>
    <n v="0"/>
    <n v="0"/>
    <n v="0"/>
  </r>
  <r>
    <x v="68"/>
    <s v="Global"/>
    <x v="2"/>
    <n v="1"/>
    <n v="1"/>
    <n v="1"/>
    <n v="0"/>
    <n v="0"/>
    <n v="0"/>
    <n v="0"/>
    <n v="0"/>
    <n v="0"/>
    <n v="0"/>
    <n v="1"/>
    <n v="1"/>
    <n v="1"/>
    <n v="1"/>
    <n v="1"/>
    <n v="0"/>
    <n v="0"/>
    <n v="0"/>
    <n v="0"/>
    <n v="0"/>
    <n v="0"/>
    <n v="0"/>
  </r>
  <r>
    <x v="69"/>
    <s v="North America"/>
    <x v="1"/>
    <n v="0"/>
    <n v="0"/>
    <n v="0"/>
    <n v="0"/>
    <n v="0"/>
    <n v="0"/>
    <n v="0"/>
    <n v="0"/>
    <n v="0"/>
    <n v="0"/>
    <n v="0"/>
    <n v="0"/>
    <n v="0"/>
    <n v="0"/>
    <n v="0"/>
    <n v="0"/>
    <n v="0"/>
    <n v="0"/>
    <n v="0"/>
    <n v="0"/>
    <n v="0"/>
    <n v="1"/>
  </r>
  <r>
    <x v="70"/>
    <s v="North America"/>
    <x v="2"/>
    <n v="0"/>
    <n v="1"/>
    <n v="1"/>
    <n v="0"/>
    <n v="0"/>
    <n v="0"/>
    <n v="0"/>
    <n v="0"/>
    <n v="0"/>
    <n v="0"/>
    <n v="0"/>
    <n v="0"/>
    <n v="0"/>
    <n v="0"/>
    <n v="0"/>
    <n v="0"/>
    <n v="0"/>
    <n v="0"/>
    <n v="0"/>
    <n v="0"/>
    <n v="0"/>
    <n v="0"/>
  </r>
  <r>
    <x v="71"/>
    <s v="Global"/>
    <x v="2"/>
    <n v="0"/>
    <n v="0"/>
    <n v="0"/>
    <n v="0"/>
    <n v="0"/>
    <n v="0"/>
    <n v="0"/>
    <n v="0"/>
    <n v="0"/>
    <n v="0"/>
    <n v="0"/>
    <n v="0"/>
    <n v="0"/>
    <n v="0"/>
    <n v="0"/>
    <n v="0"/>
    <n v="0"/>
    <n v="0"/>
    <n v="0"/>
    <n v="0"/>
    <n v="0"/>
    <n v="1"/>
  </r>
  <r>
    <x v="72"/>
    <s v="Asia Pacific"/>
    <x v="3"/>
    <n v="1"/>
    <n v="0"/>
    <n v="1"/>
    <n v="1"/>
    <n v="1"/>
    <n v="1"/>
    <n v="0"/>
    <n v="0"/>
    <n v="0"/>
    <n v="0"/>
    <n v="0"/>
    <n v="1"/>
    <n v="0"/>
    <n v="0"/>
    <n v="0"/>
    <n v="0"/>
    <n v="0"/>
    <n v="0"/>
    <n v="0"/>
    <n v="0"/>
    <n v="0"/>
    <n v="0"/>
  </r>
  <r>
    <x v="73"/>
    <s v="Global"/>
    <x v="2"/>
    <n v="1"/>
    <n v="1"/>
    <n v="0"/>
    <n v="0"/>
    <n v="0"/>
    <n v="0"/>
    <n v="0"/>
    <n v="0"/>
    <n v="0"/>
    <n v="0"/>
    <n v="0"/>
    <n v="0"/>
    <n v="0"/>
    <n v="0"/>
    <n v="0"/>
    <n v="0"/>
    <n v="0"/>
    <n v="0"/>
    <n v="0"/>
    <n v="0"/>
    <n v="0"/>
    <n v="0"/>
  </r>
  <r>
    <x v="74"/>
    <s v="Europe"/>
    <x v="0"/>
    <n v="0"/>
    <n v="0"/>
    <n v="0"/>
    <n v="1"/>
    <n v="0"/>
    <n v="0"/>
    <n v="0"/>
    <n v="0"/>
    <n v="0"/>
    <n v="0"/>
    <n v="0"/>
    <n v="0"/>
    <n v="0"/>
    <n v="0"/>
    <n v="0"/>
    <n v="0"/>
    <n v="0"/>
    <n v="0"/>
    <n v="0"/>
    <n v="0"/>
    <n v="0"/>
    <n v="0"/>
  </r>
  <r>
    <x v="75"/>
    <s v="Asia Pacific"/>
    <x v="2"/>
    <n v="1"/>
    <n v="0"/>
    <n v="1"/>
    <n v="0"/>
    <n v="1"/>
    <n v="1"/>
    <n v="0"/>
    <n v="1"/>
    <n v="0"/>
    <n v="0"/>
    <n v="1"/>
    <n v="0"/>
    <n v="0"/>
    <n v="0"/>
    <n v="0"/>
    <n v="0"/>
    <n v="0"/>
    <n v="0"/>
    <n v="0"/>
    <n v="0"/>
    <n v="0"/>
    <n v="0"/>
  </r>
  <r>
    <x v="76"/>
    <s v="Global"/>
    <x v="2"/>
    <n v="1"/>
    <n v="0"/>
    <n v="0"/>
    <n v="0"/>
    <n v="1"/>
    <n v="1"/>
    <n v="0"/>
    <n v="0"/>
    <n v="0"/>
    <n v="0"/>
    <n v="0"/>
    <n v="0"/>
    <n v="1"/>
    <n v="0"/>
    <n v="0"/>
    <n v="0"/>
    <n v="0"/>
    <n v="0"/>
    <n v="0"/>
    <n v="0"/>
    <n v="0"/>
    <n v="0"/>
  </r>
  <r>
    <x v="77"/>
    <s v="Middle East and Africa"/>
    <x v="2"/>
    <n v="0"/>
    <n v="0"/>
    <n v="0"/>
    <n v="1"/>
    <n v="0"/>
    <n v="0"/>
    <n v="0"/>
    <n v="0"/>
    <n v="0"/>
    <n v="0"/>
    <n v="0"/>
    <n v="0"/>
    <n v="0"/>
    <n v="0"/>
    <n v="0"/>
    <n v="0"/>
    <n v="0"/>
    <n v="0"/>
    <n v="0"/>
    <n v="0"/>
    <n v="0"/>
    <n v="0"/>
  </r>
  <r>
    <x v="78"/>
    <s v="Global"/>
    <x v="2"/>
    <n v="1"/>
    <n v="1"/>
    <n v="1"/>
    <n v="0"/>
    <n v="1"/>
    <n v="0"/>
    <n v="0"/>
    <n v="0"/>
    <n v="0"/>
    <n v="1"/>
    <n v="0"/>
    <n v="0"/>
    <n v="0"/>
    <n v="0"/>
    <n v="0"/>
    <n v="0"/>
    <n v="0"/>
    <n v="0"/>
    <n v="0"/>
    <n v="0"/>
    <n v="0"/>
    <n v="0"/>
  </r>
  <r>
    <x v="79"/>
    <s v="Europe"/>
    <x v="3"/>
    <n v="0"/>
    <n v="0"/>
    <n v="0"/>
    <n v="0"/>
    <n v="0"/>
    <n v="0"/>
    <n v="0"/>
    <n v="0"/>
    <n v="0"/>
    <n v="0"/>
    <n v="0"/>
    <n v="0"/>
    <n v="0"/>
    <n v="0"/>
    <n v="0"/>
    <n v="0"/>
    <n v="0"/>
    <n v="0"/>
    <n v="0"/>
    <n v="0"/>
    <n v="0"/>
    <n v="1"/>
  </r>
  <r>
    <x v="80"/>
    <s v="Global"/>
    <x v="2"/>
    <n v="1"/>
    <n v="1"/>
    <n v="1"/>
    <n v="1"/>
    <n v="0"/>
    <n v="0"/>
    <n v="0"/>
    <n v="0"/>
    <n v="0"/>
    <n v="0"/>
    <n v="0"/>
    <n v="0"/>
    <n v="0"/>
    <n v="0"/>
    <n v="0"/>
    <n v="0"/>
    <n v="0"/>
    <n v="0"/>
    <n v="0"/>
    <n v="0"/>
    <n v="0"/>
    <n v="0"/>
  </r>
  <r>
    <x v="81"/>
    <s v="Middle East and Africa"/>
    <x v="1"/>
    <n v="0"/>
    <n v="0"/>
    <n v="0"/>
    <n v="0"/>
    <n v="0"/>
    <n v="0"/>
    <n v="0"/>
    <n v="0"/>
    <n v="0"/>
    <n v="0"/>
    <n v="0"/>
    <n v="0"/>
    <n v="0"/>
    <n v="0"/>
    <n v="0"/>
    <n v="0"/>
    <n v="0"/>
    <n v="0"/>
    <n v="0"/>
    <n v="0"/>
    <n v="0"/>
    <n v="1"/>
  </r>
  <r>
    <x v="82"/>
    <s v="South America"/>
    <x v="1"/>
    <n v="0"/>
    <n v="0"/>
    <n v="0"/>
    <n v="0"/>
    <n v="0"/>
    <n v="0"/>
    <n v="0"/>
    <n v="0"/>
    <n v="0"/>
    <n v="0"/>
    <n v="0"/>
    <n v="0"/>
    <n v="0"/>
    <n v="0"/>
    <n v="0"/>
    <n v="0"/>
    <n v="0"/>
    <n v="0"/>
    <n v="0"/>
    <n v="0"/>
    <n v="0"/>
    <n v="1"/>
  </r>
  <r>
    <x v="83"/>
    <s v="Middle East and Africa"/>
    <x v="2"/>
    <n v="0"/>
    <n v="0"/>
    <n v="0"/>
    <n v="0"/>
    <n v="1"/>
    <n v="0"/>
    <n v="0"/>
    <n v="0"/>
    <n v="0"/>
    <n v="0"/>
    <n v="0"/>
    <n v="0"/>
    <n v="0"/>
    <n v="0"/>
    <n v="0"/>
    <n v="0"/>
    <n v="0"/>
    <n v="0"/>
    <n v="0"/>
    <n v="0"/>
    <n v="0"/>
    <n v="0"/>
  </r>
  <r>
    <x v="84"/>
    <s v="Middle East and Africa"/>
    <x v="0"/>
    <n v="1"/>
    <n v="1"/>
    <n v="1"/>
    <n v="1"/>
    <n v="0"/>
    <n v="1"/>
    <n v="0"/>
    <n v="0"/>
    <n v="1"/>
    <n v="0"/>
    <n v="0"/>
    <n v="0"/>
    <n v="0"/>
    <n v="0"/>
    <n v="0"/>
    <n v="0"/>
    <n v="0"/>
    <n v="0"/>
    <n v="0"/>
    <n v="0"/>
    <n v="0"/>
    <n v="0"/>
  </r>
  <r>
    <x v="85"/>
    <s v="Middle East and Africa"/>
    <x v="0"/>
    <n v="0"/>
    <n v="0"/>
    <n v="0"/>
    <n v="0"/>
    <n v="0"/>
    <n v="0"/>
    <n v="0"/>
    <n v="0"/>
    <n v="0"/>
    <n v="0"/>
    <n v="0"/>
    <n v="0"/>
    <n v="0"/>
    <n v="0"/>
    <n v="0"/>
    <n v="0"/>
    <n v="0"/>
    <n v="0"/>
    <n v="0"/>
    <n v="0"/>
    <n v="0"/>
    <n v="1"/>
  </r>
  <r>
    <x v="86"/>
    <s v="Europe"/>
    <x v="2"/>
    <n v="1"/>
    <n v="0"/>
    <n v="0"/>
    <n v="0"/>
    <n v="1"/>
    <n v="0"/>
    <n v="0"/>
    <n v="0"/>
    <n v="0"/>
    <n v="0"/>
    <n v="0"/>
    <n v="0"/>
    <n v="0"/>
    <n v="0"/>
    <n v="0"/>
    <n v="0"/>
    <n v="0"/>
    <n v="0"/>
    <n v="0"/>
    <n v="0"/>
    <n v="0"/>
    <n v="0"/>
  </r>
  <r>
    <x v="87"/>
    <s v="Middle East and Africa"/>
    <x v="0"/>
    <n v="1"/>
    <n v="0"/>
    <n v="1"/>
    <n v="0"/>
    <n v="0"/>
    <n v="0"/>
    <n v="1"/>
    <n v="1"/>
    <n v="0"/>
    <n v="0"/>
    <n v="0"/>
    <n v="0"/>
    <n v="0"/>
    <n v="0"/>
    <n v="1"/>
    <n v="0"/>
    <n v="0"/>
    <n v="0"/>
    <n v="0"/>
    <n v="0"/>
    <n v="0"/>
    <n v="0"/>
  </r>
  <r>
    <x v="88"/>
    <s v="Asia Pacific"/>
    <x v="3"/>
    <n v="1"/>
    <n v="1"/>
    <n v="1"/>
    <n v="0"/>
    <n v="0"/>
    <n v="0"/>
    <n v="0"/>
    <n v="0"/>
    <n v="0"/>
    <n v="0"/>
    <n v="0"/>
    <n v="0"/>
    <n v="0"/>
    <n v="0"/>
    <n v="0"/>
    <n v="0"/>
    <n v="0"/>
    <n v="0"/>
    <n v="0"/>
    <n v="0"/>
    <n v="0"/>
    <n v="0"/>
  </r>
  <r>
    <x v="89"/>
    <s v="North America"/>
    <x v="7"/>
    <n v="0"/>
    <n v="0"/>
    <n v="0"/>
    <n v="0"/>
    <n v="0"/>
    <n v="1"/>
    <n v="0"/>
    <n v="0"/>
    <n v="0"/>
    <n v="0"/>
    <n v="0"/>
    <n v="0"/>
    <n v="0"/>
    <n v="0"/>
    <n v="0"/>
    <n v="0"/>
    <n v="0"/>
    <n v="0"/>
    <n v="0"/>
    <n v="0"/>
    <n v="1"/>
    <n v="0"/>
  </r>
  <r>
    <x v="90"/>
    <s v="Europe"/>
    <x v="0"/>
    <n v="0"/>
    <n v="0"/>
    <n v="0"/>
    <n v="0"/>
    <n v="0"/>
    <n v="0"/>
    <n v="0"/>
    <n v="0"/>
    <n v="0"/>
    <n v="0"/>
    <n v="0"/>
    <n v="0"/>
    <n v="0"/>
    <n v="0"/>
    <n v="0"/>
    <n v="0"/>
    <n v="0"/>
    <n v="0"/>
    <n v="0"/>
    <n v="0"/>
    <n v="0"/>
    <n v="1"/>
  </r>
  <r>
    <x v="91"/>
    <s v="Europe"/>
    <x v="1"/>
    <n v="0"/>
    <n v="0"/>
    <n v="1"/>
    <n v="0"/>
    <n v="0"/>
    <n v="0"/>
    <n v="0"/>
    <n v="0"/>
    <n v="0"/>
    <n v="0"/>
    <n v="0"/>
    <n v="0"/>
    <n v="0"/>
    <n v="0"/>
    <n v="0"/>
    <n v="0"/>
    <n v="0"/>
    <n v="0"/>
    <n v="0"/>
    <n v="0"/>
    <n v="0"/>
    <n v="0"/>
  </r>
  <r>
    <x v="92"/>
    <s v="Europe"/>
    <x v="7"/>
    <n v="1"/>
    <n v="0"/>
    <n v="0"/>
    <n v="0"/>
    <n v="0"/>
    <n v="0"/>
    <n v="0"/>
    <n v="0"/>
    <n v="0"/>
    <n v="0"/>
    <n v="0"/>
    <n v="0"/>
    <n v="0"/>
    <n v="0"/>
    <n v="0"/>
    <n v="0"/>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0"/>
    <n v="0"/>
    <n v="0"/>
    <n v="1"/>
    <n v="0"/>
    <n v="0"/>
    <n v="0"/>
  </r>
  <r>
    <x v="1"/>
    <s v="Middle East and Africa"/>
    <x v="1"/>
    <n v="0"/>
    <n v="0"/>
    <n v="0"/>
    <n v="0"/>
    <n v="0"/>
    <n v="0"/>
    <n v="0"/>
    <n v="1"/>
  </r>
  <r>
    <x v="2"/>
    <s v="Europe"/>
    <x v="2"/>
    <n v="1"/>
    <n v="0"/>
    <n v="0"/>
    <n v="0"/>
    <n v="0"/>
    <n v="0"/>
    <n v="0"/>
    <n v="0"/>
  </r>
  <r>
    <x v="3"/>
    <s v="Middle East and Africa"/>
    <x v="1"/>
    <n v="0"/>
    <n v="0"/>
    <n v="0"/>
    <n v="0"/>
    <n v="0"/>
    <n v="0"/>
    <n v="0"/>
    <n v="1"/>
  </r>
  <r>
    <x v="4"/>
    <s v="Europe"/>
    <x v="1"/>
    <n v="0"/>
    <n v="0"/>
    <n v="0"/>
    <n v="0"/>
    <n v="0"/>
    <n v="0"/>
    <n v="0"/>
    <n v="1"/>
  </r>
  <r>
    <x v="5"/>
    <s v="North America"/>
    <x v="3"/>
    <n v="0"/>
    <n v="0"/>
    <n v="0"/>
    <n v="0"/>
    <n v="0"/>
    <n v="1"/>
    <n v="0"/>
    <n v="0"/>
  </r>
  <r>
    <x v="6"/>
    <s v="Europe"/>
    <x v="0"/>
    <n v="0"/>
    <n v="0"/>
    <n v="0"/>
    <n v="0"/>
    <n v="0"/>
    <n v="0"/>
    <n v="0"/>
    <n v="1"/>
  </r>
  <r>
    <x v="7"/>
    <s v="Asia Pacific"/>
    <x v="1"/>
    <n v="1"/>
    <n v="0"/>
    <n v="0"/>
    <n v="0"/>
    <n v="0"/>
    <n v="0"/>
    <n v="0"/>
    <n v="0"/>
  </r>
  <r>
    <x v="8"/>
    <s v="Asia Pacific"/>
    <x v="3"/>
    <n v="0"/>
    <n v="0"/>
    <n v="0"/>
    <n v="0"/>
    <n v="1"/>
    <n v="0"/>
    <n v="0"/>
    <n v="0"/>
  </r>
  <r>
    <x v="9"/>
    <s v="Asia Pacific"/>
    <x v="3"/>
    <n v="0"/>
    <n v="0"/>
    <n v="0"/>
    <n v="0"/>
    <n v="0"/>
    <n v="0"/>
    <n v="0"/>
    <n v="1"/>
  </r>
  <r>
    <x v="10"/>
    <s v="Europe"/>
    <x v="3"/>
    <n v="0"/>
    <n v="0"/>
    <n v="0"/>
    <n v="0"/>
    <n v="0"/>
    <n v="0"/>
    <n v="0"/>
    <n v="1"/>
  </r>
  <r>
    <x v="11"/>
    <s v="Global"/>
    <x v="2"/>
    <n v="0"/>
    <n v="0"/>
    <n v="0"/>
    <n v="0"/>
    <n v="0"/>
    <n v="0"/>
    <n v="1"/>
    <n v="0"/>
  </r>
  <r>
    <x v="12"/>
    <s v="Global"/>
    <x v="2"/>
    <n v="0"/>
    <n v="0"/>
    <n v="0"/>
    <n v="0"/>
    <n v="1"/>
    <n v="0"/>
    <n v="0"/>
    <n v="1"/>
  </r>
  <r>
    <x v="13"/>
    <s v="Europe"/>
    <x v="0"/>
    <n v="0"/>
    <n v="0"/>
    <n v="0"/>
    <n v="0"/>
    <n v="1"/>
    <n v="0"/>
    <n v="0"/>
    <n v="0"/>
  </r>
  <r>
    <x v="14"/>
    <s v="Europe"/>
    <x v="0"/>
    <n v="0"/>
    <n v="1"/>
    <n v="0"/>
    <n v="0"/>
    <n v="0"/>
    <n v="0"/>
    <n v="0"/>
    <n v="0"/>
  </r>
  <r>
    <x v="15"/>
    <s v="South America"/>
    <x v="3"/>
    <n v="0"/>
    <n v="0"/>
    <n v="0"/>
    <n v="0"/>
    <n v="0"/>
    <n v="0"/>
    <n v="0"/>
    <n v="1"/>
  </r>
  <r>
    <x v="16"/>
    <s v="North America"/>
    <x v="0"/>
    <n v="0"/>
    <n v="0"/>
    <n v="0"/>
    <n v="0"/>
    <n v="0"/>
    <n v="0"/>
    <n v="0"/>
    <n v="1"/>
  </r>
  <r>
    <x v="17"/>
    <s v="North America"/>
    <x v="3"/>
    <n v="0"/>
    <n v="1"/>
    <n v="0"/>
    <n v="0"/>
    <n v="0"/>
    <n v="0"/>
    <n v="0"/>
    <n v="1"/>
  </r>
  <r>
    <x v="18"/>
    <s v="North America"/>
    <x v="4"/>
    <n v="0"/>
    <n v="0"/>
    <n v="0"/>
    <n v="0"/>
    <n v="0"/>
    <n v="0"/>
    <n v="0"/>
    <n v="1"/>
  </r>
  <r>
    <x v="19"/>
    <s v="South America"/>
    <x v="0"/>
    <n v="0"/>
    <n v="0"/>
    <n v="0"/>
    <n v="0"/>
    <n v="0"/>
    <n v="0"/>
    <n v="0"/>
    <n v="1"/>
  </r>
  <r>
    <x v="20"/>
    <s v="Middle East and Africa"/>
    <x v="1"/>
    <n v="0"/>
    <n v="0"/>
    <n v="0"/>
    <n v="0"/>
    <n v="0"/>
    <n v="0"/>
    <n v="0"/>
    <n v="1"/>
  </r>
  <r>
    <x v="21"/>
    <s v="Global"/>
    <x v="0"/>
    <n v="0"/>
    <n v="0"/>
    <n v="0"/>
    <n v="0"/>
    <n v="0"/>
    <n v="0"/>
    <n v="0"/>
    <n v="1"/>
  </r>
  <r>
    <x v="22"/>
    <s v="Europe"/>
    <x v="3"/>
    <n v="0"/>
    <n v="0"/>
    <n v="0"/>
    <n v="0"/>
    <n v="1"/>
    <n v="0"/>
    <n v="0"/>
    <n v="0"/>
  </r>
  <r>
    <x v="23"/>
    <s v="Europe"/>
    <x v="4"/>
    <n v="0"/>
    <n v="0"/>
    <n v="0"/>
    <n v="0"/>
    <n v="0"/>
    <n v="0"/>
    <n v="1"/>
    <n v="0"/>
  </r>
  <r>
    <x v="24"/>
    <s v="Europe"/>
    <x v="0"/>
    <n v="0"/>
    <n v="0"/>
    <n v="0"/>
    <n v="0"/>
    <n v="0"/>
    <n v="0"/>
    <n v="0"/>
    <n v="1"/>
  </r>
  <r>
    <x v="25"/>
    <s v="Asia Pacific"/>
    <x v="0"/>
    <n v="0"/>
    <n v="1"/>
    <n v="0"/>
    <n v="0"/>
    <n v="0"/>
    <n v="0"/>
    <n v="0"/>
    <n v="0"/>
  </r>
  <r>
    <x v="26"/>
    <s v="Europe"/>
    <x v="0"/>
    <n v="0"/>
    <n v="0"/>
    <n v="0"/>
    <n v="1"/>
    <n v="0"/>
    <n v="0"/>
    <n v="0"/>
    <n v="0"/>
  </r>
  <r>
    <x v="27"/>
    <s v="South America"/>
    <x v="1"/>
    <n v="0"/>
    <n v="0"/>
    <n v="0"/>
    <n v="0"/>
    <n v="0"/>
    <n v="0"/>
    <n v="0"/>
    <n v="1"/>
  </r>
  <r>
    <x v="28"/>
    <s v="Global"/>
    <x v="2"/>
    <n v="0"/>
    <n v="0"/>
    <n v="0"/>
    <n v="0"/>
    <n v="0"/>
    <n v="0"/>
    <n v="0"/>
    <n v="1"/>
  </r>
  <r>
    <x v="29"/>
    <s v="Europe"/>
    <x v="4"/>
    <n v="0"/>
    <n v="0"/>
    <n v="0"/>
    <n v="0"/>
    <n v="0"/>
    <n v="0"/>
    <n v="0"/>
    <n v="1"/>
  </r>
  <r>
    <x v="30"/>
    <s v="Middle East and Africa"/>
    <x v="2"/>
    <n v="0"/>
    <n v="0"/>
    <n v="0"/>
    <n v="0"/>
    <n v="0"/>
    <n v="0"/>
    <n v="0"/>
    <n v="1"/>
  </r>
  <r>
    <x v="31"/>
    <s v="Global"/>
    <x v="2"/>
    <n v="0"/>
    <n v="0"/>
    <n v="0"/>
    <n v="0"/>
    <n v="0"/>
    <n v="0"/>
    <n v="0"/>
    <n v="1"/>
  </r>
  <r>
    <x v="32"/>
    <s v="Europe"/>
    <x v="2"/>
    <n v="0"/>
    <n v="0"/>
    <n v="0"/>
    <n v="0"/>
    <n v="0"/>
    <n v="0"/>
    <n v="0"/>
    <n v="1"/>
  </r>
  <r>
    <x v="33"/>
    <s v="Global"/>
    <x v="2"/>
    <n v="0"/>
    <n v="0"/>
    <n v="1"/>
    <n v="0"/>
    <n v="0"/>
    <n v="0"/>
    <n v="0"/>
    <n v="0"/>
  </r>
  <r>
    <x v="34"/>
    <s v="Europe"/>
    <x v="0"/>
    <n v="0"/>
    <n v="0"/>
    <n v="0"/>
    <n v="0"/>
    <n v="1"/>
    <n v="0"/>
    <n v="0"/>
    <n v="1"/>
  </r>
  <r>
    <x v="35"/>
    <s v="Europe"/>
    <x v="0"/>
    <n v="0"/>
    <n v="0"/>
    <n v="0"/>
    <n v="0"/>
    <n v="1"/>
    <n v="0"/>
    <n v="0"/>
    <n v="0"/>
  </r>
  <r>
    <x v="36"/>
    <s v="South America"/>
    <x v="0"/>
    <n v="0"/>
    <n v="0"/>
    <n v="0"/>
    <n v="0"/>
    <n v="0"/>
    <n v="0"/>
    <n v="1"/>
    <n v="0"/>
  </r>
  <r>
    <x v="37"/>
    <s v="South America"/>
    <x v="1"/>
    <n v="0"/>
    <n v="0"/>
    <n v="0"/>
    <n v="0"/>
    <n v="0"/>
    <n v="0"/>
    <n v="0"/>
    <n v="1"/>
  </r>
  <r>
    <x v="38"/>
    <s v="Asia Pacific"/>
    <x v="1"/>
    <n v="0"/>
    <n v="0"/>
    <n v="0"/>
    <n v="0"/>
    <n v="0"/>
    <n v="0"/>
    <n v="0"/>
    <n v="1"/>
  </r>
  <r>
    <x v="39"/>
    <s v="Europe"/>
    <x v="2"/>
    <n v="0"/>
    <n v="0"/>
    <n v="0"/>
    <n v="0"/>
    <n v="0"/>
    <n v="0"/>
    <n v="0"/>
    <n v="1"/>
  </r>
  <r>
    <x v="40"/>
    <s v="Global"/>
    <x v="2"/>
    <n v="0"/>
    <n v="0"/>
    <n v="0"/>
    <n v="0"/>
    <n v="0"/>
    <n v="0"/>
    <n v="0"/>
    <n v="1"/>
  </r>
  <r>
    <x v="41"/>
    <s v="Global"/>
    <x v="2"/>
    <n v="0"/>
    <n v="0"/>
    <n v="0"/>
    <n v="0"/>
    <n v="0"/>
    <n v="0"/>
    <n v="0"/>
    <n v="1"/>
  </r>
  <r>
    <x v="42"/>
    <s v="Asia Pacific"/>
    <x v="3"/>
    <n v="0"/>
    <n v="0"/>
    <n v="0"/>
    <n v="0"/>
    <n v="0"/>
    <n v="0"/>
    <n v="1"/>
    <n v="0"/>
  </r>
  <r>
    <x v="43"/>
    <s v="North America"/>
    <x v="5"/>
    <n v="0"/>
    <n v="0"/>
    <n v="0"/>
    <n v="0"/>
    <n v="0"/>
    <n v="0"/>
    <n v="0"/>
    <n v="1"/>
  </r>
  <r>
    <x v="44"/>
    <s v="Europe"/>
    <x v="2"/>
    <n v="0"/>
    <n v="0"/>
    <n v="0"/>
    <n v="0"/>
    <n v="0"/>
    <n v="0"/>
    <n v="1"/>
    <n v="0"/>
  </r>
  <r>
    <x v="45"/>
    <s v="Global"/>
    <x v="0"/>
    <n v="0"/>
    <n v="0"/>
    <n v="0"/>
    <n v="0"/>
    <n v="0"/>
    <n v="0"/>
    <n v="0"/>
    <n v="1"/>
  </r>
  <r>
    <x v="46"/>
    <s v="Global"/>
    <x v="0"/>
    <n v="0"/>
    <n v="0"/>
    <n v="0"/>
    <n v="0"/>
    <n v="0"/>
    <n v="0"/>
    <n v="0"/>
    <n v="1"/>
  </r>
  <r>
    <x v="47"/>
    <s v="Global"/>
    <x v="6"/>
    <n v="0"/>
    <n v="1"/>
    <n v="0"/>
    <n v="0"/>
    <n v="0"/>
    <n v="0"/>
    <n v="1"/>
    <n v="0"/>
  </r>
  <r>
    <x v="48"/>
    <s v="Middle East and Africa"/>
    <x v="4"/>
    <n v="0"/>
    <n v="0"/>
    <n v="0"/>
    <n v="0"/>
    <n v="0"/>
    <n v="0"/>
    <n v="0"/>
    <n v="1"/>
  </r>
  <r>
    <x v="49"/>
    <s v="Europe"/>
    <x v="3"/>
    <n v="0"/>
    <n v="0"/>
    <n v="0"/>
    <n v="0"/>
    <n v="0"/>
    <n v="0"/>
    <n v="0"/>
    <n v="1"/>
  </r>
  <r>
    <x v="50"/>
    <s v="Middle East and Africa"/>
    <x v="0"/>
    <n v="0"/>
    <n v="0"/>
    <n v="0"/>
    <n v="0"/>
    <n v="0"/>
    <n v="0"/>
    <n v="0"/>
    <n v="1"/>
  </r>
  <r>
    <x v="51"/>
    <s v="Europe"/>
    <x v="0"/>
    <n v="0"/>
    <n v="0"/>
    <n v="0"/>
    <n v="0"/>
    <n v="0"/>
    <n v="1"/>
    <n v="0"/>
    <n v="1"/>
  </r>
  <r>
    <x v="52"/>
    <s v="Middle East and Africa"/>
    <x v="0"/>
    <n v="0"/>
    <n v="0"/>
    <n v="0"/>
    <n v="0"/>
    <n v="0"/>
    <n v="0"/>
    <n v="1"/>
    <n v="0"/>
  </r>
  <r>
    <x v="53"/>
    <s v="Asia Pacific"/>
    <x v="0"/>
    <n v="0"/>
    <n v="0"/>
    <n v="0"/>
    <n v="0"/>
    <n v="0"/>
    <n v="0"/>
    <n v="0"/>
    <n v="1"/>
  </r>
  <r>
    <x v="54"/>
    <s v="Europe"/>
    <x v="0"/>
    <n v="0"/>
    <n v="0"/>
    <n v="0"/>
    <n v="0"/>
    <n v="0"/>
    <n v="0"/>
    <n v="1"/>
    <n v="0"/>
  </r>
  <r>
    <x v="55"/>
    <s v="Asia Pacific"/>
    <x v="0"/>
    <n v="0"/>
    <n v="1"/>
    <n v="0"/>
    <n v="0"/>
    <n v="1"/>
    <n v="0"/>
    <n v="0"/>
    <n v="0"/>
  </r>
  <r>
    <x v="56"/>
    <s v="South America"/>
    <x v="0"/>
    <n v="0"/>
    <n v="0"/>
    <n v="0"/>
    <n v="0"/>
    <n v="0"/>
    <n v="0"/>
    <n v="0"/>
    <n v="1"/>
  </r>
  <r>
    <x v="57"/>
    <s v="Asia Pacific"/>
    <x v="0"/>
    <n v="0"/>
    <n v="0"/>
    <n v="0"/>
    <n v="0"/>
    <n v="0"/>
    <n v="0"/>
    <n v="0"/>
    <n v="1"/>
  </r>
  <r>
    <x v="58"/>
    <s v="Asia Pacific"/>
    <x v="0"/>
    <n v="0"/>
    <n v="0"/>
    <n v="0"/>
    <n v="0"/>
    <n v="0"/>
    <n v="0"/>
    <n v="0"/>
    <n v="1"/>
  </r>
  <r>
    <x v="59"/>
    <s v="Europe"/>
    <x v="0"/>
    <n v="0"/>
    <n v="0"/>
    <n v="0"/>
    <n v="0"/>
    <n v="0"/>
    <n v="0"/>
    <n v="0"/>
    <n v="1"/>
  </r>
  <r>
    <x v="60"/>
    <s v="South America"/>
    <x v="0"/>
    <n v="0"/>
    <n v="0"/>
    <n v="0"/>
    <n v="0"/>
    <n v="0"/>
    <n v="0"/>
    <n v="0"/>
    <n v="1"/>
  </r>
  <r>
    <x v="61"/>
    <s v="South America"/>
    <x v="0"/>
    <n v="0"/>
    <n v="0"/>
    <n v="0"/>
    <n v="0"/>
    <n v="0"/>
    <n v="0"/>
    <n v="0"/>
    <n v="1"/>
  </r>
  <r>
    <x v="62"/>
    <s v="South America"/>
    <x v="0"/>
    <n v="0"/>
    <n v="0"/>
    <n v="0"/>
    <n v="0"/>
    <n v="0"/>
    <n v="0"/>
    <n v="0"/>
    <n v="1"/>
  </r>
  <r>
    <x v="63"/>
    <s v="Europe"/>
    <x v="4"/>
    <n v="0"/>
    <n v="0"/>
    <n v="0"/>
    <n v="0"/>
    <n v="0"/>
    <n v="0"/>
    <n v="0"/>
    <n v="1"/>
  </r>
  <r>
    <x v="64"/>
    <s v="Asia Pacific"/>
    <x v="3"/>
    <n v="0"/>
    <n v="0"/>
    <n v="1"/>
    <n v="0"/>
    <n v="0"/>
    <n v="0"/>
    <n v="0"/>
    <n v="0"/>
  </r>
  <r>
    <x v="65"/>
    <s v="Global"/>
    <x v="2"/>
    <n v="1"/>
    <n v="0"/>
    <n v="0"/>
    <n v="1"/>
    <n v="0"/>
    <n v="0"/>
    <n v="0"/>
    <n v="0"/>
  </r>
  <r>
    <x v="66"/>
    <s v="Asia Pacific"/>
    <x v="3"/>
    <n v="0"/>
    <n v="0"/>
    <n v="0"/>
    <n v="0"/>
    <n v="0"/>
    <n v="0"/>
    <n v="0"/>
    <n v="1"/>
  </r>
  <r>
    <x v="67"/>
    <s v="Asia Pacific"/>
    <x v="0"/>
    <n v="0"/>
    <n v="0"/>
    <n v="0"/>
    <n v="0"/>
    <n v="0"/>
    <n v="0"/>
    <n v="0"/>
    <n v="1"/>
  </r>
  <r>
    <x v="68"/>
    <s v="Global"/>
    <x v="2"/>
    <n v="0"/>
    <n v="0"/>
    <n v="0"/>
    <n v="0"/>
    <n v="0"/>
    <n v="0"/>
    <n v="0"/>
    <n v="1"/>
  </r>
  <r>
    <x v="69"/>
    <s v="North America"/>
    <x v="1"/>
    <n v="0"/>
    <n v="0"/>
    <n v="0"/>
    <n v="0"/>
    <n v="0"/>
    <n v="0"/>
    <n v="0"/>
    <n v="1"/>
  </r>
  <r>
    <x v="70"/>
    <s v="North America"/>
    <x v="2"/>
    <n v="0"/>
    <n v="0"/>
    <n v="0"/>
    <n v="0"/>
    <n v="0"/>
    <n v="0"/>
    <n v="0"/>
    <n v="1"/>
  </r>
  <r>
    <x v="71"/>
    <s v="Global"/>
    <x v="2"/>
    <n v="0"/>
    <n v="0"/>
    <n v="0"/>
    <n v="0"/>
    <n v="0"/>
    <n v="0"/>
    <n v="0"/>
    <n v="1"/>
  </r>
  <r>
    <x v="72"/>
    <s v="Asia Pacific"/>
    <x v="3"/>
    <n v="0"/>
    <n v="0"/>
    <n v="0"/>
    <n v="0"/>
    <n v="0"/>
    <n v="0"/>
    <n v="0"/>
    <n v="1"/>
  </r>
  <r>
    <x v="73"/>
    <s v="Global"/>
    <x v="2"/>
    <n v="0"/>
    <n v="0"/>
    <n v="0"/>
    <n v="0"/>
    <n v="0"/>
    <n v="0"/>
    <n v="0"/>
    <n v="1"/>
  </r>
  <r>
    <x v="74"/>
    <s v="Europe"/>
    <x v="0"/>
    <n v="0"/>
    <n v="0"/>
    <n v="0"/>
    <n v="0"/>
    <n v="0"/>
    <n v="0"/>
    <n v="0"/>
    <n v="1"/>
  </r>
  <r>
    <x v="75"/>
    <s v="Asia Pacific"/>
    <x v="2"/>
    <n v="0"/>
    <n v="0"/>
    <n v="0"/>
    <n v="0"/>
    <n v="0"/>
    <n v="0"/>
    <n v="0"/>
    <n v="1"/>
  </r>
  <r>
    <x v="76"/>
    <s v="Global"/>
    <x v="2"/>
    <n v="1"/>
    <n v="0"/>
    <n v="0"/>
    <n v="1"/>
    <n v="0"/>
    <n v="0"/>
    <n v="0"/>
    <n v="1"/>
  </r>
  <r>
    <x v="77"/>
    <s v="Middle East and Africa"/>
    <x v="2"/>
    <n v="0"/>
    <n v="0"/>
    <n v="0"/>
    <n v="0"/>
    <n v="0"/>
    <n v="0"/>
    <n v="0"/>
    <n v="1"/>
  </r>
  <r>
    <x v="78"/>
    <s v="Global"/>
    <x v="2"/>
    <n v="0"/>
    <n v="0"/>
    <n v="1"/>
    <n v="0"/>
    <n v="0"/>
    <n v="0"/>
    <n v="0"/>
    <n v="0"/>
  </r>
  <r>
    <x v="79"/>
    <s v="Europe"/>
    <x v="3"/>
    <n v="0"/>
    <n v="0"/>
    <n v="0"/>
    <n v="0"/>
    <n v="0"/>
    <n v="0"/>
    <n v="1"/>
    <n v="0"/>
  </r>
  <r>
    <x v="80"/>
    <s v="Global"/>
    <x v="2"/>
    <n v="1"/>
    <n v="0"/>
    <n v="0"/>
    <n v="0"/>
    <n v="0"/>
    <n v="0"/>
    <n v="0"/>
    <n v="1"/>
  </r>
  <r>
    <x v="81"/>
    <s v="Middle East and Africa"/>
    <x v="1"/>
    <n v="0"/>
    <n v="0"/>
    <n v="0"/>
    <n v="0"/>
    <n v="0"/>
    <n v="0"/>
    <n v="0"/>
    <n v="1"/>
  </r>
  <r>
    <x v="82"/>
    <s v="South America"/>
    <x v="1"/>
    <n v="0"/>
    <n v="0"/>
    <n v="0"/>
    <n v="0"/>
    <n v="0"/>
    <n v="0"/>
    <n v="0"/>
    <n v="1"/>
  </r>
  <r>
    <x v="83"/>
    <s v="Middle East and Africa"/>
    <x v="2"/>
    <n v="0"/>
    <n v="0"/>
    <n v="0"/>
    <n v="0"/>
    <n v="0"/>
    <n v="0"/>
    <n v="0"/>
    <n v="1"/>
  </r>
  <r>
    <x v="84"/>
    <s v="Middle East and Africa"/>
    <x v="0"/>
    <n v="0"/>
    <n v="0"/>
    <n v="0"/>
    <n v="0"/>
    <n v="0"/>
    <n v="0"/>
    <n v="0"/>
    <n v="1"/>
  </r>
  <r>
    <x v="85"/>
    <s v="Middle East and Africa"/>
    <x v="0"/>
    <n v="0"/>
    <n v="0"/>
    <n v="0"/>
    <n v="0"/>
    <n v="0"/>
    <n v="0"/>
    <n v="0"/>
    <n v="1"/>
  </r>
  <r>
    <x v="86"/>
    <s v="Europe"/>
    <x v="2"/>
    <n v="0"/>
    <n v="0"/>
    <n v="0"/>
    <n v="0"/>
    <n v="0"/>
    <n v="0"/>
    <n v="0"/>
    <n v="1"/>
  </r>
  <r>
    <x v="87"/>
    <s v="Middle East and Africa"/>
    <x v="0"/>
    <n v="0"/>
    <n v="0"/>
    <n v="0"/>
    <n v="0"/>
    <n v="0"/>
    <n v="0"/>
    <n v="0"/>
    <n v="1"/>
  </r>
  <r>
    <x v="88"/>
    <s v="Asia Pacific"/>
    <x v="3"/>
    <n v="0"/>
    <n v="0"/>
    <n v="0"/>
    <n v="0"/>
    <n v="0"/>
    <n v="0"/>
    <n v="0"/>
    <n v="1"/>
  </r>
  <r>
    <x v="89"/>
    <s v="North America"/>
    <x v="7"/>
    <n v="0"/>
    <n v="0"/>
    <n v="0"/>
    <n v="0"/>
    <n v="0"/>
    <n v="0"/>
    <n v="0"/>
    <n v="1"/>
  </r>
  <r>
    <x v="90"/>
    <s v="Europe"/>
    <x v="0"/>
    <n v="0"/>
    <n v="0"/>
    <n v="0"/>
    <n v="0"/>
    <n v="0"/>
    <n v="0"/>
    <n v="0"/>
    <n v="1"/>
  </r>
  <r>
    <x v="91"/>
    <s v="Europe"/>
    <x v="1"/>
    <n v="0"/>
    <n v="0"/>
    <n v="0"/>
    <n v="0"/>
    <n v="0"/>
    <n v="0"/>
    <n v="0"/>
    <n v="1"/>
  </r>
  <r>
    <x v="92"/>
    <s v="Europe"/>
    <x v="7"/>
    <n v="0"/>
    <n v="0"/>
    <n v="0"/>
    <n v="0"/>
    <n v="0"/>
    <n v="0"/>
    <n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0"/>
    <n v="0"/>
    <n v="0"/>
    <n v="0"/>
    <n v="1"/>
  </r>
  <r>
    <x v="1"/>
    <s v="Middle East and Africa"/>
    <x v="1"/>
    <n v="0"/>
    <n v="0"/>
    <n v="0"/>
    <n v="0"/>
    <n v="0"/>
    <n v="1"/>
  </r>
  <r>
    <x v="2"/>
    <s v="Europe"/>
    <x v="2"/>
    <n v="0"/>
    <n v="0"/>
    <n v="1"/>
    <n v="0"/>
    <n v="0"/>
    <n v="1"/>
  </r>
  <r>
    <x v="3"/>
    <s v="Middle East and Africa"/>
    <x v="1"/>
    <n v="0"/>
    <n v="0"/>
    <n v="0"/>
    <n v="0"/>
    <n v="0"/>
    <n v="1"/>
  </r>
  <r>
    <x v="4"/>
    <s v="Europe"/>
    <x v="1"/>
    <n v="0"/>
    <n v="1"/>
    <n v="0"/>
    <n v="0"/>
    <n v="0"/>
    <n v="0"/>
  </r>
  <r>
    <x v="5"/>
    <s v="North America"/>
    <x v="3"/>
    <n v="0"/>
    <n v="0"/>
    <n v="0"/>
    <n v="0"/>
    <n v="1"/>
    <n v="0"/>
  </r>
  <r>
    <x v="6"/>
    <s v="Europe"/>
    <x v="0"/>
    <n v="0"/>
    <n v="0"/>
    <n v="0"/>
    <n v="0"/>
    <n v="0"/>
    <n v="1"/>
  </r>
  <r>
    <x v="7"/>
    <s v="Asia Pacific"/>
    <x v="1"/>
    <n v="0"/>
    <n v="0"/>
    <n v="0"/>
    <n v="0"/>
    <n v="1"/>
    <n v="0"/>
  </r>
  <r>
    <x v="8"/>
    <s v="Asia Pacific"/>
    <x v="3"/>
    <n v="0"/>
    <n v="0"/>
    <n v="0"/>
    <n v="0"/>
    <n v="0"/>
    <n v="1"/>
  </r>
  <r>
    <x v="9"/>
    <s v="Asia Pacific"/>
    <x v="3"/>
    <n v="0"/>
    <n v="0"/>
    <n v="1"/>
    <n v="0"/>
    <n v="0"/>
    <n v="0"/>
  </r>
  <r>
    <x v="10"/>
    <s v="Europe"/>
    <x v="3"/>
    <n v="0"/>
    <n v="0"/>
    <n v="0"/>
    <n v="0"/>
    <n v="0"/>
    <n v="1"/>
  </r>
  <r>
    <x v="11"/>
    <s v="Global"/>
    <x v="2"/>
    <n v="1"/>
    <n v="0"/>
    <n v="0"/>
    <n v="0"/>
    <n v="0"/>
    <n v="0"/>
  </r>
  <r>
    <x v="12"/>
    <s v="Global"/>
    <x v="2"/>
    <n v="1"/>
    <n v="0"/>
    <n v="0"/>
    <n v="0"/>
    <n v="0"/>
    <n v="0"/>
  </r>
  <r>
    <x v="13"/>
    <s v="Europe"/>
    <x v="0"/>
    <n v="0"/>
    <n v="0"/>
    <n v="0"/>
    <n v="0"/>
    <n v="0"/>
    <n v="1"/>
  </r>
  <r>
    <x v="14"/>
    <s v="Europe"/>
    <x v="0"/>
    <n v="0"/>
    <n v="0"/>
    <n v="0"/>
    <n v="0"/>
    <n v="0"/>
    <n v="1"/>
  </r>
  <r>
    <x v="15"/>
    <s v="South America"/>
    <x v="3"/>
    <n v="0"/>
    <n v="0"/>
    <n v="0"/>
    <n v="0"/>
    <n v="0"/>
    <n v="1"/>
  </r>
  <r>
    <x v="16"/>
    <s v="North America"/>
    <x v="0"/>
    <n v="0"/>
    <n v="0"/>
    <n v="0"/>
    <n v="0"/>
    <n v="0"/>
    <n v="1"/>
  </r>
  <r>
    <x v="17"/>
    <s v="North America"/>
    <x v="3"/>
    <n v="0"/>
    <n v="0"/>
    <n v="0"/>
    <n v="0"/>
    <n v="0"/>
    <n v="1"/>
  </r>
  <r>
    <x v="18"/>
    <s v="North America"/>
    <x v="4"/>
    <n v="0"/>
    <n v="0"/>
    <n v="0"/>
    <n v="0"/>
    <n v="0"/>
    <n v="1"/>
  </r>
  <r>
    <x v="19"/>
    <s v="South America"/>
    <x v="0"/>
    <n v="0"/>
    <n v="0"/>
    <n v="0"/>
    <n v="0"/>
    <n v="1"/>
    <n v="0"/>
  </r>
  <r>
    <x v="20"/>
    <s v="Middle East and Africa"/>
    <x v="1"/>
    <n v="0"/>
    <n v="0"/>
    <n v="0"/>
    <n v="0"/>
    <n v="0"/>
    <n v="1"/>
  </r>
  <r>
    <x v="21"/>
    <s v="Global"/>
    <x v="0"/>
    <n v="1"/>
    <n v="0"/>
    <n v="1"/>
    <n v="0"/>
    <n v="0"/>
    <n v="0"/>
  </r>
  <r>
    <x v="22"/>
    <s v="Europe"/>
    <x v="3"/>
    <n v="0"/>
    <n v="0"/>
    <n v="0"/>
    <n v="0"/>
    <n v="0"/>
    <n v="1"/>
  </r>
  <r>
    <x v="23"/>
    <s v="Europe"/>
    <x v="4"/>
    <n v="1"/>
    <n v="1"/>
    <n v="0"/>
    <n v="1"/>
    <n v="0"/>
    <n v="0"/>
  </r>
  <r>
    <x v="24"/>
    <s v="Europe"/>
    <x v="0"/>
    <n v="0"/>
    <n v="0"/>
    <n v="0"/>
    <n v="0"/>
    <n v="0"/>
    <n v="1"/>
  </r>
  <r>
    <x v="25"/>
    <s v="Asia Pacific"/>
    <x v="0"/>
    <n v="1"/>
    <n v="0"/>
    <n v="0"/>
    <n v="0"/>
    <n v="0"/>
    <n v="0"/>
  </r>
  <r>
    <x v="26"/>
    <s v="Europe"/>
    <x v="0"/>
    <n v="0"/>
    <n v="0"/>
    <n v="0"/>
    <n v="0"/>
    <n v="0"/>
    <n v="1"/>
  </r>
  <r>
    <x v="27"/>
    <s v="South America"/>
    <x v="1"/>
    <n v="0"/>
    <n v="0"/>
    <n v="0"/>
    <n v="0"/>
    <n v="0"/>
    <n v="1"/>
  </r>
  <r>
    <x v="28"/>
    <s v="Global"/>
    <x v="2"/>
    <n v="0"/>
    <n v="0"/>
    <n v="0"/>
    <n v="0"/>
    <n v="0"/>
    <n v="1"/>
  </r>
  <r>
    <x v="29"/>
    <s v="Europe"/>
    <x v="4"/>
    <n v="0"/>
    <n v="0"/>
    <n v="0"/>
    <n v="0"/>
    <n v="0"/>
    <n v="1"/>
  </r>
  <r>
    <x v="30"/>
    <s v="Middle East and Africa"/>
    <x v="2"/>
    <n v="0"/>
    <n v="1"/>
    <n v="0"/>
    <n v="0"/>
    <n v="0"/>
    <n v="0"/>
  </r>
  <r>
    <x v="31"/>
    <s v="Global"/>
    <x v="2"/>
    <n v="0"/>
    <n v="0"/>
    <n v="1"/>
    <n v="0"/>
    <n v="0"/>
    <n v="1"/>
  </r>
  <r>
    <x v="32"/>
    <s v="Europe"/>
    <x v="2"/>
    <n v="0"/>
    <n v="0"/>
    <n v="0"/>
    <n v="0"/>
    <n v="0"/>
    <n v="1"/>
  </r>
  <r>
    <x v="33"/>
    <s v="Global"/>
    <x v="2"/>
    <n v="0"/>
    <n v="0"/>
    <n v="0"/>
    <n v="0"/>
    <n v="0"/>
    <n v="1"/>
  </r>
  <r>
    <x v="34"/>
    <s v="Europe"/>
    <x v="0"/>
    <n v="0"/>
    <n v="0"/>
    <n v="0"/>
    <n v="0"/>
    <n v="0"/>
    <n v="1"/>
  </r>
  <r>
    <x v="35"/>
    <s v="Europe"/>
    <x v="0"/>
    <n v="1"/>
    <n v="0"/>
    <n v="0"/>
    <n v="0"/>
    <n v="0"/>
    <n v="0"/>
  </r>
  <r>
    <x v="36"/>
    <s v="South America"/>
    <x v="0"/>
    <n v="0"/>
    <n v="0"/>
    <n v="0"/>
    <n v="0"/>
    <n v="1"/>
    <n v="0"/>
  </r>
  <r>
    <x v="37"/>
    <s v="South America"/>
    <x v="1"/>
    <n v="0"/>
    <n v="0"/>
    <n v="0"/>
    <n v="0"/>
    <n v="0"/>
    <n v="1"/>
  </r>
  <r>
    <x v="38"/>
    <s v="Asia Pacific"/>
    <x v="1"/>
    <n v="0"/>
    <n v="0"/>
    <n v="0"/>
    <n v="0"/>
    <n v="0"/>
    <n v="1"/>
  </r>
  <r>
    <x v="39"/>
    <s v="Europe"/>
    <x v="2"/>
    <n v="0"/>
    <n v="0"/>
    <n v="0"/>
    <n v="0"/>
    <n v="0"/>
    <n v="1"/>
  </r>
  <r>
    <x v="40"/>
    <s v="Global"/>
    <x v="2"/>
    <n v="0"/>
    <n v="1"/>
    <n v="0"/>
    <n v="0"/>
    <n v="0"/>
    <n v="0"/>
  </r>
  <r>
    <x v="41"/>
    <s v="Global"/>
    <x v="2"/>
    <n v="0"/>
    <n v="0"/>
    <n v="0"/>
    <n v="0"/>
    <n v="0"/>
    <n v="1"/>
  </r>
  <r>
    <x v="42"/>
    <s v="Asia Pacific"/>
    <x v="3"/>
    <n v="0"/>
    <n v="0"/>
    <n v="0"/>
    <n v="0"/>
    <n v="0"/>
    <n v="1"/>
  </r>
  <r>
    <x v="43"/>
    <s v="North America"/>
    <x v="5"/>
    <n v="0"/>
    <n v="0"/>
    <n v="0"/>
    <n v="0"/>
    <n v="0"/>
    <n v="1"/>
  </r>
  <r>
    <x v="44"/>
    <s v="Europe"/>
    <x v="2"/>
    <n v="0"/>
    <n v="0"/>
    <n v="0"/>
    <n v="0"/>
    <n v="0"/>
    <n v="1"/>
  </r>
  <r>
    <x v="45"/>
    <s v="Global"/>
    <x v="0"/>
    <n v="0"/>
    <n v="0"/>
    <n v="0"/>
    <n v="0"/>
    <n v="0"/>
    <n v="1"/>
  </r>
  <r>
    <x v="46"/>
    <s v="Global"/>
    <x v="0"/>
    <n v="0"/>
    <n v="0"/>
    <n v="0"/>
    <n v="0"/>
    <n v="0"/>
    <n v="1"/>
  </r>
  <r>
    <x v="47"/>
    <s v="Global"/>
    <x v="6"/>
    <n v="0"/>
    <n v="0"/>
    <n v="0"/>
    <n v="1"/>
    <n v="0"/>
    <n v="0"/>
  </r>
  <r>
    <x v="48"/>
    <s v="Middle East and Africa"/>
    <x v="4"/>
    <n v="0"/>
    <n v="0"/>
    <n v="0"/>
    <n v="1"/>
    <n v="0"/>
    <n v="0"/>
  </r>
  <r>
    <x v="49"/>
    <s v="Europe"/>
    <x v="3"/>
    <n v="0"/>
    <n v="0"/>
    <n v="0"/>
    <n v="0"/>
    <n v="0"/>
    <n v="1"/>
  </r>
  <r>
    <x v="50"/>
    <s v="Middle East and Africa"/>
    <x v="0"/>
    <n v="0"/>
    <n v="0"/>
    <n v="0"/>
    <n v="0"/>
    <n v="0"/>
    <n v="1"/>
  </r>
  <r>
    <x v="51"/>
    <s v="Europe"/>
    <x v="0"/>
    <n v="1"/>
    <n v="0"/>
    <n v="0"/>
    <n v="0"/>
    <n v="0"/>
    <n v="0"/>
  </r>
  <r>
    <x v="52"/>
    <s v="Middle East and Africa"/>
    <x v="0"/>
    <n v="0"/>
    <n v="0"/>
    <n v="0"/>
    <n v="0"/>
    <n v="0"/>
    <n v="1"/>
  </r>
  <r>
    <x v="53"/>
    <s v="Asia Pacific"/>
    <x v="0"/>
    <n v="0"/>
    <n v="0"/>
    <n v="0"/>
    <n v="0"/>
    <n v="0"/>
    <n v="1"/>
  </r>
  <r>
    <x v="54"/>
    <s v="Europe"/>
    <x v="0"/>
    <n v="0"/>
    <n v="0"/>
    <n v="0"/>
    <n v="0"/>
    <n v="0"/>
    <n v="1"/>
  </r>
  <r>
    <x v="55"/>
    <s v="Asia Pacific"/>
    <x v="0"/>
    <n v="0"/>
    <n v="0"/>
    <n v="0"/>
    <n v="0"/>
    <n v="1"/>
    <n v="0"/>
  </r>
  <r>
    <x v="56"/>
    <s v="South America"/>
    <x v="0"/>
    <n v="0"/>
    <n v="0"/>
    <n v="0"/>
    <n v="0"/>
    <n v="0"/>
    <n v="1"/>
  </r>
  <r>
    <x v="57"/>
    <s v="Asia Pacific"/>
    <x v="0"/>
    <n v="0"/>
    <n v="0"/>
    <n v="0"/>
    <n v="0"/>
    <n v="0"/>
    <n v="1"/>
  </r>
  <r>
    <x v="58"/>
    <s v="Asia Pacific"/>
    <x v="0"/>
    <n v="0"/>
    <n v="0"/>
    <n v="0"/>
    <n v="0"/>
    <n v="0"/>
    <n v="1"/>
  </r>
  <r>
    <x v="59"/>
    <s v="Europe"/>
    <x v="0"/>
    <n v="0"/>
    <n v="0"/>
    <n v="1"/>
    <n v="0"/>
    <n v="0"/>
    <n v="0"/>
  </r>
  <r>
    <x v="60"/>
    <s v="South America"/>
    <x v="0"/>
    <n v="0"/>
    <n v="0"/>
    <n v="0"/>
    <n v="0"/>
    <n v="0"/>
    <n v="1"/>
  </r>
  <r>
    <x v="61"/>
    <s v="South America"/>
    <x v="0"/>
    <n v="0"/>
    <n v="0"/>
    <n v="0"/>
    <n v="0"/>
    <n v="1"/>
    <n v="0"/>
  </r>
  <r>
    <x v="62"/>
    <s v="South America"/>
    <x v="0"/>
    <n v="0"/>
    <n v="1"/>
    <n v="0"/>
    <n v="0"/>
    <n v="0"/>
    <n v="0"/>
  </r>
  <r>
    <x v="63"/>
    <s v="Europe"/>
    <x v="4"/>
    <n v="0"/>
    <n v="1"/>
    <n v="0"/>
    <n v="0"/>
    <n v="0"/>
    <n v="0"/>
  </r>
  <r>
    <x v="64"/>
    <s v="Asia Pacific"/>
    <x v="3"/>
    <n v="0"/>
    <n v="0"/>
    <n v="0"/>
    <n v="0"/>
    <n v="0"/>
    <n v="1"/>
  </r>
  <r>
    <x v="65"/>
    <s v="Global"/>
    <x v="2"/>
    <n v="1"/>
    <n v="1"/>
    <n v="1"/>
    <n v="0"/>
    <n v="0"/>
    <n v="0"/>
  </r>
  <r>
    <x v="66"/>
    <s v="Asia Pacific"/>
    <x v="3"/>
    <n v="0"/>
    <n v="0"/>
    <n v="0"/>
    <n v="0"/>
    <n v="0"/>
    <n v="1"/>
  </r>
  <r>
    <x v="67"/>
    <s v="Asia Pacific"/>
    <x v="0"/>
    <n v="0"/>
    <n v="0"/>
    <n v="0"/>
    <n v="0"/>
    <n v="0"/>
    <n v="1"/>
  </r>
  <r>
    <x v="68"/>
    <s v="Global"/>
    <x v="2"/>
    <n v="0"/>
    <n v="0"/>
    <n v="0"/>
    <n v="0"/>
    <n v="0"/>
    <n v="1"/>
  </r>
  <r>
    <x v="69"/>
    <s v="North America"/>
    <x v="1"/>
    <n v="0"/>
    <n v="0"/>
    <n v="0"/>
    <n v="0"/>
    <n v="0"/>
    <n v="1"/>
  </r>
  <r>
    <x v="70"/>
    <s v="North America"/>
    <x v="2"/>
    <n v="0"/>
    <n v="0"/>
    <n v="0"/>
    <n v="0"/>
    <n v="0"/>
    <n v="1"/>
  </r>
  <r>
    <x v="71"/>
    <s v="Global"/>
    <x v="2"/>
    <n v="0"/>
    <n v="0"/>
    <n v="0"/>
    <n v="0"/>
    <n v="0"/>
    <n v="1"/>
  </r>
  <r>
    <x v="72"/>
    <s v="Asia Pacific"/>
    <x v="3"/>
    <n v="0"/>
    <n v="0"/>
    <n v="0"/>
    <n v="0"/>
    <n v="0"/>
    <n v="1"/>
  </r>
  <r>
    <x v="73"/>
    <s v="Global"/>
    <x v="2"/>
    <n v="1"/>
    <n v="0"/>
    <n v="0"/>
    <n v="0"/>
    <n v="1"/>
    <n v="0"/>
  </r>
  <r>
    <x v="74"/>
    <s v="Europe"/>
    <x v="0"/>
    <n v="0"/>
    <n v="0"/>
    <n v="0"/>
    <n v="0"/>
    <n v="0"/>
    <n v="1"/>
  </r>
  <r>
    <x v="75"/>
    <s v="Asia Pacific"/>
    <x v="2"/>
    <n v="0"/>
    <n v="0"/>
    <n v="0"/>
    <n v="0"/>
    <n v="0"/>
    <n v="1"/>
  </r>
  <r>
    <x v="76"/>
    <s v="Global"/>
    <x v="2"/>
    <n v="0"/>
    <n v="0"/>
    <n v="0"/>
    <n v="0"/>
    <n v="0"/>
    <n v="1"/>
  </r>
  <r>
    <x v="77"/>
    <s v="Middle East and Africa"/>
    <x v="2"/>
    <n v="0"/>
    <n v="0"/>
    <n v="0"/>
    <n v="0"/>
    <n v="0"/>
    <n v="1"/>
  </r>
  <r>
    <x v="78"/>
    <s v="Global"/>
    <x v="2"/>
    <n v="1"/>
    <n v="0"/>
    <n v="0"/>
    <n v="0"/>
    <n v="0"/>
    <n v="1"/>
  </r>
  <r>
    <x v="79"/>
    <s v="Europe"/>
    <x v="3"/>
    <n v="0"/>
    <n v="0"/>
    <n v="0"/>
    <n v="0"/>
    <n v="0"/>
    <n v="1"/>
  </r>
  <r>
    <x v="80"/>
    <s v="Global"/>
    <x v="2"/>
    <n v="0"/>
    <n v="0"/>
    <n v="0"/>
    <n v="0"/>
    <n v="0"/>
    <n v="1"/>
  </r>
  <r>
    <x v="81"/>
    <s v="Middle East and Africa"/>
    <x v="1"/>
    <n v="0"/>
    <n v="0"/>
    <n v="0"/>
    <n v="0"/>
    <n v="0"/>
    <n v="1"/>
  </r>
  <r>
    <x v="82"/>
    <s v="South America"/>
    <x v="1"/>
    <n v="0"/>
    <n v="0"/>
    <n v="0"/>
    <n v="0"/>
    <n v="0"/>
    <n v="1"/>
  </r>
  <r>
    <x v="83"/>
    <s v="Middle East and Africa"/>
    <x v="2"/>
    <n v="0"/>
    <n v="0"/>
    <n v="0"/>
    <n v="0"/>
    <n v="0"/>
    <n v="1"/>
  </r>
  <r>
    <x v="84"/>
    <s v="Middle East and Africa"/>
    <x v="0"/>
    <n v="0"/>
    <n v="0"/>
    <n v="0"/>
    <n v="0"/>
    <n v="0"/>
    <n v="1"/>
  </r>
  <r>
    <x v="85"/>
    <s v="Middle East and Africa"/>
    <x v="0"/>
    <n v="1"/>
    <n v="0"/>
    <n v="0"/>
    <n v="0"/>
    <n v="0"/>
    <n v="1"/>
  </r>
  <r>
    <x v="86"/>
    <s v="Europe"/>
    <x v="2"/>
    <n v="0"/>
    <n v="0"/>
    <n v="0"/>
    <n v="0"/>
    <n v="0"/>
    <n v="1"/>
  </r>
  <r>
    <x v="87"/>
    <s v="Middle East and Africa"/>
    <x v="0"/>
    <n v="0"/>
    <n v="0"/>
    <n v="1"/>
    <n v="0"/>
    <n v="0"/>
    <n v="1"/>
  </r>
  <r>
    <x v="88"/>
    <s v="Asia Pacific"/>
    <x v="3"/>
    <n v="1"/>
    <n v="0"/>
    <n v="0"/>
    <n v="0"/>
    <n v="0"/>
    <n v="1"/>
  </r>
  <r>
    <x v="89"/>
    <s v="North America"/>
    <x v="7"/>
    <n v="0"/>
    <n v="0"/>
    <n v="0"/>
    <n v="0"/>
    <n v="0"/>
    <n v="1"/>
  </r>
  <r>
    <x v="90"/>
    <s v="Europe"/>
    <x v="0"/>
    <n v="0"/>
    <n v="0"/>
    <n v="0"/>
    <n v="0"/>
    <n v="0"/>
    <n v="1"/>
  </r>
  <r>
    <x v="91"/>
    <s v="Europe"/>
    <x v="1"/>
    <n v="0"/>
    <n v="0"/>
    <n v="0"/>
    <n v="0"/>
    <n v="0"/>
    <n v="1"/>
  </r>
  <r>
    <x v="92"/>
    <s v="Europe"/>
    <x v="7"/>
    <n v="0"/>
    <n v="0"/>
    <n v="0"/>
    <n v="0"/>
    <n v="1"/>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1"/>
    <n v="0"/>
    <n v="1"/>
    <n v="0"/>
    <n v="0"/>
    <n v="0"/>
    <n v="0"/>
    <n v="0"/>
    <n v="1"/>
    <n v="0"/>
    <n v="0"/>
    <n v="0"/>
    <n v="0"/>
  </r>
  <r>
    <x v="1"/>
    <s v="Middle East and Africa"/>
    <x v="1"/>
    <n v="0"/>
    <n v="1"/>
    <n v="0"/>
    <n v="0"/>
    <n v="0"/>
    <n v="0"/>
    <n v="0"/>
    <n v="0"/>
    <n v="0"/>
    <n v="0"/>
    <n v="0"/>
    <n v="1"/>
    <n v="0"/>
  </r>
  <r>
    <x v="2"/>
    <s v="Europe"/>
    <x v="2"/>
    <n v="0"/>
    <n v="0"/>
    <n v="0"/>
    <n v="0"/>
    <n v="0"/>
    <n v="0"/>
    <n v="0"/>
    <n v="1"/>
    <n v="0"/>
    <n v="0"/>
    <n v="0"/>
    <n v="1"/>
    <n v="0"/>
  </r>
  <r>
    <x v="3"/>
    <s v="Middle East and Africa"/>
    <x v="1"/>
    <n v="0"/>
    <n v="0"/>
    <n v="0"/>
    <n v="0"/>
    <n v="0"/>
    <n v="0"/>
    <n v="0"/>
    <n v="0"/>
    <n v="0"/>
    <n v="0"/>
    <n v="0"/>
    <n v="0"/>
    <n v="1"/>
  </r>
  <r>
    <x v="4"/>
    <s v="Europe"/>
    <x v="1"/>
    <n v="0"/>
    <n v="1"/>
    <n v="0"/>
    <n v="0"/>
    <n v="0"/>
    <n v="0"/>
    <n v="0"/>
    <n v="0"/>
    <n v="0"/>
    <n v="0"/>
    <n v="0"/>
    <n v="1"/>
    <n v="0"/>
  </r>
  <r>
    <x v="5"/>
    <s v="North America"/>
    <x v="3"/>
    <n v="1"/>
    <n v="0"/>
    <n v="0"/>
    <n v="0"/>
    <n v="0"/>
    <n v="0"/>
    <n v="0"/>
    <n v="0"/>
    <n v="0"/>
    <n v="0"/>
    <n v="0"/>
    <n v="1"/>
    <n v="0"/>
  </r>
  <r>
    <x v="6"/>
    <s v="Europe"/>
    <x v="0"/>
    <n v="1"/>
    <n v="0"/>
    <n v="0"/>
    <n v="1"/>
    <n v="0"/>
    <n v="0"/>
    <n v="0"/>
    <n v="0"/>
    <n v="0"/>
    <n v="0"/>
    <n v="0"/>
    <n v="0"/>
    <n v="0"/>
  </r>
  <r>
    <x v="7"/>
    <s v="Asia Pacific"/>
    <x v="1"/>
    <n v="0"/>
    <n v="0"/>
    <n v="0"/>
    <n v="1"/>
    <n v="0"/>
    <n v="0"/>
    <n v="0"/>
    <n v="0"/>
    <n v="0"/>
    <n v="0"/>
    <n v="0"/>
    <n v="0"/>
    <n v="0"/>
  </r>
  <r>
    <x v="8"/>
    <s v="Asia Pacific"/>
    <x v="3"/>
    <n v="0"/>
    <n v="0"/>
    <n v="0"/>
    <n v="0"/>
    <n v="0"/>
    <n v="0"/>
    <n v="0"/>
    <n v="0"/>
    <n v="0"/>
    <n v="0"/>
    <n v="0"/>
    <n v="0"/>
    <n v="1"/>
  </r>
  <r>
    <x v="9"/>
    <s v="Asia Pacific"/>
    <x v="3"/>
    <n v="1"/>
    <n v="1"/>
    <n v="0"/>
    <n v="0"/>
    <n v="1"/>
    <n v="0"/>
    <n v="0"/>
    <n v="1"/>
    <n v="0"/>
    <n v="1"/>
    <n v="0"/>
    <n v="0"/>
    <n v="0"/>
  </r>
  <r>
    <x v="10"/>
    <s v="Europe"/>
    <x v="3"/>
    <n v="1"/>
    <n v="0"/>
    <n v="0"/>
    <n v="0"/>
    <n v="0"/>
    <n v="0"/>
    <n v="0"/>
    <n v="0"/>
    <n v="0"/>
    <n v="0"/>
    <n v="0"/>
    <n v="1"/>
    <n v="0"/>
  </r>
  <r>
    <x v="11"/>
    <s v="Global"/>
    <x v="2"/>
    <n v="1"/>
    <n v="1"/>
    <n v="1"/>
    <n v="0"/>
    <n v="0"/>
    <n v="0"/>
    <n v="0"/>
    <n v="0"/>
    <n v="0"/>
    <n v="0"/>
    <n v="0"/>
    <n v="1"/>
    <n v="0"/>
  </r>
  <r>
    <x v="12"/>
    <s v="Global"/>
    <x v="2"/>
    <n v="0"/>
    <n v="0"/>
    <n v="0"/>
    <n v="1"/>
    <n v="0"/>
    <n v="0"/>
    <n v="1"/>
    <n v="0"/>
    <n v="0"/>
    <n v="1"/>
    <n v="0"/>
    <n v="0"/>
    <n v="0"/>
  </r>
  <r>
    <x v="13"/>
    <s v="Europe"/>
    <x v="0"/>
    <n v="0"/>
    <n v="0"/>
    <n v="1"/>
    <n v="0"/>
    <n v="0"/>
    <n v="0"/>
    <n v="0"/>
    <n v="0"/>
    <n v="0"/>
    <n v="0"/>
    <n v="0"/>
    <n v="0"/>
    <n v="0"/>
  </r>
  <r>
    <x v="14"/>
    <s v="Europe"/>
    <x v="0"/>
    <n v="1"/>
    <n v="0"/>
    <n v="0"/>
    <n v="1"/>
    <n v="0"/>
    <n v="0"/>
    <n v="0"/>
    <n v="0"/>
    <n v="0"/>
    <n v="0"/>
    <n v="0"/>
    <n v="0"/>
    <n v="0"/>
  </r>
  <r>
    <x v="15"/>
    <s v="South America"/>
    <x v="3"/>
    <n v="0"/>
    <n v="0"/>
    <n v="0"/>
    <n v="0"/>
    <n v="0"/>
    <n v="0"/>
    <n v="0"/>
    <n v="0"/>
    <n v="0"/>
    <n v="0"/>
    <n v="0"/>
    <n v="0"/>
    <n v="1"/>
  </r>
  <r>
    <x v="16"/>
    <s v="North America"/>
    <x v="0"/>
    <n v="0"/>
    <n v="0"/>
    <n v="0"/>
    <n v="1"/>
    <n v="0"/>
    <n v="1"/>
    <n v="0"/>
    <n v="0"/>
    <n v="0"/>
    <n v="0"/>
    <n v="0"/>
    <n v="0"/>
    <n v="0"/>
  </r>
  <r>
    <x v="17"/>
    <s v="North America"/>
    <x v="3"/>
    <n v="1"/>
    <n v="0"/>
    <n v="1"/>
    <n v="1"/>
    <n v="0"/>
    <n v="0"/>
    <n v="0"/>
    <n v="0"/>
    <n v="0"/>
    <n v="0"/>
    <n v="0"/>
    <n v="1"/>
    <n v="0"/>
  </r>
  <r>
    <x v="18"/>
    <s v="North America"/>
    <x v="4"/>
    <n v="0"/>
    <n v="0"/>
    <n v="0"/>
    <n v="0"/>
    <n v="0"/>
    <n v="0"/>
    <n v="0"/>
    <n v="0"/>
    <n v="0"/>
    <n v="0"/>
    <n v="0"/>
    <n v="1"/>
    <n v="0"/>
  </r>
  <r>
    <x v="19"/>
    <s v="South America"/>
    <x v="0"/>
    <n v="0"/>
    <n v="0"/>
    <n v="1"/>
    <n v="0"/>
    <n v="0"/>
    <n v="0"/>
    <n v="0"/>
    <n v="0"/>
    <n v="0"/>
    <n v="0"/>
    <n v="0"/>
    <n v="0"/>
    <n v="0"/>
  </r>
  <r>
    <x v="20"/>
    <s v="Middle East and Africa"/>
    <x v="1"/>
    <n v="1"/>
    <n v="0"/>
    <n v="0"/>
    <n v="0"/>
    <n v="0"/>
    <n v="0"/>
    <n v="0"/>
    <n v="0"/>
    <n v="0"/>
    <n v="0"/>
    <n v="0"/>
    <n v="0"/>
    <n v="0"/>
  </r>
  <r>
    <x v="21"/>
    <s v="Global"/>
    <x v="0"/>
    <n v="1"/>
    <n v="0"/>
    <n v="0"/>
    <n v="0"/>
    <n v="0"/>
    <n v="0"/>
    <n v="0"/>
    <n v="1"/>
    <n v="0"/>
    <n v="1"/>
    <n v="0"/>
    <n v="0"/>
    <n v="0"/>
  </r>
  <r>
    <x v="22"/>
    <s v="Europe"/>
    <x v="3"/>
    <n v="0"/>
    <n v="0"/>
    <n v="1"/>
    <n v="1"/>
    <n v="0"/>
    <n v="0"/>
    <n v="0"/>
    <n v="0"/>
    <n v="0"/>
    <n v="0"/>
    <n v="0"/>
    <n v="1"/>
    <n v="0"/>
  </r>
  <r>
    <x v="23"/>
    <s v="Europe"/>
    <x v="4"/>
    <n v="0"/>
    <n v="0"/>
    <n v="0"/>
    <n v="0"/>
    <n v="0"/>
    <n v="0"/>
    <n v="0"/>
    <n v="0"/>
    <n v="0"/>
    <n v="0"/>
    <n v="0"/>
    <n v="0"/>
    <n v="1"/>
  </r>
  <r>
    <x v="24"/>
    <s v="Europe"/>
    <x v="0"/>
    <n v="0"/>
    <n v="0"/>
    <n v="0"/>
    <n v="0"/>
    <n v="0"/>
    <n v="0"/>
    <n v="0"/>
    <n v="0"/>
    <n v="1"/>
    <n v="0"/>
    <n v="0"/>
    <n v="0"/>
    <n v="0"/>
  </r>
  <r>
    <x v="25"/>
    <s v="Asia Pacific"/>
    <x v="0"/>
    <n v="0"/>
    <n v="1"/>
    <n v="1"/>
    <n v="1"/>
    <n v="1"/>
    <n v="0"/>
    <n v="0"/>
    <n v="0"/>
    <n v="0"/>
    <n v="0"/>
    <n v="0"/>
    <n v="0"/>
    <n v="0"/>
  </r>
  <r>
    <x v="26"/>
    <s v="Europe"/>
    <x v="0"/>
    <n v="1"/>
    <n v="1"/>
    <n v="0"/>
    <n v="0"/>
    <n v="0"/>
    <n v="0"/>
    <n v="0"/>
    <n v="0"/>
    <n v="1"/>
    <n v="0"/>
    <n v="0"/>
    <n v="0"/>
    <n v="0"/>
  </r>
  <r>
    <x v="27"/>
    <s v="South America"/>
    <x v="1"/>
    <n v="0"/>
    <n v="0"/>
    <n v="0"/>
    <n v="0"/>
    <n v="0"/>
    <n v="0"/>
    <n v="0"/>
    <n v="0"/>
    <n v="0"/>
    <n v="0"/>
    <n v="0"/>
    <n v="1"/>
    <n v="0"/>
  </r>
  <r>
    <x v="28"/>
    <s v="Global"/>
    <x v="2"/>
    <n v="1"/>
    <n v="1"/>
    <n v="1"/>
    <n v="0"/>
    <n v="0"/>
    <n v="1"/>
    <n v="0"/>
    <n v="0"/>
    <n v="0"/>
    <n v="0"/>
    <n v="0"/>
    <n v="1"/>
    <n v="0"/>
  </r>
  <r>
    <x v="29"/>
    <s v="Europe"/>
    <x v="4"/>
    <n v="0"/>
    <n v="0"/>
    <n v="0"/>
    <n v="0"/>
    <n v="0"/>
    <n v="0"/>
    <n v="0"/>
    <n v="0"/>
    <n v="0"/>
    <n v="0"/>
    <n v="0"/>
    <n v="0"/>
    <n v="1"/>
  </r>
  <r>
    <x v="30"/>
    <s v="Middle East and Africa"/>
    <x v="2"/>
    <n v="0"/>
    <n v="0"/>
    <n v="0"/>
    <n v="0"/>
    <n v="0"/>
    <n v="0"/>
    <n v="0"/>
    <n v="0"/>
    <n v="0"/>
    <n v="0"/>
    <n v="0"/>
    <n v="1"/>
    <n v="0"/>
  </r>
  <r>
    <x v="31"/>
    <s v="Global"/>
    <x v="2"/>
    <n v="0"/>
    <n v="1"/>
    <n v="1"/>
    <n v="1"/>
    <n v="0"/>
    <n v="0"/>
    <n v="0"/>
    <n v="1"/>
    <n v="0"/>
    <n v="0"/>
    <n v="0"/>
    <n v="0"/>
    <n v="0"/>
  </r>
  <r>
    <x v="32"/>
    <s v="Europe"/>
    <x v="2"/>
    <n v="0"/>
    <n v="0"/>
    <n v="0"/>
    <n v="0"/>
    <n v="0"/>
    <n v="1"/>
    <n v="0"/>
    <n v="0"/>
    <n v="0"/>
    <n v="0"/>
    <n v="0"/>
    <n v="0"/>
    <n v="0"/>
  </r>
  <r>
    <x v="33"/>
    <s v="Global"/>
    <x v="2"/>
    <n v="0"/>
    <n v="0"/>
    <n v="1"/>
    <n v="0"/>
    <n v="0"/>
    <n v="0"/>
    <n v="0"/>
    <n v="0"/>
    <n v="1"/>
    <n v="0"/>
    <n v="0"/>
    <n v="0"/>
    <n v="0"/>
  </r>
  <r>
    <x v="34"/>
    <s v="Europe"/>
    <x v="0"/>
    <n v="1"/>
    <n v="0"/>
    <n v="0"/>
    <n v="0"/>
    <n v="1"/>
    <n v="0"/>
    <n v="0"/>
    <n v="0"/>
    <n v="0"/>
    <n v="0"/>
    <n v="0"/>
    <n v="0"/>
    <n v="0"/>
  </r>
  <r>
    <x v="35"/>
    <s v="Europe"/>
    <x v="0"/>
    <n v="0"/>
    <n v="0"/>
    <n v="0"/>
    <n v="0"/>
    <n v="0"/>
    <n v="0"/>
    <n v="0"/>
    <n v="0"/>
    <n v="0"/>
    <n v="0"/>
    <n v="0"/>
    <n v="0"/>
    <n v="1"/>
  </r>
  <r>
    <x v="36"/>
    <s v="South America"/>
    <x v="0"/>
    <n v="0"/>
    <n v="0"/>
    <n v="0"/>
    <n v="0"/>
    <n v="0"/>
    <n v="0"/>
    <n v="0"/>
    <n v="0"/>
    <n v="0"/>
    <n v="0"/>
    <n v="0"/>
    <n v="1"/>
    <n v="0"/>
  </r>
  <r>
    <x v="37"/>
    <s v="South America"/>
    <x v="1"/>
    <n v="0"/>
    <n v="0"/>
    <n v="0"/>
    <n v="0"/>
    <n v="0"/>
    <n v="0"/>
    <n v="0"/>
    <n v="0"/>
    <n v="0"/>
    <n v="0"/>
    <n v="0"/>
    <n v="0"/>
    <n v="1"/>
  </r>
  <r>
    <x v="38"/>
    <s v="Asia Pacific"/>
    <x v="1"/>
    <n v="0"/>
    <n v="0"/>
    <n v="0"/>
    <n v="0"/>
    <n v="0"/>
    <n v="0"/>
    <n v="0"/>
    <n v="0"/>
    <n v="0"/>
    <n v="0"/>
    <n v="0"/>
    <n v="0"/>
    <n v="1"/>
  </r>
  <r>
    <x v="39"/>
    <s v="Europe"/>
    <x v="2"/>
    <n v="0"/>
    <n v="0"/>
    <n v="0"/>
    <n v="0"/>
    <n v="0"/>
    <n v="0"/>
    <n v="0"/>
    <n v="0"/>
    <n v="0"/>
    <n v="0"/>
    <n v="0"/>
    <n v="0"/>
    <n v="1"/>
  </r>
  <r>
    <x v="40"/>
    <s v="Global"/>
    <x v="2"/>
    <n v="0"/>
    <n v="0"/>
    <n v="1"/>
    <n v="0"/>
    <n v="0"/>
    <n v="0"/>
    <n v="0"/>
    <n v="0"/>
    <n v="0"/>
    <n v="0"/>
    <n v="0"/>
    <n v="0"/>
    <n v="0"/>
  </r>
  <r>
    <x v="41"/>
    <s v="Global"/>
    <x v="2"/>
    <n v="1"/>
    <n v="0"/>
    <n v="0"/>
    <n v="0"/>
    <n v="0"/>
    <n v="0"/>
    <n v="0"/>
    <n v="0"/>
    <n v="0"/>
    <n v="0"/>
    <n v="0"/>
    <n v="0"/>
    <n v="0"/>
  </r>
  <r>
    <x v="42"/>
    <s v="Asia Pacific"/>
    <x v="3"/>
    <n v="0"/>
    <n v="0"/>
    <n v="0"/>
    <n v="0"/>
    <n v="0"/>
    <n v="0"/>
    <n v="0"/>
    <n v="0"/>
    <n v="0"/>
    <n v="0"/>
    <n v="0"/>
    <n v="0"/>
    <n v="1"/>
  </r>
  <r>
    <x v="43"/>
    <s v="North America"/>
    <x v="5"/>
    <n v="0"/>
    <n v="0"/>
    <n v="0"/>
    <n v="1"/>
    <n v="0"/>
    <n v="1"/>
    <n v="0"/>
    <n v="1"/>
    <n v="0"/>
    <n v="0"/>
    <n v="0"/>
    <n v="0"/>
    <n v="0"/>
  </r>
  <r>
    <x v="44"/>
    <s v="Europe"/>
    <x v="2"/>
    <n v="1"/>
    <n v="0"/>
    <n v="1"/>
    <n v="0"/>
    <n v="0"/>
    <n v="0"/>
    <n v="0"/>
    <n v="0"/>
    <n v="0"/>
    <n v="0"/>
    <n v="0"/>
    <n v="0"/>
    <n v="0"/>
  </r>
  <r>
    <x v="45"/>
    <s v="Global"/>
    <x v="0"/>
    <n v="0"/>
    <n v="0"/>
    <n v="0"/>
    <n v="0"/>
    <n v="0"/>
    <n v="0"/>
    <n v="0"/>
    <n v="0"/>
    <n v="0"/>
    <n v="0"/>
    <n v="0"/>
    <n v="0"/>
    <n v="1"/>
  </r>
  <r>
    <x v="46"/>
    <s v="Global"/>
    <x v="0"/>
    <n v="0"/>
    <n v="0"/>
    <n v="0"/>
    <n v="0"/>
    <n v="0"/>
    <n v="0"/>
    <n v="0"/>
    <n v="0"/>
    <n v="0"/>
    <n v="0"/>
    <n v="0"/>
    <n v="0"/>
    <n v="1"/>
  </r>
  <r>
    <x v="47"/>
    <s v="Global"/>
    <x v="6"/>
    <n v="0"/>
    <n v="1"/>
    <n v="0"/>
    <n v="0"/>
    <n v="0"/>
    <n v="0"/>
    <n v="0"/>
    <n v="0"/>
    <n v="0"/>
    <n v="0"/>
    <n v="0"/>
    <n v="0"/>
    <n v="0"/>
  </r>
  <r>
    <x v="48"/>
    <s v="Middle East and Africa"/>
    <x v="4"/>
    <n v="0"/>
    <n v="0"/>
    <n v="0"/>
    <n v="0"/>
    <n v="0"/>
    <n v="0"/>
    <n v="0"/>
    <n v="0"/>
    <n v="0"/>
    <n v="0"/>
    <n v="0"/>
    <n v="0"/>
    <n v="1"/>
  </r>
  <r>
    <x v="49"/>
    <s v="Europe"/>
    <x v="3"/>
    <n v="0"/>
    <n v="1"/>
    <n v="0"/>
    <n v="0"/>
    <n v="0"/>
    <n v="1"/>
    <n v="0"/>
    <n v="0"/>
    <n v="0"/>
    <n v="0"/>
    <n v="1"/>
    <n v="0"/>
    <n v="0"/>
  </r>
  <r>
    <x v="50"/>
    <s v="Middle East and Africa"/>
    <x v="0"/>
    <n v="0"/>
    <n v="0"/>
    <n v="0"/>
    <n v="1"/>
    <n v="0"/>
    <n v="0"/>
    <n v="0"/>
    <n v="0"/>
    <n v="0"/>
    <n v="0"/>
    <n v="0"/>
    <n v="1"/>
    <n v="0"/>
  </r>
  <r>
    <x v="51"/>
    <s v="Europe"/>
    <x v="0"/>
    <n v="1"/>
    <n v="1"/>
    <n v="1"/>
    <n v="0"/>
    <n v="0"/>
    <n v="1"/>
    <n v="1"/>
    <n v="0"/>
    <n v="0"/>
    <n v="0"/>
    <n v="0"/>
    <n v="0"/>
    <n v="0"/>
  </r>
  <r>
    <x v="52"/>
    <s v="Middle East and Africa"/>
    <x v="0"/>
    <n v="0"/>
    <n v="1"/>
    <n v="0"/>
    <n v="0"/>
    <n v="1"/>
    <n v="0"/>
    <n v="0"/>
    <n v="0"/>
    <n v="0"/>
    <n v="0"/>
    <n v="0"/>
    <n v="0"/>
    <n v="0"/>
  </r>
  <r>
    <x v="53"/>
    <s v="Asia Pacific"/>
    <x v="0"/>
    <n v="0"/>
    <n v="1"/>
    <n v="0"/>
    <n v="0"/>
    <n v="0"/>
    <n v="0"/>
    <n v="0"/>
    <n v="0"/>
    <n v="0"/>
    <n v="0"/>
    <n v="0"/>
    <n v="0"/>
    <n v="0"/>
  </r>
  <r>
    <x v="54"/>
    <s v="Europe"/>
    <x v="0"/>
    <n v="0"/>
    <n v="1"/>
    <n v="0"/>
    <n v="1"/>
    <n v="0"/>
    <n v="0"/>
    <n v="0"/>
    <n v="0"/>
    <n v="0"/>
    <n v="0"/>
    <n v="0"/>
    <n v="0"/>
    <n v="0"/>
  </r>
  <r>
    <x v="55"/>
    <s v="Asia Pacific"/>
    <x v="0"/>
    <n v="1"/>
    <n v="0"/>
    <n v="1"/>
    <n v="0"/>
    <n v="1"/>
    <n v="0"/>
    <n v="1"/>
    <n v="1"/>
    <n v="0"/>
    <n v="0"/>
    <n v="0"/>
    <n v="1"/>
    <n v="0"/>
  </r>
  <r>
    <x v="56"/>
    <s v="South America"/>
    <x v="0"/>
    <n v="0"/>
    <n v="0"/>
    <n v="0"/>
    <n v="0"/>
    <n v="0"/>
    <n v="0"/>
    <n v="1"/>
    <n v="0"/>
    <n v="0"/>
    <n v="0"/>
    <n v="0"/>
    <n v="0"/>
    <n v="0"/>
  </r>
  <r>
    <x v="57"/>
    <s v="Asia Pacific"/>
    <x v="0"/>
    <n v="0"/>
    <n v="0"/>
    <n v="0"/>
    <n v="0"/>
    <n v="1"/>
    <n v="1"/>
    <n v="0"/>
    <n v="0"/>
    <n v="0"/>
    <n v="0"/>
    <n v="0"/>
    <n v="0"/>
    <n v="0"/>
  </r>
  <r>
    <x v="58"/>
    <s v="Asia Pacific"/>
    <x v="0"/>
    <n v="0"/>
    <n v="0"/>
    <n v="0"/>
    <n v="0"/>
    <n v="0"/>
    <n v="0"/>
    <n v="0"/>
    <n v="0"/>
    <n v="0"/>
    <n v="0"/>
    <n v="0"/>
    <n v="0"/>
    <n v="1"/>
  </r>
  <r>
    <x v="59"/>
    <s v="Europe"/>
    <x v="0"/>
    <n v="0"/>
    <n v="0"/>
    <n v="1"/>
    <n v="0"/>
    <n v="0"/>
    <n v="0"/>
    <n v="0"/>
    <n v="1"/>
    <n v="0"/>
    <n v="0"/>
    <n v="0"/>
    <n v="0"/>
    <n v="0"/>
  </r>
  <r>
    <x v="60"/>
    <s v="South America"/>
    <x v="0"/>
    <n v="0"/>
    <n v="0"/>
    <n v="0"/>
    <n v="0"/>
    <n v="0"/>
    <n v="0"/>
    <n v="0"/>
    <n v="0"/>
    <n v="0"/>
    <n v="0"/>
    <n v="0"/>
    <n v="0"/>
    <n v="1"/>
  </r>
  <r>
    <x v="61"/>
    <s v="South America"/>
    <x v="0"/>
    <n v="0"/>
    <n v="1"/>
    <n v="0"/>
    <n v="1"/>
    <n v="0"/>
    <n v="0"/>
    <n v="1"/>
    <n v="0"/>
    <n v="0"/>
    <n v="0"/>
    <n v="0"/>
    <n v="0"/>
    <n v="0"/>
  </r>
  <r>
    <x v="62"/>
    <s v="South America"/>
    <x v="0"/>
    <n v="0"/>
    <n v="0"/>
    <n v="0"/>
    <n v="0"/>
    <n v="0"/>
    <n v="0"/>
    <n v="0"/>
    <n v="0"/>
    <n v="0"/>
    <n v="0"/>
    <n v="0"/>
    <n v="1"/>
    <n v="0"/>
  </r>
  <r>
    <x v="63"/>
    <s v="Europe"/>
    <x v="4"/>
    <n v="0"/>
    <n v="0"/>
    <n v="0"/>
    <n v="0"/>
    <n v="0"/>
    <n v="0"/>
    <n v="0"/>
    <n v="0"/>
    <n v="0"/>
    <n v="0"/>
    <n v="0"/>
    <n v="0"/>
    <n v="1"/>
  </r>
  <r>
    <x v="64"/>
    <s v="Asia Pacific"/>
    <x v="3"/>
    <n v="1"/>
    <n v="1"/>
    <n v="0"/>
    <n v="0"/>
    <n v="0"/>
    <n v="0"/>
    <n v="0"/>
    <n v="0"/>
    <n v="0"/>
    <n v="0"/>
    <n v="0"/>
    <n v="0"/>
    <n v="0"/>
  </r>
  <r>
    <x v="65"/>
    <s v="Global"/>
    <x v="2"/>
    <n v="0"/>
    <n v="1"/>
    <n v="0"/>
    <n v="0"/>
    <n v="1"/>
    <n v="1"/>
    <n v="1"/>
    <n v="0"/>
    <n v="1"/>
    <n v="0"/>
    <n v="0"/>
    <n v="0"/>
    <n v="0"/>
  </r>
  <r>
    <x v="66"/>
    <s v="Asia Pacific"/>
    <x v="3"/>
    <n v="1"/>
    <n v="0"/>
    <n v="0"/>
    <n v="0"/>
    <n v="1"/>
    <n v="0"/>
    <n v="0"/>
    <n v="0"/>
    <n v="0"/>
    <n v="1"/>
    <n v="0"/>
    <n v="0"/>
    <n v="0"/>
  </r>
  <r>
    <x v="67"/>
    <s v="Asia Pacific"/>
    <x v="0"/>
    <n v="0"/>
    <n v="0"/>
    <n v="0"/>
    <n v="0"/>
    <n v="0"/>
    <n v="0"/>
    <n v="0"/>
    <n v="0"/>
    <n v="0"/>
    <n v="0"/>
    <n v="1"/>
    <n v="0"/>
    <n v="0"/>
  </r>
  <r>
    <x v="68"/>
    <s v="Global"/>
    <x v="2"/>
    <n v="0"/>
    <n v="0"/>
    <n v="1"/>
    <n v="1"/>
    <n v="0"/>
    <n v="1"/>
    <n v="0"/>
    <n v="0"/>
    <n v="0"/>
    <n v="0"/>
    <n v="0"/>
    <n v="0"/>
    <n v="0"/>
  </r>
  <r>
    <x v="69"/>
    <s v="North America"/>
    <x v="1"/>
    <n v="0"/>
    <n v="0"/>
    <n v="0"/>
    <n v="0"/>
    <n v="0"/>
    <n v="0"/>
    <n v="0"/>
    <n v="0"/>
    <n v="0"/>
    <n v="0"/>
    <n v="0"/>
    <n v="0"/>
    <n v="1"/>
  </r>
  <r>
    <x v="70"/>
    <s v="North America"/>
    <x v="2"/>
    <n v="1"/>
    <n v="0"/>
    <n v="0"/>
    <n v="0"/>
    <n v="0"/>
    <n v="0"/>
    <n v="0"/>
    <n v="0"/>
    <n v="0"/>
    <n v="0"/>
    <n v="0"/>
    <n v="0"/>
    <n v="0"/>
  </r>
  <r>
    <x v="71"/>
    <s v="Global"/>
    <x v="2"/>
    <n v="1"/>
    <n v="1"/>
    <n v="1"/>
    <n v="0"/>
    <n v="0"/>
    <n v="0"/>
    <n v="0"/>
    <n v="0"/>
    <n v="0"/>
    <n v="0"/>
    <n v="0"/>
    <n v="0"/>
    <n v="0"/>
  </r>
  <r>
    <x v="72"/>
    <s v="Asia Pacific"/>
    <x v="3"/>
    <n v="1"/>
    <n v="0"/>
    <n v="0"/>
    <n v="0"/>
    <n v="1"/>
    <n v="0"/>
    <n v="1"/>
    <n v="0"/>
    <n v="0"/>
    <n v="0"/>
    <n v="0"/>
    <n v="0"/>
    <n v="0"/>
  </r>
  <r>
    <x v="73"/>
    <s v="Global"/>
    <x v="2"/>
    <n v="1"/>
    <n v="1"/>
    <n v="0"/>
    <n v="0"/>
    <n v="1"/>
    <n v="1"/>
    <n v="0"/>
    <n v="0"/>
    <n v="0"/>
    <n v="0"/>
    <n v="0"/>
    <n v="0"/>
    <n v="0"/>
  </r>
  <r>
    <x v="74"/>
    <s v="Europe"/>
    <x v="0"/>
    <n v="0"/>
    <n v="0"/>
    <n v="0"/>
    <n v="0"/>
    <n v="0"/>
    <n v="1"/>
    <n v="0"/>
    <n v="0"/>
    <n v="0"/>
    <n v="0"/>
    <n v="0"/>
    <n v="0"/>
    <n v="0"/>
  </r>
  <r>
    <x v="75"/>
    <s v="Asia Pacific"/>
    <x v="2"/>
    <n v="0"/>
    <n v="1"/>
    <n v="1"/>
    <n v="0"/>
    <n v="1"/>
    <n v="0"/>
    <n v="0"/>
    <n v="0"/>
    <n v="0"/>
    <n v="0"/>
    <n v="0"/>
    <n v="0"/>
    <n v="0"/>
  </r>
  <r>
    <x v="76"/>
    <s v="Global"/>
    <x v="2"/>
    <n v="0"/>
    <n v="0"/>
    <n v="0"/>
    <n v="0"/>
    <n v="1"/>
    <n v="0"/>
    <n v="0"/>
    <n v="0"/>
    <n v="0"/>
    <n v="0"/>
    <n v="0"/>
    <n v="0"/>
    <n v="0"/>
  </r>
  <r>
    <x v="77"/>
    <s v="Middle East and Africa"/>
    <x v="2"/>
    <n v="0"/>
    <n v="0"/>
    <n v="0"/>
    <n v="0"/>
    <n v="1"/>
    <n v="0"/>
    <n v="0"/>
    <n v="0"/>
    <n v="0"/>
    <n v="0"/>
    <n v="0"/>
    <n v="0"/>
    <n v="0"/>
  </r>
  <r>
    <x v="78"/>
    <s v="Global"/>
    <x v="2"/>
    <n v="1"/>
    <n v="0"/>
    <n v="0"/>
    <n v="0"/>
    <n v="0"/>
    <n v="1"/>
    <n v="1"/>
    <n v="0"/>
    <n v="0"/>
    <n v="0"/>
    <n v="0"/>
    <n v="0"/>
    <n v="0"/>
  </r>
  <r>
    <x v="79"/>
    <s v="Europe"/>
    <x v="3"/>
    <n v="0"/>
    <n v="0"/>
    <n v="0"/>
    <n v="0"/>
    <n v="0"/>
    <n v="0"/>
    <n v="0"/>
    <n v="0"/>
    <n v="0"/>
    <n v="0"/>
    <n v="0"/>
    <n v="0"/>
    <n v="1"/>
  </r>
  <r>
    <x v="80"/>
    <s v="Global"/>
    <x v="2"/>
    <n v="1"/>
    <n v="0"/>
    <n v="0"/>
    <n v="0"/>
    <n v="0"/>
    <n v="0"/>
    <n v="0"/>
    <n v="0"/>
    <n v="0"/>
    <n v="0"/>
    <n v="0"/>
    <n v="0"/>
    <n v="0"/>
  </r>
  <r>
    <x v="81"/>
    <s v="Middle East and Africa"/>
    <x v="1"/>
    <n v="0"/>
    <n v="0"/>
    <n v="0"/>
    <n v="0"/>
    <n v="0"/>
    <n v="0"/>
    <n v="0"/>
    <n v="0"/>
    <n v="0"/>
    <n v="0"/>
    <n v="0"/>
    <n v="0"/>
    <n v="1"/>
  </r>
  <r>
    <x v="82"/>
    <s v="South America"/>
    <x v="1"/>
    <n v="0"/>
    <n v="0"/>
    <n v="0"/>
    <n v="0"/>
    <n v="0"/>
    <n v="0"/>
    <n v="0"/>
    <n v="0"/>
    <n v="0"/>
    <n v="0"/>
    <n v="0"/>
    <n v="0"/>
    <n v="1"/>
  </r>
  <r>
    <x v="83"/>
    <s v="Middle East and Africa"/>
    <x v="2"/>
    <n v="0"/>
    <n v="0"/>
    <n v="0"/>
    <n v="0"/>
    <n v="0"/>
    <n v="0"/>
    <n v="0"/>
    <n v="0"/>
    <n v="0"/>
    <n v="0"/>
    <n v="0"/>
    <n v="1"/>
    <n v="0"/>
  </r>
  <r>
    <x v="84"/>
    <s v="Middle East and Africa"/>
    <x v="0"/>
    <n v="0"/>
    <n v="0"/>
    <n v="0"/>
    <n v="0"/>
    <n v="1"/>
    <n v="0"/>
    <n v="0"/>
    <n v="0"/>
    <n v="0"/>
    <n v="0"/>
    <n v="0"/>
    <n v="1"/>
    <n v="0"/>
  </r>
  <r>
    <x v="85"/>
    <s v="Middle East and Africa"/>
    <x v="0"/>
    <n v="0"/>
    <n v="0"/>
    <n v="0"/>
    <n v="0"/>
    <n v="1"/>
    <n v="0"/>
    <n v="0"/>
    <n v="0"/>
    <n v="0"/>
    <n v="0"/>
    <n v="0"/>
    <n v="0"/>
    <n v="0"/>
  </r>
  <r>
    <x v="86"/>
    <s v="Europe"/>
    <x v="2"/>
    <n v="0"/>
    <n v="0"/>
    <n v="0"/>
    <n v="0"/>
    <n v="0"/>
    <n v="0"/>
    <n v="0"/>
    <n v="0"/>
    <n v="0"/>
    <n v="0"/>
    <n v="0"/>
    <n v="0"/>
    <n v="1"/>
  </r>
  <r>
    <x v="87"/>
    <s v="Middle East and Africa"/>
    <x v="0"/>
    <n v="0"/>
    <n v="0"/>
    <n v="1"/>
    <n v="1"/>
    <n v="1"/>
    <n v="0"/>
    <n v="0"/>
    <n v="1"/>
    <n v="0"/>
    <n v="0"/>
    <n v="0"/>
    <n v="0"/>
    <n v="0"/>
  </r>
  <r>
    <x v="88"/>
    <s v="Asia Pacific"/>
    <x v="3"/>
    <n v="0"/>
    <n v="0"/>
    <n v="1"/>
    <n v="0"/>
    <n v="0"/>
    <n v="0"/>
    <n v="1"/>
    <n v="0"/>
    <n v="0"/>
    <n v="0"/>
    <n v="0"/>
    <n v="0"/>
    <n v="0"/>
  </r>
  <r>
    <x v="89"/>
    <s v="North America"/>
    <x v="7"/>
    <n v="0"/>
    <n v="0"/>
    <n v="0"/>
    <n v="0"/>
    <n v="0"/>
    <n v="0"/>
    <n v="1"/>
    <n v="0"/>
    <n v="0"/>
    <n v="0"/>
    <n v="0"/>
    <n v="1"/>
    <n v="0"/>
  </r>
  <r>
    <x v="90"/>
    <s v="Europe"/>
    <x v="0"/>
    <n v="0"/>
    <n v="0"/>
    <n v="1"/>
    <n v="0"/>
    <n v="0"/>
    <n v="0"/>
    <n v="0"/>
    <n v="0"/>
    <n v="0"/>
    <n v="0"/>
    <n v="0"/>
    <n v="0"/>
    <n v="0"/>
  </r>
  <r>
    <x v="91"/>
    <s v="Europe"/>
    <x v="1"/>
    <n v="0"/>
    <n v="0"/>
    <n v="0"/>
    <n v="0"/>
    <n v="0"/>
    <n v="0"/>
    <n v="0"/>
    <n v="0"/>
    <n v="0"/>
    <n v="0"/>
    <n v="0"/>
    <n v="0"/>
    <n v="1"/>
  </r>
  <r>
    <x v="92"/>
    <s v="Europe"/>
    <x v="7"/>
    <n v="0"/>
    <n v="0"/>
    <n v="0"/>
    <n v="0"/>
    <n v="0"/>
    <n v="0"/>
    <n v="0"/>
    <n v="0"/>
    <n v="0"/>
    <n v="0"/>
    <n v="0"/>
    <n v="0"/>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1"/>
    <n v="0"/>
    <n v="0"/>
    <n v="0"/>
    <n v="0"/>
    <n v="0"/>
    <n v="0"/>
    <n v="1"/>
    <n v="0"/>
    <n v="0"/>
    <n v="1"/>
    <n v="0"/>
  </r>
  <r>
    <x v="1"/>
    <s v="Middle East and Africa"/>
    <x v="1"/>
    <n v="0"/>
    <n v="0"/>
    <n v="0"/>
    <n v="0"/>
    <n v="0"/>
    <n v="0"/>
    <n v="0"/>
    <n v="0"/>
    <n v="0"/>
    <n v="0"/>
    <n v="0"/>
    <n v="1"/>
  </r>
  <r>
    <x v="2"/>
    <s v="Europe"/>
    <x v="2"/>
    <n v="0"/>
    <n v="0"/>
    <n v="0"/>
    <n v="0"/>
    <n v="0"/>
    <n v="0"/>
    <n v="0"/>
    <n v="0"/>
    <n v="0"/>
    <n v="0"/>
    <n v="0"/>
    <n v="1"/>
  </r>
  <r>
    <x v="3"/>
    <s v="Middle East and Africa"/>
    <x v="1"/>
    <n v="0"/>
    <n v="0"/>
    <n v="0"/>
    <n v="0"/>
    <n v="0"/>
    <n v="0"/>
    <n v="0"/>
    <n v="0"/>
    <n v="0"/>
    <n v="0"/>
    <n v="0"/>
    <n v="1"/>
  </r>
  <r>
    <x v="4"/>
    <s v="Europe"/>
    <x v="1"/>
    <n v="0"/>
    <n v="0"/>
    <n v="1"/>
    <n v="0"/>
    <n v="0"/>
    <n v="0"/>
    <n v="0"/>
    <n v="0"/>
    <n v="0"/>
    <n v="0"/>
    <n v="0"/>
    <n v="0"/>
  </r>
  <r>
    <x v="5"/>
    <s v="North America"/>
    <x v="3"/>
    <n v="0"/>
    <n v="1"/>
    <n v="1"/>
    <n v="0"/>
    <n v="0"/>
    <n v="0"/>
    <n v="0"/>
    <n v="0"/>
    <n v="0"/>
    <n v="0"/>
    <n v="0"/>
    <n v="0"/>
  </r>
  <r>
    <x v="6"/>
    <s v="Europe"/>
    <x v="0"/>
    <n v="0"/>
    <n v="0"/>
    <n v="0"/>
    <n v="0"/>
    <n v="0"/>
    <n v="0"/>
    <n v="0"/>
    <n v="0"/>
    <n v="0"/>
    <n v="0"/>
    <n v="0"/>
    <n v="1"/>
  </r>
  <r>
    <x v="7"/>
    <s v="Asia Pacific"/>
    <x v="1"/>
    <n v="0"/>
    <n v="0"/>
    <n v="0"/>
    <n v="0"/>
    <n v="0"/>
    <n v="0"/>
    <n v="0"/>
    <n v="0"/>
    <n v="0"/>
    <n v="0"/>
    <n v="0"/>
    <n v="1"/>
  </r>
  <r>
    <x v="8"/>
    <s v="Asia Pacific"/>
    <x v="3"/>
    <n v="0"/>
    <n v="0"/>
    <n v="0"/>
    <n v="0"/>
    <n v="0"/>
    <n v="0"/>
    <n v="0"/>
    <n v="0"/>
    <n v="0"/>
    <n v="0"/>
    <n v="0"/>
    <n v="1"/>
  </r>
  <r>
    <x v="9"/>
    <s v="Asia Pacific"/>
    <x v="3"/>
    <n v="0"/>
    <n v="0"/>
    <n v="0"/>
    <n v="0"/>
    <n v="0"/>
    <n v="0"/>
    <n v="0"/>
    <n v="0"/>
    <n v="0"/>
    <n v="0"/>
    <n v="0"/>
    <n v="1"/>
  </r>
  <r>
    <x v="10"/>
    <s v="Europe"/>
    <x v="3"/>
    <n v="1"/>
    <n v="0"/>
    <n v="0"/>
    <n v="0"/>
    <n v="0"/>
    <n v="0"/>
    <n v="0"/>
    <n v="1"/>
    <n v="0"/>
    <n v="0"/>
    <n v="0"/>
    <n v="0"/>
  </r>
  <r>
    <x v="11"/>
    <s v="Global"/>
    <x v="2"/>
    <n v="0"/>
    <n v="0"/>
    <n v="1"/>
    <n v="0"/>
    <n v="0"/>
    <n v="1"/>
    <n v="0"/>
    <n v="0"/>
    <n v="0"/>
    <n v="0"/>
    <n v="0"/>
    <n v="0"/>
  </r>
  <r>
    <x v="12"/>
    <s v="Global"/>
    <x v="2"/>
    <n v="0"/>
    <n v="1"/>
    <n v="0"/>
    <n v="0"/>
    <n v="0"/>
    <n v="0"/>
    <n v="0"/>
    <n v="0"/>
    <n v="0"/>
    <n v="0"/>
    <n v="0"/>
    <n v="1"/>
  </r>
  <r>
    <x v="13"/>
    <s v="Europe"/>
    <x v="0"/>
    <n v="0"/>
    <n v="0"/>
    <n v="0"/>
    <n v="0"/>
    <n v="0"/>
    <n v="0"/>
    <n v="0"/>
    <n v="0"/>
    <n v="0"/>
    <n v="0"/>
    <n v="1"/>
    <n v="0"/>
  </r>
  <r>
    <x v="14"/>
    <s v="Europe"/>
    <x v="0"/>
    <n v="0"/>
    <n v="0"/>
    <n v="0"/>
    <n v="0"/>
    <n v="0"/>
    <n v="0"/>
    <n v="0"/>
    <n v="1"/>
    <n v="0"/>
    <n v="0"/>
    <n v="0"/>
    <n v="0"/>
  </r>
  <r>
    <x v="15"/>
    <s v="South America"/>
    <x v="3"/>
    <n v="0"/>
    <n v="0"/>
    <n v="0"/>
    <n v="0"/>
    <n v="0"/>
    <n v="0"/>
    <n v="0"/>
    <n v="0"/>
    <n v="0"/>
    <n v="0"/>
    <n v="0"/>
    <n v="1"/>
  </r>
  <r>
    <x v="16"/>
    <s v="North America"/>
    <x v="0"/>
    <n v="0"/>
    <n v="0"/>
    <n v="0"/>
    <n v="0"/>
    <n v="0"/>
    <n v="0"/>
    <n v="0"/>
    <n v="0"/>
    <n v="0"/>
    <n v="0"/>
    <n v="0"/>
    <n v="1"/>
  </r>
  <r>
    <x v="17"/>
    <s v="North America"/>
    <x v="3"/>
    <n v="0"/>
    <n v="0"/>
    <n v="0"/>
    <n v="0"/>
    <n v="0"/>
    <n v="0"/>
    <n v="0"/>
    <n v="0"/>
    <n v="0"/>
    <n v="0"/>
    <n v="0"/>
    <n v="1"/>
  </r>
  <r>
    <x v="18"/>
    <s v="North America"/>
    <x v="4"/>
    <n v="0"/>
    <n v="0"/>
    <n v="0"/>
    <n v="1"/>
    <n v="0"/>
    <n v="0"/>
    <n v="0"/>
    <n v="0"/>
    <n v="0"/>
    <n v="0"/>
    <n v="0"/>
    <n v="0"/>
  </r>
  <r>
    <x v="19"/>
    <s v="South America"/>
    <x v="0"/>
    <n v="0"/>
    <n v="0"/>
    <n v="0"/>
    <n v="0"/>
    <n v="0"/>
    <n v="0"/>
    <n v="0"/>
    <n v="0"/>
    <n v="0"/>
    <n v="0"/>
    <n v="0"/>
    <n v="1"/>
  </r>
  <r>
    <x v="20"/>
    <s v="Middle East and Africa"/>
    <x v="1"/>
    <n v="0"/>
    <n v="0"/>
    <n v="0"/>
    <n v="0"/>
    <n v="0"/>
    <n v="0"/>
    <n v="0"/>
    <n v="0"/>
    <n v="0"/>
    <n v="0"/>
    <n v="0"/>
    <n v="1"/>
  </r>
  <r>
    <x v="21"/>
    <s v="Global"/>
    <x v="0"/>
    <n v="0"/>
    <n v="0"/>
    <n v="0"/>
    <n v="0"/>
    <n v="1"/>
    <n v="0"/>
    <n v="0"/>
    <n v="0"/>
    <n v="0"/>
    <n v="0"/>
    <n v="0"/>
    <n v="0"/>
  </r>
  <r>
    <x v="22"/>
    <s v="Europe"/>
    <x v="3"/>
    <n v="0"/>
    <n v="0"/>
    <n v="0"/>
    <n v="0"/>
    <n v="0"/>
    <n v="0"/>
    <n v="0"/>
    <n v="0"/>
    <n v="0"/>
    <n v="0"/>
    <n v="0"/>
    <n v="1"/>
  </r>
  <r>
    <x v="23"/>
    <s v="Europe"/>
    <x v="4"/>
    <n v="1"/>
    <n v="0"/>
    <n v="0"/>
    <n v="0"/>
    <n v="0"/>
    <n v="0"/>
    <n v="0"/>
    <n v="0"/>
    <n v="0"/>
    <n v="0"/>
    <n v="0"/>
    <n v="0"/>
  </r>
  <r>
    <x v="24"/>
    <s v="Europe"/>
    <x v="0"/>
    <n v="0"/>
    <n v="0"/>
    <n v="0"/>
    <n v="0"/>
    <n v="0"/>
    <n v="0"/>
    <n v="0"/>
    <n v="0"/>
    <n v="0"/>
    <n v="0"/>
    <n v="1"/>
    <n v="0"/>
  </r>
  <r>
    <x v="25"/>
    <s v="Asia Pacific"/>
    <x v="0"/>
    <n v="0"/>
    <n v="0"/>
    <n v="0"/>
    <n v="0"/>
    <n v="1"/>
    <n v="0"/>
    <n v="0"/>
    <n v="0"/>
    <n v="0"/>
    <n v="0"/>
    <n v="0"/>
    <n v="0"/>
  </r>
  <r>
    <x v="26"/>
    <s v="Europe"/>
    <x v="0"/>
    <n v="1"/>
    <n v="0"/>
    <n v="0"/>
    <n v="0"/>
    <n v="0"/>
    <n v="0"/>
    <n v="0"/>
    <n v="0"/>
    <n v="0"/>
    <n v="0"/>
    <n v="0"/>
    <n v="0"/>
  </r>
  <r>
    <x v="27"/>
    <s v="South America"/>
    <x v="1"/>
    <n v="0"/>
    <n v="0"/>
    <n v="0"/>
    <n v="0"/>
    <n v="0"/>
    <n v="0"/>
    <n v="0"/>
    <n v="0"/>
    <n v="0"/>
    <n v="0"/>
    <n v="0"/>
    <n v="1"/>
  </r>
  <r>
    <x v="28"/>
    <s v="Global"/>
    <x v="2"/>
    <n v="0"/>
    <n v="0"/>
    <n v="0"/>
    <n v="0"/>
    <n v="0"/>
    <n v="0"/>
    <n v="0"/>
    <n v="0"/>
    <n v="0"/>
    <n v="0"/>
    <n v="1"/>
    <n v="0"/>
  </r>
  <r>
    <x v="29"/>
    <s v="Europe"/>
    <x v="4"/>
    <n v="0"/>
    <n v="0"/>
    <n v="0"/>
    <n v="0"/>
    <n v="0"/>
    <n v="0"/>
    <n v="0"/>
    <n v="0"/>
    <n v="0"/>
    <n v="0"/>
    <n v="0"/>
    <n v="1"/>
  </r>
  <r>
    <x v="30"/>
    <s v="Middle East and Africa"/>
    <x v="2"/>
    <n v="0"/>
    <n v="0"/>
    <n v="0"/>
    <n v="0"/>
    <n v="0"/>
    <n v="0"/>
    <n v="0"/>
    <n v="0"/>
    <n v="0"/>
    <n v="0"/>
    <n v="1"/>
    <n v="0"/>
  </r>
  <r>
    <x v="31"/>
    <s v="Global"/>
    <x v="2"/>
    <n v="0"/>
    <n v="0"/>
    <n v="0"/>
    <n v="0"/>
    <n v="0"/>
    <n v="0"/>
    <n v="0"/>
    <n v="0"/>
    <n v="0"/>
    <n v="0"/>
    <n v="0"/>
    <n v="1"/>
  </r>
  <r>
    <x v="32"/>
    <s v="Europe"/>
    <x v="2"/>
    <n v="0"/>
    <n v="0"/>
    <n v="0"/>
    <n v="0"/>
    <n v="0"/>
    <n v="0"/>
    <n v="0"/>
    <n v="0"/>
    <n v="0"/>
    <n v="0"/>
    <n v="1"/>
    <n v="0"/>
  </r>
  <r>
    <x v="33"/>
    <s v="Global"/>
    <x v="2"/>
    <n v="0"/>
    <n v="0"/>
    <n v="0"/>
    <n v="0"/>
    <n v="0"/>
    <n v="0"/>
    <n v="0"/>
    <n v="0"/>
    <n v="0"/>
    <n v="0"/>
    <n v="1"/>
    <n v="0"/>
  </r>
  <r>
    <x v="34"/>
    <s v="Europe"/>
    <x v="0"/>
    <n v="0"/>
    <n v="0"/>
    <n v="1"/>
    <n v="0"/>
    <n v="0"/>
    <n v="0"/>
    <n v="0"/>
    <n v="1"/>
    <n v="0"/>
    <n v="0"/>
    <n v="1"/>
    <n v="0"/>
  </r>
  <r>
    <x v="35"/>
    <s v="Europe"/>
    <x v="0"/>
    <n v="0"/>
    <n v="0"/>
    <n v="0"/>
    <n v="0"/>
    <n v="0"/>
    <n v="0"/>
    <n v="0"/>
    <n v="0"/>
    <n v="0"/>
    <n v="0"/>
    <n v="0"/>
    <n v="1"/>
  </r>
  <r>
    <x v="36"/>
    <s v="South America"/>
    <x v="0"/>
    <n v="0"/>
    <n v="0"/>
    <n v="0"/>
    <n v="0"/>
    <n v="0"/>
    <n v="0"/>
    <n v="0"/>
    <n v="0"/>
    <n v="0"/>
    <n v="0"/>
    <n v="0"/>
    <n v="1"/>
  </r>
  <r>
    <x v="37"/>
    <s v="South America"/>
    <x v="1"/>
    <n v="0"/>
    <n v="0"/>
    <n v="0"/>
    <n v="0"/>
    <n v="0"/>
    <n v="0"/>
    <n v="0"/>
    <n v="0"/>
    <n v="0"/>
    <n v="0"/>
    <n v="0"/>
    <n v="1"/>
  </r>
  <r>
    <x v="38"/>
    <s v="Asia Pacific"/>
    <x v="1"/>
    <n v="0"/>
    <n v="0"/>
    <n v="0"/>
    <n v="0"/>
    <n v="0"/>
    <n v="0"/>
    <n v="0"/>
    <n v="0"/>
    <n v="0"/>
    <n v="0"/>
    <n v="0"/>
    <n v="1"/>
  </r>
  <r>
    <x v="39"/>
    <s v="Europe"/>
    <x v="2"/>
    <n v="0"/>
    <n v="0"/>
    <n v="0"/>
    <n v="0"/>
    <n v="0"/>
    <n v="0"/>
    <n v="0"/>
    <n v="0"/>
    <n v="0"/>
    <n v="0"/>
    <n v="0"/>
    <n v="1"/>
  </r>
  <r>
    <x v="40"/>
    <s v="Global"/>
    <x v="2"/>
    <n v="1"/>
    <n v="1"/>
    <n v="1"/>
    <n v="0"/>
    <n v="0"/>
    <n v="0"/>
    <n v="1"/>
    <n v="0"/>
    <n v="0"/>
    <n v="0"/>
    <n v="1"/>
    <n v="0"/>
  </r>
  <r>
    <x v="41"/>
    <s v="Global"/>
    <x v="2"/>
    <n v="0"/>
    <n v="0"/>
    <n v="0"/>
    <n v="0"/>
    <n v="0"/>
    <n v="0"/>
    <n v="0"/>
    <n v="0"/>
    <n v="0"/>
    <n v="0"/>
    <n v="0"/>
    <n v="1"/>
  </r>
  <r>
    <x v="42"/>
    <s v="Asia Pacific"/>
    <x v="3"/>
    <n v="0"/>
    <n v="1"/>
    <n v="0"/>
    <n v="0"/>
    <n v="0"/>
    <n v="0"/>
    <n v="0"/>
    <n v="0"/>
    <n v="0"/>
    <n v="0"/>
    <n v="0"/>
    <n v="0"/>
  </r>
  <r>
    <x v="43"/>
    <s v="North America"/>
    <x v="5"/>
    <n v="0"/>
    <n v="0"/>
    <n v="0"/>
    <n v="0"/>
    <n v="0"/>
    <n v="0"/>
    <n v="1"/>
    <n v="0"/>
    <n v="0"/>
    <n v="0"/>
    <n v="0"/>
    <n v="0"/>
  </r>
  <r>
    <x v="44"/>
    <s v="Europe"/>
    <x v="2"/>
    <n v="0"/>
    <n v="0"/>
    <n v="0"/>
    <n v="0"/>
    <n v="0"/>
    <n v="0"/>
    <n v="0"/>
    <n v="0"/>
    <n v="0"/>
    <n v="0"/>
    <n v="0"/>
    <n v="1"/>
  </r>
  <r>
    <x v="45"/>
    <s v="Global"/>
    <x v="0"/>
    <n v="0"/>
    <n v="0"/>
    <n v="0"/>
    <n v="0"/>
    <n v="0"/>
    <n v="0"/>
    <n v="0"/>
    <n v="0"/>
    <n v="0"/>
    <n v="0"/>
    <n v="0"/>
    <n v="1"/>
  </r>
  <r>
    <x v="46"/>
    <s v="Global"/>
    <x v="0"/>
    <n v="0"/>
    <n v="0"/>
    <n v="0"/>
    <n v="0"/>
    <n v="0"/>
    <n v="0"/>
    <n v="0"/>
    <n v="0"/>
    <n v="0"/>
    <n v="0"/>
    <n v="0"/>
    <n v="1"/>
  </r>
  <r>
    <x v="47"/>
    <s v="Global"/>
    <x v="6"/>
    <n v="1"/>
    <n v="0"/>
    <n v="0"/>
    <n v="0"/>
    <n v="0"/>
    <n v="0"/>
    <n v="0"/>
    <n v="0"/>
    <n v="0"/>
    <n v="0"/>
    <n v="0"/>
    <n v="0"/>
  </r>
  <r>
    <x v="48"/>
    <s v="Middle East and Africa"/>
    <x v="4"/>
    <n v="1"/>
    <n v="0"/>
    <n v="0"/>
    <n v="0"/>
    <n v="0"/>
    <n v="0"/>
    <n v="1"/>
    <n v="0"/>
    <n v="0"/>
    <n v="0"/>
    <n v="0"/>
    <n v="0"/>
  </r>
  <r>
    <x v="49"/>
    <s v="Europe"/>
    <x v="3"/>
    <n v="0"/>
    <n v="0"/>
    <n v="0"/>
    <n v="0"/>
    <n v="0"/>
    <n v="0"/>
    <n v="0"/>
    <n v="0"/>
    <n v="0"/>
    <n v="0"/>
    <n v="0"/>
    <n v="1"/>
  </r>
  <r>
    <x v="50"/>
    <s v="Middle East and Africa"/>
    <x v="0"/>
    <n v="0"/>
    <n v="0"/>
    <n v="0"/>
    <n v="0"/>
    <n v="0"/>
    <n v="0"/>
    <n v="0"/>
    <n v="0"/>
    <n v="0"/>
    <n v="0"/>
    <n v="1"/>
    <n v="0"/>
  </r>
  <r>
    <x v="51"/>
    <s v="Europe"/>
    <x v="0"/>
    <n v="0"/>
    <n v="0"/>
    <n v="0"/>
    <n v="0"/>
    <n v="1"/>
    <n v="0"/>
    <n v="0"/>
    <n v="0"/>
    <n v="0"/>
    <n v="1"/>
    <n v="1"/>
    <n v="0"/>
  </r>
  <r>
    <x v="52"/>
    <s v="Middle East and Africa"/>
    <x v="0"/>
    <n v="0"/>
    <n v="0"/>
    <n v="0"/>
    <n v="0"/>
    <n v="0"/>
    <n v="0"/>
    <n v="0"/>
    <n v="0"/>
    <n v="1"/>
    <n v="0"/>
    <n v="0"/>
    <n v="0"/>
  </r>
  <r>
    <x v="53"/>
    <s v="Asia Pacific"/>
    <x v="0"/>
    <n v="0"/>
    <n v="0"/>
    <n v="0"/>
    <n v="0"/>
    <n v="0"/>
    <n v="0"/>
    <n v="0"/>
    <n v="0"/>
    <n v="0"/>
    <n v="0"/>
    <n v="1"/>
    <n v="0"/>
  </r>
  <r>
    <x v="54"/>
    <s v="Europe"/>
    <x v="0"/>
    <n v="0"/>
    <n v="0"/>
    <n v="0"/>
    <n v="0"/>
    <n v="0"/>
    <n v="0"/>
    <n v="0"/>
    <n v="0"/>
    <n v="0"/>
    <n v="0"/>
    <n v="1"/>
    <n v="0"/>
  </r>
  <r>
    <x v="55"/>
    <s v="Asia Pacific"/>
    <x v="0"/>
    <n v="0"/>
    <n v="0"/>
    <n v="0"/>
    <n v="0"/>
    <n v="0"/>
    <n v="0"/>
    <n v="0"/>
    <n v="0"/>
    <n v="0"/>
    <n v="0"/>
    <n v="0"/>
    <n v="1"/>
  </r>
  <r>
    <x v="56"/>
    <s v="South America"/>
    <x v="0"/>
    <n v="0"/>
    <n v="0"/>
    <n v="0"/>
    <n v="0"/>
    <n v="0"/>
    <n v="0"/>
    <n v="0"/>
    <n v="0"/>
    <n v="0"/>
    <n v="0"/>
    <n v="0"/>
    <n v="1"/>
  </r>
  <r>
    <x v="57"/>
    <s v="Asia Pacific"/>
    <x v="0"/>
    <n v="0"/>
    <n v="0"/>
    <n v="0"/>
    <n v="0"/>
    <n v="0"/>
    <n v="0"/>
    <n v="0"/>
    <n v="0"/>
    <n v="0"/>
    <n v="0"/>
    <n v="1"/>
    <n v="0"/>
  </r>
  <r>
    <x v="58"/>
    <s v="Asia Pacific"/>
    <x v="0"/>
    <n v="0"/>
    <n v="0"/>
    <n v="0"/>
    <n v="0"/>
    <n v="0"/>
    <n v="0"/>
    <n v="0"/>
    <n v="0"/>
    <n v="0"/>
    <n v="0"/>
    <n v="0"/>
    <n v="1"/>
  </r>
  <r>
    <x v="59"/>
    <s v="Europe"/>
    <x v="0"/>
    <n v="1"/>
    <n v="0"/>
    <n v="1"/>
    <n v="0"/>
    <n v="0"/>
    <n v="0"/>
    <n v="0"/>
    <n v="0"/>
    <n v="0"/>
    <n v="0"/>
    <n v="0"/>
    <n v="0"/>
  </r>
  <r>
    <x v="60"/>
    <s v="South America"/>
    <x v="0"/>
    <n v="0"/>
    <n v="0"/>
    <n v="0"/>
    <n v="0"/>
    <n v="0"/>
    <n v="0"/>
    <n v="0"/>
    <n v="0"/>
    <n v="0"/>
    <n v="0"/>
    <n v="0"/>
    <n v="1"/>
  </r>
  <r>
    <x v="61"/>
    <s v="South America"/>
    <x v="0"/>
    <n v="0"/>
    <n v="1"/>
    <n v="0"/>
    <n v="0"/>
    <n v="0"/>
    <n v="1"/>
    <n v="0"/>
    <n v="0"/>
    <n v="0"/>
    <n v="0"/>
    <n v="1"/>
    <n v="0"/>
  </r>
  <r>
    <x v="62"/>
    <s v="South America"/>
    <x v="0"/>
    <n v="0"/>
    <n v="0"/>
    <n v="0"/>
    <n v="0"/>
    <n v="0"/>
    <n v="0"/>
    <n v="0"/>
    <n v="0"/>
    <n v="0"/>
    <n v="0"/>
    <n v="1"/>
    <n v="0"/>
  </r>
  <r>
    <x v="63"/>
    <s v="Europe"/>
    <x v="4"/>
    <n v="1"/>
    <n v="0"/>
    <n v="0"/>
    <n v="0"/>
    <n v="0"/>
    <n v="0"/>
    <n v="0"/>
    <n v="0"/>
    <n v="0"/>
    <n v="0"/>
    <n v="0"/>
    <n v="0"/>
  </r>
  <r>
    <x v="64"/>
    <s v="Asia Pacific"/>
    <x v="3"/>
    <n v="0"/>
    <n v="0"/>
    <n v="0"/>
    <n v="1"/>
    <n v="0"/>
    <n v="0"/>
    <n v="0"/>
    <n v="0"/>
    <n v="0"/>
    <n v="0"/>
    <n v="0"/>
    <n v="0"/>
  </r>
  <r>
    <x v="65"/>
    <s v="Global"/>
    <x v="2"/>
    <n v="0"/>
    <n v="1"/>
    <n v="0"/>
    <n v="0"/>
    <n v="0"/>
    <n v="0"/>
    <n v="0"/>
    <n v="0"/>
    <n v="0"/>
    <n v="0"/>
    <n v="0"/>
    <n v="0"/>
  </r>
  <r>
    <x v="66"/>
    <s v="Asia Pacific"/>
    <x v="3"/>
    <n v="0"/>
    <n v="0"/>
    <n v="0"/>
    <n v="0"/>
    <n v="0"/>
    <n v="0"/>
    <n v="0"/>
    <n v="0"/>
    <n v="0"/>
    <n v="0"/>
    <n v="1"/>
    <n v="0"/>
  </r>
  <r>
    <x v="67"/>
    <s v="Asia Pacific"/>
    <x v="0"/>
    <n v="0"/>
    <n v="0"/>
    <n v="0"/>
    <n v="0"/>
    <n v="0"/>
    <n v="1"/>
    <n v="0"/>
    <n v="0"/>
    <n v="0"/>
    <n v="0"/>
    <n v="0"/>
    <n v="0"/>
  </r>
  <r>
    <x v="68"/>
    <s v="Global"/>
    <x v="2"/>
    <n v="0"/>
    <n v="0"/>
    <n v="1"/>
    <n v="0"/>
    <n v="0"/>
    <n v="0"/>
    <n v="0"/>
    <n v="0"/>
    <n v="0"/>
    <n v="0"/>
    <n v="0"/>
    <n v="0"/>
  </r>
  <r>
    <x v="69"/>
    <s v="North America"/>
    <x v="1"/>
    <n v="0"/>
    <n v="0"/>
    <n v="0"/>
    <n v="0"/>
    <n v="0"/>
    <n v="0"/>
    <n v="0"/>
    <n v="0"/>
    <n v="0"/>
    <n v="0"/>
    <n v="0"/>
    <n v="1"/>
  </r>
  <r>
    <x v="70"/>
    <s v="North America"/>
    <x v="2"/>
    <n v="0"/>
    <n v="0"/>
    <n v="0"/>
    <n v="1"/>
    <n v="0"/>
    <n v="0"/>
    <n v="0"/>
    <n v="0"/>
    <n v="0"/>
    <n v="0"/>
    <n v="0"/>
    <n v="0"/>
  </r>
  <r>
    <x v="71"/>
    <s v="Global"/>
    <x v="2"/>
    <n v="0"/>
    <n v="1"/>
    <n v="0"/>
    <n v="0"/>
    <n v="0"/>
    <n v="0"/>
    <n v="0"/>
    <n v="0"/>
    <n v="0"/>
    <n v="1"/>
    <n v="0"/>
    <n v="0"/>
  </r>
  <r>
    <x v="72"/>
    <s v="Asia Pacific"/>
    <x v="3"/>
    <n v="0"/>
    <n v="0"/>
    <n v="0"/>
    <n v="0"/>
    <n v="0"/>
    <n v="0"/>
    <n v="0"/>
    <n v="0"/>
    <n v="0"/>
    <n v="0"/>
    <n v="0"/>
    <n v="1"/>
  </r>
  <r>
    <x v="73"/>
    <s v="Global"/>
    <x v="2"/>
    <n v="0"/>
    <n v="0"/>
    <n v="0"/>
    <n v="0"/>
    <n v="0"/>
    <n v="0"/>
    <n v="0"/>
    <n v="0"/>
    <n v="0"/>
    <n v="0"/>
    <n v="1"/>
    <n v="0"/>
  </r>
  <r>
    <x v="74"/>
    <s v="Europe"/>
    <x v="0"/>
    <n v="0"/>
    <n v="0"/>
    <n v="1"/>
    <n v="0"/>
    <n v="0"/>
    <n v="0"/>
    <n v="0"/>
    <n v="0"/>
    <n v="0"/>
    <n v="0"/>
    <n v="0"/>
    <n v="0"/>
  </r>
  <r>
    <x v="75"/>
    <s v="Asia Pacific"/>
    <x v="2"/>
    <n v="0"/>
    <n v="0"/>
    <n v="0"/>
    <n v="1"/>
    <n v="0"/>
    <n v="0"/>
    <n v="0"/>
    <n v="0"/>
    <n v="0"/>
    <n v="0"/>
    <n v="0"/>
    <n v="0"/>
  </r>
  <r>
    <x v="76"/>
    <s v="Global"/>
    <x v="2"/>
    <n v="0"/>
    <n v="0"/>
    <n v="0"/>
    <n v="1"/>
    <n v="0"/>
    <n v="0"/>
    <n v="0"/>
    <n v="0"/>
    <n v="0"/>
    <n v="0"/>
    <n v="0"/>
    <n v="0"/>
  </r>
  <r>
    <x v="77"/>
    <s v="Middle East and Africa"/>
    <x v="2"/>
    <n v="0"/>
    <n v="0"/>
    <n v="0"/>
    <n v="0"/>
    <n v="0"/>
    <n v="0"/>
    <n v="0"/>
    <n v="0"/>
    <n v="0"/>
    <n v="0"/>
    <n v="1"/>
    <n v="0"/>
  </r>
  <r>
    <x v="78"/>
    <s v="Global"/>
    <x v="2"/>
    <n v="0"/>
    <n v="1"/>
    <n v="0"/>
    <n v="0"/>
    <n v="0"/>
    <n v="0"/>
    <n v="0"/>
    <n v="0"/>
    <n v="0"/>
    <n v="1"/>
    <n v="1"/>
    <n v="0"/>
  </r>
  <r>
    <x v="79"/>
    <s v="Europe"/>
    <x v="3"/>
    <n v="0"/>
    <n v="0"/>
    <n v="0"/>
    <n v="0"/>
    <n v="0"/>
    <n v="0"/>
    <n v="0"/>
    <n v="0"/>
    <n v="0"/>
    <n v="0"/>
    <n v="0"/>
    <n v="1"/>
  </r>
  <r>
    <x v="80"/>
    <s v="Global"/>
    <x v="2"/>
    <n v="0"/>
    <n v="1"/>
    <n v="0"/>
    <n v="0"/>
    <n v="0"/>
    <n v="0"/>
    <n v="0"/>
    <n v="0"/>
    <n v="0"/>
    <n v="0"/>
    <n v="1"/>
    <n v="0"/>
  </r>
  <r>
    <x v="81"/>
    <s v="Middle East and Africa"/>
    <x v="1"/>
    <n v="0"/>
    <n v="0"/>
    <n v="0"/>
    <n v="0"/>
    <n v="0"/>
    <n v="0"/>
    <n v="0"/>
    <n v="0"/>
    <n v="0"/>
    <n v="0"/>
    <n v="0"/>
    <n v="1"/>
  </r>
  <r>
    <x v="82"/>
    <s v="South America"/>
    <x v="1"/>
    <n v="0"/>
    <n v="0"/>
    <n v="0"/>
    <n v="0"/>
    <n v="0"/>
    <n v="0"/>
    <n v="0"/>
    <n v="0"/>
    <n v="0"/>
    <n v="0"/>
    <n v="0"/>
    <n v="1"/>
  </r>
  <r>
    <x v="83"/>
    <s v="Middle East and Africa"/>
    <x v="2"/>
    <n v="0"/>
    <n v="0"/>
    <n v="0"/>
    <n v="0"/>
    <n v="0"/>
    <n v="0"/>
    <n v="0"/>
    <n v="0"/>
    <n v="0"/>
    <n v="0"/>
    <n v="0"/>
    <n v="1"/>
  </r>
  <r>
    <x v="84"/>
    <s v="Middle East and Africa"/>
    <x v="0"/>
    <n v="1"/>
    <n v="0"/>
    <n v="0"/>
    <n v="0"/>
    <n v="0"/>
    <n v="0"/>
    <n v="0"/>
    <n v="0"/>
    <n v="0"/>
    <n v="0"/>
    <n v="1"/>
    <n v="0"/>
  </r>
  <r>
    <x v="85"/>
    <s v="Middle East and Africa"/>
    <x v="0"/>
    <n v="0"/>
    <n v="0"/>
    <n v="0"/>
    <n v="0"/>
    <n v="1"/>
    <n v="0"/>
    <n v="0"/>
    <n v="0"/>
    <n v="0"/>
    <n v="0"/>
    <n v="0"/>
    <n v="0"/>
  </r>
  <r>
    <x v="86"/>
    <s v="Europe"/>
    <x v="2"/>
    <n v="0"/>
    <n v="0"/>
    <n v="0"/>
    <n v="0"/>
    <n v="0"/>
    <n v="0"/>
    <n v="0"/>
    <n v="0"/>
    <n v="0"/>
    <n v="0"/>
    <n v="1"/>
    <n v="0"/>
  </r>
  <r>
    <x v="87"/>
    <s v="Middle East and Africa"/>
    <x v="0"/>
    <n v="0"/>
    <n v="0"/>
    <n v="0"/>
    <n v="0"/>
    <n v="0"/>
    <n v="0"/>
    <n v="0"/>
    <n v="0"/>
    <n v="0"/>
    <n v="0"/>
    <n v="1"/>
    <n v="0"/>
  </r>
  <r>
    <x v="88"/>
    <s v="Asia Pacific"/>
    <x v="3"/>
    <n v="0"/>
    <n v="0"/>
    <n v="0"/>
    <n v="0"/>
    <n v="0"/>
    <n v="0"/>
    <n v="0"/>
    <n v="0"/>
    <n v="1"/>
    <n v="0"/>
    <n v="0"/>
    <n v="0"/>
  </r>
  <r>
    <x v="89"/>
    <s v="North America"/>
    <x v="7"/>
    <n v="0"/>
    <n v="0"/>
    <n v="0"/>
    <n v="0"/>
    <n v="0"/>
    <n v="0"/>
    <n v="0"/>
    <n v="0"/>
    <n v="0"/>
    <n v="0"/>
    <n v="0"/>
    <n v="1"/>
  </r>
  <r>
    <x v="90"/>
    <s v="Europe"/>
    <x v="0"/>
    <n v="0"/>
    <n v="0"/>
    <n v="0"/>
    <n v="0"/>
    <n v="1"/>
    <n v="0"/>
    <n v="0"/>
    <n v="0"/>
    <n v="0"/>
    <n v="0"/>
    <n v="0"/>
    <n v="0"/>
  </r>
  <r>
    <x v="91"/>
    <s v="Europe"/>
    <x v="1"/>
    <n v="0"/>
    <n v="0"/>
    <n v="0"/>
    <n v="0"/>
    <n v="0"/>
    <n v="0"/>
    <n v="0"/>
    <n v="0"/>
    <n v="0"/>
    <n v="0"/>
    <n v="0"/>
    <n v="1"/>
  </r>
  <r>
    <x v="92"/>
    <s v="Europe"/>
    <x v="7"/>
    <n v="0"/>
    <n v="0"/>
    <n v="0"/>
    <n v="0"/>
    <n v="0"/>
    <n v="0"/>
    <n v="0"/>
    <n v="0"/>
    <n v="0"/>
    <n v="0"/>
    <n v="0"/>
    <n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1"/>
    <n v="0"/>
    <n v="0"/>
    <n v="0"/>
  </r>
  <r>
    <x v="1"/>
    <s v="Middle East and Africa"/>
    <x v="1"/>
    <n v="0"/>
    <n v="1"/>
    <n v="0"/>
    <n v="0"/>
    <n v="0"/>
  </r>
  <r>
    <x v="2"/>
    <s v="Europe"/>
    <x v="2"/>
    <n v="1"/>
    <n v="0"/>
    <n v="0"/>
    <n v="0"/>
    <n v="0"/>
  </r>
  <r>
    <x v="3"/>
    <s v="Middle East and Africa"/>
    <x v="1"/>
    <n v="0"/>
    <n v="0"/>
    <n v="0"/>
    <n v="0"/>
    <n v="1"/>
  </r>
  <r>
    <x v="4"/>
    <s v="Europe"/>
    <x v="1"/>
    <n v="0"/>
    <n v="1"/>
    <n v="0"/>
    <n v="0"/>
    <n v="0"/>
  </r>
  <r>
    <x v="5"/>
    <s v="North America"/>
    <x v="3"/>
    <n v="0"/>
    <n v="1"/>
    <n v="0"/>
    <n v="0"/>
    <n v="0"/>
  </r>
  <r>
    <x v="6"/>
    <s v="Europe"/>
    <x v="0"/>
    <n v="0"/>
    <n v="1"/>
    <n v="0"/>
    <n v="0"/>
    <n v="0"/>
  </r>
  <r>
    <x v="7"/>
    <s v="Asia Pacific"/>
    <x v="1"/>
    <n v="0"/>
    <n v="0"/>
    <n v="0"/>
    <n v="0"/>
    <n v="1"/>
  </r>
  <r>
    <x v="8"/>
    <s v="Asia Pacific"/>
    <x v="3"/>
    <n v="0"/>
    <n v="0"/>
    <n v="0"/>
    <n v="0"/>
    <n v="1"/>
  </r>
  <r>
    <x v="9"/>
    <s v="Asia Pacific"/>
    <x v="3"/>
    <n v="0"/>
    <n v="1"/>
    <n v="0"/>
    <n v="0"/>
    <n v="0"/>
  </r>
  <r>
    <x v="10"/>
    <s v="Europe"/>
    <x v="3"/>
    <n v="0"/>
    <n v="1"/>
    <n v="0"/>
    <n v="0"/>
    <n v="0"/>
  </r>
  <r>
    <x v="11"/>
    <s v="Global"/>
    <x v="2"/>
    <n v="0"/>
    <n v="1"/>
    <n v="0"/>
    <n v="0"/>
    <n v="0"/>
  </r>
  <r>
    <x v="12"/>
    <s v="Global"/>
    <x v="2"/>
    <n v="0"/>
    <n v="1"/>
    <n v="0"/>
    <n v="0"/>
    <n v="0"/>
  </r>
  <r>
    <x v="13"/>
    <s v="Europe"/>
    <x v="0"/>
    <n v="0"/>
    <n v="1"/>
    <n v="0"/>
    <n v="0"/>
    <n v="0"/>
  </r>
  <r>
    <x v="14"/>
    <s v="Europe"/>
    <x v="0"/>
    <n v="0"/>
    <n v="1"/>
    <n v="0"/>
    <n v="0"/>
    <n v="0"/>
  </r>
  <r>
    <x v="15"/>
    <s v="South America"/>
    <x v="3"/>
    <n v="0"/>
    <n v="1"/>
    <n v="0"/>
    <n v="0"/>
    <n v="0"/>
  </r>
  <r>
    <x v="16"/>
    <s v="North America"/>
    <x v="0"/>
    <n v="1"/>
    <n v="0"/>
    <n v="0"/>
    <n v="0"/>
    <n v="0"/>
  </r>
  <r>
    <x v="17"/>
    <s v="North America"/>
    <x v="3"/>
    <n v="0"/>
    <n v="1"/>
    <n v="0"/>
    <n v="0"/>
    <n v="0"/>
  </r>
  <r>
    <x v="18"/>
    <s v="North America"/>
    <x v="4"/>
    <n v="0"/>
    <n v="0"/>
    <n v="0"/>
    <n v="0"/>
    <n v="1"/>
  </r>
  <r>
    <x v="19"/>
    <s v="South America"/>
    <x v="0"/>
    <n v="1"/>
    <n v="0"/>
    <n v="0"/>
    <n v="0"/>
    <n v="0"/>
  </r>
  <r>
    <x v="20"/>
    <s v="Middle East and Africa"/>
    <x v="1"/>
    <n v="0"/>
    <n v="1"/>
    <n v="0"/>
    <n v="0"/>
    <n v="0"/>
  </r>
  <r>
    <x v="21"/>
    <s v="Global"/>
    <x v="0"/>
    <n v="0"/>
    <n v="1"/>
    <n v="0"/>
    <n v="0"/>
    <n v="0"/>
  </r>
  <r>
    <x v="22"/>
    <s v="Europe"/>
    <x v="3"/>
    <n v="0"/>
    <n v="1"/>
    <n v="0"/>
    <n v="0"/>
    <n v="0"/>
  </r>
  <r>
    <x v="23"/>
    <s v="Europe"/>
    <x v="4"/>
    <n v="0"/>
    <n v="0"/>
    <n v="0"/>
    <n v="0"/>
    <n v="1"/>
  </r>
  <r>
    <x v="24"/>
    <s v="Europe"/>
    <x v="0"/>
    <n v="0"/>
    <n v="0"/>
    <n v="0"/>
    <n v="1"/>
    <n v="0"/>
  </r>
  <r>
    <x v="25"/>
    <s v="Asia Pacific"/>
    <x v="0"/>
    <n v="1"/>
    <n v="0"/>
    <n v="0"/>
    <n v="0"/>
    <n v="0"/>
  </r>
  <r>
    <x v="26"/>
    <s v="Europe"/>
    <x v="0"/>
    <n v="0"/>
    <n v="1"/>
    <n v="0"/>
    <n v="0"/>
    <n v="0"/>
  </r>
  <r>
    <x v="27"/>
    <s v="South America"/>
    <x v="1"/>
    <n v="0"/>
    <n v="1"/>
    <n v="0"/>
    <n v="0"/>
    <n v="0"/>
  </r>
  <r>
    <x v="28"/>
    <s v="Global"/>
    <x v="2"/>
    <n v="0"/>
    <n v="0"/>
    <n v="1"/>
    <n v="0"/>
    <n v="0"/>
  </r>
  <r>
    <x v="29"/>
    <s v="Europe"/>
    <x v="4"/>
    <n v="0"/>
    <n v="0"/>
    <n v="0"/>
    <n v="0"/>
    <n v="1"/>
  </r>
  <r>
    <x v="30"/>
    <s v="Middle East and Africa"/>
    <x v="2"/>
    <n v="0"/>
    <n v="0"/>
    <n v="1"/>
    <n v="0"/>
    <n v="0"/>
  </r>
  <r>
    <x v="31"/>
    <s v="Global"/>
    <x v="2"/>
    <n v="1"/>
    <n v="0"/>
    <n v="0"/>
    <n v="0"/>
    <n v="0"/>
  </r>
  <r>
    <x v="32"/>
    <s v="Europe"/>
    <x v="2"/>
    <n v="0"/>
    <n v="0"/>
    <n v="1"/>
    <n v="0"/>
    <n v="0"/>
  </r>
  <r>
    <x v="33"/>
    <s v="Global"/>
    <x v="2"/>
    <n v="1"/>
    <n v="0"/>
    <n v="0"/>
    <n v="0"/>
    <n v="0"/>
  </r>
  <r>
    <x v="34"/>
    <s v="Europe"/>
    <x v="0"/>
    <n v="0"/>
    <n v="1"/>
    <n v="0"/>
    <n v="0"/>
    <n v="0"/>
  </r>
  <r>
    <x v="35"/>
    <s v="Europe"/>
    <x v="0"/>
    <n v="0"/>
    <n v="0"/>
    <n v="0"/>
    <n v="0"/>
    <n v="1"/>
  </r>
  <r>
    <x v="36"/>
    <s v="South America"/>
    <x v="0"/>
    <n v="0"/>
    <n v="1"/>
    <n v="0"/>
    <n v="0"/>
    <n v="0"/>
  </r>
  <r>
    <x v="37"/>
    <s v="South America"/>
    <x v="1"/>
    <n v="0"/>
    <n v="0"/>
    <n v="1"/>
    <n v="0"/>
    <n v="0"/>
  </r>
  <r>
    <x v="38"/>
    <s v="Asia Pacific"/>
    <x v="1"/>
    <n v="0"/>
    <n v="0"/>
    <n v="0"/>
    <n v="0"/>
    <n v="1"/>
  </r>
  <r>
    <x v="39"/>
    <s v="Europe"/>
    <x v="2"/>
    <n v="0"/>
    <n v="0"/>
    <n v="0"/>
    <n v="0"/>
    <n v="1"/>
  </r>
  <r>
    <x v="40"/>
    <s v="Global"/>
    <x v="2"/>
    <n v="0"/>
    <n v="0"/>
    <n v="1"/>
    <n v="0"/>
    <n v="0"/>
  </r>
  <r>
    <x v="41"/>
    <s v="Global"/>
    <x v="2"/>
    <n v="1"/>
    <n v="0"/>
    <n v="0"/>
    <n v="0"/>
    <n v="0"/>
  </r>
  <r>
    <x v="42"/>
    <s v="Asia Pacific"/>
    <x v="3"/>
    <n v="0"/>
    <n v="0"/>
    <n v="1"/>
    <n v="0"/>
    <n v="0"/>
  </r>
  <r>
    <x v="43"/>
    <s v="North America"/>
    <x v="5"/>
    <n v="0"/>
    <n v="0"/>
    <n v="0"/>
    <n v="0"/>
    <n v="1"/>
  </r>
  <r>
    <x v="44"/>
    <s v="Europe"/>
    <x v="2"/>
    <n v="0"/>
    <n v="1"/>
    <n v="0"/>
    <n v="0"/>
    <n v="0"/>
  </r>
  <r>
    <x v="45"/>
    <s v="Global"/>
    <x v="0"/>
    <n v="0"/>
    <n v="0"/>
    <n v="0"/>
    <n v="0"/>
    <n v="1"/>
  </r>
  <r>
    <x v="46"/>
    <s v="Global"/>
    <x v="0"/>
    <n v="0"/>
    <n v="0"/>
    <n v="1"/>
    <n v="0"/>
    <n v="0"/>
  </r>
  <r>
    <x v="47"/>
    <s v="Global"/>
    <x v="6"/>
    <n v="0"/>
    <n v="0"/>
    <n v="0"/>
    <n v="0"/>
    <n v="1"/>
  </r>
  <r>
    <x v="48"/>
    <s v="Middle East and Africa"/>
    <x v="4"/>
    <n v="0"/>
    <n v="0"/>
    <n v="0"/>
    <n v="0"/>
    <n v="1"/>
  </r>
  <r>
    <x v="49"/>
    <s v="Europe"/>
    <x v="3"/>
    <n v="0"/>
    <n v="0"/>
    <n v="1"/>
    <n v="0"/>
    <n v="0"/>
  </r>
  <r>
    <x v="50"/>
    <s v="Middle East and Africa"/>
    <x v="0"/>
    <n v="0"/>
    <n v="1"/>
    <n v="0"/>
    <n v="0"/>
    <n v="0"/>
  </r>
  <r>
    <x v="51"/>
    <s v="Europe"/>
    <x v="0"/>
    <n v="0"/>
    <n v="0"/>
    <n v="1"/>
    <n v="0"/>
    <n v="0"/>
  </r>
  <r>
    <x v="52"/>
    <s v="Middle East and Africa"/>
    <x v="0"/>
    <n v="0"/>
    <n v="1"/>
    <n v="0"/>
    <n v="0"/>
    <n v="0"/>
  </r>
  <r>
    <x v="53"/>
    <s v="Asia Pacific"/>
    <x v="0"/>
    <n v="0"/>
    <n v="0"/>
    <n v="0"/>
    <n v="1"/>
    <n v="0"/>
  </r>
  <r>
    <x v="54"/>
    <s v="Europe"/>
    <x v="0"/>
    <n v="0"/>
    <n v="0"/>
    <n v="1"/>
    <n v="0"/>
    <n v="0"/>
  </r>
  <r>
    <x v="55"/>
    <s v="Asia Pacific"/>
    <x v="0"/>
    <n v="0"/>
    <n v="0"/>
    <n v="1"/>
    <n v="0"/>
    <n v="0"/>
  </r>
  <r>
    <x v="56"/>
    <s v="South America"/>
    <x v="0"/>
    <n v="0"/>
    <n v="0"/>
    <n v="1"/>
    <n v="0"/>
    <n v="0"/>
  </r>
  <r>
    <x v="57"/>
    <s v="Asia Pacific"/>
    <x v="0"/>
    <n v="0"/>
    <n v="1"/>
    <n v="0"/>
    <n v="0"/>
    <n v="0"/>
  </r>
  <r>
    <x v="58"/>
    <s v="Asia Pacific"/>
    <x v="0"/>
    <n v="0"/>
    <n v="0"/>
    <n v="1"/>
    <n v="0"/>
    <n v="0"/>
  </r>
  <r>
    <x v="59"/>
    <s v="Europe"/>
    <x v="0"/>
    <n v="1"/>
    <n v="0"/>
    <n v="0"/>
    <n v="0"/>
    <n v="0"/>
  </r>
  <r>
    <x v="60"/>
    <s v="South America"/>
    <x v="0"/>
    <n v="0"/>
    <n v="0"/>
    <n v="0"/>
    <n v="0"/>
    <n v="1"/>
  </r>
  <r>
    <x v="61"/>
    <s v="South America"/>
    <x v="0"/>
    <n v="1"/>
    <n v="0"/>
    <n v="0"/>
    <n v="0"/>
    <n v="0"/>
  </r>
  <r>
    <x v="62"/>
    <s v="South America"/>
    <x v="0"/>
    <n v="0"/>
    <n v="0"/>
    <n v="0"/>
    <n v="0"/>
    <n v="1"/>
  </r>
  <r>
    <x v="63"/>
    <s v="Europe"/>
    <x v="4"/>
    <n v="0"/>
    <n v="0"/>
    <n v="1"/>
    <n v="0"/>
    <n v="0"/>
  </r>
  <r>
    <x v="64"/>
    <s v="Asia Pacific"/>
    <x v="3"/>
    <n v="1"/>
    <n v="0"/>
    <n v="0"/>
    <n v="0"/>
    <n v="0"/>
  </r>
  <r>
    <x v="65"/>
    <s v="Global"/>
    <x v="2"/>
    <n v="1"/>
    <n v="0"/>
    <n v="0"/>
    <n v="0"/>
    <n v="0"/>
  </r>
  <r>
    <x v="66"/>
    <s v="Asia Pacific"/>
    <x v="3"/>
    <n v="0"/>
    <n v="1"/>
    <n v="0"/>
    <n v="0"/>
    <n v="0"/>
  </r>
  <r>
    <x v="67"/>
    <s v="Asia Pacific"/>
    <x v="0"/>
    <n v="0"/>
    <n v="0"/>
    <n v="0"/>
    <n v="0"/>
    <n v="1"/>
  </r>
  <r>
    <x v="68"/>
    <s v="Global"/>
    <x v="2"/>
    <n v="0"/>
    <n v="0"/>
    <n v="1"/>
    <n v="0"/>
    <n v="0"/>
  </r>
  <r>
    <x v="69"/>
    <s v="North America"/>
    <x v="1"/>
    <n v="0"/>
    <n v="0"/>
    <n v="0"/>
    <n v="0"/>
    <n v="1"/>
  </r>
  <r>
    <x v="70"/>
    <s v="North America"/>
    <x v="2"/>
    <n v="1"/>
    <n v="0"/>
    <n v="0"/>
    <n v="0"/>
    <n v="0"/>
  </r>
  <r>
    <x v="71"/>
    <s v="Global"/>
    <x v="2"/>
    <n v="1"/>
    <n v="0"/>
    <n v="0"/>
    <n v="0"/>
    <n v="0"/>
  </r>
  <r>
    <x v="72"/>
    <s v="Asia Pacific"/>
    <x v="3"/>
    <n v="0"/>
    <n v="0"/>
    <n v="1"/>
    <n v="0"/>
    <n v="0"/>
  </r>
  <r>
    <x v="73"/>
    <s v="Global"/>
    <x v="2"/>
    <n v="0"/>
    <n v="1"/>
    <n v="0"/>
    <n v="0"/>
    <n v="0"/>
  </r>
  <r>
    <x v="74"/>
    <s v="Europe"/>
    <x v="0"/>
    <n v="0"/>
    <n v="1"/>
    <n v="0"/>
    <n v="0"/>
    <n v="0"/>
  </r>
  <r>
    <x v="75"/>
    <s v="Asia Pacific"/>
    <x v="2"/>
    <n v="1"/>
    <n v="0"/>
    <n v="0"/>
    <n v="0"/>
    <n v="0"/>
  </r>
  <r>
    <x v="76"/>
    <s v="Global"/>
    <x v="2"/>
    <n v="0"/>
    <n v="1"/>
    <n v="0"/>
    <n v="0"/>
    <n v="0"/>
  </r>
  <r>
    <x v="77"/>
    <s v="Middle East and Africa"/>
    <x v="2"/>
    <n v="0"/>
    <n v="0"/>
    <n v="1"/>
    <n v="0"/>
    <n v="0"/>
  </r>
  <r>
    <x v="78"/>
    <s v="Global"/>
    <x v="2"/>
    <n v="1"/>
    <n v="0"/>
    <n v="0"/>
    <n v="0"/>
    <n v="0"/>
  </r>
  <r>
    <x v="79"/>
    <s v="Europe"/>
    <x v="3"/>
    <n v="0"/>
    <n v="1"/>
    <n v="0"/>
    <n v="0"/>
    <n v="0"/>
  </r>
  <r>
    <x v="80"/>
    <s v="Global"/>
    <x v="2"/>
    <n v="0"/>
    <n v="1"/>
    <n v="0"/>
    <n v="0"/>
    <n v="0"/>
  </r>
  <r>
    <x v="81"/>
    <s v="Middle East and Africa"/>
    <x v="1"/>
    <n v="0"/>
    <n v="0"/>
    <n v="0"/>
    <n v="0"/>
    <n v="1"/>
  </r>
  <r>
    <x v="82"/>
    <s v="South America"/>
    <x v="1"/>
    <n v="0"/>
    <n v="0"/>
    <n v="0"/>
    <n v="0"/>
    <n v="1"/>
  </r>
  <r>
    <x v="83"/>
    <s v="Middle East and Africa"/>
    <x v="2"/>
    <n v="0"/>
    <n v="0"/>
    <n v="0"/>
    <n v="0"/>
    <n v="1"/>
  </r>
  <r>
    <x v="84"/>
    <s v="Middle East and Africa"/>
    <x v="0"/>
    <n v="0"/>
    <n v="1"/>
    <n v="0"/>
    <n v="0"/>
    <n v="0"/>
  </r>
  <r>
    <x v="85"/>
    <s v="Middle East and Africa"/>
    <x v="0"/>
    <n v="0"/>
    <n v="0"/>
    <n v="0"/>
    <n v="1"/>
    <n v="0"/>
  </r>
  <r>
    <x v="86"/>
    <s v="Europe"/>
    <x v="2"/>
    <n v="1"/>
    <n v="0"/>
    <n v="0"/>
    <n v="0"/>
    <n v="0"/>
  </r>
  <r>
    <x v="87"/>
    <s v="Middle East and Africa"/>
    <x v="0"/>
    <n v="0"/>
    <n v="0"/>
    <n v="0"/>
    <n v="1"/>
    <n v="0"/>
  </r>
  <r>
    <x v="88"/>
    <s v="Asia Pacific"/>
    <x v="3"/>
    <n v="0"/>
    <n v="1"/>
    <n v="0"/>
    <n v="0"/>
    <n v="0"/>
  </r>
  <r>
    <x v="89"/>
    <s v="North America"/>
    <x v="7"/>
    <n v="1"/>
    <n v="0"/>
    <n v="0"/>
    <n v="0"/>
    <n v="0"/>
  </r>
  <r>
    <x v="90"/>
    <s v="Europe"/>
    <x v="0"/>
    <n v="0"/>
    <n v="1"/>
    <n v="0"/>
    <n v="0"/>
    <n v="0"/>
  </r>
  <r>
    <x v="91"/>
    <s v="Europe"/>
    <x v="1"/>
    <n v="0"/>
    <n v="0"/>
    <n v="1"/>
    <n v="0"/>
    <n v="0"/>
  </r>
  <r>
    <x v="92"/>
    <s v="Europe"/>
    <x v="7"/>
    <n v="0"/>
    <n v="0"/>
    <n v="1"/>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1"/>
    <n v="0"/>
    <n v="0"/>
    <n v="0"/>
  </r>
  <r>
    <x v="1"/>
    <s v="Middle East and Africa"/>
    <x v="1"/>
    <n v="0"/>
    <n v="0"/>
    <n v="0"/>
    <n v="0"/>
    <n v="1"/>
  </r>
  <r>
    <x v="2"/>
    <s v="Europe"/>
    <x v="2"/>
    <n v="0"/>
    <n v="0"/>
    <n v="1"/>
    <n v="0"/>
    <n v="0"/>
  </r>
  <r>
    <x v="3"/>
    <s v="Middle East and Africa"/>
    <x v="1"/>
    <n v="0"/>
    <n v="0"/>
    <n v="0"/>
    <n v="0"/>
    <n v="1"/>
  </r>
  <r>
    <x v="4"/>
    <s v="Europe"/>
    <x v="1"/>
    <n v="0"/>
    <n v="0"/>
    <n v="0"/>
    <n v="1"/>
    <n v="0"/>
  </r>
  <r>
    <x v="5"/>
    <s v="North America"/>
    <x v="3"/>
    <n v="0"/>
    <n v="1"/>
    <n v="0"/>
    <n v="0"/>
    <n v="0"/>
  </r>
  <r>
    <x v="6"/>
    <s v="Europe"/>
    <x v="0"/>
    <n v="0"/>
    <n v="0"/>
    <n v="0"/>
    <n v="1"/>
    <n v="0"/>
  </r>
  <r>
    <x v="7"/>
    <s v="Asia Pacific"/>
    <x v="1"/>
    <n v="0"/>
    <n v="0"/>
    <n v="0"/>
    <n v="0"/>
    <n v="1"/>
  </r>
  <r>
    <x v="8"/>
    <s v="Asia Pacific"/>
    <x v="3"/>
    <n v="0"/>
    <n v="0"/>
    <n v="0"/>
    <n v="0"/>
    <n v="1"/>
  </r>
  <r>
    <x v="9"/>
    <s v="Asia Pacific"/>
    <x v="3"/>
    <n v="0"/>
    <n v="1"/>
    <n v="0"/>
    <n v="0"/>
    <n v="0"/>
  </r>
  <r>
    <x v="10"/>
    <s v="Europe"/>
    <x v="3"/>
    <n v="0"/>
    <n v="0"/>
    <n v="1"/>
    <n v="0"/>
    <n v="0"/>
  </r>
  <r>
    <x v="11"/>
    <s v="Global"/>
    <x v="2"/>
    <n v="0"/>
    <n v="0"/>
    <n v="1"/>
    <n v="0"/>
    <n v="0"/>
  </r>
  <r>
    <x v="12"/>
    <s v="Global"/>
    <x v="2"/>
    <n v="0"/>
    <n v="1"/>
    <n v="0"/>
    <n v="0"/>
    <n v="0"/>
  </r>
  <r>
    <x v="13"/>
    <s v="Europe"/>
    <x v="0"/>
    <n v="1"/>
    <n v="0"/>
    <n v="0"/>
    <n v="0"/>
    <n v="0"/>
  </r>
  <r>
    <x v="14"/>
    <s v="Europe"/>
    <x v="0"/>
    <n v="0"/>
    <n v="1"/>
    <n v="0"/>
    <n v="0"/>
    <n v="0"/>
  </r>
  <r>
    <x v="15"/>
    <s v="South America"/>
    <x v="3"/>
    <n v="0"/>
    <n v="0"/>
    <n v="0"/>
    <n v="1"/>
    <n v="0"/>
  </r>
  <r>
    <x v="16"/>
    <s v="North America"/>
    <x v="0"/>
    <n v="0"/>
    <n v="0"/>
    <n v="1"/>
    <n v="0"/>
    <n v="0"/>
  </r>
  <r>
    <x v="17"/>
    <s v="North America"/>
    <x v="3"/>
    <n v="0"/>
    <n v="1"/>
    <n v="0"/>
    <n v="0"/>
    <n v="0"/>
  </r>
  <r>
    <x v="18"/>
    <s v="North America"/>
    <x v="4"/>
    <n v="0"/>
    <n v="0"/>
    <n v="1"/>
    <n v="0"/>
    <n v="0"/>
  </r>
  <r>
    <x v="19"/>
    <s v="South America"/>
    <x v="0"/>
    <n v="0"/>
    <n v="1"/>
    <n v="0"/>
    <n v="0"/>
    <n v="0"/>
  </r>
  <r>
    <x v="20"/>
    <s v="Middle East and Africa"/>
    <x v="1"/>
    <n v="0"/>
    <n v="1"/>
    <n v="0"/>
    <n v="0"/>
    <n v="0"/>
  </r>
  <r>
    <x v="21"/>
    <s v="Global"/>
    <x v="0"/>
    <n v="0"/>
    <n v="1"/>
    <n v="0"/>
    <n v="0"/>
    <n v="0"/>
  </r>
  <r>
    <x v="22"/>
    <s v="Europe"/>
    <x v="3"/>
    <n v="0"/>
    <n v="1"/>
    <n v="0"/>
    <n v="0"/>
    <n v="0"/>
  </r>
  <r>
    <x v="23"/>
    <s v="Europe"/>
    <x v="4"/>
    <n v="0"/>
    <n v="0"/>
    <n v="1"/>
    <n v="0"/>
    <n v="0"/>
  </r>
  <r>
    <x v="24"/>
    <s v="Europe"/>
    <x v="0"/>
    <n v="1"/>
    <n v="0"/>
    <n v="0"/>
    <n v="0"/>
    <n v="0"/>
  </r>
  <r>
    <x v="25"/>
    <s v="Asia Pacific"/>
    <x v="0"/>
    <n v="0"/>
    <n v="0"/>
    <n v="0"/>
    <n v="1"/>
    <n v="0"/>
  </r>
  <r>
    <x v="26"/>
    <s v="Europe"/>
    <x v="0"/>
    <n v="1"/>
    <n v="0"/>
    <n v="0"/>
    <n v="0"/>
    <n v="0"/>
  </r>
  <r>
    <x v="27"/>
    <s v="South America"/>
    <x v="1"/>
    <n v="0"/>
    <n v="0"/>
    <n v="0"/>
    <n v="1"/>
    <n v="0"/>
  </r>
  <r>
    <x v="28"/>
    <s v="Global"/>
    <x v="2"/>
    <n v="0"/>
    <n v="1"/>
    <n v="0"/>
    <n v="0"/>
    <n v="0"/>
  </r>
  <r>
    <x v="29"/>
    <s v="Europe"/>
    <x v="4"/>
    <n v="0"/>
    <n v="0"/>
    <n v="0"/>
    <n v="1"/>
    <n v="0"/>
  </r>
  <r>
    <x v="30"/>
    <s v="Middle East and Africa"/>
    <x v="2"/>
    <n v="0"/>
    <n v="0"/>
    <n v="1"/>
    <n v="0"/>
    <n v="0"/>
  </r>
  <r>
    <x v="31"/>
    <s v="Global"/>
    <x v="2"/>
    <n v="0"/>
    <n v="0"/>
    <n v="0"/>
    <n v="1"/>
    <n v="0"/>
  </r>
  <r>
    <x v="32"/>
    <s v="Europe"/>
    <x v="2"/>
    <n v="1"/>
    <n v="0"/>
    <n v="0"/>
    <n v="0"/>
    <n v="0"/>
  </r>
  <r>
    <x v="33"/>
    <s v="Global"/>
    <x v="2"/>
    <n v="0"/>
    <n v="0"/>
    <n v="0"/>
    <n v="1"/>
    <n v="0"/>
  </r>
  <r>
    <x v="34"/>
    <s v="Europe"/>
    <x v="0"/>
    <n v="0"/>
    <n v="1"/>
    <n v="0"/>
    <n v="0"/>
    <n v="0"/>
  </r>
  <r>
    <x v="35"/>
    <s v="Europe"/>
    <x v="0"/>
    <n v="1"/>
    <n v="0"/>
    <n v="0"/>
    <n v="0"/>
    <n v="0"/>
  </r>
  <r>
    <x v="36"/>
    <s v="South America"/>
    <x v="0"/>
    <n v="0"/>
    <n v="1"/>
    <n v="0"/>
    <n v="0"/>
    <n v="0"/>
  </r>
  <r>
    <x v="37"/>
    <s v="South America"/>
    <x v="1"/>
    <n v="0"/>
    <n v="1"/>
    <n v="0"/>
    <n v="0"/>
    <n v="0"/>
  </r>
  <r>
    <x v="38"/>
    <s v="Asia Pacific"/>
    <x v="1"/>
    <n v="0"/>
    <n v="0"/>
    <n v="0"/>
    <n v="0"/>
    <n v="1"/>
  </r>
  <r>
    <x v="39"/>
    <s v="Europe"/>
    <x v="2"/>
    <n v="0"/>
    <n v="1"/>
    <n v="0"/>
    <n v="0"/>
    <n v="0"/>
  </r>
  <r>
    <x v="40"/>
    <s v="Global"/>
    <x v="2"/>
    <n v="0"/>
    <n v="0"/>
    <n v="0"/>
    <n v="1"/>
    <n v="0"/>
  </r>
  <r>
    <x v="41"/>
    <s v="Global"/>
    <x v="2"/>
    <n v="0"/>
    <n v="1"/>
    <n v="0"/>
    <n v="0"/>
    <n v="0"/>
  </r>
  <r>
    <x v="42"/>
    <s v="Asia Pacific"/>
    <x v="3"/>
    <n v="0"/>
    <n v="0"/>
    <n v="1"/>
    <n v="0"/>
    <n v="0"/>
  </r>
  <r>
    <x v="43"/>
    <s v="North America"/>
    <x v="5"/>
    <n v="1"/>
    <n v="0"/>
    <n v="0"/>
    <n v="0"/>
    <n v="0"/>
  </r>
  <r>
    <x v="44"/>
    <s v="Europe"/>
    <x v="2"/>
    <n v="0"/>
    <n v="0"/>
    <n v="0"/>
    <n v="1"/>
    <n v="0"/>
  </r>
  <r>
    <x v="45"/>
    <s v="Global"/>
    <x v="0"/>
    <n v="0"/>
    <n v="0"/>
    <n v="0"/>
    <n v="0"/>
    <n v="1"/>
  </r>
  <r>
    <x v="46"/>
    <s v="Global"/>
    <x v="0"/>
    <n v="0"/>
    <n v="0"/>
    <n v="1"/>
    <n v="0"/>
    <n v="0"/>
  </r>
  <r>
    <x v="47"/>
    <s v="Global"/>
    <x v="6"/>
    <n v="0"/>
    <n v="0"/>
    <n v="1"/>
    <n v="0"/>
    <n v="0"/>
  </r>
  <r>
    <x v="48"/>
    <s v="Middle East and Africa"/>
    <x v="4"/>
    <n v="0"/>
    <n v="0"/>
    <n v="1"/>
    <n v="0"/>
    <n v="0"/>
  </r>
  <r>
    <x v="49"/>
    <s v="Europe"/>
    <x v="3"/>
    <n v="0"/>
    <n v="1"/>
    <n v="0"/>
    <n v="0"/>
    <n v="0"/>
  </r>
  <r>
    <x v="50"/>
    <s v="Middle East and Africa"/>
    <x v="0"/>
    <n v="0"/>
    <n v="0"/>
    <n v="1"/>
    <n v="0"/>
    <n v="0"/>
  </r>
  <r>
    <x v="51"/>
    <s v="Europe"/>
    <x v="0"/>
    <n v="0"/>
    <n v="1"/>
    <n v="0"/>
    <n v="0"/>
    <n v="0"/>
  </r>
  <r>
    <x v="52"/>
    <s v="Middle East and Africa"/>
    <x v="0"/>
    <n v="0"/>
    <n v="0"/>
    <n v="0"/>
    <n v="1"/>
    <n v="0"/>
  </r>
  <r>
    <x v="53"/>
    <s v="Asia Pacific"/>
    <x v="0"/>
    <n v="0"/>
    <n v="1"/>
    <n v="0"/>
    <n v="0"/>
    <n v="0"/>
  </r>
  <r>
    <x v="54"/>
    <s v="Europe"/>
    <x v="0"/>
    <n v="0"/>
    <n v="1"/>
    <n v="0"/>
    <n v="0"/>
    <n v="0"/>
  </r>
  <r>
    <x v="55"/>
    <s v="Asia Pacific"/>
    <x v="0"/>
    <n v="0"/>
    <n v="1"/>
    <n v="0"/>
    <n v="0"/>
    <n v="0"/>
  </r>
  <r>
    <x v="56"/>
    <s v="South America"/>
    <x v="0"/>
    <n v="0"/>
    <n v="0"/>
    <n v="0"/>
    <n v="1"/>
    <n v="0"/>
  </r>
  <r>
    <x v="57"/>
    <s v="Asia Pacific"/>
    <x v="0"/>
    <n v="0"/>
    <n v="0"/>
    <n v="0"/>
    <n v="1"/>
    <n v="0"/>
  </r>
  <r>
    <x v="58"/>
    <s v="Asia Pacific"/>
    <x v="0"/>
    <n v="0"/>
    <n v="1"/>
    <n v="0"/>
    <n v="0"/>
    <n v="0"/>
  </r>
  <r>
    <x v="59"/>
    <s v="Europe"/>
    <x v="0"/>
    <n v="0"/>
    <n v="0"/>
    <n v="0"/>
    <n v="1"/>
    <n v="0"/>
  </r>
  <r>
    <x v="60"/>
    <s v="South America"/>
    <x v="0"/>
    <n v="0"/>
    <n v="0"/>
    <n v="0"/>
    <n v="0"/>
    <n v="1"/>
  </r>
  <r>
    <x v="61"/>
    <s v="South America"/>
    <x v="0"/>
    <n v="0"/>
    <n v="0"/>
    <n v="0"/>
    <n v="1"/>
    <n v="0"/>
  </r>
  <r>
    <x v="62"/>
    <s v="South America"/>
    <x v="0"/>
    <n v="0"/>
    <n v="0"/>
    <n v="0"/>
    <n v="1"/>
    <n v="0"/>
  </r>
  <r>
    <x v="63"/>
    <s v="Europe"/>
    <x v="4"/>
    <n v="0"/>
    <n v="0"/>
    <n v="1"/>
    <n v="0"/>
    <n v="0"/>
  </r>
  <r>
    <x v="64"/>
    <s v="Asia Pacific"/>
    <x v="3"/>
    <n v="0"/>
    <n v="0"/>
    <n v="1"/>
    <n v="0"/>
    <n v="0"/>
  </r>
  <r>
    <x v="65"/>
    <s v="Global"/>
    <x v="2"/>
    <n v="0"/>
    <n v="0"/>
    <n v="0"/>
    <n v="1"/>
    <n v="0"/>
  </r>
  <r>
    <x v="66"/>
    <s v="Asia Pacific"/>
    <x v="3"/>
    <n v="0"/>
    <n v="0"/>
    <n v="1"/>
    <n v="0"/>
    <n v="0"/>
  </r>
  <r>
    <x v="67"/>
    <s v="Asia Pacific"/>
    <x v="0"/>
    <n v="1"/>
    <n v="0"/>
    <n v="0"/>
    <n v="0"/>
    <n v="0"/>
  </r>
  <r>
    <x v="68"/>
    <s v="Global"/>
    <x v="2"/>
    <n v="1"/>
    <n v="0"/>
    <n v="0"/>
    <n v="0"/>
    <n v="0"/>
  </r>
  <r>
    <x v="69"/>
    <s v="North America"/>
    <x v="1"/>
    <n v="0"/>
    <n v="1"/>
    <n v="0"/>
    <n v="0"/>
    <n v="0"/>
  </r>
  <r>
    <x v="70"/>
    <s v="North America"/>
    <x v="2"/>
    <n v="0"/>
    <n v="0"/>
    <n v="0"/>
    <n v="1"/>
    <n v="0"/>
  </r>
  <r>
    <x v="71"/>
    <s v="Global"/>
    <x v="2"/>
    <n v="0"/>
    <n v="1"/>
    <n v="0"/>
    <n v="0"/>
    <n v="0"/>
  </r>
  <r>
    <x v="72"/>
    <s v="Asia Pacific"/>
    <x v="3"/>
    <n v="0"/>
    <n v="1"/>
    <n v="0"/>
    <n v="0"/>
    <n v="0"/>
  </r>
  <r>
    <x v="73"/>
    <s v="Global"/>
    <x v="2"/>
    <n v="0"/>
    <n v="1"/>
    <n v="0"/>
    <n v="0"/>
    <n v="0"/>
  </r>
  <r>
    <x v="74"/>
    <s v="Europe"/>
    <x v="0"/>
    <n v="1"/>
    <n v="0"/>
    <n v="0"/>
    <n v="0"/>
    <n v="0"/>
  </r>
  <r>
    <x v="75"/>
    <s v="Asia Pacific"/>
    <x v="2"/>
    <n v="0"/>
    <n v="0"/>
    <n v="0"/>
    <n v="0"/>
    <n v="1"/>
  </r>
  <r>
    <x v="76"/>
    <s v="Global"/>
    <x v="2"/>
    <n v="1"/>
    <n v="0"/>
    <n v="0"/>
    <n v="0"/>
    <n v="0"/>
  </r>
  <r>
    <x v="77"/>
    <s v="Middle East and Africa"/>
    <x v="2"/>
    <n v="1"/>
    <n v="0"/>
    <n v="0"/>
    <n v="0"/>
    <n v="0"/>
  </r>
  <r>
    <x v="78"/>
    <s v="Global"/>
    <x v="2"/>
    <n v="0"/>
    <n v="0"/>
    <n v="0"/>
    <n v="1"/>
    <n v="0"/>
  </r>
  <r>
    <x v="79"/>
    <s v="Europe"/>
    <x v="3"/>
    <n v="0"/>
    <n v="0"/>
    <n v="1"/>
    <n v="0"/>
    <n v="0"/>
  </r>
  <r>
    <x v="80"/>
    <s v="Global"/>
    <x v="2"/>
    <n v="0"/>
    <n v="0"/>
    <n v="0"/>
    <n v="1"/>
    <n v="0"/>
  </r>
  <r>
    <x v="81"/>
    <s v="Middle East and Africa"/>
    <x v="1"/>
    <n v="1"/>
    <n v="0"/>
    <n v="0"/>
    <n v="0"/>
    <n v="0"/>
  </r>
  <r>
    <x v="82"/>
    <s v="South America"/>
    <x v="1"/>
    <n v="0"/>
    <n v="0"/>
    <n v="0"/>
    <n v="0"/>
    <n v="1"/>
  </r>
  <r>
    <x v="83"/>
    <s v="Middle East and Africa"/>
    <x v="2"/>
    <n v="0"/>
    <n v="0"/>
    <n v="0"/>
    <n v="0"/>
    <n v="1"/>
  </r>
  <r>
    <x v="84"/>
    <s v="Middle East and Africa"/>
    <x v="0"/>
    <n v="1"/>
    <n v="0"/>
    <n v="0"/>
    <n v="0"/>
    <n v="0"/>
  </r>
  <r>
    <x v="85"/>
    <s v="Middle East and Africa"/>
    <x v="0"/>
    <n v="1"/>
    <n v="0"/>
    <n v="0"/>
    <n v="0"/>
    <n v="0"/>
  </r>
  <r>
    <x v="86"/>
    <s v="Europe"/>
    <x v="2"/>
    <n v="0"/>
    <n v="0"/>
    <n v="0"/>
    <n v="1"/>
    <n v="0"/>
  </r>
  <r>
    <x v="87"/>
    <s v="Middle East and Africa"/>
    <x v="0"/>
    <n v="1"/>
    <n v="0"/>
    <n v="0"/>
    <n v="0"/>
    <n v="0"/>
  </r>
  <r>
    <x v="88"/>
    <s v="Asia Pacific"/>
    <x v="3"/>
    <n v="0"/>
    <n v="0"/>
    <n v="0"/>
    <n v="1"/>
    <n v="0"/>
  </r>
  <r>
    <x v="89"/>
    <s v="North America"/>
    <x v="7"/>
    <n v="0"/>
    <n v="0"/>
    <n v="0"/>
    <n v="1"/>
    <n v="0"/>
  </r>
  <r>
    <x v="90"/>
    <s v="Europe"/>
    <x v="0"/>
    <n v="0"/>
    <n v="1"/>
    <n v="0"/>
    <n v="0"/>
    <n v="0"/>
  </r>
  <r>
    <x v="91"/>
    <s v="Europe"/>
    <x v="1"/>
    <n v="1"/>
    <n v="0"/>
    <n v="0"/>
    <n v="0"/>
    <n v="0"/>
  </r>
  <r>
    <x v="92"/>
    <s v="Europe"/>
    <x v="7"/>
    <n v="0"/>
    <n v="0"/>
    <n v="0"/>
    <n v="0"/>
    <n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0"/>
    <n v="0"/>
    <n v="1"/>
    <n v="0"/>
  </r>
  <r>
    <x v="1"/>
    <s v="Middle East and Africa"/>
    <x v="1"/>
    <n v="0"/>
    <n v="0"/>
    <n v="0"/>
    <n v="0"/>
    <n v="1"/>
  </r>
  <r>
    <x v="2"/>
    <s v="Europe"/>
    <x v="2"/>
    <n v="0"/>
    <n v="1"/>
    <n v="0"/>
    <n v="0"/>
    <n v="0"/>
  </r>
  <r>
    <x v="3"/>
    <s v="Middle East and Africa"/>
    <x v="1"/>
    <n v="0"/>
    <n v="0"/>
    <n v="0"/>
    <n v="0"/>
    <n v="1"/>
  </r>
  <r>
    <x v="4"/>
    <s v="Europe"/>
    <x v="1"/>
    <n v="0"/>
    <n v="1"/>
    <n v="0"/>
    <n v="0"/>
    <n v="0"/>
  </r>
  <r>
    <x v="5"/>
    <s v="North America"/>
    <x v="3"/>
    <n v="0"/>
    <n v="1"/>
    <n v="0"/>
    <n v="0"/>
    <n v="0"/>
  </r>
  <r>
    <x v="6"/>
    <s v="Europe"/>
    <x v="0"/>
    <n v="0"/>
    <n v="0"/>
    <n v="0"/>
    <n v="0"/>
    <n v="1"/>
  </r>
  <r>
    <x v="7"/>
    <s v="Asia Pacific"/>
    <x v="1"/>
    <n v="0"/>
    <n v="0"/>
    <n v="0"/>
    <n v="0"/>
    <n v="1"/>
  </r>
  <r>
    <x v="8"/>
    <s v="Asia Pacific"/>
    <x v="3"/>
    <n v="0"/>
    <n v="0"/>
    <n v="0"/>
    <n v="0"/>
    <n v="1"/>
  </r>
  <r>
    <x v="9"/>
    <s v="Asia Pacific"/>
    <x v="3"/>
    <n v="1"/>
    <n v="0"/>
    <n v="0"/>
    <n v="0"/>
    <n v="0"/>
  </r>
  <r>
    <x v="10"/>
    <s v="Europe"/>
    <x v="3"/>
    <n v="0"/>
    <n v="0"/>
    <n v="0"/>
    <n v="1"/>
    <n v="0"/>
  </r>
  <r>
    <x v="11"/>
    <s v="Global"/>
    <x v="2"/>
    <n v="0"/>
    <n v="0"/>
    <n v="0"/>
    <n v="1"/>
    <n v="0"/>
  </r>
  <r>
    <x v="12"/>
    <s v="Global"/>
    <x v="2"/>
    <n v="0"/>
    <n v="0"/>
    <n v="1"/>
    <n v="0"/>
    <n v="0"/>
  </r>
  <r>
    <x v="13"/>
    <s v="Europe"/>
    <x v="0"/>
    <n v="0"/>
    <n v="0"/>
    <n v="0"/>
    <n v="1"/>
    <n v="0"/>
  </r>
  <r>
    <x v="14"/>
    <s v="Europe"/>
    <x v="0"/>
    <n v="0"/>
    <n v="1"/>
    <n v="0"/>
    <n v="0"/>
    <n v="0"/>
  </r>
  <r>
    <x v="15"/>
    <s v="South America"/>
    <x v="3"/>
    <n v="1"/>
    <n v="0"/>
    <n v="0"/>
    <n v="0"/>
    <n v="0"/>
  </r>
  <r>
    <x v="16"/>
    <s v="North America"/>
    <x v="0"/>
    <n v="1"/>
    <n v="0"/>
    <n v="0"/>
    <n v="0"/>
    <n v="0"/>
  </r>
  <r>
    <x v="17"/>
    <s v="North America"/>
    <x v="3"/>
    <n v="1"/>
    <n v="0"/>
    <n v="0"/>
    <n v="0"/>
    <n v="0"/>
  </r>
  <r>
    <x v="18"/>
    <s v="North America"/>
    <x v="4"/>
    <n v="0"/>
    <n v="0"/>
    <n v="0"/>
    <n v="0"/>
    <n v="1"/>
  </r>
  <r>
    <x v="19"/>
    <s v="South America"/>
    <x v="0"/>
    <n v="1"/>
    <n v="0"/>
    <n v="0"/>
    <n v="0"/>
    <n v="0"/>
  </r>
  <r>
    <x v="20"/>
    <s v="Middle East and Africa"/>
    <x v="1"/>
    <n v="0"/>
    <n v="1"/>
    <n v="0"/>
    <n v="0"/>
    <n v="0"/>
  </r>
  <r>
    <x v="21"/>
    <s v="Global"/>
    <x v="0"/>
    <n v="0"/>
    <n v="1"/>
    <n v="0"/>
    <n v="0"/>
    <n v="0"/>
  </r>
  <r>
    <x v="22"/>
    <s v="Europe"/>
    <x v="3"/>
    <n v="0"/>
    <n v="1"/>
    <n v="0"/>
    <n v="0"/>
    <n v="0"/>
  </r>
  <r>
    <x v="23"/>
    <s v="Europe"/>
    <x v="4"/>
    <n v="0"/>
    <n v="0"/>
    <n v="0"/>
    <n v="0"/>
    <n v="1"/>
  </r>
  <r>
    <x v="24"/>
    <s v="Europe"/>
    <x v="0"/>
    <n v="0"/>
    <n v="1"/>
    <n v="0"/>
    <n v="0"/>
    <n v="0"/>
  </r>
  <r>
    <x v="25"/>
    <s v="Asia Pacific"/>
    <x v="0"/>
    <n v="1"/>
    <n v="0"/>
    <n v="0"/>
    <n v="0"/>
    <n v="0"/>
  </r>
  <r>
    <x v="26"/>
    <s v="Europe"/>
    <x v="0"/>
    <n v="0"/>
    <n v="0"/>
    <n v="1"/>
    <n v="0"/>
    <n v="0"/>
  </r>
  <r>
    <x v="27"/>
    <s v="South America"/>
    <x v="1"/>
    <n v="1"/>
    <n v="0"/>
    <n v="0"/>
    <n v="0"/>
    <n v="0"/>
  </r>
  <r>
    <x v="28"/>
    <s v="Global"/>
    <x v="2"/>
    <n v="1"/>
    <n v="0"/>
    <n v="0"/>
    <n v="0"/>
    <n v="0"/>
  </r>
  <r>
    <x v="29"/>
    <s v="Europe"/>
    <x v="4"/>
    <n v="0"/>
    <n v="0"/>
    <n v="0"/>
    <n v="0"/>
    <n v="1"/>
  </r>
  <r>
    <x v="30"/>
    <s v="Middle East and Africa"/>
    <x v="2"/>
    <n v="1"/>
    <n v="0"/>
    <n v="0"/>
    <n v="0"/>
    <n v="0"/>
  </r>
  <r>
    <x v="31"/>
    <s v="Global"/>
    <x v="2"/>
    <n v="0"/>
    <n v="1"/>
    <n v="0"/>
    <n v="0"/>
    <n v="0"/>
  </r>
  <r>
    <x v="32"/>
    <s v="Europe"/>
    <x v="2"/>
    <n v="1"/>
    <n v="0"/>
    <n v="0"/>
    <n v="0"/>
    <n v="0"/>
  </r>
  <r>
    <x v="33"/>
    <s v="Global"/>
    <x v="2"/>
    <n v="0"/>
    <n v="1"/>
    <n v="0"/>
    <n v="0"/>
    <n v="0"/>
  </r>
  <r>
    <x v="34"/>
    <s v="Europe"/>
    <x v="0"/>
    <n v="0"/>
    <n v="1"/>
    <n v="0"/>
    <n v="0"/>
    <n v="0"/>
  </r>
  <r>
    <x v="35"/>
    <s v="Europe"/>
    <x v="0"/>
    <n v="0"/>
    <n v="0"/>
    <n v="0"/>
    <n v="0"/>
    <n v="1"/>
  </r>
  <r>
    <x v="36"/>
    <s v="South America"/>
    <x v="0"/>
    <n v="0"/>
    <n v="1"/>
    <n v="0"/>
    <n v="0"/>
    <n v="0"/>
  </r>
  <r>
    <x v="37"/>
    <s v="South America"/>
    <x v="1"/>
    <n v="0"/>
    <n v="1"/>
    <n v="0"/>
    <n v="0"/>
    <n v="0"/>
  </r>
  <r>
    <x v="38"/>
    <s v="Asia Pacific"/>
    <x v="1"/>
    <n v="0"/>
    <n v="0"/>
    <n v="0"/>
    <n v="0"/>
    <n v="1"/>
  </r>
  <r>
    <x v="39"/>
    <s v="Europe"/>
    <x v="2"/>
    <n v="0"/>
    <n v="1"/>
    <n v="0"/>
    <n v="0"/>
    <n v="0"/>
  </r>
  <r>
    <x v="40"/>
    <s v="Global"/>
    <x v="2"/>
    <n v="0"/>
    <n v="1"/>
    <n v="0"/>
    <n v="0"/>
    <n v="0"/>
  </r>
  <r>
    <x v="41"/>
    <s v="Global"/>
    <x v="2"/>
    <n v="0"/>
    <n v="0"/>
    <n v="0"/>
    <n v="1"/>
    <n v="0"/>
  </r>
  <r>
    <x v="42"/>
    <s v="Asia Pacific"/>
    <x v="3"/>
    <n v="1"/>
    <n v="0"/>
    <n v="0"/>
    <n v="0"/>
    <n v="0"/>
  </r>
  <r>
    <x v="43"/>
    <s v="North America"/>
    <x v="5"/>
    <n v="0"/>
    <n v="0"/>
    <n v="0"/>
    <n v="0"/>
    <n v="1"/>
  </r>
  <r>
    <x v="44"/>
    <s v="Europe"/>
    <x v="2"/>
    <n v="0"/>
    <n v="0"/>
    <n v="1"/>
    <n v="0"/>
    <n v="0"/>
  </r>
  <r>
    <x v="45"/>
    <s v="Global"/>
    <x v="0"/>
    <n v="0"/>
    <n v="0"/>
    <n v="0"/>
    <n v="0"/>
    <n v="1"/>
  </r>
  <r>
    <x v="46"/>
    <s v="Global"/>
    <x v="0"/>
    <n v="0"/>
    <n v="0"/>
    <n v="1"/>
    <n v="0"/>
    <n v="0"/>
  </r>
  <r>
    <x v="47"/>
    <s v="Global"/>
    <x v="6"/>
    <n v="0"/>
    <n v="0"/>
    <n v="0"/>
    <n v="0"/>
    <n v="1"/>
  </r>
  <r>
    <x v="48"/>
    <s v="Middle East and Africa"/>
    <x v="4"/>
    <n v="0"/>
    <n v="0"/>
    <n v="0"/>
    <n v="0"/>
    <n v="1"/>
  </r>
  <r>
    <x v="49"/>
    <s v="Europe"/>
    <x v="3"/>
    <n v="0"/>
    <n v="0"/>
    <n v="0"/>
    <n v="1"/>
    <n v="0"/>
  </r>
  <r>
    <x v="50"/>
    <s v="Middle East and Africa"/>
    <x v="0"/>
    <n v="0"/>
    <n v="1"/>
    <n v="0"/>
    <n v="0"/>
    <n v="0"/>
  </r>
  <r>
    <x v="51"/>
    <s v="Europe"/>
    <x v="0"/>
    <n v="0"/>
    <n v="0"/>
    <n v="1"/>
    <n v="0"/>
    <n v="0"/>
  </r>
  <r>
    <x v="52"/>
    <s v="Middle East and Africa"/>
    <x v="0"/>
    <n v="0"/>
    <n v="1"/>
    <n v="0"/>
    <n v="0"/>
    <n v="0"/>
  </r>
  <r>
    <x v="53"/>
    <s v="Asia Pacific"/>
    <x v="0"/>
    <n v="0"/>
    <n v="0"/>
    <n v="1"/>
    <n v="0"/>
    <n v="0"/>
  </r>
  <r>
    <x v="54"/>
    <s v="Europe"/>
    <x v="0"/>
    <n v="0"/>
    <n v="0"/>
    <n v="0"/>
    <n v="1"/>
    <n v="0"/>
  </r>
  <r>
    <x v="55"/>
    <s v="Asia Pacific"/>
    <x v="0"/>
    <n v="0"/>
    <n v="1"/>
    <n v="0"/>
    <n v="0"/>
    <n v="0"/>
  </r>
  <r>
    <x v="56"/>
    <s v="South America"/>
    <x v="0"/>
    <n v="1"/>
    <n v="0"/>
    <n v="0"/>
    <n v="0"/>
    <n v="0"/>
  </r>
  <r>
    <x v="57"/>
    <s v="Asia Pacific"/>
    <x v="0"/>
    <n v="0"/>
    <n v="0"/>
    <n v="1"/>
    <n v="0"/>
    <n v="0"/>
  </r>
  <r>
    <x v="58"/>
    <s v="Asia Pacific"/>
    <x v="0"/>
    <n v="0"/>
    <n v="1"/>
    <n v="0"/>
    <n v="0"/>
    <n v="0"/>
  </r>
  <r>
    <x v="59"/>
    <s v="Europe"/>
    <x v="0"/>
    <n v="0"/>
    <n v="0"/>
    <n v="0"/>
    <n v="1"/>
    <n v="0"/>
  </r>
  <r>
    <x v="60"/>
    <s v="South America"/>
    <x v="0"/>
    <n v="0"/>
    <n v="0"/>
    <n v="0"/>
    <n v="0"/>
    <n v="1"/>
  </r>
  <r>
    <x v="61"/>
    <s v="South America"/>
    <x v="0"/>
    <n v="0"/>
    <n v="1"/>
    <n v="0"/>
    <n v="0"/>
    <n v="0"/>
  </r>
  <r>
    <x v="62"/>
    <s v="South America"/>
    <x v="0"/>
    <n v="1"/>
    <n v="0"/>
    <n v="0"/>
    <n v="0"/>
    <n v="0"/>
  </r>
  <r>
    <x v="63"/>
    <s v="Europe"/>
    <x v="4"/>
    <n v="0"/>
    <n v="0"/>
    <n v="0"/>
    <n v="0"/>
    <n v="1"/>
  </r>
  <r>
    <x v="64"/>
    <s v="Asia Pacific"/>
    <x v="3"/>
    <n v="0"/>
    <n v="0"/>
    <n v="1"/>
    <n v="0"/>
    <n v="0"/>
  </r>
  <r>
    <x v="65"/>
    <s v="Global"/>
    <x v="2"/>
    <n v="0"/>
    <n v="1"/>
    <n v="0"/>
    <n v="0"/>
    <n v="0"/>
  </r>
  <r>
    <x v="66"/>
    <s v="Asia Pacific"/>
    <x v="3"/>
    <n v="0"/>
    <n v="1"/>
    <n v="0"/>
    <n v="0"/>
    <n v="0"/>
  </r>
  <r>
    <x v="67"/>
    <s v="Asia Pacific"/>
    <x v="0"/>
    <n v="0"/>
    <n v="0"/>
    <n v="0"/>
    <n v="0"/>
    <n v="1"/>
  </r>
  <r>
    <x v="68"/>
    <s v="Global"/>
    <x v="2"/>
    <n v="0"/>
    <n v="0"/>
    <n v="1"/>
    <n v="0"/>
    <n v="0"/>
  </r>
  <r>
    <x v="69"/>
    <s v="North America"/>
    <x v="1"/>
    <n v="0"/>
    <n v="0"/>
    <n v="0"/>
    <n v="0"/>
    <n v="1"/>
  </r>
  <r>
    <x v="70"/>
    <s v="North America"/>
    <x v="2"/>
    <n v="0"/>
    <n v="0"/>
    <n v="1"/>
    <n v="0"/>
    <n v="0"/>
  </r>
  <r>
    <x v="71"/>
    <s v="Global"/>
    <x v="2"/>
    <n v="0"/>
    <n v="0"/>
    <n v="1"/>
    <n v="0"/>
    <n v="0"/>
  </r>
  <r>
    <x v="72"/>
    <s v="Asia Pacific"/>
    <x v="3"/>
    <n v="0"/>
    <n v="0"/>
    <n v="1"/>
    <n v="0"/>
    <n v="0"/>
  </r>
  <r>
    <x v="73"/>
    <s v="Global"/>
    <x v="2"/>
    <n v="0"/>
    <n v="0"/>
    <n v="0"/>
    <n v="0"/>
    <n v="1"/>
  </r>
  <r>
    <x v="74"/>
    <s v="Europe"/>
    <x v="0"/>
    <n v="0"/>
    <n v="0"/>
    <n v="0"/>
    <n v="1"/>
    <n v="0"/>
  </r>
  <r>
    <x v="75"/>
    <s v="Asia Pacific"/>
    <x v="2"/>
    <n v="0"/>
    <n v="0"/>
    <n v="0"/>
    <n v="0"/>
    <n v="1"/>
  </r>
  <r>
    <x v="76"/>
    <s v="Global"/>
    <x v="2"/>
    <n v="0"/>
    <n v="1"/>
    <n v="0"/>
    <n v="0"/>
    <n v="0"/>
  </r>
  <r>
    <x v="77"/>
    <s v="Middle East and Africa"/>
    <x v="2"/>
    <n v="0"/>
    <n v="0"/>
    <n v="1"/>
    <n v="0"/>
    <n v="0"/>
  </r>
  <r>
    <x v="78"/>
    <s v="Global"/>
    <x v="2"/>
    <n v="0"/>
    <n v="1"/>
    <n v="0"/>
    <n v="0"/>
    <n v="0"/>
  </r>
  <r>
    <x v="79"/>
    <s v="Europe"/>
    <x v="3"/>
    <n v="0"/>
    <n v="0"/>
    <n v="1"/>
    <n v="0"/>
    <n v="0"/>
  </r>
  <r>
    <x v="80"/>
    <s v="Global"/>
    <x v="2"/>
    <n v="0"/>
    <n v="0"/>
    <n v="0"/>
    <n v="1"/>
    <n v="0"/>
  </r>
  <r>
    <x v="81"/>
    <s v="Middle East and Africa"/>
    <x v="1"/>
    <n v="0"/>
    <n v="0"/>
    <n v="0"/>
    <n v="0"/>
    <n v="1"/>
  </r>
  <r>
    <x v="82"/>
    <s v="South America"/>
    <x v="1"/>
    <n v="0"/>
    <n v="0"/>
    <n v="0"/>
    <n v="0"/>
    <n v="1"/>
  </r>
  <r>
    <x v="83"/>
    <s v="Middle East and Africa"/>
    <x v="2"/>
    <n v="1"/>
    <n v="0"/>
    <n v="0"/>
    <n v="0"/>
    <n v="0"/>
  </r>
  <r>
    <x v="84"/>
    <s v="Middle East and Africa"/>
    <x v="0"/>
    <n v="0"/>
    <n v="0"/>
    <n v="1"/>
    <n v="0"/>
    <n v="0"/>
  </r>
  <r>
    <x v="85"/>
    <s v="Middle East and Africa"/>
    <x v="0"/>
    <n v="0"/>
    <n v="0"/>
    <n v="1"/>
    <n v="0"/>
    <n v="0"/>
  </r>
  <r>
    <x v="86"/>
    <s v="Europe"/>
    <x v="2"/>
    <n v="0"/>
    <n v="0"/>
    <n v="0"/>
    <n v="0"/>
    <n v="1"/>
  </r>
  <r>
    <x v="87"/>
    <s v="Middle East and Africa"/>
    <x v="0"/>
    <n v="0"/>
    <n v="1"/>
    <n v="0"/>
    <n v="0"/>
    <n v="0"/>
  </r>
  <r>
    <x v="88"/>
    <s v="Asia Pacific"/>
    <x v="3"/>
    <n v="0"/>
    <n v="0"/>
    <n v="1"/>
    <n v="0"/>
    <n v="0"/>
  </r>
  <r>
    <x v="89"/>
    <s v="North America"/>
    <x v="7"/>
    <n v="0"/>
    <n v="0"/>
    <n v="0"/>
    <n v="1"/>
    <n v="0"/>
  </r>
  <r>
    <x v="90"/>
    <s v="Europe"/>
    <x v="0"/>
    <n v="1"/>
    <n v="0"/>
    <n v="0"/>
    <n v="0"/>
    <n v="0"/>
  </r>
  <r>
    <x v="91"/>
    <s v="Europe"/>
    <x v="1"/>
    <n v="0"/>
    <n v="0"/>
    <n v="0"/>
    <n v="1"/>
    <n v="0"/>
  </r>
  <r>
    <x v="92"/>
    <s v="Europe"/>
    <x v="7"/>
    <n v="0"/>
    <n v="0"/>
    <n v="0"/>
    <n v="0"/>
    <n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0"/>
    <n v="0"/>
    <n v="1"/>
    <n v="0"/>
    <n v="0"/>
  </r>
  <r>
    <x v="1"/>
    <s v="Middle East and Africa"/>
    <x v="1"/>
    <n v="0"/>
    <n v="0"/>
    <n v="0"/>
    <n v="0"/>
    <n v="0"/>
    <n v="1"/>
  </r>
  <r>
    <x v="2"/>
    <s v="Europe"/>
    <x v="2"/>
    <n v="1"/>
    <n v="0"/>
    <n v="0"/>
    <n v="0"/>
    <n v="0"/>
    <n v="0"/>
  </r>
  <r>
    <x v="3"/>
    <s v="Middle East and Africa"/>
    <x v="1"/>
    <n v="0"/>
    <n v="0"/>
    <n v="1"/>
    <n v="0"/>
    <n v="0"/>
    <n v="0"/>
  </r>
  <r>
    <x v="4"/>
    <s v="Europe"/>
    <x v="1"/>
    <n v="1"/>
    <n v="0"/>
    <n v="0"/>
    <n v="0"/>
    <n v="0"/>
    <n v="0"/>
  </r>
  <r>
    <x v="5"/>
    <s v="North America"/>
    <x v="3"/>
    <n v="0"/>
    <n v="0"/>
    <n v="0"/>
    <n v="0"/>
    <n v="1"/>
    <n v="0"/>
  </r>
  <r>
    <x v="6"/>
    <s v="Europe"/>
    <x v="0"/>
    <n v="0"/>
    <n v="0"/>
    <n v="0"/>
    <n v="0"/>
    <n v="0"/>
    <n v="1"/>
  </r>
  <r>
    <x v="7"/>
    <s v="Asia Pacific"/>
    <x v="1"/>
    <n v="0"/>
    <n v="0"/>
    <n v="0"/>
    <n v="0"/>
    <n v="0"/>
    <n v="1"/>
  </r>
  <r>
    <x v="8"/>
    <s v="Asia Pacific"/>
    <x v="3"/>
    <n v="0"/>
    <n v="0"/>
    <n v="0"/>
    <n v="0"/>
    <n v="0"/>
    <n v="1"/>
  </r>
  <r>
    <x v="9"/>
    <s v="Asia Pacific"/>
    <x v="3"/>
    <n v="0"/>
    <n v="0"/>
    <n v="1"/>
    <n v="0"/>
    <n v="0"/>
    <n v="0"/>
  </r>
  <r>
    <x v="10"/>
    <s v="Europe"/>
    <x v="3"/>
    <n v="1"/>
    <n v="0"/>
    <n v="0"/>
    <n v="0"/>
    <n v="0"/>
    <n v="0"/>
  </r>
  <r>
    <x v="11"/>
    <s v="Global"/>
    <x v="2"/>
    <n v="0"/>
    <n v="0"/>
    <n v="0"/>
    <n v="0"/>
    <n v="1"/>
    <n v="0"/>
  </r>
  <r>
    <x v="12"/>
    <s v="Global"/>
    <x v="2"/>
    <n v="0"/>
    <n v="0"/>
    <n v="0"/>
    <n v="0"/>
    <n v="1"/>
    <n v="0"/>
  </r>
  <r>
    <x v="13"/>
    <s v="Europe"/>
    <x v="0"/>
    <n v="0"/>
    <n v="0"/>
    <n v="0"/>
    <n v="1"/>
    <n v="0"/>
    <n v="0"/>
  </r>
  <r>
    <x v="14"/>
    <s v="Europe"/>
    <x v="0"/>
    <n v="0"/>
    <n v="0"/>
    <n v="0"/>
    <n v="1"/>
    <n v="0"/>
    <n v="0"/>
  </r>
  <r>
    <x v="15"/>
    <s v="South America"/>
    <x v="3"/>
    <n v="0"/>
    <n v="0"/>
    <n v="1"/>
    <n v="0"/>
    <n v="0"/>
    <n v="0"/>
  </r>
  <r>
    <x v="16"/>
    <s v="North America"/>
    <x v="0"/>
    <n v="0"/>
    <n v="0"/>
    <n v="1"/>
    <n v="0"/>
    <n v="0"/>
    <n v="0"/>
  </r>
  <r>
    <x v="17"/>
    <s v="North America"/>
    <x v="3"/>
    <n v="0"/>
    <n v="0"/>
    <n v="0"/>
    <n v="1"/>
    <n v="0"/>
    <n v="0"/>
  </r>
  <r>
    <x v="18"/>
    <s v="North America"/>
    <x v="4"/>
    <n v="0"/>
    <n v="0"/>
    <n v="0"/>
    <n v="0"/>
    <n v="0"/>
    <n v="1"/>
  </r>
  <r>
    <x v="19"/>
    <s v="South America"/>
    <x v="0"/>
    <n v="0"/>
    <n v="0"/>
    <n v="0"/>
    <n v="0"/>
    <n v="1"/>
    <n v="0"/>
  </r>
  <r>
    <x v="20"/>
    <s v="Middle East and Africa"/>
    <x v="1"/>
    <n v="0"/>
    <n v="0"/>
    <n v="0"/>
    <n v="0"/>
    <n v="0"/>
    <n v="1"/>
  </r>
  <r>
    <x v="21"/>
    <s v="Global"/>
    <x v="0"/>
    <n v="0"/>
    <n v="0"/>
    <n v="1"/>
    <n v="0"/>
    <n v="0"/>
    <n v="0"/>
  </r>
  <r>
    <x v="22"/>
    <s v="Europe"/>
    <x v="3"/>
    <n v="0"/>
    <n v="0"/>
    <n v="0"/>
    <n v="1"/>
    <n v="0"/>
    <n v="0"/>
  </r>
  <r>
    <x v="23"/>
    <s v="Europe"/>
    <x v="4"/>
    <n v="0"/>
    <n v="0"/>
    <n v="0"/>
    <n v="0"/>
    <n v="0"/>
    <n v="1"/>
  </r>
  <r>
    <x v="24"/>
    <s v="Europe"/>
    <x v="0"/>
    <n v="0"/>
    <n v="0"/>
    <n v="0"/>
    <n v="0"/>
    <n v="0"/>
    <n v="1"/>
  </r>
  <r>
    <x v="25"/>
    <s v="Asia Pacific"/>
    <x v="0"/>
    <n v="0"/>
    <n v="0"/>
    <n v="0"/>
    <n v="1"/>
    <n v="0"/>
    <n v="0"/>
  </r>
  <r>
    <x v="26"/>
    <s v="Europe"/>
    <x v="0"/>
    <n v="0"/>
    <n v="0"/>
    <n v="0"/>
    <n v="0"/>
    <n v="0"/>
    <n v="1"/>
  </r>
  <r>
    <x v="27"/>
    <s v="South America"/>
    <x v="1"/>
    <n v="0"/>
    <n v="0"/>
    <n v="1"/>
    <n v="0"/>
    <n v="0"/>
    <n v="0"/>
  </r>
  <r>
    <x v="28"/>
    <s v="Global"/>
    <x v="2"/>
    <n v="0"/>
    <n v="0"/>
    <n v="1"/>
    <n v="0"/>
    <n v="0"/>
    <n v="0"/>
  </r>
  <r>
    <x v="29"/>
    <s v="Europe"/>
    <x v="4"/>
    <n v="0"/>
    <n v="0"/>
    <n v="0"/>
    <n v="0"/>
    <n v="0"/>
    <n v="1"/>
  </r>
  <r>
    <x v="30"/>
    <s v="Middle East and Africa"/>
    <x v="2"/>
    <n v="0"/>
    <n v="0"/>
    <n v="1"/>
    <n v="0"/>
    <n v="0"/>
    <n v="0"/>
  </r>
  <r>
    <x v="31"/>
    <s v="Global"/>
    <x v="2"/>
    <n v="0"/>
    <n v="0"/>
    <n v="0"/>
    <n v="1"/>
    <n v="0"/>
    <n v="0"/>
  </r>
  <r>
    <x v="32"/>
    <s v="Europe"/>
    <x v="2"/>
    <n v="0"/>
    <n v="0"/>
    <n v="1"/>
    <n v="0"/>
    <n v="0"/>
    <n v="0"/>
  </r>
  <r>
    <x v="33"/>
    <s v="Global"/>
    <x v="2"/>
    <n v="0"/>
    <n v="0"/>
    <n v="0"/>
    <n v="1"/>
    <n v="0"/>
    <n v="0"/>
  </r>
  <r>
    <x v="34"/>
    <s v="Europe"/>
    <x v="0"/>
    <n v="0"/>
    <n v="1"/>
    <n v="0"/>
    <n v="0"/>
    <n v="0"/>
    <n v="0"/>
  </r>
  <r>
    <x v="35"/>
    <s v="Europe"/>
    <x v="0"/>
    <n v="0"/>
    <n v="1"/>
    <n v="0"/>
    <n v="0"/>
    <n v="0"/>
    <n v="0"/>
  </r>
  <r>
    <x v="36"/>
    <s v="South America"/>
    <x v="0"/>
    <n v="0"/>
    <n v="1"/>
    <n v="0"/>
    <n v="0"/>
    <n v="0"/>
    <n v="0"/>
  </r>
  <r>
    <x v="37"/>
    <s v="South America"/>
    <x v="1"/>
    <n v="0"/>
    <n v="0"/>
    <n v="0"/>
    <n v="1"/>
    <n v="0"/>
    <n v="0"/>
  </r>
  <r>
    <x v="38"/>
    <s v="Asia Pacific"/>
    <x v="1"/>
    <n v="0"/>
    <n v="0"/>
    <n v="0"/>
    <n v="0"/>
    <n v="0"/>
    <n v="1"/>
  </r>
  <r>
    <x v="39"/>
    <s v="Europe"/>
    <x v="2"/>
    <n v="0"/>
    <n v="1"/>
    <n v="0"/>
    <n v="0"/>
    <n v="0"/>
    <n v="0"/>
  </r>
  <r>
    <x v="40"/>
    <s v="Global"/>
    <x v="2"/>
    <n v="0"/>
    <n v="0"/>
    <n v="1"/>
    <n v="0"/>
    <n v="0"/>
    <n v="0"/>
  </r>
  <r>
    <x v="41"/>
    <s v="Global"/>
    <x v="2"/>
    <n v="0"/>
    <n v="0"/>
    <n v="0"/>
    <n v="0"/>
    <n v="0"/>
    <n v="1"/>
  </r>
  <r>
    <x v="42"/>
    <s v="Asia Pacific"/>
    <x v="3"/>
    <n v="0"/>
    <n v="0"/>
    <n v="0"/>
    <n v="1"/>
    <n v="0"/>
    <n v="0"/>
  </r>
  <r>
    <x v="43"/>
    <s v="North America"/>
    <x v="5"/>
    <n v="0"/>
    <n v="1"/>
    <n v="0"/>
    <n v="0"/>
    <n v="0"/>
    <n v="0"/>
  </r>
  <r>
    <x v="44"/>
    <s v="Europe"/>
    <x v="2"/>
    <n v="1"/>
    <n v="0"/>
    <n v="0"/>
    <n v="0"/>
    <n v="0"/>
    <n v="0"/>
  </r>
  <r>
    <x v="45"/>
    <s v="Global"/>
    <x v="0"/>
    <n v="0"/>
    <n v="0"/>
    <n v="0"/>
    <n v="0"/>
    <n v="0"/>
    <n v="1"/>
  </r>
  <r>
    <x v="46"/>
    <s v="Global"/>
    <x v="0"/>
    <n v="0"/>
    <n v="0"/>
    <n v="0"/>
    <n v="0"/>
    <n v="0"/>
    <n v="1"/>
  </r>
  <r>
    <x v="47"/>
    <s v="Global"/>
    <x v="6"/>
    <n v="0"/>
    <n v="0"/>
    <n v="0"/>
    <n v="0"/>
    <n v="0"/>
    <n v="1"/>
  </r>
  <r>
    <x v="48"/>
    <s v="Middle East and Africa"/>
    <x v="4"/>
    <n v="0"/>
    <n v="0"/>
    <n v="0"/>
    <n v="0"/>
    <n v="0"/>
    <n v="1"/>
  </r>
  <r>
    <x v="49"/>
    <s v="Europe"/>
    <x v="3"/>
    <n v="0"/>
    <n v="1"/>
    <n v="0"/>
    <n v="0"/>
    <n v="0"/>
    <n v="0"/>
  </r>
  <r>
    <x v="50"/>
    <s v="Middle East and Africa"/>
    <x v="0"/>
    <n v="0"/>
    <n v="0"/>
    <n v="1"/>
    <n v="0"/>
    <n v="0"/>
    <n v="0"/>
  </r>
  <r>
    <x v="51"/>
    <s v="Europe"/>
    <x v="0"/>
    <n v="0"/>
    <n v="0"/>
    <n v="0"/>
    <n v="1"/>
    <n v="0"/>
    <n v="0"/>
  </r>
  <r>
    <x v="52"/>
    <s v="Middle East and Africa"/>
    <x v="0"/>
    <n v="1"/>
    <n v="0"/>
    <n v="0"/>
    <n v="0"/>
    <n v="0"/>
    <n v="0"/>
  </r>
  <r>
    <x v="53"/>
    <s v="Asia Pacific"/>
    <x v="0"/>
    <n v="0"/>
    <n v="1"/>
    <n v="0"/>
    <n v="0"/>
    <n v="0"/>
    <n v="0"/>
  </r>
  <r>
    <x v="54"/>
    <s v="Europe"/>
    <x v="0"/>
    <n v="0"/>
    <n v="0"/>
    <n v="0"/>
    <n v="1"/>
    <n v="0"/>
    <n v="0"/>
  </r>
  <r>
    <x v="55"/>
    <s v="Asia Pacific"/>
    <x v="0"/>
    <n v="0"/>
    <n v="1"/>
    <n v="0"/>
    <n v="0"/>
    <n v="0"/>
    <n v="0"/>
  </r>
  <r>
    <x v="56"/>
    <s v="South America"/>
    <x v="0"/>
    <n v="0"/>
    <n v="0"/>
    <n v="0"/>
    <n v="0"/>
    <n v="1"/>
    <n v="0"/>
  </r>
  <r>
    <x v="57"/>
    <s v="Asia Pacific"/>
    <x v="0"/>
    <n v="0"/>
    <n v="0"/>
    <n v="0"/>
    <n v="0"/>
    <n v="0"/>
    <n v="1"/>
  </r>
  <r>
    <x v="58"/>
    <s v="Asia Pacific"/>
    <x v="0"/>
    <n v="0"/>
    <n v="0"/>
    <n v="1"/>
    <n v="0"/>
    <n v="0"/>
    <n v="0"/>
  </r>
  <r>
    <x v="59"/>
    <s v="Europe"/>
    <x v="0"/>
    <n v="0"/>
    <n v="0"/>
    <n v="0"/>
    <n v="0"/>
    <n v="0"/>
    <n v="1"/>
  </r>
  <r>
    <x v="60"/>
    <s v="South America"/>
    <x v="0"/>
    <n v="0"/>
    <n v="0"/>
    <n v="0"/>
    <n v="1"/>
    <n v="0"/>
    <n v="0"/>
  </r>
  <r>
    <x v="61"/>
    <s v="South America"/>
    <x v="0"/>
    <n v="0"/>
    <n v="0"/>
    <n v="0"/>
    <n v="0"/>
    <n v="0"/>
    <n v="1"/>
  </r>
  <r>
    <x v="62"/>
    <s v="South America"/>
    <x v="0"/>
    <n v="0"/>
    <n v="0"/>
    <n v="1"/>
    <n v="0"/>
    <n v="0"/>
    <n v="0"/>
  </r>
  <r>
    <x v="63"/>
    <s v="Europe"/>
    <x v="4"/>
    <n v="0"/>
    <n v="0"/>
    <n v="0"/>
    <n v="0"/>
    <n v="0"/>
    <n v="1"/>
  </r>
  <r>
    <x v="64"/>
    <s v="Asia Pacific"/>
    <x v="3"/>
    <n v="0"/>
    <n v="0"/>
    <n v="0"/>
    <n v="0"/>
    <n v="0"/>
    <n v="1"/>
  </r>
  <r>
    <x v="65"/>
    <s v="Global"/>
    <x v="2"/>
    <n v="0"/>
    <n v="0"/>
    <n v="0"/>
    <n v="1"/>
    <n v="0"/>
    <n v="0"/>
  </r>
  <r>
    <x v="66"/>
    <s v="Asia Pacific"/>
    <x v="3"/>
    <n v="1"/>
    <n v="0"/>
    <n v="0"/>
    <n v="0"/>
    <n v="0"/>
    <n v="0"/>
  </r>
  <r>
    <x v="67"/>
    <s v="Asia Pacific"/>
    <x v="0"/>
    <n v="0"/>
    <n v="0"/>
    <n v="0"/>
    <n v="1"/>
    <n v="0"/>
    <n v="0"/>
  </r>
  <r>
    <x v="68"/>
    <s v="Global"/>
    <x v="2"/>
    <n v="0"/>
    <n v="1"/>
    <n v="0"/>
    <n v="0"/>
    <n v="0"/>
    <n v="0"/>
  </r>
  <r>
    <x v="69"/>
    <s v="North America"/>
    <x v="1"/>
    <n v="0"/>
    <n v="1"/>
    <n v="0"/>
    <n v="0"/>
    <n v="0"/>
    <n v="0"/>
  </r>
  <r>
    <x v="70"/>
    <s v="North America"/>
    <x v="2"/>
    <n v="1"/>
    <n v="0"/>
    <n v="0"/>
    <n v="0"/>
    <n v="0"/>
    <n v="0"/>
  </r>
  <r>
    <x v="71"/>
    <s v="Global"/>
    <x v="2"/>
    <n v="1"/>
    <n v="0"/>
    <n v="0"/>
    <n v="0"/>
    <n v="0"/>
    <n v="0"/>
  </r>
  <r>
    <x v="72"/>
    <s v="Asia Pacific"/>
    <x v="3"/>
    <n v="0"/>
    <n v="1"/>
    <n v="0"/>
    <n v="0"/>
    <n v="0"/>
    <n v="0"/>
  </r>
  <r>
    <x v="73"/>
    <s v="Global"/>
    <x v="2"/>
    <n v="0"/>
    <n v="0"/>
    <n v="0"/>
    <n v="0"/>
    <n v="0"/>
    <n v="1"/>
  </r>
  <r>
    <x v="74"/>
    <s v="Europe"/>
    <x v="0"/>
    <n v="0"/>
    <n v="1"/>
    <n v="0"/>
    <n v="0"/>
    <n v="0"/>
    <n v="0"/>
  </r>
  <r>
    <x v="75"/>
    <s v="Asia Pacific"/>
    <x v="2"/>
    <n v="1"/>
    <n v="0"/>
    <n v="0"/>
    <n v="0"/>
    <n v="0"/>
    <n v="0"/>
  </r>
  <r>
    <x v="76"/>
    <s v="Global"/>
    <x v="2"/>
    <n v="0"/>
    <n v="1"/>
    <n v="0"/>
    <n v="0"/>
    <n v="0"/>
    <n v="0"/>
  </r>
  <r>
    <x v="77"/>
    <s v="Middle East and Africa"/>
    <x v="2"/>
    <n v="0"/>
    <n v="1"/>
    <n v="0"/>
    <n v="0"/>
    <n v="0"/>
    <n v="0"/>
  </r>
  <r>
    <x v="78"/>
    <s v="Global"/>
    <x v="2"/>
    <n v="0"/>
    <n v="0"/>
    <n v="0"/>
    <n v="1"/>
    <n v="0"/>
    <n v="0"/>
  </r>
  <r>
    <x v="79"/>
    <s v="Europe"/>
    <x v="3"/>
    <n v="0"/>
    <n v="0"/>
    <n v="0"/>
    <n v="0"/>
    <n v="0"/>
    <n v="1"/>
  </r>
  <r>
    <x v="80"/>
    <s v="Global"/>
    <x v="2"/>
    <n v="0"/>
    <n v="0"/>
    <n v="0"/>
    <n v="1"/>
    <n v="0"/>
    <n v="0"/>
  </r>
  <r>
    <x v="81"/>
    <s v="Middle East and Africa"/>
    <x v="1"/>
    <n v="0"/>
    <n v="0"/>
    <n v="0"/>
    <n v="0"/>
    <n v="0"/>
    <n v="1"/>
  </r>
  <r>
    <x v="82"/>
    <s v="South America"/>
    <x v="1"/>
    <n v="0"/>
    <n v="0"/>
    <n v="0"/>
    <n v="0"/>
    <n v="0"/>
    <n v="1"/>
  </r>
  <r>
    <x v="83"/>
    <s v="Middle East and Africa"/>
    <x v="2"/>
    <n v="0"/>
    <n v="0"/>
    <n v="1"/>
    <n v="0"/>
    <n v="0"/>
    <n v="0"/>
  </r>
  <r>
    <x v="84"/>
    <s v="Middle East and Africa"/>
    <x v="0"/>
    <n v="0"/>
    <n v="0"/>
    <n v="0"/>
    <n v="0"/>
    <n v="0"/>
    <n v="1"/>
  </r>
  <r>
    <x v="85"/>
    <s v="Middle East and Africa"/>
    <x v="0"/>
    <n v="0"/>
    <n v="1"/>
    <n v="0"/>
    <n v="0"/>
    <n v="0"/>
    <n v="0"/>
  </r>
  <r>
    <x v="86"/>
    <s v="Europe"/>
    <x v="2"/>
    <n v="0"/>
    <n v="0"/>
    <n v="0"/>
    <n v="0"/>
    <n v="0"/>
    <n v="1"/>
  </r>
  <r>
    <x v="87"/>
    <s v="Middle East and Africa"/>
    <x v="0"/>
    <n v="0"/>
    <n v="0"/>
    <n v="0"/>
    <n v="1"/>
    <n v="0"/>
    <n v="0"/>
  </r>
  <r>
    <x v="88"/>
    <s v="Asia Pacific"/>
    <x v="3"/>
    <n v="1"/>
    <n v="0"/>
    <n v="0"/>
    <n v="0"/>
    <n v="0"/>
    <n v="0"/>
  </r>
  <r>
    <x v="89"/>
    <s v="North America"/>
    <x v="7"/>
    <n v="0"/>
    <n v="0"/>
    <n v="0"/>
    <n v="0"/>
    <n v="0"/>
    <n v="1"/>
  </r>
  <r>
    <x v="90"/>
    <s v="Europe"/>
    <x v="0"/>
    <n v="0"/>
    <n v="0"/>
    <n v="0"/>
    <n v="1"/>
    <n v="0"/>
    <n v="0"/>
  </r>
  <r>
    <x v="91"/>
    <s v="Europe"/>
    <x v="1"/>
    <n v="0"/>
    <n v="0"/>
    <n v="0"/>
    <n v="0"/>
    <n v="1"/>
    <n v="0"/>
  </r>
  <r>
    <x v="92"/>
    <s v="Europe"/>
    <x v="7"/>
    <n v="0"/>
    <n v="0"/>
    <n v="0"/>
    <n v="0"/>
    <n v="0"/>
    <n v="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x v="0"/>
    <n v="1"/>
    <n v="0"/>
    <n v="0"/>
    <n v="1"/>
    <n v="0"/>
    <n v="1"/>
    <n v="0"/>
    <n v="0"/>
    <n v="0"/>
    <n v="0"/>
    <n v="0"/>
    <n v="0"/>
    <n v="1"/>
  </r>
  <r>
    <x v="1"/>
    <s v="Middle East and Africa"/>
    <x v="1"/>
    <x v="1"/>
    <n v="0"/>
    <n v="0"/>
    <n v="0"/>
    <n v="0"/>
    <n v="0"/>
    <n v="0"/>
    <n v="0"/>
    <n v="0"/>
    <n v="0"/>
    <n v="0"/>
    <n v="0"/>
    <n v="0"/>
    <n v="0"/>
  </r>
  <r>
    <x v="2"/>
    <s v="Europe"/>
    <x v="2"/>
    <x v="2"/>
    <n v="0"/>
    <n v="0"/>
    <n v="0"/>
    <n v="0"/>
    <n v="0"/>
    <n v="0"/>
    <n v="0"/>
    <n v="0"/>
    <n v="0"/>
    <n v="0"/>
    <n v="0"/>
    <n v="1"/>
    <n v="0"/>
  </r>
  <r>
    <x v="3"/>
    <s v="Middle East and Africa"/>
    <x v="1"/>
    <x v="0"/>
    <n v="0"/>
    <n v="0"/>
    <n v="0"/>
    <n v="0"/>
    <n v="0"/>
    <n v="0"/>
    <n v="0"/>
    <n v="1"/>
    <n v="1"/>
    <n v="1"/>
    <n v="1"/>
    <n v="0"/>
    <n v="1"/>
  </r>
  <r>
    <x v="4"/>
    <s v="Europe"/>
    <x v="1"/>
    <x v="2"/>
    <n v="1"/>
    <n v="0"/>
    <n v="0"/>
    <n v="0"/>
    <n v="0"/>
    <n v="0"/>
    <n v="0"/>
    <n v="0"/>
    <n v="0"/>
    <n v="0"/>
    <n v="0"/>
    <n v="0"/>
    <n v="0"/>
  </r>
  <r>
    <x v="5"/>
    <s v="North America"/>
    <x v="3"/>
    <x v="0"/>
    <n v="0"/>
    <n v="0"/>
    <n v="0"/>
    <n v="1"/>
    <n v="0"/>
    <n v="0"/>
    <n v="0"/>
    <n v="1"/>
    <n v="0"/>
    <n v="0"/>
    <n v="0"/>
    <n v="0"/>
    <n v="1"/>
  </r>
  <r>
    <x v="6"/>
    <s v="Europe"/>
    <x v="0"/>
    <x v="0"/>
    <n v="0"/>
    <n v="0"/>
    <n v="0"/>
    <n v="0"/>
    <n v="0"/>
    <n v="1"/>
    <n v="1"/>
    <n v="0"/>
    <n v="0"/>
    <n v="1"/>
    <n v="0"/>
    <n v="0"/>
    <n v="0"/>
  </r>
  <r>
    <x v="7"/>
    <s v="Asia Pacific"/>
    <x v="1"/>
    <x v="0"/>
    <n v="0"/>
    <n v="1"/>
    <n v="1"/>
    <n v="0"/>
    <n v="0"/>
    <n v="0"/>
    <n v="0"/>
    <n v="1"/>
    <n v="0"/>
    <n v="0"/>
    <n v="0"/>
    <n v="0"/>
    <n v="1"/>
  </r>
  <r>
    <x v="8"/>
    <s v="Asia Pacific"/>
    <x v="3"/>
    <x v="2"/>
    <n v="0"/>
    <n v="0"/>
    <n v="0"/>
    <n v="0"/>
    <n v="0"/>
    <n v="0"/>
    <n v="0"/>
    <n v="0"/>
    <n v="0"/>
    <n v="0"/>
    <n v="0"/>
    <n v="1"/>
    <n v="0"/>
  </r>
  <r>
    <x v="9"/>
    <s v="Asia Pacific"/>
    <x v="3"/>
    <x v="2"/>
    <n v="0"/>
    <n v="0"/>
    <n v="0"/>
    <n v="0"/>
    <n v="0"/>
    <n v="0"/>
    <n v="0"/>
    <n v="0"/>
    <n v="0"/>
    <n v="0"/>
    <n v="0"/>
    <n v="0"/>
    <n v="1"/>
  </r>
  <r>
    <x v="10"/>
    <s v="Europe"/>
    <x v="3"/>
    <x v="0"/>
    <n v="0"/>
    <n v="0"/>
    <n v="0"/>
    <n v="1"/>
    <n v="0"/>
    <n v="0"/>
    <n v="0"/>
    <n v="1"/>
    <n v="0"/>
    <n v="0"/>
    <n v="0"/>
    <n v="0"/>
    <n v="1"/>
  </r>
  <r>
    <x v="11"/>
    <s v="Global"/>
    <x v="2"/>
    <x v="2"/>
    <n v="0"/>
    <n v="0"/>
    <n v="0"/>
    <n v="0"/>
    <n v="0"/>
    <n v="0"/>
    <n v="0"/>
    <n v="1"/>
    <n v="1"/>
    <n v="1"/>
    <n v="1"/>
    <n v="1"/>
    <n v="0"/>
  </r>
  <r>
    <x v="12"/>
    <s v="Global"/>
    <x v="2"/>
    <x v="0"/>
    <n v="0"/>
    <n v="0"/>
    <n v="0"/>
    <n v="1"/>
    <n v="0"/>
    <n v="0"/>
    <n v="0"/>
    <n v="1"/>
    <n v="0"/>
    <n v="0"/>
    <n v="0"/>
    <n v="0"/>
    <n v="1"/>
  </r>
  <r>
    <x v="13"/>
    <s v="Europe"/>
    <x v="0"/>
    <x v="2"/>
    <n v="0"/>
    <n v="0"/>
    <n v="0"/>
    <n v="0"/>
    <n v="0"/>
    <n v="1"/>
    <n v="0"/>
    <n v="0"/>
    <n v="0"/>
    <n v="0"/>
    <n v="0"/>
    <n v="0"/>
    <n v="0"/>
  </r>
  <r>
    <x v="14"/>
    <s v="Europe"/>
    <x v="0"/>
    <x v="0"/>
    <n v="1"/>
    <n v="0"/>
    <n v="0"/>
    <n v="1"/>
    <n v="0"/>
    <n v="1"/>
    <n v="1"/>
    <n v="0"/>
    <n v="0"/>
    <n v="1"/>
    <n v="1"/>
    <n v="0"/>
    <n v="0"/>
  </r>
  <r>
    <x v="15"/>
    <s v="South America"/>
    <x v="3"/>
    <x v="2"/>
    <n v="0"/>
    <n v="0"/>
    <n v="0"/>
    <n v="0"/>
    <n v="0"/>
    <n v="0"/>
    <n v="0"/>
    <n v="0"/>
    <n v="0"/>
    <n v="0"/>
    <n v="0"/>
    <n v="1"/>
    <n v="0"/>
  </r>
  <r>
    <x v="16"/>
    <s v="North America"/>
    <x v="0"/>
    <x v="2"/>
    <n v="0"/>
    <n v="0"/>
    <n v="0"/>
    <n v="0"/>
    <n v="0"/>
    <n v="0"/>
    <n v="0"/>
    <n v="0"/>
    <n v="0"/>
    <n v="0"/>
    <n v="1"/>
    <n v="0"/>
    <n v="0"/>
  </r>
  <r>
    <x v="17"/>
    <s v="North America"/>
    <x v="3"/>
    <x v="0"/>
    <n v="0"/>
    <n v="0"/>
    <n v="0"/>
    <n v="0"/>
    <n v="0"/>
    <n v="0"/>
    <n v="1"/>
    <n v="1"/>
    <n v="1"/>
    <n v="1"/>
    <n v="1"/>
    <n v="0"/>
    <n v="0"/>
  </r>
  <r>
    <x v="18"/>
    <s v="North America"/>
    <x v="4"/>
    <x v="2"/>
    <n v="1"/>
    <n v="0"/>
    <n v="0"/>
    <n v="0"/>
    <n v="0"/>
    <n v="0"/>
    <n v="1"/>
    <n v="0"/>
    <n v="1"/>
    <n v="0"/>
    <n v="0"/>
    <n v="0"/>
    <n v="0"/>
  </r>
  <r>
    <x v="19"/>
    <s v="South America"/>
    <x v="0"/>
    <x v="2"/>
    <n v="0"/>
    <n v="0"/>
    <n v="0"/>
    <n v="0"/>
    <n v="0"/>
    <n v="1"/>
    <n v="0"/>
    <n v="0"/>
    <n v="0"/>
    <n v="0"/>
    <n v="0"/>
    <n v="0"/>
    <n v="0"/>
  </r>
  <r>
    <x v="20"/>
    <s v="Middle East and Africa"/>
    <x v="1"/>
    <x v="1"/>
    <n v="0"/>
    <n v="0"/>
    <n v="0"/>
    <n v="0"/>
    <n v="0"/>
    <n v="0"/>
    <n v="0"/>
    <n v="0"/>
    <n v="0"/>
    <n v="0"/>
    <n v="0"/>
    <n v="0"/>
    <n v="0"/>
  </r>
  <r>
    <x v="21"/>
    <s v="Global"/>
    <x v="0"/>
    <x v="0"/>
    <n v="1"/>
    <n v="0"/>
    <n v="0"/>
    <n v="0"/>
    <n v="1"/>
    <n v="1"/>
    <n v="0"/>
    <n v="0"/>
    <n v="0"/>
    <n v="0"/>
    <n v="1"/>
    <n v="0"/>
    <n v="0"/>
  </r>
  <r>
    <x v="22"/>
    <s v="Europe"/>
    <x v="3"/>
    <x v="0"/>
    <n v="0"/>
    <n v="0"/>
    <n v="0"/>
    <n v="1"/>
    <n v="0"/>
    <n v="1"/>
    <n v="0"/>
    <n v="0"/>
    <n v="0"/>
    <n v="1"/>
    <n v="0"/>
    <n v="1"/>
    <n v="0"/>
  </r>
  <r>
    <x v="23"/>
    <s v="Europe"/>
    <x v="4"/>
    <x v="2"/>
    <n v="1"/>
    <n v="0"/>
    <n v="0"/>
    <n v="0"/>
    <n v="0"/>
    <n v="0"/>
    <n v="0"/>
    <n v="0"/>
    <n v="1"/>
    <n v="0"/>
    <n v="0"/>
    <n v="0"/>
    <n v="0"/>
  </r>
  <r>
    <x v="24"/>
    <s v="Europe"/>
    <x v="0"/>
    <x v="0"/>
    <n v="0"/>
    <n v="0"/>
    <n v="0"/>
    <n v="1"/>
    <n v="0"/>
    <n v="1"/>
    <n v="0"/>
    <n v="0"/>
    <n v="0"/>
    <n v="0"/>
    <n v="0"/>
    <n v="0"/>
    <n v="0"/>
  </r>
  <r>
    <x v="25"/>
    <s v="Asia Pacific"/>
    <x v="0"/>
    <x v="2"/>
    <n v="0"/>
    <n v="0"/>
    <n v="1"/>
    <n v="0"/>
    <n v="0"/>
    <n v="0"/>
    <n v="0"/>
    <n v="0"/>
    <n v="0"/>
    <n v="0"/>
    <n v="1"/>
    <n v="0"/>
    <n v="1"/>
  </r>
  <r>
    <x v="26"/>
    <s v="Europe"/>
    <x v="0"/>
    <x v="0"/>
    <n v="0"/>
    <n v="0"/>
    <n v="0"/>
    <n v="0"/>
    <n v="0"/>
    <n v="1"/>
    <n v="0"/>
    <n v="1"/>
    <n v="0"/>
    <n v="0"/>
    <n v="0"/>
    <n v="0"/>
    <n v="0"/>
  </r>
  <r>
    <x v="27"/>
    <s v="South America"/>
    <x v="1"/>
    <x v="2"/>
    <n v="0"/>
    <n v="0"/>
    <n v="0"/>
    <n v="0"/>
    <n v="0"/>
    <n v="0"/>
    <n v="0"/>
    <n v="0"/>
    <n v="0"/>
    <n v="0"/>
    <n v="0"/>
    <n v="0"/>
    <n v="1"/>
  </r>
  <r>
    <x v="28"/>
    <s v="Global"/>
    <x v="2"/>
    <x v="1"/>
    <n v="0"/>
    <n v="0"/>
    <n v="0"/>
    <n v="0"/>
    <n v="0"/>
    <n v="0"/>
    <n v="0"/>
    <n v="0"/>
    <n v="0"/>
    <n v="0"/>
    <n v="0"/>
    <n v="0"/>
    <n v="0"/>
  </r>
  <r>
    <x v="29"/>
    <s v="Europe"/>
    <x v="4"/>
    <x v="2"/>
    <n v="0"/>
    <n v="1"/>
    <n v="0"/>
    <n v="0"/>
    <n v="0"/>
    <n v="0"/>
    <n v="0"/>
    <n v="0"/>
    <n v="0"/>
    <n v="0"/>
    <n v="0"/>
    <n v="0"/>
    <n v="0"/>
  </r>
  <r>
    <x v="30"/>
    <s v="Middle East and Africa"/>
    <x v="2"/>
    <x v="2"/>
    <n v="0"/>
    <n v="0"/>
    <n v="0"/>
    <n v="0"/>
    <n v="0"/>
    <n v="0"/>
    <n v="0"/>
    <n v="0"/>
    <n v="0"/>
    <n v="1"/>
    <n v="1"/>
    <n v="0"/>
    <n v="0"/>
  </r>
  <r>
    <x v="31"/>
    <s v="Global"/>
    <x v="2"/>
    <x v="1"/>
    <n v="0"/>
    <n v="0"/>
    <n v="0"/>
    <n v="0"/>
    <n v="0"/>
    <n v="0"/>
    <n v="0"/>
    <n v="0"/>
    <n v="0"/>
    <n v="0"/>
    <n v="0"/>
    <n v="0"/>
    <n v="0"/>
  </r>
  <r>
    <x v="32"/>
    <s v="Europe"/>
    <x v="2"/>
    <x v="0"/>
    <n v="1"/>
    <n v="0"/>
    <n v="0"/>
    <n v="1"/>
    <n v="0"/>
    <n v="0"/>
    <n v="0"/>
    <n v="0"/>
    <n v="0"/>
    <n v="0"/>
    <n v="0"/>
    <n v="0"/>
    <n v="1"/>
  </r>
  <r>
    <x v="33"/>
    <s v="Global"/>
    <x v="2"/>
    <x v="0"/>
    <n v="0"/>
    <n v="1"/>
    <n v="0"/>
    <n v="0"/>
    <n v="0"/>
    <n v="0"/>
    <n v="0"/>
    <n v="0"/>
    <n v="0"/>
    <n v="0"/>
    <n v="1"/>
    <n v="0"/>
    <n v="0"/>
  </r>
  <r>
    <x v="34"/>
    <s v="Europe"/>
    <x v="0"/>
    <x v="1"/>
    <n v="0"/>
    <n v="0"/>
    <n v="0"/>
    <n v="0"/>
    <n v="0"/>
    <n v="0"/>
    <n v="0"/>
    <n v="0"/>
    <n v="0"/>
    <n v="0"/>
    <n v="0"/>
    <n v="0"/>
    <n v="0"/>
  </r>
  <r>
    <x v="35"/>
    <s v="Europe"/>
    <x v="0"/>
    <x v="2"/>
    <n v="0"/>
    <n v="0"/>
    <n v="0"/>
    <n v="0"/>
    <n v="0"/>
    <n v="1"/>
    <n v="0"/>
    <n v="0"/>
    <n v="0"/>
    <n v="0"/>
    <n v="0"/>
    <n v="0"/>
    <n v="0"/>
  </r>
  <r>
    <x v="36"/>
    <s v="South America"/>
    <x v="0"/>
    <x v="1"/>
    <n v="0"/>
    <n v="0"/>
    <n v="0"/>
    <n v="0"/>
    <n v="0"/>
    <n v="0"/>
    <n v="0"/>
    <n v="0"/>
    <n v="0"/>
    <n v="0"/>
    <n v="0"/>
    <n v="0"/>
    <n v="0"/>
  </r>
  <r>
    <x v="37"/>
    <s v="South America"/>
    <x v="1"/>
    <x v="2"/>
    <n v="1"/>
    <n v="0"/>
    <n v="1"/>
    <n v="1"/>
    <n v="0"/>
    <n v="0"/>
    <n v="0"/>
    <n v="0"/>
    <n v="0"/>
    <n v="0"/>
    <n v="0"/>
    <n v="0"/>
    <n v="0"/>
  </r>
  <r>
    <x v="38"/>
    <s v="Asia Pacific"/>
    <x v="1"/>
    <x v="1"/>
    <n v="0"/>
    <n v="0"/>
    <n v="0"/>
    <n v="0"/>
    <n v="0"/>
    <n v="0"/>
    <n v="0"/>
    <n v="0"/>
    <n v="0"/>
    <n v="0"/>
    <n v="0"/>
    <n v="0"/>
    <n v="0"/>
  </r>
  <r>
    <x v="39"/>
    <s v="Europe"/>
    <x v="2"/>
    <x v="1"/>
    <n v="0"/>
    <n v="0"/>
    <n v="0"/>
    <n v="0"/>
    <n v="0"/>
    <n v="0"/>
    <n v="0"/>
    <n v="0"/>
    <n v="0"/>
    <n v="0"/>
    <n v="0"/>
    <n v="0"/>
    <n v="0"/>
  </r>
  <r>
    <x v="40"/>
    <s v="Global"/>
    <x v="2"/>
    <x v="0"/>
    <n v="0"/>
    <n v="0"/>
    <n v="0"/>
    <n v="1"/>
    <n v="0"/>
    <n v="0"/>
    <n v="1"/>
    <n v="0"/>
    <n v="1"/>
    <n v="1"/>
    <n v="0"/>
    <n v="0"/>
    <n v="1"/>
  </r>
  <r>
    <x v="41"/>
    <s v="Global"/>
    <x v="2"/>
    <x v="0"/>
    <n v="1"/>
    <n v="0"/>
    <n v="1"/>
    <n v="0"/>
    <n v="0"/>
    <n v="0"/>
    <n v="0"/>
    <n v="0"/>
    <n v="0"/>
    <n v="0"/>
    <n v="1"/>
    <n v="0"/>
    <n v="0"/>
  </r>
  <r>
    <x v="42"/>
    <s v="Asia Pacific"/>
    <x v="3"/>
    <x v="0"/>
    <n v="1"/>
    <n v="0"/>
    <n v="0"/>
    <n v="0"/>
    <n v="1"/>
    <n v="0"/>
    <n v="0"/>
    <n v="0"/>
    <n v="0"/>
    <n v="0"/>
    <n v="0"/>
    <n v="0"/>
    <n v="0"/>
  </r>
  <r>
    <x v="43"/>
    <s v="North America"/>
    <x v="5"/>
    <x v="0"/>
    <n v="0"/>
    <n v="0"/>
    <n v="0"/>
    <n v="1"/>
    <n v="1"/>
    <n v="0"/>
    <n v="0"/>
    <n v="0"/>
    <n v="1"/>
    <n v="0"/>
    <n v="0"/>
    <n v="0"/>
    <n v="0"/>
  </r>
  <r>
    <x v="44"/>
    <s v="Europe"/>
    <x v="2"/>
    <x v="0"/>
    <n v="0"/>
    <n v="0"/>
    <n v="0"/>
    <n v="0"/>
    <n v="0"/>
    <n v="0"/>
    <n v="0"/>
    <n v="0"/>
    <n v="1"/>
    <n v="0"/>
    <n v="0"/>
    <n v="0"/>
    <n v="0"/>
  </r>
  <r>
    <x v="45"/>
    <s v="Global"/>
    <x v="0"/>
    <x v="1"/>
    <n v="0"/>
    <n v="0"/>
    <n v="0"/>
    <n v="0"/>
    <n v="0"/>
    <n v="0"/>
    <n v="0"/>
    <n v="0"/>
    <n v="0"/>
    <n v="0"/>
    <n v="0"/>
    <n v="0"/>
    <n v="0"/>
  </r>
  <r>
    <x v="46"/>
    <s v="Global"/>
    <x v="0"/>
    <x v="2"/>
    <n v="1"/>
    <n v="1"/>
    <n v="0"/>
    <n v="0"/>
    <n v="0"/>
    <n v="0"/>
    <n v="0"/>
    <n v="0"/>
    <n v="1"/>
    <n v="1"/>
    <n v="0"/>
    <n v="1"/>
    <n v="0"/>
  </r>
  <r>
    <x v="47"/>
    <s v="Global"/>
    <x v="6"/>
    <x v="2"/>
    <n v="1"/>
    <n v="1"/>
    <n v="0"/>
    <n v="0"/>
    <n v="0"/>
    <n v="0"/>
    <n v="1"/>
    <n v="1"/>
    <n v="0"/>
    <n v="0"/>
    <n v="0"/>
    <n v="0"/>
    <n v="0"/>
  </r>
  <r>
    <x v="48"/>
    <s v="Middle East and Africa"/>
    <x v="4"/>
    <x v="1"/>
    <n v="0"/>
    <n v="0"/>
    <n v="0"/>
    <n v="0"/>
    <n v="0"/>
    <n v="0"/>
    <n v="0"/>
    <n v="0"/>
    <n v="0"/>
    <n v="0"/>
    <n v="0"/>
    <n v="0"/>
    <n v="0"/>
  </r>
  <r>
    <x v="49"/>
    <s v="Europe"/>
    <x v="3"/>
    <x v="2"/>
    <n v="1"/>
    <n v="0"/>
    <n v="0"/>
    <n v="0"/>
    <n v="0"/>
    <n v="0"/>
    <n v="0"/>
    <n v="0"/>
    <n v="0"/>
    <n v="0"/>
    <n v="0"/>
    <n v="0"/>
    <n v="1"/>
  </r>
  <r>
    <x v="50"/>
    <s v="Middle East and Africa"/>
    <x v="0"/>
    <x v="0"/>
    <n v="0"/>
    <n v="0"/>
    <n v="0"/>
    <n v="1"/>
    <n v="0"/>
    <n v="0"/>
    <n v="0"/>
    <n v="0"/>
    <n v="0"/>
    <n v="0"/>
    <n v="1"/>
    <n v="0"/>
    <n v="0"/>
  </r>
  <r>
    <x v="51"/>
    <s v="Europe"/>
    <x v="0"/>
    <x v="0"/>
    <n v="1"/>
    <n v="0"/>
    <n v="0"/>
    <n v="0"/>
    <n v="0"/>
    <n v="0"/>
    <n v="0"/>
    <n v="1"/>
    <n v="0"/>
    <n v="1"/>
    <n v="1"/>
    <n v="0"/>
    <n v="1"/>
  </r>
  <r>
    <x v="52"/>
    <s v="Middle East and Africa"/>
    <x v="0"/>
    <x v="0"/>
    <n v="0"/>
    <n v="0"/>
    <n v="0"/>
    <n v="1"/>
    <n v="0"/>
    <n v="0"/>
    <n v="0"/>
    <n v="0"/>
    <n v="0"/>
    <n v="0"/>
    <n v="0"/>
    <n v="0"/>
    <n v="0"/>
  </r>
  <r>
    <x v="53"/>
    <s v="Asia Pacific"/>
    <x v="0"/>
    <x v="2"/>
    <n v="1"/>
    <n v="0"/>
    <n v="0"/>
    <n v="0"/>
    <n v="0"/>
    <n v="0"/>
    <n v="0"/>
    <n v="0"/>
    <n v="0"/>
    <n v="0"/>
    <n v="0"/>
    <n v="0"/>
    <n v="0"/>
  </r>
  <r>
    <x v="54"/>
    <s v="Europe"/>
    <x v="0"/>
    <x v="2"/>
    <n v="1"/>
    <n v="0"/>
    <n v="0"/>
    <n v="1"/>
    <n v="0"/>
    <n v="0"/>
    <n v="0"/>
    <n v="0"/>
    <n v="0"/>
    <n v="0"/>
    <n v="0"/>
    <n v="0"/>
    <n v="1"/>
  </r>
  <r>
    <x v="55"/>
    <s v="Asia Pacific"/>
    <x v="0"/>
    <x v="0"/>
    <n v="1"/>
    <n v="0"/>
    <n v="0"/>
    <n v="0"/>
    <n v="0"/>
    <n v="0"/>
    <n v="0"/>
    <n v="0"/>
    <n v="0"/>
    <n v="0"/>
    <n v="1"/>
    <n v="0"/>
    <n v="0"/>
  </r>
  <r>
    <x v="56"/>
    <s v="South America"/>
    <x v="0"/>
    <x v="0"/>
    <n v="1"/>
    <n v="0"/>
    <n v="0"/>
    <n v="0"/>
    <n v="1"/>
    <n v="0"/>
    <n v="0"/>
    <n v="1"/>
    <n v="0"/>
    <n v="0"/>
    <n v="0"/>
    <n v="0"/>
    <n v="0"/>
  </r>
  <r>
    <x v="57"/>
    <s v="Asia Pacific"/>
    <x v="0"/>
    <x v="0"/>
    <n v="0"/>
    <n v="0"/>
    <n v="0"/>
    <n v="0"/>
    <n v="0"/>
    <n v="0"/>
    <n v="0"/>
    <n v="0"/>
    <n v="0"/>
    <n v="1"/>
    <n v="0"/>
    <n v="0"/>
    <n v="0"/>
  </r>
  <r>
    <x v="58"/>
    <s v="Asia Pacific"/>
    <x v="0"/>
    <x v="0"/>
    <n v="0"/>
    <n v="0"/>
    <n v="1"/>
    <n v="1"/>
    <n v="1"/>
    <n v="0"/>
    <n v="0"/>
    <n v="1"/>
    <n v="0"/>
    <n v="0"/>
    <n v="0"/>
    <n v="0"/>
    <n v="0"/>
  </r>
  <r>
    <x v="59"/>
    <s v="Europe"/>
    <x v="0"/>
    <x v="2"/>
    <n v="0"/>
    <n v="0"/>
    <n v="0"/>
    <n v="0"/>
    <n v="0"/>
    <n v="1"/>
    <n v="0"/>
    <n v="0"/>
    <n v="0"/>
    <n v="0"/>
    <n v="0"/>
    <n v="0"/>
    <n v="0"/>
  </r>
  <r>
    <x v="60"/>
    <s v="South America"/>
    <x v="0"/>
    <x v="1"/>
    <n v="0"/>
    <n v="0"/>
    <n v="0"/>
    <n v="0"/>
    <n v="0"/>
    <n v="0"/>
    <n v="0"/>
    <n v="0"/>
    <n v="0"/>
    <n v="0"/>
    <n v="0"/>
    <n v="0"/>
    <n v="0"/>
  </r>
  <r>
    <x v="61"/>
    <s v="South America"/>
    <x v="0"/>
    <x v="0"/>
    <n v="1"/>
    <n v="0"/>
    <n v="0"/>
    <n v="1"/>
    <n v="1"/>
    <n v="0"/>
    <n v="1"/>
    <n v="0"/>
    <n v="1"/>
    <n v="0"/>
    <n v="1"/>
    <n v="0"/>
    <n v="0"/>
  </r>
  <r>
    <x v="62"/>
    <s v="South America"/>
    <x v="0"/>
    <x v="0"/>
    <n v="0"/>
    <n v="0"/>
    <n v="0"/>
    <n v="1"/>
    <n v="0"/>
    <n v="0"/>
    <n v="0"/>
    <n v="0"/>
    <n v="0"/>
    <n v="0"/>
    <n v="0"/>
    <n v="0"/>
    <n v="0"/>
  </r>
  <r>
    <x v="63"/>
    <s v="Europe"/>
    <x v="4"/>
    <x v="2"/>
    <n v="1"/>
    <n v="0"/>
    <n v="0"/>
    <n v="0"/>
    <n v="0"/>
    <n v="0"/>
    <n v="0"/>
    <n v="0"/>
    <n v="1"/>
    <n v="0"/>
    <n v="0"/>
    <n v="0"/>
    <n v="0"/>
  </r>
  <r>
    <x v="64"/>
    <s v="Asia Pacific"/>
    <x v="3"/>
    <x v="0"/>
    <n v="0"/>
    <n v="1"/>
    <n v="0"/>
    <n v="0"/>
    <n v="0"/>
    <n v="1"/>
    <n v="0"/>
    <n v="0"/>
    <n v="0"/>
    <n v="0"/>
    <n v="0"/>
    <n v="0"/>
    <n v="0"/>
  </r>
  <r>
    <x v="65"/>
    <s v="Global"/>
    <x v="2"/>
    <x v="2"/>
    <n v="0"/>
    <n v="0"/>
    <n v="0"/>
    <n v="0"/>
    <n v="0"/>
    <n v="0"/>
    <n v="0"/>
    <n v="0"/>
    <n v="0"/>
    <n v="0"/>
    <n v="0"/>
    <n v="1"/>
    <n v="1"/>
  </r>
  <r>
    <x v="66"/>
    <s v="Asia Pacific"/>
    <x v="3"/>
    <x v="0"/>
    <n v="1"/>
    <n v="0"/>
    <n v="0"/>
    <n v="1"/>
    <n v="0"/>
    <n v="0"/>
    <n v="0"/>
    <n v="1"/>
    <n v="0"/>
    <n v="1"/>
    <n v="0"/>
    <n v="0"/>
    <n v="1"/>
  </r>
  <r>
    <x v="67"/>
    <s v="Asia Pacific"/>
    <x v="0"/>
    <x v="0"/>
    <n v="0"/>
    <n v="0"/>
    <n v="0"/>
    <n v="0"/>
    <n v="0"/>
    <n v="0"/>
    <n v="1"/>
    <n v="0"/>
    <n v="0"/>
    <n v="0"/>
    <n v="0"/>
    <n v="0"/>
    <n v="0"/>
  </r>
  <r>
    <x v="68"/>
    <s v="Global"/>
    <x v="2"/>
    <x v="0"/>
    <n v="0"/>
    <n v="1"/>
    <n v="0"/>
    <n v="0"/>
    <n v="0"/>
    <n v="0"/>
    <n v="0"/>
    <n v="0"/>
    <n v="0"/>
    <n v="1"/>
    <n v="1"/>
    <n v="0"/>
    <n v="0"/>
  </r>
  <r>
    <x v="69"/>
    <s v="North America"/>
    <x v="1"/>
    <x v="1"/>
    <n v="0"/>
    <n v="0"/>
    <n v="0"/>
    <n v="0"/>
    <n v="0"/>
    <n v="0"/>
    <n v="0"/>
    <n v="0"/>
    <n v="0"/>
    <n v="0"/>
    <n v="0"/>
    <n v="0"/>
    <n v="0"/>
  </r>
  <r>
    <x v="70"/>
    <s v="North America"/>
    <x v="2"/>
    <x v="2"/>
    <n v="0"/>
    <n v="0"/>
    <n v="0"/>
    <n v="0"/>
    <n v="0"/>
    <n v="0"/>
    <n v="0"/>
    <n v="1"/>
    <n v="1"/>
    <n v="0"/>
    <n v="1"/>
    <n v="0"/>
    <n v="0"/>
  </r>
  <r>
    <x v="71"/>
    <s v="Global"/>
    <x v="2"/>
    <x v="0"/>
    <n v="0"/>
    <n v="0"/>
    <n v="0"/>
    <n v="1"/>
    <n v="0"/>
    <n v="0"/>
    <n v="0"/>
    <n v="1"/>
    <n v="1"/>
    <n v="0"/>
    <n v="0"/>
    <n v="0"/>
    <n v="1"/>
  </r>
  <r>
    <x v="72"/>
    <s v="Asia Pacific"/>
    <x v="3"/>
    <x v="0"/>
    <n v="0"/>
    <n v="0"/>
    <n v="0"/>
    <n v="1"/>
    <n v="0"/>
    <n v="0"/>
    <n v="0"/>
    <n v="1"/>
    <n v="0"/>
    <n v="1"/>
    <n v="0"/>
    <n v="0"/>
    <n v="1"/>
  </r>
  <r>
    <x v="73"/>
    <s v="Global"/>
    <x v="2"/>
    <x v="2"/>
    <n v="0"/>
    <n v="0"/>
    <n v="0"/>
    <n v="0"/>
    <n v="0"/>
    <n v="0"/>
    <n v="0"/>
    <n v="1"/>
    <n v="0"/>
    <n v="0"/>
    <n v="1"/>
    <n v="0"/>
    <n v="0"/>
  </r>
  <r>
    <x v="74"/>
    <s v="Europe"/>
    <x v="0"/>
    <x v="0"/>
    <n v="1"/>
    <n v="0"/>
    <n v="0"/>
    <n v="0"/>
    <n v="0"/>
    <n v="0"/>
    <n v="0"/>
    <n v="0"/>
    <n v="0"/>
    <n v="0"/>
    <n v="1"/>
    <n v="0"/>
    <n v="0"/>
  </r>
  <r>
    <x v="75"/>
    <s v="Asia Pacific"/>
    <x v="2"/>
    <x v="2"/>
    <n v="0"/>
    <n v="0"/>
    <n v="0"/>
    <n v="0"/>
    <n v="0"/>
    <n v="0"/>
    <n v="0"/>
    <n v="0"/>
    <n v="1"/>
    <n v="1"/>
    <n v="1"/>
    <n v="0"/>
    <n v="1"/>
  </r>
  <r>
    <x v="76"/>
    <s v="Global"/>
    <x v="2"/>
    <x v="0"/>
    <n v="0"/>
    <n v="1"/>
    <n v="1"/>
    <n v="0"/>
    <n v="0"/>
    <n v="1"/>
    <n v="0"/>
    <n v="0"/>
    <n v="0"/>
    <n v="0"/>
    <n v="0"/>
    <n v="0"/>
    <n v="0"/>
  </r>
  <r>
    <x v="77"/>
    <s v="Middle East and Africa"/>
    <x v="2"/>
    <x v="0"/>
    <n v="0"/>
    <n v="0"/>
    <n v="0"/>
    <n v="0"/>
    <n v="0"/>
    <n v="0"/>
    <n v="0"/>
    <n v="0"/>
    <n v="0"/>
    <n v="0"/>
    <n v="1"/>
    <n v="0"/>
    <n v="0"/>
  </r>
  <r>
    <x v="78"/>
    <s v="Global"/>
    <x v="2"/>
    <x v="0"/>
    <n v="1"/>
    <n v="0"/>
    <n v="0"/>
    <n v="0"/>
    <n v="1"/>
    <n v="1"/>
    <n v="1"/>
    <n v="0"/>
    <n v="0"/>
    <n v="0"/>
    <n v="1"/>
    <n v="0"/>
    <n v="0"/>
  </r>
  <r>
    <x v="79"/>
    <s v="Europe"/>
    <x v="3"/>
    <x v="2"/>
    <n v="0"/>
    <n v="0"/>
    <n v="0"/>
    <n v="0"/>
    <n v="0"/>
    <n v="0"/>
    <n v="0"/>
    <n v="0"/>
    <n v="0"/>
    <n v="0"/>
    <n v="0"/>
    <n v="1"/>
    <n v="0"/>
  </r>
  <r>
    <x v="80"/>
    <s v="Global"/>
    <x v="2"/>
    <x v="0"/>
    <n v="1"/>
    <n v="1"/>
    <n v="0"/>
    <n v="0"/>
    <n v="0"/>
    <n v="1"/>
    <n v="0"/>
    <n v="0"/>
    <n v="0"/>
    <n v="0"/>
    <n v="0"/>
    <n v="0"/>
    <n v="0"/>
  </r>
  <r>
    <x v="81"/>
    <s v="Middle East and Africa"/>
    <x v="1"/>
    <x v="1"/>
    <n v="0"/>
    <n v="0"/>
    <n v="0"/>
    <n v="0"/>
    <n v="0"/>
    <n v="0"/>
    <n v="0"/>
    <n v="0"/>
    <n v="0"/>
    <n v="0"/>
    <n v="0"/>
    <n v="0"/>
    <n v="0"/>
  </r>
  <r>
    <x v="82"/>
    <s v="South America"/>
    <x v="1"/>
    <x v="2"/>
    <n v="0"/>
    <n v="0"/>
    <n v="0"/>
    <n v="0"/>
    <n v="0"/>
    <n v="0"/>
    <n v="0"/>
    <n v="1"/>
    <n v="0"/>
    <n v="0"/>
    <n v="0"/>
    <n v="0"/>
    <n v="0"/>
  </r>
  <r>
    <x v="83"/>
    <s v="Middle East and Africa"/>
    <x v="2"/>
    <x v="2"/>
    <n v="0"/>
    <n v="0"/>
    <n v="0"/>
    <n v="1"/>
    <n v="0"/>
    <n v="0"/>
    <n v="0"/>
    <n v="0"/>
    <n v="0"/>
    <n v="0"/>
    <n v="0"/>
    <n v="0"/>
    <n v="0"/>
  </r>
  <r>
    <x v="84"/>
    <s v="Middle East and Africa"/>
    <x v="0"/>
    <x v="2"/>
    <n v="1"/>
    <n v="1"/>
    <n v="0"/>
    <n v="1"/>
    <n v="0"/>
    <n v="0"/>
    <n v="0"/>
    <n v="0"/>
    <n v="0"/>
    <n v="0"/>
    <n v="1"/>
    <n v="0"/>
    <n v="1"/>
  </r>
  <r>
    <x v="85"/>
    <s v="Middle East and Africa"/>
    <x v="0"/>
    <x v="2"/>
    <n v="0"/>
    <n v="0"/>
    <n v="0"/>
    <n v="0"/>
    <n v="0"/>
    <n v="0"/>
    <n v="0"/>
    <n v="1"/>
    <n v="0"/>
    <n v="0"/>
    <n v="0"/>
    <n v="0"/>
    <n v="0"/>
  </r>
  <r>
    <x v="86"/>
    <s v="Europe"/>
    <x v="2"/>
    <x v="2"/>
    <n v="0"/>
    <n v="0"/>
    <n v="0"/>
    <n v="0"/>
    <n v="0"/>
    <n v="0"/>
    <n v="0"/>
    <n v="0"/>
    <n v="0"/>
    <n v="0"/>
    <n v="0"/>
    <n v="0"/>
    <n v="1"/>
  </r>
  <r>
    <x v="87"/>
    <s v="Middle East and Africa"/>
    <x v="0"/>
    <x v="1"/>
    <n v="0"/>
    <n v="0"/>
    <n v="0"/>
    <n v="0"/>
    <n v="0"/>
    <n v="0"/>
    <n v="0"/>
    <n v="0"/>
    <n v="0"/>
    <n v="0"/>
    <n v="0"/>
    <n v="0"/>
    <n v="0"/>
  </r>
  <r>
    <x v="88"/>
    <s v="Asia Pacific"/>
    <x v="3"/>
    <x v="0"/>
    <n v="1"/>
    <n v="0"/>
    <n v="1"/>
    <n v="0"/>
    <n v="1"/>
    <n v="1"/>
    <n v="0"/>
    <n v="0"/>
    <n v="0"/>
    <n v="1"/>
    <n v="0"/>
    <n v="0"/>
    <n v="1"/>
  </r>
  <r>
    <x v="89"/>
    <s v="North America"/>
    <x v="7"/>
    <x v="2"/>
    <n v="0"/>
    <n v="0"/>
    <n v="0"/>
    <n v="0"/>
    <n v="0"/>
    <n v="0"/>
    <n v="0"/>
    <n v="0"/>
    <n v="0"/>
    <n v="0"/>
    <n v="0"/>
    <n v="0"/>
    <n v="1"/>
  </r>
  <r>
    <x v="90"/>
    <s v="Europe"/>
    <x v="0"/>
    <x v="2"/>
    <n v="0"/>
    <n v="0"/>
    <n v="0"/>
    <n v="0"/>
    <n v="0"/>
    <n v="1"/>
    <n v="0"/>
    <n v="1"/>
    <n v="0"/>
    <n v="0"/>
    <n v="0"/>
    <n v="0"/>
    <n v="0"/>
  </r>
  <r>
    <x v="91"/>
    <s v="Europe"/>
    <x v="1"/>
    <x v="0"/>
    <n v="0"/>
    <n v="1"/>
    <n v="0"/>
    <n v="1"/>
    <n v="0"/>
    <n v="0"/>
    <n v="0"/>
    <n v="0"/>
    <n v="0"/>
    <n v="0"/>
    <n v="0"/>
    <n v="0"/>
    <n v="0"/>
  </r>
  <r>
    <x v="92"/>
    <s v="Europe"/>
    <x v="7"/>
    <x v="2"/>
    <n v="0"/>
    <n v="0"/>
    <n v="0"/>
    <n v="0"/>
    <n v="0"/>
    <n v="0"/>
    <n v="0"/>
    <n v="0"/>
    <n v="1"/>
    <n v="0"/>
    <n v="0"/>
    <n v="0"/>
    <n v="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n v="0"/>
    <n v="1"/>
    <n v="0"/>
  </r>
  <r>
    <x v="1"/>
    <s v="Middle East and Africa"/>
    <x v="1"/>
    <n v="0"/>
    <n v="0"/>
    <n v="0"/>
  </r>
  <r>
    <x v="2"/>
    <s v="Europe"/>
    <x v="2"/>
    <n v="0"/>
    <n v="0"/>
    <n v="0"/>
  </r>
  <r>
    <x v="3"/>
    <s v="Middle East and Africa"/>
    <x v="1"/>
    <n v="0"/>
    <n v="0"/>
    <n v="0"/>
  </r>
  <r>
    <x v="4"/>
    <s v="Europe"/>
    <x v="1"/>
    <n v="0"/>
    <n v="0"/>
    <n v="0"/>
  </r>
  <r>
    <x v="5"/>
    <s v="North America"/>
    <x v="3"/>
    <n v="0"/>
    <n v="0"/>
    <n v="0"/>
  </r>
  <r>
    <x v="6"/>
    <s v="Europe"/>
    <x v="0"/>
    <n v="0"/>
    <n v="0"/>
    <n v="0"/>
  </r>
  <r>
    <x v="7"/>
    <s v="Asia Pacific"/>
    <x v="1"/>
    <n v="0"/>
    <n v="0"/>
    <n v="0"/>
  </r>
  <r>
    <x v="8"/>
    <s v="Asia Pacific"/>
    <x v="3"/>
    <n v="0"/>
    <n v="0"/>
    <n v="0"/>
  </r>
  <r>
    <x v="9"/>
    <s v="Asia Pacific"/>
    <x v="3"/>
    <n v="0"/>
    <n v="0"/>
    <n v="0"/>
  </r>
  <r>
    <x v="10"/>
    <s v="Europe"/>
    <x v="3"/>
    <n v="0"/>
    <n v="0"/>
    <n v="0"/>
  </r>
  <r>
    <x v="11"/>
    <s v="Global"/>
    <x v="2"/>
    <n v="0"/>
    <n v="0"/>
    <n v="0"/>
  </r>
  <r>
    <x v="12"/>
    <s v="Global"/>
    <x v="2"/>
    <n v="0"/>
    <n v="0"/>
    <n v="0"/>
  </r>
  <r>
    <x v="13"/>
    <s v="Europe"/>
    <x v="0"/>
    <n v="0"/>
    <n v="1"/>
    <n v="0"/>
  </r>
  <r>
    <x v="14"/>
    <s v="Europe"/>
    <x v="0"/>
    <n v="0"/>
    <n v="1"/>
    <n v="0"/>
  </r>
  <r>
    <x v="15"/>
    <s v="South America"/>
    <x v="3"/>
    <n v="0"/>
    <n v="0"/>
    <n v="0"/>
  </r>
  <r>
    <x v="16"/>
    <s v="North America"/>
    <x v="0"/>
    <n v="0"/>
    <n v="0"/>
    <n v="0"/>
  </r>
  <r>
    <x v="17"/>
    <s v="North America"/>
    <x v="3"/>
    <n v="1"/>
    <n v="0"/>
    <n v="0"/>
  </r>
  <r>
    <x v="18"/>
    <s v="North America"/>
    <x v="4"/>
    <n v="0"/>
    <n v="0"/>
    <n v="0"/>
  </r>
  <r>
    <x v="19"/>
    <s v="South America"/>
    <x v="0"/>
    <n v="0"/>
    <n v="0"/>
    <n v="0"/>
  </r>
  <r>
    <x v="20"/>
    <s v="Middle East and Africa"/>
    <x v="1"/>
    <n v="0"/>
    <n v="0"/>
    <n v="0"/>
  </r>
  <r>
    <x v="21"/>
    <s v="Global"/>
    <x v="0"/>
    <n v="0"/>
    <n v="0"/>
    <n v="0"/>
  </r>
  <r>
    <x v="22"/>
    <s v="Europe"/>
    <x v="3"/>
    <n v="0"/>
    <n v="1"/>
    <n v="0"/>
  </r>
  <r>
    <x v="23"/>
    <s v="Europe"/>
    <x v="4"/>
    <n v="0"/>
    <n v="0"/>
    <n v="0"/>
  </r>
  <r>
    <x v="24"/>
    <s v="Europe"/>
    <x v="0"/>
    <n v="0"/>
    <n v="0"/>
    <n v="0"/>
  </r>
  <r>
    <x v="25"/>
    <s v="Asia Pacific"/>
    <x v="0"/>
    <n v="1"/>
    <n v="0"/>
    <n v="0"/>
  </r>
  <r>
    <x v="26"/>
    <s v="Europe"/>
    <x v="0"/>
    <n v="0"/>
    <n v="0"/>
    <n v="0"/>
  </r>
  <r>
    <x v="27"/>
    <s v="South America"/>
    <x v="1"/>
    <n v="0"/>
    <n v="0"/>
    <n v="0"/>
  </r>
  <r>
    <x v="28"/>
    <s v="Global"/>
    <x v="2"/>
    <n v="0"/>
    <n v="0"/>
    <n v="0"/>
  </r>
  <r>
    <x v="29"/>
    <s v="Europe"/>
    <x v="4"/>
    <n v="0"/>
    <n v="0"/>
    <n v="0"/>
  </r>
  <r>
    <x v="30"/>
    <s v="Middle East and Africa"/>
    <x v="2"/>
    <n v="0"/>
    <n v="0"/>
    <n v="0"/>
  </r>
  <r>
    <x v="31"/>
    <s v="Global"/>
    <x v="2"/>
    <n v="1"/>
    <n v="0"/>
    <n v="0"/>
  </r>
  <r>
    <x v="32"/>
    <s v="Europe"/>
    <x v="2"/>
    <n v="0"/>
    <n v="0"/>
    <n v="0"/>
  </r>
  <r>
    <x v="33"/>
    <s v="Global"/>
    <x v="2"/>
    <n v="1"/>
    <n v="0"/>
    <n v="0"/>
  </r>
  <r>
    <x v="34"/>
    <s v="Europe"/>
    <x v="0"/>
    <n v="0"/>
    <n v="0"/>
    <n v="0"/>
  </r>
  <r>
    <x v="35"/>
    <s v="Europe"/>
    <x v="0"/>
    <n v="0"/>
    <n v="0"/>
    <n v="0"/>
  </r>
  <r>
    <x v="36"/>
    <s v="South America"/>
    <x v="0"/>
    <n v="0"/>
    <n v="0"/>
    <n v="0"/>
  </r>
  <r>
    <x v="37"/>
    <s v="South America"/>
    <x v="1"/>
    <n v="0"/>
    <n v="0"/>
    <n v="1"/>
  </r>
  <r>
    <x v="38"/>
    <s v="Asia Pacific"/>
    <x v="1"/>
    <n v="0"/>
    <n v="0"/>
    <n v="0"/>
  </r>
  <r>
    <x v="39"/>
    <s v="Europe"/>
    <x v="2"/>
    <n v="0"/>
    <n v="0"/>
    <n v="0"/>
  </r>
  <r>
    <x v="40"/>
    <s v="Global"/>
    <x v="2"/>
    <n v="0"/>
    <n v="0"/>
    <n v="0"/>
  </r>
  <r>
    <x v="41"/>
    <s v="Global"/>
    <x v="2"/>
    <n v="0"/>
    <n v="0"/>
    <n v="0"/>
  </r>
  <r>
    <x v="42"/>
    <s v="Asia Pacific"/>
    <x v="3"/>
    <n v="1"/>
    <n v="0"/>
    <n v="0"/>
  </r>
  <r>
    <x v="43"/>
    <s v="North America"/>
    <x v="5"/>
    <n v="0"/>
    <n v="0"/>
    <n v="0"/>
  </r>
  <r>
    <x v="44"/>
    <s v="Europe"/>
    <x v="2"/>
    <n v="0"/>
    <n v="0"/>
    <n v="0"/>
  </r>
  <r>
    <x v="45"/>
    <s v="Global"/>
    <x v="0"/>
    <n v="0"/>
    <n v="0"/>
    <n v="0"/>
  </r>
  <r>
    <x v="46"/>
    <s v="Global"/>
    <x v="0"/>
    <n v="0"/>
    <n v="0"/>
    <n v="0"/>
  </r>
  <r>
    <x v="47"/>
    <s v="Global"/>
    <x v="6"/>
    <n v="0"/>
    <n v="0"/>
    <n v="0"/>
  </r>
  <r>
    <x v="48"/>
    <s v="Middle East and Africa"/>
    <x v="4"/>
    <n v="0"/>
    <n v="0"/>
    <n v="0"/>
  </r>
  <r>
    <x v="49"/>
    <s v="Europe"/>
    <x v="3"/>
    <n v="0"/>
    <n v="0"/>
    <n v="0"/>
  </r>
  <r>
    <x v="50"/>
    <s v="Middle East and Africa"/>
    <x v="0"/>
    <n v="0"/>
    <n v="0"/>
    <n v="0"/>
  </r>
  <r>
    <x v="51"/>
    <s v="Europe"/>
    <x v="0"/>
    <n v="0"/>
    <n v="1"/>
    <n v="0"/>
  </r>
  <r>
    <x v="52"/>
    <s v="Middle East and Africa"/>
    <x v="0"/>
    <n v="0"/>
    <n v="0"/>
    <n v="0"/>
  </r>
  <r>
    <x v="53"/>
    <s v="Asia Pacific"/>
    <x v="0"/>
    <n v="0"/>
    <n v="0"/>
    <n v="0"/>
  </r>
  <r>
    <x v="54"/>
    <s v="Europe"/>
    <x v="0"/>
    <n v="0"/>
    <n v="1"/>
    <n v="0"/>
  </r>
  <r>
    <x v="55"/>
    <s v="Asia Pacific"/>
    <x v="0"/>
    <n v="0"/>
    <n v="0"/>
    <n v="0"/>
  </r>
  <r>
    <x v="56"/>
    <s v="South America"/>
    <x v="0"/>
    <n v="0"/>
    <n v="0"/>
    <n v="0"/>
  </r>
  <r>
    <x v="57"/>
    <s v="Asia Pacific"/>
    <x v="0"/>
    <n v="0"/>
    <n v="0"/>
    <n v="0"/>
  </r>
  <r>
    <x v="58"/>
    <s v="Asia Pacific"/>
    <x v="0"/>
    <n v="0"/>
    <n v="0"/>
    <n v="0"/>
  </r>
  <r>
    <x v="59"/>
    <s v="Europe"/>
    <x v="0"/>
    <n v="0"/>
    <n v="0"/>
    <n v="0"/>
  </r>
  <r>
    <x v="60"/>
    <s v="South America"/>
    <x v="0"/>
    <n v="1"/>
    <n v="0"/>
    <n v="0"/>
  </r>
  <r>
    <x v="61"/>
    <s v="South America"/>
    <x v="0"/>
    <n v="0"/>
    <n v="0"/>
    <n v="0"/>
  </r>
  <r>
    <x v="62"/>
    <s v="South America"/>
    <x v="0"/>
    <n v="0"/>
    <n v="0"/>
    <n v="0"/>
  </r>
  <r>
    <x v="63"/>
    <s v="Europe"/>
    <x v="4"/>
    <n v="0"/>
    <n v="0"/>
    <n v="0"/>
  </r>
  <r>
    <x v="64"/>
    <s v="Asia Pacific"/>
    <x v="3"/>
    <n v="0"/>
    <n v="0"/>
    <n v="0"/>
  </r>
  <r>
    <x v="65"/>
    <s v="Global"/>
    <x v="2"/>
    <n v="1"/>
    <n v="0"/>
    <n v="0"/>
  </r>
  <r>
    <x v="66"/>
    <s v="Asia Pacific"/>
    <x v="3"/>
    <n v="0"/>
    <n v="0"/>
    <n v="0"/>
  </r>
  <r>
    <x v="67"/>
    <s v="Asia Pacific"/>
    <x v="0"/>
    <n v="0"/>
    <n v="0"/>
    <n v="1"/>
  </r>
  <r>
    <x v="68"/>
    <s v="Global"/>
    <x v="2"/>
    <n v="0"/>
    <n v="0"/>
    <n v="0"/>
  </r>
  <r>
    <x v="69"/>
    <s v="North America"/>
    <x v="1"/>
    <n v="0"/>
    <n v="0"/>
    <n v="0"/>
  </r>
  <r>
    <x v="70"/>
    <s v="North America"/>
    <x v="2"/>
    <n v="0"/>
    <n v="0"/>
    <n v="0"/>
  </r>
  <r>
    <x v="71"/>
    <s v="Global"/>
    <x v="2"/>
    <n v="0"/>
    <n v="0"/>
    <n v="0"/>
  </r>
  <r>
    <x v="72"/>
    <s v="Asia Pacific"/>
    <x v="3"/>
    <n v="0"/>
    <n v="0"/>
    <n v="0"/>
  </r>
  <r>
    <x v="73"/>
    <s v="Global"/>
    <x v="2"/>
    <n v="0"/>
    <n v="0"/>
    <n v="0"/>
  </r>
  <r>
    <x v="74"/>
    <s v="Europe"/>
    <x v="0"/>
    <n v="0"/>
    <n v="0"/>
    <n v="0"/>
  </r>
  <r>
    <x v="75"/>
    <s v="Asia Pacific"/>
    <x v="2"/>
    <n v="0"/>
    <n v="0"/>
    <n v="0"/>
  </r>
  <r>
    <x v="76"/>
    <s v="Global"/>
    <x v="2"/>
    <n v="0"/>
    <n v="0"/>
    <n v="0"/>
  </r>
  <r>
    <x v="77"/>
    <s v="Middle East and Africa"/>
    <x v="2"/>
    <n v="0"/>
    <n v="0"/>
    <n v="0"/>
  </r>
  <r>
    <x v="78"/>
    <s v="Global"/>
    <x v="2"/>
    <n v="1"/>
    <n v="0"/>
    <n v="0"/>
  </r>
  <r>
    <x v="79"/>
    <s v="Europe"/>
    <x v="3"/>
    <n v="0"/>
    <n v="0"/>
    <n v="0"/>
  </r>
  <r>
    <x v="80"/>
    <s v="Global"/>
    <x v="2"/>
    <n v="0"/>
    <n v="1"/>
    <n v="0"/>
  </r>
  <r>
    <x v="81"/>
    <s v="Middle East and Africa"/>
    <x v="1"/>
    <n v="0"/>
    <n v="0"/>
    <n v="0"/>
  </r>
  <r>
    <x v="82"/>
    <s v="South America"/>
    <x v="1"/>
    <n v="0"/>
    <n v="0"/>
    <n v="0"/>
  </r>
  <r>
    <x v="83"/>
    <s v="Middle East and Africa"/>
    <x v="2"/>
    <n v="0"/>
    <n v="0"/>
    <n v="0"/>
  </r>
  <r>
    <x v="84"/>
    <s v="Middle East and Africa"/>
    <x v="0"/>
    <n v="0"/>
    <n v="0"/>
    <n v="0"/>
  </r>
  <r>
    <x v="85"/>
    <s v="Middle East and Africa"/>
    <x v="0"/>
    <n v="0"/>
    <n v="0"/>
    <n v="0"/>
  </r>
  <r>
    <x v="86"/>
    <s v="Europe"/>
    <x v="2"/>
    <n v="0"/>
    <n v="0"/>
    <n v="0"/>
  </r>
  <r>
    <x v="87"/>
    <s v="Middle East and Africa"/>
    <x v="0"/>
    <n v="0"/>
    <n v="0"/>
    <n v="1"/>
  </r>
  <r>
    <x v="88"/>
    <s v="Asia Pacific"/>
    <x v="3"/>
    <n v="0"/>
    <n v="0"/>
    <n v="0"/>
  </r>
  <r>
    <x v="89"/>
    <s v="North America"/>
    <x v="7"/>
    <n v="0"/>
    <n v="0"/>
    <n v="0"/>
  </r>
  <r>
    <x v="90"/>
    <s v="Europe"/>
    <x v="0"/>
    <n v="0"/>
    <n v="1"/>
    <n v="0"/>
  </r>
  <r>
    <x v="91"/>
    <s v="Europe"/>
    <x v="1"/>
    <n v="0"/>
    <n v="0"/>
    <n v="0"/>
  </r>
  <r>
    <x v="92"/>
    <s v="Europe"/>
    <x v="7"/>
    <n v="0"/>
    <n v="0"/>
    <n v="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x v="0"/>
    <n v="0"/>
    <n v="1"/>
    <n v="0"/>
    <n v="0"/>
    <n v="0"/>
    <n v="0"/>
    <n v="0"/>
    <n v="0"/>
  </r>
  <r>
    <x v="1"/>
    <s v="Middle East and Africa"/>
    <x v="1"/>
    <x v="0"/>
    <n v="0"/>
    <n v="0"/>
    <n v="1"/>
    <n v="1"/>
    <n v="0"/>
    <n v="0"/>
    <n v="0"/>
    <n v="0"/>
  </r>
  <r>
    <x v="2"/>
    <s v="Europe"/>
    <x v="2"/>
    <x v="1"/>
    <n v="0"/>
    <n v="0"/>
    <n v="0"/>
    <n v="0"/>
    <n v="0"/>
    <n v="0"/>
    <n v="0"/>
    <n v="0"/>
  </r>
  <r>
    <x v="3"/>
    <s v="Middle East and Africa"/>
    <x v="1"/>
    <x v="1"/>
    <n v="0"/>
    <n v="0"/>
    <n v="0"/>
    <n v="0"/>
    <n v="0"/>
    <n v="0"/>
    <n v="0"/>
    <n v="0"/>
  </r>
  <r>
    <x v="4"/>
    <s v="Europe"/>
    <x v="1"/>
    <x v="0"/>
    <n v="0"/>
    <n v="0"/>
    <n v="0"/>
    <n v="0"/>
    <n v="0"/>
    <n v="0"/>
    <n v="0"/>
    <n v="1"/>
  </r>
  <r>
    <x v="5"/>
    <s v="North America"/>
    <x v="3"/>
    <x v="0"/>
    <n v="0"/>
    <n v="0"/>
    <n v="0"/>
    <n v="0"/>
    <n v="1"/>
    <n v="0"/>
    <n v="0"/>
    <n v="0"/>
  </r>
  <r>
    <x v="6"/>
    <s v="Europe"/>
    <x v="0"/>
    <x v="0"/>
    <n v="0"/>
    <n v="0"/>
    <n v="0"/>
    <n v="0"/>
    <n v="1"/>
    <n v="0"/>
    <n v="0"/>
    <n v="0"/>
  </r>
  <r>
    <x v="7"/>
    <s v="Asia Pacific"/>
    <x v="1"/>
    <x v="1"/>
    <n v="0"/>
    <n v="0"/>
    <n v="0"/>
    <n v="0"/>
    <n v="0"/>
    <n v="0"/>
    <n v="0"/>
    <n v="0"/>
  </r>
  <r>
    <x v="8"/>
    <s v="Asia Pacific"/>
    <x v="3"/>
    <x v="1"/>
    <n v="0"/>
    <n v="0"/>
    <n v="0"/>
    <n v="0"/>
    <n v="0"/>
    <n v="0"/>
    <n v="0"/>
    <n v="0"/>
  </r>
  <r>
    <x v="9"/>
    <s v="Asia Pacific"/>
    <x v="3"/>
    <x v="0"/>
    <n v="0"/>
    <n v="0"/>
    <n v="1"/>
    <n v="0"/>
    <n v="0"/>
    <n v="0"/>
    <n v="0"/>
    <n v="1"/>
  </r>
  <r>
    <x v="10"/>
    <s v="Europe"/>
    <x v="3"/>
    <x v="0"/>
    <n v="0"/>
    <n v="1"/>
    <n v="0"/>
    <n v="0"/>
    <n v="0"/>
    <n v="0"/>
    <n v="0"/>
    <n v="0"/>
  </r>
  <r>
    <x v="11"/>
    <s v="Global"/>
    <x v="2"/>
    <x v="0"/>
    <n v="1"/>
    <n v="0"/>
    <n v="1"/>
    <n v="1"/>
    <n v="1"/>
    <n v="0"/>
    <n v="0"/>
    <n v="0"/>
  </r>
  <r>
    <x v="12"/>
    <s v="Global"/>
    <x v="2"/>
    <x v="0"/>
    <n v="1"/>
    <n v="1"/>
    <n v="1"/>
    <n v="0"/>
    <n v="0"/>
    <n v="1"/>
    <n v="0"/>
    <n v="0"/>
  </r>
  <r>
    <x v="13"/>
    <s v="Europe"/>
    <x v="0"/>
    <x v="0"/>
    <n v="0"/>
    <n v="1"/>
    <n v="0"/>
    <n v="0"/>
    <n v="0"/>
    <n v="0"/>
    <n v="0"/>
    <n v="1"/>
  </r>
  <r>
    <x v="14"/>
    <s v="Europe"/>
    <x v="0"/>
    <x v="0"/>
    <n v="0"/>
    <n v="1"/>
    <n v="1"/>
    <n v="0"/>
    <n v="0"/>
    <n v="0"/>
    <n v="0"/>
    <n v="0"/>
  </r>
  <r>
    <x v="15"/>
    <s v="South America"/>
    <x v="3"/>
    <x v="0"/>
    <n v="0"/>
    <n v="0"/>
    <n v="0"/>
    <n v="0"/>
    <n v="1"/>
    <n v="0"/>
    <n v="0"/>
    <n v="0"/>
  </r>
  <r>
    <x v="16"/>
    <s v="North America"/>
    <x v="0"/>
    <x v="1"/>
    <n v="0"/>
    <n v="0"/>
    <n v="0"/>
    <n v="0"/>
    <n v="0"/>
    <n v="0"/>
    <n v="0"/>
    <n v="0"/>
  </r>
  <r>
    <x v="17"/>
    <s v="North America"/>
    <x v="3"/>
    <x v="0"/>
    <n v="0"/>
    <n v="0"/>
    <n v="1"/>
    <n v="1"/>
    <n v="1"/>
    <n v="0"/>
    <n v="0"/>
    <n v="0"/>
  </r>
  <r>
    <x v="18"/>
    <s v="North America"/>
    <x v="4"/>
    <x v="1"/>
    <n v="0"/>
    <n v="0"/>
    <n v="0"/>
    <n v="0"/>
    <n v="0"/>
    <n v="0"/>
    <n v="0"/>
    <n v="0"/>
  </r>
  <r>
    <x v="19"/>
    <s v="South America"/>
    <x v="0"/>
    <x v="1"/>
    <n v="0"/>
    <n v="0"/>
    <n v="0"/>
    <n v="0"/>
    <n v="0"/>
    <n v="0"/>
    <n v="0"/>
    <n v="0"/>
  </r>
  <r>
    <x v="20"/>
    <s v="Middle East and Africa"/>
    <x v="1"/>
    <x v="0"/>
    <n v="0"/>
    <n v="1"/>
    <n v="0"/>
    <n v="0"/>
    <n v="1"/>
    <n v="0"/>
    <n v="0"/>
    <n v="0"/>
  </r>
  <r>
    <x v="21"/>
    <s v="Global"/>
    <x v="0"/>
    <x v="0"/>
    <n v="0"/>
    <n v="1"/>
    <n v="0"/>
    <n v="0"/>
    <n v="0"/>
    <n v="1"/>
    <n v="0"/>
    <n v="1"/>
  </r>
  <r>
    <x v="22"/>
    <s v="Europe"/>
    <x v="3"/>
    <x v="0"/>
    <n v="0"/>
    <n v="1"/>
    <n v="0"/>
    <n v="1"/>
    <n v="0"/>
    <n v="0"/>
    <n v="0"/>
    <n v="0"/>
  </r>
  <r>
    <x v="23"/>
    <s v="Europe"/>
    <x v="4"/>
    <x v="1"/>
    <n v="0"/>
    <n v="0"/>
    <n v="0"/>
    <n v="0"/>
    <n v="0"/>
    <n v="0"/>
    <n v="0"/>
    <n v="0"/>
  </r>
  <r>
    <x v="24"/>
    <s v="Europe"/>
    <x v="0"/>
    <x v="2"/>
    <n v="1"/>
    <n v="1"/>
    <n v="0"/>
    <n v="0"/>
    <n v="0"/>
    <n v="0"/>
    <n v="0"/>
    <n v="0"/>
  </r>
  <r>
    <x v="25"/>
    <s v="Asia Pacific"/>
    <x v="0"/>
    <x v="1"/>
    <n v="0"/>
    <n v="0"/>
    <n v="0"/>
    <n v="0"/>
    <n v="0"/>
    <n v="0"/>
    <n v="0"/>
    <n v="0"/>
  </r>
  <r>
    <x v="26"/>
    <s v="Europe"/>
    <x v="0"/>
    <x v="0"/>
    <n v="0"/>
    <n v="1"/>
    <n v="1"/>
    <n v="0"/>
    <n v="0"/>
    <n v="0"/>
    <n v="0"/>
    <n v="0"/>
  </r>
  <r>
    <x v="27"/>
    <s v="South America"/>
    <x v="1"/>
    <x v="0"/>
    <n v="0"/>
    <n v="1"/>
    <n v="0"/>
    <n v="0"/>
    <n v="0"/>
    <n v="0"/>
    <n v="0"/>
    <n v="0"/>
  </r>
  <r>
    <x v="28"/>
    <s v="Global"/>
    <x v="2"/>
    <x v="3"/>
    <n v="0"/>
    <n v="0"/>
    <n v="0"/>
    <n v="0"/>
    <n v="1"/>
    <n v="0"/>
    <n v="0"/>
    <n v="0"/>
  </r>
  <r>
    <x v="29"/>
    <s v="Europe"/>
    <x v="4"/>
    <x v="1"/>
    <n v="0"/>
    <n v="0"/>
    <n v="0"/>
    <n v="0"/>
    <n v="0"/>
    <n v="0"/>
    <n v="0"/>
    <n v="0"/>
  </r>
  <r>
    <x v="30"/>
    <s v="Middle East and Africa"/>
    <x v="2"/>
    <x v="3"/>
    <n v="0"/>
    <n v="0"/>
    <n v="0"/>
    <n v="0"/>
    <n v="0"/>
    <n v="0"/>
    <n v="0"/>
    <n v="1"/>
  </r>
  <r>
    <x v="31"/>
    <s v="Global"/>
    <x v="2"/>
    <x v="1"/>
    <n v="0"/>
    <n v="0"/>
    <n v="0"/>
    <n v="0"/>
    <n v="0"/>
    <n v="0"/>
    <n v="0"/>
    <n v="0"/>
  </r>
  <r>
    <x v="32"/>
    <s v="Europe"/>
    <x v="2"/>
    <x v="3"/>
    <n v="1"/>
    <n v="0"/>
    <n v="0"/>
    <n v="0"/>
    <n v="0"/>
    <n v="0"/>
    <n v="0"/>
    <n v="0"/>
  </r>
  <r>
    <x v="33"/>
    <s v="Global"/>
    <x v="2"/>
    <x v="1"/>
    <n v="0"/>
    <n v="0"/>
    <n v="0"/>
    <n v="0"/>
    <n v="0"/>
    <n v="0"/>
    <n v="0"/>
    <n v="0"/>
  </r>
  <r>
    <x v="34"/>
    <s v="Europe"/>
    <x v="0"/>
    <x v="0"/>
    <n v="0"/>
    <n v="1"/>
    <n v="1"/>
    <n v="1"/>
    <n v="0"/>
    <n v="0"/>
    <n v="0"/>
    <n v="0"/>
  </r>
  <r>
    <x v="35"/>
    <s v="Europe"/>
    <x v="0"/>
    <x v="1"/>
    <n v="0"/>
    <n v="0"/>
    <n v="0"/>
    <n v="0"/>
    <n v="0"/>
    <n v="0"/>
    <n v="0"/>
    <n v="0"/>
  </r>
  <r>
    <x v="36"/>
    <s v="South America"/>
    <x v="0"/>
    <x v="0"/>
    <n v="0"/>
    <n v="1"/>
    <n v="0"/>
    <n v="1"/>
    <n v="0"/>
    <n v="0"/>
    <n v="0"/>
    <n v="0"/>
  </r>
  <r>
    <x v="37"/>
    <s v="South America"/>
    <x v="1"/>
    <x v="3"/>
    <n v="0"/>
    <n v="1"/>
    <n v="0"/>
    <n v="0"/>
    <n v="0"/>
    <n v="0"/>
    <n v="0"/>
    <n v="0"/>
  </r>
  <r>
    <x v="38"/>
    <s v="Asia Pacific"/>
    <x v="1"/>
    <x v="1"/>
    <n v="0"/>
    <n v="0"/>
    <n v="0"/>
    <n v="0"/>
    <n v="0"/>
    <n v="0"/>
    <n v="0"/>
    <n v="0"/>
  </r>
  <r>
    <x v="39"/>
    <s v="Europe"/>
    <x v="2"/>
    <x v="1"/>
    <n v="0"/>
    <n v="0"/>
    <n v="0"/>
    <n v="0"/>
    <n v="0"/>
    <n v="0"/>
    <n v="0"/>
    <n v="0"/>
  </r>
  <r>
    <x v="40"/>
    <s v="Global"/>
    <x v="2"/>
    <x v="3"/>
    <n v="1"/>
    <n v="0"/>
    <n v="0"/>
    <n v="1"/>
    <n v="0"/>
    <n v="0"/>
    <n v="0"/>
    <n v="1"/>
  </r>
  <r>
    <x v="41"/>
    <s v="Global"/>
    <x v="2"/>
    <x v="1"/>
    <n v="0"/>
    <n v="0"/>
    <n v="0"/>
    <n v="0"/>
    <n v="0"/>
    <n v="0"/>
    <n v="0"/>
    <n v="0"/>
  </r>
  <r>
    <x v="42"/>
    <s v="Asia Pacific"/>
    <x v="3"/>
    <x v="3"/>
    <n v="1"/>
    <n v="1"/>
    <n v="0"/>
    <n v="0"/>
    <n v="0"/>
    <n v="0"/>
    <n v="0"/>
    <n v="0"/>
  </r>
  <r>
    <x v="43"/>
    <s v="North America"/>
    <x v="5"/>
    <x v="1"/>
    <n v="0"/>
    <n v="0"/>
    <n v="0"/>
    <n v="0"/>
    <n v="0"/>
    <n v="0"/>
    <n v="0"/>
    <n v="0"/>
  </r>
  <r>
    <x v="44"/>
    <s v="Europe"/>
    <x v="2"/>
    <x v="0"/>
    <n v="0"/>
    <n v="0"/>
    <n v="0"/>
    <n v="0"/>
    <n v="0"/>
    <n v="0"/>
    <n v="0"/>
    <n v="1"/>
  </r>
  <r>
    <x v="45"/>
    <s v="Global"/>
    <x v="0"/>
    <x v="1"/>
    <n v="0"/>
    <n v="0"/>
    <n v="0"/>
    <n v="0"/>
    <n v="0"/>
    <n v="0"/>
    <n v="0"/>
    <n v="0"/>
  </r>
  <r>
    <x v="46"/>
    <s v="Global"/>
    <x v="0"/>
    <x v="3"/>
    <n v="0"/>
    <n v="1"/>
    <n v="1"/>
    <n v="0"/>
    <n v="0"/>
    <n v="0"/>
    <n v="0"/>
    <n v="1"/>
  </r>
  <r>
    <x v="47"/>
    <s v="Global"/>
    <x v="6"/>
    <x v="1"/>
    <n v="0"/>
    <n v="0"/>
    <n v="0"/>
    <n v="0"/>
    <n v="0"/>
    <n v="0"/>
    <n v="0"/>
    <n v="0"/>
  </r>
  <r>
    <x v="48"/>
    <s v="Middle East and Africa"/>
    <x v="4"/>
    <x v="1"/>
    <n v="0"/>
    <n v="0"/>
    <n v="0"/>
    <n v="0"/>
    <n v="0"/>
    <n v="0"/>
    <n v="0"/>
    <n v="0"/>
  </r>
  <r>
    <x v="49"/>
    <s v="Europe"/>
    <x v="3"/>
    <x v="3"/>
    <n v="0"/>
    <n v="1"/>
    <n v="0"/>
    <n v="0"/>
    <n v="1"/>
    <n v="0"/>
    <n v="0"/>
    <n v="0"/>
  </r>
  <r>
    <x v="50"/>
    <s v="Middle East and Africa"/>
    <x v="0"/>
    <x v="0"/>
    <n v="0"/>
    <n v="0"/>
    <n v="0"/>
    <n v="0"/>
    <n v="0"/>
    <n v="0"/>
    <n v="0"/>
    <n v="1"/>
  </r>
  <r>
    <x v="51"/>
    <s v="Europe"/>
    <x v="0"/>
    <x v="3"/>
    <n v="0"/>
    <n v="0"/>
    <n v="0"/>
    <n v="0"/>
    <n v="0"/>
    <n v="0"/>
    <n v="1"/>
    <n v="0"/>
  </r>
  <r>
    <x v="52"/>
    <s v="Middle East and Africa"/>
    <x v="0"/>
    <x v="0"/>
    <n v="0"/>
    <n v="0"/>
    <n v="0"/>
    <n v="0"/>
    <n v="0"/>
    <n v="0"/>
    <n v="0"/>
    <n v="1"/>
  </r>
  <r>
    <x v="53"/>
    <s v="Asia Pacific"/>
    <x v="0"/>
    <x v="2"/>
    <n v="1"/>
    <n v="1"/>
    <n v="0"/>
    <n v="0"/>
    <n v="0"/>
    <n v="0"/>
    <n v="0"/>
    <n v="1"/>
  </r>
  <r>
    <x v="54"/>
    <s v="Europe"/>
    <x v="0"/>
    <x v="3"/>
    <n v="0"/>
    <n v="1"/>
    <n v="0"/>
    <n v="0"/>
    <n v="1"/>
    <n v="0"/>
    <n v="0"/>
    <n v="0"/>
  </r>
  <r>
    <x v="55"/>
    <s v="Asia Pacific"/>
    <x v="0"/>
    <x v="3"/>
    <n v="1"/>
    <n v="1"/>
    <n v="1"/>
    <n v="0"/>
    <n v="0"/>
    <n v="0"/>
    <n v="0"/>
    <n v="1"/>
  </r>
  <r>
    <x v="56"/>
    <s v="South America"/>
    <x v="0"/>
    <x v="3"/>
    <n v="0"/>
    <n v="1"/>
    <n v="1"/>
    <n v="0"/>
    <n v="0"/>
    <n v="0"/>
    <n v="0"/>
    <n v="0"/>
  </r>
  <r>
    <x v="57"/>
    <s v="Asia Pacific"/>
    <x v="0"/>
    <x v="0"/>
    <n v="0"/>
    <n v="0"/>
    <n v="1"/>
    <n v="0"/>
    <n v="0"/>
    <n v="0"/>
    <n v="0"/>
    <n v="1"/>
  </r>
  <r>
    <x v="58"/>
    <s v="Asia Pacific"/>
    <x v="0"/>
    <x v="3"/>
    <n v="0"/>
    <n v="0"/>
    <n v="1"/>
    <n v="0"/>
    <n v="0"/>
    <n v="0"/>
    <n v="0"/>
    <n v="1"/>
  </r>
  <r>
    <x v="59"/>
    <s v="Europe"/>
    <x v="0"/>
    <x v="1"/>
    <n v="0"/>
    <n v="0"/>
    <n v="0"/>
    <n v="0"/>
    <n v="0"/>
    <n v="0"/>
    <n v="0"/>
    <n v="0"/>
  </r>
  <r>
    <x v="60"/>
    <s v="South America"/>
    <x v="0"/>
    <x v="1"/>
    <n v="0"/>
    <n v="0"/>
    <n v="0"/>
    <n v="0"/>
    <n v="0"/>
    <n v="0"/>
    <n v="0"/>
    <n v="0"/>
  </r>
  <r>
    <x v="61"/>
    <s v="South America"/>
    <x v="0"/>
    <x v="1"/>
    <n v="0"/>
    <n v="0"/>
    <n v="0"/>
    <n v="0"/>
    <n v="0"/>
    <n v="0"/>
    <n v="0"/>
    <n v="0"/>
  </r>
  <r>
    <x v="62"/>
    <s v="South America"/>
    <x v="0"/>
    <x v="1"/>
    <n v="0"/>
    <n v="0"/>
    <n v="0"/>
    <n v="0"/>
    <n v="0"/>
    <n v="0"/>
    <n v="0"/>
    <n v="0"/>
  </r>
  <r>
    <x v="63"/>
    <s v="Europe"/>
    <x v="4"/>
    <x v="3"/>
    <n v="0"/>
    <n v="0"/>
    <n v="0"/>
    <n v="0"/>
    <n v="0"/>
    <n v="0"/>
    <n v="0"/>
    <n v="1"/>
  </r>
  <r>
    <x v="64"/>
    <s v="Asia Pacific"/>
    <x v="3"/>
    <x v="1"/>
    <n v="0"/>
    <n v="0"/>
    <n v="0"/>
    <n v="0"/>
    <n v="0"/>
    <n v="0"/>
    <n v="0"/>
    <n v="0"/>
  </r>
  <r>
    <x v="65"/>
    <s v="Global"/>
    <x v="2"/>
    <x v="1"/>
    <n v="0"/>
    <n v="0"/>
    <n v="0"/>
    <n v="0"/>
    <n v="0"/>
    <n v="0"/>
    <n v="0"/>
    <n v="0"/>
  </r>
  <r>
    <x v="66"/>
    <s v="Asia Pacific"/>
    <x v="3"/>
    <x v="0"/>
    <n v="1"/>
    <n v="1"/>
    <n v="1"/>
    <n v="0"/>
    <n v="0"/>
    <n v="0"/>
    <n v="0"/>
    <n v="0"/>
  </r>
  <r>
    <x v="67"/>
    <s v="Asia Pacific"/>
    <x v="0"/>
    <x v="1"/>
    <n v="0"/>
    <n v="0"/>
    <n v="0"/>
    <n v="0"/>
    <n v="0"/>
    <n v="0"/>
    <n v="0"/>
    <n v="0"/>
  </r>
  <r>
    <x v="68"/>
    <s v="Global"/>
    <x v="2"/>
    <x v="3"/>
    <n v="0"/>
    <n v="0"/>
    <n v="0"/>
    <n v="0"/>
    <n v="0"/>
    <n v="0"/>
    <n v="0"/>
    <n v="1"/>
  </r>
  <r>
    <x v="69"/>
    <s v="North America"/>
    <x v="1"/>
    <x v="1"/>
    <n v="0"/>
    <n v="0"/>
    <n v="0"/>
    <n v="0"/>
    <n v="0"/>
    <n v="0"/>
    <n v="0"/>
    <n v="0"/>
  </r>
  <r>
    <x v="70"/>
    <s v="North America"/>
    <x v="2"/>
    <x v="1"/>
    <n v="0"/>
    <n v="0"/>
    <n v="0"/>
    <n v="0"/>
    <n v="0"/>
    <n v="0"/>
    <n v="0"/>
    <n v="0"/>
  </r>
  <r>
    <x v="71"/>
    <s v="Global"/>
    <x v="2"/>
    <x v="1"/>
    <n v="0"/>
    <n v="0"/>
    <n v="0"/>
    <n v="0"/>
    <n v="0"/>
    <n v="0"/>
    <n v="0"/>
    <n v="0"/>
  </r>
  <r>
    <x v="72"/>
    <s v="Asia Pacific"/>
    <x v="3"/>
    <x v="3"/>
    <n v="0"/>
    <n v="1"/>
    <n v="1"/>
    <n v="0"/>
    <n v="0"/>
    <n v="0"/>
    <n v="0"/>
    <n v="1"/>
  </r>
  <r>
    <x v="73"/>
    <s v="Global"/>
    <x v="2"/>
    <x v="0"/>
    <n v="0"/>
    <n v="1"/>
    <n v="0"/>
    <n v="0"/>
    <n v="0"/>
    <n v="0"/>
    <n v="0"/>
    <n v="0"/>
  </r>
  <r>
    <x v="74"/>
    <s v="Europe"/>
    <x v="0"/>
    <x v="0"/>
    <n v="0"/>
    <n v="1"/>
    <n v="1"/>
    <n v="0"/>
    <n v="0"/>
    <n v="0"/>
    <n v="0"/>
    <n v="0"/>
  </r>
  <r>
    <x v="75"/>
    <s v="Asia Pacific"/>
    <x v="2"/>
    <x v="1"/>
    <n v="0"/>
    <n v="0"/>
    <n v="0"/>
    <n v="0"/>
    <n v="0"/>
    <n v="0"/>
    <n v="0"/>
    <n v="0"/>
  </r>
  <r>
    <x v="76"/>
    <s v="Global"/>
    <x v="2"/>
    <x v="0"/>
    <n v="1"/>
    <n v="0"/>
    <n v="0"/>
    <n v="0"/>
    <n v="0"/>
    <n v="0"/>
    <n v="0"/>
    <n v="1"/>
  </r>
  <r>
    <x v="77"/>
    <s v="Middle East and Africa"/>
    <x v="2"/>
    <x v="3"/>
    <n v="1"/>
    <n v="0"/>
    <n v="0"/>
    <n v="0"/>
    <n v="0"/>
    <n v="0"/>
    <n v="0"/>
    <n v="0"/>
  </r>
  <r>
    <x v="78"/>
    <s v="Global"/>
    <x v="2"/>
    <x v="1"/>
    <n v="0"/>
    <n v="0"/>
    <n v="0"/>
    <n v="0"/>
    <n v="0"/>
    <n v="0"/>
    <n v="0"/>
    <n v="0"/>
  </r>
  <r>
    <x v="79"/>
    <s v="Europe"/>
    <x v="3"/>
    <x v="0"/>
    <n v="0"/>
    <n v="0"/>
    <n v="0"/>
    <n v="0"/>
    <n v="0"/>
    <n v="1"/>
    <n v="0"/>
    <n v="1"/>
  </r>
  <r>
    <x v="80"/>
    <s v="Global"/>
    <x v="2"/>
    <x v="0"/>
    <n v="0"/>
    <n v="1"/>
    <n v="1"/>
    <n v="0"/>
    <n v="1"/>
    <n v="0"/>
    <n v="0"/>
    <n v="0"/>
  </r>
  <r>
    <x v="81"/>
    <s v="Middle East and Africa"/>
    <x v="1"/>
    <x v="1"/>
    <n v="0"/>
    <n v="0"/>
    <n v="0"/>
    <n v="0"/>
    <n v="0"/>
    <n v="0"/>
    <n v="0"/>
    <n v="0"/>
  </r>
  <r>
    <x v="82"/>
    <s v="South America"/>
    <x v="1"/>
    <x v="1"/>
    <n v="0"/>
    <n v="0"/>
    <n v="0"/>
    <n v="0"/>
    <n v="0"/>
    <n v="0"/>
    <n v="0"/>
    <n v="0"/>
  </r>
  <r>
    <x v="83"/>
    <s v="Middle East and Africa"/>
    <x v="2"/>
    <x v="1"/>
    <n v="0"/>
    <n v="0"/>
    <n v="0"/>
    <n v="0"/>
    <n v="0"/>
    <n v="0"/>
    <n v="0"/>
    <n v="0"/>
  </r>
  <r>
    <x v="84"/>
    <s v="Middle East and Africa"/>
    <x v="0"/>
    <x v="0"/>
    <n v="0"/>
    <n v="0"/>
    <n v="1"/>
    <n v="0"/>
    <n v="1"/>
    <n v="1"/>
    <n v="0"/>
    <n v="0"/>
  </r>
  <r>
    <x v="85"/>
    <s v="Middle East and Africa"/>
    <x v="0"/>
    <x v="2"/>
    <n v="0"/>
    <n v="0"/>
    <n v="0"/>
    <n v="0"/>
    <n v="0"/>
    <n v="0"/>
    <n v="0"/>
    <n v="1"/>
  </r>
  <r>
    <x v="86"/>
    <s v="Europe"/>
    <x v="2"/>
    <x v="1"/>
    <n v="0"/>
    <n v="0"/>
    <n v="0"/>
    <n v="0"/>
    <n v="0"/>
    <n v="0"/>
    <n v="0"/>
    <n v="0"/>
  </r>
  <r>
    <x v="87"/>
    <s v="Middle East and Africa"/>
    <x v="0"/>
    <x v="2"/>
    <n v="1"/>
    <n v="0"/>
    <n v="0"/>
    <n v="0"/>
    <n v="0"/>
    <n v="0"/>
    <n v="0"/>
    <n v="0"/>
  </r>
  <r>
    <x v="88"/>
    <s v="Asia Pacific"/>
    <x v="3"/>
    <x v="0"/>
    <n v="0"/>
    <n v="1"/>
    <n v="1"/>
    <n v="0"/>
    <n v="0"/>
    <n v="0"/>
    <n v="0"/>
    <n v="0"/>
  </r>
  <r>
    <x v="89"/>
    <s v="North America"/>
    <x v="7"/>
    <x v="1"/>
    <n v="0"/>
    <n v="0"/>
    <n v="0"/>
    <n v="0"/>
    <n v="0"/>
    <n v="0"/>
    <n v="0"/>
    <n v="0"/>
  </r>
  <r>
    <x v="90"/>
    <s v="Europe"/>
    <x v="0"/>
    <x v="0"/>
    <n v="0"/>
    <n v="0"/>
    <n v="1"/>
    <n v="0"/>
    <n v="0"/>
    <n v="0"/>
    <n v="0"/>
    <n v="0"/>
  </r>
  <r>
    <x v="91"/>
    <s v="Europe"/>
    <x v="1"/>
    <x v="3"/>
    <n v="0"/>
    <n v="0"/>
    <n v="0"/>
    <n v="0"/>
    <n v="1"/>
    <n v="0"/>
    <n v="0"/>
    <n v="0"/>
  </r>
  <r>
    <x v="92"/>
    <s v="Europe"/>
    <x v="7"/>
    <x v="3"/>
    <n v="0"/>
    <n v="0"/>
    <n v="0"/>
    <n v="0"/>
    <n v="0"/>
    <n v="0"/>
    <n v="0"/>
    <n v="1"/>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x v="0"/>
    <n v="0"/>
    <n v="0"/>
    <n v="0"/>
    <n v="1"/>
    <n v="0"/>
    <n v="0"/>
    <n v="0"/>
    <n v="0"/>
    <n v="0"/>
  </r>
  <r>
    <x v="1"/>
    <s v="Middle East and Africa"/>
    <x v="1"/>
    <x v="1"/>
    <n v="0"/>
    <n v="0"/>
    <n v="0"/>
    <n v="0"/>
    <n v="0"/>
    <n v="0"/>
    <n v="0"/>
    <n v="0"/>
    <n v="0"/>
  </r>
  <r>
    <x v="2"/>
    <s v="Europe"/>
    <x v="2"/>
    <x v="2"/>
    <n v="1"/>
    <n v="0"/>
    <n v="0"/>
    <n v="0"/>
    <n v="0"/>
    <n v="0"/>
    <n v="0"/>
    <n v="0"/>
    <n v="0"/>
  </r>
  <r>
    <x v="3"/>
    <s v="Middle East and Africa"/>
    <x v="1"/>
    <x v="1"/>
    <n v="0"/>
    <n v="0"/>
    <n v="0"/>
    <n v="0"/>
    <n v="0"/>
    <n v="0"/>
    <n v="0"/>
    <n v="0"/>
    <n v="0"/>
  </r>
  <r>
    <x v="4"/>
    <s v="Europe"/>
    <x v="1"/>
    <x v="3"/>
    <n v="0"/>
    <n v="0"/>
    <n v="0"/>
    <n v="0"/>
    <n v="0"/>
    <n v="0"/>
    <n v="0"/>
    <n v="0"/>
    <n v="1"/>
  </r>
  <r>
    <x v="5"/>
    <s v="North America"/>
    <x v="3"/>
    <x v="0"/>
    <n v="1"/>
    <n v="1"/>
    <n v="0"/>
    <n v="0"/>
    <n v="0"/>
    <n v="0"/>
    <n v="0"/>
    <n v="0"/>
    <n v="0"/>
  </r>
  <r>
    <x v="6"/>
    <s v="Europe"/>
    <x v="0"/>
    <x v="3"/>
    <n v="1"/>
    <n v="0"/>
    <n v="0"/>
    <n v="0"/>
    <n v="0"/>
    <n v="0"/>
    <n v="0"/>
    <n v="0"/>
    <n v="0"/>
  </r>
  <r>
    <x v="7"/>
    <s v="Asia Pacific"/>
    <x v="1"/>
    <x v="1"/>
    <n v="0"/>
    <n v="0"/>
    <n v="0"/>
    <n v="0"/>
    <n v="0"/>
    <n v="0"/>
    <n v="0"/>
    <n v="0"/>
    <n v="0"/>
  </r>
  <r>
    <x v="8"/>
    <s v="Asia Pacific"/>
    <x v="3"/>
    <x v="1"/>
    <n v="0"/>
    <n v="0"/>
    <n v="0"/>
    <n v="0"/>
    <n v="0"/>
    <n v="0"/>
    <n v="0"/>
    <n v="0"/>
    <n v="0"/>
  </r>
  <r>
    <x v="9"/>
    <s v="Asia Pacific"/>
    <x v="3"/>
    <x v="0"/>
    <n v="0"/>
    <n v="0"/>
    <n v="0"/>
    <n v="0"/>
    <n v="0"/>
    <n v="0"/>
    <n v="0"/>
    <n v="0"/>
    <n v="1"/>
  </r>
  <r>
    <x v="10"/>
    <s v="Europe"/>
    <x v="3"/>
    <x v="2"/>
    <n v="0"/>
    <n v="0"/>
    <n v="0"/>
    <n v="0"/>
    <n v="0"/>
    <n v="1"/>
    <n v="0"/>
    <n v="0"/>
    <n v="0"/>
  </r>
  <r>
    <x v="11"/>
    <s v="Global"/>
    <x v="2"/>
    <x v="2"/>
    <n v="0"/>
    <n v="0"/>
    <n v="0"/>
    <n v="0"/>
    <n v="0"/>
    <n v="0"/>
    <n v="0"/>
    <n v="0"/>
    <n v="1"/>
  </r>
  <r>
    <x v="12"/>
    <s v="Global"/>
    <x v="2"/>
    <x v="0"/>
    <n v="0"/>
    <n v="0"/>
    <n v="1"/>
    <n v="1"/>
    <n v="0"/>
    <n v="0"/>
    <n v="0"/>
    <n v="0"/>
    <n v="1"/>
  </r>
  <r>
    <x v="13"/>
    <s v="Europe"/>
    <x v="0"/>
    <x v="1"/>
    <n v="0"/>
    <n v="0"/>
    <n v="0"/>
    <n v="0"/>
    <n v="0"/>
    <n v="0"/>
    <n v="0"/>
    <n v="0"/>
    <n v="0"/>
  </r>
  <r>
    <x v="14"/>
    <s v="Europe"/>
    <x v="0"/>
    <x v="0"/>
    <n v="0"/>
    <n v="1"/>
    <n v="0"/>
    <n v="1"/>
    <n v="0"/>
    <n v="0"/>
    <n v="0"/>
    <n v="0"/>
    <n v="0"/>
  </r>
  <r>
    <x v="15"/>
    <s v="South America"/>
    <x v="3"/>
    <x v="3"/>
    <n v="1"/>
    <n v="0"/>
    <n v="0"/>
    <n v="0"/>
    <n v="0"/>
    <n v="1"/>
    <n v="1"/>
    <n v="0"/>
    <n v="0"/>
  </r>
  <r>
    <x v="16"/>
    <s v="North America"/>
    <x v="0"/>
    <x v="2"/>
    <n v="0"/>
    <n v="0"/>
    <n v="0"/>
    <n v="0"/>
    <n v="0"/>
    <n v="0"/>
    <n v="0"/>
    <n v="0"/>
    <n v="1"/>
  </r>
  <r>
    <x v="17"/>
    <s v="North America"/>
    <x v="3"/>
    <x v="0"/>
    <n v="0"/>
    <n v="1"/>
    <n v="1"/>
    <n v="0"/>
    <n v="1"/>
    <n v="0"/>
    <n v="0"/>
    <n v="0"/>
    <n v="0"/>
  </r>
  <r>
    <x v="18"/>
    <s v="North America"/>
    <x v="4"/>
    <x v="2"/>
    <n v="0"/>
    <n v="0"/>
    <n v="0"/>
    <n v="0"/>
    <n v="0"/>
    <n v="0"/>
    <n v="0"/>
    <n v="0"/>
    <n v="1"/>
  </r>
  <r>
    <x v="19"/>
    <s v="South America"/>
    <x v="0"/>
    <x v="0"/>
    <n v="0"/>
    <n v="0"/>
    <n v="0"/>
    <n v="0"/>
    <n v="0"/>
    <n v="0"/>
    <n v="0"/>
    <n v="0"/>
    <n v="1"/>
  </r>
  <r>
    <x v="20"/>
    <s v="Middle East and Africa"/>
    <x v="1"/>
    <x v="0"/>
    <n v="0"/>
    <n v="0"/>
    <n v="1"/>
    <n v="0"/>
    <n v="0"/>
    <n v="0"/>
    <n v="0"/>
    <n v="0"/>
    <n v="0"/>
  </r>
  <r>
    <x v="21"/>
    <s v="Global"/>
    <x v="0"/>
    <x v="0"/>
    <n v="0"/>
    <n v="0"/>
    <n v="1"/>
    <n v="1"/>
    <n v="0"/>
    <n v="0"/>
    <n v="0"/>
    <n v="0"/>
    <n v="1"/>
  </r>
  <r>
    <x v="22"/>
    <s v="Europe"/>
    <x v="3"/>
    <x v="0"/>
    <n v="0"/>
    <n v="0"/>
    <n v="0"/>
    <n v="1"/>
    <n v="0"/>
    <n v="0"/>
    <n v="0"/>
    <n v="0"/>
    <n v="1"/>
  </r>
  <r>
    <x v="23"/>
    <s v="Europe"/>
    <x v="4"/>
    <x v="2"/>
    <n v="1"/>
    <n v="0"/>
    <n v="0"/>
    <n v="0"/>
    <n v="0"/>
    <n v="0"/>
    <n v="0"/>
    <n v="0"/>
    <n v="0"/>
  </r>
  <r>
    <x v="24"/>
    <s v="Europe"/>
    <x v="0"/>
    <x v="1"/>
    <n v="0"/>
    <n v="0"/>
    <n v="0"/>
    <n v="0"/>
    <n v="0"/>
    <n v="0"/>
    <n v="0"/>
    <n v="0"/>
    <n v="0"/>
  </r>
  <r>
    <x v="25"/>
    <s v="Asia Pacific"/>
    <x v="0"/>
    <x v="3"/>
    <n v="0"/>
    <n v="0"/>
    <n v="1"/>
    <n v="0"/>
    <n v="0"/>
    <n v="0"/>
    <n v="0"/>
    <n v="0"/>
    <n v="0"/>
  </r>
  <r>
    <x v="26"/>
    <s v="Europe"/>
    <x v="0"/>
    <x v="1"/>
    <n v="0"/>
    <n v="0"/>
    <n v="0"/>
    <n v="0"/>
    <n v="0"/>
    <n v="0"/>
    <n v="0"/>
    <n v="0"/>
    <n v="0"/>
  </r>
  <r>
    <x v="27"/>
    <s v="South America"/>
    <x v="1"/>
    <x v="3"/>
    <n v="1"/>
    <n v="1"/>
    <n v="0"/>
    <n v="0"/>
    <n v="0"/>
    <n v="0"/>
    <n v="1"/>
    <n v="0"/>
    <n v="1"/>
  </r>
  <r>
    <x v="28"/>
    <s v="Global"/>
    <x v="2"/>
    <x v="0"/>
    <n v="1"/>
    <n v="0"/>
    <n v="0"/>
    <n v="0"/>
    <n v="1"/>
    <n v="0"/>
    <n v="0"/>
    <n v="0"/>
    <n v="0"/>
  </r>
  <r>
    <x v="29"/>
    <s v="Europe"/>
    <x v="4"/>
    <x v="3"/>
    <n v="0"/>
    <n v="0"/>
    <n v="0"/>
    <n v="0"/>
    <n v="0"/>
    <n v="0"/>
    <n v="0"/>
    <n v="1"/>
    <n v="1"/>
  </r>
  <r>
    <x v="30"/>
    <s v="Middle East and Africa"/>
    <x v="2"/>
    <x v="2"/>
    <n v="0"/>
    <n v="0"/>
    <n v="0"/>
    <n v="0"/>
    <n v="0"/>
    <n v="0"/>
    <n v="0"/>
    <n v="0"/>
    <n v="1"/>
  </r>
  <r>
    <x v="31"/>
    <s v="Global"/>
    <x v="2"/>
    <x v="3"/>
    <n v="0"/>
    <n v="1"/>
    <n v="0"/>
    <n v="0"/>
    <n v="0"/>
    <n v="1"/>
    <n v="1"/>
    <n v="1"/>
    <n v="0"/>
  </r>
  <r>
    <x v="32"/>
    <s v="Europe"/>
    <x v="2"/>
    <x v="1"/>
    <n v="0"/>
    <n v="0"/>
    <n v="0"/>
    <n v="0"/>
    <n v="0"/>
    <n v="0"/>
    <n v="0"/>
    <n v="0"/>
    <n v="0"/>
  </r>
  <r>
    <x v="33"/>
    <s v="Global"/>
    <x v="2"/>
    <x v="3"/>
    <n v="1"/>
    <n v="1"/>
    <n v="0"/>
    <n v="0"/>
    <n v="0"/>
    <n v="1"/>
    <n v="0"/>
    <n v="0"/>
    <n v="1"/>
  </r>
  <r>
    <x v="34"/>
    <s v="Europe"/>
    <x v="0"/>
    <x v="0"/>
    <n v="1"/>
    <n v="0"/>
    <n v="0"/>
    <n v="1"/>
    <n v="0"/>
    <n v="0"/>
    <n v="0"/>
    <n v="0"/>
    <n v="1"/>
  </r>
  <r>
    <x v="35"/>
    <s v="Europe"/>
    <x v="0"/>
    <x v="1"/>
    <n v="0"/>
    <n v="0"/>
    <n v="0"/>
    <n v="0"/>
    <n v="0"/>
    <n v="0"/>
    <n v="0"/>
    <n v="0"/>
    <n v="0"/>
  </r>
  <r>
    <x v="36"/>
    <s v="South America"/>
    <x v="0"/>
    <x v="0"/>
    <n v="0"/>
    <n v="0"/>
    <n v="0"/>
    <n v="0"/>
    <n v="0"/>
    <n v="0"/>
    <n v="0"/>
    <n v="0"/>
    <n v="1"/>
  </r>
  <r>
    <x v="37"/>
    <s v="South America"/>
    <x v="1"/>
    <x v="0"/>
    <n v="0"/>
    <n v="0"/>
    <n v="0"/>
    <n v="0"/>
    <n v="0"/>
    <n v="0"/>
    <n v="0"/>
    <n v="0"/>
    <n v="1"/>
  </r>
  <r>
    <x v="38"/>
    <s v="Asia Pacific"/>
    <x v="1"/>
    <x v="1"/>
    <n v="0"/>
    <n v="0"/>
    <n v="0"/>
    <n v="0"/>
    <n v="0"/>
    <n v="0"/>
    <n v="0"/>
    <n v="0"/>
    <n v="0"/>
  </r>
  <r>
    <x v="39"/>
    <s v="Europe"/>
    <x v="2"/>
    <x v="0"/>
    <n v="0"/>
    <n v="0"/>
    <n v="0"/>
    <n v="1"/>
    <n v="0"/>
    <n v="0"/>
    <n v="0"/>
    <n v="0"/>
    <n v="0"/>
  </r>
  <r>
    <x v="40"/>
    <s v="Global"/>
    <x v="2"/>
    <x v="3"/>
    <n v="1"/>
    <n v="0"/>
    <n v="0"/>
    <n v="0"/>
    <n v="0"/>
    <n v="0"/>
    <n v="1"/>
    <n v="0"/>
    <n v="1"/>
  </r>
  <r>
    <x v="41"/>
    <s v="Global"/>
    <x v="2"/>
    <x v="0"/>
    <n v="1"/>
    <n v="0"/>
    <n v="0"/>
    <n v="0"/>
    <n v="1"/>
    <n v="0"/>
    <n v="0"/>
    <n v="0"/>
    <n v="0"/>
  </r>
  <r>
    <x v="42"/>
    <s v="Asia Pacific"/>
    <x v="3"/>
    <x v="2"/>
    <n v="0"/>
    <n v="0"/>
    <n v="0"/>
    <n v="0"/>
    <n v="0"/>
    <n v="0"/>
    <n v="0"/>
    <n v="0"/>
    <n v="1"/>
  </r>
  <r>
    <x v="43"/>
    <s v="North America"/>
    <x v="5"/>
    <x v="1"/>
    <n v="0"/>
    <n v="0"/>
    <n v="0"/>
    <n v="0"/>
    <n v="0"/>
    <n v="0"/>
    <n v="0"/>
    <n v="0"/>
    <n v="0"/>
  </r>
  <r>
    <x v="44"/>
    <s v="Europe"/>
    <x v="2"/>
    <x v="3"/>
    <n v="1"/>
    <n v="0"/>
    <n v="0"/>
    <n v="0"/>
    <n v="0"/>
    <n v="0"/>
    <n v="0"/>
    <n v="0"/>
    <n v="0"/>
  </r>
  <r>
    <x v="45"/>
    <s v="Global"/>
    <x v="0"/>
    <x v="1"/>
    <n v="0"/>
    <n v="0"/>
    <n v="0"/>
    <n v="0"/>
    <n v="0"/>
    <n v="0"/>
    <n v="0"/>
    <n v="0"/>
    <n v="0"/>
  </r>
  <r>
    <x v="46"/>
    <s v="Global"/>
    <x v="0"/>
    <x v="2"/>
    <n v="0"/>
    <n v="0"/>
    <n v="0"/>
    <n v="0"/>
    <n v="0"/>
    <n v="1"/>
    <n v="0"/>
    <n v="0"/>
    <n v="1"/>
  </r>
  <r>
    <x v="47"/>
    <s v="Global"/>
    <x v="6"/>
    <x v="2"/>
    <n v="1"/>
    <n v="0"/>
    <n v="0"/>
    <n v="0"/>
    <n v="0"/>
    <n v="0"/>
    <n v="0"/>
    <n v="0"/>
    <n v="0"/>
  </r>
  <r>
    <x v="48"/>
    <s v="Middle East and Africa"/>
    <x v="4"/>
    <x v="2"/>
    <n v="1"/>
    <n v="0"/>
    <n v="0"/>
    <n v="0"/>
    <n v="0"/>
    <n v="0"/>
    <n v="0"/>
    <n v="0"/>
    <n v="0"/>
  </r>
  <r>
    <x v="49"/>
    <s v="Europe"/>
    <x v="3"/>
    <x v="0"/>
    <n v="0"/>
    <n v="0"/>
    <n v="1"/>
    <n v="0"/>
    <n v="0"/>
    <n v="0"/>
    <n v="0"/>
    <n v="0"/>
    <n v="0"/>
  </r>
  <r>
    <x v="50"/>
    <s v="Middle East and Africa"/>
    <x v="0"/>
    <x v="2"/>
    <n v="1"/>
    <n v="0"/>
    <n v="0"/>
    <n v="0"/>
    <n v="0"/>
    <n v="0"/>
    <n v="0"/>
    <n v="0"/>
    <n v="0"/>
  </r>
  <r>
    <x v="51"/>
    <s v="Europe"/>
    <x v="0"/>
    <x v="0"/>
    <n v="0"/>
    <n v="0"/>
    <n v="0"/>
    <n v="0"/>
    <n v="0"/>
    <n v="0"/>
    <n v="0"/>
    <n v="0"/>
    <n v="1"/>
  </r>
  <r>
    <x v="52"/>
    <s v="Middle East and Africa"/>
    <x v="0"/>
    <x v="3"/>
    <n v="0"/>
    <n v="0"/>
    <n v="0"/>
    <n v="0"/>
    <n v="0"/>
    <n v="0"/>
    <n v="0"/>
    <n v="0"/>
    <n v="1"/>
  </r>
  <r>
    <x v="53"/>
    <s v="Asia Pacific"/>
    <x v="0"/>
    <x v="0"/>
    <n v="1"/>
    <n v="0"/>
    <n v="0"/>
    <n v="0"/>
    <n v="0"/>
    <n v="0"/>
    <n v="0"/>
    <n v="0"/>
    <n v="1"/>
  </r>
  <r>
    <x v="54"/>
    <s v="Europe"/>
    <x v="0"/>
    <x v="0"/>
    <n v="1"/>
    <n v="0"/>
    <n v="0"/>
    <n v="0"/>
    <n v="0"/>
    <n v="0"/>
    <n v="0"/>
    <n v="0"/>
    <n v="1"/>
  </r>
  <r>
    <x v="55"/>
    <s v="Asia Pacific"/>
    <x v="0"/>
    <x v="0"/>
    <n v="0"/>
    <n v="0"/>
    <n v="0"/>
    <n v="0"/>
    <n v="0"/>
    <n v="0"/>
    <n v="0"/>
    <n v="0"/>
    <n v="1"/>
  </r>
  <r>
    <x v="56"/>
    <s v="South America"/>
    <x v="0"/>
    <x v="3"/>
    <n v="1"/>
    <n v="0"/>
    <n v="0"/>
    <n v="0"/>
    <n v="0"/>
    <n v="0"/>
    <n v="0"/>
    <n v="0"/>
    <n v="0"/>
  </r>
  <r>
    <x v="57"/>
    <s v="Asia Pacific"/>
    <x v="0"/>
    <x v="3"/>
    <n v="1"/>
    <n v="0"/>
    <n v="0"/>
    <n v="0"/>
    <n v="0"/>
    <n v="0"/>
    <n v="0"/>
    <n v="0"/>
    <n v="0"/>
  </r>
  <r>
    <x v="58"/>
    <s v="Asia Pacific"/>
    <x v="0"/>
    <x v="0"/>
    <n v="1"/>
    <n v="0"/>
    <n v="0"/>
    <n v="0"/>
    <n v="1"/>
    <n v="0"/>
    <n v="0"/>
    <n v="0"/>
    <n v="1"/>
  </r>
  <r>
    <x v="59"/>
    <s v="Europe"/>
    <x v="0"/>
    <x v="3"/>
    <n v="1"/>
    <n v="0"/>
    <n v="0"/>
    <n v="0"/>
    <n v="0"/>
    <n v="1"/>
    <n v="1"/>
    <n v="0"/>
    <n v="1"/>
  </r>
  <r>
    <x v="60"/>
    <s v="South America"/>
    <x v="0"/>
    <x v="1"/>
    <n v="0"/>
    <n v="0"/>
    <n v="0"/>
    <n v="0"/>
    <n v="0"/>
    <n v="0"/>
    <n v="0"/>
    <n v="0"/>
    <n v="0"/>
  </r>
  <r>
    <x v="61"/>
    <s v="South America"/>
    <x v="0"/>
    <x v="3"/>
    <n v="0"/>
    <n v="0"/>
    <n v="1"/>
    <n v="0"/>
    <n v="0"/>
    <n v="0"/>
    <n v="0"/>
    <n v="0"/>
    <n v="1"/>
  </r>
  <r>
    <x v="62"/>
    <s v="South America"/>
    <x v="0"/>
    <x v="3"/>
    <n v="0"/>
    <n v="0"/>
    <n v="0"/>
    <n v="0"/>
    <n v="0"/>
    <n v="0"/>
    <n v="0"/>
    <n v="0"/>
    <n v="1"/>
  </r>
  <r>
    <x v="63"/>
    <s v="Europe"/>
    <x v="4"/>
    <x v="2"/>
    <n v="1"/>
    <n v="0"/>
    <n v="0"/>
    <n v="0"/>
    <n v="0"/>
    <n v="0"/>
    <n v="0"/>
    <n v="0"/>
    <n v="0"/>
  </r>
  <r>
    <x v="64"/>
    <s v="Asia Pacific"/>
    <x v="3"/>
    <x v="2"/>
    <n v="0"/>
    <n v="0"/>
    <n v="1"/>
    <n v="0"/>
    <n v="0"/>
    <n v="0"/>
    <n v="0"/>
    <n v="0"/>
    <n v="0"/>
  </r>
  <r>
    <x v="65"/>
    <s v="Global"/>
    <x v="2"/>
    <x v="3"/>
    <n v="1"/>
    <n v="1"/>
    <n v="1"/>
    <n v="0"/>
    <n v="0"/>
    <n v="0"/>
    <n v="0"/>
    <n v="0"/>
    <n v="1"/>
  </r>
  <r>
    <x v="66"/>
    <s v="Asia Pacific"/>
    <x v="3"/>
    <x v="2"/>
    <n v="1"/>
    <n v="0"/>
    <n v="0"/>
    <n v="0"/>
    <n v="0"/>
    <n v="0"/>
    <n v="0"/>
    <n v="0"/>
    <n v="0"/>
  </r>
  <r>
    <x v="67"/>
    <s v="Asia Pacific"/>
    <x v="0"/>
    <x v="1"/>
    <n v="0"/>
    <n v="0"/>
    <n v="0"/>
    <n v="0"/>
    <n v="0"/>
    <n v="0"/>
    <n v="0"/>
    <n v="0"/>
    <n v="0"/>
  </r>
  <r>
    <x v="68"/>
    <s v="Global"/>
    <x v="2"/>
    <x v="1"/>
    <n v="0"/>
    <n v="0"/>
    <n v="0"/>
    <n v="0"/>
    <n v="0"/>
    <n v="0"/>
    <n v="0"/>
    <n v="0"/>
    <n v="0"/>
  </r>
  <r>
    <x v="69"/>
    <s v="North America"/>
    <x v="1"/>
    <x v="0"/>
    <n v="0"/>
    <n v="0"/>
    <n v="0"/>
    <n v="0"/>
    <n v="0"/>
    <n v="0"/>
    <n v="0"/>
    <n v="0"/>
    <n v="1"/>
  </r>
  <r>
    <x v="70"/>
    <s v="North America"/>
    <x v="2"/>
    <x v="3"/>
    <n v="0"/>
    <n v="1"/>
    <n v="0"/>
    <n v="0"/>
    <n v="0"/>
    <n v="1"/>
    <n v="0"/>
    <n v="0"/>
    <n v="0"/>
  </r>
  <r>
    <x v="71"/>
    <s v="Global"/>
    <x v="2"/>
    <x v="0"/>
    <n v="0"/>
    <n v="0"/>
    <n v="0"/>
    <n v="1"/>
    <n v="0"/>
    <n v="0"/>
    <n v="0"/>
    <n v="0"/>
    <n v="0"/>
  </r>
  <r>
    <x v="72"/>
    <s v="Asia Pacific"/>
    <x v="3"/>
    <x v="0"/>
    <n v="1"/>
    <n v="1"/>
    <n v="1"/>
    <n v="0"/>
    <n v="1"/>
    <n v="0"/>
    <n v="0"/>
    <n v="0"/>
    <n v="1"/>
  </r>
  <r>
    <x v="73"/>
    <s v="Global"/>
    <x v="2"/>
    <x v="0"/>
    <n v="0"/>
    <n v="0"/>
    <n v="0"/>
    <n v="1"/>
    <n v="0"/>
    <n v="0"/>
    <n v="0"/>
    <n v="0"/>
    <n v="0"/>
  </r>
  <r>
    <x v="74"/>
    <s v="Europe"/>
    <x v="0"/>
    <x v="1"/>
    <n v="0"/>
    <n v="0"/>
    <n v="0"/>
    <n v="0"/>
    <n v="0"/>
    <n v="0"/>
    <n v="0"/>
    <n v="0"/>
    <n v="0"/>
  </r>
  <r>
    <x v="75"/>
    <s v="Asia Pacific"/>
    <x v="2"/>
    <x v="1"/>
    <n v="0"/>
    <n v="0"/>
    <n v="0"/>
    <n v="0"/>
    <n v="0"/>
    <n v="0"/>
    <n v="0"/>
    <n v="0"/>
    <n v="0"/>
  </r>
  <r>
    <x v="76"/>
    <s v="Global"/>
    <x v="2"/>
    <x v="1"/>
    <n v="0"/>
    <n v="0"/>
    <n v="0"/>
    <n v="0"/>
    <n v="0"/>
    <n v="0"/>
    <n v="0"/>
    <n v="0"/>
    <n v="0"/>
  </r>
  <r>
    <x v="77"/>
    <s v="Middle East and Africa"/>
    <x v="2"/>
    <x v="1"/>
    <n v="0"/>
    <n v="0"/>
    <n v="0"/>
    <n v="0"/>
    <n v="0"/>
    <n v="0"/>
    <n v="0"/>
    <n v="0"/>
    <n v="0"/>
  </r>
  <r>
    <x v="78"/>
    <s v="Global"/>
    <x v="2"/>
    <x v="3"/>
    <n v="1"/>
    <n v="0"/>
    <n v="1"/>
    <n v="0"/>
    <n v="0"/>
    <n v="0"/>
    <n v="0"/>
    <n v="0"/>
    <n v="1"/>
  </r>
  <r>
    <x v="79"/>
    <s v="Europe"/>
    <x v="3"/>
    <x v="2"/>
    <n v="0"/>
    <n v="0"/>
    <n v="0"/>
    <n v="0"/>
    <n v="0"/>
    <n v="0"/>
    <n v="0"/>
    <n v="0"/>
    <n v="1"/>
  </r>
  <r>
    <x v="80"/>
    <s v="Global"/>
    <x v="2"/>
    <x v="3"/>
    <n v="0"/>
    <n v="0"/>
    <n v="0"/>
    <n v="0"/>
    <n v="0"/>
    <n v="1"/>
    <n v="0"/>
    <n v="0"/>
    <n v="1"/>
  </r>
  <r>
    <x v="81"/>
    <s v="Middle East and Africa"/>
    <x v="1"/>
    <x v="1"/>
    <n v="0"/>
    <n v="0"/>
    <n v="0"/>
    <n v="0"/>
    <n v="0"/>
    <n v="0"/>
    <n v="0"/>
    <n v="0"/>
    <n v="0"/>
  </r>
  <r>
    <x v="82"/>
    <s v="South America"/>
    <x v="1"/>
    <x v="1"/>
    <n v="0"/>
    <n v="0"/>
    <n v="0"/>
    <n v="0"/>
    <n v="0"/>
    <n v="0"/>
    <n v="0"/>
    <n v="0"/>
    <n v="0"/>
  </r>
  <r>
    <x v="83"/>
    <s v="Middle East and Africa"/>
    <x v="2"/>
    <x v="1"/>
    <n v="0"/>
    <n v="0"/>
    <n v="0"/>
    <n v="0"/>
    <n v="0"/>
    <n v="0"/>
    <n v="0"/>
    <n v="0"/>
    <n v="0"/>
  </r>
  <r>
    <x v="84"/>
    <s v="Middle East and Africa"/>
    <x v="0"/>
    <x v="1"/>
    <n v="0"/>
    <n v="0"/>
    <n v="0"/>
    <n v="0"/>
    <n v="0"/>
    <n v="0"/>
    <n v="0"/>
    <n v="0"/>
    <n v="0"/>
  </r>
  <r>
    <x v="85"/>
    <s v="Middle East and Africa"/>
    <x v="0"/>
    <x v="1"/>
    <n v="0"/>
    <n v="0"/>
    <n v="0"/>
    <n v="0"/>
    <n v="0"/>
    <n v="0"/>
    <n v="0"/>
    <n v="0"/>
    <n v="0"/>
  </r>
  <r>
    <x v="86"/>
    <s v="Europe"/>
    <x v="2"/>
    <x v="3"/>
    <n v="0"/>
    <n v="0"/>
    <n v="0"/>
    <n v="0"/>
    <n v="0"/>
    <n v="0"/>
    <n v="0"/>
    <n v="0"/>
    <n v="1"/>
  </r>
  <r>
    <x v="87"/>
    <s v="Middle East and Africa"/>
    <x v="0"/>
    <x v="1"/>
    <n v="0"/>
    <n v="0"/>
    <n v="0"/>
    <n v="0"/>
    <n v="0"/>
    <n v="0"/>
    <n v="0"/>
    <n v="0"/>
    <n v="0"/>
  </r>
  <r>
    <x v="88"/>
    <s v="Asia Pacific"/>
    <x v="3"/>
    <x v="3"/>
    <n v="0"/>
    <n v="0"/>
    <n v="1"/>
    <n v="0"/>
    <n v="0"/>
    <n v="0"/>
    <n v="0"/>
    <n v="0"/>
    <n v="1"/>
  </r>
  <r>
    <x v="89"/>
    <s v="North America"/>
    <x v="7"/>
    <x v="3"/>
    <n v="1"/>
    <n v="0"/>
    <n v="0"/>
    <n v="0"/>
    <n v="0"/>
    <n v="0"/>
    <n v="0"/>
    <n v="0"/>
    <n v="0"/>
  </r>
  <r>
    <x v="90"/>
    <s v="Europe"/>
    <x v="0"/>
    <x v="0"/>
    <n v="0"/>
    <n v="0"/>
    <n v="0"/>
    <n v="1"/>
    <n v="0"/>
    <n v="0"/>
    <n v="0"/>
    <n v="0"/>
    <n v="0"/>
  </r>
  <r>
    <x v="91"/>
    <s v="Europe"/>
    <x v="1"/>
    <x v="1"/>
    <n v="0"/>
    <n v="0"/>
    <n v="0"/>
    <n v="0"/>
    <n v="0"/>
    <n v="0"/>
    <n v="0"/>
    <n v="0"/>
    <n v="0"/>
  </r>
  <r>
    <x v="92"/>
    <s v="Europe"/>
    <x v="7"/>
    <x v="1"/>
    <n v="0"/>
    <n v="0"/>
    <n v="0"/>
    <n v="0"/>
    <n v="0"/>
    <n v="0"/>
    <n v="0"/>
    <n v="0"/>
    <n v="0"/>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Europe"/>
    <x v="0"/>
    <x v="0"/>
    <n v="1"/>
    <n v="1"/>
    <n v="1"/>
    <n v="0"/>
    <n v="0"/>
    <n v="0"/>
    <n v="0"/>
  </r>
  <r>
    <x v="1"/>
    <s v="Middle East and Africa"/>
    <x v="1"/>
    <x v="1"/>
    <n v="0"/>
    <n v="0"/>
    <n v="0"/>
    <n v="0"/>
    <n v="0"/>
    <n v="0"/>
    <n v="0"/>
  </r>
  <r>
    <x v="2"/>
    <s v="Europe"/>
    <x v="2"/>
    <x v="2"/>
    <n v="0"/>
    <n v="0"/>
    <n v="0"/>
    <n v="0"/>
    <n v="1"/>
    <n v="0"/>
    <n v="0"/>
  </r>
  <r>
    <x v="3"/>
    <s v="Middle East and Africa"/>
    <x v="1"/>
    <x v="1"/>
    <n v="0"/>
    <n v="0"/>
    <n v="0"/>
    <n v="0"/>
    <n v="0"/>
    <n v="0"/>
    <n v="0"/>
  </r>
  <r>
    <x v="4"/>
    <s v="Europe"/>
    <x v="1"/>
    <x v="2"/>
    <n v="0"/>
    <n v="0"/>
    <n v="0"/>
    <n v="0"/>
    <n v="1"/>
    <n v="0"/>
    <n v="0"/>
  </r>
  <r>
    <x v="5"/>
    <s v="North America"/>
    <x v="3"/>
    <x v="2"/>
    <n v="1"/>
    <n v="0"/>
    <n v="1"/>
    <n v="0"/>
    <n v="0"/>
    <n v="0"/>
    <n v="0"/>
  </r>
  <r>
    <x v="6"/>
    <s v="Europe"/>
    <x v="0"/>
    <x v="1"/>
    <n v="0"/>
    <n v="0"/>
    <n v="0"/>
    <n v="0"/>
    <n v="0"/>
    <n v="0"/>
    <n v="0"/>
  </r>
  <r>
    <x v="7"/>
    <s v="Asia Pacific"/>
    <x v="1"/>
    <x v="1"/>
    <n v="0"/>
    <n v="0"/>
    <n v="0"/>
    <n v="0"/>
    <n v="0"/>
    <n v="0"/>
    <n v="0"/>
  </r>
  <r>
    <x v="8"/>
    <s v="Asia Pacific"/>
    <x v="3"/>
    <x v="1"/>
    <n v="0"/>
    <n v="0"/>
    <n v="0"/>
    <n v="0"/>
    <n v="0"/>
    <n v="0"/>
    <n v="0"/>
  </r>
  <r>
    <x v="9"/>
    <s v="Asia Pacific"/>
    <x v="3"/>
    <x v="1"/>
    <n v="0"/>
    <n v="0"/>
    <n v="0"/>
    <n v="0"/>
    <n v="0"/>
    <n v="0"/>
    <n v="0"/>
  </r>
  <r>
    <x v="10"/>
    <s v="Europe"/>
    <x v="3"/>
    <x v="0"/>
    <n v="0"/>
    <n v="1"/>
    <n v="0"/>
    <n v="0"/>
    <n v="0"/>
    <n v="0"/>
    <n v="0"/>
  </r>
  <r>
    <x v="11"/>
    <s v="Global"/>
    <x v="2"/>
    <x v="0"/>
    <n v="0"/>
    <n v="1"/>
    <n v="0"/>
    <n v="0"/>
    <n v="0"/>
    <n v="0"/>
    <n v="0"/>
  </r>
  <r>
    <x v="12"/>
    <s v="Global"/>
    <x v="2"/>
    <x v="3"/>
    <n v="0"/>
    <n v="1"/>
    <n v="0"/>
    <n v="0"/>
    <n v="0"/>
    <n v="0"/>
    <n v="1"/>
  </r>
  <r>
    <x v="13"/>
    <s v="Europe"/>
    <x v="0"/>
    <x v="0"/>
    <n v="0"/>
    <n v="1"/>
    <n v="0"/>
    <n v="0"/>
    <n v="0"/>
    <n v="0"/>
    <n v="0"/>
  </r>
  <r>
    <x v="14"/>
    <s v="Europe"/>
    <x v="0"/>
    <x v="2"/>
    <n v="0"/>
    <n v="0"/>
    <n v="0"/>
    <n v="0"/>
    <n v="1"/>
    <n v="0"/>
    <n v="0"/>
  </r>
  <r>
    <x v="15"/>
    <s v="South America"/>
    <x v="3"/>
    <x v="1"/>
    <n v="0"/>
    <n v="0"/>
    <n v="0"/>
    <n v="0"/>
    <n v="0"/>
    <n v="0"/>
    <n v="0"/>
  </r>
  <r>
    <x v="16"/>
    <s v="North America"/>
    <x v="0"/>
    <x v="1"/>
    <n v="0"/>
    <n v="0"/>
    <n v="0"/>
    <n v="0"/>
    <n v="0"/>
    <n v="0"/>
    <n v="0"/>
  </r>
  <r>
    <x v="17"/>
    <s v="North America"/>
    <x v="3"/>
    <x v="1"/>
    <n v="0"/>
    <n v="0"/>
    <n v="0"/>
    <n v="0"/>
    <n v="0"/>
    <n v="0"/>
    <n v="0"/>
  </r>
  <r>
    <x v="18"/>
    <s v="North America"/>
    <x v="4"/>
    <x v="1"/>
    <n v="0"/>
    <n v="0"/>
    <n v="0"/>
    <n v="0"/>
    <n v="0"/>
    <n v="0"/>
    <n v="0"/>
  </r>
  <r>
    <x v="19"/>
    <s v="South America"/>
    <x v="0"/>
    <x v="1"/>
    <n v="0"/>
    <n v="0"/>
    <n v="0"/>
    <n v="0"/>
    <n v="0"/>
    <n v="0"/>
    <n v="0"/>
  </r>
  <r>
    <x v="20"/>
    <s v="Middle East and Africa"/>
    <x v="1"/>
    <x v="2"/>
    <n v="0"/>
    <n v="0"/>
    <n v="0"/>
    <n v="0"/>
    <n v="0"/>
    <n v="1"/>
    <n v="1"/>
  </r>
  <r>
    <x v="21"/>
    <s v="Global"/>
    <x v="0"/>
    <x v="2"/>
    <n v="1"/>
    <n v="1"/>
    <n v="1"/>
    <n v="0"/>
    <n v="0"/>
    <n v="1"/>
    <n v="1"/>
  </r>
  <r>
    <x v="22"/>
    <s v="Europe"/>
    <x v="3"/>
    <x v="2"/>
    <n v="0"/>
    <n v="0"/>
    <n v="0"/>
    <n v="1"/>
    <n v="0"/>
    <n v="0"/>
    <n v="0"/>
  </r>
  <r>
    <x v="23"/>
    <s v="Europe"/>
    <x v="4"/>
    <x v="1"/>
    <n v="0"/>
    <n v="0"/>
    <n v="0"/>
    <n v="0"/>
    <n v="0"/>
    <n v="0"/>
    <n v="0"/>
  </r>
  <r>
    <x v="24"/>
    <s v="Europe"/>
    <x v="0"/>
    <x v="2"/>
    <n v="1"/>
    <n v="0"/>
    <n v="0"/>
    <n v="0"/>
    <n v="0"/>
    <n v="0"/>
    <n v="0"/>
  </r>
  <r>
    <x v="25"/>
    <s v="Asia Pacific"/>
    <x v="0"/>
    <x v="1"/>
    <n v="0"/>
    <n v="0"/>
    <n v="0"/>
    <n v="0"/>
    <n v="0"/>
    <n v="0"/>
    <n v="0"/>
  </r>
  <r>
    <x v="26"/>
    <s v="Europe"/>
    <x v="0"/>
    <x v="3"/>
    <n v="1"/>
    <n v="1"/>
    <n v="0"/>
    <n v="0"/>
    <n v="0"/>
    <n v="0"/>
    <n v="0"/>
  </r>
  <r>
    <x v="27"/>
    <s v="South America"/>
    <x v="1"/>
    <x v="1"/>
    <n v="0"/>
    <n v="0"/>
    <n v="0"/>
    <n v="0"/>
    <n v="0"/>
    <n v="0"/>
    <n v="0"/>
  </r>
  <r>
    <x v="28"/>
    <s v="Global"/>
    <x v="2"/>
    <x v="1"/>
    <n v="0"/>
    <n v="0"/>
    <n v="0"/>
    <n v="0"/>
    <n v="0"/>
    <n v="0"/>
    <n v="0"/>
  </r>
  <r>
    <x v="29"/>
    <s v="Europe"/>
    <x v="4"/>
    <x v="1"/>
    <n v="0"/>
    <n v="0"/>
    <n v="0"/>
    <n v="0"/>
    <n v="0"/>
    <n v="0"/>
    <n v="0"/>
  </r>
  <r>
    <x v="30"/>
    <s v="Middle East and Africa"/>
    <x v="2"/>
    <x v="1"/>
    <n v="0"/>
    <n v="0"/>
    <n v="0"/>
    <n v="0"/>
    <n v="0"/>
    <n v="0"/>
    <n v="0"/>
  </r>
  <r>
    <x v="31"/>
    <s v="Global"/>
    <x v="2"/>
    <x v="2"/>
    <n v="1"/>
    <n v="0"/>
    <n v="0"/>
    <n v="0"/>
    <n v="1"/>
    <n v="0"/>
    <n v="0"/>
  </r>
  <r>
    <x v="32"/>
    <s v="Europe"/>
    <x v="2"/>
    <x v="1"/>
    <n v="0"/>
    <n v="0"/>
    <n v="0"/>
    <n v="0"/>
    <n v="0"/>
    <n v="0"/>
    <n v="0"/>
  </r>
  <r>
    <x v="33"/>
    <s v="Global"/>
    <x v="2"/>
    <x v="2"/>
    <n v="0"/>
    <n v="0"/>
    <n v="0"/>
    <n v="0"/>
    <n v="1"/>
    <n v="0"/>
    <n v="0"/>
  </r>
  <r>
    <x v="34"/>
    <s v="Europe"/>
    <x v="0"/>
    <x v="2"/>
    <n v="1"/>
    <n v="0"/>
    <n v="0"/>
    <n v="0"/>
    <n v="0"/>
    <n v="0"/>
    <n v="0"/>
  </r>
  <r>
    <x v="35"/>
    <s v="Europe"/>
    <x v="0"/>
    <x v="1"/>
    <n v="0"/>
    <n v="0"/>
    <n v="0"/>
    <n v="0"/>
    <n v="0"/>
    <n v="0"/>
    <n v="0"/>
  </r>
  <r>
    <x v="36"/>
    <s v="South America"/>
    <x v="0"/>
    <x v="2"/>
    <n v="1"/>
    <n v="0"/>
    <n v="0"/>
    <n v="0"/>
    <n v="0"/>
    <n v="0"/>
    <n v="0"/>
  </r>
  <r>
    <x v="37"/>
    <s v="South America"/>
    <x v="1"/>
    <x v="2"/>
    <n v="1"/>
    <n v="0"/>
    <n v="0"/>
    <n v="0"/>
    <n v="0"/>
    <n v="0"/>
    <n v="0"/>
  </r>
  <r>
    <x v="38"/>
    <s v="Asia Pacific"/>
    <x v="1"/>
    <x v="1"/>
    <n v="0"/>
    <n v="0"/>
    <n v="0"/>
    <n v="0"/>
    <n v="0"/>
    <n v="0"/>
    <n v="0"/>
  </r>
  <r>
    <x v="39"/>
    <s v="Europe"/>
    <x v="2"/>
    <x v="2"/>
    <n v="0"/>
    <n v="0"/>
    <n v="0"/>
    <n v="0"/>
    <n v="0"/>
    <n v="0"/>
    <n v="1"/>
  </r>
  <r>
    <x v="40"/>
    <s v="Global"/>
    <x v="2"/>
    <x v="2"/>
    <n v="0"/>
    <n v="0"/>
    <n v="0"/>
    <n v="0"/>
    <n v="1"/>
    <n v="0"/>
    <n v="1"/>
  </r>
  <r>
    <x v="41"/>
    <s v="Global"/>
    <x v="2"/>
    <x v="0"/>
    <n v="0"/>
    <n v="0"/>
    <n v="1"/>
    <n v="0"/>
    <n v="0"/>
    <n v="0"/>
    <n v="0"/>
  </r>
  <r>
    <x v="42"/>
    <s v="Asia Pacific"/>
    <x v="3"/>
    <x v="1"/>
    <n v="0"/>
    <n v="0"/>
    <n v="0"/>
    <n v="0"/>
    <n v="0"/>
    <n v="0"/>
    <n v="0"/>
  </r>
  <r>
    <x v="43"/>
    <s v="North America"/>
    <x v="5"/>
    <x v="1"/>
    <n v="0"/>
    <n v="0"/>
    <n v="0"/>
    <n v="0"/>
    <n v="0"/>
    <n v="0"/>
    <n v="0"/>
  </r>
  <r>
    <x v="44"/>
    <s v="Europe"/>
    <x v="2"/>
    <x v="3"/>
    <n v="1"/>
    <n v="0"/>
    <n v="0"/>
    <n v="0"/>
    <n v="0"/>
    <n v="0"/>
    <n v="0"/>
  </r>
  <r>
    <x v="45"/>
    <s v="Global"/>
    <x v="0"/>
    <x v="1"/>
    <n v="0"/>
    <n v="0"/>
    <n v="0"/>
    <n v="0"/>
    <n v="0"/>
    <n v="0"/>
    <n v="0"/>
  </r>
  <r>
    <x v="46"/>
    <s v="Global"/>
    <x v="0"/>
    <x v="3"/>
    <n v="1"/>
    <n v="1"/>
    <n v="0"/>
    <n v="0"/>
    <n v="0"/>
    <n v="0"/>
    <n v="1"/>
  </r>
  <r>
    <x v="47"/>
    <s v="Global"/>
    <x v="6"/>
    <x v="1"/>
    <n v="0"/>
    <n v="0"/>
    <n v="0"/>
    <n v="0"/>
    <n v="0"/>
    <n v="0"/>
    <n v="0"/>
  </r>
  <r>
    <x v="48"/>
    <s v="Middle East and Africa"/>
    <x v="4"/>
    <x v="1"/>
    <n v="0"/>
    <n v="0"/>
    <n v="0"/>
    <n v="0"/>
    <n v="0"/>
    <n v="0"/>
    <n v="0"/>
  </r>
  <r>
    <x v="49"/>
    <s v="Europe"/>
    <x v="3"/>
    <x v="0"/>
    <n v="0"/>
    <n v="1"/>
    <n v="0"/>
    <n v="0"/>
    <n v="0"/>
    <n v="0"/>
    <n v="0"/>
  </r>
  <r>
    <x v="50"/>
    <s v="Middle East and Africa"/>
    <x v="0"/>
    <x v="2"/>
    <n v="0"/>
    <n v="0"/>
    <n v="0"/>
    <n v="0"/>
    <n v="0"/>
    <n v="0"/>
    <n v="1"/>
  </r>
  <r>
    <x v="51"/>
    <s v="Europe"/>
    <x v="0"/>
    <x v="3"/>
    <n v="0"/>
    <n v="0"/>
    <n v="0"/>
    <n v="0"/>
    <n v="0"/>
    <n v="0"/>
    <n v="1"/>
  </r>
  <r>
    <x v="52"/>
    <s v="Middle East and Africa"/>
    <x v="0"/>
    <x v="2"/>
    <n v="0"/>
    <n v="0"/>
    <n v="0"/>
    <n v="0"/>
    <n v="0"/>
    <n v="0"/>
    <n v="1"/>
  </r>
  <r>
    <x v="53"/>
    <s v="Asia Pacific"/>
    <x v="0"/>
    <x v="3"/>
    <n v="0"/>
    <n v="0"/>
    <n v="0"/>
    <n v="1"/>
    <n v="0"/>
    <n v="0"/>
    <n v="0"/>
  </r>
  <r>
    <x v="54"/>
    <s v="Europe"/>
    <x v="0"/>
    <x v="0"/>
    <n v="0"/>
    <n v="0"/>
    <n v="0"/>
    <n v="0"/>
    <n v="0"/>
    <n v="0"/>
    <n v="1"/>
  </r>
  <r>
    <x v="55"/>
    <s v="Asia Pacific"/>
    <x v="0"/>
    <x v="2"/>
    <n v="0"/>
    <n v="1"/>
    <n v="0"/>
    <n v="1"/>
    <n v="0"/>
    <n v="0"/>
    <n v="1"/>
  </r>
  <r>
    <x v="56"/>
    <s v="South America"/>
    <x v="0"/>
    <x v="1"/>
    <n v="0"/>
    <n v="0"/>
    <n v="0"/>
    <n v="0"/>
    <n v="0"/>
    <n v="0"/>
    <n v="0"/>
  </r>
  <r>
    <x v="57"/>
    <s v="Asia Pacific"/>
    <x v="0"/>
    <x v="3"/>
    <n v="1"/>
    <n v="0"/>
    <n v="0"/>
    <n v="0"/>
    <n v="0"/>
    <n v="0"/>
    <n v="0"/>
  </r>
  <r>
    <x v="58"/>
    <s v="Asia Pacific"/>
    <x v="0"/>
    <x v="2"/>
    <n v="0"/>
    <n v="1"/>
    <n v="0"/>
    <n v="0"/>
    <n v="0"/>
    <n v="1"/>
    <n v="0"/>
  </r>
  <r>
    <x v="59"/>
    <s v="Europe"/>
    <x v="0"/>
    <x v="0"/>
    <n v="0"/>
    <n v="1"/>
    <n v="0"/>
    <n v="0"/>
    <n v="0"/>
    <n v="0"/>
    <n v="0"/>
  </r>
  <r>
    <x v="60"/>
    <s v="South America"/>
    <x v="0"/>
    <x v="1"/>
    <n v="0"/>
    <n v="0"/>
    <n v="0"/>
    <n v="0"/>
    <n v="0"/>
    <n v="0"/>
    <n v="0"/>
  </r>
  <r>
    <x v="61"/>
    <s v="South America"/>
    <x v="0"/>
    <x v="2"/>
    <n v="0"/>
    <n v="1"/>
    <n v="0"/>
    <n v="0"/>
    <n v="0"/>
    <n v="1"/>
    <n v="1"/>
  </r>
  <r>
    <x v="62"/>
    <s v="South America"/>
    <x v="0"/>
    <x v="1"/>
    <n v="0"/>
    <n v="0"/>
    <n v="0"/>
    <n v="0"/>
    <n v="0"/>
    <n v="0"/>
    <n v="0"/>
  </r>
  <r>
    <x v="63"/>
    <s v="Europe"/>
    <x v="4"/>
    <x v="1"/>
    <n v="0"/>
    <n v="0"/>
    <n v="0"/>
    <n v="0"/>
    <n v="0"/>
    <n v="0"/>
    <n v="0"/>
  </r>
  <r>
    <x v="64"/>
    <s v="Asia Pacific"/>
    <x v="3"/>
    <x v="3"/>
    <n v="0"/>
    <n v="0"/>
    <n v="0"/>
    <n v="0"/>
    <n v="0"/>
    <n v="0"/>
    <n v="1"/>
  </r>
  <r>
    <x v="65"/>
    <s v="Global"/>
    <x v="2"/>
    <x v="2"/>
    <n v="0"/>
    <n v="0"/>
    <n v="1"/>
    <n v="0"/>
    <n v="1"/>
    <n v="0"/>
    <n v="0"/>
  </r>
  <r>
    <x v="66"/>
    <s v="Asia Pacific"/>
    <x v="3"/>
    <x v="2"/>
    <n v="0"/>
    <n v="0"/>
    <n v="0"/>
    <n v="1"/>
    <n v="0"/>
    <n v="0"/>
    <n v="0"/>
  </r>
  <r>
    <x v="67"/>
    <s v="Asia Pacific"/>
    <x v="0"/>
    <x v="1"/>
    <n v="0"/>
    <n v="0"/>
    <n v="0"/>
    <n v="0"/>
    <n v="0"/>
    <n v="0"/>
    <n v="0"/>
  </r>
  <r>
    <x v="68"/>
    <s v="Global"/>
    <x v="2"/>
    <x v="3"/>
    <n v="0"/>
    <n v="1"/>
    <n v="1"/>
    <n v="0"/>
    <n v="0"/>
    <n v="0"/>
    <n v="0"/>
  </r>
  <r>
    <x v="69"/>
    <s v="North America"/>
    <x v="1"/>
    <x v="1"/>
    <n v="0"/>
    <n v="0"/>
    <n v="0"/>
    <n v="0"/>
    <n v="0"/>
    <n v="0"/>
    <n v="0"/>
  </r>
  <r>
    <x v="70"/>
    <s v="North America"/>
    <x v="2"/>
    <x v="3"/>
    <n v="0"/>
    <n v="0"/>
    <n v="0"/>
    <n v="1"/>
    <n v="0"/>
    <n v="0"/>
    <n v="0"/>
  </r>
  <r>
    <x v="71"/>
    <s v="Global"/>
    <x v="2"/>
    <x v="3"/>
    <n v="0"/>
    <n v="0"/>
    <n v="0"/>
    <n v="0"/>
    <n v="0"/>
    <n v="0"/>
    <n v="1"/>
  </r>
  <r>
    <x v="72"/>
    <s v="Asia Pacific"/>
    <x v="3"/>
    <x v="3"/>
    <n v="1"/>
    <n v="0"/>
    <n v="1"/>
    <n v="0"/>
    <n v="0"/>
    <n v="0"/>
    <n v="0"/>
  </r>
  <r>
    <x v="73"/>
    <s v="Global"/>
    <x v="2"/>
    <x v="1"/>
    <n v="0"/>
    <n v="0"/>
    <n v="0"/>
    <n v="0"/>
    <n v="0"/>
    <n v="0"/>
    <n v="0"/>
  </r>
  <r>
    <x v="74"/>
    <s v="Europe"/>
    <x v="0"/>
    <x v="0"/>
    <n v="1"/>
    <n v="0"/>
    <n v="1"/>
    <n v="0"/>
    <n v="0"/>
    <n v="0"/>
    <n v="0"/>
  </r>
  <r>
    <x v="75"/>
    <s v="Asia Pacific"/>
    <x v="2"/>
    <x v="1"/>
    <n v="0"/>
    <n v="0"/>
    <n v="0"/>
    <n v="0"/>
    <n v="0"/>
    <n v="0"/>
    <n v="0"/>
  </r>
  <r>
    <x v="76"/>
    <s v="Global"/>
    <x v="2"/>
    <x v="2"/>
    <n v="0"/>
    <n v="0"/>
    <n v="0"/>
    <n v="1"/>
    <n v="0"/>
    <n v="0"/>
    <n v="0"/>
  </r>
  <r>
    <x v="77"/>
    <s v="Middle East and Africa"/>
    <x v="2"/>
    <x v="3"/>
    <n v="0"/>
    <n v="0"/>
    <n v="0"/>
    <n v="0"/>
    <n v="0"/>
    <n v="0"/>
    <n v="1"/>
  </r>
  <r>
    <x v="78"/>
    <s v="Global"/>
    <x v="2"/>
    <x v="2"/>
    <n v="1"/>
    <n v="0"/>
    <n v="0"/>
    <n v="1"/>
    <n v="0"/>
    <n v="0"/>
    <n v="0"/>
  </r>
  <r>
    <x v="79"/>
    <s v="Europe"/>
    <x v="3"/>
    <x v="3"/>
    <n v="0"/>
    <n v="0"/>
    <n v="0"/>
    <n v="0"/>
    <n v="0"/>
    <n v="0"/>
    <n v="1"/>
  </r>
  <r>
    <x v="80"/>
    <s v="Global"/>
    <x v="2"/>
    <x v="0"/>
    <n v="0"/>
    <n v="0"/>
    <n v="1"/>
    <n v="0"/>
    <n v="0"/>
    <n v="0"/>
    <n v="0"/>
  </r>
  <r>
    <x v="81"/>
    <s v="Middle East and Africa"/>
    <x v="1"/>
    <x v="1"/>
    <n v="0"/>
    <n v="0"/>
    <n v="0"/>
    <n v="0"/>
    <n v="0"/>
    <n v="0"/>
    <n v="0"/>
  </r>
  <r>
    <x v="82"/>
    <s v="South America"/>
    <x v="1"/>
    <x v="1"/>
    <n v="0"/>
    <n v="0"/>
    <n v="0"/>
    <n v="0"/>
    <n v="0"/>
    <n v="0"/>
    <n v="0"/>
  </r>
  <r>
    <x v="83"/>
    <s v="Middle East and Africa"/>
    <x v="2"/>
    <x v="1"/>
    <n v="0"/>
    <n v="0"/>
    <n v="0"/>
    <n v="0"/>
    <n v="0"/>
    <n v="0"/>
    <n v="0"/>
  </r>
  <r>
    <x v="84"/>
    <s v="Middle East and Africa"/>
    <x v="0"/>
    <x v="3"/>
    <n v="1"/>
    <n v="0"/>
    <n v="1"/>
    <n v="0"/>
    <n v="0"/>
    <n v="0"/>
    <n v="1"/>
  </r>
  <r>
    <x v="85"/>
    <s v="Middle East and Africa"/>
    <x v="0"/>
    <x v="3"/>
    <n v="0"/>
    <n v="1"/>
    <n v="0"/>
    <n v="0"/>
    <n v="0"/>
    <n v="0"/>
    <n v="0"/>
  </r>
  <r>
    <x v="86"/>
    <s v="Europe"/>
    <x v="2"/>
    <x v="1"/>
    <n v="0"/>
    <n v="0"/>
    <n v="0"/>
    <n v="0"/>
    <n v="0"/>
    <n v="0"/>
    <n v="0"/>
  </r>
  <r>
    <x v="87"/>
    <s v="Middle East and Africa"/>
    <x v="0"/>
    <x v="2"/>
    <n v="1"/>
    <n v="0"/>
    <n v="0"/>
    <n v="0"/>
    <n v="0"/>
    <n v="0"/>
    <n v="0"/>
  </r>
  <r>
    <x v="88"/>
    <s v="Asia Pacific"/>
    <x v="3"/>
    <x v="3"/>
    <n v="1"/>
    <n v="0"/>
    <n v="0"/>
    <n v="0"/>
    <n v="0"/>
    <n v="0"/>
    <n v="0"/>
  </r>
  <r>
    <x v="89"/>
    <s v="North America"/>
    <x v="7"/>
    <x v="0"/>
    <n v="0"/>
    <n v="0"/>
    <n v="0"/>
    <n v="0"/>
    <n v="0"/>
    <n v="0"/>
    <n v="1"/>
  </r>
  <r>
    <x v="90"/>
    <s v="Europe"/>
    <x v="0"/>
    <x v="1"/>
    <n v="0"/>
    <n v="0"/>
    <n v="0"/>
    <n v="0"/>
    <n v="0"/>
    <n v="0"/>
    <n v="0"/>
  </r>
  <r>
    <x v="91"/>
    <s v="Europe"/>
    <x v="1"/>
    <x v="0"/>
    <n v="1"/>
    <n v="0"/>
    <n v="0"/>
    <n v="0"/>
    <n v="0"/>
    <n v="0"/>
    <n v="0"/>
  </r>
  <r>
    <x v="92"/>
    <s v="Europe"/>
    <x v="7"/>
    <x v="1"/>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52A412-5D22-4306-98E7-92A447DD0041}" name="PivotTable35"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I9:V24" firstHeaderRow="0" firstDataRow="1" firstDataCol="1"/>
  <pivotFields count="17">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axis="axisRow" showAll="0">
      <items count="4">
        <item x="0"/>
        <item x="2"/>
        <item h="1"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3"/>
    <field x="2"/>
    <field x="0"/>
  </rowFields>
  <rowItems count="15">
    <i>
      <x/>
    </i>
    <i r="1">
      <x v="2"/>
    </i>
    <i r="1">
      <x v="3"/>
    </i>
    <i r="1">
      <x v="5"/>
    </i>
    <i r="1">
      <x v="6"/>
    </i>
    <i r="1">
      <x v="7"/>
    </i>
    <i>
      <x v="1"/>
    </i>
    <i r="1">
      <x/>
    </i>
    <i r="1">
      <x v="1"/>
    </i>
    <i r="1">
      <x v="2"/>
    </i>
    <i r="1">
      <x v="3"/>
    </i>
    <i r="1">
      <x v="4"/>
    </i>
    <i r="1">
      <x v="5"/>
    </i>
    <i r="1">
      <x v="7"/>
    </i>
    <i t="grand">
      <x/>
    </i>
  </rowItems>
  <colFields count="1">
    <field x="-2"/>
  </colFields>
  <colItems count="13">
    <i>
      <x/>
    </i>
    <i i="1">
      <x v="1"/>
    </i>
    <i i="2">
      <x v="2"/>
    </i>
    <i i="3">
      <x v="3"/>
    </i>
    <i i="4">
      <x v="4"/>
    </i>
    <i i="5">
      <x v="5"/>
    </i>
    <i i="6">
      <x v="6"/>
    </i>
    <i i="7">
      <x v="7"/>
    </i>
    <i i="8">
      <x v="8"/>
    </i>
    <i i="9">
      <x v="9"/>
    </i>
    <i i="10">
      <x v="10"/>
    </i>
    <i i="11">
      <x v="11"/>
    </i>
    <i i="12">
      <x v="12"/>
    </i>
  </colItems>
  <dataFields count="13">
    <dataField name="Sum of 01. Q1 Listed and public interest entities" fld="4" baseField="0" baseItem="0"/>
    <dataField name="Sum of 02. Q1 Entities forming part of a group" fld="5" baseField="0" baseItem="0"/>
    <dataField name="Sum of 03. Q1 NGOs, charities and public sector entities" fld="6" baseField="0" baseItem="0"/>
    <dataField name="Sum of 04. Q1 Additional risk based factors and characteristics" fld="7" baseField="0" baseItem="0"/>
    <dataField name="Sum of 05. Q1 Need for further guidance and examples to enhance clarity and consistency" fld="8" baseField="0" baseItem="0"/>
    <dataField name="Sum of 06. Q1 Quantitative criteria" fld="9" baseField="0" baseItem="0"/>
    <dataField name="Sum of 07. Q1 Use of judgement vs checklist approach with decision making" fld="10" baseField="0" baseItem="0"/>
    <dataField name="Sum of 08. Q1 Views on complexity" fld="11" baseField="0" baseItem="0"/>
    <dataField name="Sum of 09. Q1 Views on internal controls" fld="12" baseField="0" baseItem="0"/>
    <dataField name="Sum of 10. Q1 Views on concentration of ownership" fld="13" baseField="0" baseItem="0"/>
    <dataField name="Sum of 11. Q1 Views on other characteristics" fld="14" baseField="0" baseItem="0"/>
    <dataField name="Sum of 12. Q1 Difficulties applying the LCE definition on a globally and consistent basis" fld="15" baseField="0" baseItem="0"/>
    <dataField name="Sum of 13. Q1 Other views" fld="16" baseField="0" baseItem="0"/>
  </dataFields>
  <formats count="1">
    <format dxfId="28">
      <pivotArea dataOnly="0" labelOnly="1" outline="0" fieldPosition="0">
        <references count="1">
          <reference field="4294967294" count="13">
            <x v="0"/>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62DEC4-2930-4EB1-B7A5-6556716ABCCE}"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F18" firstHeaderRow="0" firstDataRow="1" firstDataCol="1"/>
  <pivotFields count="9">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02. Q1 Agree" fld="4" baseField="0" baseItem="0"/>
    <dataField name="Sum of 03. Q1 Agree but with further comments" fld="5" baseField="0" baseItem="0"/>
    <dataField name="Sum of 04. Q1 Neither agree or disagree and with further comments" fld="6" baseField="0" baseItem="0"/>
    <dataField name="Sum of 05. Q1 Disagree" fld="7" baseField="0" baseItem="0"/>
    <dataField name="Sum of 06. Q1 None" fld="8" baseField="0" baseItem="0"/>
  </dataFields>
  <formats count="2">
    <format dxfId="30">
      <pivotArea dataOnly="0" labelOnly="1" outline="0" fieldPosition="0">
        <references count="1">
          <reference field="4294967294" count="5">
            <x v="0"/>
            <x v="1"/>
            <x v="2"/>
            <x v="3"/>
            <x v="4"/>
          </reference>
        </references>
      </pivotArea>
    </format>
    <format dxfId="29">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ECCC4-2B43-4065-81A7-8DB1C1B730AF}" name="PivotTable6"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M18" firstHeaderRow="0" firstDataRow="1" firstDataCol="1"/>
  <pivotFields count="16">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12">
    <i>
      <x/>
    </i>
    <i i="1">
      <x v="1"/>
    </i>
    <i i="2">
      <x v="2"/>
    </i>
    <i i="3">
      <x v="3"/>
    </i>
    <i i="4">
      <x v="4"/>
    </i>
    <i i="5">
      <x v="5"/>
    </i>
    <i i="6">
      <x v="6"/>
    </i>
    <i i="7">
      <x v="7"/>
    </i>
    <i i="8">
      <x v="8"/>
    </i>
    <i i="9">
      <x v="9"/>
    </i>
    <i i="10">
      <x v="10"/>
    </i>
    <i i="11">
      <x v="11"/>
    </i>
  </colItems>
  <dataFields count="12">
    <dataField name="Sum of 02. Q2 (b.1) Length and volume" fld="4" baseField="0" baseItem="0"/>
    <dataField name="Sum of 03. Q2 (b.1) Scalability issues and approach to standards" fld="5" baseField="0" baseItem="0"/>
    <dataField name="Sum of 04. Q2 (b.1) Language" fld="6" baseField="0" baseItem="0"/>
    <dataField name="Sum of 05. Q2 (b.1) Overdocumentation" fld="7" baseField="0" baseItem="0"/>
    <dataField name="Sum of 06. Q2 (b.1) Diminishing professional judgement and checklist approach to audits" fld="8" baseField="0" baseItem="0"/>
    <dataField name="Sum of 07. Q2 (b.1) Lack of financial reporting sophistication of preparers" fld="9" baseField="0" baseItem="0"/>
    <dataField name="Sum of 08. Q2 (b.1) Regulatory inspections" fld="10" baseField="0" baseItem="0"/>
    <dataField name="Sum of 09. Q2 (b.1) Limited guidance and implementation resources" fld="11" baseField="0" baseItem="0"/>
    <dataField name="Sum of 10. Q2 (b.1) Limited resources" fld="12" baseField="0" baseItem="0"/>
    <dataField name="Sum of 11. Q2 (b.1) Increased prescriptiveness" fld="13" baseField="0" baseItem="0"/>
    <dataField name="Sum of 12. Q2 (b.1) Other causes" fld="14" baseField="0" baseItem="0"/>
    <dataField name="Sum of 13. Q2 (b.1) None" fld="15" baseField="0" baseItem="0"/>
  </dataFields>
  <formats count="2">
    <format dxfId="27">
      <pivotArea dataOnly="0" labelOnly="1" outline="0" fieldPosition="0">
        <references count="1">
          <reference field="4294967294" count="12">
            <x v="0"/>
            <x v="1"/>
            <x v="2"/>
            <x v="3"/>
            <x v="4"/>
            <x v="5"/>
            <x v="6"/>
            <x v="7"/>
            <x v="8"/>
            <x v="9"/>
            <x v="10"/>
            <x v="11"/>
          </reference>
        </references>
      </pivotArea>
    </format>
    <format dxfId="26">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A44E7A-2944-426C-865D-6784F4D21B18}" name="PivotTable8"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W18" firstHeaderRow="0" firstDataRow="1" firstDataCol="1"/>
  <pivotFields count="25">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Sum of 02. Q2 (a) Risk assessment (ISA 315)" fld="3" baseField="0" baseItem="0"/>
    <dataField name="Sum of 03. Q2 (a) Estimates (ISA 540)" fld="4" baseField="0" baseItem="0"/>
    <dataField name="Sum of 04. Q2 (a) Fraud (ISA 240)" fld="5" baseField="0" baseItem="0"/>
    <dataField name="Sum of 05. Q2 (a) Documentation (ISA 230)" fld="6" baseField="0" baseItem="0"/>
    <dataField name="Sum of 06. Q2 (a) Auditors responses to assessed risks (ISA 330)" fld="7" baseField="0" baseItem="0"/>
    <dataField name="Sum of 07. Q2 (a) Audit evidence (ISA 500)" fld="8" baseField="0" baseItem="0"/>
    <dataField name="Sum of 08. Q2 (a) Communicating with TCWG (ISA 260 &amp; ISA 265)" fld="9" baseField="0" baseItem="0"/>
    <dataField name="Sum of 09. Q2 (a) Planning (ISA 300)" fld="10" baseField="0" baseItem="0"/>
    <dataField name="Sum of 10. Q2 (a) Sampling (ISA 530)" fld="11" baseField="0" baseItem="0"/>
    <dataField name="Sum of 11. Q2 (a) Materiality (ISA 320)" fld="12" baseField="0" baseItem="0"/>
    <dataField name="Sum of 12. Q2 (a) Analytical procedures (ISA 520)" fld="13" baseField="0" baseItem="0"/>
    <dataField name="Sum of 13. Q2 (a) Going concern (ISA 570)" fld="14" baseField="0" baseItem="0"/>
    <dataField name="Sum of 14. Q2 (a) Using a service organization (ISA 402)" fld="15" baseField="0" baseItem="0"/>
    <dataField name="Sum of 15. Q2 (a) Related parties (ISA 550)" fld="16" baseField="0" baseItem="0"/>
    <dataField name="Sum of 16. Q2 (a) Consideration of laws and regulations (ISA 250)" fld="17" baseField="0" baseItem="0"/>
    <dataField name="Sum of 17. Q2 (a) Group audits (ISA 600)" fld="18" baseField="0" baseItem="0"/>
    <dataField name="Sum of 18. Q2 (a) Quality control (ISQC 1)" fld="19" baseField="0" baseItem="0"/>
    <dataField name="Sum of 19. Q2 (a) Auditor reporting standards" fld="20" baseField="0" baseItem="0"/>
    <dataField name="Sum of 20. Q2 (a) ISAs usually not applicable to LCEs" fld="21" baseField="0" baseItem="0"/>
    <dataField name="Sum of 21. Q2 (a) External Confirmations" fld="22" baseField="0" baseItem="0"/>
    <dataField name="Sum of 22. Q2 (a) Other standards and concerns" fld="23" baseField="0" baseItem="0"/>
    <dataField name="Sum of 23. Q2 (a) None" fld="24" baseField="0" baseItem="0"/>
  </dataFields>
  <formats count="2">
    <format dxfId="25">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24">
      <pivotArea dataOnly="0" labelOnly="1" outline="0" fieldPosition="0">
        <references count="1">
          <reference field="4294967294" count="22">
            <x v="0"/>
            <x v="1"/>
            <x v="2"/>
            <x v="3"/>
            <x v="4"/>
            <x v="5"/>
            <x v="6"/>
            <x v="7"/>
            <x v="8"/>
            <x v="9"/>
            <x v="10"/>
            <x v="11"/>
            <x v="12"/>
            <x v="13"/>
            <x v="14"/>
            <x v="15"/>
            <x v="16"/>
            <x v="17"/>
            <x v="18"/>
            <x v="19"/>
            <x v="20"/>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654EC0-FB45-43F5-B97D-6D603F3D3FF8}" name="PivotTable10"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I18" firstHeaderRow="0" firstDataRow="1" firstDataCol="1"/>
  <pivotFields count="11">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8">
    <i>
      <x/>
    </i>
    <i i="1">
      <x v="1"/>
    </i>
    <i i="2">
      <x v="2"/>
    </i>
    <i i="3">
      <x v="3"/>
    </i>
    <i i="4">
      <x v="4"/>
    </i>
    <i i="5">
      <x v="5"/>
    </i>
    <i i="6">
      <x v="6"/>
    </i>
    <i i="7">
      <x v="7"/>
    </i>
  </colItems>
  <dataFields count="8">
    <dataField name="Sum of 02. Q2 (b.2) Methodology" fld="3" baseField="0" baseItem="0"/>
    <dataField name="Sum of 03. Q2 (b.2) Technology" fld="4" baseField="0" baseItem="0"/>
    <dataField name="Sum of 04. Q2 (b.2) Guidance and examples" fld="5" baseField="0" baseItem="0"/>
    <dataField name="Sum of 05. Q2 (b.2) Training" fld="6" baseField="0" baseItem="0"/>
    <dataField name="Sum of 06. Q2 (b.2) Developing jurisdictional approaches for SME audits" fld="7" baseField="0" baseItem="0"/>
    <dataField name="Sum of 07. Q2 (b.2) Implementing a new drafting framework" fld="8" baseField="0" baseItem="0"/>
    <dataField name="Sum of 08. Q2 (b.2) Other actions" fld="9" baseField="0" baseItem="0"/>
    <dataField name="Sum of 09. Q2 (b.2) None" fld="10" baseField="0" baseItem="0"/>
  </dataFields>
  <formats count="2">
    <format dxfId="23">
      <pivotArea dataOnly="0" labelOnly="1" outline="0" fieldPosition="0">
        <references count="1">
          <reference field="4294967294" count="8">
            <x v="0"/>
            <x v="1"/>
            <x v="2"/>
            <x v="3"/>
            <x v="4"/>
            <x v="5"/>
            <x v="6"/>
            <x v="7"/>
          </reference>
        </references>
      </pivotArea>
    </format>
    <format dxfId="22">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2D8A3-4BC2-4324-B669-B5A912CD8AEC}" name="PivotTable20"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F18" firstHeaderRow="0" firstDataRow="1" firstDataCol="1"/>
  <pivotFields count="8">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2. Q4 (a.1) Option A - Agree" fld="3" baseField="0" baseItem="0"/>
    <dataField name="Sum of 3. Q4 (a.1) Option A - Agree but with further comments" fld="4" baseField="0" baseItem="0"/>
    <dataField name="Sum of 4. Q4 (a.1) Option A - Neither agree or disagree and with further comments" fld="5" baseField="0" baseItem="0"/>
    <dataField name="Sum of 5. Q4 (a.1) Option A - Disagree" fld="6" baseField="0" baseItem="0"/>
    <dataField name="Sum of 6. Q4 (a.1) Option A - None" fld="7" baseField="0" baseItem="0"/>
  </dataFields>
  <formats count="2">
    <format dxfId="19">
      <pivotArea dataOnly="0" labelOnly="1" outline="0" fieldPosition="0">
        <references count="1">
          <reference field="4294967294" count="5">
            <x v="0"/>
            <x v="1"/>
            <x v="2"/>
            <x v="3"/>
            <x v="4"/>
          </reference>
        </references>
      </pivotArea>
    </format>
    <format dxfId="1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4B2FE-B4E1-4D97-9211-C05B81D9878D}" name="PivotTable40"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I9:Q24" firstHeaderRow="0" firstDataRow="1" firstDataCol="1"/>
  <pivotFields count="12">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x="6"/>
        <item sd="0" x="4"/>
        <item sd="0" x="3"/>
        <item sd="0" x="2"/>
        <item sd="0" x="7"/>
        <item sd="0" x="0"/>
        <item x="5"/>
        <item sd="0" x="1"/>
        <item t="default"/>
      </items>
    </pivotField>
    <pivotField axis="axisRow" showAll="0">
      <items count="5">
        <item x="0"/>
        <item x="2"/>
        <item x="3"/>
        <item h="1"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3"/>
    <field x="2"/>
    <field x="0"/>
  </rowFields>
  <rowItems count="15">
    <i>
      <x/>
    </i>
    <i r="1">
      <x v="2"/>
    </i>
    <i r="1">
      <x v="3"/>
    </i>
    <i r="1">
      <x v="5"/>
    </i>
    <i r="1">
      <x v="7"/>
    </i>
    <i>
      <x v="1"/>
    </i>
    <i r="1">
      <x v="5"/>
    </i>
    <i>
      <x v="2"/>
    </i>
    <i r="1">
      <x v="1"/>
    </i>
    <i r="1">
      <x v="2"/>
    </i>
    <i r="1">
      <x v="3"/>
    </i>
    <i r="1">
      <x v="4"/>
    </i>
    <i r="1">
      <x v="5"/>
    </i>
    <i r="1">
      <x v="7"/>
    </i>
    <i t="grand">
      <x/>
    </i>
  </rowItems>
  <colFields count="1">
    <field x="-2"/>
  </colFields>
  <colItems count="8">
    <i>
      <x/>
    </i>
    <i i="1">
      <x v="1"/>
    </i>
    <i i="2">
      <x v="2"/>
    </i>
    <i i="3">
      <x v="3"/>
    </i>
    <i i="4">
      <x v="4"/>
    </i>
    <i i="5">
      <x v="5"/>
    </i>
    <i i="6">
      <x v="6"/>
    </i>
    <i i="7">
      <x v="7"/>
    </i>
  </colItems>
  <dataFields count="8">
    <dataField name="Sum of 01. Q4 (a.1) Additional complexity and length" fld="4" baseField="0" baseItem="0"/>
    <dataField name="Sum of 02. Q4 (a.1) Long time to develop" fld="5" baseField="0" baseItem="0"/>
    <dataField name="Sum of 03. Q4 (a.1) Support for the building-block approach" fld="6" baseField="0" baseItem="0"/>
    <dataField name="Sum of 04. Q4 (a.1) Revising all ISA in one substantial project" fld="7" baseField="0" baseItem="0"/>
    <dataField name="Sum of 05. Q4 (a.1) Targeted revisions and a rolling (phased) plan for revisions" fld="8" baseField="0" baseItem="0"/>
    <dataField name="Sum of 06. Q4 (a.1) Use of simpler language and simpler structure while revising the ISA" fld="9" baseField="0" baseItem="0"/>
    <dataField name="Sum of 07. Q4 (a.1) Structural changes to ISA and new drafting framework" fld="10" baseField="0" baseItem="0"/>
    <dataField name="Sum of 08. Q4 (a.1) Other views" fld="11" baseField="0" baseItem="0"/>
  </dataFields>
  <formats count="2">
    <format dxfId="21">
      <pivotArea dataOnly="0" labelOnly="1" outline="0" fieldPosition="0">
        <references count="1">
          <reference field="4294967294" count="8">
            <x v="0"/>
            <x v="1"/>
            <x v="2"/>
            <x v="3"/>
            <x v="4"/>
            <x v="5"/>
            <x v="6"/>
            <x v="7"/>
          </reference>
        </references>
      </pivotArea>
    </format>
    <format dxfId="20">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2FE86F-D855-4F57-BBC0-6EA1C1BF4857}" name="PivotTable2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F18" firstHeaderRow="0" firstDataRow="1" firstDataCol="1"/>
  <pivotFields count="8">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2. Q4 (a.2) Option B - Agree" fld="3" baseField="0" baseItem="0"/>
    <dataField name="Sum of 3. Q4 (a.2) Option B - Agree but with further comments" fld="4" baseField="0" baseItem="0"/>
    <dataField name="Sum of 4. Q4 (a.2) Option B - Neither agree or disagree and with further comments" fld="5" baseField="0" baseItem="0"/>
    <dataField name="Sum of 5. Q4 (a.2) Option B - Disagree" fld="6" baseField="0" baseItem="0"/>
    <dataField name="Sum of 6. Q4 (a.2) Option B - None" fld="7" baseField="0" baseItem="0"/>
  </dataFields>
  <formats count="2">
    <format dxfId="15">
      <pivotArea dataOnly="0" labelOnly="1" outline="0" fieldPosition="0">
        <references count="1">
          <reference field="4294967294" count="5">
            <x v="0"/>
            <x v="1"/>
            <x v="2"/>
            <x v="3"/>
            <x v="4"/>
          </reference>
        </references>
      </pivotArea>
    </format>
    <format dxfId="1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DC4AB1-262D-4138-B79C-7C23E7F1D4E2}" name="PivotTable42" cacheId="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I9:R28" firstHeaderRow="0" firstDataRow="1" firstDataCol="1"/>
  <pivotFields count="13">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x="5"/>
        <item sd="0" x="1"/>
        <item t="default"/>
      </items>
    </pivotField>
    <pivotField axis="axisRow" showAll="0">
      <items count="5">
        <item x="0"/>
        <item x="3"/>
        <item x="2"/>
        <item h="1"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3"/>
    <field x="2"/>
    <field x="0"/>
  </rowFields>
  <rowItems count="19">
    <i>
      <x/>
    </i>
    <i r="1">
      <x v="2"/>
    </i>
    <i r="1">
      <x v="3"/>
    </i>
    <i r="1">
      <x v="5"/>
    </i>
    <i r="1">
      <x v="7"/>
    </i>
    <i>
      <x v="1"/>
    </i>
    <i r="1">
      <x v="1"/>
    </i>
    <i r="1">
      <x v="2"/>
    </i>
    <i r="1">
      <x v="3"/>
    </i>
    <i r="1">
      <x v="4"/>
    </i>
    <i r="1">
      <x v="5"/>
    </i>
    <i r="1">
      <x v="7"/>
    </i>
    <i>
      <x v="2"/>
    </i>
    <i r="1">
      <x/>
    </i>
    <i r="1">
      <x v="1"/>
    </i>
    <i r="1">
      <x v="2"/>
    </i>
    <i r="1">
      <x v="3"/>
    </i>
    <i r="1">
      <x v="5"/>
    </i>
    <i t="grand">
      <x/>
    </i>
  </rowItems>
  <colFields count="1">
    <field x="-2"/>
  </colFields>
  <colItems count="9">
    <i>
      <x/>
    </i>
    <i i="1">
      <x v="1"/>
    </i>
    <i i="2">
      <x v="2"/>
    </i>
    <i i="3">
      <x v="3"/>
    </i>
    <i i="4">
      <x v="4"/>
    </i>
    <i i="5">
      <x v="5"/>
    </i>
    <i i="6">
      <x v="6"/>
    </i>
    <i i="7">
      <x v="7"/>
    </i>
    <i i="8">
      <x v="8"/>
    </i>
  </colItems>
  <dataFields count="9">
    <dataField name="Sum of 01. Q4 (a.2) Widening stakeholders expectation gap and creating a perception of lesser quality audit for LCEs" fld="4" baseField="0" baseItem="0"/>
    <dataField name="Sum of 02. Q4 (a.2) Difficulties in determining when the LCE standard should apply" fld="5" baseField="0" baseItem="0"/>
    <dataField name="Sum of 03. Q4 (a.2) Views about LCE standard based on different framework" fld="6" baseField="0" baseItem="0"/>
    <dataField name="Sum of 04. Q4 (a.2) Good solution if based on ISA and provides same level of assurance" fld="7" baseField="0" baseItem="0"/>
    <dataField name="Sum of 05. Q4 (a.2) Long time to develop" fld="8" baseField="0" baseItem="0"/>
    <dataField name="Sum of 06. Q4 (a.2) Fragmentation of the profession (two tier auditors)" fld="9" baseField="0" baseItem="0"/>
    <dataField name="Sum of 07. Q4 (a.2) Increased costs for dual maintenance of methodologies and difficulties with training" fld="10" baseField="0" baseItem="0"/>
    <dataField name="Sum of 08. Q4 (a.2) Adverse effect on audit quality" fld="11" baseField="0" baseItem="0"/>
    <dataField name="Sum of 09. Q4 (a.2) Other views" fld="12" baseField="0" baseItem="0"/>
  </dataFields>
  <formats count="2">
    <format dxfId="17">
      <pivotArea dataOnly="0" labelOnly="1" outline="0" fieldPosition="0">
        <references count="1">
          <reference field="4294967294" count="9">
            <x v="0"/>
            <x v="1"/>
            <x v="2"/>
            <x v="3"/>
            <x v="4"/>
            <x v="5"/>
            <x v="6"/>
            <x v="7"/>
            <x v="8"/>
          </reference>
        </references>
      </pivotArea>
    </format>
    <format dxfId="16">
      <pivotArea dataOnly="0" labelOnly="1" outline="0" fieldPosition="0">
        <references count="1">
          <reference field="4294967294" count="9">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2B678A-E86B-4DEB-8D94-A599ED98A66C}" name="PivotTable44"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I9:P25" firstHeaderRow="0" firstDataRow="1" firstDataCol="1"/>
  <pivotFields count="11">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x="6"/>
        <item x="4"/>
        <item sd="0" x="3"/>
        <item sd="0" x="2"/>
        <item sd="0" x="7"/>
        <item sd="0" x="0"/>
        <item x="5"/>
        <item sd="0" x="1"/>
        <item t="default"/>
      </items>
    </pivotField>
    <pivotField axis="axisRow" showAll="0">
      <items count="5">
        <item x="2"/>
        <item x="0"/>
        <item x="3"/>
        <item h="1" x="1"/>
        <item t="default"/>
      </items>
    </pivotField>
    <pivotField dataField="1" showAll="0"/>
    <pivotField dataField="1" showAll="0"/>
    <pivotField dataField="1" showAll="0"/>
    <pivotField dataField="1" showAll="0"/>
    <pivotField dataField="1" showAll="0"/>
    <pivotField dataField="1" showAll="0"/>
    <pivotField dataField="1" showAll="0"/>
  </pivotFields>
  <rowFields count="3">
    <field x="3"/>
    <field x="2"/>
    <field x="0"/>
  </rowFields>
  <rowItems count="16">
    <i>
      <x/>
    </i>
    <i r="1">
      <x v="2"/>
    </i>
    <i r="1">
      <x v="3"/>
    </i>
    <i r="1">
      <x v="5"/>
    </i>
    <i r="1">
      <x v="7"/>
    </i>
    <i>
      <x v="1"/>
    </i>
    <i r="1">
      <x v="2"/>
    </i>
    <i r="1">
      <x v="3"/>
    </i>
    <i r="1">
      <x v="4"/>
    </i>
    <i r="1">
      <x v="5"/>
    </i>
    <i r="1">
      <x v="7"/>
    </i>
    <i>
      <x v="2"/>
    </i>
    <i r="1">
      <x v="2"/>
    </i>
    <i r="1">
      <x v="3"/>
    </i>
    <i r="1">
      <x v="5"/>
    </i>
    <i t="grand">
      <x/>
    </i>
  </rowItems>
  <colFields count="1">
    <field x="-2"/>
  </colFields>
  <colItems count="7">
    <i>
      <x/>
    </i>
    <i i="1">
      <x v="1"/>
    </i>
    <i i="2">
      <x v="2"/>
    </i>
    <i i="3">
      <x v="3"/>
    </i>
    <i i="4">
      <x v="4"/>
    </i>
    <i i="5">
      <x v="5"/>
    </i>
    <i i="6">
      <x v="6"/>
    </i>
  </colItems>
  <dataFields count="7">
    <dataField name="Sum of 01. Q4 (a.3) Effective solution in a combined approach as it does not resolve the problem on its own" fld="4" baseField="0" baseItem="0"/>
    <dataField name="Sum of 02. Q4 (a.3) Further exaggerate the length and complexity issue as there is more material to read and understand" fld="5" baseField="0" baseItem="0"/>
    <dataField name="Sum of 03. Q4 (a.3) Already available" fld="6" baseField="0" baseItem="0"/>
    <dataField name="Sum of 04. Q4 (a.3) Non-authoritative nature of guidance" fld="7" baseField="0" baseItem="0"/>
    <dataField name="Sum of 05. Q4 (a.3) Targeted examples and practical tools" fld="8" baseField="0" baseItem="0"/>
    <dataField name="Sum of 06. Q4 (a.3) Less time and resources to complete in short term" fld="9" baseField="0" baseItem="0"/>
    <dataField name="Sum of 07. Q4 (a.3) Other views" fld="10" baseField="0" baseItem="0"/>
  </dataFields>
  <formats count="2">
    <format dxfId="11">
      <pivotArea dataOnly="0" labelOnly="1" outline="0" fieldPosition="0">
        <references count="1">
          <reference field="4294967294" count="7">
            <x v="0"/>
            <x v="1"/>
            <x v="2"/>
            <x v="3"/>
            <x v="4"/>
            <x v="5"/>
            <x v="6"/>
          </reference>
        </references>
      </pivotArea>
    </format>
    <format dxfId="1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B30A03-FCB7-4AAC-9D78-0A8923944851}" name="PivotTable28"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F18" firstHeaderRow="0" firstDataRow="1" firstDataCol="1"/>
  <pivotFields count="8">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2. Q4 (a.3) Option C - Agree" fld="3" baseField="0" baseItem="0"/>
    <dataField name="Sum of 3. Q4 (a.3) Option C - Agree but with further comments" fld="4" baseField="0" baseItem="0"/>
    <dataField name="Sum of 4. Q4 (a.3) Option C - Neither agree or disagree and with further comments" fld="5" baseField="0" baseItem="0"/>
    <dataField name="Sum of 5. Q4 (a.3) Option C - Disagree" fld="6" baseField="0" baseItem="0"/>
    <dataField name="Sum of 6. Q4 (a.3) Option C - None" fld="7" baseField="0" baseItem="0"/>
  </dataFields>
  <formats count="2">
    <format dxfId="13">
      <pivotArea dataOnly="0" labelOnly="1" outline="0" fieldPosition="0">
        <references count="1">
          <reference field="4294967294" count="5">
            <x v="0"/>
            <x v="1"/>
            <x v="2"/>
            <x v="3"/>
            <x v="4"/>
          </reference>
        </references>
      </pivotArea>
    </format>
    <format dxfId="1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C27774-F421-4BEC-9B8F-29161C340CD9}" name="PivotTable30"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G18" firstHeaderRow="0" firstDataRow="1" firstDataCol="1"/>
  <pivotFields count="9">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02. Q4 (c) Option A - Revising the ISA" fld="3" baseField="0" baseItem="0"/>
    <dataField name="Sum of 03. Q4 (c) Option B - Separate auditing LCE standard" fld="4" baseField="0" baseItem="0"/>
    <dataField name="Sum of 04. Q4 (c) Option C - Guidance for audits of LCE" fld="5" baseField="0" baseItem="0"/>
    <dataField name="Sum of 05. Q4 (c) Combined approaches" fld="6" baseField="0" baseItem="0"/>
    <dataField name="Sum of 06. Q4 (c) Other action priorities" fld="7" baseField="0" baseItem="0"/>
    <dataField name="Sum of 07. Q4 (c) None" fld="8" baseField="0" baseItem="0"/>
  </dataFields>
  <formats count="2">
    <format dxfId="7">
      <pivotArea dataOnly="0" labelOnly="1" outline="0" fieldPosition="0">
        <references count="1">
          <reference field="4294967294" count="6">
            <x v="0"/>
            <x v="1"/>
            <x v="2"/>
            <x v="3"/>
            <x v="4"/>
            <x v="5"/>
          </reference>
        </references>
      </pivotArea>
    </format>
    <format dxfId="6">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E5FEEB-E1B3-4DF7-9DC3-BF22F8613B0C}" name="PivotTable37"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J9:M18" firstHeaderRow="0" firstDataRow="1" firstDataCol="1"/>
  <pivotFields count="6">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3">
    <i>
      <x/>
    </i>
    <i i="1">
      <x v="1"/>
    </i>
    <i i="2">
      <x v="2"/>
    </i>
  </colItems>
  <dataFields count="3">
    <dataField name="Sum of A. Q4 (c) Option A + C (combo)" fld="3" baseField="0" baseItem="0"/>
    <dataField name="Sum of B. Q4 (c) Option A + B (combo)" fld="4" baseField="0" baseItem="0"/>
    <dataField name="Sum of C. Q4 (c) Option B + C (combo)" fld="5" baseField="0" baseItem="0"/>
  </dataFields>
  <formats count="2">
    <format dxfId="9">
      <pivotArea dataOnly="0" labelOnly="1" outline="0" fieldPosition="0">
        <references count="1">
          <reference field="4294967294" count="3">
            <x v="0"/>
            <x v="1"/>
            <x v="2"/>
          </reference>
        </references>
      </pivotArea>
    </format>
    <format dxfId="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05DCC9-D583-4CAB-913A-1BFFBE592583}" name="PivotTable1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s">
  <location ref="A9:G18" firstHeaderRow="0" firstDataRow="1" firstDataCol="1"/>
  <pivotFields count="9">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02. Q4 (b) Alternative approaches to LCE assurance" fld="3" baseField="0" baseItem="0"/>
    <dataField name="Sum of 03. Q4 (b) Interpretations, practice notes, guidance" fld="4" baseField="0" baseItem="0"/>
    <dataField name="Sum of 04. Q4 (b) Leveraging technology" fld="5" baseField="0" baseItem="0"/>
    <dataField name="Sum of 05. Q4 (b) Further evidence based research" fld="6" baseField="0" baseItem="0"/>
    <dataField name="Sum of 06. Q4 (b) Other actions" fld="7" baseField="0" baseItem="0"/>
    <dataField name="Sum of 07. Q4 (b) None" fld="8" baseField="0" baseItem="0"/>
  </dataFields>
  <formats count="2">
    <format dxfId="5">
      <pivotArea dataOnly="0" labelOnly="1" outline="0" fieldPosition="0">
        <references count="1">
          <reference field="4294967294" count="6">
            <x v="0"/>
            <x v="1"/>
            <x v="2"/>
            <x v="3"/>
            <x v="4"/>
            <x v="5"/>
          </reference>
        </references>
      </pivotArea>
    </format>
    <format dxfId="4">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D67B97-9B05-4F36-BFCC-1CB6CE0A96F2}" name="PivotTable16"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N18" firstHeaderRow="0" firstDataRow="1" firstDataCol="1"/>
  <pivotFields count="16">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13">
    <i>
      <x/>
    </i>
    <i i="1">
      <x v="1"/>
    </i>
    <i i="2">
      <x v="2"/>
    </i>
    <i i="3">
      <x v="3"/>
    </i>
    <i i="4">
      <x v="4"/>
    </i>
    <i i="5">
      <x v="5"/>
    </i>
    <i i="6">
      <x v="6"/>
    </i>
    <i i="7">
      <x v="7"/>
    </i>
    <i i="8">
      <x v="8"/>
    </i>
    <i i="9">
      <x v="9"/>
    </i>
    <i i="10">
      <x v="10"/>
    </i>
    <i i="11">
      <x v="11"/>
    </i>
    <i i="12">
      <x v="12"/>
    </i>
  </colItems>
  <dataFields count="13">
    <dataField name="Sum of 02. Q3 Value of audit and public expectations" fld="3" baseField="0" baseItem="0"/>
    <dataField name="Sum of 03. Q3 Technology and methodology" fld="4" baseField="0" baseItem="0"/>
    <dataField name="Sum of 04. Q3 Engagement with regulators and NSS" fld="5" baseField="0" baseItem="0"/>
    <dataField name="Sum of 05. Q3 Education and people" fld="6" baseField="0" baseItem="0"/>
    <dataField name="Sum of 06. Q3 Commercial considerations" fld="7" baseField="0" baseItem="0"/>
    <dataField name="Sum of 07. Q3 Audit exemption thresholds" fld="8" baseField="0" baseItem="0"/>
    <dataField name="Sum of 08. Q3 Other engagements and forms of assurance" fld="9" baseField="0" baseItem="0"/>
    <dataField name="Sum of 09. Q3 Enhanced accessibility of ISA" fld="10" baseField="0" baseItem="0"/>
    <dataField name="Sum of 10. Q3 Ongoing outreach with stakeholders" fld="11" baseField="0" baseItem="0"/>
    <dataField name="Sum of 11. Q3 Growing complexity of accounting standards" fld="12" baseField="0" baseItem="0"/>
    <dataField name="Sum of 12. Q3 IAASB should not focus on influencing others to act" fld="13" baseField="0" baseItem="0"/>
    <dataField name="Sum of 13. Q3 Other comments" fld="14" baseField="0" baseItem="0"/>
    <dataField name="Sum of 14. Q3 None" fld="15" baseField="0" baseItem="0"/>
  </dataFields>
  <formats count="2">
    <format dxfId="3">
      <pivotArea dataOnly="0" labelOnly="1" outline="0" fieldPosition="0">
        <references count="1">
          <reference field="4294967294" count="13">
            <x v="0"/>
            <x v="1"/>
            <x v="2"/>
            <x v="3"/>
            <x v="4"/>
            <x v="5"/>
            <x v="6"/>
            <x v="7"/>
            <x v="8"/>
            <x v="9"/>
            <x v="10"/>
            <x v="11"/>
            <x v="12"/>
          </reference>
        </references>
      </pivotArea>
    </format>
    <format dxfId="2">
      <pivotArea dataOnly="0" labelOnly="1" outline="0" fieldPosition="0">
        <references count="1">
          <reference field="4294967294" count="13">
            <x v="0"/>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808C6B-0E97-4642-B15C-D9BBBE3BF720}" name="PivotTable18"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9:M18" firstHeaderRow="0" firstDataRow="1" firstDataCol="1"/>
  <pivotFields count="15">
    <pivotField axis="axisRow"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9">
        <item sd="0" x="6"/>
        <item sd="0" x="4"/>
        <item sd="0" x="3"/>
        <item sd="0" x="2"/>
        <item sd="0" x="7"/>
        <item sd="0" x="0"/>
        <item sd="0" x="5"/>
        <item sd="0"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9">
    <i>
      <x/>
    </i>
    <i>
      <x v="1"/>
    </i>
    <i>
      <x v="2"/>
    </i>
    <i>
      <x v="3"/>
    </i>
    <i>
      <x v="4"/>
    </i>
    <i>
      <x v="5"/>
    </i>
    <i>
      <x v="6"/>
    </i>
    <i>
      <x v="7"/>
    </i>
    <i t="grand">
      <x/>
    </i>
  </rowItems>
  <colFields count="1">
    <field x="-2"/>
  </colFields>
  <colItems count="12">
    <i>
      <x/>
    </i>
    <i i="1">
      <x v="1"/>
    </i>
    <i i="2">
      <x v="2"/>
    </i>
    <i i="3">
      <x v="3"/>
    </i>
    <i i="4">
      <x v="4"/>
    </i>
    <i i="5">
      <x v="5"/>
    </i>
    <i i="6">
      <x v="6"/>
    </i>
    <i i="7">
      <x v="7"/>
    </i>
    <i i="8">
      <x v="8"/>
    </i>
    <i i="9">
      <x v="9"/>
    </i>
    <i i="10">
      <x v="10"/>
    </i>
    <i i="11">
      <x v="11"/>
    </i>
  </colItems>
  <dataFields count="12">
    <dataField name="Sum of 02. Q5 Globally coordinated solution" fld="3" baseField="0" baseItem="0"/>
    <dataField name="Sum of 03. Q5 Collaborating with others" fld="4" baseField="0" baseItem="0"/>
    <dataField name="Sum of 04. Q5 Urgency of actions" fld="5" baseField="0" baseItem="0"/>
    <dataField name="Sum of 05. Q5 Further scalability considerations" fld="6" baseField="0" baseItem="0"/>
    <dataField name="Sum of 06. Q5 Engagements other than audit" fld="7" baseField="0" baseItem="0"/>
    <dataField name="Sum of 07. Q5 Auditor reporting" fld="8" baseField="0" baseItem="0"/>
    <dataField name="Sum of 08. Q5 Capacity and resources" fld="9" baseField="0" baseItem="0"/>
    <dataField name="Sum of 09. Q5 Role of IAASB in promoting the value of audit" fld="10" baseField="0" baseItem="0"/>
    <dataField name="Sum of 10. Q5 Impact of technology on LCE audits" fld="11" baseField="0" baseItem="0"/>
    <dataField name="Sum of 11. Q5 Adequate SMP representation" fld="12" baseField="0" baseItem="0"/>
    <dataField name="Sum of 12. Q5 Other matters" fld="13" baseField="0" baseItem="0"/>
    <dataField name="Sum of 13. Q5 None" fld="14" baseField="0" baseItem="0"/>
  </dataFields>
  <formats count="2">
    <format dxfId="1">
      <pivotArea dataOnly="0" labelOnly="1" outline="0" fieldPosition="0">
        <references count="1">
          <reference field="4294967294" count="12">
            <x v="0"/>
            <x v="1"/>
            <x v="2"/>
            <x v="3"/>
            <x v="4"/>
            <x v="5"/>
            <x v="6"/>
            <x v="7"/>
            <x v="8"/>
            <x v="9"/>
            <x v="10"/>
            <x v="11"/>
          </reference>
        </references>
      </pivotArea>
    </format>
    <format dxfId="0">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FFB9-7B7E-44F9-BED6-C77CE2F80998}">
  <sheetPr>
    <pageSetUpPr fitToPage="1"/>
  </sheetPr>
  <dimension ref="A1:V24"/>
  <sheetViews>
    <sheetView tabSelected="1" workbookViewId="0">
      <selection activeCell="A7" sqref="A7"/>
    </sheetView>
  </sheetViews>
  <sheetFormatPr defaultRowHeight="14.5" x14ac:dyDescent="0.35"/>
  <cols>
    <col min="1" max="1" width="50.36328125" bestFit="1" customWidth="1"/>
    <col min="2" max="3" width="17.90625" bestFit="1" customWidth="1"/>
    <col min="4" max="4" width="16.1796875" bestFit="1" customWidth="1"/>
    <col min="5" max="5" width="12.453125" bestFit="1" customWidth="1"/>
    <col min="6" max="6" width="17.54296875" bestFit="1" customWidth="1"/>
    <col min="7" max="7" width="18.453125" customWidth="1"/>
    <col min="9" max="9" width="50.453125" customWidth="1"/>
    <col min="10" max="22" width="18.453125" customWidth="1"/>
  </cols>
  <sheetData>
    <row r="1" spans="1:22" ht="20" x14ac:dyDescent="0.35">
      <c r="A1" s="6" t="s">
        <v>13</v>
      </c>
    </row>
    <row r="2" spans="1:22" ht="20" x14ac:dyDescent="0.35">
      <c r="A2" s="6" t="s">
        <v>117</v>
      </c>
    </row>
    <row r="3" spans="1:22" ht="15.5" x14ac:dyDescent="0.35">
      <c r="A3" s="8"/>
    </row>
    <row r="4" spans="1:22" ht="62.5" customHeight="1" x14ac:dyDescent="0.35">
      <c r="A4" s="18" t="s">
        <v>14</v>
      </c>
      <c r="B4" s="19"/>
      <c r="C4" s="19"/>
      <c r="D4" s="19"/>
      <c r="E4" s="19"/>
      <c r="F4" s="19"/>
      <c r="G4" s="20"/>
    </row>
    <row r="5" spans="1:22" ht="15.5" x14ac:dyDescent="0.35">
      <c r="A5" s="8"/>
    </row>
    <row r="6" spans="1:22" ht="15.5" x14ac:dyDescent="0.35">
      <c r="A6" s="12" t="s">
        <v>89</v>
      </c>
      <c r="I6" s="12" t="s">
        <v>90</v>
      </c>
    </row>
    <row r="7" spans="1:22" ht="15.5" x14ac:dyDescent="0.35">
      <c r="B7" s="10">
        <f>GETPIVOTDATA("Sum of 02. Q1 Agree",$A$9)/G18</f>
        <v>3.2258064516129031E-2</v>
      </c>
      <c r="C7" s="10">
        <f>GETPIVOTDATA("Sum of 03. Q1 Agree but with further comments",$A$9)/G18</f>
        <v>0.45161290322580644</v>
      </c>
      <c r="D7" s="10">
        <f>GETPIVOTDATA("Sum of 04. Q1 Neither agree or disagree and with further comments",$A$9)/G18</f>
        <v>0.39784946236559138</v>
      </c>
      <c r="E7" s="10">
        <f>GETPIVOTDATA("Sum of 05. Q1 Disagree",$A$9)/G18</f>
        <v>4.3010752688172046E-2</v>
      </c>
      <c r="F7" s="10">
        <f>GETPIVOTDATA("Sum of 06. Q1 None",$A$9)/G18</f>
        <v>7.5268817204301078E-2</v>
      </c>
      <c r="G7" s="11">
        <f>SUM(B7:F7)</f>
        <v>1</v>
      </c>
    </row>
    <row r="9" spans="1:22" ht="72.5" x14ac:dyDescent="0.35">
      <c r="A9" s="1" t="s">
        <v>0</v>
      </c>
      <c r="B9" s="7" t="s">
        <v>11</v>
      </c>
      <c r="C9" s="7" t="s">
        <v>12</v>
      </c>
      <c r="D9" s="7" t="s">
        <v>114</v>
      </c>
      <c r="E9" s="7" t="s">
        <v>115</v>
      </c>
      <c r="F9" s="7" t="s">
        <v>116</v>
      </c>
      <c r="G9" s="14" t="s">
        <v>9</v>
      </c>
      <c r="H9" s="1"/>
      <c r="I9" s="1" t="s">
        <v>0</v>
      </c>
      <c r="J9" s="17" t="s">
        <v>130</v>
      </c>
      <c r="K9" s="17" t="s">
        <v>131</v>
      </c>
      <c r="L9" s="17" t="s">
        <v>132</v>
      </c>
      <c r="M9" s="17" t="s">
        <v>133</v>
      </c>
      <c r="N9" s="17" t="s">
        <v>134</v>
      </c>
      <c r="O9" s="17" t="s">
        <v>135</v>
      </c>
      <c r="P9" s="17" t="s">
        <v>136</v>
      </c>
      <c r="Q9" s="17" t="s">
        <v>137</v>
      </c>
      <c r="R9" s="17" t="s">
        <v>138</v>
      </c>
      <c r="S9" s="17" t="s">
        <v>139</v>
      </c>
      <c r="T9" s="17" t="s">
        <v>140</v>
      </c>
      <c r="U9" s="17" t="s">
        <v>141</v>
      </c>
      <c r="V9" s="17" t="s">
        <v>142</v>
      </c>
    </row>
    <row r="10" spans="1:22" x14ac:dyDescent="0.35">
      <c r="A10" s="2" t="s">
        <v>5</v>
      </c>
      <c r="B10" s="3">
        <v>0</v>
      </c>
      <c r="C10" s="3">
        <v>0</v>
      </c>
      <c r="D10" s="3">
        <v>1</v>
      </c>
      <c r="E10" s="3">
        <v>0</v>
      </c>
      <c r="F10" s="3">
        <v>0</v>
      </c>
      <c r="G10" s="4">
        <f>SUM(B10:F10)</f>
        <v>1</v>
      </c>
      <c r="I10" s="2" t="s">
        <v>143</v>
      </c>
      <c r="J10" s="3">
        <v>15</v>
      </c>
      <c r="K10" s="3">
        <v>7</v>
      </c>
      <c r="L10" s="3">
        <v>5</v>
      </c>
      <c r="M10" s="3">
        <v>19</v>
      </c>
      <c r="N10" s="3">
        <v>8</v>
      </c>
      <c r="O10" s="3">
        <v>12</v>
      </c>
      <c r="P10" s="3">
        <v>7</v>
      </c>
      <c r="Q10" s="3">
        <v>13</v>
      </c>
      <c r="R10" s="3">
        <v>7</v>
      </c>
      <c r="S10" s="3">
        <v>12</v>
      </c>
      <c r="T10" s="3">
        <v>14</v>
      </c>
      <c r="U10" s="3">
        <v>1</v>
      </c>
      <c r="V10" s="3">
        <v>13</v>
      </c>
    </row>
    <row r="11" spans="1:22" x14ac:dyDescent="0.35">
      <c r="A11" s="2" t="s">
        <v>8</v>
      </c>
      <c r="B11" s="3">
        <v>0</v>
      </c>
      <c r="C11" s="3">
        <v>0</v>
      </c>
      <c r="D11" s="3">
        <v>4</v>
      </c>
      <c r="E11" s="3">
        <v>0</v>
      </c>
      <c r="F11" s="3">
        <v>1</v>
      </c>
      <c r="G11" s="4">
        <f t="shared" ref="G11:G18" si="0">SUM(B11:F11)</f>
        <v>5</v>
      </c>
      <c r="I11" s="16" t="s">
        <v>6</v>
      </c>
      <c r="J11" s="3">
        <v>3</v>
      </c>
      <c r="K11" s="3">
        <v>1</v>
      </c>
      <c r="L11" s="3">
        <v>1</v>
      </c>
      <c r="M11" s="3">
        <v>5</v>
      </c>
      <c r="N11" s="3">
        <v>2</v>
      </c>
      <c r="O11" s="3">
        <v>3</v>
      </c>
      <c r="P11" s="3">
        <v>1</v>
      </c>
      <c r="Q11" s="3">
        <v>5</v>
      </c>
      <c r="R11" s="3">
        <v>1</v>
      </c>
      <c r="S11" s="3">
        <v>5</v>
      </c>
      <c r="T11" s="3">
        <v>1</v>
      </c>
      <c r="U11" s="3">
        <v>1</v>
      </c>
      <c r="V11" s="3">
        <v>5</v>
      </c>
    </row>
    <row r="12" spans="1:22" x14ac:dyDescent="0.35">
      <c r="A12" s="2" t="s">
        <v>6</v>
      </c>
      <c r="B12" s="3">
        <v>0</v>
      </c>
      <c r="C12" s="3">
        <v>9</v>
      </c>
      <c r="D12" s="3">
        <v>5</v>
      </c>
      <c r="E12" s="3">
        <v>0</v>
      </c>
      <c r="F12" s="3">
        <v>0</v>
      </c>
      <c r="G12" s="4">
        <f t="shared" si="0"/>
        <v>14</v>
      </c>
      <c r="I12" s="16" t="s">
        <v>3</v>
      </c>
      <c r="J12" s="3">
        <v>4</v>
      </c>
      <c r="K12" s="3">
        <v>4</v>
      </c>
      <c r="L12" s="3">
        <v>2</v>
      </c>
      <c r="M12" s="3">
        <v>4</v>
      </c>
      <c r="N12" s="3">
        <v>1</v>
      </c>
      <c r="O12" s="3">
        <v>3</v>
      </c>
      <c r="P12" s="3">
        <v>2</v>
      </c>
      <c r="Q12" s="3">
        <v>2</v>
      </c>
      <c r="R12" s="3">
        <v>3</v>
      </c>
      <c r="S12" s="3">
        <v>2</v>
      </c>
      <c r="T12" s="3">
        <v>5</v>
      </c>
      <c r="U12" s="3">
        <v>0</v>
      </c>
      <c r="V12" s="3">
        <v>4</v>
      </c>
    </row>
    <row r="13" spans="1:22" x14ac:dyDescent="0.35">
      <c r="A13" s="2" t="s">
        <v>3</v>
      </c>
      <c r="B13" s="3">
        <v>1</v>
      </c>
      <c r="C13" s="3">
        <v>12</v>
      </c>
      <c r="D13" s="3">
        <v>9</v>
      </c>
      <c r="E13" s="3">
        <v>2</v>
      </c>
      <c r="F13" s="3">
        <v>0</v>
      </c>
      <c r="G13" s="4">
        <f t="shared" si="0"/>
        <v>24</v>
      </c>
      <c r="I13" s="16" t="s">
        <v>1</v>
      </c>
      <c r="J13" s="3">
        <v>8</v>
      </c>
      <c r="K13" s="3">
        <v>0</v>
      </c>
      <c r="L13" s="3">
        <v>1</v>
      </c>
      <c r="M13" s="3">
        <v>8</v>
      </c>
      <c r="N13" s="3">
        <v>4</v>
      </c>
      <c r="O13" s="3">
        <v>6</v>
      </c>
      <c r="P13" s="3">
        <v>4</v>
      </c>
      <c r="Q13" s="3">
        <v>4</v>
      </c>
      <c r="R13" s="3">
        <v>1</v>
      </c>
      <c r="S13" s="3">
        <v>4</v>
      </c>
      <c r="T13" s="3">
        <v>7</v>
      </c>
      <c r="U13" s="3">
        <v>0</v>
      </c>
      <c r="V13" s="3">
        <v>2</v>
      </c>
    </row>
    <row r="14" spans="1:22" x14ac:dyDescent="0.35">
      <c r="A14" s="2" t="s">
        <v>7</v>
      </c>
      <c r="B14" s="3">
        <v>0</v>
      </c>
      <c r="C14" s="3">
        <v>0</v>
      </c>
      <c r="D14" s="3">
        <v>2</v>
      </c>
      <c r="E14" s="3">
        <v>0</v>
      </c>
      <c r="F14" s="3">
        <v>0</v>
      </c>
      <c r="G14" s="4">
        <f t="shared" si="0"/>
        <v>2</v>
      </c>
      <c r="I14" s="16" t="s">
        <v>2</v>
      </c>
      <c r="J14" s="3">
        <v>0</v>
      </c>
      <c r="K14" s="3">
        <v>0</v>
      </c>
      <c r="L14" s="3">
        <v>0</v>
      </c>
      <c r="M14" s="3">
        <v>1</v>
      </c>
      <c r="N14" s="3">
        <v>1</v>
      </c>
      <c r="O14" s="3">
        <v>0</v>
      </c>
      <c r="P14" s="3">
        <v>0</v>
      </c>
      <c r="Q14" s="3">
        <v>0</v>
      </c>
      <c r="R14" s="3">
        <v>1</v>
      </c>
      <c r="S14" s="3">
        <v>0</v>
      </c>
      <c r="T14" s="3">
        <v>0</v>
      </c>
      <c r="U14" s="3">
        <v>0</v>
      </c>
      <c r="V14" s="3">
        <v>0</v>
      </c>
    </row>
    <row r="15" spans="1:22" x14ac:dyDescent="0.35">
      <c r="A15" s="2" t="s">
        <v>1</v>
      </c>
      <c r="B15" s="3">
        <v>1</v>
      </c>
      <c r="C15" s="3">
        <v>17</v>
      </c>
      <c r="D15" s="3">
        <v>12</v>
      </c>
      <c r="E15" s="3">
        <v>2</v>
      </c>
      <c r="F15" s="3">
        <v>2</v>
      </c>
      <c r="G15" s="4">
        <f t="shared" si="0"/>
        <v>34</v>
      </c>
      <c r="I15" s="16" t="s">
        <v>4</v>
      </c>
      <c r="J15" s="3">
        <v>0</v>
      </c>
      <c r="K15" s="3">
        <v>2</v>
      </c>
      <c r="L15" s="3">
        <v>1</v>
      </c>
      <c r="M15" s="3">
        <v>1</v>
      </c>
      <c r="N15" s="3">
        <v>0</v>
      </c>
      <c r="O15" s="3">
        <v>0</v>
      </c>
      <c r="P15" s="3">
        <v>0</v>
      </c>
      <c r="Q15" s="3">
        <v>2</v>
      </c>
      <c r="R15" s="3">
        <v>1</v>
      </c>
      <c r="S15" s="3">
        <v>1</v>
      </c>
      <c r="T15" s="3">
        <v>1</v>
      </c>
      <c r="U15" s="3">
        <v>0</v>
      </c>
      <c r="V15" s="3">
        <v>2</v>
      </c>
    </row>
    <row r="16" spans="1:22" x14ac:dyDescent="0.35">
      <c r="A16" s="2" t="s">
        <v>2</v>
      </c>
      <c r="B16" s="3">
        <v>0</v>
      </c>
      <c r="C16" s="3">
        <v>1</v>
      </c>
      <c r="D16" s="3">
        <v>0</v>
      </c>
      <c r="E16" s="3">
        <v>0</v>
      </c>
      <c r="F16" s="3">
        <v>0</v>
      </c>
      <c r="G16" s="4">
        <f t="shared" si="0"/>
        <v>1</v>
      </c>
      <c r="I16" s="2" t="s">
        <v>144</v>
      </c>
      <c r="J16" s="3">
        <v>11</v>
      </c>
      <c r="K16" s="3">
        <v>4</v>
      </c>
      <c r="L16" s="3">
        <v>2</v>
      </c>
      <c r="M16" s="3">
        <v>4</v>
      </c>
      <c r="N16" s="3">
        <v>0</v>
      </c>
      <c r="O16" s="3">
        <v>5</v>
      </c>
      <c r="P16" s="3">
        <v>2</v>
      </c>
      <c r="Q16" s="3">
        <v>7</v>
      </c>
      <c r="R16" s="3">
        <v>8</v>
      </c>
      <c r="S16" s="3">
        <v>4</v>
      </c>
      <c r="T16" s="3">
        <v>8</v>
      </c>
      <c r="U16" s="3">
        <v>7</v>
      </c>
      <c r="V16" s="3">
        <v>10</v>
      </c>
    </row>
    <row r="17" spans="1:22" x14ac:dyDescent="0.35">
      <c r="A17" s="2" t="s">
        <v>4</v>
      </c>
      <c r="B17" s="3">
        <v>1</v>
      </c>
      <c r="C17" s="3">
        <v>3</v>
      </c>
      <c r="D17" s="3">
        <v>4</v>
      </c>
      <c r="E17" s="3">
        <v>0</v>
      </c>
      <c r="F17" s="3">
        <v>4</v>
      </c>
      <c r="G17" s="4">
        <f t="shared" si="0"/>
        <v>12</v>
      </c>
      <c r="I17" s="16" t="s">
        <v>5</v>
      </c>
      <c r="J17" s="3">
        <v>1</v>
      </c>
      <c r="K17" s="3">
        <v>1</v>
      </c>
      <c r="L17" s="3">
        <v>0</v>
      </c>
      <c r="M17" s="3">
        <v>0</v>
      </c>
      <c r="N17" s="3">
        <v>0</v>
      </c>
      <c r="O17" s="3">
        <v>0</v>
      </c>
      <c r="P17" s="3">
        <v>1</v>
      </c>
      <c r="Q17" s="3">
        <v>1</v>
      </c>
      <c r="R17" s="3">
        <v>0</v>
      </c>
      <c r="S17" s="3">
        <v>0</v>
      </c>
      <c r="T17" s="3">
        <v>0</v>
      </c>
      <c r="U17" s="3">
        <v>0</v>
      </c>
      <c r="V17" s="3">
        <v>0</v>
      </c>
    </row>
    <row r="18" spans="1:22" x14ac:dyDescent="0.35">
      <c r="A18" s="2" t="s">
        <v>10</v>
      </c>
      <c r="B18" s="3">
        <v>3</v>
      </c>
      <c r="C18" s="3">
        <v>42</v>
      </c>
      <c r="D18" s="3">
        <v>37</v>
      </c>
      <c r="E18" s="3">
        <v>4</v>
      </c>
      <c r="F18" s="3">
        <v>7</v>
      </c>
      <c r="G18" s="5">
        <f t="shared" si="0"/>
        <v>93</v>
      </c>
      <c r="I18" s="16" t="s">
        <v>8</v>
      </c>
      <c r="J18" s="3">
        <v>3</v>
      </c>
      <c r="K18" s="3">
        <v>1</v>
      </c>
      <c r="L18" s="3">
        <v>0</v>
      </c>
      <c r="M18" s="3">
        <v>0</v>
      </c>
      <c r="N18" s="3">
        <v>0</v>
      </c>
      <c r="O18" s="3">
        <v>0</v>
      </c>
      <c r="P18" s="3">
        <v>1</v>
      </c>
      <c r="Q18" s="3">
        <v>0</v>
      </c>
      <c r="R18" s="3">
        <v>3</v>
      </c>
      <c r="S18" s="3">
        <v>0</v>
      </c>
      <c r="T18" s="3">
        <v>0</v>
      </c>
      <c r="U18" s="3">
        <v>0</v>
      </c>
      <c r="V18" s="3">
        <v>0</v>
      </c>
    </row>
    <row r="19" spans="1:22" x14ac:dyDescent="0.35">
      <c r="I19" s="16" t="s">
        <v>6</v>
      </c>
      <c r="J19" s="3">
        <v>1</v>
      </c>
      <c r="K19" s="3">
        <v>0</v>
      </c>
      <c r="L19" s="3">
        <v>0</v>
      </c>
      <c r="M19" s="3">
        <v>0</v>
      </c>
      <c r="N19" s="3">
        <v>0</v>
      </c>
      <c r="O19" s="3">
        <v>0</v>
      </c>
      <c r="P19" s="3">
        <v>0</v>
      </c>
      <c r="Q19" s="3">
        <v>0</v>
      </c>
      <c r="R19" s="3">
        <v>0</v>
      </c>
      <c r="S19" s="3">
        <v>0</v>
      </c>
      <c r="T19" s="3">
        <v>0</v>
      </c>
      <c r="U19" s="3">
        <v>3</v>
      </c>
      <c r="V19" s="3">
        <v>2</v>
      </c>
    </row>
    <row r="20" spans="1:22" x14ac:dyDescent="0.35">
      <c r="I20" s="16" t="s">
        <v>3</v>
      </c>
      <c r="J20" s="3">
        <v>0</v>
      </c>
      <c r="K20" s="3">
        <v>0</v>
      </c>
      <c r="L20" s="3">
        <v>0</v>
      </c>
      <c r="M20" s="3">
        <v>1</v>
      </c>
      <c r="N20" s="3">
        <v>0</v>
      </c>
      <c r="O20" s="3">
        <v>0</v>
      </c>
      <c r="P20" s="3">
        <v>0</v>
      </c>
      <c r="Q20" s="3">
        <v>3</v>
      </c>
      <c r="R20" s="3">
        <v>3</v>
      </c>
      <c r="S20" s="3">
        <v>3</v>
      </c>
      <c r="T20" s="3">
        <v>5</v>
      </c>
      <c r="U20" s="3">
        <v>3</v>
      </c>
      <c r="V20" s="3">
        <v>3</v>
      </c>
    </row>
    <row r="21" spans="1:22" x14ac:dyDescent="0.35">
      <c r="I21" s="16" t="s">
        <v>7</v>
      </c>
      <c r="J21" s="3">
        <v>0</v>
      </c>
      <c r="K21" s="3">
        <v>0</v>
      </c>
      <c r="L21" s="3">
        <v>0</v>
      </c>
      <c r="M21" s="3">
        <v>0</v>
      </c>
      <c r="N21" s="3">
        <v>0</v>
      </c>
      <c r="O21" s="3">
        <v>0</v>
      </c>
      <c r="P21" s="3">
        <v>0</v>
      </c>
      <c r="Q21" s="3">
        <v>0</v>
      </c>
      <c r="R21" s="3">
        <v>1</v>
      </c>
      <c r="S21" s="3">
        <v>0</v>
      </c>
      <c r="T21" s="3">
        <v>0</v>
      </c>
      <c r="U21" s="3">
        <v>0</v>
      </c>
      <c r="V21" s="3">
        <v>1</v>
      </c>
    </row>
    <row r="22" spans="1:22" x14ac:dyDescent="0.35">
      <c r="I22" s="16" t="s">
        <v>1</v>
      </c>
      <c r="J22" s="3">
        <v>4</v>
      </c>
      <c r="K22" s="3">
        <v>2</v>
      </c>
      <c r="L22" s="3">
        <v>1</v>
      </c>
      <c r="M22" s="3">
        <v>2</v>
      </c>
      <c r="N22" s="3">
        <v>0</v>
      </c>
      <c r="O22" s="3">
        <v>5</v>
      </c>
      <c r="P22" s="3">
        <v>0</v>
      </c>
      <c r="Q22" s="3">
        <v>2</v>
      </c>
      <c r="R22" s="3">
        <v>1</v>
      </c>
      <c r="S22" s="3">
        <v>1</v>
      </c>
      <c r="T22" s="3">
        <v>3</v>
      </c>
      <c r="U22" s="3">
        <v>1</v>
      </c>
      <c r="V22" s="3">
        <v>3</v>
      </c>
    </row>
    <row r="23" spans="1:22" x14ac:dyDescent="0.35">
      <c r="I23" s="16" t="s">
        <v>4</v>
      </c>
      <c r="J23" s="3">
        <v>2</v>
      </c>
      <c r="K23" s="3">
        <v>0</v>
      </c>
      <c r="L23" s="3">
        <v>1</v>
      </c>
      <c r="M23" s="3">
        <v>1</v>
      </c>
      <c r="N23" s="3">
        <v>0</v>
      </c>
      <c r="O23" s="3">
        <v>0</v>
      </c>
      <c r="P23" s="3">
        <v>0</v>
      </c>
      <c r="Q23" s="3">
        <v>1</v>
      </c>
      <c r="R23" s="3">
        <v>0</v>
      </c>
      <c r="S23" s="3">
        <v>0</v>
      </c>
      <c r="T23" s="3">
        <v>0</v>
      </c>
      <c r="U23" s="3">
        <v>0</v>
      </c>
      <c r="V23" s="3">
        <v>1</v>
      </c>
    </row>
    <row r="24" spans="1:22" x14ac:dyDescent="0.35">
      <c r="I24" s="2" t="s">
        <v>10</v>
      </c>
      <c r="J24" s="3">
        <v>26</v>
      </c>
      <c r="K24" s="3">
        <v>11</v>
      </c>
      <c r="L24" s="3">
        <v>7</v>
      </c>
      <c r="M24" s="3">
        <v>23</v>
      </c>
      <c r="N24" s="3">
        <v>8</v>
      </c>
      <c r="O24" s="3">
        <v>17</v>
      </c>
      <c r="P24" s="3">
        <v>9</v>
      </c>
      <c r="Q24" s="3">
        <v>20</v>
      </c>
      <c r="R24" s="3">
        <v>15</v>
      </c>
      <c r="S24" s="3">
        <v>16</v>
      </c>
      <c r="T24" s="3">
        <v>22</v>
      </c>
      <c r="U24" s="3">
        <v>8</v>
      </c>
      <c r="V24" s="3">
        <v>23</v>
      </c>
    </row>
  </sheetData>
  <mergeCells count="1">
    <mergeCell ref="A4:G4"/>
  </mergeCells>
  <pageMargins left="0.25" right="0.25" top="0.75" bottom="0.75" header="0.3" footer="0.3"/>
  <pageSetup scale="28" orientation="landscape"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C5305-1FD6-417E-ACAC-692A54D75874}">
  <sheetPr>
    <pageSetUpPr fitToPage="1"/>
  </sheetPr>
  <dimension ref="A1:M18"/>
  <sheetViews>
    <sheetView workbookViewId="0">
      <selection activeCell="B5" sqref="B5"/>
    </sheetView>
  </sheetViews>
  <sheetFormatPr defaultRowHeight="14.5" x14ac:dyDescent="0.35"/>
  <cols>
    <col min="1" max="1" width="50.36328125" bestFit="1" customWidth="1"/>
    <col min="2" max="2" width="12.453125" bestFit="1" customWidth="1"/>
    <col min="3" max="3" width="13.54296875" bestFit="1" customWidth="1"/>
    <col min="4" max="4" width="13.08984375" bestFit="1" customWidth="1"/>
    <col min="5" max="5" width="13.453125" bestFit="1" customWidth="1"/>
    <col min="6" max="6" width="17" bestFit="1" customWidth="1"/>
    <col min="7" max="7" width="12.54296875" bestFit="1" customWidth="1"/>
    <col min="8" max="8" width="12.453125" bestFit="1" customWidth="1"/>
    <col min="9" max="9" width="13.26953125" bestFit="1" customWidth="1"/>
    <col min="10" max="10" width="12.453125" bestFit="1" customWidth="1"/>
    <col min="11" max="11" width="13.6328125" bestFit="1" customWidth="1"/>
    <col min="12" max="13" width="12.453125" bestFit="1" customWidth="1"/>
  </cols>
  <sheetData>
    <row r="1" spans="1:13" ht="20" x14ac:dyDescent="0.35">
      <c r="A1" s="6" t="s">
        <v>13</v>
      </c>
    </row>
    <row r="2" spans="1:13" ht="20" x14ac:dyDescent="0.35">
      <c r="A2" s="6" t="s">
        <v>118</v>
      </c>
    </row>
    <row r="4" spans="1:13" ht="59.15" customHeight="1" x14ac:dyDescent="0.35">
      <c r="A4" s="18" t="s">
        <v>172</v>
      </c>
      <c r="B4" s="19"/>
      <c r="C4" s="19"/>
      <c r="D4" s="19"/>
      <c r="E4" s="19"/>
      <c r="F4" s="20"/>
    </row>
    <row r="9" spans="1:13" ht="87" x14ac:dyDescent="0.35">
      <c r="A9" s="1" t="s">
        <v>0</v>
      </c>
      <c r="B9" s="7" t="s">
        <v>102</v>
      </c>
      <c r="C9" s="7" t="s">
        <v>103</v>
      </c>
      <c r="D9" s="7" t="s">
        <v>104</v>
      </c>
      <c r="E9" s="7" t="s">
        <v>105</v>
      </c>
      <c r="F9" s="7" t="s">
        <v>106</v>
      </c>
      <c r="G9" s="7" t="s">
        <v>107</v>
      </c>
      <c r="H9" s="7" t="s">
        <v>108</v>
      </c>
      <c r="I9" s="7" t="s">
        <v>109</v>
      </c>
      <c r="J9" s="7" t="s">
        <v>110</v>
      </c>
      <c r="K9" s="7" t="s">
        <v>111</v>
      </c>
      <c r="L9" s="7" t="s">
        <v>112</v>
      </c>
      <c r="M9" s="7" t="s">
        <v>113</v>
      </c>
    </row>
    <row r="10" spans="1:13" x14ac:dyDescent="0.35">
      <c r="A10" s="2" t="s">
        <v>5</v>
      </c>
      <c r="B10" s="3">
        <v>0</v>
      </c>
      <c r="C10" s="3">
        <v>1</v>
      </c>
      <c r="D10" s="3">
        <v>1</v>
      </c>
      <c r="E10" s="3">
        <v>0</v>
      </c>
      <c r="F10" s="3">
        <v>0</v>
      </c>
      <c r="G10" s="3">
        <v>0</v>
      </c>
      <c r="H10" s="3">
        <v>0</v>
      </c>
      <c r="I10" s="3">
        <v>0</v>
      </c>
      <c r="J10" s="3">
        <v>0</v>
      </c>
      <c r="K10" s="3">
        <v>0</v>
      </c>
      <c r="L10" s="3">
        <v>0</v>
      </c>
      <c r="M10" s="3">
        <v>0</v>
      </c>
    </row>
    <row r="11" spans="1:13" x14ac:dyDescent="0.35">
      <c r="A11" s="2" t="s">
        <v>8</v>
      </c>
      <c r="B11" s="3">
        <v>0</v>
      </c>
      <c r="C11" s="3">
        <v>2</v>
      </c>
      <c r="D11" s="3">
        <v>2</v>
      </c>
      <c r="E11" s="3">
        <v>0</v>
      </c>
      <c r="F11" s="3">
        <v>1</v>
      </c>
      <c r="G11" s="3">
        <v>0</v>
      </c>
      <c r="H11" s="3">
        <v>0</v>
      </c>
      <c r="I11" s="3">
        <v>0</v>
      </c>
      <c r="J11" s="3">
        <v>0</v>
      </c>
      <c r="K11" s="3">
        <v>0</v>
      </c>
      <c r="L11" s="3">
        <v>0</v>
      </c>
      <c r="M11" s="3">
        <v>2</v>
      </c>
    </row>
    <row r="12" spans="1:13" x14ac:dyDescent="0.35">
      <c r="A12" s="2" t="s">
        <v>6</v>
      </c>
      <c r="B12" s="3">
        <v>6</v>
      </c>
      <c r="C12" s="3">
        <v>6</v>
      </c>
      <c r="D12" s="3">
        <v>4</v>
      </c>
      <c r="E12" s="3">
        <v>3</v>
      </c>
      <c r="F12" s="3">
        <v>2</v>
      </c>
      <c r="G12" s="3">
        <v>3</v>
      </c>
      <c r="H12" s="3">
        <v>2</v>
      </c>
      <c r="I12" s="3">
        <v>2</v>
      </c>
      <c r="J12" s="3">
        <v>0</v>
      </c>
      <c r="K12" s="3">
        <v>1</v>
      </c>
      <c r="L12" s="3">
        <v>3</v>
      </c>
      <c r="M12" s="3">
        <v>4</v>
      </c>
    </row>
    <row r="13" spans="1:13" x14ac:dyDescent="0.35">
      <c r="A13" s="2" t="s">
        <v>3</v>
      </c>
      <c r="B13" s="3">
        <v>3</v>
      </c>
      <c r="C13" s="3">
        <v>5</v>
      </c>
      <c r="D13" s="3">
        <v>3</v>
      </c>
      <c r="E13" s="3">
        <v>2</v>
      </c>
      <c r="F13" s="3">
        <v>3</v>
      </c>
      <c r="G13" s="3">
        <v>2</v>
      </c>
      <c r="H13" s="3">
        <v>3</v>
      </c>
      <c r="I13" s="3">
        <v>2</v>
      </c>
      <c r="J13" s="3">
        <v>1</v>
      </c>
      <c r="K13" s="3">
        <v>2</v>
      </c>
      <c r="L13" s="3">
        <v>10</v>
      </c>
      <c r="M13" s="3">
        <v>5</v>
      </c>
    </row>
    <row r="14" spans="1:13" x14ac:dyDescent="0.35">
      <c r="A14" s="2" t="s">
        <v>7</v>
      </c>
      <c r="B14" s="3">
        <v>0</v>
      </c>
      <c r="C14" s="3">
        <v>0</v>
      </c>
      <c r="D14" s="3">
        <v>0</v>
      </c>
      <c r="E14" s="3">
        <v>0</v>
      </c>
      <c r="F14" s="3">
        <v>0</v>
      </c>
      <c r="G14" s="3">
        <v>0</v>
      </c>
      <c r="H14" s="3">
        <v>0</v>
      </c>
      <c r="I14" s="3">
        <v>0</v>
      </c>
      <c r="J14" s="3">
        <v>0</v>
      </c>
      <c r="K14" s="3">
        <v>0</v>
      </c>
      <c r="L14" s="3">
        <v>0</v>
      </c>
      <c r="M14" s="3">
        <v>2</v>
      </c>
    </row>
    <row r="15" spans="1:13" x14ac:dyDescent="0.35">
      <c r="A15" s="2" t="s">
        <v>1</v>
      </c>
      <c r="B15" s="3">
        <v>14</v>
      </c>
      <c r="C15" s="3">
        <v>9</v>
      </c>
      <c r="D15" s="3">
        <v>5</v>
      </c>
      <c r="E15" s="3">
        <v>8</v>
      </c>
      <c r="F15" s="3">
        <v>5</v>
      </c>
      <c r="G15" s="3">
        <v>2</v>
      </c>
      <c r="H15" s="3">
        <v>2</v>
      </c>
      <c r="I15" s="3">
        <v>4</v>
      </c>
      <c r="J15" s="3">
        <v>3</v>
      </c>
      <c r="K15" s="3">
        <v>3</v>
      </c>
      <c r="L15" s="3">
        <v>12</v>
      </c>
      <c r="M15" s="3">
        <v>7</v>
      </c>
    </row>
    <row r="16" spans="1:13" x14ac:dyDescent="0.35">
      <c r="A16" s="2" t="s">
        <v>2</v>
      </c>
      <c r="B16" s="3">
        <v>0</v>
      </c>
      <c r="C16" s="3">
        <v>1</v>
      </c>
      <c r="D16" s="3">
        <v>1</v>
      </c>
      <c r="E16" s="3">
        <v>0</v>
      </c>
      <c r="F16" s="3">
        <v>0</v>
      </c>
      <c r="G16" s="3">
        <v>0</v>
      </c>
      <c r="H16" s="3">
        <v>0</v>
      </c>
      <c r="I16" s="3">
        <v>0</v>
      </c>
      <c r="J16" s="3">
        <v>0</v>
      </c>
      <c r="K16" s="3">
        <v>0</v>
      </c>
      <c r="L16" s="3">
        <v>0</v>
      </c>
      <c r="M16" s="3">
        <v>0</v>
      </c>
    </row>
    <row r="17" spans="1:13" x14ac:dyDescent="0.35">
      <c r="A17" s="2" t="s">
        <v>4</v>
      </c>
      <c r="B17" s="3">
        <v>0</v>
      </c>
      <c r="C17" s="3">
        <v>0</v>
      </c>
      <c r="D17" s="3">
        <v>1</v>
      </c>
      <c r="E17" s="3">
        <v>0</v>
      </c>
      <c r="F17" s="3">
        <v>1</v>
      </c>
      <c r="G17" s="3">
        <v>0</v>
      </c>
      <c r="H17" s="3">
        <v>0</v>
      </c>
      <c r="I17" s="3">
        <v>0</v>
      </c>
      <c r="J17" s="3">
        <v>0</v>
      </c>
      <c r="K17" s="3">
        <v>0</v>
      </c>
      <c r="L17" s="3">
        <v>1</v>
      </c>
      <c r="M17" s="3">
        <v>9</v>
      </c>
    </row>
    <row r="18" spans="1:13" x14ac:dyDescent="0.35">
      <c r="A18" s="2" t="s">
        <v>10</v>
      </c>
      <c r="B18" s="3">
        <v>23</v>
      </c>
      <c r="C18" s="3">
        <v>24</v>
      </c>
      <c r="D18" s="3">
        <v>17</v>
      </c>
      <c r="E18" s="3">
        <v>13</v>
      </c>
      <c r="F18" s="3">
        <v>12</v>
      </c>
      <c r="G18" s="3">
        <v>7</v>
      </c>
      <c r="H18" s="3">
        <v>7</v>
      </c>
      <c r="I18" s="3">
        <v>8</v>
      </c>
      <c r="J18" s="3">
        <v>4</v>
      </c>
      <c r="K18" s="3">
        <v>6</v>
      </c>
      <c r="L18" s="3">
        <v>26</v>
      </c>
      <c r="M18" s="3">
        <v>29</v>
      </c>
    </row>
  </sheetData>
  <mergeCells count="1">
    <mergeCell ref="A4:F4"/>
  </mergeCells>
  <pageMargins left="0.25" right="0.25" top="0.75" bottom="0.75" header="0.3" footer="0.3"/>
  <pageSetup scale="62" fitToHeight="0" orientation="landscape"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7B64-668A-4016-9556-A4248A6F3417}">
  <sheetPr>
    <pageSetUpPr fitToPage="1"/>
  </sheetPr>
  <dimension ref="A1:W18"/>
  <sheetViews>
    <sheetView workbookViewId="0"/>
  </sheetViews>
  <sheetFormatPr defaultRowHeight="14.5" x14ac:dyDescent="0.35"/>
  <cols>
    <col min="1" max="1" width="50.453125" bestFit="1" customWidth="1"/>
    <col min="2" max="2" width="15.26953125" bestFit="1" customWidth="1"/>
    <col min="3" max="3" width="17" bestFit="1" customWidth="1"/>
    <col min="4" max="5" width="15.26953125" bestFit="1" customWidth="1"/>
    <col min="6" max="6" width="17.1796875" customWidth="1"/>
    <col min="7" max="7" width="16.1796875" customWidth="1"/>
    <col min="8" max="8" width="15.26953125" bestFit="1" customWidth="1"/>
    <col min="9" max="9" width="15.81640625" bestFit="1" customWidth="1"/>
    <col min="10" max="10" width="16.26953125" bestFit="1" customWidth="1"/>
    <col min="11" max="11" width="13.7265625" customWidth="1"/>
    <col min="12" max="12" width="13.36328125" customWidth="1"/>
    <col min="13" max="13" width="16" customWidth="1"/>
    <col min="14" max="14" width="19.08984375" customWidth="1"/>
    <col min="15" max="15" width="15.26953125" bestFit="1" customWidth="1"/>
    <col min="16" max="16" width="18.36328125" customWidth="1"/>
    <col min="17" max="17" width="15.54296875" bestFit="1" customWidth="1"/>
    <col min="18" max="18" width="15.26953125" bestFit="1" customWidth="1"/>
    <col min="19" max="19" width="15.54296875" bestFit="1" customWidth="1"/>
    <col min="20" max="20" width="15.81640625" bestFit="1" customWidth="1"/>
    <col min="21" max="22" width="15.26953125" bestFit="1" customWidth="1"/>
    <col min="23" max="23" width="12.453125" customWidth="1"/>
  </cols>
  <sheetData>
    <row r="1" spans="1:23" ht="20" x14ac:dyDescent="0.35">
      <c r="A1" s="6" t="s">
        <v>13</v>
      </c>
    </row>
    <row r="2" spans="1:23" ht="20" x14ac:dyDescent="0.35">
      <c r="A2" s="6" t="s">
        <v>119</v>
      </c>
    </row>
    <row r="4" spans="1:23" ht="61.5" customHeight="1" x14ac:dyDescent="0.35">
      <c r="A4" s="18" t="s">
        <v>173</v>
      </c>
      <c r="B4" s="19"/>
      <c r="C4" s="19"/>
      <c r="D4" s="19"/>
      <c r="E4" s="19"/>
      <c r="F4" s="20"/>
    </row>
    <row r="9" spans="1:23" ht="58" x14ac:dyDescent="0.35">
      <c r="A9" s="1" t="s">
        <v>0</v>
      </c>
      <c r="B9" s="13" t="s">
        <v>15</v>
      </c>
      <c r="C9" s="13" t="s">
        <v>16</v>
      </c>
      <c r="D9" s="13" t="s">
        <v>17</v>
      </c>
      <c r="E9" s="13" t="s">
        <v>18</v>
      </c>
      <c r="F9" s="13" t="s">
        <v>19</v>
      </c>
      <c r="G9" s="13" t="s">
        <v>20</v>
      </c>
      <c r="H9" s="13" t="s">
        <v>21</v>
      </c>
      <c r="I9" s="13" t="s">
        <v>22</v>
      </c>
      <c r="J9" s="13" t="s">
        <v>23</v>
      </c>
      <c r="K9" s="13" t="s">
        <v>24</v>
      </c>
      <c r="L9" s="13" t="s">
        <v>25</v>
      </c>
      <c r="M9" s="13" t="s">
        <v>26</v>
      </c>
      <c r="N9" s="13" t="s">
        <v>27</v>
      </c>
      <c r="O9" s="13" t="s">
        <v>28</v>
      </c>
      <c r="P9" s="13" t="s">
        <v>29</v>
      </c>
      <c r="Q9" s="13" t="s">
        <v>30</v>
      </c>
      <c r="R9" s="13" t="s">
        <v>31</v>
      </c>
      <c r="S9" s="7" t="s">
        <v>32</v>
      </c>
      <c r="T9" s="7" t="s">
        <v>33</v>
      </c>
      <c r="U9" s="7" t="s">
        <v>177</v>
      </c>
      <c r="V9" s="7" t="s">
        <v>128</v>
      </c>
      <c r="W9" s="7" t="s">
        <v>129</v>
      </c>
    </row>
    <row r="10" spans="1:23" x14ac:dyDescent="0.35">
      <c r="A10" s="2" t="s">
        <v>5</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1</v>
      </c>
      <c r="W10" s="3">
        <v>0</v>
      </c>
    </row>
    <row r="11" spans="1:23" x14ac:dyDescent="0.35">
      <c r="A11" s="2" t="s">
        <v>8</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5</v>
      </c>
    </row>
    <row r="12" spans="1:23" x14ac:dyDescent="0.35">
      <c r="A12" s="2" t="s">
        <v>6</v>
      </c>
      <c r="B12" s="3">
        <v>10</v>
      </c>
      <c r="C12" s="3">
        <v>7</v>
      </c>
      <c r="D12" s="3">
        <v>7</v>
      </c>
      <c r="E12" s="3">
        <v>5</v>
      </c>
      <c r="F12" s="3">
        <v>2</v>
      </c>
      <c r="G12" s="3">
        <v>2</v>
      </c>
      <c r="H12" s="3">
        <v>3</v>
      </c>
      <c r="I12" s="3">
        <v>1</v>
      </c>
      <c r="J12" s="3">
        <v>2</v>
      </c>
      <c r="K12" s="3">
        <v>1</v>
      </c>
      <c r="L12" s="3">
        <v>2</v>
      </c>
      <c r="M12" s="3">
        <v>1</v>
      </c>
      <c r="N12" s="3">
        <v>0</v>
      </c>
      <c r="O12" s="3">
        <v>1</v>
      </c>
      <c r="P12" s="3">
        <v>0</v>
      </c>
      <c r="Q12" s="3">
        <v>1</v>
      </c>
      <c r="R12" s="3">
        <v>0</v>
      </c>
      <c r="S12" s="3">
        <v>0</v>
      </c>
      <c r="T12" s="3">
        <v>0</v>
      </c>
      <c r="U12" s="3">
        <v>0</v>
      </c>
      <c r="V12" s="3">
        <v>2</v>
      </c>
      <c r="W12" s="3">
        <v>4</v>
      </c>
    </row>
    <row r="13" spans="1:23" x14ac:dyDescent="0.35">
      <c r="A13" s="2" t="s">
        <v>3</v>
      </c>
      <c r="B13" s="3">
        <v>17</v>
      </c>
      <c r="C13" s="3">
        <v>14</v>
      </c>
      <c r="D13" s="3">
        <v>9</v>
      </c>
      <c r="E13" s="3">
        <v>10</v>
      </c>
      <c r="F13" s="3">
        <v>7</v>
      </c>
      <c r="G13" s="3">
        <v>4</v>
      </c>
      <c r="H13" s="3">
        <v>3</v>
      </c>
      <c r="I13" s="3">
        <v>3</v>
      </c>
      <c r="J13" s="3">
        <v>4</v>
      </c>
      <c r="K13" s="3">
        <v>1</v>
      </c>
      <c r="L13" s="3">
        <v>3</v>
      </c>
      <c r="M13" s="3">
        <v>2</v>
      </c>
      <c r="N13" s="3">
        <v>2</v>
      </c>
      <c r="O13" s="3">
        <v>3</v>
      </c>
      <c r="P13" s="3">
        <v>2</v>
      </c>
      <c r="Q13" s="3">
        <v>1</v>
      </c>
      <c r="R13" s="3">
        <v>1</v>
      </c>
      <c r="S13" s="3">
        <v>0</v>
      </c>
      <c r="T13" s="3">
        <v>1</v>
      </c>
      <c r="U13" s="3">
        <v>0</v>
      </c>
      <c r="V13" s="3">
        <v>2</v>
      </c>
      <c r="W13" s="3">
        <v>2</v>
      </c>
    </row>
    <row r="14" spans="1:23" x14ac:dyDescent="0.35">
      <c r="A14" s="2" t="s">
        <v>7</v>
      </c>
      <c r="B14" s="3">
        <v>1</v>
      </c>
      <c r="C14" s="3">
        <v>0</v>
      </c>
      <c r="D14" s="3">
        <v>0</v>
      </c>
      <c r="E14" s="3">
        <v>0</v>
      </c>
      <c r="F14" s="3">
        <v>0</v>
      </c>
      <c r="G14" s="3">
        <v>1</v>
      </c>
      <c r="H14" s="3">
        <v>0</v>
      </c>
      <c r="I14" s="3">
        <v>0</v>
      </c>
      <c r="J14" s="3">
        <v>0</v>
      </c>
      <c r="K14" s="3">
        <v>0</v>
      </c>
      <c r="L14" s="3">
        <v>0</v>
      </c>
      <c r="M14" s="3">
        <v>0</v>
      </c>
      <c r="N14" s="3">
        <v>0</v>
      </c>
      <c r="O14" s="3">
        <v>0</v>
      </c>
      <c r="P14" s="3">
        <v>0</v>
      </c>
      <c r="Q14" s="3">
        <v>0</v>
      </c>
      <c r="R14" s="3">
        <v>0</v>
      </c>
      <c r="S14" s="3">
        <v>0</v>
      </c>
      <c r="T14" s="3">
        <v>0</v>
      </c>
      <c r="U14" s="3">
        <v>0</v>
      </c>
      <c r="V14" s="3">
        <v>1</v>
      </c>
      <c r="W14" s="3">
        <v>0</v>
      </c>
    </row>
    <row r="15" spans="1:23" x14ac:dyDescent="0.35">
      <c r="A15" s="2" t="s">
        <v>1</v>
      </c>
      <c r="B15" s="3">
        <v>24</v>
      </c>
      <c r="C15" s="3">
        <v>11</v>
      </c>
      <c r="D15" s="3">
        <v>11</v>
      </c>
      <c r="E15" s="3">
        <v>12</v>
      </c>
      <c r="F15" s="3">
        <v>4</v>
      </c>
      <c r="G15" s="3">
        <v>4</v>
      </c>
      <c r="H15" s="3">
        <v>3</v>
      </c>
      <c r="I15" s="3">
        <v>4</v>
      </c>
      <c r="J15" s="3">
        <v>3</v>
      </c>
      <c r="K15" s="3">
        <v>4</v>
      </c>
      <c r="L15" s="3">
        <v>2</v>
      </c>
      <c r="M15" s="3">
        <v>3</v>
      </c>
      <c r="N15" s="3">
        <v>2</v>
      </c>
      <c r="O15" s="3">
        <v>1</v>
      </c>
      <c r="P15" s="3">
        <v>1</v>
      </c>
      <c r="Q15" s="3">
        <v>2</v>
      </c>
      <c r="R15" s="3">
        <v>1</v>
      </c>
      <c r="S15" s="3">
        <v>2</v>
      </c>
      <c r="T15" s="3">
        <v>1</v>
      </c>
      <c r="U15" s="3">
        <v>2</v>
      </c>
      <c r="V15" s="3">
        <v>4</v>
      </c>
      <c r="W15" s="3">
        <v>7</v>
      </c>
    </row>
    <row r="16" spans="1:23" x14ac:dyDescent="0.35">
      <c r="A16" s="2" t="s">
        <v>2</v>
      </c>
      <c r="B16" s="3">
        <v>1</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row>
    <row r="17" spans="1:23" x14ac:dyDescent="0.35">
      <c r="A17" s="2" t="s">
        <v>4</v>
      </c>
      <c r="B17" s="3">
        <v>1</v>
      </c>
      <c r="C17" s="3">
        <v>1</v>
      </c>
      <c r="D17" s="3">
        <v>3</v>
      </c>
      <c r="E17" s="3">
        <v>1</v>
      </c>
      <c r="F17" s="3">
        <v>2</v>
      </c>
      <c r="G17" s="3">
        <v>0</v>
      </c>
      <c r="H17" s="3">
        <v>1</v>
      </c>
      <c r="I17" s="3">
        <v>1</v>
      </c>
      <c r="J17" s="3">
        <v>0</v>
      </c>
      <c r="K17" s="3">
        <v>1</v>
      </c>
      <c r="L17" s="3">
        <v>0</v>
      </c>
      <c r="M17" s="3">
        <v>0</v>
      </c>
      <c r="N17" s="3">
        <v>1</v>
      </c>
      <c r="O17" s="3">
        <v>1</v>
      </c>
      <c r="P17" s="3">
        <v>0</v>
      </c>
      <c r="Q17" s="3">
        <v>0</v>
      </c>
      <c r="R17" s="3">
        <v>0</v>
      </c>
      <c r="S17" s="3">
        <v>1</v>
      </c>
      <c r="T17" s="3">
        <v>0</v>
      </c>
      <c r="U17" s="3">
        <v>0</v>
      </c>
      <c r="V17" s="3">
        <v>1</v>
      </c>
      <c r="W17" s="3">
        <v>8</v>
      </c>
    </row>
    <row r="18" spans="1:23" x14ac:dyDescent="0.35">
      <c r="A18" s="2" t="s">
        <v>10</v>
      </c>
      <c r="B18" s="3">
        <v>54</v>
      </c>
      <c r="C18" s="3">
        <v>33</v>
      </c>
      <c r="D18" s="3">
        <v>30</v>
      </c>
      <c r="E18" s="3">
        <v>28</v>
      </c>
      <c r="F18" s="3">
        <v>15</v>
      </c>
      <c r="G18" s="3">
        <v>11</v>
      </c>
      <c r="H18" s="3">
        <v>10</v>
      </c>
      <c r="I18" s="3">
        <v>9</v>
      </c>
      <c r="J18" s="3">
        <v>9</v>
      </c>
      <c r="K18" s="3">
        <v>7</v>
      </c>
      <c r="L18" s="3">
        <v>7</v>
      </c>
      <c r="M18" s="3">
        <v>6</v>
      </c>
      <c r="N18" s="3">
        <v>5</v>
      </c>
      <c r="O18" s="3">
        <v>6</v>
      </c>
      <c r="P18" s="3">
        <v>3</v>
      </c>
      <c r="Q18" s="3">
        <v>4</v>
      </c>
      <c r="R18" s="3">
        <v>2</v>
      </c>
      <c r="S18" s="3">
        <v>3</v>
      </c>
      <c r="T18" s="3">
        <v>2</v>
      </c>
      <c r="U18" s="3">
        <v>2</v>
      </c>
      <c r="V18" s="3">
        <v>11</v>
      </c>
      <c r="W18" s="3">
        <v>26</v>
      </c>
    </row>
  </sheetData>
  <mergeCells count="1">
    <mergeCell ref="A4:F4"/>
  </mergeCells>
  <pageMargins left="0.25" right="0.25" top="0.75" bottom="0.75" header="0.3" footer="0.3"/>
  <pageSetup scale="32" fitToHeight="0" orientation="landscape"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0215-1F96-4C8E-ADF8-9440C879E1A4}">
  <sheetPr>
    <pageSetUpPr fitToPage="1"/>
  </sheetPr>
  <dimension ref="A1:I18"/>
  <sheetViews>
    <sheetView workbookViewId="0">
      <selection activeCell="A5" sqref="A5"/>
    </sheetView>
  </sheetViews>
  <sheetFormatPr defaultRowHeight="14.5" x14ac:dyDescent="0.35"/>
  <cols>
    <col min="1" max="1" width="50.453125" bestFit="1" customWidth="1"/>
    <col min="2" max="9" width="16.7265625" customWidth="1"/>
  </cols>
  <sheetData>
    <row r="1" spans="1:9" ht="20" x14ac:dyDescent="0.35">
      <c r="A1" s="6" t="s">
        <v>13</v>
      </c>
    </row>
    <row r="2" spans="1:9" ht="20" x14ac:dyDescent="0.35">
      <c r="A2" s="6" t="s">
        <v>120</v>
      </c>
    </row>
    <row r="4" spans="1:9" ht="55.5" customHeight="1" x14ac:dyDescent="0.35">
      <c r="A4" s="18" t="s">
        <v>174</v>
      </c>
      <c r="B4" s="19"/>
      <c r="C4" s="19"/>
      <c r="D4" s="19"/>
      <c r="E4" s="19"/>
      <c r="F4" s="20"/>
    </row>
    <row r="9" spans="1:9" ht="72.5" x14ac:dyDescent="0.35">
      <c r="A9" s="1" t="s">
        <v>0</v>
      </c>
      <c r="B9" s="13" t="s">
        <v>42</v>
      </c>
      <c r="C9" s="13" t="s">
        <v>43</v>
      </c>
      <c r="D9" s="13" t="s">
        <v>44</v>
      </c>
      <c r="E9" s="13" t="s">
        <v>45</v>
      </c>
      <c r="F9" s="13" t="s">
        <v>46</v>
      </c>
      <c r="G9" s="13" t="s">
        <v>47</v>
      </c>
      <c r="H9" s="13" t="s">
        <v>48</v>
      </c>
      <c r="I9" s="13" t="s">
        <v>49</v>
      </c>
    </row>
    <row r="10" spans="1:9" x14ac:dyDescent="0.35">
      <c r="A10" s="2" t="s">
        <v>5</v>
      </c>
      <c r="B10" s="3">
        <v>0</v>
      </c>
      <c r="C10" s="3">
        <v>1</v>
      </c>
      <c r="D10" s="3">
        <v>0</v>
      </c>
      <c r="E10" s="3">
        <v>0</v>
      </c>
      <c r="F10" s="3">
        <v>0</v>
      </c>
      <c r="G10" s="3">
        <v>0</v>
      </c>
      <c r="H10" s="3">
        <v>1</v>
      </c>
      <c r="I10" s="3">
        <v>0</v>
      </c>
    </row>
    <row r="11" spans="1:9" x14ac:dyDescent="0.35">
      <c r="A11" s="2" t="s">
        <v>8</v>
      </c>
      <c r="B11" s="3">
        <v>0</v>
      </c>
      <c r="C11" s="3">
        <v>0</v>
      </c>
      <c r="D11" s="3">
        <v>0</v>
      </c>
      <c r="E11" s="3">
        <v>0</v>
      </c>
      <c r="F11" s="3">
        <v>0</v>
      </c>
      <c r="G11" s="3">
        <v>0</v>
      </c>
      <c r="H11" s="3">
        <v>1</v>
      </c>
      <c r="I11" s="3">
        <v>4</v>
      </c>
    </row>
    <row r="12" spans="1:9" x14ac:dyDescent="0.35">
      <c r="A12" s="2" t="s">
        <v>6</v>
      </c>
      <c r="B12" s="3">
        <v>0</v>
      </c>
      <c r="C12" s="3">
        <v>1</v>
      </c>
      <c r="D12" s="3">
        <v>1</v>
      </c>
      <c r="E12" s="3">
        <v>0</v>
      </c>
      <c r="F12" s="3">
        <v>2</v>
      </c>
      <c r="G12" s="3">
        <v>1</v>
      </c>
      <c r="H12" s="3">
        <v>2</v>
      </c>
      <c r="I12" s="3">
        <v>8</v>
      </c>
    </row>
    <row r="13" spans="1:9" x14ac:dyDescent="0.35">
      <c r="A13" s="2" t="s">
        <v>3</v>
      </c>
      <c r="B13" s="3">
        <v>4</v>
      </c>
      <c r="C13" s="3">
        <v>0</v>
      </c>
      <c r="D13" s="3">
        <v>2</v>
      </c>
      <c r="E13" s="3">
        <v>2</v>
      </c>
      <c r="F13" s="3">
        <v>1</v>
      </c>
      <c r="G13" s="3">
        <v>0</v>
      </c>
      <c r="H13" s="3">
        <v>2</v>
      </c>
      <c r="I13" s="3">
        <v>18</v>
      </c>
    </row>
    <row r="14" spans="1:9" x14ac:dyDescent="0.35">
      <c r="A14" s="2" t="s">
        <v>7</v>
      </c>
      <c r="B14" s="3">
        <v>0</v>
      </c>
      <c r="C14" s="3">
        <v>0</v>
      </c>
      <c r="D14" s="3">
        <v>0</v>
      </c>
      <c r="E14" s="3">
        <v>0</v>
      </c>
      <c r="F14" s="3">
        <v>0</v>
      </c>
      <c r="G14" s="3">
        <v>0</v>
      </c>
      <c r="H14" s="3">
        <v>0</v>
      </c>
      <c r="I14" s="3">
        <v>2</v>
      </c>
    </row>
    <row r="15" spans="1:9" x14ac:dyDescent="0.35">
      <c r="A15" s="2" t="s">
        <v>1</v>
      </c>
      <c r="B15" s="3">
        <v>0</v>
      </c>
      <c r="C15" s="3">
        <v>3</v>
      </c>
      <c r="D15" s="3">
        <v>0</v>
      </c>
      <c r="E15" s="3">
        <v>1</v>
      </c>
      <c r="F15" s="3">
        <v>5</v>
      </c>
      <c r="G15" s="3">
        <v>1</v>
      </c>
      <c r="H15" s="3">
        <v>3</v>
      </c>
      <c r="I15" s="3">
        <v>24</v>
      </c>
    </row>
    <row r="16" spans="1:9" x14ac:dyDescent="0.35">
      <c r="A16" s="2" t="s">
        <v>2</v>
      </c>
      <c r="B16" s="3">
        <v>0</v>
      </c>
      <c r="C16" s="3">
        <v>0</v>
      </c>
      <c r="D16" s="3">
        <v>0</v>
      </c>
      <c r="E16" s="3">
        <v>0</v>
      </c>
      <c r="F16" s="3">
        <v>0</v>
      </c>
      <c r="G16" s="3">
        <v>0</v>
      </c>
      <c r="H16" s="3">
        <v>0</v>
      </c>
      <c r="I16" s="3">
        <v>1</v>
      </c>
    </row>
    <row r="17" spans="1:9" x14ac:dyDescent="0.35">
      <c r="A17" s="2" t="s">
        <v>4</v>
      </c>
      <c r="B17" s="3">
        <v>1</v>
      </c>
      <c r="C17" s="3">
        <v>0</v>
      </c>
      <c r="D17" s="3">
        <v>0</v>
      </c>
      <c r="E17" s="3">
        <v>0</v>
      </c>
      <c r="F17" s="3">
        <v>0</v>
      </c>
      <c r="G17" s="3">
        <v>0</v>
      </c>
      <c r="H17" s="3">
        <v>0</v>
      </c>
      <c r="I17" s="3">
        <v>11</v>
      </c>
    </row>
    <row r="18" spans="1:9" x14ac:dyDescent="0.35">
      <c r="A18" s="2" t="s">
        <v>10</v>
      </c>
      <c r="B18" s="3">
        <v>5</v>
      </c>
      <c r="C18" s="3">
        <v>5</v>
      </c>
      <c r="D18" s="3">
        <v>3</v>
      </c>
      <c r="E18" s="3">
        <v>3</v>
      </c>
      <c r="F18" s="3">
        <v>8</v>
      </c>
      <c r="G18" s="3">
        <v>2</v>
      </c>
      <c r="H18" s="3">
        <v>9</v>
      </c>
      <c r="I18" s="3">
        <v>68</v>
      </c>
    </row>
  </sheetData>
  <mergeCells count="1">
    <mergeCell ref="A4:F4"/>
  </mergeCells>
  <pageMargins left="0.25" right="0.25" top="0.75" bottom="0.75" header="0.3" footer="0.3"/>
  <pageSetup scale="70" orientation="landscape"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7C1F-3EEB-4279-9C46-D7433B92C556}">
  <sheetPr>
    <pageSetUpPr fitToPage="1"/>
  </sheetPr>
  <dimension ref="A1:R24"/>
  <sheetViews>
    <sheetView workbookViewId="0">
      <selection activeCell="A4" sqref="A4:G4"/>
    </sheetView>
  </sheetViews>
  <sheetFormatPr defaultRowHeight="14.5" x14ac:dyDescent="0.35"/>
  <cols>
    <col min="1" max="1" width="50.453125" bestFit="1" customWidth="1"/>
    <col min="2" max="7" width="16.54296875" style="7" customWidth="1"/>
    <col min="9" max="9" width="52.453125" bestFit="1" customWidth="1"/>
    <col min="10" max="10" width="12.453125" bestFit="1" customWidth="1"/>
    <col min="11" max="11" width="13.36328125" bestFit="1" customWidth="1"/>
    <col min="12" max="12" width="14.81640625" bestFit="1" customWidth="1"/>
    <col min="13" max="13" width="12.453125" bestFit="1" customWidth="1"/>
    <col min="14" max="14" width="13.90625" bestFit="1" customWidth="1"/>
    <col min="15" max="15" width="13.6328125" bestFit="1" customWidth="1"/>
    <col min="16" max="16" width="13.453125" bestFit="1" customWidth="1"/>
    <col min="17" max="17" width="12.453125" bestFit="1" customWidth="1"/>
    <col min="18" max="18" width="16.54296875" customWidth="1"/>
  </cols>
  <sheetData>
    <row r="1" spans="1:18" ht="20" x14ac:dyDescent="0.35">
      <c r="A1" s="6" t="s">
        <v>13</v>
      </c>
    </row>
    <row r="2" spans="1:18" ht="20" x14ac:dyDescent="0.35">
      <c r="A2" s="6" t="s">
        <v>121</v>
      </c>
    </row>
    <row r="4" spans="1:18" ht="63.65" customHeight="1" x14ac:dyDescent="0.35">
      <c r="A4" s="18" t="s">
        <v>36</v>
      </c>
      <c r="B4" s="19"/>
      <c r="C4" s="19"/>
      <c r="D4" s="19"/>
      <c r="E4" s="19"/>
      <c r="F4" s="19"/>
      <c r="G4" s="20"/>
    </row>
    <row r="6" spans="1:18" ht="15.5" x14ac:dyDescent="0.35">
      <c r="A6" s="12" t="s">
        <v>89</v>
      </c>
      <c r="I6" s="12" t="s">
        <v>90</v>
      </c>
    </row>
    <row r="7" spans="1:18" ht="15.5" x14ac:dyDescent="0.35">
      <c r="B7" s="9">
        <f>GETPIVOTDATA("Sum of 2. Q4 (a.1) Option A - Agree",$A$9)/G18</f>
        <v>0.18279569892473119</v>
      </c>
      <c r="C7" s="9">
        <f>GETPIVOTDATA("Sum of 3. Q4 (a.1) Option A - Agree but with further comments",$A$9)/G18</f>
        <v>0.35483870967741937</v>
      </c>
      <c r="D7" s="9">
        <f>GETPIVOTDATA("Sum of 4. Q4 (a.1) Option A - Neither agree or disagree and with further comments",$A$9)/G18</f>
        <v>0.20430107526881722</v>
      </c>
      <c r="E7" s="9">
        <f>GETPIVOTDATA("Sum of 5. Q4 (a.1) Option A - Disagree",$A$9)/G18</f>
        <v>4.3010752688172046E-2</v>
      </c>
      <c r="F7" s="9">
        <f>GETPIVOTDATA("Sum of 6. Q4 (a.1) Option A - None",$A$9)/G18</f>
        <v>0.21505376344086022</v>
      </c>
      <c r="G7" s="9">
        <f>SUM(B7:F7)</f>
        <v>1</v>
      </c>
    </row>
    <row r="9" spans="1:18" ht="101.5" x14ac:dyDescent="0.35">
      <c r="A9" s="1" t="s">
        <v>0</v>
      </c>
      <c r="B9" s="13" t="s">
        <v>34</v>
      </c>
      <c r="C9" s="13" t="s">
        <v>35</v>
      </c>
      <c r="D9" s="13" t="s">
        <v>91</v>
      </c>
      <c r="E9" s="13" t="s">
        <v>92</v>
      </c>
      <c r="F9" s="13" t="s">
        <v>93</v>
      </c>
      <c r="G9" s="14" t="s">
        <v>9</v>
      </c>
      <c r="H9" s="1"/>
      <c r="I9" s="1" t="s">
        <v>0</v>
      </c>
      <c r="J9" s="7" t="s">
        <v>148</v>
      </c>
      <c r="K9" s="7" t="s">
        <v>149</v>
      </c>
      <c r="L9" s="7" t="s">
        <v>150</v>
      </c>
      <c r="M9" s="7" t="s">
        <v>151</v>
      </c>
      <c r="N9" s="7" t="s">
        <v>152</v>
      </c>
      <c r="O9" s="7" t="s">
        <v>153</v>
      </c>
      <c r="P9" s="7" t="s">
        <v>154</v>
      </c>
      <c r="Q9" s="7" t="s">
        <v>155</v>
      </c>
      <c r="R9" s="1"/>
    </row>
    <row r="10" spans="1:18" x14ac:dyDescent="0.35">
      <c r="A10" s="2" t="s">
        <v>5</v>
      </c>
      <c r="B10" s="3">
        <v>0</v>
      </c>
      <c r="C10" s="3">
        <v>0</v>
      </c>
      <c r="D10" s="3">
        <v>0</v>
      </c>
      <c r="E10" s="3">
        <v>0</v>
      </c>
      <c r="F10" s="3">
        <v>1</v>
      </c>
      <c r="G10" s="4">
        <f>SUM(B10:F10)</f>
        <v>1</v>
      </c>
      <c r="I10" s="2" t="s">
        <v>143</v>
      </c>
      <c r="J10" s="3">
        <v>4</v>
      </c>
      <c r="K10" s="3">
        <v>17</v>
      </c>
      <c r="L10" s="3">
        <v>15</v>
      </c>
      <c r="M10" s="3">
        <v>6</v>
      </c>
      <c r="N10" s="3">
        <v>8</v>
      </c>
      <c r="O10" s="3">
        <v>4</v>
      </c>
      <c r="P10" s="3">
        <v>0</v>
      </c>
      <c r="Q10" s="3">
        <v>10</v>
      </c>
    </row>
    <row r="11" spans="1:18" x14ac:dyDescent="0.35">
      <c r="A11" s="2" t="s">
        <v>8</v>
      </c>
      <c r="B11" s="3">
        <v>0</v>
      </c>
      <c r="C11" s="3">
        <v>0</v>
      </c>
      <c r="D11" s="3">
        <v>1</v>
      </c>
      <c r="E11" s="3">
        <v>0</v>
      </c>
      <c r="F11" s="3">
        <v>4</v>
      </c>
      <c r="G11" s="4">
        <f t="shared" ref="G11:G18" si="0">SUM(B11:F11)</f>
        <v>5</v>
      </c>
      <c r="I11" s="16" t="s">
        <v>6</v>
      </c>
      <c r="J11" s="3">
        <v>1</v>
      </c>
      <c r="K11" s="3">
        <v>4</v>
      </c>
      <c r="L11" s="3">
        <v>4</v>
      </c>
      <c r="M11" s="3">
        <v>2</v>
      </c>
      <c r="N11" s="3">
        <v>3</v>
      </c>
      <c r="O11" s="3">
        <v>1</v>
      </c>
      <c r="P11" s="3">
        <v>0</v>
      </c>
      <c r="Q11" s="3">
        <v>2</v>
      </c>
    </row>
    <row r="12" spans="1:18" x14ac:dyDescent="0.35">
      <c r="A12" s="2" t="s">
        <v>6</v>
      </c>
      <c r="B12" s="3">
        <v>1</v>
      </c>
      <c r="C12" s="3">
        <v>9</v>
      </c>
      <c r="D12" s="3">
        <v>3</v>
      </c>
      <c r="E12" s="3">
        <v>0</v>
      </c>
      <c r="F12" s="3">
        <v>1</v>
      </c>
      <c r="G12" s="4">
        <f t="shared" si="0"/>
        <v>14</v>
      </c>
      <c r="I12" s="16" t="s">
        <v>3</v>
      </c>
      <c r="J12" s="3">
        <v>3</v>
      </c>
      <c r="K12" s="3">
        <v>3</v>
      </c>
      <c r="L12" s="3">
        <v>3</v>
      </c>
      <c r="M12" s="3">
        <v>1</v>
      </c>
      <c r="N12" s="3">
        <v>2</v>
      </c>
      <c r="O12" s="3">
        <v>1</v>
      </c>
      <c r="P12" s="3">
        <v>0</v>
      </c>
      <c r="Q12" s="3">
        <v>2</v>
      </c>
    </row>
    <row r="13" spans="1:18" x14ac:dyDescent="0.35">
      <c r="A13" s="2" t="s">
        <v>3</v>
      </c>
      <c r="B13" s="3">
        <v>10</v>
      </c>
      <c r="C13" s="3">
        <v>6</v>
      </c>
      <c r="D13" s="3">
        <v>6</v>
      </c>
      <c r="E13" s="3">
        <v>0</v>
      </c>
      <c r="F13" s="3">
        <v>2</v>
      </c>
      <c r="G13" s="4">
        <f t="shared" si="0"/>
        <v>24</v>
      </c>
      <c r="I13" s="16" t="s">
        <v>1</v>
      </c>
      <c r="J13" s="3">
        <v>0</v>
      </c>
      <c r="K13" s="3">
        <v>8</v>
      </c>
      <c r="L13" s="3">
        <v>7</v>
      </c>
      <c r="M13" s="3">
        <v>2</v>
      </c>
      <c r="N13" s="3">
        <v>2</v>
      </c>
      <c r="O13" s="3">
        <v>2</v>
      </c>
      <c r="P13" s="3">
        <v>0</v>
      </c>
      <c r="Q13" s="3">
        <v>5</v>
      </c>
    </row>
    <row r="14" spans="1:18" x14ac:dyDescent="0.35">
      <c r="A14" s="2" t="s">
        <v>7</v>
      </c>
      <c r="B14" s="3">
        <v>1</v>
      </c>
      <c r="C14" s="3">
        <v>0</v>
      </c>
      <c r="D14" s="3">
        <v>1</v>
      </c>
      <c r="E14" s="3">
        <v>0</v>
      </c>
      <c r="F14" s="3">
        <v>0</v>
      </c>
      <c r="G14" s="4">
        <f t="shared" si="0"/>
        <v>2</v>
      </c>
      <c r="I14" s="16" t="s">
        <v>4</v>
      </c>
      <c r="J14" s="3">
        <v>0</v>
      </c>
      <c r="K14" s="3">
        <v>2</v>
      </c>
      <c r="L14" s="3">
        <v>1</v>
      </c>
      <c r="M14" s="3">
        <v>1</v>
      </c>
      <c r="N14" s="3">
        <v>1</v>
      </c>
      <c r="O14" s="3">
        <v>0</v>
      </c>
      <c r="P14" s="3">
        <v>0</v>
      </c>
      <c r="Q14" s="3">
        <v>1</v>
      </c>
    </row>
    <row r="15" spans="1:18" x14ac:dyDescent="0.35">
      <c r="A15" s="2" t="s">
        <v>1</v>
      </c>
      <c r="B15" s="3">
        <v>5</v>
      </c>
      <c r="C15" s="3">
        <v>14</v>
      </c>
      <c r="D15" s="3">
        <v>6</v>
      </c>
      <c r="E15" s="3">
        <v>4</v>
      </c>
      <c r="F15" s="3">
        <v>5</v>
      </c>
      <c r="G15" s="4">
        <f t="shared" si="0"/>
        <v>34</v>
      </c>
      <c r="I15" s="2" t="s">
        <v>156</v>
      </c>
      <c r="J15" s="3">
        <v>3</v>
      </c>
      <c r="K15" s="3">
        <v>2</v>
      </c>
      <c r="L15" s="3">
        <v>0</v>
      </c>
      <c r="M15" s="3">
        <v>0</v>
      </c>
      <c r="N15" s="3">
        <v>0</v>
      </c>
      <c r="O15" s="3">
        <v>0</v>
      </c>
      <c r="P15" s="3">
        <v>0</v>
      </c>
      <c r="Q15" s="3">
        <v>2</v>
      </c>
    </row>
    <row r="16" spans="1:18" x14ac:dyDescent="0.35">
      <c r="A16" s="2" t="s">
        <v>2</v>
      </c>
      <c r="B16" s="3">
        <v>0</v>
      </c>
      <c r="C16" s="3">
        <v>0</v>
      </c>
      <c r="D16" s="3">
        <v>0</v>
      </c>
      <c r="E16" s="3">
        <v>0</v>
      </c>
      <c r="F16" s="3">
        <v>1</v>
      </c>
      <c r="G16" s="4">
        <f t="shared" si="0"/>
        <v>1</v>
      </c>
      <c r="I16" s="16" t="s">
        <v>1</v>
      </c>
      <c r="J16" s="3">
        <v>3</v>
      </c>
      <c r="K16" s="3">
        <v>2</v>
      </c>
      <c r="L16" s="3">
        <v>0</v>
      </c>
      <c r="M16" s="3">
        <v>0</v>
      </c>
      <c r="N16" s="3">
        <v>0</v>
      </c>
      <c r="O16" s="3">
        <v>0</v>
      </c>
      <c r="P16" s="3">
        <v>0</v>
      </c>
      <c r="Q16" s="3">
        <v>2</v>
      </c>
    </row>
    <row r="17" spans="1:17" x14ac:dyDescent="0.35">
      <c r="A17" s="2" t="s">
        <v>4</v>
      </c>
      <c r="B17" s="3">
        <v>0</v>
      </c>
      <c r="C17" s="3">
        <v>4</v>
      </c>
      <c r="D17" s="3">
        <v>2</v>
      </c>
      <c r="E17" s="3">
        <v>0</v>
      </c>
      <c r="F17" s="3">
        <v>6</v>
      </c>
      <c r="G17" s="4">
        <f t="shared" si="0"/>
        <v>12</v>
      </c>
      <c r="I17" s="2" t="s">
        <v>144</v>
      </c>
      <c r="J17" s="3">
        <v>5</v>
      </c>
      <c r="K17" s="3">
        <v>8</v>
      </c>
      <c r="L17" s="3">
        <v>5</v>
      </c>
      <c r="M17" s="3">
        <v>1</v>
      </c>
      <c r="N17" s="3">
        <v>4</v>
      </c>
      <c r="O17" s="3">
        <v>0</v>
      </c>
      <c r="P17" s="3">
        <v>1</v>
      </c>
      <c r="Q17" s="3">
        <v>9</v>
      </c>
    </row>
    <row r="18" spans="1:17" x14ac:dyDescent="0.35">
      <c r="A18" s="2" t="s">
        <v>10</v>
      </c>
      <c r="B18" s="3">
        <v>17</v>
      </c>
      <c r="C18" s="3">
        <v>33</v>
      </c>
      <c r="D18" s="3">
        <v>19</v>
      </c>
      <c r="E18" s="3">
        <v>4</v>
      </c>
      <c r="F18" s="3">
        <v>20</v>
      </c>
      <c r="G18" s="5">
        <f t="shared" si="0"/>
        <v>93</v>
      </c>
      <c r="I18" s="16" t="s">
        <v>8</v>
      </c>
      <c r="J18" s="3">
        <v>0</v>
      </c>
      <c r="K18" s="3">
        <v>0</v>
      </c>
      <c r="L18" s="3">
        <v>0</v>
      </c>
      <c r="M18" s="3">
        <v>0</v>
      </c>
      <c r="N18" s="3">
        <v>0</v>
      </c>
      <c r="O18" s="3">
        <v>0</v>
      </c>
      <c r="P18" s="3">
        <v>0</v>
      </c>
      <c r="Q18" s="3">
        <v>1</v>
      </c>
    </row>
    <row r="19" spans="1:17" x14ac:dyDescent="0.35">
      <c r="I19" s="16" t="s">
        <v>6</v>
      </c>
      <c r="J19" s="3">
        <v>1</v>
      </c>
      <c r="K19" s="3">
        <v>3</v>
      </c>
      <c r="L19" s="3">
        <v>1</v>
      </c>
      <c r="M19" s="3">
        <v>0</v>
      </c>
      <c r="N19" s="3">
        <v>1</v>
      </c>
      <c r="O19" s="3">
        <v>0</v>
      </c>
      <c r="P19" s="3">
        <v>0</v>
      </c>
      <c r="Q19" s="3">
        <v>1</v>
      </c>
    </row>
    <row r="20" spans="1:17" x14ac:dyDescent="0.35">
      <c r="I20" s="16" t="s">
        <v>3</v>
      </c>
      <c r="J20" s="3">
        <v>3</v>
      </c>
      <c r="K20" s="3">
        <v>0</v>
      </c>
      <c r="L20" s="3">
        <v>0</v>
      </c>
      <c r="M20" s="3">
        <v>1</v>
      </c>
      <c r="N20" s="3">
        <v>1</v>
      </c>
      <c r="O20" s="3">
        <v>0</v>
      </c>
      <c r="P20" s="3">
        <v>0</v>
      </c>
      <c r="Q20" s="3">
        <v>3</v>
      </c>
    </row>
    <row r="21" spans="1:17" x14ac:dyDescent="0.35">
      <c r="I21" s="16" t="s">
        <v>7</v>
      </c>
      <c r="J21" s="3">
        <v>0</v>
      </c>
      <c r="K21" s="3">
        <v>0</v>
      </c>
      <c r="L21" s="3">
        <v>0</v>
      </c>
      <c r="M21" s="3">
        <v>0</v>
      </c>
      <c r="N21" s="3">
        <v>0</v>
      </c>
      <c r="O21" s="3">
        <v>0</v>
      </c>
      <c r="P21" s="3">
        <v>0</v>
      </c>
      <c r="Q21" s="3">
        <v>1</v>
      </c>
    </row>
    <row r="22" spans="1:17" x14ac:dyDescent="0.35">
      <c r="I22" s="16" t="s">
        <v>1</v>
      </c>
      <c r="J22" s="3">
        <v>1</v>
      </c>
      <c r="K22" s="3">
        <v>4</v>
      </c>
      <c r="L22" s="3">
        <v>4</v>
      </c>
      <c r="M22" s="3">
        <v>0</v>
      </c>
      <c r="N22" s="3">
        <v>1</v>
      </c>
      <c r="O22" s="3">
        <v>0</v>
      </c>
      <c r="P22" s="3">
        <v>1</v>
      </c>
      <c r="Q22" s="3">
        <v>3</v>
      </c>
    </row>
    <row r="23" spans="1:17" x14ac:dyDescent="0.35">
      <c r="I23" s="16" t="s">
        <v>4</v>
      </c>
      <c r="J23" s="3">
        <v>0</v>
      </c>
      <c r="K23" s="3">
        <v>1</v>
      </c>
      <c r="L23" s="3">
        <v>0</v>
      </c>
      <c r="M23" s="3">
        <v>0</v>
      </c>
      <c r="N23" s="3">
        <v>1</v>
      </c>
      <c r="O23" s="3">
        <v>0</v>
      </c>
      <c r="P23" s="3">
        <v>0</v>
      </c>
      <c r="Q23" s="3">
        <v>0</v>
      </c>
    </row>
    <row r="24" spans="1:17" x14ac:dyDescent="0.35">
      <c r="I24" s="2" t="s">
        <v>10</v>
      </c>
      <c r="J24" s="3">
        <v>12</v>
      </c>
      <c r="K24" s="3">
        <v>27</v>
      </c>
      <c r="L24" s="3">
        <v>20</v>
      </c>
      <c r="M24" s="3">
        <v>7</v>
      </c>
      <c r="N24" s="3">
        <v>12</v>
      </c>
      <c r="O24" s="3">
        <v>4</v>
      </c>
      <c r="P24" s="3">
        <v>1</v>
      </c>
      <c r="Q24" s="3">
        <v>21</v>
      </c>
    </row>
  </sheetData>
  <mergeCells count="1">
    <mergeCell ref="A4:G4"/>
  </mergeCells>
  <pageMargins left="0.25" right="0.25" top="0.75" bottom="0.75" header="0.3" footer="0.3"/>
  <pageSetup scale="40" fitToHeight="0" orientation="landscape" horizontalDpi="300" verticalDpi="3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BDBEA-E443-40CD-BF2A-A67C1E12D8D7}">
  <sheetPr>
    <pageSetUpPr fitToPage="1"/>
  </sheetPr>
  <dimension ref="A1:R28"/>
  <sheetViews>
    <sheetView workbookViewId="0"/>
  </sheetViews>
  <sheetFormatPr defaultRowHeight="14.5" x14ac:dyDescent="0.35"/>
  <cols>
    <col min="1" max="1" width="50.36328125" bestFit="1" customWidth="1"/>
    <col min="2" max="3" width="15.81640625" bestFit="1" customWidth="1"/>
    <col min="4" max="4" width="16.08984375" bestFit="1" customWidth="1"/>
    <col min="5" max="6" width="15.81640625" bestFit="1" customWidth="1"/>
    <col min="7" max="7" width="18.54296875" customWidth="1"/>
    <col min="9" max="9" width="55.54296875" bestFit="1" customWidth="1"/>
    <col min="10" max="10" width="19" customWidth="1"/>
    <col min="11" max="18" width="17.7265625" bestFit="1" customWidth="1"/>
  </cols>
  <sheetData>
    <row r="1" spans="1:18" ht="20" x14ac:dyDescent="0.35">
      <c r="A1" s="6" t="s">
        <v>13</v>
      </c>
    </row>
    <row r="2" spans="1:18" ht="20" x14ac:dyDescent="0.35">
      <c r="A2" s="6" t="s">
        <v>122</v>
      </c>
    </row>
    <row r="4" spans="1:18" ht="75" customHeight="1" x14ac:dyDescent="0.35">
      <c r="A4" s="18" t="s">
        <v>39</v>
      </c>
      <c r="B4" s="19"/>
      <c r="C4" s="19"/>
      <c r="D4" s="19"/>
      <c r="E4" s="19"/>
      <c r="F4" s="19"/>
      <c r="G4" s="20"/>
    </row>
    <row r="6" spans="1:18" ht="15.5" x14ac:dyDescent="0.35">
      <c r="A6" s="12" t="s">
        <v>89</v>
      </c>
      <c r="I6" s="12" t="s">
        <v>90</v>
      </c>
    </row>
    <row r="7" spans="1:18" ht="15.5" x14ac:dyDescent="0.35">
      <c r="B7" s="9">
        <f>GETPIVOTDATA("Sum of 2. Q4 (a.2) Option B - Agree",$A$9)/G18</f>
        <v>0.17204301075268819</v>
      </c>
      <c r="C7" s="9">
        <f>GETPIVOTDATA("Sum of 3. Q4 (a.2) Option B - Agree but with further comments",$A$9)/G18</f>
        <v>0.29032258064516131</v>
      </c>
      <c r="D7" s="9">
        <f>GETPIVOTDATA("Sum of 4. Q4 (a.2) Option B - Neither agree or disagree and with further comments",$A$9)/G18</f>
        <v>0.17204301075268819</v>
      </c>
      <c r="E7" s="9">
        <f>GETPIVOTDATA("Sum of 5. Q4 (a.2) Option B - Disagree",$A$9)/G18</f>
        <v>0.24731182795698925</v>
      </c>
      <c r="F7" s="9">
        <f>GETPIVOTDATA("Sum of 6. Q4 (a.2) Option B - None",$A$9)/G18</f>
        <v>0.11827956989247312</v>
      </c>
      <c r="G7" s="9">
        <f>SUM(B7:F7)</f>
        <v>1</v>
      </c>
    </row>
    <row r="9" spans="1:18" ht="101.5" x14ac:dyDescent="0.35">
      <c r="A9" s="1" t="s">
        <v>0</v>
      </c>
      <c r="B9" s="7" t="s">
        <v>37</v>
      </c>
      <c r="C9" s="7" t="s">
        <v>38</v>
      </c>
      <c r="D9" s="7" t="s">
        <v>94</v>
      </c>
      <c r="E9" s="7" t="s">
        <v>95</v>
      </c>
      <c r="F9" s="7" t="s">
        <v>96</v>
      </c>
      <c r="G9" s="14" t="s">
        <v>9</v>
      </c>
      <c r="H9" s="1"/>
      <c r="I9" s="1" t="s">
        <v>0</v>
      </c>
      <c r="J9" s="13" t="s">
        <v>157</v>
      </c>
      <c r="K9" s="13" t="s">
        <v>158</v>
      </c>
      <c r="L9" s="13" t="s">
        <v>159</v>
      </c>
      <c r="M9" s="13" t="s">
        <v>160</v>
      </c>
      <c r="N9" s="13" t="s">
        <v>161</v>
      </c>
      <c r="O9" s="13" t="s">
        <v>162</v>
      </c>
      <c r="P9" s="13" t="s">
        <v>178</v>
      </c>
      <c r="Q9" s="13" t="s">
        <v>163</v>
      </c>
      <c r="R9" s="13" t="s">
        <v>164</v>
      </c>
    </row>
    <row r="10" spans="1:18" x14ac:dyDescent="0.35">
      <c r="A10" s="2" t="s">
        <v>5</v>
      </c>
      <c r="B10" s="3">
        <v>0</v>
      </c>
      <c r="C10" s="3">
        <v>0</v>
      </c>
      <c r="D10" s="3">
        <v>1</v>
      </c>
      <c r="E10" s="3">
        <v>0</v>
      </c>
      <c r="F10" s="3">
        <v>0</v>
      </c>
      <c r="G10" s="4">
        <f>SUM(B10:F10)</f>
        <v>1</v>
      </c>
      <c r="I10" s="2" t="s">
        <v>143</v>
      </c>
      <c r="J10" s="3">
        <v>8</v>
      </c>
      <c r="K10" s="3">
        <v>4</v>
      </c>
      <c r="L10" s="3">
        <v>6</v>
      </c>
      <c r="M10" s="3">
        <v>10</v>
      </c>
      <c r="N10" s="3">
        <v>5</v>
      </c>
      <c r="O10" s="3">
        <v>0</v>
      </c>
      <c r="P10" s="3">
        <v>0</v>
      </c>
      <c r="Q10" s="3">
        <v>0</v>
      </c>
      <c r="R10" s="3">
        <v>15</v>
      </c>
    </row>
    <row r="11" spans="1:18" x14ac:dyDescent="0.35">
      <c r="A11" s="2" t="s">
        <v>8</v>
      </c>
      <c r="B11" s="3">
        <v>0</v>
      </c>
      <c r="C11" s="3">
        <v>0</v>
      </c>
      <c r="D11" s="3">
        <v>4</v>
      </c>
      <c r="E11" s="3">
        <v>1</v>
      </c>
      <c r="F11" s="3">
        <v>0</v>
      </c>
      <c r="G11" s="4">
        <f t="shared" ref="G11:G18" si="0">SUM(B11:F11)</f>
        <v>5</v>
      </c>
      <c r="I11" s="16" t="s">
        <v>6</v>
      </c>
      <c r="J11" s="3">
        <v>2</v>
      </c>
      <c r="K11" s="3">
        <v>3</v>
      </c>
      <c r="L11" s="3">
        <v>3</v>
      </c>
      <c r="M11" s="3">
        <v>1</v>
      </c>
      <c r="N11" s="3">
        <v>2</v>
      </c>
      <c r="O11" s="3">
        <v>0</v>
      </c>
      <c r="P11" s="3">
        <v>0</v>
      </c>
      <c r="Q11" s="3">
        <v>0</v>
      </c>
      <c r="R11" s="3">
        <v>3</v>
      </c>
    </row>
    <row r="12" spans="1:18" x14ac:dyDescent="0.35">
      <c r="A12" s="2" t="s">
        <v>6</v>
      </c>
      <c r="B12" s="3">
        <v>0</v>
      </c>
      <c r="C12" s="3">
        <v>6</v>
      </c>
      <c r="D12" s="3">
        <v>5</v>
      </c>
      <c r="E12" s="3">
        <v>2</v>
      </c>
      <c r="F12" s="3">
        <v>1</v>
      </c>
      <c r="G12" s="4">
        <f t="shared" si="0"/>
        <v>14</v>
      </c>
      <c r="I12" s="16" t="s">
        <v>3</v>
      </c>
      <c r="J12" s="3">
        <v>2</v>
      </c>
      <c r="K12" s="3">
        <v>0</v>
      </c>
      <c r="L12" s="3">
        <v>1</v>
      </c>
      <c r="M12" s="3">
        <v>4</v>
      </c>
      <c r="N12" s="3">
        <v>2</v>
      </c>
      <c r="O12" s="3">
        <v>0</v>
      </c>
      <c r="P12" s="3">
        <v>0</v>
      </c>
      <c r="Q12" s="3">
        <v>0</v>
      </c>
      <c r="R12" s="3">
        <v>1</v>
      </c>
    </row>
    <row r="13" spans="1:18" x14ac:dyDescent="0.35">
      <c r="A13" s="2" t="s">
        <v>3</v>
      </c>
      <c r="B13" s="3">
        <v>4</v>
      </c>
      <c r="C13" s="3">
        <v>6</v>
      </c>
      <c r="D13" s="3">
        <v>3</v>
      </c>
      <c r="E13" s="3">
        <v>9</v>
      </c>
      <c r="F13" s="3">
        <v>2</v>
      </c>
      <c r="G13" s="4">
        <f t="shared" si="0"/>
        <v>24</v>
      </c>
      <c r="I13" s="16" t="s">
        <v>1</v>
      </c>
      <c r="J13" s="3">
        <v>4</v>
      </c>
      <c r="K13" s="3">
        <v>1</v>
      </c>
      <c r="L13" s="3">
        <v>1</v>
      </c>
      <c r="M13" s="3">
        <v>5</v>
      </c>
      <c r="N13" s="3">
        <v>1</v>
      </c>
      <c r="O13" s="3">
        <v>0</v>
      </c>
      <c r="P13" s="3">
        <v>0</v>
      </c>
      <c r="Q13" s="3">
        <v>0</v>
      </c>
      <c r="R13" s="3">
        <v>9</v>
      </c>
    </row>
    <row r="14" spans="1:18" x14ac:dyDescent="0.35">
      <c r="A14" s="2" t="s">
        <v>7</v>
      </c>
      <c r="B14" s="3">
        <v>0</v>
      </c>
      <c r="C14" s="3">
        <v>0</v>
      </c>
      <c r="D14" s="3">
        <v>0</v>
      </c>
      <c r="E14" s="3">
        <v>1</v>
      </c>
      <c r="F14" s="3">
        <v>1</v>
      </c>
      <c r="G14" s="4">
        <f t="shared" si="0"/>
        <v>2</v>
      </c>
      <c r="I14" s="16" t="s">
        <v>4</v>
      </c>
      <c r="J14" s="3">
        <v>0</v>
      </c>
      <c r="K14" s="3">
        <v>0</v>
      </c>
      <c r="L14" s="3">
        <v>1</v>
      </c>
      <c r="M14" s="3">
        <v>0</v>
      </c>
      <c r="N14" s="3">
        <v>0</v>
      </c>
      <c r="O14" s="3">
        <v>0</v>
      </c>
      <c r="P14" s="3">
        <v>0</v>
      </c>
      <c r="Q14" s="3">
        <v>0</v>
      </c>
      <c r="R14" s="3">
        <v>2</v>
      </c>
    </row>
    <row r="15" spans="1:18" x14ac:dyDescent="0.35">
      <c r="A15" s="2" t="s">
        <v>1</v>
      </c>
      <c r="B15" s="3">
        <v>9</v>
      </c>
      <c r="C15" s="3">
        <v>12</v>
      </c>
      <c r="D15" s="3">
        <v>3</v>
      </c>
      <c r="E15" s="3">
        <v>8</v>
      </c>
      <c r="F15" s="3">
        <v>2</v>
      </c>
      <c r="G15" s="4">
        <f t="shared" si="0"/>
        <v>34</v>
      </c>
      <c r="I15" s="2" t="s">
        <v>156</v>
      </c>
      <c r="J15" s="3">
        <v>12</v>
      </c>
      <c r="K15" s="3">
        <v>5</v>
      </c>
      <c r="L15" s="3">
        <v>5</v>
      </c>
      <c r="M15" s="3">
        <v>0</v>
      </c>
      <c r="N15" s="3">
        <v>0</v>
      </c>
      <c r="O15" s="3">
        <v>6</v>
      </c>
      <c r="P15" s="3">
        <v>5</v>
      </c>
      <c r="Q15" s="3">
        <v>2</v>
      </c>
      <c r="R15" s="3">
        <v>14</v>
      </c>
    </row>
    <row r="16" spans="1:18" x14ac:dyDescent="0.35">
      <c r="A16" s="2" t="s">
        <v>2</v>
      </c>
      <c r="B16" s="3">
        <v>1</v>
      </c>
      <c r="C16" s="3">
        <v>0</v>
      </c>
      <c r="D16" s="3">
        <v>0</v>
      </c>
      <c r="E16" s="3">
        <v>0</v>
      </c>
      <c r="F16" s="3">
        <v>0</v>
      </c>
      <c r="G16" s="4">
        <f t="shared" si="0"/>
        <v>1</v>
      </c>
      <c r="I16" s="16" t="s">
        <v>8</v>
      </c>
      <c r="J16" s="3">
        <v>0</v>
      </c>
      <c r="K16" s="3">
        <v>0</v>
      </c>
      <c r="L16" s="3">
        <v>0</v>
      </c>
      <c r="M16" s="3">
        <v>0</v>
      </c>
      <c r="N16" s="3">
        <v>0</v>
      </c>
      <c r="O16" s="3">
        <v>0</v>
      </c>
      <c r="P16" s="3">
        <v>0</v>
      </c>
      <c r="Q16" s="3">
        <v>1</v>
      </c>
      <c r="R16" s="3">
        <v>1</v>
      </c>
    </row>
    <row r="17" spans="1:18" x14ac:dyDescent="0.35">
      <c r="A17" s="2" t="s">
        <v>4</v>
      </c>
      <c r="B17" s="3">
        <v>2</v>
      </c>
      <c r="C17" s="3">
        <v>3</v>
      </c>
      <c r="D17" s="3">
        <v>0</v>
      </c>
      <c r="E17" s="3">
        <v>2</v>
      </c>
      <c r="F17" s="3">
        <v>5</v>
      </c>
      <c r="G17" s="4">
        <f t="shared" si="0"/>
        <v>12</v>
      </c>
      <c r="I17" s="16" t="s">
        <v>6</v>
      </c>
      <c r="J17" s="3">
        <v>1</v>
      </c>
      <c r="K17" s="3">
        <v>0</v>
      </c>
      <c r="L17" s="3">
        <v>1</v>
      </c>
      <c r="M17" s="3">
        <v>0</v>
      </c>
      <c r="N17" s="3">
        <v>0</v>
      </c>
      <c r="O17" s="3">
        <v>1</v>
      </c>
      <c r="P17" s="3">
        <v>1</v>
      </c>
      <c r="Q17" s="3">
        <v>0</v>
      </c>
      <c r="R17" s="3">
        <v>1</v>
      </c>
    </row>
    <row r="18" spans="1:18" x14ac:dyDescent="0.35">
      <c r="A18" s="2" t="s">
        <v>10</v>
      </c>
      <c r="B18" s="3">
        <v>16</v>
      </c>
      <c r="C18" s="3">
        <v>27</v>
      </c>
      <c r="D18" s="3">
        <v>16</v>
      </c>
      <c r="E18" s="3">
        <v>23</v>
      </c>
      <c r="F18" s="3">
        <v>11</v>
      </c>
      <c r="G18" s="5">
        <f t="shared" si="0"/>
        <v>93</v>
      </c>
      <c r="I18" s="16" t="s">
        <v>3</v>
      </c>
      <c r="J18" s="3">
        <v>5</v>
      </c>
      <c r="K18" s="3">
        <v>4</v>
      </c>
      <c r="L18" s="3">
        <v>2</v>
      </c>
      <c r="M18" s="3">
        <v>0</v>
      </c>
      <c r="N18" s="3">
        <v>0</v>
      </c>
      <c r="O18" s="3">
        <v>4</v>
      </c>
      <c r="P18" s="3">
        <v>2</v>
      </c>
      <c r="Q18" s="3">
        <v>1</v>
      </c>
      <c r="R18" s="3">
        <v>6</v>
      </c>
    </row>
    <row r="19" spans="1:18" x14ac:dyDescent="0.35">
      <c r="I19" s="16" t="s">
        <v>7</v>
      </c>
      <c r="J19" s="3">
        <v>1</v>
      </c>
      <c r="K19" s="3">
        <v>0</v>
      </c>
      <c r="L19" s="3">
        <v>0</v>
      </c>
      <c r="M19" s="3">
        <v>0</v>
      </c>
      <c r="N19" s="3">
        <v>0</v>
      </c>
      <c r="O19" s="3">
        <v>0</v>
      </c>
      <c r="P19" s="3">
        <v>0</v>
      </c>
      <c r="Q19" s="3">
        <v>0</v>
      </c>
      <c r="R19" s="3">
        <v>0</v>
      </c>
    </row>
    <row r="20" spans="1:18" x14ac:dyDescent="0.35">
      <c r="I20" s="16" t="s">
        <v>1</v>
      </c>
      <c r="J20" s="3">
        <v>4</v>
      </c>
      <c r="K20" s="3">
        <v>0</v>
      </c>
      <c r="L20" s="3">
        <v>2</v>
      </c>
      <c r="M20" s="3">
        <v>0</v>
      </c>
      <c r="N20" s="3">
        <v>0</v>
      </c>
      <c r="O20" s="3">
        <v>1</v>
      </c>
      <c r="P20" s="3">
        <v>1</v>
      </c>
      <c r="Q20" s="3">
        <v>0</v>
      </c>
      <c r="R20" s="3">
        <v>4</v>
      </c>
    </row>
    <row r="21" spans="1:18" x14ac:dyDescent="0.35">
      <c r="I21" s="16" t="s">
        <v>4</v>
      </c>
      <c r="J21" s="3">
        <v>1</v>
      </c>
      <c r="K21" s="3">
        <v>1</v>
      </c>
      <c r="L21" s="3">
        <v>0</v>
      </c>
      <c r="M21" s="3">
        <v>0</v>
      </c>
      <c r="N21" s="3">
        <v>0</v>
      </c>
      <c r="O21" s="3">
        <v>0</v>
      </c>
      <c r="P21" s="3">
        <v>1</v>
      </c>
      <c r="Q21" s="3">
        <v>0</v>
      </c>
      <c r="R21" s="3">
        <v>2</v>
      </c>
    </row>
    <row r="22" spans="1:18" x14ac:dyDescent="0.35">
      <c r="I22" s="2" t="s">
        <v>144</v>
      </c>
      <c r="J22" s="3">
        <v>7</v>
      </c>
      <c r="K22" s="3">
        <v>0</v>
      </c>
      <c r="L22" s="3">
        <v>1</v>
      </c>
      <c r="M22" s="3">
        <v>0</v>
      </c>
      <c r="N22" s="3">
        <v>0</v>
      </c>
      <c r="O22" s="3">
        <v>2</v>
      </c>
      <c r="P22" s="3">
        <v>0</v>
      </c>
      <c r="Q22" s="3">
        <v>0</v>
      </c>
      <c r="R22" s="3">
        <v>7</v>
      </c>
    </row>
    <row r="23" spans="1:18" x14ac:dyDescent="0.35">
      <c r="I23" s="16" t="s">
        <v>5</v>
      </c>
      <c r="J23" s="3">
        <v>1</v>
      </c>
      <c r="K23" s="3">
        <v>0</v>
      </c>
      <c r="L23" s="3">
        <v>0</v>
      </c>
      <c r="M23" s="3">
        <v>0</v>
      </c>
      <c r="N23" s="3">
        <v>0</v>
      </c>
      <c r="O23" s="3">
        <v>0</v>
      </c>
      <c r="P23" s="3">
        <v>0</v>
      </c>
      <c r="Q23" s="3">
        <v>0</v>
      </c>
      <c r="R23" s="3">
        <v>0</v>
      </c>
    </row>
    <row r="24" spans="1:18" x14ac:dyDescent="0.35">
      <c r="I24" s="16" t="s">
        <v>8</v>
      </c>
      <c r="J24" s="3">
        <v>3</v>
      </c>
      <c r="K24" s="3">
        <v>0</v>
      </c>
      <c r="L24" s="3">
        <v>0</v>
      </c>
      <c r="M24" s="3">
        <v>0</v>
      </c>
      <c r="N24" s="3">
        <v>0</v>
      </c>
      <c r="O24" s="3">
        <v>0</v>
      </c>
      <c r="P24" s="3">
        <v>0</v>
      </c>
      <c r="Q24" s="3">
        <v>0</v>
      </c>
      <c r="R24" s="3">
        <v>1</v>
      </c>
    </row>
    <row r="25" spans="1:18" x14ac:dyDescent="0.35">
      <c r="I25" s="16" t="s">
        <v>6</v>
      </c>
      <c r="J25" s="3">
        <v>1</v>
      </c>
      <c r="K25" s="3">
        <v>0</v>
      </c>
      <c r="L25" s="3">
        <v>1</v>
      </c>
      <c r="M25" s="3">
        <v>0</v>
      </c>
      <c r="N25" s="3">
        <v>0</v>
      </c>
      <c r="O25" s="3">
        <v>1</v>
      </c>
      <c r="P25" s="3">
        <v>0</v>
      </c>
      <c r="Q25" s="3">
        <v>0</v>
      </c>
      <c r="R25" s="3">
        <v>2</v>
      </c>
    </row>
    <row r="26" spans="1:18" x14ac:dyDescent="0.35">
      <c r="I26" s="16" t="s">
        <v>3</v>
      </c>
      <c r="J26" s="3">
        <v>1</v>
      </c>
      <c r="K26" s="3">
        <v>0</v>
      </c>
      <c r="L26" s="3">
        <v>0</v>
      </c>
      <c r="M26" s="3">
        <v>0</v>
      </c>
      <c r="N26" s="3">
        <v>0</v>
      </c>
      <c r="O26" s="3">
        <v>0</v>
      </c>
      <c r="P26" s="3">
        <v>0</v>
      </c>
      <c r="Q26" s="3">
        <v>0</v>
      </c>
      <c r="R26" s="3">
        <v>2</v>
      </c>
    </row>
    <row r="27" spans="1:18" x14ac:dyDescent="0.35">
      <c r="I27" s="16" t="s">
        <v>1</v>
      </c>
      <c r="J27" s="3">
        <v>1</v>
      </c>
      <c r="K27" s="3">
        <v>0</v>
      </c>
      <c r="L27" s="3">
        <v>0</v>
      </c>
      <c r="M27" s="3">
        <v>0</v>
      </c>
      <c r="N27" s="3">
        <v>0</v>
      </c>
      <c r="O27" s="3">
        <v>1</v>
      </c>
      <c r="P27" s="3">
        <v>0</v>
      </c>
      <c r="Q27" s="3">
        <v>0</v>
      </c>
      <c r="R27" s="3">
        <v>2</v>
      </c>
    </row>
    <row r="28" spans="1:18" x14ac:dyDescent="0.35">
      <c r="I28" s="2" t="s">
        <v>10</v>
      </c>
      <c r="J28" s="3">
        <v>27</v>
      </c>
      <c r="K28" s="3">
        <v>9</v>
      </c>
      <c r="L28" s="3">
        <v>12</v>
      </c>
      <c r="M28" s="3">
        <v>10</v>
      </c>
      <c r="N28" s="3">
        <v>5</v>
      </c>
      <c r="O28" s="3">
        <v>8</v>
      </c>
      <c r="P28" s="3">
        <v>5</v>
      </c>
      <c r="Q28" s="3">
        <v>2</v>
      </c>
      <c r="R28" s="3">
        <v>36</v>
      </c>
    </row>
  </sheetData>
  <mergeCells count="1">
    <mergeCell ref="A4:G4"/>
  </mergeCells>
  <pageMargins left="0.25" right="0.25" top="0.75" bottom="0.75" header="0.3" footer="0.3"/>
  <pageSetup scale="34" fitToHeight="0" orientation="landscape" horizontalDpi="300" verticalDpi="3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72EA-CD0C-4379-A98C-9D4A7BA2076A}">
  <sheetPr>
    <pageSetUpPr fitToPage="1"/>
  </sheetPr>
  <dimension ref="A1:P25"/>
  <sheetViews>
    <sheetView workbookViewId="0">
      <selection activeCell="B6" sqref="B6"/>
    </sheetView>
  </sheetViews>
  <sheetFormatPr defaultRowHeight="14.5" x14ac:dyDescent="0.35"/>
  <cols>
    <col min="1" max="1" width="50.54296875" bestFit="1" customWidth="1"/>
    <col min="2" max="3" width="15.81640625" bestFit="1" customWidth="1"/>
    <col min="4" max="4" width="16.08984375" bestFit="1" customWidth="1"/>
    <col min="5" max="6" width="15.81640625" bestFit="1" customWidth="1"/>
    <col min="7" max="7" width="17.7265625" customWidth="1"/>
    <col min="9" max="9" width="55.54296875" bestFit="1" customWidth="1"/>
    <col min="10" max="16" width="17.7265625" customWidth="1"/>
  </cols>
  <sheetData>
    <row r="1" spans="1:16" ht="20" x14ac:dyDescent="0.35">
      <c r="A1" s="6" t="s">
        <v>13</v>
      </c>
    </row>
    <row r="2" spans="1:16" ht="20" x14ac:dyDescent="0.35">
      <c r="A2" s="6" t="s">
        <v>123</v>
      </c>
    </row>
    <row r="4" spans="1:16" ht="71.5" customHeight="1" x14ac:dyDescent="0.35">
      <c r="A4" s="18" t="s">
        <v>41</v>
      </c>
      <c r="B4" s="19"/>
      <c r="C4" s="19"/>
      <c r="D4" s="19"/>
      <c r="E4" s="19"/>
      <c r="F4" s="19"/>
      <c r="G4" s="20"/>
    </row>
    <row r="6" spans="1:16" ht="15.5" x14ac:dyDescent="0.35">
      <c r="A6" s="12" t="s">
        <v>89</v>
      </c>
      <c r="I6" s="12" t="s">
        <v>90</v>
      </c>
    </row>
    <row r="7" spans="1:16" ht="15.5" x14ac:dyDescent="0.35">
      <c r="B7" s="9">
        <f>GETPIVOTDATA("Sum of 2. Q4 (a.3) Option C - Agree",$A$9)/G18</f>
        <v>0.16129032258064516</v>
      </c>
      <c r="C7" s="15">
        <f>GETPIVOTDATA("Sum of 3. Q4 (a.3) Option C - Agree but with further comments",$A$9)/G18</f>
        <v>0.26881720430107525</v>
      </c>
      <c r="D7" s="15">
        <f>GETPIVOTDATA("Sum of 4. Q4 (a.3) Option C - Neither agree or disagree and with further comments",$A$9)/G18</f>
        <v>0.18279569892473119</v>
      </c>
      <c r="E7" s="15">
        <f>GETPIVOTDATA("Sum of 5. Q4 (a.3) Option C - Disagree",$A$9)/G18</f>
        <v>0.12903225806451613</v>
      </c>
      <c r="F7" s="15">
        <f>GETPIVOTDATA("Sum of 6. Q4 (a.3) Option C - None",$A$9)/G18</f>
        <v>0.25806451612903225</v>
      </c>
      <c r="G7" s="15">
        <f>SUM(B7:F7)</f>
        <v>0.99999999999999989</v>
      </c>
    </row>
    <row r="9" spans="1:16" ht="101.5" x14ac:dyDescent="0.35">
      <c r="A9" s="1" t="s">
        <v>0</v>
      </c>
      <c r="B9" s="7" t="s">
        <v>97</v>
      </c>
      <c r="C9" s="7" t="s">
        <v>98</v>
      </c>
      <c r="D9" s="7" t="s">
        <v>99</v>
      </c>
      <c r="E9" s="7" t="s">
        <v>100</v>
      </c>
      <c r="F9" s="7" t="s">
        <v>101</v>
      </c>
      <c r="G9" s="14" t="s">
        <v>9</v>
      </c>
      <c r="H9" s="1"/>
      <c r="I9" s="1" t="s">
        <v>0</v>
      </c>
      <c r="J9" s="13" t="s">
        <v>165</v>
      </c>
      <c r="K9" s="13" t="s">
        <v>166</v>
      </c>
      <c r="L9" s="13" t="s">
        <v>167</v>
      </c>
      <c r="M9" s="13" t="s">
        <v>168</v>
      </c>
      <c r="N9" s="13" t="s">
        <v>169</v>
      </c>
      <c r="O9" s="13" t="s">
        <v>170</v>
      </c>
      <c r="P9" s="13" t="s">
        <v>171</v>
      </c>
    </row>
    <row r="10" spans="1:16" x14ac:dyDescent="0.35">
      <c r="A10" s="2" t="s">
        <v>5</v>
      </c>
      <c r="B10" s="3">
        <v>0</v>
      </c>
      <c r="C10" s="3">
        <v>0</v>
      </c>
      <c r="D10" s="3">
        <v>0</v>
      </c>
      <c r="E10" s="3">
        <v>0</v>
      </c>
      <c r="F10" s="3">
        <v>1</v>
      </c>
      <c r="G10" s="4">
        <f>SUM(B10:F10)</f>
        <v>1</v>
      </c>
      <c r="I10" s="2" t="s">
        <v>143</v>
      </c>
      <c r="J10" s="3">
        <v>9</v>
      </c>
      <c r="K10" s="3">
        <v>4</v>
      </c>
      <c r="L10" s="3">
        <v>3</v>
      </c>
      <c r="M10" s="3">
        <v>5</v>
      </c>
      <c r="N10" s="3">
        <v>7</v>
      </c>
      <c r="O10" s="3">
        <v>4</v>
      </c>
      <c r="P10" s="3">
        <v>8</v>
      </c>
    </row>
    <row r="11" spans="1:16" x14ac:dyDescent="0.35">
      <c r="A11" s="2" t="s">
        <v>8</v>
      </c>
      <c r="B11" s="3">
        <v>0</v>
      </c>
      <c r="C11" s="3">
        <v>0</v>
      </c>
      <c r="D11" s="3">
        <v>0</v>
      </c>
      <c r="E11" s="3">
        <v>0</v>
      </c>
      <c r="F11" s="3">
        <v>5</v>
      </c>
      <c r="G11" s="4">
        <f t="shared" ref="G11:G18" si="0">SUM(B11:F11)</f>
        <v>5</v>
      </c>
      <c r="I11" s="16" t="s">
        <v>6</v>
      </c>
      <c r="J11" s="3">
        <v>1</v>
      </c>
      <c r="K11" s="3">
        <v>0</v>
      </c>
      <c r="L11" s="3">
        <v>1</v>
      </c>
      <c r="M11" s="3">
        <v>2</v>
      </c>
      <c r="N11" s="3">
        <v>0</v>
      </c>
      <c r="O11" s="3">
        <v>0</v>
      </c>
      <c r="P11" s="3">
        <v>0</v>
      </c>
    </row>
    <row r="12" spans="1:16" x14ac:dyDescent="0.35">
      <c r="A12" s="2" t="s">
        <v>6</v>
      </c>
      <c r="B12" s="3">
        <v>4</v>
      </c>
      <c r="C12" s="3">
        <v>3</v>
      </c>
      <c r="D12" s="3">
        <v>4</v>
      </c>
      <c r="E12" s="3">
        <v>2</v>
      </c>
      <c r="F12" s="3">
        <v>1</v>
      </c>
      <c r="G12" s="4">
        <f t="shared" si="0"/>
        <v>14</v>
      </c>
      <c r="I12" s="16" t="s">
        <v>3</v>
      </c>
      <c r="J12" s="3">
        <v>2</v>
      </c>
      <c r="K12" s="3">
        <v>0</v>
      </c>
      <c r="L12" s="3">
        <v>1</v>
      </c>
      <c r="M12" s="3">
        <v>2</v>
      </c>
      <c r="N12" s="3">
        <v>5</v>
      </c>
      <c r="O12" s="3">
        <v>0</v>
      </c>
      <c r="P12" s="3">
        <v>2</v>
      </c>
    </row>
    <row r="13" spans="1:16" x14ac:dyDescent="0.35">
      <c r="A13" s="2" t="s">
        <v>3</v>
      </c>
      <c r="B13" s="3">
        <v>4</v>
      </c>
      <c r="C13" s="3">
        <v>8</v>
      </c>
      <c r="D13" s="3">
        <v>6</v>
      </c>
      <c r="E13" s="3">
        <v>3</v>
      </c>
      <c r="F13" s="3">
        <v>3</v>
      </c>
      <c r="G13" s="4">
        <f t="shared" si="0"/>
        <v>24</v>
      </c>
      <c r="I13" s="16" t="s">
        <v>1</v>
      </c>
      <c r="J13" s="3">
        <v>5</v>
      </c>
      <c r="K13" s="3">
        <v>4</v>
      </c>
      <c r="L13" s="3">
        <v>1</v>
      </c>
      <c r="M13" s="3">
        <v>1</v>
      </c>
      <c r="N13" s="3">
        <v>1</v>
      </c>
      <c r="O13" s="3">
        <v>3</v>
      </c>
      <c r="P13" s="3">
        <v>5</v>
      </c>
    </row>
    <row r="14" spans="1:16" x14ac:dyDescent="0.35">
      <c r="A14" s="2" t="s">
        <v>7</v>
      </c>
      <c r="B14" s="3">
        <v>0</v>
      </c>
      <c r="C14" s="3">
        <v>0</v>
      </c>
      <c r="D14" s="3">
        <v>0</v>
      </c>
      <c r="E14" s="3">
        <v>1</v>
      </c>
      <c r="F14" s="3">
        <v>1</v>
      </c>
      <c r="G14" s="4">
        <f t="shared" si="0"/>
        <v>2</v>
      </c>
      <c r="I14" s="16" t="s">
        <v>4</v>
      </c>
      <c r="J14" s="3">
        <v>1</v>
      </c>
      <c r="K14" s="3">
        <v>0</v>
      </c>
      <c r="L14" s="3">
        <v>0</v>
      </c>
      <c r="M14" s="3">
        <v>0</v>
      </c>
      <c r="N14" s="3">
        <v>1</v>
      </c>
      <c r="O14" s="3">
        <v>1</v>
      </c>
      <c r="P14" s="3">
        <v>1</v>
      </c>
    </row>
    <row r="15" spans="1:16" ht="17.25" customHeight="1" x14ac:dyDescent="0.35">
      <c r="A15" s="2" t="s">
        <v>1</v>
      </c>
      <c r="B15" s="3">
        <v>6</v>
      </c>
      <c r="C15" s="3">
        <v>11</v>
      </c>
      <c r="D15" s="3">
        <v>7</v>
      </c>
      <c r="E15" s="3">
        <v>5</v>
      </c>
      <c r="F15" s="3">
        <v>5</v>
      </c>
      <c r="G15" s="4">
        <f t="shared" si="0"/>
        <v>34</v>
      </c>
      <c r="I15" s="2" t="s">
        <v>156</v>
      </c>
      <c r="J15" s="3">
        <v>3</v>
      </c>
      <c r="K15" s="3">
        <v>6</v>
      </c>
      <c r="L15" s="3">
        <v>4</v>
      </c>
      <c r="M15" s="3">
        <v>0</v>
      </c>
      <c r="N15" s="3">
        <v>0</v>
      </c>
      <c r="O15" s="3">
        <v>0</v>
      </c>
      <c r="P15" s="3">
        <v>2</v>
      </c>
    </row>
    <row r="16" spans="1:16" x14ac:dyDescent="0.35">
      <c r="A16" s="2" t="s">
        <v>2</v>
      </c>
      <c r="B16" s="3">
        <v>0</v>
      </c>
      <c r="C16" s="3">
        <v>0</v>
      </c>
      <c r="D16" s="3">
        <v>0</v>
      </c>
      <c r="E16" s="3">
        <v>0</v>
      </c>
      <c r="F16" s="3">
        <v>1</v>
      </c>
      <c r="G16" s="4">
        <f t="shared" si="0"/>
        <v>1</v>
      </c>
      <c r="I16" s="16" t="s">
        <v>6</v>
      </c>
      <c r="J16" s="3">
        <v>0</v>
      </c>
      <c r="K16" s="3">
        <v>2</v>
      </c>
      <c r="L16" s="3">
        <v>0</v>
      </c>
      <c r="M16" s="3">
        <v>0</v>
      </c>
      <c r="N16" s="3">
        <v>0</v>
      </c>
      <c r="O16" s="3">
        <v>0</v>
      </c>
      <c r="P16" s="3">
        <v>0</v>
      </c>
    </row>
    <row r="17" spans="1:16" x14ac:dyDescent="0.35">
      <c r="A17" s="2" t="s">
        <v>4</v>
      </c>
      <c r="B17" s="3">
        <v>1</v>
      </c>
      <c r="C17" s="3">
        <v>3</v>
      </c>
      <c r="D17" s="3">
        <v>0</v>
      </c>
      <c r="E17" s="3">
        <v>1</v>
      </c>
      <c r="F17" s="3">
        <v>7</v>
      </c>
      <c r="G17" s="4">
        <f t="shared" si="0"/>
        <v>12</v>
      </c>
      <c r="I17" s="16" t="s">
        <v>3</v>
      </c>
      <c r="J17" s="3">
        <v>0</v>
      </c>
      <c r="K17" s="3">
        <v>1</v>
      </c>
      <c r="L17" s="3">
        <v>2</v>
      </c>
      <c r="M17" s="3">
        <v>0</v>
      </c>
      <c r="N17" s="3">
        <v>0</v>
      </c>
      <c r="O17" s="3">
        <v>0</v>
      </c>
      <c r="P17" s="3">
        <v>0</v>
      </c>
    </row>
    <row r="18" spans="1:16" x14ac:dyDescent="0.35">
      <c r="A18" s="2" t="s">
        <v>10</v>
      </c>
      <c r="B18" s="3">
        <v>15</v>
      </c>
      <c r="C18" s="3">
        <v>25</v>
      </c>
      <c r="D18" s="3">
        <v>17</v>
      </c>
      <c r="E18" s="3">
        <v>12</v>
      </c>
      <c r="F18" s="3">
        <v>24</v>
      </c>
      <c r="G18" s="5">
        <f t="shared" si="0"/>
        <v>93</v>
      </c>
      <c r="I18" s="16" t="s">
        <v>7</v>
      </c>
      <c r="J18" s="3">
        <v>0</v>
      </c>
      <c r="K18" s="3">
        <v>0</v>
      </c>
      <c r="L18" s="3">
        <v>0</v>
      </c>
      <c r="M18" s="3">
        <v>0</v>
      </c>
      <c r="N18" s="3">
        <v>0</v>
      </c>
      <c r="O18" s="3">
        <v>0</v>
      </c>
      <c r="P18" s="3">
        <v>1</v>
      </c>
    </row>
    <row r="19" spans="1:16" x14ac:dyDescent="0.35">
      <c r="I19" s="16" t="s">
        <v>1</v>
      </c>
      <c r="J19" s="3">
        <v>2</v>
      </c>
      <c r="K19" s="3">
        <v>3</v>
      </c>
      <c r="L19" s="3">
        <v>2</v>
      </c>
      <c r="M19" s="3">
        <v>0</v>
      </c>
      <c r="N19" s="3">
        <v>0</v>
      </c>
      <c r="O19" s="3">
        <v>0</v>
      </c>
      <c r="P19" s="3">
        <v>1</v>
      </c>
    </row>
    <row r="20" spans="1:16" x14ac:dyDescent="0.35">
      <c r="I20" s="16" t="s">
        <v>4</v>
      </c>
      <c r="J20" s="3">
        <v>1</v>
      </c>
      <c r="K20" s="3">
        <v>0</v>
      </c>
      <c r="L20" s="3">
        <v>0</v>
      </c>
      <c r="M20" s="3">
        <v>0</v>
      </c>
      <c r="N20" s="3">
        <v>0</v>
      </c>
      <c r="O20" s="3">
        <v>0</v>
      </c>
      <c r="P20" s="3">
        <v>0</v>
      </c>
    </row>
    <row r="21" spans="1:16" x14ac:dyDescent="0.35">
      <c r="I21" s="2" t="s">
        <v>144</v>
      </c>
      <c r="J21" s="3">
        <v>7</v>
      </c>
      <c r="K21" s="3">
        <v>5</v>
      </c>
      <c r="L21" s="3">
        <v>3</v>
      </c>
      <c r="M21" s="3">
        <v>2</v>
      </c>
      <c r="N21" s="3">
        <v>0</v>
      </c>
      <c r="O21" s="3">
        <v>0</v>
      </c>
      <c r="P21" s="3">
        <v>8</v>
      </c>
    </row>
    <row r="22" spans="1:16" x14ac:dyDescent="0.35">
      <c r="I22" s="16" t="s">
        <v>6</v>
      </c>
      <c r="J22" s="3">
        <v>2</v>
      </c>
      <c r="K22" s="3">
        <v>0</v>
      </c>
      <c r="L22" s="3">
        <v>1</v>
      </c>
      <c r="M22" s="3">
        <v>0</v>
      </c>
      <c r="N22" s="3">
        <v>0</v>
      </c>
      <c r="O22" s="3">
        <v>0</v>
      </c>
      <c r="P22" s="3">
        <v>2</v>
      </c>
    </row>
    <row r="23" spans="1:16" x14ac:dyDescent="0.35">
      <c r="I23" s="16" t="s">
        <v>3</v>
      </c>
      <c r="J23" s="3">
        <v>1</v>
      </c>
      <c r="K23" s="3">
        <v>2</v>
      </c>
      <c r="L23" s="3">
        <v>1</v>
      </c>
      <c r="M23" s="3">
        <v>1</v>
      </c>
      <c r="N23" s="3">
        <v>0</v>
      </c>
      <c r="O23" s="3">
        <v>0</v>
      </c>
      <c r="P23" s="3">
        <v>3</v>
      </c>
    </row>
    <row r="24" spans="1:16" x14ac:dyDescent="0.35">
      <c r="I24" s="16" t="s">
        <v>1</v>
      </c>
      <c r="J24" s="3">
        <v>4</v>
      </c>
      <c r="K24" s="3">
        <v>3</v>
      </c>
      <c r="L24" s="3">
        <v>1</v>
      </c>
      <c r="M24" s="3">
        <v>1</v>
      </c>
      <c r="N24" s="3">
        <v>0</v>
      </c>
      <c r="O24" s="3">
        <v>0</v>
      </c>
      <c r="P24" s="3">
        <v>3</v>
      </c>
    </row>
    <row r="25" spans="1:16" x14ac:dyDescent="0.35">
      <c r="I25" s="2" t="s">
        <v>10</v>
      </c>
      <c r="J25" s="3">
        <v>19</v>
      </c>
      <c r="K25" s="3">
        <v>15</v>
      </c>
      <c r="L25" s="3">
        <v>10</v>
      </c>
      <c r="M25" s="3">
        <v>7</v>
      </c>
      <c r="N25" s="3">
        <v>7</v>
      </c>
      <c r="O25" s="3">
        <v>4</v>
      </c>
      <c r="P25" s="3">
        <v>18</v>
      </c>
    </row>
  </sheetData>
  <mergeCells count="1">
    <mergeCell ref="A4:G4"/>
  </mergeCells>
  <pageMargins left="0.25" right="0.25" top="0.75" bottom="0.75" header="0.3" footer="0.3"/>
  <pageSetup scale="38" fitToHeight="0" orientation="landscape" horizontalDpi="300" verticalDpi="3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DD97-9E29-40BE-B1C9-A431A46E6F91}">
  <sheetPr>
    <pageSetUpPr fitToPage="1"/>
  </sheetPr>
  <dimension ref="A1:M18"/>
  <sheetViews>
    <sheetView workbookViewId="0">
      <selection activeCell="A3" sqref="A3"/>
    </sheetView>
  </sheetViews>
  <sheetFormatPr defaultRowHeight="14.5" x14ac:dyDescent="0.35"/>
  <cols>
    <col min="1" max="1" width="50.453125" customWidth="1"/>
    <col min="2" max="4" width="21.54296875" customWidth="1"/>
    <col min="5" max="5" width="19.7265625" bestFit="1" customWidth="1"/>
    <col min="6" max="6" width="20.54296875" bestFit="1" customWidth="1"/>
    <col min="7" max="7" width="20.1796875" customWidth="1"/>
    <col min="8" max="8" width="21.54296875" customWidth="1"/>
    <col min="10" max="10" width="53.7265625" bestFit="1" customWidth="1"/>
    <col min="11" max="11" width="19.81640625" customWidth="1"/>
    <col min="12" max="12" width="15" bestFit="1" customWidth="1"/>
    <col min="13" max="13" width="15.1796875" bestFit="1" customWidth="1"/>
  </cols>
  <sheetData>
    <row r="1" spans="1:13" ht="20" x14ac:dyDescent="0.35">
      <c r="A1" s="6" t="s">
        <v>13</v>
      </c>
    </row>
    <row r="2" spans="1:13" ht="20" x14ac:dyDescent="0.35">
      <c r="A2" s="6" t="s">
        <v>124</v>
      </c>
    </row>
    <row r="4" spans="1:13" ht="59.15" customHeight="1" x14ac:dyDescent="0.35">
      <c r="A4" s="18" t="s">
        <v>56</v>
      </c>
      <c r="B4" s="19"/>
      <c r="C4" s="19"/>
      <c r="D4" s="19"/>
      <c r="E4" s="19"/>
      <c r="F4" s="20"/>
    </row>
    <row r="6" spans="1:13" ht="15.5" x14ac:dyDescent="0.35">
      <c r="A6" s="12" t="s">
        <v>89</v>
      </c>
      <c r="J6" s="12" t="s">
        <v>90</v>
      </c>
    </row>
    <row r="7" spans="1:13" ht="15.5" x14ac:dyDescent="0.35">
      <c r="B7" s="9">
        <f>GETPIVOTDATA("Sum of 02. Q4 (c) Option A - Revising the ISA",$A$9)/H18</f>
        <v>0.10752688172043011</v>
      </c>
      <c r="C7" s="9">
        <f>GETPIVOTDATA("Sum of 03. Q4 (c) Option B - Separate auditing LCE standard",$A$9)/H18</f>
        <v>0.16129032258064516</v>
      </c>
      <c r="D7" s="9">
        <f>GETPIVOTDATA("Sum of 04. Q4 (c) Option C - Guidance for audits of LCE",$A$9)/H18</f>
        <v>0.15053763440860216</v>
      </c>
      <c r="E7" s="9">
        <f>GETPIVOTDATA("Sum of 05. Q4 (c) Combined approaches",$A$9)/H18</f>
        <v>0.20430107526881722</v>
      </c>
      <c r="F7" s="9">
        <f>GETPIVOTDATA("Sum of 06. Q4 (c) Other action priorities",$A$9)/H18</f>
        <v>6.4516129032258063E-2</v>
      </c>
      <c r="G7" s="9">
        <f>GETPIVOTDATA("Sum of 07. Q4 (c) None",$A$9)/H18</f>
        <v>0.31182795698924731</v>
      </c>
      <c r="H7" s="9">
        <f>SUM(B7:G7)</f>
        <v>1</v>
      </c>
    </row>
    <row r="9" spans="1:13" ht="43.5" x14ac:dyDescent="0.35">
      <c r="A9" s="1" t="s">
        <v>0</v>
      </c>
      <c r="B9" s="13" t="s">
        <v>50</v>
      </c>
      <c r="C9" s="13" t="s">
        <v>51</v>
      </c>
      <c r="D9" s="13" t="s">
        <v>52</v>
      </c>
      <c r="E9" s="13" t="s">
        <v>53</v>
      </c>
      <c r="F9" s="13" t="s">
        <v>54</v>
      </c>
      <c r="G9" s="13" t="s">
        <v>55</v>
      </c>
      <c r="H9" s="14" t="s">
        <v>9</v>
      </c>
      <c r="I9" s="1"/>
      <c r="J9" s="1" t="s">
        <v>0</v>
      </c>
      <c r="K9" s="13" t="s">
        <v>145</v>
      </c>
      <c r="L9" s="13" t="s">
        <v>146</v>
      </c>
      <c r="M9" s="13" t="s">
        <v>147</v>
      </c>
    </row>
    <row r="10" spans="1:13" x14ac:dyDescent="0.35">
      <c r="A10" s="2" t="s">
        <v>5</v>
      </c>
      <c r="B10" s="3">
        <v>0</v>
      </c>
      <c r="C10" s="3">
        <v>0</v>
      </c>
      <c r="D10" s="3">
        <v>0</v>
      </c>
      <c r="E10" s="3">
        <v>0</v>
      </c>
      <c r="F10" s="3">
        <v>0</v>
      </c>
      <c r="G10" s="3">
        <v>1</v>
      </c>
      <c r="H10" s="4">
        <f>SUM(B10:G10)</f>
        <v>1</v>
      </c>
      <c r="J10" s="2" t="s">
        <v>5</v>
      </c>
      <c r="K10" s="3">
        <v>0</v>
      </c>
      <c r="L10" s="3">
        <v>0</v>
      </c>
      <c r="M10" s="3">
        <v>0</v>
      </c>
    </row>
    <row r="11" spans="1:13" x14ac:dyDescent="0.35">
      <c r="A11" s="2" t="s">
        <v>8</v>
      </c>
      <c r="B11" s="3">
        <v>0</v>
      </c>
      <c r="C11" s="3">
        <v>0</v>
      </c>
      <c r="D11" s="3">
        <v>0</v>
      </c>
      <c r="E11" s="3">
        <v>0</v>
      </c>
      <c r="F11" s="3">
        <v>0</v>
      </c>
      <c r="G11" s="3">
        <v>5</v>
      </c>
      <c r="H11" s="4">
        <f t="shared" ref="H11:H18" si="0">SUM(B11:G11)</f>
        <v>5</v>
      </c>
      <c r="J11" s="2" t="s">
        <v>8</v>
      </c>
      <c r="K11" s="3">
        <v>0</v>
      </c>
      <c r="L11" s="3">
        <v>0</v>
      </c>
      <c r="M11" s="3">
        <v>0</v>
      </c>
    </row>
    <row r="12" spans="1:13" x14ac:dyDescent="0.35">
      <c r="A12" s="2" t="s">
        <v>6</v>
      </c>
      <c r="B12" s="3">
        <v>3</v>
      </c>
      <c r="C12" s="3">
        <v>2</v>
      </c>
      <c r="D12" s="3">
        <v>2</v>
      </c>
      <c r="E12" s="3">
        <v>3</v>
      </c>
      <c r="F12" s="3">
        <v>1</v>
      </c>
      <c r="G12" s="3">
        <v>3</v>
      </c>
      <c r="H12" s="4">
        <f t="shared" si="0"/>
        <v>14</v>
      </c>
      <c r="J12" s="2" t="s">
        <v>6</v>
      </c>
      <c r="K12" s="3">
        <v>2</v>
      </c>
      <c r="L12" s="3">
        <v>1</v>
      </c>
      <c r="M12" s="3">
        <v>0</v>
      </c>
    </row>
    <row r="13" spans="1:13" x14ac:dyDescent="0.35">
      <c r="A13" s="2" t="s">
        <v>3</v>
      </c>
      <c r="B13" s="3">
        <v>5</v>
      </c>
      <c r="C13" s="3">
        <v>4</v>
      </c>
      <c r="D13" s="3">
        <v>5</v>
      </c>
      <c r="E13" s="3">
        <v>5</v>
      </c>
      <c r="F13" s="3">
        <v>2</v>
      </c>
      <c r="G13" s="3">
        <v>3</v>
      </c>
      <c r="H13" s="4">
        <f t="shared" si="0"/>
        <v>24</v>
      </c>
      <c r="J13" s="2" t="s">
        <v>3</v>
      </c>
      <c r="K13" s="3">
        <v>4</v>
      </c>
      <c r="L13" s="3">
        <v>1</v>
      </c>
      <c r="M13" s="3">
        <v>0</v>
      </c>
    </row>
    <row r="14" spans="1:13" x14ac:dyDescent="0.35">
      <c r="A14" s="2" t="s">
        <v>7</v>
      </c>
      <c r="B14" s="3">
        <v>0</v>
      </c>
      <c r="C14" s="3">
        <v>0</v>
      </c>
      <c r="D14" s="3">
        <v>0</v>
      </c>
      <c r="E14" s="3">
        <v>0</v>
      </c>
      <c r="F14" s="3">
        <v>0</v>
      </c>
      <c r="G14" s="3">
        <v>2</v>
      </c>
      <c r="H14" s="4">
        <f t="shared" si="0"/>
        <v>2</v>
      </c>
      <c r="J14" s="2" t="s">
        <v>7</v>
      </c>
      <c r="K14" s="3">
        <v>0</v>
      </c>
      <c r="L14" s="3">
        <v>0</v>
      </c>
      <c r="M14" s="3">
        <v>0</v>
      </c>
    </row>
    <row r="15" spans="1:13" x14ac:dyDescent="0.35">
      <c r="A15" s="2" t="s">
        <v>1</v>
      </c>
      <c r="B15" s="3">
        <v>1</v>
      </c>
      <c r="C15" s="3">
        <v>7</v>
      </c>
      <c r="D15" s="3">
        <v>5</v>
      </c>
      <c r="E15" s="3">
        <v>10</v>
      </c>
      <c r="F15" s="3">
        <v>2</v>
      </c>
      <c r="G15" s="3">
        <v>9</v>
      </c>
      <c r="H15" s="4">
        <f t="shared" si="0"/>
        <v>34</v>
      </c>
      <c r="J15" s="2" t="s">
        <v>1</v>
      </c>
      <c r="K15" s="3">
        <v>2</v>
      </c>
      <c r="L15" s="3">
        <v>6</v>
      </c>
      <c r="M15" s="3">
        <v>2</v>
      </c>
    </row>
    <row r="16" spans="1:13" x14ac:dyDescent="0.35">
      <c r="A16" s="2" t="s">
        <v>2</v>
      </c>
      <c r="B16" s="3">
        <v>0</v>
      </c>
      <c r="C16" s="3">
        <v>1</v>
      </c>
      <c r="D16" s="3">
        <v>0</v>
      </c>
      <c r="E16" s="3">
        <v>0</v>
      </c>
      <c r="F16" s="3">
        <v>0</v>
      </c>
      <c r="G16" s="3">
        <v>0</v>
      </c>
      <c r="H16" s="4">
        <f t="shared" si="0"/>
        <v>1</v>
      </c>
      <c r="J16" s="2" t="s">
        <v>2</v>
      </c>
      <c r="K16" s="3">
        <v>0</v>
      </c>
      <c r="L16" s="3">
        <v>0</v>
      </c>
      <c r="M16" s="3">
        <v>0</v>
      </c>
    </row>
    <row r="17" spans="1:13" x14ac:dyDescent="0.35">
      <c r="A17" s="2" t="s">
        <v>4</v>
      </c>
      <c r="B17" s="3">
        <v>1</v>
      </c>
      <c r="C17" s="3">
        <v>1</v>
      </c>
      <c r="D17" s="3">
        <v>2</v>
      </c>
      <c r="E17" s="3">
        <v>1</v>
      </c>
      <c r="F17" s="3">
        <v>1</v>
      </c>
      <c r="G17" s="3">
        <v>6</v>
      </c>
      <c r="H17" s="4">
        <f t="shared" si="0"/>
        <v>12</v>
      </c>
      <c r="J17" s="2" t="s">
        <v>4</v>
      </c>
      <c r="K17" s="3">
        <v>0</v>
      </c>
      <c r="L17" s="3">
        <v>0</v>
      </c>
      <c r="M17" s="3">
        <v>1</v>
      </c>
    </row>
    <row r="18" spans="1:13" x14ac:dyDescent="0.35">
      <c r="A18" s="2" t="s">
        <v>10</v>
      </c>
      <c r="B18" s="3">
        <v>10</v>
      </c>
      <c r="C18" s="3">
        <v>15</v>
      </c>
      <c r="D18" s="3">
        <v>14</v>
      </c>
      <c r="E18" s="3">
        <v>19</v>
      </c>
      <c r="F18" s="3">
        <v>6</v>
      </c>
      <c r="G18" s="3">
        <v>29</v>
      </c>
      <c r="H18" s="5">
        <f t="shared" si="0"/>
        <v>93</v>
      </c>
      <c r="J18" s="2" t="s">
        <v>10</v>
      </c>
      <c r="K18" s="3">
        <v>8</v>
      </c>
      <c r="L18" s="3">
        <v>8</v>
      </c>
      <c r="M18" s="3">
        <v>3</v>
      </c>
    </row>
  </sheetData>
  <mergeCells count="1">
    <mergeCell ref="A4:F4"/>
  </mergeCells>
  <pageMargins left="0.25" right="0.25" top="0.75" bottom="0.75" header="0.3" footer="0.3"/>
  <pageSetup scale="42" fitToHeight="0" orientation="landscape" horizontalDpi="300" verticalDpi="3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B2998-BAD9-43F3-B7BA-193FA9252B7D}">
  <sheetPr>
    <pageSetUpPr fitToPage="1"/>
  </sheetPr>
  <dimension ref="A1:G18"/>
  <sheetViews>
    <sheetView workbookViewId="0">
      <selection activeCell="A6" sqref="A6"/>
    </sheetView>
  </sheetViews>
  <sheetFormatPr defaultRowHeight="14.5" x14ac:dyDescent="0.35"/>
  <cols>
    <col min="1" max="1" width="50.453125" bestFit="1" customWidth="1"/>
    <col min="2" max="7" width="15.26953125" customWidth="1"/>
  </cols>
  <sheetData>
    <row r="1" spans="1:7" ht="20" x14ac:dyDescent="0.35">
      <c r="A1" s="6" t="s">
        <v>13</v>
      </c>
    </row>
    <row r="2" spans="1:7" ht="20" x14ac:dyDescent="0.35">
      <c r="A2" s="6" t="s">
        <v>125</v>
      </c>
    </row>
    <row r="4" spans="1:7" ht="54" customHeight="1" x14ac:dyDescent="0.35">
      <c r="A4" s="18" t="s">
        <v>63</v>
      </c>
      <c r="B4" s="19"/>
      <c r="C4" s="19"/>
      <c r="D4" s="19"/>
      <c r="E4" s="19"/>
      <c r="F4" s="20"/>
    </row>
    <row r="9" spans="1:7" ht="72.5" x14ac:dyDescent="0.35">
      <c r="A9" s="1" t="s">
        <v>40</v>
      </c>
      <c r="B9" s="13" t="s">
        <v>57</v>
      </c>
      <c r="C9" s="13" t="s">
        <v>58</v>
      </c>
      <c r="D9" s="13" t="s">
        <v>59</v>
      </c>
      <c r="E9" s="13" t="s">
        <v>60</v>
      </c>
      <c r="F9" s="13" t="s">
        <v>61</v>
      </c>
      <c r="G9" s="13" t="s">
        <v>62</v>
      </c>
    </row>
    <row r="10" spans="1:7" x14ac:dyDescent="0.35">
      <c r="A10" s="2" t="s">
        <v>5</v>
      </c>
      <c r="B10" s="3">
        <v>0</v>
      </c>
      <c r="C10" s="3">
        <v>0</v>
      </c>
      <c r="D10" s="3">
        <v>0</v>
      </c>
      <c r="E10" s="3">
        <v>1</v>
      </c>
      <c r="F10" s="3">
        <v>0</v>
      </c>
      <c r="G10" s="3">
        <v>0</v>
      </c>
    </row>
    <row r="11" spans="1:7" x14ac:dyDescent="0.35">
      <c r="A11" s="2" t="s">
        <v>8</v>
      </c>
      <c r="B11" s="3">
        <v>1</v>
      </c>
      <c r="C11" s="3">
        <v>2</v>
      </c>
      <c r="D11" s="3">
        <v>0</v>
      </c>
      <c r="E11" s="3">
        <v>2</v>
      </c>
      <c r="F11" s="3">
        <v>0</v>
      </c>
      <c r="G11" s="3">
        <v>2</v>
      </c>
    </row>
    <row r="12" spans="1:7" x14ac:dyDescent="0.35">
      <c r="A12" s="2" t="s">
        <v>6</v>
      </c>
      <c r="B12" s="3">
        <v>1</v>
      </c>
      <c r="C12" s="3">
        <v>0</v>
      </c>
      <c r="D12" s="3">
        <v>1</v>
      </c>
      <c r="E12" s="3">
        <v>0</v>
      </c>
      <c r="F12" s="3">
        <v>1</v>
      </c>
      <c r="G12" s="3">
        <v>12</v>
      </c>
    </row>
    <row r="13" spans="1:7" x14ac:dyDescent="0.35">
      <c r="A13" s="2" t="s">
        <v>3</v>
      </c>
      <c r="B13" s="3">
        <v>5</v>
      </c>
      <c r="C13" s="3">
        <v>3</v>
      </c>
      <c r="D13" s="3">
        <v>3</v>
      </c>
      <c r="E13" s="3">
        <v>0</v>
      </c>
      <c r="F13" s="3">
        <v>1</v>
      </c>
      <c r="G13" s="3">
        <v>18</v>
      </c>
    </row>
    <row r="14" spans="1:7" x14ac:dyDescent="0.35">
      <c r="A14" s="2" t="s">
        <v>7</v>
      </c>
      <c r="B14" s="3">
        <v>0</v>
      </c>
      <c r="C14" s="3">
        <v>0</v>
      </c>
      <c r="D14" s="3">
        <v>0</v>
      </c>
      <c r="E14" s="3">
        <v>0</v>
      </c>
      <c r="F14" s="3">
        <v>1</v>
      </c>
      <c r="G14" s="3">
        <v>1</v>
      </c>
    </row>
    <row r="15" spans="1:7" x14ac:dyDescent="0.35">
      <c r="A15" s="2" t="s">
        <v>1</v>
      </c>
      <c r="B15" s="3">
        <v>5</v>
      </c>
      <c r="C15" s="3">
        <v>1</v>
      </c>
      <c r="D15" s="3">
        <v>3</v>
      </c>
      <c r="E15" s="3">
        <v>0</v>
      </c>
      <c r="F15" s="3">
        <v>4</v>
      </c>
      <c r="G15" s="3">
        <v>24</v>
      </c>
    </row>
    <row r="16" spans="1:7" x14ac:dyDescent="0.35">
      <c r="A16" s="2" t="s">
        <v>2</v>
      </c>
      <c r="B16" s="3">
        <v>0</v>
      </c>
      <c r="C16" s="3">
        <v>0</v>
      </c>
      <c r="D16" s="3">
        <v>0</v>
      </c>
      <c r="E16" s="3">
        <v>0</v>
      </c>
      <c r="F16" s="3">
        <v>0</v>
      </c>
      <c r="G16" s="3">
        <v>1</v>
      </c>
    </row>
    <row r="17" spans="1:7" x14ac:dyDescent="0.35">
      <c r="A17" s="2" t="s">
        <v>4</v>
      </c>
      <c r="B17" s="3">
        <v>0</v>
      </c>
      <c r="C17" s="3">
        <v>1</v>
      </c>
      <c r="D17" s="3">
        <v>0</v>
      </c>
      <c r="E17" s="3">
        <v>0</v>
      </c>
      <c r="F17" s="3">
        <v>1</v>
      </c>
      <c r="G17" s="3">
        <v>10</v>
      </c>
    </row>
    <row r="18" spans="1:7" x14ac:dyDescent="0.35">
      <c r="A18" s="2" t="s">
        <v>10</v>
      </c>
      <c r="B18" s="3">
        <v>12</v>
      </c>
      <c r="C18" s="3">
        <v>7</v>
      </c>
      <c r="D18" s="3">
        <v>7</v>
      </c>
      <c r="E18" s="3">
        <v>3</v>
      </c>
      <c r="F18" s="3">
        <v>8</v>
      </c>
      <c r="G18" s="3">
        <v>68</v>
      </c>
    </row>
  </sheetData>
  <mergeCells count="1">
    <mergeCell ref="A4:F4"/>
  </mergeCells>
  <pageMargins left="0.25" right="0.25" top="0.75" bottom="0.75" header="0.3" footer="0.3"/>
  <pageSetup scale="91" fitToHeight="0" orientation="landscape" horizontalDpi="300"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C679-3712-4855-A71E-78B4BFFDFCD5}">
  <sheetPr>
    <pageSetUpPr fitToPage="1"/>
  </sheetPr>
  <dimension ref="A1:N18"/>
  <sheetViews>
    <sheetView workbookViewId="0">
      <selection activeCell="A5" sqref="A5"/>
    </sheetView>
  </sheetViews>
  <sheetFormatPr defaultRowHeight="14.5" x14ac:dyDescent="0.35"/>
  <cols>
    <col min="1" max="1" width="50.36328125" bestFit="1" customWidth="1"/>
    <col min="2" max="2" width="12.54296875" bestFit="1" customWidth="1"/>
    <col min="3" max="3" width="14" bestFit="1" customWidth="1"/>
    <col min="4" max="4" width="15.453125" bestFit="1" customWidth="1"/>
    <col min="5" max="5" width="12.90625" bestFit="1" customWidth="1"/>
    <col min="6" max="6" width="13.1796875" bestFit="1" customWidth="1"/>
    <col min="7" max="7" width="14.90625" bestFit="1" customWidth="1"/>
    <col min="8" max="8" width="15.7265625" customWidth="1"/>
    <col min="9" max="9" width="12.90625" bestFit="1" customWidth="1"/>
    <col min="10" max="10" width="12.54296875" bestFit="1" customWidth="1"/>
    <col min="11" max="11" width="12.453125" bestFit="1" customWidth="1"/>
    <col min="12" max="12" width="15.26953125" bestFit="1" customWidth="1"/>
    <col min="13" max="13" width="15.08984375" bestFit="1" customWidth="1"/>
    <col min="14" max="14" width="12.453125" bestFit="1" customWidth="1"/>
  </cols>
  <sheetData>
    <row r="1" spans="1:14" ht="20" x14ac:dyDescent="0.35">
      <c r="A1" s="6" t="s">
        <v>13</v>
      </c>
    </row>
    <row r="2" spans="1:14" ht="20" x14ac:dyDescent="0.35">
      <c r="A2" s="6" t="s">
        <v>126</v>
      </c>
    </row>
    <row r="4" spans="1:14" ht="50.5" customHeight="1" x14ac:dyDescent="0.35">
      <c r="A4" s="18" t="s">
        <v>175</v>
      </c>
      <c r="B4" s="19"/>
      <c r="C4" s="19"/>
      <c r="D4" s="19"/>
      <c r="E4" s="19"/>
      <c r="F4" s="20"/>
    </row>
    <row r="9" spans="1:14" ht="72.5" x14ac:dyDescent="0.35">
      <c r="A9" s="1" t="s">
        <v>0</v>
      </c>
      <c r="B9" s="7" t="s">
        <v>64</v>
      </c>
      <c r="C9" s="7" t="s">
        <v>65</v>
      </c>
      <c r="D9" s="7" t="s">
        <v>66</v>
      </c>
      <c r="E9" s="7" t="s">
        <v>67</v>
      </c>
      <c r="F9" s="7" t="s">
        <v>68</v>
      </c>
      <c r="G9" s="7" t="s">
        <v>69</v>
      </c>
      <c r="H9" s="7" t="s">
        <v>70</v>
      </c>
      <c r="I9" s="7" t="s">
        <v>71</v>
      </c>
      <c r="J9" s="7" t="s">
        <v>72</v>
      </c>
      <c r="K9" s="7" t="s">
        <v>73</v>
      </c>
      <c r="L9" s="7" t="s">
        <v>74</v>
      </c>
      <c r="M9" s="7" t="s">
        <v>75</v>
      </c>
      <c r="N9" s="7" t="s">
        <v>76</v>
      </c>
    </row>
    <row r="10" spans="1:14" x14ac:dyDescent="0.35">
      <c r="A10" s="2" t="s">
        <v>5</v>
      </c>
      <c r="B10" s="3">
        <v>0</v>
      </c>
      <c r="C10" s="3">
        <v>1</v>
      </c>
      <c r="D10" s="3">
        <v>0</v>
      </c>
      <c r="E10" s="3">
        <v>0</v>
      </c>
      <c r="F10" s="3">
        <v>0</v>
      </c>
      <c r="G10" s="3">
        <v>0</v>
      </c>
      <c r="H10" s="3">
        <v>0</v>
      </c>
      <c r="I10" s="3">
        <v>0</v>
      </c>
      <c r="J10" s="3">
        <v>0</v>
      </c>
      <c r="K10" s="3">
        <v>0</v>
      </c>
      <c r="L10" s="3">
        <v>0</v>
      </c>
      <c r="M10" s="3">
        <v>0</v>
      </c>
      <c r="N10" s="3">
        <v>0</v>
      </c>
    </row>
    <row r="11" spans="1:14" x14ac:dyDescent="0.35">
      <c r="A11" s="2" t="s">
        <v>8</v>
      </c>
      <c r="B11" s="3">
        <v>0</v>
      </c>
      <c r="C11" s="3">
        <v>0</v>
      </c>
      <c r="D11" s="3">
        <v>0</v>
      </c>
      <c r="E11" s="3">
        <v>0</v>
      </c>
      <c r="F11" s="3">
        <v>0</v>
      </c>
      <c r="G11" s="3">
        <v>0</v>
      </c>
      <c r="H11" s="3">
        <v>0</v>
      </c>
      <c r="I11" s="3">
        <v>0</v>
      </c>
      <c r="J11" s="3">
        <v>0</v>
      </c>
      <c r="K11" s="3">
        <v>0</v>
      </c>
      <c r="L11" s="3">
        <v>0</v>
      </c>
      <c r="M11" s="3">
        <v>1</v>
      </c>
      <c r="N11" s="3">
        <v>4</v>
      </c>
    </row>
    <row r="12" spans="1:14" x14ac:dyDescent="0.35">
      <c r="A12" s="2" t="s">
        <v>6</v>
      </c>
      <c r="B12" s="3">
        <v>7</v>
      </c>
      <c r="C12" s="3">
        <v>3</v>
      </c>
      <c r="D12" s="3">
        <v>3</v>
      </c>
      <c r="E12" s="3">
        <v>2</v>
      </c>
      <c r="F12" s="3">
        <v>3</v>
      </c>
      <c r="G12" s="3">
        <v>1</v>
      </c>
      <c r="H12" s="3">
        <v>2</v>
      </c>
      <c r="I12" s="3">
        <v>1</v>
      </c>
      <c r="J12" s="3">
        <v>0</v>
      </c>
      <c r="K12" s="3">
        <v>2</v>
      </c>
      <c r="L12" s="3">
        <v>1</v>
      </c>
      <c r="M12" s="3">
        <v>4</v>
      </c>
      <c r="N12" s="3">
        <v>4</v>
      </c>
    </row>
    <row r="13" spans="1:14" x14ac:dyDescent="0.35">
      <c r="A13" s="2" t="s">
        <v>3</v>
      </c>
      <c r="B13" s="3">
        <v>9</v>
      </c>
      <c r="C13" s="3">
        <v>7</v>
      </c>
      <c r="D13" s="3">
        <v>9</v>
      </c>
      <c r="E13" s="3">
        <v>3</v>
      </c>
      <c r="F13" s="3">
        <v>5</v>
      </c>
      <c r="G13" s="3">
        <v>6</v>
      </c>
      <c r="H13" s="3">
        <v>3</v>
      </c>
      <c r="I13" s="3">
        <v>2</v>
      </c>
      <c r="J13" s="3">
        <v>2</v>
      </c>
      <c r="K13" s="3">
        <v>1</v>
      </c>
      <c r="L13" s="3">
        <v>0</v>
      </c>
      <c r="M13" s="3">
        <v>5</v>
      </c>
      <c r="N13" s="3">
        <v>2</v>
      </c>
    </row>
    <row r="14" spans="1:14" x14ac:dyDescent="0.35">
      <c r="A14" s="2" t="s">
        <v>7</v>
      </c>
      <c r="B14" s="3">
        <v>0</v>
      </c>
      <c r="C14" s="3">
        <v>0</v>
      </c>
      <c r="D14" s="3">
        <v>0</v>
      </c>
      <c r="E14" s="3">
        <v>0</v>
      </c>
      <c r="F14" s="3">
        <v>0</v>
      </c>
      <c r="G14" s="3">
        <v>0</v>
      </c>
      <c r="H14" s="3">
        <v>1</v>
      </c>
      <c r="I14" s="3">
        <v>0</v>
      </c>
      <c r="J14" s="3">
        <v>0</v>
      </c>
      <c r="K14" s="3">
        <v>0</v>
      </c>
      <c r="L14" s="3">
        <v>0</v>
      </c>
      <c r="M14" s="3">
        <v>1</v>
      </c>
      <c r="N14" s="3">
        <v>1</v>
      </c>
    </row>
    <row r="15" spans="1:14" x14ac:dyDescent="0.35">
      <c r="A15" s="2" t="s">
        <v>1</v>
      </c>
      <c r="B15" s="3">
        <v>8</v>
      </c>
      <c r="C15" s="3">
        <v>7</v>
      </c>
      <c r="D15" s="3">
        <v>9</v>
      </c>
      <c r="E15" s="3">
        <v>8</v>
      </c>
      <c r="F15" s="3">
        <v>8</v>
      </c>
      <c r="G15" s="3">
        <v>4</v>
      </c>
      <c r="H15" s="3">
        <v>4</v>
      </c>
      <c r="I15" s="3">
        <v>4</v>
      </c>
      <c r="J15" s="3">
        <v>3</v>
      </c>
      <c r="K15" s="3">
        <v>1</v>
      </c>
      <c r="L15" s="3">
        <v>1</v>
      </c>
      <c r="M15" s="3">
        <v>5</v>
      </c>
      <c r="N15" s="3">
        <v>5</v>
      </c>
    </row>
    <row r="16" spans="1:14" x14ac:dyDescent="0.35">
      <c r="A16" s="2" t="s">
        <v>2</v>
      </c>
      <c r="B16" s="3">
        <v>0</v>
      </c>
      <c r="C16" s="3">
        <v>0</v>
      </c>
      <c r="D16" s="3">
        <v>0</v>
      </c>
      <c r="E16" s="3">
        <v>1</v>
      </c>
      <c r="F16" s="3">
        <v>0</v>
      </c>
      <c r="G16" s="3">
        <v>1</v>
      </c>
      <c r="H16" s="3">
        <v>0</v>
      </c>
      <c r="I16" s="3">
        <v>1</v>
      </c>
      <c r="J16" s="3">
        <v>0</v>
      </c>
      <c r="K16" s="3">
        <v>0</v>
      </c>
      <c r="L16" s="3">
        <v>0</v>
      </c>
      <c r="M16" s="3">
        <v>0</v>
      </c>
      <c r="N16" s="3">
        <v>0</v>
      </c>
    </row>
    <row r="17" spans="1:14" x14ac:dyDescent="0.35">
      <c r="A17" s="2" t="s">
        <v>4</v>
      </c>
      <c r="B17" s="3">
        <v>1</v>
      </c>
      <c r="C17" s="3">
        <v>2</v>
      </c>
      <c r="D17" s="3">
        <v>0</v>
      </c>
      <c r="E17" s="3">
        <v>1</v>
      </c>
      <c r="F17" s="3">
        <v>0</v>
      </c>
      <c r="G17" s="3">
        <v>0</v>
      </c>
      <c r="H17" s="3">
        <v>0</v>
      </c>
      <c r="I17" s="3">
        <v>0</v>
      </c>
      <c r="J17" s="3">
        <v>0</v>
      </c>
      <c r="K17" s="3">
        <v>0</v>
      </c>
      <c r="L17" s="3">
        <v>0</v>
      </c>
      <c r="M17" s="3">
        <v>3</v>
      </c>
      <c r="N17" s="3">
        <v>7</v>
      </c>
    </row>
    <row r="18" spans="1:14" x14ac:dyDescent="0.35">
      <c r="A18" s="2" t="s">
        <v>10</v>
      </c>
      <c r="B18" s="3">
        <v>25</v>
      </c>
      <c r="C18" s="3">
        <v>20</v>
      </c>
      <c r="D18" s="3">
        <v>21</v>
      </c>
      <c r="E18" s="3">
        <v>15</v>
      </c>
      <c r="F18" s="3">
        <v>16</v>
      </c>
      <c r="G18" s="3">
        <v>12</v>
      </c>
      <c r="H18" s="3">
        <v>10</v>
      </c>
      <c r="I18" s="3">
        <v>8</v>
      </c>
      <c r="J18" s="3">
        <v>5</v>
      </c>
      <c r="K18" s="3">
        <v>4</v>
      </c>
      <c r="L18" s="3">
        <v>2</v>
      </c>
      <c r="M18" s="3">
        <v>19</v>
      </c>
      <c r="N18" s="3">
        <v>23</v>
      </c>
    </row>
  </sheetData>
  <mergeCells count="1">
    <mergeCell ref="A4:F4"/>
  </mergeCells>
  <pageMargins left="0.25" right="0.25" top="0.75" bottom="0.75" header="0.3" footer="0.3"/>
  <pageSetup scale="56" fitToHeight="0" orientation="landscape" horizontalDpi="300" verticalDpi="3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1CC4-4CDD-4A04-BF7F-0E1FC0098A9F}">
  <sheetPr>
    <pageSetUpPr fitToPage="1"/>
  </sheetPr>
  <dimension ref="A1:M18"/>
  <sheetViews>
    <sheetView workbookViewId="0">
      <selection activeCell="B5" sqref="B5"/>
    </sheetView>
  </sheetViews>
  <sheetFormatPr defaultRowHeight="14.5" x14ac:dyDescent="0.35"/>
  <cols>
    <col min="1" max="1" width="50.453125" bestFit="1" customWidth="1"/>
    <col min="2" max="4" width="12.453125" bestFit="1" customWidth="1"/>
    <col min="5" max="5" width="13.1796875" bestFit="1" customWidth="1"/>
    <col min="6" max="6" width="14.7265625" bestFit="1" customWidth="1"/>
    <col min="7" max="8" width="12.453125" bestFit="1" customWidth="1"/>
    <col min="9" max="9" width="14.1796875" bestFit="1" customWidth="1"/>
    <col min="10" max="10" width="12.54296875" bestFit="1" customWidth="1"/>
    <col min="11" max="11" width="13.453125" bestFit="1" customWidth="1"/>
    <col min="12" max="12" width="12.81640625" bestFit="1" customWidth="1"/>
    <col min="13" max="13" width="12.453125" bestFit="1" customWidth="1"/>
  </cols>
  <sheetData>
    <row r="1" spans="1:13" ht="20" x14ac:dyDescent="0.35">
      <c r="A1" s="6" t="s">
        <v>13</v>
      </c>
    </row>
    <row r="2" spans="1:13" ht="20" x14ac:dyDescent="0.35">
      <c r="A2" s="6" t="s">
        <v>127</v>
      </c>
    </row>
    <row r="4" spans="1:13" ht="57" customHeight="1" x14ac:dyDescent="0.35">
      <c r="A4" s="18" t="s">
        <v>176</v>
      </c>
      <c r="B4" s="19"/>
      <c r="C4" s="19"/>
      <c r="D4" s="19"/>
      <c r="E4" s="19"/>
      <c r="F4" s="20"/>
    </row>
    <row r="9" spans="1:13" ht="58" x14ac:dyDescent="0.35">
      <c r="A9" s="1" t="s">
        <v>0</v>
      </c>
      <c r="B9" s="13" t="s">
        <v>77</v>
      </c>
      <c r="C9" s="13" t="s">
        <v>78</v>
      </c>
      <c r="D9" s="13" t="s">
        <v>79</v>
      </c>
      <c r="E9" s="13" t="s">
        <v>80</v>
      </c>
      <c r="F9" s="13" t="s">
        <v>81</v>
      </c>
      <c r="G9" s="13" t="s">
        <v>82</v>
      </c>
      <c r="H9" s="13" t="s">
        <v>83</v>
      </c>
      <c r="I9" s="13" t="s">
        <v>84</v>
      </c>
      <c r="J9" s="13" t="s">
        <v>85</v>
      </c>
      <c r="K9" s="13" t="s">
        <v>86</v>
      </c>
      <c r="L9" s="13" t="s">
        <v>87</v>
      </c>
      <c r="M9" s="13" t="s">
        <v>88</v>
      </c>
    </row>
    <row r="10" spans="1:13" x14ac:dyDescent="0.35">
      <c r="A10" s="2" t="s">
        <v>5</v>
      </c>
      <c r="B10" s="3">
        <v>1</v>
      </c>
      <c r="C10" s="3">
        <v>0</v>
      </c>
      <c r="D10" s="3">
        <v>0</v>
      </c>
      <c r="E10" s="3">
        <v>0</v>
      </c>
      <c r="F10" s="3">
        <v>0</v>
      </c>
      <c r="G10" s="3">
        <v>0</v>
      </c>
      <c r="H10" s="3">
        <v>0</v>
      </c>
      <c r="I10" s="3">
        <v>0</v>
      </c>
      <c r="J10" s="3">
        <v>0</v>
      </c>
      <c r="K10" s="3">
        <v>0</v>
      </c>
      <c r="L10" s="3">
        <v>0</v>
      </c>
      <c r="M10" s="3">
        <v>0</v>
      </c>
    </row>
    <row r="11" spans="1:13" x14ac:dyDescent="0.35">
      <c r="A11" s="2" t="s">
        <v>8</v>
      </c>
      <c r="B11" s="3">
        <v>3</v>
      </c>
      <c r="C11" s="3">
        <v>0</v>
      </c>
      <c r="D11" s="3">
        <v>0</v>
      </c>
      <c r="E11" s="3">
        <v>1</v>
      </c>
      <c r="F11" s="3">
        <v>0</v>
      </c>
      <c r="G11" s="3">
        <v>0</v>
      </c>
      <c r="H11" s="3">
        <v>1</v>
      </c>
      <c r="I11" s="3">
        <v>0</v>
      </c>
      <c r="J11" s="3">
        <v>0</v>
      </c>
      <c r="K11" s="3">
        <v>0</v>
      </c>
      <c r="L11" s="3">
        <v>0</v>
      </c>
      <c r="M11" s="3">
        <v>1</v>
      </c>
    </row>
    <row r="12" spans="1:13" x14ac:dyDescent="0.35">
      <c r="A12" s="2" t="s">
        <v>6</v>
      </c>
      <c r="B12" s="3">
        <v>1</v>
      </c>
      <c r="C12" s="3">
        <v>2</v>
      </c>
      <c r="D12" s="3">
        <v>1</v>
      </c>
      <c r="E12" s="3">
        <v>1</v>
      </c>
      <c r="F12" s="3">
        <v>0</v>
      </c>
      <c r="G12" s="3">
        <v>0</v>
      </c>
      <c r="H12" s="3">
        <v>0</v>
      </c>
      <c r="I12" s="3">
        <v>1</v>
      </c>
      <c r="J12" s="3">
        <v>1</v>
      </c>
      <c r="K12" s="3">
        <v>0</v>
      </c>
      <c r="L12" s="3">
        <v>1</v>
      </c>
      <c r="M12" s="3">
        <v>8</v>
      </c>
    </row>
    <row r="13" spans="1:13" x14ac:dyDescent="0.35">
      <c r="A13" s="2" t="s">
        <v>3</v>
      </c>
      <c r="B13" s="3">
        <v>1</v>
      </c>
      <c r="C13" s="3">
        <v>6</v>
      </c>
      <c r="D13" s="3">
        <v>3</v>
      </c>
      <c r="E13" s="3">
        <v>3</v>
      </c>
      <c r="F13" s="3">
        <v>0</v>
      </c>
      <c r="G13" s="3">
        <v>1</v>
      </c>
      <c r="H13" s="3">
        <v>1</v>
      </c>
      <c r="I13" s="3">
        <v>0</v>
      </c>
      <c r="J13" s="3">
        <v>0</v>
      </c>
      <c r="K13" s="3">
        <v>2</v>
      </c>
      <c r="L13" s="3">
        <v>10</v>
      </c>
      <c r="M13" s="3">
        <v>7</v>
      </c>
    </row>
    <row r="14" spans="1:13" x14ac:dyDescent="0.35">
      <c r="A14" s="2" t="s">
        <v>7</v>
      </c>
      <c r="B14" s="3">
        <v>0</v>
      </c>
      <c r="C14" s="3">
        <v>0</v>
      </c>
      <c r="D14" s="3">
        <v>0</v>
      </c>
      <c r="E14" s="3">
        <v>0</v>
      </c>
      <c r="F14" s="3">
        <v>0</v>
      </c>
      <c r="G14" s="3">
        <v>0</v>
      </c>
      <c r="H14" s="3">
        <v>0</v>
      </c>
      <c r="I14" s="3">
        <v>0</v>
      </c>
      <c r="J14" s="3">
        <v>0</v>
      </c>
      <c r="K14" s="3">
        <v>0</v>
      </c>
      <c r="L14" s="3">
        <v>0</v>
      </c>
      <c r="M14" s="3">
        <v>2</v>
      </c>
    </row>
    <row r="15" spans="1:13" x14ac:dyDescent="0.35">
      <c r="A15" s="2" t="s">
        <v>1</v>
      </c>
      <c r="B15" s="3">
        <v>4</v>
      </c>
      <c r="C15" s="3">
        <v>1</v>
      </c>
      <c r="D15" s="3">
        <v>3</v>
      </c>
      <c r="E15" s="3">
        <v>0</v>
      </c>
      <c r="F15" s="3">
        <v>5</v>
      </c>
      <c r="G15" s="3">
        <v>2</v>
      </c>
      <c r="H15" s="3">
        <v>0</v>
      </c>
      <c r="I15" s="3">
        <v>3</v>
      </c>
      <c r="J15" s="3">
        <v>1</v>
      </c>
      <c r="K15" s="3">
        <v>1</v>
      </c>
      <c r="L15" s="3">
        <v>13</v>
      </c>
      <c r="M15" s="3">
        <v>11</v>
      </c>
    </row>
    <row r="16" spans="1:13" x14ac:dyDescent="0.35">
      <c r="A16" s="2" t="s">
        <v>2</v>
      </c>
      <c r="B16" s="3">
        <v>0</v>
      </c>
      <c r="C16" s="3">
        <v>0</v>
      </c>
      <c r="D16" s="3">
        <v>0</v>
      </c>
      <c r="E16" s="3">
        <v>0</v>
      </c>
      <c r="F16" s="3">
        <v>0</v>
      </c>
      <c r="G16" s="3">
        <v>0</v>
      </c>
      <c r="H16" s="3">
        <v>1</v>
      </c>
      <c r="I16" s="3">
        <v>0</v>
      </c>
      <c r="J16" s="3">
        <v>0</v>
      </c>
      <c r="K16" s="3">
        <v>0</v>
      </c>
      <c r="L16" s="3">
        <v>0</v>
      </c>
      <c r="M16" s="3">
        <v>0</v>
      </c>
    </row>
    <row r="17" spans="1:13" x14ac:dyDescent="0.35">
      <c r="A17" s="2" t="s">
        <v>4</v>
      </c>
      <c r="B17" s="3">
        <v>0</v>
      </c>
      <c r="C17" s="3">
        <v>0</v>
      </c>
      <c r="D17" s="3">
        <v>1</v>
      </c>
      <c r="E17" s="3">
        <v>0</v>
      </c>
      <c r="F17" s="3">
        <v>0</v>
      </c>
      <c r="G17" s="3">
        <v>0</v>
      </c>
      <c r="H17" s="3">
        <v>0</v>
      </c>
      <c r="I17" s="3">
        <v>0</v>
      </c>
      <c r="J17" s="3">
        <v>0</v>
      </c>
      <c r="K17" s="3">
        <v>0</v>
      </c>
      <c r="L17" s="3">
        <v>0</v>
      </c>
      <c r="M17" s="3">
        <v>11</v>
      </c>
    </row>
    <row r="18" spans="1:13" x14ac:dyDescent="0.35">
      <c r="A18" s="2" t="s">
        <v>10</v>
      </c>
      <c r="B18" s="3">
        <v>10</v>
      </c>
      <c r="C18" s="3">
        <v>9</v>
      </c>
      <c r="D18" s="3">
        <v>8</v>
      </c>
      <c r="E18" s="3">
        <v>5</v>
      </c>
      <c r="F18" s="3">
        <v>5</v>
      </c>
      <c r="G18" s="3">
        <v>3</v>
      </c>
      <c r="H18" s="3">
        <v>3</v>
      </c>
      <c r="I18" s="3">
        <v>4</v>
      </c>
      <c r="J18" s="3">
        <v>2</v>
      </c>
      <c r="K18" s="3">
        <v>3</v>
      </c>
      <c r="L18" s="3">
        <v>24</v>
      </c>
      <c r="M18" s="3">
        <v>40</v>
      </c>
    </row>
  </sheetData>
  <mergeCells count="1">
    <mergeCell ref="A4:F4"/>
  </mergeCells>
  <pageMargins left="0.25" right="0.25" top="0.75" bottom="0.75" header="0.3" footer="0.3"/>
  <pageSetup scale="63" fitToHeight="0"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Agenda item 6-C.1</vt:lpstr>
      <vt:lpstr>Agenda item 6-C.2</vt:lpstr>
      <vt:lpstr>Agenda item 6-C.3</vt:lpstr>
      <vt:lpstr>Agenda item 6-C.4</vt:lpstr>
      <vt:lpstr>Agenda item 6-C.5</vt:lpstr>
      <vt:lpstr>Agenda item 6-C.6</vt:lpstr>
      <vt:lpstr>Agenda item 6-C.7</vt:lpstr>
      <vt:lpstr>Agenda item 6-C.8</vt:lpstr>
      <vt:lpstr>Agenda item 6-C.9</vt:lpstr>
      <vt:lpstr>Agenda item 6-C.10</vt:lpstr>
      <vt:lpstr>Agenda item 6-C.11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Kalina Shukarova Savovska</cp:lastModifiedBy>
  <cp:lastPrinted>2019-11-21T14:47:49Z</cp:lastPrinted>
  <dcterms:created xsi:type="dcterms:W3CDTF">2019-10-17T14:33:52Z</dcterms:created>
  <dcterms:modified xsi:type="dcterms:W3CDTF">2019-11-21T14:50:04Z</dcterms:modified>
</cp:coreProperties>
</file>