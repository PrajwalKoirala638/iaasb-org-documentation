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hidePivotFieldList="1"/>
  <mc:AlternateContent xmlns:mc="http://schemas.openxmlformats.org/markup-compatibility/2006">
    <mc:Choice Requires="x15">
      <x15ac:absPath xmlns:x15ac="http://schemas.microsoft.com/office/spreadsheetml/2010/11/ac" url="\\Ifac-vmfs01\profiles\akotze\Desktop\Auditor Reporting Section\EER\Update\"/>
    </mc:Choice>
  </mc:AlternateContent>
  <xr:revisionPtr revIDLastSave="0" documentId="13_ncr:1_{B5F01CD7-876A-42BF-BF6C-888580F7F261}" xr6:coauthVersionLast="45" xr6:coauthVersionMax="45" xr10:uidLastSave="{00000000-0000-0000-0000-000000000000}"/>
  <bookViews>
    <workbookView xWindow="20370" yWindow="-120" windowWidth="29040" windowHeight="15840" tabRatio="687" activeTab="8" xr2:uid="{00000000-000D-0000-FFFF-FFFF00000000}"/>
  </bookViews>
  <sheets>
    <sheet name="5-C.1" sheetId="2" r:id="rId1"/>
    <sheet name="5-C.2" sheetId="3" r:id="rId2"/>
    <sheet name="5-C.3" sheetId="4" r:id="rId3"/>
    <sheet name="5-C.4" sheetId="5" r:id="rId4"/>
    <sheet name="5-C.5" sheetId="6" r:id="rId5"/>
    <sheet name="5-C.6" sheetId="7" r:id="rId6"/>
    <sheet name="5-C.7" sheetId="8" r:id="rId7"/>
    <sheet name="5-C.8" sheetId="9" r:id="rId8"/>
    <sheet name="5-C.9" sheetId="10" r:id="rId9"/>
    <sheet name="5-C.10" sheetId="11" r:id="rId10"/>
    <sheet name="5-C.11" sheetId="12" r:id="rId11"/>
    <sheet name="5-C.12" sheetId="13" r:id="rId12"/>
    <sheet name="5-C.13" sheetId="14" r:id="rId13"/>
    <sheet name="5-C.14" sheetId="15" r:id="rId14"/>
    <sheet name="5-C.15" sheetId="17" r:id="rId15"/>
    <sheet name="5-C.16" sheetId="16" r:id="rId16"/>
    <sheet name="Respondent Data" sheetId="1" state="hidden" r:id="rId17"/>
  </sheets>
  <definedNames>
    <definedName name="_xlnm._FilterDatabase" localSheetId="16" hidden="1">'Respondent Data'!$A$1:$GF$44</definedName>
    <definedName name="_xlnm.Print_Area" localSheetId="0">'5-C.1'!$A$1:$G$15</definedName>
    <definedName name="_xlnm.Print_Area" localSheetId="9">'5-C.10'!$A$1:$R$17</definedName>
    <definedName name="_xlnm.Print_Area" localSheetId="10">'5-C.11'!$A$1:$Q$17</definedName>
    <definedName name="_xlnm.Print_Area" localSheetId="11">'5-C.12'!$A$1:$Q$17</definedName>
    <definedName name="_xlnm.Print_Area" localSheetId="12">'5-C.13'!$A$1:$Q$17</definedName>
    <definedName name="_xlnm.Print_Area" localSheetId="13">'5-C.14'!$A$1:$O$16</definedName>
    <definedName name="_xlnm.Print_Area" localSheetId="14">'5-C.15'!$A$1:$U$16</definedName>
    <definedName name="_xlnm.Print_Area" localSheetId="15">'5-C.16'!$A$1:$S$14</definedName>
    <definedName name="_xlnm.Print_Area" localSheetId="1">'5-C.2'!$A$1:$S$17</definedName>
    <definedName name="_xlnm.Print_Area" localSheetId="2">'5-C.3'!$A$1:$R$17</definedName>
    <definedName name="_xlnm.Print_Area" localSheetId="3">'5-C.4'!$A$1:$R$17</definedName>
    <definedName name="_xlnm.Print_Area" localSheetId="4">'5-C.5'!$A$1:$R$17</definedName>
    <definedName name="_xlnm.Print_Area" localSheetId="5">'5-C.6'!$A$1:$R$17</definedName>
    <definedName name="_xlnm.Print_Area" localSheetId="6">'5-C.7'!$A$1:$S$17</definedName>
    <definedName name="_xlnm.Print_Area" localSheetId="7">'5-C.8'!$A$1:$Q$17</definedName>
    <definedName name="_xlnm.Print_Area" localSheetId="8">'5-C.9'!$A$1:$Q$17</definedName>
  </definedNames>
  <calcPr calcId="191029"/>
  <pivotCaches>
    <pivotCache cacheId="0"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4" i="15" l="1"/>
  <c r="N13" i="15"/>
  <c r="N12" i="15"/>
  <c r="N11" i="15"/>
  <c r="N10" i="15"/>
  <c r="N9" i="15"/>
  <c r="F13" i="2" l="1"/>
  <c r="F12" i="2"/>
  <c r="F11" i="2"/>
  <c r="F10" i="2"/>
  <c r="F9" i="2"/>
  <c r="F8" i="2"/>
  <c r="T14" i="17"/>
  <c r="T13" i="17"/>
  <c r="T12" i="17"/>
  <c r="T11" i="17"/>
  <c r="T10" i="17"/>
  <c r="T9" i="17"/>
  <c r="H14" i="17"/>
  <c r="H13" i="17"/>
  <c r="H12" i="17"/>
  <c r="H11" i="17"/>
  <c r="H10" i="17"/>
  <c r="H9" i="17"/>
  <c r="N9" i="17"/>
  <c r="N10" i="17"/>
  <c r="N11" i="17"/>
  <c r="N12" i="17"/>
  <c r="N13" i="17"/>
  <c r="N14" i="17"/>
  <c r="G14" i="15"/>
  <c r="G13" i="15"/>
  <c r="G12" i="15"/>
  <c r="G11" i="15"/>
  <c r="G10" i="15"/>
  <c r="G9" i="15"/>
  <c r="P15" i="14"/>
  <c r="H15" i="14"/>
  <c r="P14" i="14"/>
  <c r="H14" i="14"/>
  <c r="P13" i="14"/>
  <c r="H13" i="14"/>
  <c r="P12" i="14"/>
  <c r="H12" i="14"/>
  <c r="P11" i="14"/>
  <c r="H11" i="14"/>
  <c r="P10" i="14"/>
  <c r="H10" i="14"/>
  <c r="H14" i="12"/>
  <c r="P15" i="12"/>
  <c r="H15" i="12"/>
  <c r="P14" i="12"/>
  <c r="P13" i="12"/>
  <c r="H13" i="12"/>
  <c r="P12" i="12"/>
  <c r="H12" i="12"/>
  <c r="P11" i="12"/>
  <c r="H11" i="12"/>
  <c r="P10" i="12"/>
  <c r="H10" i="12"/>
  <c r="P15" i="13"/>
  <c r="H15" i="13"/>
  <c r="P14" i="13"/>
  <c r="H14" i="13"/>
  <c r="P13" i="13"/>
  <c r="H13" i="13"/>
  <c r="P12" i="13"/>
  <c r="H12" i="13"/>
  <c r="P11" i="13"/>
  <c r="H11" i="13"/>
  <c r="P10" i="13"/>
  <c r="H10" i="13"/>
  <c r="Q15" i="11"/>
  <c r="I15" i="11"/>
  <c r="Q14" i="11"/>
  <c r="I14" i="11"/>
  <c r="Q13" i="11"/>
  <c r="I13" i="11"/>
  <c r="Q12" i="11"/>
  <c r="I12" i="11"/>
  <c r="Q11" i="11"/>
  <c r="I11" i="11"/>
  <c r="Q10" i="11"/>
  <c r="I10" i="11"/>
  <c r="P10" i="10"/>
  <c r="P16" i="10" s="1"/>
  <c r="P15" i="10"/>
  <c r="H15" i="10"/>
  <c r="P14" i="10"/>
  <c r="H14" i="10"/>
  <c r="P13" i="10"/>
  <c r="H13" i="10"/>
  <c r="P12" i="10"/>
  <c r="H12" i="10"/>
  <c r="P11" i="10"/>
  <c r="H11" i="10"/>
  <c r="H10" i="10"/>
  <c r="P15" i="9"/>
  <c r="H15" i="9"/>
  <c r="P14" i="9"/>
  <c r="H14" i="9"/>
  <c r="P13" i="9"/>
  <c r="H13" i="9"/>
  <c r="P12" i="9"/>
  <c r="H12" i="9"/>
  <c r="P11" i="9"/>
  <c r="H11" i="9"/>
  <c r="P10" i="9"/>
  <c r="H10" i="9"/>
  <c r="R15" i="8"/>
  <c r="J15" i="8"/>
  <c r="R14" i="8"/>
  <c r="J14" i="8"/>
  <c r="R13" i="8"/>
  <c r="J13" i="8"/>
  <c r="R12" i="8"/>
  <c r="J12" i="8"/>
  <c r="R11" i="8"/>
  <c r="J11" i="8"/>
  <c r="R10" i="8"/>
  <c r="J10" i="8"/>
  <c r="I13" i="7"/>
  <c r="I12" i="7"/>
  <c r="I11" i="7"/>
  <c r="I10" i="7"/>
  <c r="Q15" i="7"/>
  <c r="I15" i="7"/>
  <c r="Q14" i="7"/>
  <c r="I14" i="7"/>
  <c r="Q13" i="7"/>
  <c r="Q12" i="7"/>
  <c r="Q11" i="7"/>
  <c r="Q10" i="7"/>
  <c r="Q15" i="6"/>
  <c r="I15" i="6"/>
  <c r="Q14" i="6"/>
  <c r="I14" i="6"/>
  <c r="Q13" i="6"/>
  <c r="I13" i="6"/>
  <c r="Q12" i="6"/>
  <c r="I12" i="6"/>
  <c r="Q11" i="6"/>
  <c r="I11" i="6"/>
  <c r="Q10" i="6"/>
  <c r="I10" i="6"/>
  <c r="Q15" i="5"/>
  <c r="I15" i="5"/>
  <c r="Q14" i="5"/>
  <c r="I14" i="5"/>
  <c r="Q13" i="5"/>
  <c r="I13" i="5"/>
  <c r="Q12" i="5"/>
  <c r="I12" i="5"/>
  <c r="Q11" i="5"/>
  <c r="I11" i="5"/>
  <c r="Q10" i="5"/>
  <c r="I10" i="5"/>
  <c r="Q10" i="4"/>
  <c r="Q15" i="4"/>
  <c r="I15" i="4"/>
  <c r="Q14" i="4"/>
  <c r="I14" i="4"/>
  <c r="Q13" i="4"/>
  <c r="I13" i="4"/>
  <c r="Q12" i="4"/>
  <c r="I12" i="4"/>
  <c r="Q11" i="4"/>
  <c r="I11" i="4"/>
  <c r="I10" i="4"/>
  <c r="R10" i="3"/>
  <c r="R15" i="3"/>
  <c r="R14" i="3"/>
  <c r="R13" i="3"/>
  <c r="R12" i="3"/>
  <c r="R11" i="3"/>
  <c r="J15" i="3"/>
  <c r="J14" i="3"/>
  <c r="J13" i="3"/>
  <c r="J12" i="3"/>
  <c r="J11" i="3"/>
  <c r="J10" i="3"/>
  <c r="J16" i="3" l="1"/>
  <c r="E7" i="3" s="1"/>
  <c r="O7" i="3"/>
  <c r="P7" i="3"/>
  <c r="N7" i="3"/>
  <c r="M7" i="3"/>
  <c r="F14" i="2"/>
  <c r="T15" i="17"/>
  <c r="N15" i="17"/>
  <c r="H15" i="17"/>
  <c r="N15" i="15"/>
  <c r="G15" i="15"/>
  <c r="K6" i="15" s="1"/>
  <c r="P16" i="14"/>
  <c r="H16" i="14"/>
  <c r="M7" i="14" s="1"/>
  <c r="F7" i="14"/>
  <c r="N7" i="14"/>
  <c r="P16" i="13"/>
  <c r="P16" i="12"/>
  <c r="H16" i="12"/>
  <c r="M7" i="12" s="1"/>
  <c r="H16" i="13"/>
  <c r="L7" i="13" s="1"/>
  <c r="Q16" i="11"/>
  <c r="I16" i="11"/>
  <c r="F7" i="11" s="1"/>
  <c r="H16" i="10"/>
  <c r="M7" i="10" s="1"/>
  <c r="P16" i="9"/>
  <c r="H16" i="9"/>
  <c r="M7" i="9" s="1"/>
  <c r="R16" i="8"/>
  <c r="J16" i="8"/>
  <c r="O7" i="8" s="1"/>
  <c r="Q16" i="7"/>
  <c r="I16" i="7"/>
  <c r="Q16" i="6"/>
  <c r="I16" i="6"/>
  <c r="N7" i="6" s="1"/>
  <c r="Q16" i="5"/>
  <c r="I16" i="5"/>
  <c r="D7" i="5" s="1"/>
  <c r="Q16" i="4"/>
  <c r="I16" i="4"/>
  <c r="F7" i="3"/>
  <c r="D7" i="3"/>
  <c r="C7" i="3"/>
  <c r="R16" i="3"/>
  <c r="C6" i="17" l="1"/>
  <c r="G6" i="17"/>
  <c r="R7" i="3"/>
  <c r="D7" i="14"/>
  <c r="J7" i="3"/>
  <c r="C7" i="14"/>
  <c r="N7" i="4"/>
  <c r="C7" i="4"/>
  <c r="B5" i="2"/>
  <c r="D5" i="2"/>
  <c r="E5" i="2"/>
  <c r="C5" i="2"/>
  <c r="Q6" i="17"/>
  <c r="S6" i="17"/>
  <c r="R6" i="17"/>
  <c r="K6" i="17"/>
  <c r="L6" i="17"/>
  <c r="M6" i="17"/>
  <c r="D6" i="17"/>
  <c r="F6" i="17"/>
  <c r="E6" i="17"/>
  <c r="C6" i="15"/>
  <c r="F6" i="15"/>
  <c r="L6" i="15"/>
  <c r="M6" i="15"/>
  <c r="D6" i="15"/>
  <c r="J6" i="15"/>
  <c r="E6" i="15"/>
  <c r="K7" i="14"/>
  <c r="E7" i="14"/>
  <c r="L7" i="14"/>
  <c r="P7" i="14" s="1"/>
  <c r="H7" i="14"/>
  <c r="E7" i="13"/>
  <c r="F7" i="13"/>
  <c r="M7" i="13"/>
  <c r="C7" i="13"/>
  <c r="H7" i="13" s="1"/>
  <c r="N7" i="13"/>
  <c r="D7" i="13"/>
  <c r="K7" i="13"/>
  <c r="E7" i="12"/>
  <c r="D7" i="12"/>
  <c r="K7" i="12"/>
  <c r="N7" i="12"/>
  <c r="L7" i="12"/>
  <c r="F7" i="12"/>
  <c r="C7" i="12"/>
  <c r="L7" i="11"/>
  <c r="N7" i="11"/>
  <c r="O7" i="11"/>
  <c r="M7" i="11"/>
  <c r="C7" i="11"/>
  <c r="E7" i="11"/>
  <c r="D7" i="11"/>
  <c r="N7" i="10"/>
  <c r="L7" i="10"/>
  <c r="C7" i="10"/>
  <c r="E7" i="10"/>
  <c r="D7" i="10"/>
  <c r="F7" i="10"/>
  <c r="K7" i="10"/>
  <c r="N7" i="9"/>
  <c r="C7" i="9"/>
  <c r="E7" i="9"/>
  <c r="L7" i="9"/>
  <c r="D7" i="9"/>
  <c r="F7" i="9"/>
  <c r="K7" i="9"/>
  <c r="D7" i="8"/>
  <c r="C7" i="8"/>
  <c r="P7" i="8"/>
  <c r="N7" i="8"/>
  <c r="M7" i="8"/>
  <c r="F7" i="8"/>
  <c r="E7" i="8"/>
  <c r="N7" i="7"/>
  <c r="O7" i="7"/>
  <c r="C7" i="7"/>
  <c r="M7" i="7"/>
  <c r="E7" i="7"/>
  <c r="D7" i="7"/>
  <c r="F7" i="7"/>
  <c r="L7" i="7"/>
  <c r="C7" i="6"/>
  <c r="D7" i="6"/>
  <c r="L7" i="6"/>
  <c r="E7" i="6"/>
  <c r="M7" i="6"/>
  <c r="F7" i="6"/>
  <c r="O7" i="6"/>
  <c r="M7" i="5"/>
  <c r="O7" i="5"/>
  <c r="N7" i="5"/>
  <c r="L7" i="5"/>
  <c r="E7" i="5"/>
  <c r="C7" i="5"/>
  <c r="F7" i="5"/>
  <c r="O7" i="4"/>
  <c r="M7" i="4"/>
  <c r="E7" i="4"/>
  <c r="D7" i="4"/>
  <c r="F7" i="4"/>
  <c r="L7" i="4"/>
  <c r="Q7" i="4" s="1"/>
  <c r="H7" i="12" l="1"/>
  <c r="H6" i="17"/>
  <c r="P7" i="10"/>
  <c r="F5" i="2"/>
  <c r="T6" i="17"/>
  <c r="N6" i="17"/>
  <c r="N6" i="15"/>
  <c r="G6" i="15"/>
  <c r="P7" i="13"/>
  <c r="P7" i="12"/>
  <c r="Q7" i="11"/>
  <c r="I7" i="11"/>
  <c r="H7" i="10"/>
  <c r="H7" i="9"/>
  <c r="P7" i="9"/>
  <c r="R7" i="8"/>
  <c r="J7" i="8"/>
  <c r="Q7" i="7"/>
  <c r="I7" i="7"/>
  <c r="Q7" i="6"/>
  <c r="I7" i="6"/>
  <c r="Q7" i="5"/>
  <c r="I7" i="5"/>
  <c r="I7" i="4"/>
</calcChain>
</file>

<file path=xl/sharedStrings.xml><?xml version="1.0" encoding="utf-8"?>
<sst xmlns="http://schemas.openxmlformats.org/spreadsheetml/2006/main" count="1016" uniqueCount="366">
  <si>
    <t>Asia Pacific</t>
  </si>
  <si>
    <t>Cases\\CAASB</t>
  </si>
  <si>
    <t>Cases\\BICA</t>
  </si>
  <si>
    <t>Cases\\SVI</t>
  </si>
  <si>
    <t>Cases\\AE</t>
  </si>
  <si>
    <t>Cases\\ICPAR</t>
  </si>
  <si>
    <t>Cases\\IIA</t>
  </si>
  <si>
    <t>Global</t>
  </si>
  <si>
    <t>Cases\\EYG</t>
  </si>
  <si>
    <t>Cases\\JICPA</t>
  </si>
  <si>
    <t>Cases\\DTT</t>
  </si>
  <si>
    <t>Cases\\RSMI</t>
  </si>
  <si>
    <t>Cases\\ISCA</t>
  </si>
  <si>
    <t>Cases\\BDO</t>
  </si>
  <si>
    <t>South America</t>
  </si>
  <si>
    <t>Unassigned</t>
  </si>
  <si>
    <t>Cases\\GRI</t>
  </si>
  <si>
    <t>Cases\\FAR</t>
  </si>
  <si>
    <t>Cases\\KPMG</t>
  </si>
  <si>
    <t>Cases\\MIA</t>
  </si>
  <si>
    <t>Cases\\PwC</t>
  </si>
  <si>
    <t>Cases\\AGSA</t>
  </si>
  <si>
    <t>Cases\\FACPE</t>
  </si>
  <si>
    <t>Cases\\AGNZ</t>
  </si>
  <si>
    <t>Cases\\IIRC</t>
  </si>
  <si>
    <t>Cases\\IAAA</t>
  </si>
  <si>
    <t>Cases\\GAO</t>
  </si>
  <si>
    <t>Middle East and Africa</t>
  </si>
  <si>
    <t>Function</t>
  </si>
  <si>
    <t>North America</t>
  </si>
  <si>
    <t>Cases\\IDW</t>
  </si>
  <si>
    <t>Cases\\ASSIREVI</t>
  </si>
  <si>
    <t>Europe</t>
  </si>
  <si>
    <t>Cases\\BRLF</t>
  </si>
  <si>
    <t>Cases\\ACCA-CAANZ</t>
  </si>
  <si>
    <t>Cases\\AICPA</t>
  </si>
  <si>
    <t>Cases\\NZAASB</t>
  </si>
  <si>
    <t>Cases\\SASB</t>
  </si>
  <si>
    <t>Cases\\CNCC-CSOEC</t>
  </si>
  <si>
    <t>Cases\\MICPA</t>
  </si>
  <si>
    <t>Cases\\DEAKIN</t>
  </si>
  <si>
    <t>Cases\\AGA</t>
  </si>
  <si>
    <t>Cases\\SAICA</t>
  </si>
  <si>
    <t>Cases\\ICPAU</t>
  </si>
  <si>
    <t>Cases\\GTI</t>
  </si>
  <si>
    <t>Cases\\CG</t>
  </si>
  <si>
    <t>Cases\\ICGN</t>
  </si>
  <si>
    <t>Region</t>
  </si>
  <si>
    <t>Cases\\AUASB</t>
  </si>
  <si>
    <t>Cases\\CPAA</t>
  </si>
  <si>
    <t>Respondents</t>
  </si>
  <si>
    <t>Cases\\ICAS</t>
  </si>
  <si>
    <t>Cases\\HKICPA</t>
  </si>
  <si>
    <t>1. Investors and Analysts</t>
  </si>
  <si>
    <t>2. National Auditing Standard Setters</t>
  </si>
  <si>
    <t>3. Accounting Firms</t>
  </si>
  <si>
    <t>4. Public Sector Organizations</t>
  </si>
  <si>
    <t>5. Member Bodies and Other Professional Organizations</t>
  </si>
  <si>
    <t>6. Academics</t>
  </si>
  <si>
    <t>0.1 Introduction supported</t>
  </si>
  <si>
    <t>0.2 Introduction not supported</t>
  </si>
  <si>
    <t>0.3 Mixed views on Introduction</t>
  </si>
  <si>
    <t>0.4 No comment on introduction</t>
  </si>
  <si>
    <t>Total</t>
  </si>
  <si>
    <t>ACCA-CAANZ</t>
  </si>
  <si>
    <t>AE</t>
  </si>
  <si>
    <t>AGA</t>
  </si>
  <si>
    <t>AGNZ</t>
  </si>
  <si>
    <t>AGSA</t>
  </si>
  <si>
    <t>AICPA</t>
  </si>
  <si>
    <t>ASSIREVI</t>
  </si>
  <si>
    <t>AUASB</t>
  </si>
  <si>
    <t>BDO</t>
  </si>
  <si>
    <t>BICA</t>
  </si>
  <si>
    <t>BRLF</t>
  </si>
  <si>
    <t>CAASB</t>
  </si>
  <si>
    <t>CG</t>
  </si>
  <si>
    <t>CNCC-CSOEC</t>
  </si>
  <si>
    <t>CPAA</t>
  </si>
  <si>
    <t>DEAKIN</t>
  </si>
  <si>
    <t>DTT</t>
  </si>
  <si>
    <t>EYG</t>
  </si>
  <si>
    <t>FACPE</t>
  </si>
  <si>
    <t>FAR</t>
  </si>
  <si>
    <t>GAO</t>
  </si>
  <si>
    <t>GRI</t>
  </si>
  <si>
    <t>GTI</t>
  </si>
  <si>
    <t>HKICPA</t>
  </si>
  <si>
    <t>IAAA</t>
  </si>
  <si>
    <t>ICAS</t>
  </si>
  <si>
    <t>ICGN</t>
  </si>
  <si>
    <t>ICPAR</t>
  </si>
  <si>
    <t>ICPAU</t>
  </si>
  <si>
    <t>IDW</t>
  </si>
  <si>
    <t>IIA</t>
  </si>
  <si>
    <t>IIRC</t>
  </si>
  <si>
    <t>ISCA</t>
  </si>
  <si>
    <t>JICPA</t>
  </si>
  <si>
    <t>KPMG</t>
  </si>
  <si>
    <t>MIA</t>
  </si>
  <si>
    <t>MICPA</t>
  </si>
  <si>
    <t>NZAASB</t>
  </si>
  <si>
    <t>PwC</t>
  </si>
  <si>
    <t>RSMI</t>
  </si>
  <si>
    <t>SAICA</t>
  </si>
  <si>
    <t>SASB</t>
  </si>
  <si>
    <t>SVI</t>
  </si>
  <si>
    <t>01.1.1 Q1 - The Guidance addresses the challenges</t>
  </si>
  <si>
    <t>01.1.2 Q1 - The Guidance does not address the challenges</t>
  </si>
  <si>
    <t>01.1.3 Q1 - Mixed views on the Guidance addressing the challenges</t>
  </si>
  <si>
    <t>01.1.4 Q1 - Other comments and recommendations</t>
  </si>
  <si>
    <t>01.1.5 Q1 - Comments on Diagram 2</t>
  </si>
  <si>
    <t>01.1.6 Q1 - Comments on Diagram 3</t>
  </si>
  <si>
    <t>01.1.7 Q1 - No comment</t>
  </si>
  <si>
    <t>01.2.1 Q2 - The Guidance is structured in a way that is easy to understand</t>
  </si>
  <si>
    <t>01.2.2 Q2 - The Guidance is not structured in a way that is easy to understand</t>
  </si>
  <si>
    <t>01.2.3 Q2 - Mixed views on the structure of the Guidance</t>
  </si>
  <si>
    <t>01.2.4 Q2 - Other comments and recommendations</t>
  </si>
  <si>
    <t>01.2.5 Q2 - No comment</t>
  </si>
  <si>
    <t>02.1.1 Q1 - The Guidance addresses the challenges</t>
  </si>
  <si>
    <t>02.1.2 Q1 - The Guidance does not address the challenges</t>
  </si>
  <si>
    <t>02.1.3 Q1 - Mixed views on the Guidance addressing the challenges</t>
  </si>
  <si>
    <t>02.1.4 Q1 - Other comments and recommendations</t>
  </si>
  <si>
    <t>02.1.5 Q1 - Comments on Diagram 4</t>
  </si>
  <si>
    <t>02.1.6 Q1 - No comment</t>
  </si>
  <si>
    <t>02.2.1 Q2 - The Guidance is structured in a way that is easy to understand</t>
  </si>
  <si>
    <t>02.2.2 Q2 - The Guidance is not structured in a way that is easy to understand</t>
  </si>
  <si>
    <t>02.2.3 Q2 - Mixed views on the structure of the Guidance</t>
  </si>
  <si>
    <t>02.2.4 Q2 - Other comments and recommendations</t>
  </si>
  <si>
    <t>02.2.5 Q2 - No comment</t>
  </si>
  <si>
    <t>03.1.1 Q1 - The Guidance addresses the challenges</t>
  </si>
  <si>
    <t>03.1.2 Q1 - The Guidance does not address the challenges</t>
  </si>
  <si>
    <t>03.1.3 Q1 - Mixed views on the Guidance addressing the challenges</t>
  </si>
  <si>
    <t>03.1.4 Q1 - Other comments</t>
  </si>
  <si>
    <t>03.1.5 Q1 - Comments on Diagram 5</t>
  </si>
  <si>
    <t>03.1.6 Q1 - No comment</t>
  </si>
  <si>
    <t>03.2.1 Q2 - The Guidance is structured in a way that is easy to understand</t>
  </si>
  <si>
    <t>03.2.2 Q2 - The Guidance is not structured in a way that is easy to understand</t>
  </si>
  <si>
    <t>03.2.3 Q2 - Mixed views on the structure of the Guidance</t>
  </si>
  <si>
    <t>03.2.4 Q2 - Other comments</t>
  </si>
  <si>
    <t>03.2.5 Q2 - No comment</t>
  </si>
  <si>
    <t>04.1.1 Q1 - The Guidance addresses the challenges</t>
  </si>
  <si>
    <t>04.1.2 Q1 - The Guidance does not address the challenges</t>
  </si>
  <si>
    <t>04.1.3 Q1 - Mixed views on the Guidance addressing the challenges</t>
  </si>
  <si>
    <t>04.1.4 Q1 - Other comments and recommendations</t>
  </si>
  <si>
    <t>04.1.5 Q1 - Comments on Diagram 6</t>
  </si>
  <si>
    <t>04.1.6 Q1 - No comment</t>
  </si>
  <si>
    <t>04.2.1 Q2 - The Guidance is structured in a way that is easy to understand</t>
  </si>
  <si>
    <t>04.2.2 Q2 - The Guidance is not structured in a way that is easy to understand</t>
  </si>
  <si>
    <t>04.2.3 Q2 - Mixed views on the structure of the Guidance</t>
  </si>
  <si>
    <t>04.2.4 Q2 - Other comments</t>
  </si>
  <si>
    <t>04.2.5 -Q2 - No comment</t>
  </si>
  <si>
    <t>05.1.1 Q1 - The Guidance addresses the challenges</t>
  </si>
  <si>
    <t>05.1.2 Q1 - The Guidance does not address the challenges</t>
  </si>
  <si>
    <t>05.1.3 Q1 - Mixed views on the Guidance addressing the challenges</t>
  </si>
  <si>
    <t>05.1.4 Q1 - Other comments and recommendations</t>
  </si>
  <si>
    <t>05.1.5 Q1 - Comments on Diagram 7</t>
  </si>
  <si>
    <t>05.1.6 Q1 - No comment</t>
  </si>
  <si>
    <t>05.2.1 Q2 - The Guidance is structured in a way that is easy to understand</t>
  </si>
  <si>
    <t>05.2.2 Q2 - The Guidance is not structured in a way that is easy to understand</t>
  </si>
  <si>
    <t>05.2.3 Q2 - Mixed views on the structure of the Guidance</t>
  </si>
  <si>
    <t>05.2.4 Q2 - Other comments and recommendations</t>
  </si>
  <si>
    <t>05.2.5 Q2 - No comment</t>
  </si>
  <si>
    <t>06.1.1 Q1 - The Guidance addresses the challenges</t>
  </si>
  <si>
    <t>06.1.2 Q1 - The Guidance does not address the challenges</t>
  </si>
  <si>
    <t>06.1.3 Q1 - Mixed views on the Guidance addressing the challenges</t>
  </si>
  <si>
    <t>06.1.4 Q1 - Other comments and recommendations</t>
  </si>
  <si>
    <t>06.1.5 Q1 - Comments on Diagram 8</t>
  </si>
  <si>
    <t>06.1.6 Q1 - Comments on Diagram 9</t>
  </si>
  <si>
    <t>06.1.7 Q1 - No comment</t>
  </si>
  <si>
    <t>06.2.1 Q2 - The Guidance is structured in a way that is easy to understand</t>
  </si>
  <si>
    <t>06.2.2 Q2 - The Guidance is not structured in a way that is easy to understand</t>
  </si>
  <si>
    <t>06.2.3 Q2 - Mixed views on the structure of the Guidance</t>
  </si>
  <si>
    <t>06.2.4 Q2 - Other comments and recommendations</t>
  </si>
  <si>
    <t>06.2.5 Q2 - No comment</t>
  </si>
  <si>
    <t>07.1.1 Q1 - The Guidance addresses the challenges</t>
  </si>
  <si>
    <t>07.1.2 Q1 - The Guidance does not address the challenges</t>
  </si>
  <si>
    <t>07.1.3 Q1 - Mixed views on the Guidance addressing the challenges</t>
  </si>
  <si>
    <t>07.1.4 Q1 - Other comments and recommendations</t>
  </si>
  <si>
    <t>07.1.5 Q1 - No comment</t>
  </si>
  <si>
    <t>07.2.1 Q2- The Guidance is structured in a way that is easy to understand</t>
  </si>
  <si>
    <t>07.2.2 Q2 - The Guidance is not structured in a way that is easy to understand</t>
  </si>
  <si>
    <t>07.2.3 Q2 - Mixed views on the structure of the Guidance</t>
  </si>
  <si>
    <t>07.2.4 Q2 - Other comments and recommendations</t>
  </si>
  <si>
    <t>07.2.5 Q2 - No comment</t>
  </si>
  <si>
    <t>08.1.1 Q1 - The Guidance addresses the challenges</t>
  </si>
  <si>
    <t>08.1.2 Q1 - The Guidance does not address the challenges</t>
  </si>
  <si>
    <t>08.1.3 Q1 - Mixed views on the Guidance addressing the challenges</t>
  </si>
  <si>
    <t>08.1.4 Q1 - Other comments and recommendations</t>
  </si>
  <si>
    <t>08.1.5 Q1 - No comment</t>
  </si>
  <si>
    <t>08.2.1 Q2 - The Guidance is structured in a way that is easy to understand</t>
  </si>
  <si>
    <t>08.2.2 Q2 - The Guidance is not structured in a way that is easy to understand</t>
  </si>
  <si>
    <t>08.2.3 Q2 - Mixed views on the structure of the Guidance</t>
  </si>
  <si>
    <t>08.2.4 Q2 - Other comments and recommendations</t>
  </si>
  <si>
    <t>08.2.5 Q2 - No comment</t>
  </si>
  <si>
    <t>09.1.1 Q1 - The Guidance addresses the challenges</t>
  </si>
  <si>
    <t>09.1.2 Q1 - The Guidance does not address the challenges</t>
  </si>
  <si>
    <t>09.1.3 Q1 - Mixed views on the Guidance addressing the challenges</t>
  </si>
  <si>
    <t>09.1.4 Q1 - Other comments and recommendations</t>
  </si>
  <si>
    <t>09.1.5 Q1 - Comments on Diagram 10</t>
  </si>
  <si>
    <t>09.1.6 Q1 - No comment</t>
  </si>
  <si>
    <t>09.2.1 Q2 - The Guidance is structured in a way that is easy to understand</t>
  </si>
  <si>
    <t>09.2.2 Q2- The Guidance is not structured in a way that is easy to understand</t>
  </si>
  <si>
    <t>09.2.3 Q2 - Mixed views on the structure of the Guidance</t>
  </si>
  <si>
    <t>09.2.4 Q2 - Other comments and recommendations</t>
  </si>
  <si>
    <t>09.2.5 Q2 - No comment</t>
  </si>
  <si>
    <t>10.1.1 Q1 - The Guidance addresses the challenges</t>
  </si>
  <si>
    <t>10.1.2 Q1 - The Guidance does not address the challenges</t>
  </si>
  <si>
    <t>10.1.3 Q1 - Mixed views on the Guidance addressing the challenges</t>
  </si>
  <si>
    <t>10.1.4 Q1 - Other Comments and Recommendations</t>
  </si>
  <si>
    <t>10.1.5 Q1 - No comment</t>
  </si>
  <si>
    <t>10.2.1 Q2 - The Guidance is structured in a way that is easy to understand</t>
  </si>
  <si>
    <t>10.2.2 Q2 - The Guidance is not structured in a way that is easy to understand</t>
  </si>
  <si>
    <t>10.2.3 Q2 - Mixed views on the structure of the Guidance</t>
  </si>
  <si>
    <t>10.2.4 Q2 - Other comments and recommendations</t>
  </si>
  <si>
    <t>10.2.5 Q2 - No comment</t>
  </si>
  <si>
    <t>11.1.1 Q1 - The Guidance addresses the challenges</t>
  </si>
  <si>
    <t>11.1.2 Q1 - The Guidance does not address the challenges</t>
  </si>
  <si>
    <t>11.1.3 Q1 - Mixed views on the Guidance addressing the challenges</t>
  </si>
  <si>
    <t>11.1.4 Q1 - Other comments and recommendations</t>
  </si>
  <si>
    <t>11.1.5 Q1 - No comment</t>
  </si>
  <si>
    <t>11.2.1 Q2 - The Guidance is structured in a way that is easy to understand</t>
  </si>
  <si>
    <t>11.2.2 Q2 - The Guidance is not structured in a way that is easy to understand</t>
  </si>
  <si>
    <t>11.2.3 Q2 - Mixed views on the structure of the Guidance</t>
  </si>
  <si>
    <t>11.2.4 Q2 - Other comments and recommendations</t>
  </si>
  <si>
    <t>11.2.5 Q2 - No comment</t>
  </si>
  <si>
    <t>12.1.1 Q1 - The Guidance addresses the challenges</t>
  </si>
  <si>
    <t>12.1.2 Q1 - The Guidance does not address the challenges</t>
  </si>
  <si>
    <t>12.1.3 Q1 - Mixed views on the Guidance addressing the challenges</t>
  </si>
  <si>
    <t>12.1.4 Q1 - Other comments and recommendations</t>
  </si>
  <si>
    <t>12.1.5 Q1 - No comment</t>
  </si>
  <si>
    <t>12.2.1 Q2 - The Guidance is structured in a way that is easy to understand</t>
  </si>
  <si>
    <t>12.2.2 Q2 - The Guidance is not structured in a way that is easy to understand</t>
  </si>
  <si>
    <t>12.2.3 Q2 - Mixed views on the structure of the Guidance</t>
  </si>
  <si>
    <t>12.2.4 Q2 - Other comments and recommendations</t>
  </si>
  <si>
    <t>12.2.5 Q2 - No comment</t>
  </si>
  <si>
    <t>13.1 Supportive comments</t>
  </si>
  <si>
    <t>13.2 Improvements required</t>
  </si>
  <si>
    <t>13.3 No particular view</t>
  </si>
  <si>
    <t>13.4 Not supported</t>
  </si>
  <si>
    <t>14.1 Supportive comments</t>
  </si>
  <si>
    <t>14.2 Improvements required</t>
  </si>
  <si>
    <t>14.3 No particular view</t>
  </si>
  <si>
    <t>14.3 Suggestions for new examples</t>
  </si>
  <si>
    <t>15.1.1 Prepareres of EER reports</t>
  </si>
  <si>
    <t>15.1.2 Users of EER reports</t>
  </si>
  <si>
    <t>15.1.3 Public Sector</t>
  </si>
  <si>
    <t>15.1.4 Other</t>
  </si>
  <si>
    <t>15.1.5 No particular view</t>
  </si>
  <si>
    <t>15.2.1 Foresee difficulties</t>
  </si>
  <si>
    <t>15.2.2 Do not foresee difficulties</t>
  </si>
  <si>
    <t>15.2.3 No particular view</t>
  </si>
  <si>
    <t>15.3.1 Foresee difficulties</t>
  </si>
  <si>
    <t>15.3.2 Do not foresee difficulties</t>
  </si>
  <si>
    <t>15.3.3  No particular view</t>
  </si>
  <si>
    <t>16.1 Integrated Reporting or TCFD</t>
  </si>
  <si>
    <t>16.10 Maturity assessments</t>
  </si>
  <si>
    <t>16.11 Multilocation engagements</t>
  </si>
  <si>
    <t>16.12 Appendices</t>
  </si>
  <si>
    <t>16.13 Postive comments</t>
  </si>
  <si>
    <t>16.14 Qualitative EER information</t>
  </si>
  <si>
    <t>16.15 Monitoring and post-implementation review</t>
  </si>
  <si>
    <t>16.15 Other individual comments not related to a particular question</t>
  </si>
  <si>
    <t>16.2 Limited vs Reasonable</t>
  </si>
  <si>
    <t>16.3 Professional skepticism</t>
  </si>
  <si>
    <t>16.4 Structural comments including hyperlinking</t>
  </si>
  <si>
    <t>16.5 Length of Guidance</t>
  </si>
  <si>
    <t>16.6 Terminology and use of language</t>
  </si>
  <si>
    <t>16.7 Need for Guidance or aspects  to be an evolving document</t>
  </si>
  <si>
    <t>16.8 Need for further examples or point about 'considerations' boxes</t>
  </si>
  <si>
    <t>16.9 EER Guidance audience</t>
  </si>
  <si>
    <t>Respondent Abreviation</t>
  </si>
  <si>
    <t>Row Labels</t>
  </si>
  <si>
    <t>Grand Total</t>
  </si>
  <si>
    <t>IAASB Main Agenda (September 2020)</t>
  </si>
  <si>
    <t>EER Assurance: Summary of Feedback from Respondents</t>
  </si>
  <si>
    <t>Agenda Item 5-C.1 (Introduction)</t>
  </si>
  <si>
    <t xml:space="preserve"> Introduction supported</t>
  </si>
  <si>
    <t xml:space="preserve"> Introduction not supported</t>
  </si>
  <si>
    <t xml:space="preserve"> Mixed views on Introduction</t>
  </si>
  <si>
    <t xml:space="preserve"> No comment on introduction</t>
  </si>
  <si>
    <t xml:space="preserve"> Q1 - The Guidance addresses the challenges</t>
  </si>
  <si>
    <t xml:space="preserve"> Q1 - The Guidance does not address the challenges</t>
  </si>
  <si>
    <t xml:space="preserve"> Q1 - Mixed views on the Guidance addressing the challenges</t>
  </si>
  <si>
    <t xml:space="preserve"> Q1 - No comment</t>
  </si>
  <si>
    <t xml:space="preserve"> Q1 - Other comments and recommendations</t>
  </si>
  <si>
    <t xml:space="preserve"> Q1 - Comments on Diagram 2</t>
  </si>
  <si>
    <t xml:space="preserve"> Q1 - Comments on Diagram 3</t>
  </si>
  <si>
    <t>Agenda Item 5-C.2 (Chapter 1)</t>
  </si>
  <si>
    <r>
      <rPr>
        <b/>
        <u/>
        <sz val="10"/>
        <color theme="1"/>
        <rFont val="Arial"/>
        <family val="2"/>
      </rPr>
      <t>Question 1</t>
    </r>
    <r>
      <rPr>
        <sz val="10"/>
        <color theme="1"/>
        <rFont val="Arial"/>
        <family val="2"/>
      </rPr>
      <t xml:space="preserve">
Does the draft Guidance adequately address the challenges for practitioners that have been identified as within the scope of the draft Guidance? If not, where and how should it be improved to better serve the public interest in EER assurance engagements?</t>
    </r>
  </si>
  <si>
    <r>
      <rPr>
        <b/>
        <u/>
        <sz val="10"/>
        <color theme="1"/>
        <rFont val="Arial"/>
        <family val="2"/>
      </rPr>
      <t>Question 2</t>
    </r>
    <r>
      <rPr>
        <sz val="10"/>
        <color theme="1"/>
        <rFont val="Arial"/>
        <family val="2"/>
      </rPr>
      <t xml:space="preserve">
Is the draft Guidance structured in a way that is easy for practitioners to understand and use in performing EER assurance engagements? If not, where and how should it be improved to better serve the public interest in EER assurance engagements?</t>
    </r>
  </si>
  <si>
    <t>Percentage</t>
  </si>
  <si>
    <t>A</t>
  </si>
  <si>
    <t>B</t>
  </si>
  <si>
    <t>C</t>
  </si>
  <si>
    <t>D</t>
  </si>
  <si>
    <t>(Sum A to D)</t>
  </si>
  <si>
    <t xml:space="preserve"> Q2 - The Guidance is structured in a way that is easy to understand</t>
  </si>
  <si>
    <t xml:space="preserve"> Q2 - The Guidance is not structured in a way that is easy to understand</t>
  </si>
  <si>
    <t xml:space="preserve"> Q2 - Mixed views on the structure of the Guidance</t>
  </si>
  <si>
    <t xml:space="preserve"> Q2 - No comment</t>
  </si>
  <si>
    <t xml:space="preserve"> Q2 - Other comments and recommendations</t>
  </si>
  <si>
    <t xml:space="preserve"> Q1 - Comments on Diagram 4</t>
  </si>
  <si>
    <t xml:space="preserve"> Q1 - Other comments</t>
  </si>
  <si>
    <t xml:space="preserve"> Q1 - Comments on Diagram 5</t>
  </si>
  <si>
    <t xml:space="preserve"> Q2 - Other comments</t>
  </si>
  <si>
    <t>Agenda Item 5-C.4 (Chapter 3)</t>
  </si>
  <si>
    <t>Sum of 04.1.3 Q1 - Mixed views on the Guidance addressing the challenges</t>
  </si>
  <si>
    <t xml:space="preserve"> Q1 - Comments on Diagram 6</t>
  </si>
  <si>
    <t>Agenda Item 5-C.5 (Chapter 4)</t>
  </si>
  <si>
    <t>Agenda Item 5-C.3 (Chapter 2)</t>
  </si>
  <si>
    <t xml:space="preserve"> Q1 - Comments on Diagram 7</t>
  </si>
  <si>
    <t>Agenda Item 5-C.6 (Chapter 5)</t>
  </si>
  <si>
    <t xml:space="preserve"> Q1 - Comments on Diagram 9</t>
  </si>
  <si>
    <t xml:space="preserve"> Q1 - Comments on Diagram 8</t>
  </si>
  <si>
    <t>Agenda Item 5-C.7 (Chapter 6)</t>
  </si>
  <si>
    <t>Agenda Item 5-C.8 (Chapter 7)</t>
  </si>
  <si>
    <t xml:space="preserve"> Q2- The Guidance is structured in a way that is easy to understand</t>
  </si>
  <si>
    <t>Agenda Item 5-C.9 (Chapter 8)</t>
  </si>
  <si>
    <t>Sum of 09.2.3 Q2 - Mixed views on the structure of the Guidance</t>
  </si>
  <si>
    <t>Sum of 09.2.5 Q2 - No comment</t>
  </si>
  <si>
    <t>Sum of 09.2.4 Q2 - Other comments and recommendations</t>
  </si>
  <si>
    <t xml:space="preserve"> Q2- The Guidance is not structured in a way that is easy to understand</t>
  </si>
  <si>
    <t xml:space="preserve"> Q1 - Comments on Diagram 10</t>
  </si>
  <si>
    <t>Agenda Item 5-C.10 (Chapter 9)</t>
  </si>
  <si>
    <t>Agenda Item 5-C.11 (Chapter 10)</t>
  </si>
  <si>
    <t xml:space="preserve"> Q1 - Other Comments and Recommendations</t>
  </si>
  <si>
    <t>Agenda Item 5-C.12 (Chapter 11)</t>
  </si>
  <si>
    <t>Sum of 12.1.1 Q1 - The Guidance addresses the challenges</t>
  </si>
  <si>
    <t>Sum of 12.1.2 Q1 - The Guidance does not address the challenges</t>
  </si>
  <si>
    <t>Sum of 12.1.3 Q1 - Mixed views on the Guidance addressing the challenges</t>
  </si>
  <si>
    <t>Agenda Item 5-C.13 (Chapter 12)</t>
  </si>
  <si>
    <r>
      <rPr>
        <b/>
        <u/>
        <sz val="10"/>
        <color theme="1"/>
        <rFont val="Arial"/>
        <family val="2"/>
      </rPr>
      <t>Supplement A and B</t>
    </r>
    <r>
      <rPr>
        <sz val="10"/>
        <color theme="1"/>
        <rFont val="Arial"/>
        <family val="2"/>
      </rPr>
      <t xml:space="preserve">
Respondents are also invited to comment on Supplement A and Supplement B should they wish to do so. </t>
    </r>
  </si>
  <si>
    <t>Agenda Item 5-C.14 (Supplement A &amp; B)</t>
  </si>
  <si>
    <t xml:space="preserve"> Suggestions for new examples</t>
  </si>
  <si>
    <t xml:space="preserve"> No particular view</t>
  </si>
  <si>
    <t xml:space="preserve"> Improvements required</t>
  </si>
  <si>
    <t xml:space="preserve"> Supportive comments</t>
  </si>
  <si>
    <t xml:space="preserve"> Not supported</t>
  </si>
  <si>
    <t>Agenda Item 5-C.15 (General Comments)</t>
  </si>
  <si>
    <t>a) Stakeholder Perspectives—Respondents representing stakeholders such as preparers (including smaller entities) of EER reports, users of EER reports, and public sector entities are asked to comment on the questions above from their perspective.</t>
  </si>
  <si>
    <t xml:space="preserve"> Prepareres of EER reports</t>
  </si>
  <si>
    <t xml:space="preserve"> Users of EER reports</t>
  </si>
  <si>
    <t xml:space="preserve"> Public Sector</t>
  </si>
  <si>
    <t xml:space="preserve"> Other</t>
  </si>
  <si>
    <t xml:space="preserve"> Foresee difficulties</t>
  </si>
  <si>
    <t xml:space="preserve"> Do not foresee difficulties</t>
  </si>
  <si>
    <t>b) Developing Nations—Recognizing that many developing nations have adopted or are in the process of adopting the International Standards, the IAASB invites respondents from these nations to comment, in particular, on any foreseeable difficulties in using the draft guidance in a developing nation environment.</t>
  </si>
  <si>
    <t xml:space="preserve">c) Translation—Recognizing that many respondents may intend to translate the final guidance for adoption in their own environments, the IAASB welcomes comments on potential translation issues. </t>
  </si>
  <si>
    <t xml:space="preserve"> Integrated Reporting or TCFD</t>
  </si>
  <si>
    <t xml:space="preserve"> Limited vs Reasonable</t>
  </si>
  <si>
    <t xml:space="preserve"> Professional skepticism</t>
  </si>
  <si>
    <t xml:space="preserve"> Structural comments including hyperlinking</t>
  </si>
  <si>
    <t xml:space="preserve"> Length of Guidance</t>
  </si>
  <si>
    <t xml:space="preserve"> Terminology and use of language</t>
  </si>
  <si>
    <t xml:space="preserve"> Need for Guidance or aspects  to be an evolving document</t>
  </si>
  <si>
    <t xml:space="preserve"> Need for further examples or point about 'considerations' boxes</t>
  </si>
  <si>
    <t xml:space="preserve"> EER Guidance audience</t>
  </si>
  <si>
    <t xml:space="preserve"> Maturity assessments</t>
  </si>
  <si>
    <t xml:space="preserve"> Multilocation engagements</t>
  </si>
  <si>
    <t xml:space="preserve"> Appendices</t>
  </si>
  <si>
    <t xml:space="preserve"> Postive comments</t>
  </si>
  <si>
    <t xml:space="preserve"> Qualitative EER information</t>
  </si>
  <si>
    <t xml:space="preserve"> Monitoring and post-implementation review</t>
  </si>
  <si>
    <t xml:space="preserve"> Other individual comments not related to a particular question</t>
  </si>
  <si>
    <t>Agenda Item 5-C.16 (Overall)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</si>
</sst>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b/>
      <sz val="11"/>
      <color theme="1"/>
      <name val="Calibri"/>
      <family val="2"/>
      <scheme val="minor"/>
    </font>
    <font>
      <b/>
      <sz val="8"/>
      <color rgb="FF000000"/>
      <name val="Microsoft Sans Serif"/>
      <family val="2"/>
    </font>
    <font>
      <sz val="8"/>
      <name val="Microsoft Sans Serif"/>
      <family val="2"/>
    </font>
    <font>
      <sz val="10"/>
      <color theme="1"/>
      <name val="Arial"/>
      <family val="2"/>
    </font>
    <font>
      <b/>
      <sz val="10"/>
      <color theme="0"/>
      <name val="Arial"/>
      <family val="2"/>
    </font>
    <font>
      <b/>
      <sz val="10"/>
      <color theme="1"/>
      <name val="Arial"/>
      <family val="2"/>
    </font>
    <font>
      <b/>
      <sz val="16"/>
      <color theme="1"/>
      <name val="Arial"/>
      <family val="2"/>
    </font>
    <font>
      <b/>
      <u/>
      <sz val="10"/>
      <color theme="1"/>
      <name val="Arial"/>
      <family val="2"/>
    </font>
    <font>
      <sz val="11"/>
      <color theme="1"/>
      <name val="Arial"/>
      <family val="2"/>
    </font>
    <font>
      <b/>
      <sz val="11"/>
      <color theme="1"/>
      <name val="Arial"/>
      <family val="2"/>
    </font>
    <font>
      <b/>
      <sz val="10"/>
      <color theme="3" tint="0.39997558519241921"/>
      <name val="Arial"/>
      <family val="2"/>
    </font>
    <font>
      <sz val="10"/>
      <color theme="1"/>
      <name val="Arial"/>
    </font>
    <font>
      <sz val="10"/>
      <name val="Arial"/>
    </font>
  </fonts>
  <fills count="9">
    <fill>
      <patternFill patternType="none"/>
    </fill>
    <fill>
      <patternFill patternType="gray125"/>
    </fill>
    <fill>
      <patternFill patternType="solid">
        <fgColor rgb="FFF0F0F0"/>
        <bgColor indexed="64"/>
      </patternFill>
    </fill>
    <fill>
      <patternFill patternType="solid">
        <fgColor indexed="67"/>
        <bgColor indexed="9"/>
      </patternFill>
    </fill>
    <fill>
      <patternFill patternType="solid">
        <fgColor theme="4" tint="0.79998168889431442"/>
        <bgColor theme="4" tint="0.79998168889431442"/>
      </patternFill>
    </fill>
    <fill>
      <patternFill patternType="solid">
        <fgColor theme="4"/>
        <bgColor theme="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style="medium">
        <color theme="4" tint="-0.249977111117893"/>
      </top>
      <bottom/>
      <diagonal/>
    </border>
    <border>
      <left/>
      <right/>
      <top style="thin">
        <color theme="4" tint="-0.249977111117893"/>
      </top>
      <bottom style="medium">
        <color theme="4" tint="-0.249977111117893"/>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58">
    <xf numFmtId="0" fontId="0" fillId="0" borderId="0" xfId="0"/>
    <xf numFmtId="0" fontId="3" fillId="2" borderId="1" xfId="0" applyFont="1" applyFill="1" applyBorder="1" applyAlignment="1">
      <alignment horizontal="center" vertical="center"/>
    </xf>
    <xf numFmtId="0" fontId="0" fillId="3" borderId="2" xfId="0" applyFill="1" applyBorder="1"/>
    <xf numFmtId="0" fontId="4" fillId="0" borderId="1" xfId="0" applyFont="1" applyBorder="1" applyAlignment="1">
      <alignment horizontal="right" vertical="top"/>
    </xf>
    <xf numFmtId="0" fontId="2" fillId="0" borderId="0" xfId="0" applyFont="1"/>
    <xf numFmtId="0" fontId="0" fillId="0" borderId="0" xfId="0"/>
    <xf numFmtId="0" fontId="0" fillId="0" borderId="0" xfId="0" applyAlignment="1">
      <alignment wrapText="1"/>
    </xf>
    <xf numFmtId="0" fontId="0" fillId="0" borderId="0" xfId="0" applyAlignment="1">
      <alignment horizontal="center" vertical="center" wrapText="1"/>
    </xf>
    <xf numFmtId="0" fontId="5" fillId="0" borderId="0" xfId="0" applyFont="1" applyAlignment="1">
      <alignment horizontal="center"/>
    </xf>
    <xf numFmtId="0" fontId="5" fillId="0" borderId="0" xfId="0" applyFont="1"/>
    <xf numFmtId="0" fontId="5" fillId="0" borderId="0" xfId="0" applyNumberFormat="1" applyFont="1" applyAlignment="1">
      <alignment horizontal="center"/>
    </xf>
    <xf numFmtId="0" fontId="7" fillId="4" borderId="0" xfId="0" applyNumberFormat="1" applyFont="1" applyFill="1" applyAlignment="1">
      <alignment horizontal="center"/>
    </xf>
    <xf numFmtId="0" fontId="7" fillId="0" borderId="4" xfId="0" applyNumberFormat="1" applyFont="1" applyBorder="1" applyAlignment="1">
      <alignment horizontal="center"/>
    </xf>
    <xf numFmtId="0" fontId="8" fillId="0" borderId="0" xfId="0" applyFont="1"/>
    <xf numFmtId="0" fontId="5" fillId="0" borderId="0" xfId="0" applyFont="1" applyAlignment="1">
      <alignment horizontal="center" vertical="center" wrapText="1"/>
    </xf>
    <xf numFmtId="0" fontId="6" fillId="5" borderId="3" xfId="0" applyFont="1" applyFill="1" applyBorder="1" applyAlignment="1">
      <alignment horizontal="center" vertical="center" wrapText="1"/>
    </xf>
    <xf numFmtId="0" fontId="5" fillId="0" borderId="0" xfId="0" applyFont="1" applyAlignment="1"/>
    <xf numFmtId="0" fontId="10" fillId="0" borderId="0" xfId="0" applyFont="1" applyAlignment="1">
      <alignment wrapText="1"/>
    </xf>
    <xf numFmtId="0" fontId="10" fillId="0" borderId="0" xfId="0" applyFont="1"/>
    <xf numFmtId="0" fontId="5" fillId="0" borderId="0" xfId="0" applyFont="1" applyAlignment="1">
      <alignment horizontal="left"/>
    </xf>
    <xf numFmtId="0" fontId="8" fillId="0" borderId="0" xfId="0" applyFont="1" applyAlignment="1"/>
    <xf numFmtId="0" fontId="8" fillId="0" borderId="0" xfId="0" applyFont="1" applyAlignment="1">
      <alignment horizontal="right"/>
    </xf>
    <xf numFmtId="0" fontId="7" fillId="0" borderId="0" xfId="0" applyFont="1"/>
    <xf numFmtId="9" fontId="7" fillId="0" borderId="0" xfId="1" applyFont="1" applyAlignment="1">
      <alignment horizontal="center"/>
    </xf>
    <xf numFmtId="0" fontId="12" fillId="0" borderId="0" xfId="0" applyFont="1" applyAlignment="1">
      <alignment horizontal="center"/>
    </xf>
    <xf numFmtId="0" fontId="5" fillId="0" borderId="0" xfId="0" pivotButton="1" applyFont="1" applyAlignment="1">
      <alignment horizontal="center" vertical="center" wrapText="1"/>
    </xf>
    <xf numFmtId="0" fontId="6" fillId="5" borderId="3" xfId="0" pivotButton="1" applyFont="1" applyFill="1" applyBorder="1" applyAlignment="1">
      <alignment horizontal="center" vertical="center" wrapText="1"/>
    </xf>
    <xf numFmtId="0" fontId="13" fillId="0" borderId="0" xfId="0" applyFont="1" applyAlignment="1">
      <alignment horizontal="left"/>
    </xf>
    <xf numFmtId="0" fontId="13" fillId="0" borderId="0" xfId="0" applyNumberFormat="1" applyFont="1" applyAlignment="1">
      <alignment horizontal="center"/>
    </xf>
    <xf numFmtId="0" fontId="13" fillId="0" borderId="0" xfId="0" pivotButton="1" applyFont="1" applyAlignment="1">
      <alignment horizontal="center" vertical="center" wrapText="1"/>
    </xf>
    <xf numFmtId="0" fontId="13" fillId="0" borderId="0" xfId="0" applyFont="1" applyAlignment="1">
      <alignment horizontal="center" vertical="center" wrapText="1"/>
    </xf>
    <xf numFmtId="9" fontId="11" fillId="0" borderId="0" xfId="0" applyNumberFormat="1" applyFont="1"/>
    <xf numFmtId="0" fontId="7" fillId="0" borderId="4" xfId="0" applyNumberFormat="1" applyFont="1" applyFill="1" applyBorder="1" applyAlignment="1">
      <alignment horizontal="center"/>
    </xf>
    <xf numFmtId="0" fontId="13" fillId="0" borderId="0" xfId="0" pivotButton="1" applyFont="1" applyAlignment="1">
      <alignment wrapText="1"/>
    </xf>
    <xf numFmtId="0" fontId="13" fillId="0" borderId="0" xfId="0" applyFont="1" applyAlignment="1">
      <alignment horizontal="center" wrapText="1"/>
    </xf>
    <xf numFmtId="0" fontId="14" fillId="0" borderId="0" xfId="0" applyFont="1" applyAlignment="1">
      <alignment horizontal="left"/>
    </xf>
    <xf numFmtId="0" fontId="14" fillId="0" borderId="0" xfId="0" applyNumberFormat="1" applyFont="1" applyAlignment="1">
      <alignment horizontal="center"/>
    </xf>
    <xf numFmtId="0" fontId="13" fillId="0" borderId="0" xfId="0" applyFont="1"/>
    <xf numFmtId="0" fontId="3" fillId="0" borderId="1" xfId="0" applyFont="1" applyFill="1" applyBorder="1" applyAlignment="1">
      <alignment horizontal="center" vertical="center"/>
    </xf>
    <xf numFmtId="0" fontId="4" fillId="0" borderId="1" xfId="0" applyFont="1" applyFill="1" applyBorder="1" applyAlignment="1">
      <alignment horizontal="right" vertical="top"/>
    </xf>
    <xf numFmtId="0" fontId="0" fillId="0" borderId="0" xfId="0" applyFill="1"/>
    <xf numFmtId="0" fontId="5" fillId="0" borderId="0" xfId="0" applyFont="1" applyAlignment="1">
      <alignment horizontal="center"/>
    </xf>
    <xf numFmtId="0" fontId="5" fillId="6" borderId="6" xfId="0" applyFont="1" applyFill="1" applyBorder="1" applyAlignment="1">
      <alignment horizontal="left" vertical="top" wrapText="1"/>
    </xf>
    <xf numFmtId="0" fontId="5" fillId="6" borderId="7" xfId="0" applyFont="1" applyFill="1" applyBorder="1" applyAlignment="1">
      <alignment horizontal="left" vertical="top" wrapText="1"/>
    </xf>
    <xf numFmtId="0" fontId="5" fillId="6" borderId="8" xfId="0" applyFont="1" applyFill="1" applyBorder="1" applyAlignment="1">
      <alignment horizontal="left" vertical="top" wrapText="1"/>
    </xf>
    <xf numFmtId="0" fontId="5" fillId="6" borderId="9" xfId="0" applyFont="1" applyFill="1" applyBorder="1" applyAlignment="1">
      <alignment horizontal="left" vertical="top" wrapText="1"/>
    </xf>
    <xf numFmtId="0" fontId="5" fillId="6" borderId="10" xfId="0" applyFont="1" applyFill="1" applyBorder="1" applyAlignment="1">
      <alignment horizontal="left" vertical="top" wrapText="1"/>
    </xf>
    <xf numFmtId="0" fontId="5" fillId="6" borderId="11" xfId="0" applyFont="1" applyFill="1" applyBorder="1" applyAlignment="1">
      <alignment horizontal="left" vertical="top" wrapText="1"/>
    </xf>
    <xf numFmtId="0" fontId="5" fillId="6" borderId="12" xfId="0" applyFont="1" applyFill="1" applyBorder="1" applyAlignment="1">
      <alignment horizontal="left" vertical="top" wrapText="1"/>
    </xf>
    <xf numFmtId="0" fontId="5" fillId="6" borderId="13" xfId="0" applyFont="1" applyFill="1" applyBorder="1" applyAlignment="1">
      <alignment horizontal="left" vertical="top" wrapText="1"/>
    </xf>
    <xf numFmtId="0" fontId="5" fillId="6" borderId="5" xfId="0" applyFont="1" applyFill="1" applyBorder="1" applyAlignment="1">
      <alignment horizontal="left" vertical="top" wrapText="1"/>
    </xf>
    <xf numFmtId="0" fontId="5" fillId="7" borderId="12" xfId="0" applyFont="1" applyFill="1" applyBorder="1" applyAlignment="1">
      <alignment horizontal="left" vertical="top" wrapText="1"/>
    </xf>
    <xf numFmtId="0" fontId="5" fillId="7" borderId="13" xfId="0" applyFont="1" applyFill="1" applyBorder="1" applyAlignment="1">
      <alignment horizontal="left" vertical="top" wrapText="1"/>
    </xf>
    <xf numFmtId="0" fontId="5" fillId="7" borderId="5" xfId="0" applyFont="1" applyFill="1" applyBorder="1" applyAlignment="1">
      <alignment horizontal="left" vertical="top" wrapText="1"/>
    </xf>
    <xf numFmtId="0" fontId="10" fillId="7" borderId="12" xfId="0" applyFont="1" applyFill="1" applyBorder="1" applyAlignment="1">
      <alignment horizontal="left" vertical="top"/>
    </xf>
    <xf numFmtId="0" fontId="10" fillId="7" borderId="13" xfId="0" applyFont="1" applyFill="1" applyBorder="1" applyAlignment="1">
      <alignment horizontal="left" vertical="top"/>
    </xf>
    <xf numFmtId="0" fontId="10" fillId="7" borderId="5" xfId="0" applyFont="1" applyFill="1" applyBorder="1" applyAlignment="1">
      <alignment horizontal="left" vertical="top"/>
    </xf>
    <xf numFmtId="0" fontId="7" fillId="8" borderId="4" xfId="0" applyNumberFormat="1" applyFont="1" applyFill="1" applyBorder="1" applyAlignment="1">
      <alignment horizontal="center"/>
    </xf>
  </cellXfs>
  <cellStyles count="2">
    <cellStyle name="Normal" xfId="0" builtinId="0"/>
    <cellStyle name="Percent" xfId="1" builtinId="5"/>
  </cellStyles>
  <dxfs count="535">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vertical="center"/>
    </dxf>
    <dxf>
      <alignment wrapText="1"/>
    </dxf>
    <dxf>
      <alignment horizontal="center"/>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vertical="center"/>
    </dxf>
    <dxf>
      <alignment wrapText="1"/>
    </dxf>
    <dxf>
      <alignment horizontal="center"/>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vertical="center"/>
    </dxf>
    <dxf>
      <alignment wrapText="1"/>
    </dxf>
    <dxf>
      <alignment horizontal="center"/>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vertical="center"/>
    </dxf>
    <dxf>
      <alignment vertical="center"/>
    </dxf>
    <dxf>
      <alignment horizontal="center"/>
    </dxf>
    <dxf>
      <alignment horizont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vertical="center"/>
    </dxf>
    <dxf>
      <alignment vertical="center"/>
    </dxf>
    <dxf>
      <alignment horizontal="center"/>
    </dxf>
    <dxf>
      <alignment horizont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vertical="center"/>
    </dxf>
    <dxf>
      <alignment wrapText="1"/>
    </dxf>
    <dxf>
      <alignment horizontal="center"/>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vertical="center"/>
    </dxf>
    <dxf>
      <alignment wrapText="1"/>
    </dxf>
    <dxf>
      <alignment horizontal="center"/>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horizontal="center"/>
    </dxf>
    <dxf>
      <alignment vertical="center"/>
    </dxf>
    <dxf>
      <alignment vertical="center"/>
    </dxf>
    <dxf>
      <alignment vertical="center"/>
    </dxf>
    <dxf>
      <alignment horizontal="center"/>
    </dxf>
    <dxf>
      <alignment horizont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vertical="center"/>
    </dxf>
    <dxf>
      <alignment vertical="center"/>
    </dxf>
    <dxf>
      <alignment horizontal="center"/>
    </dxf>
    <dxf>
      <alignment horizont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vertical="center"/>
    </dxf>
    <dxf>
      <alignment vertical="center"/>
    </dxf>
    <dxf>
      <alignment horizontal="center"/>
    </dxf>
    <dxf>
      <alignment horizont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vertical="center"/>
    </dxf>
    <dxf>
      <alignment vertical="center"/>
    </dxf>
    <dxf>
      <alignment horizontal="center"/>
    </dxf>
    <dxf>
      <alignment horizont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vertical="center"/>
    </dxf>
    <dxf>
      <alignment wrapText="1"/>
    </dxf>
    <dxf>
      <alignment wrapText="1"/>
    </dxf>
    <dxf>
      <alignment horizontal="center"/>
    </dxf>
    <dxf>
      <alignment vertical="center"/>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vertical="center"/>
    </dxf>
    <dxf>
      <alignment horizontal="center"/>
    </dxf>
    <dxf>
      <alignment wrapText="1"/>
    </dxf>
    <dxf>
      <alignment wrapText="1"/>
    </dxf>
    <dxf>
      <alignment horizontal="center"/>
    </dxf>
    <dxf>
      <alignment vertical="center"/>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vertical="center"/>
    </dxf>
    <dxf>
      <alignment vertical="center"/>
    </dxf>
    <dxf>
      <alignment horizontal="center"/>
    </dxf>
    <dxf>
      <alignment wrapText="1"/>
    </dxf>
    <dxf>
      <alignment wrapText="1"/>
    </dxf>
    <dxf>
      <alignment horizontal="center"/>
    </dxf>
    <dxf>
      <alignment horizont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vertical="center"/>
    </dxf>
    <dxf>
      <alignment vertical="center"/>
    </dxf>
    <dxf>
      <alignment wrapText="1"/>
    </dxf>
    <dxf>
      <alignment wrapText="1"/>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horizontal="center"/>
    </dxf>
    <dxf>
      <alignment wrapText="1"/>
    </dxf>
    <dxf>
      <alignment wrapText="1"/>
    </dxf>
    <dxf>
      <font>
        <color auto="1"/>
      </font>
    </dxf>
    <dxf>
      <font>
        <color auto="1"/>
      </font>
    </dxf>
    <dxf>
      <font>
        <color auto="1"/>
      </font>
    </dxf>
    <dxf>
      <font>
        <color auto="1"/>
      </font>
    </dxf>
    <dxf>
      <font>
        <color auto="1"/>
      </font>
    </dxf>
    <dxf>
      <font>
        <color auto="1"/>
      </font>
    </dxf>
    <dxf>
      <font>
        <color auto="1"/>
      </font>
    </dxf>
    <dxf>
      <alignment horizont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4071.055431944442" createdVersion="6" refreshedVersion="6" minRefreshableVersion="3" recordCount="43" xr:uid="{1BD4F028-7F6A-4C1B-981E-89890F6C7946}">
  <cacheSource type="worksheet">
    <worksheetSource ref="A1:FP44" sheet="Respondent Data"/>
  </cacheSource>
  <cacheFields count="172">
    <cacheField name="Respondents" numFmtId="0">
      <sharedItems/>
    </cacheField>
    <cacheField name="Function" numFmtId="0">
      <sharedItems count="6">
        <s v="5. Member Bodies and Other Professional Organizations"/>
        <s v="4. Public Sector Organizations"/>
        <s v="2. National Auditing Standard Setters"/>
        <s v="3. Accounting Firms"/>
        <s v="6. Academics"/>
        <s v="1. Investors and Analysts"/>
      </sharedItems>
    </cacheField>
    <cacheField name="Region" numFmtId="0">
      <sharedItems/>
    </cacheField>
    <cacheField name="Respondent Abreviation" numFmtId="0">
      <sharedItems count="43">
        <s v="ACCA-CAANZ"/>
        <s v="AE"/>
        <s v="AGA"/>
        <s v="AGNZ"/>
        <s v="AGSA"/>
        <s v="AICPA"/>
        <s v="ASSIREVI"/>
        <s v="AUASB"/>
        <s v="BDO"/>
        <s v="BICA"/>
        <s v="BRLF"/>
        <s v="CAASB"/>
        <s v="CG"/>
        <s v="CNCC-CSOEC"/>
        <s v="CPAA"/>
        <s v="DEAKIN"/>
        <s v="DTT"/>
        <s v="EYG"/>
        <s v="FACPE"/>
        <s v="FAR"/>
        <s v="GAO"/>
        <s v="GRI"/>
        <s v="GTI"/>
        <s v="HKICPA"/>
        <s v="IAAA"/>
        <s v="ICAS"/>
        <s v="ICGN"/>
        <s v="ICPAR"/>
        <s v="ICPAU"/>
        <s v="IDW"/>
        <s v="IIA"/>
        <s v="IIRC"/>
        <s v="ISCA"/>
        <s v="JICPA"/>
        <s v="KPMG"/>
        <s v="MIA"/>
        <s v="MICPA"/>
        <s v="NZAASB"/>
        <s v="PwC"/>
        <s v="RSMI"/>
        <s v="SAICA"/>
        <s v="SASB"/>
        <s v="SVI"/>
      </sharedItems>
    </cacheField>
    <cacheField name="0.1 Introduction supported" numFmtId="0">
      <sharedItems containsSemiMixedTypes="0" containsString="0" containsNumber="1" containsInteger="1" minValue="0" maxValue="1"/>
    </cacheField>
    <cacheField name="0.2 Introduction not supported" numFmtId="0">
      <sharedItems containsSemiMixedTypes="0" containsString="0" containsNumber="1" containsInteger="1" minValue="0" maxValue="0"/>
    </cacheField>
    <cacheField name="0.3 Mixed views on Introduction" numFmtId="0">
      <sharedItems containsSemiMixedTypes="0" containsString="0" containsNumber="1" containsInteger="1" minValue="0" maxValue="1"/>
    </cacheField>
    <cacheField name="0.4 No comment on introduction" numFmtId="0">
      <sharedItems containsSemiMixedTypes="0" containsString="0" containsNumber="1" containsInteger="1" minValue="0" maxValue="1"/>
    </cacheField>
    <cacheField name="01.1.1 Q1 - The Guidance addresses the challenges" numFmtId="0">
      <sharedItems containsSemiMixedTypes="0" containsString="0" containsNumber="1" containsInteger="1" minValue="0" maxValue="1"/>
    </cacheField>
    <cacheField name="01.1.2 Q1 - The Guidance does not address the challenges" numFmtId="0">
      <sharedItems containsSemiMixedTypes="0" containsString="0" containsNumber="1" containsInteger="1" minValue="0" maxValue="0"/>
    </cacheField>
    <cacheField name="01.1.3 Q1 - Mixed views on the Guidance addressing the challenges" numFmtId="0">
      <sharedItems containsSemiMixedTypes="0" containsString="0" containsNumber="1" containsInteger="1" minValue="0" maxValue="1"/>
    </cacheField>
    <cacheField name="01.1.4 Q1 - Other comments and recommendations" numFmtId="0">
      <sharedItems containsSemiMixedTypes="0" containsString="0" containsNumber="1" containsInteger="1" minValue="0" maxValue="1"/>
    </cacheField>
    <cacheField name="01.1.5 Q1 - Comments on Diagram 2" numFmtId="0">
      <sharedItems containsSemiMixedTypes="0" containsString="0" containsNumber="1" containsInteger="1" minValue="0" maxValue="1"/>
    </cacheField>
    <cacheField name="01.1.6 Q1 - Comments on Diagram 3" numFmtId="0">
      <sharedItems containsSemiMixedTypes="0" containsString="0" containsNumber="1" containsInteger="1" minValue="0" maxValue="0"/>
    </cacheField>
    <cacheField name="01.1.7 Q1 - No comment" numFmtId="0">
      <sharedItems containsSemiMixedTypes="0" containsString="0" containsNumber="1" containsInteger="1" minValue="0" maxValue="1"/>
    </cacheField>
    <cacheField name="01.2.1 Q2 - The Guidance is structured in a way that is easy to understand" numFmtId="0">
      <sharedItems containsSemiMixedTypes="0" containsString="0" containsNumber="1" containsInteger="1" minValue="0" maxValue="1"/>
    </cacheField>
    <cacheField name="01.2.2 Q2 - The Guidance is not structured in a way that is easy to understand" numFmtId="0">
      <sharedItems containsSemiMixedTypes="0" containsString="0" containsNumber="1" containsInteger="1" minValue="0" maxValue="0"/>
    </cacheField>
    <cacheField name="01.2.3 Q2 - Mixed views on the structure of the Guidance" numFmtId="0">
      <sharedItems containsSemiMixedTypes="0" containsString="0" containsNumber="1" containsInteger="1" minValue="0" maxValue="1"/>
    </cacheField>
    <cacheField name="01.2.4 Q2 - Other comments and recommendations" numFmtId="0">
      <sharedItems containsSemiMixedTypes="0" containsString="0" containsNumber="1" containsInteger="1" minValue="0" maxValue="1"/>
    </cacheField>
    <cacheField name="01.2.5 Q2 - No comment" numFmtId="0">
      <sharedItems containsSemiMixedTypes="0" containsString="0" containsNumber="1" containsInteger="1" minValue="0" maxValue="1"/>
    </cacheField>
    <cacheField name="02.1.1 Q1 - The Guidance addresses the challenges" numFmtId="0">
      <sharedItems containsSemiMixedTypes="0" containsString="0" containsNumber="1" containsInteger="1" minValue="0" maxValue="1"/>
    </cacheField>
    <cacheField name="02.1.2 Q1 - The Guidance does not address the challenges" numFmtId="0">
      <sharedItems containsSemiMixedTypes="0" containsString="0" containsNumber="1" containsInteger="1" minValue="0" maxValue="0"/>
    </cacheField>
    <cacheField name="02.1.3 Q1 - Mixed views on the Guidance addressing the challenges" numFmtId="0">
      <sharedItems containsSemiMixedTypes="0" containsString="0" containsNumber="1" containsInteger="1" minValue="0" maxValue="1"/>
    </cacheField>
    <cacheField name="02.1.4 Q1 - Other comments and recommendations" numFmtId="0">
      <sharedItems containsSemiMixedTypes="0" containsString="0" containsNumber="1" containsInteger="1" minValue="0" maxValue="1"/>
    </cacheField>
    <cacheField name="02.1.5 Q1 - Comments on Diagram 4" numFmtId="0">
      <sharedItems containsSemiMixedTypes="0" containsString="0" containsNumber="1" containsInteger="1" minValue="0" maxValue="1"/>
    </cacheField>
    <cacheField name="02.1.6 Q1 - No comment" numFmtId="0">
      <sharedItems containsSemiMixedTypes="0" containsString="0" containsNumber="1" containsInteger="1" minValue="0" maxValue="1"/>
    </cacheField>
    <cacheField name="02.2.1 Q2 - The Guidance is structured in a way that is easy to understand" numFmtId="0">
      <sharedItems containsSemiMixedTypes="0" containsString="0" containsNumber="1" containsInteger="1" minValue="0" maxValue="1"/>
    </cacheField>
    <cacheField name="02.2.2 Q2 - The Guidance is not structured in a way that is easy to understand" numFmtId="0">
      <sharedItems containsSemiMixedTypes="0" containsString="0" containsNumber="1" containsInteger="1" minValue="0" maxValue="0"/>
    </cacheField>
    <cacheField name="02.2.3 Q2 - Mixed views on the structure of the Guidance" numFmtId="0">
      <sharedItems containsSemiMixedTypes="0" containsString="0" containsNumber="1" containsInteger="1" minValue="0" maxValue="1"/>
    </cacheField>
    <cacheField name="02.2.4 Q2 - Other comments and recommendations" numFmtId="0">
      <sharedItems containsSemiMixedTypes="0" containsString="0" containsNumber="1" containsInteger="1" minValue="0" maxValue="1"/>
    </cacheField>
    <cacheField name="02.2.5 Q2 - No comment" numFmtId="0">
      <sharedItems containsSemiMixedTypes="0" containsString="0" containsNumber="1" containsInteger="1" minValue="0" maxValue="1"/>
    </cacheField>
    <cacheField name="03.1.1 Q1 - The Guidance addresses the challenges" numFmtId="0">
      <sharedItems containsSemiMixedTypes="0" containsString="0" containsNumber="1" containsInteger="1" minValue="0" maxValue="1"/>
    </cacheField>
    <cacheField name="03.1.2 Q1 - The Guidance does not address the challenges" numFmtId="0">
      <sharedItems containsSemiMixedTypes="0" containsString="0" containsNumber="1" containsInteger="1" minValue="0" maxValue="0"/>
    </cacheField>
    <cacheField name="03.1.3 Q1 - Mixed views on the Guidance addressing the challenges" numFmtId="0">
      <sharedItems containsSemiMixedTypes="0" containsString="0" containsNumber="1" containsInteger="1" minValue="0" maxValue="1"/>
    </cacheField>
    <cacheField name="03.1.4 Q1 - Other comments" numFmtId="0">
      <sharedItems containsSemiMixedTypes="0" containsString="0" containsNumber="1" containsInteger="1" minValue="0" maxValue="1"/>
    </cacheField>
    <cacheField name="03.1.5 Q1 - Comments on Diagram 5" numFmtId="0">
      <sharedItems containsSemiMixedTypes="0" containsString="0" containsNumber="1" containsInteger="1" minValue="0" maxValue="1"/>
    </cacheField>
    <cacheField name="03.1.6 Q1 - No comment" numFmtId="0">
      <sharedItems containsSemiMixedTypes="0" containsString="0" containsNumber="1" containsInteger="1" minValue="0" maxValue="1"/>
    </cacheField>
    <cacheField name="03.2.1 Q2 - The Guidance is structured in a way that is easy to understand" numFmtId="0">
      <sharedItems containsSemiMixedTypes="0" containsString="0" containsNumber="1" containsInteger="1" minValue="0" maxValue="1"/>
    </cacheField>
    <cacheField name="03.2.2 Q2 - The Guidance is not structured in a way that is easy to understand" numFmtId="0">
      <sharedItems containsSemiMixedTypes="0" containsString="0" containsNumber="1" containsInteger="1" minValue="0" maxValue="0"/>
    </cacheField>
    <cacheField name="03.2.3 Q2 - Mixed views on the structure of the Guidance" numFmtId="0">
      <sharedItems containsSemiMixedTypes="0" containsString="0" containsNumber="1" containsInteger="1" minValue="0" maxValue="1"/>
    </cacheField>
    <cacheField name="03.2.4 Q2 - Other comments" numFmtId="0">
      <sharedItems containsSemiMixedTypes="0" containsString="0" containsNumber="1" containsInteger="1" minValue="0" maxValue="0"/>
    </cacheField>
    <cacheField name="03.2.5 Q2 - No comment" numFmtId="0">
      <sharedItems containsSemiMixedTypes="0" containsString="0" containsNumber="1" containsInteger="1" minValue="0" maxValue="1"/>
    </cacheField>
    <cacheField name="04.1.1 Q1 - The Guidance addresses the challenges" numFmtId="0">
      <sharedItems containsSemiMixedTypes="0" containsString="0" containsNumber="1" containsInteger="1" minValue="0" maxValue="1"/>
    </cacheField>
    <cacheField name="04.1.2 Q1 - The Guidance does not address the challenges" numFmtId="0">
      <sharedItems containsSemiMixedTypes="0" containsString="0" containsNumber="1" containsInteger="1" minValue="0" maxValue="0"/>
    </cacheField>
    <cacheField name="04.1.3 Q1 - Mixed views on the Guidance addressing the challenges" numFmtId="0">
      <sharedItems containsSemiMixedTypes="0" containsString="0" containsNumber="1" containsInteger="1" minValue="0" maxValue="1"/>
    </cacheField>
    <cacheField name="04.1.4 Q1 - Other comments and recommendations" numFmtId="0">
      <sharedItems containsSemiMixedTypes="0" containsString="0" containsNumber="1" containsInteger="1" minValue="0" maxValue="0"/>
    </cacheField>
    <cacheField name="04.1.5 Q1 - Comments on Diagram 6" numFmtId="0">
      <sharedItems containsSemiMixedTypes="0" containsString="0" containsNumber="1" containsInteger="1" minValue="0" maxValue="1"/>
    </cacheField>
    <cacheField name="04.1.6 Q1 - No comment" numFmtId="0">
      <sharedItems containsSemiMixedTypes="0" containsString="0" containsNumber="1" containsInteger="1" minValue="0" maxValue="1"/>
    </cacheField>
    <cacheField name="04.2.1 Q2 - The Guidance is structured in a way that is easy to understand" numFmtId="0">
      <sharedItems containsSemiMixedTypes="0" containsString="0" containsNumber="1" containsInteger="1" minValue="0" maxValue="1"/>
    </cacheField>
    <cacheField name="04.2.2 Q2 - The Guidance is not structured in a way that is easy to understand" numFmtId="0">
      <sharedItems containsSemiMixedTypes="0" containsString="0" containsNumber="1" containsInteger="1" minValue="0" maxValue="0"/>
    </cacheField>
    <cacheField name="04.2.3 Q2 - Mixed views on the structure of the Guidance" numFmtId="0">
      <sharedItems containsSemiMixedTypes="0" containsString="0" containsNumber="1" containsInteger="1" minValue="0" maxValue="1"/>
    </cacheField>
    <cacheField name="04.2.4 Q2 - Other comments" numFmtId="0">
      <sharedItems containsSemiMixedTypes="0" containsString="0" containsNumber="1" containsInteger="1" minValue="0" maxValue="0"/>
    </cacheField>
    <cacheField name="04.2.5 -Q2 - No comment" numFmtId="0">
      <sharedItems containsSemiMixedTypes="0" containsString="0" containsNumber="1" containsInteger="1" minValue="0" maxValue="1"/>
    </cacheField>
    <cacheField name="05.1.1 Q1 - The Guidance addresses the challenges" numFmtId="0">
      <sharedItems containsSemiMixedTypes="0" containsString="0" containsNumber="1" containsInteger="1" minValue="0" maxValue="1"/>
    </cacheField>
    <cacheField name="05.1.2 Q1 - The Guidance does not address the challenges" numFmtId="0">
      <sharedItems containsSemiMixedTypes="0" containsString="0" containsNumber="1" containsInteger="1" minValue="0" maxValue="0"/>
    </cacheField>
    <cacheField name="05.1.3 Q1 - Mixed views on the Guidance addressing the challenges" numFmtId="0">
      <sharedItems containsSemiMixedTypes="0" containsString="0" containsNumber="1" containsInteger="1" minValue="0" maxValue="1"/>
    </cacheField>
    <cacheField name="05.1.4 Q1 - Other comments and recommendations" numFmtId="0">
      <sharedItems containsSemiMixedTypes="0" containsString="0" containsNumber="1" containsInteger="1" minValue="0" maxValue="1"/>
    </cacheField>
    <cacheField name="05.1.5 Q1 - Comments on Diagram 7" numFmtId="0">
      <sharedItems containsSemiMixedTypes="0" containsString="0" containsNumber="1" containsInteger="1" minValue="0" maxValue="1"/>
    </cacheField>
    <cacheField name="05.1.6 Q1 - No comment" numFmtId="0">
      <sharedItems containsSemiMixedTypes="0" containsString="0" containsNumber="1" containsInteger="1" minValue="0" maxValue="1"/>
    </cacheField>
    <cacheField name="05.2.1 Q2 - The Guidance is structured in a way that is easy to understand" numFmtId="0">
      <sharedItems containsSemiMixedTypes="0" containsString="0" containsNumber="1" containsInteger="1" minValue="0" maxValue="1"/>
    </cacheField>
    <cacheField name="05.2.2 Q2 - The Guidance is not structured in a way that is easy to understand" numFmtId="0">
      <sharedItems containsSemiMixedTypes="0" containsString="0" containsNumber="1" containsInteger="1" minValue="0" maxValue="0"/>
    </cacheField>
    <cacheField name="05.2.3 Q2 - Mixed views on the structure of the Guidance" numFmtId="0">
      <sharedItems containsSemiMixedTypes="0" containsString="0" containsNumber="1" containsInteger="1" minValue="0" maxValue="1"/>
    </cacheField>
    <cacheField name="05.2.4 Q2 - Other comments and recommendations" numFmtId="0">
      <sharedItems containsSemiMixedTypes="0" containsString="0" containsNumber="1" containsInteger="1" minValue="0" maxValue="0"/>
    </cacheField>
    <cacheField name="05.2.5 Q2 - No comment" numFmtId="0">
      <sharedItems containsSemiMixedTypes="0" containsString="0" containsNumber="1" containsInteger="1" minValue="0" maxValue="1"/>
    </cacheField>
    <cacheField name="06.1.1 Q1 - The Guidance addresses the challenges" numFmtId="0">
      <sharedItems containsSemiMixedTypes="0" containsString="0" containsNumber="1" containsInteger="1" minValue="0" maxValue="1"/>
    </cacheField>
    <cacheField name="06.1.2 Q1 - The Guidance does not address the challenges" numFmtId="0">
      <sharedItems containsSemiMixedTypes="0" containsString="0" containsNumber="1" containsInteger="1" minValue="0" maxValue="0"/>
    </cacheField>
    <cacheField name="06.1.3 Q1 - Mixed views on the Guidance addressing the challenges" numFmtId="0">
      <sharedItems containsSemiMixedTypes="0" containsString="0" containsNumber="1" containsInteger="1" minValue="0" maxValue="1"/>
    </cacheField>
    <cacheField name="06.1.4 Q1 - Other comments and recommendations" numFmtId="0">
      <sharedItems containsSemiMixedTypes="0" containsString="0" containsNumber="1" containsInteger="1" minValue="0" maxValue="1"/>
    </cacheField>
    <cacheField name="06.1.5 Q1 - Comments on Diagram 8" numFmtId="0">
      <sharedItems containsSemiMixedTypes="0" containsString="0" containsNumber="1" containsInteger="1" minValue="0" maxValue="1"/>
    </cacheField>
    <cacheField name="06.1.6 Q1 - Comments on Diagram 9" numFmtId="0">
      <sharedItems containsSemiMixedTypes="0" containsString="0" containsNumber="1" containsInteger="1" minValue="0" maxValue="1"/>
    </cacheField>
    <cacheField name="06.1.7 Q1 - No comment" numFmtId="0">
      <sharedItems containsSemiMixedTypes="0" containsString="0" containsNumber="1" containsInteger="1" minValue="0" maxValue="1"/>
    </cacheField>
    <cacheField name="06.2.1 Q2 - The Guidance is structured in a way that is easy to understand" numFmtId="0">
      <sharedItems containsSemiMixedTypes="0" containsString="0" containsNumber="1" containsInteger="1" minValue="0" maxValue="1"/>
    </cacheField>
    <cacheField name="06.2.2 Q2 - The Guidance is not structured in a way that is easy to understand" numFmtId="0">
      <sharedItems containsSemiMixedTypes="0" containsString="0" containsNumber="1" containsInteger="1" minValue="0" maxValue="0"/>
    </cacheField>
    <cacheField name="06.2.3 Q2 - Mixed views on the structure of the Guidance" numFmtId="0">
      <sharedItems containsSemiMixedTypes="0" containsString="0" containsNumber="1" containsInteger="1" minValue="0" maxValue="1"/>
    </cacheField>
    <cacheField name="06.2.4 Q2 - Other comments and recommendations" numFmtId="0">
      <sharedItems containsSemiMixedTypes="0" containsString="0" containsNumber="1" containsInteger="1" minValue="0" maxValue="0"/>
    </cacheField>
    <cacheField name="06.2.5 Q2 - No comment" numFmtId="0">
      <sharedItems containsSemiMixedTypes="0" containsString="0" containsNumber="1" containsInteger="1" minValue="0" maxValue="1"/>
    </cacheField>
    <cacheField name="07.1.1 Q1 - The Guidance addresses the challenges" numFmtId="0">
      <sharedItems containsSemiMixedTypes="0" containsString="0" containsNumber="1" containsInteger="1" minValue="0" maxValue="1"/>
    </cacheField>
    <cacheField name="07.1.2 Q1 - The Guidance does not address the challenges" numFmtId="0">
      <sharedItems containsSemiMixedTypes="0" containsString="0" containsNumber="1" containsInteger="1" minValue="0" maxValue="0"/>
    </cacheField>
    <cacheField name="07.1.3 Q1 - Mixed views on the Guidance addressing the challenges" numFmtId="0">
      <sharedItems containsSemiMixedTypes="0" containsString="0" containsNumber="1" containsInteger="1" minValue="0" maxValue="1"/>
    </cacheField>
    <cacheField name="07.1.4 Q1 - Other comments and recommendations" numFmtId="0">
      <sharedItems containsSemiMixedTypes="0" containsString="0" containsNumber="1" containsInteger="1" minValue="0" maxValue="1"/>
    </cacheField>
    <cacheField name="07.1.5 Q1 - No comment" numFmtId="0">
      <sharedItems containsSemiMixedTypes="0" containsString="0" containsNumber="1" containsInteger="1" minValue="0" maxValue="1"/>
    </cacheField>
    <cacheField name="07.2.1 Q2- The Guidance is structured in a way that is easy to understand" numFmtId="0">
      <sharedItems containsSemiMixedTypes="0" containsString="0" containsNumber="1" containsInteger="1" minValue="0" maxValue="1"/>
    </cacheField>
    <cacheField name="07.2.2 Q2 - The Guidance is not structured in a way that is easy to understand" numFmtId="0">
      <sharedItems containsSemiMixedTypes="0" containsString="0" containsNumber="1" containsInteger="1" minValue="0" maxValue="0"/>
    </cacheField>
    <cacheField name="07.2.3 Q2 - Mixed views on the structure of the Guidance" numFmtId="0">
      <sharedItems containsSemiMixedTypes="0" containsString="0" containsNumber="1" containsInteger="1" minValue="0" maxValue="1"/>
    </cacheField>
    <cacheField name="07.2.4 Q2 - Other comments and recommendations" numFmtId="0">
      <sharedItems containsSemiMixedTypes="0" containsString="0" containsNumber="1" containsInteger="1" minValue="0" maxValue="0"/>
    </cacheField>
    <cacheField name="07.2.5 Q2 - No comment" numFmtId="0">
      <sharedItems containsSemiMixedTypes="0" containsString="0" containsNumber="1" containsInteger="1" minValue="0" maxValue="1"/>
    </cacheField>
    <cacheField name="08.1.1 Q1 - The Guidance addresses the challenges" numFmtId="0">
      <sharedItems containsSemiMixedTypes="0" containsString="0" containsNumber="1" containsInteger="1" minValue="0" maxValue="1"/>
    </cacheField>
    <cacheField name="08.1.2 Q1 - The Guidance does not address the challenges" numFmtId="0">
      <sharedItems containsSemiMixedTypes="0" containsString="0" containsNumber="1" containsInteger="1" minValue="0" maxValue="0"/>
    </cacheField>
    <cacheField name="08.1.3 Q1 - Mixed views on the Guidance addressing the challenges" numFmtId="0">
      <sharedItems containsSemiMixedTypes="0" containsString="0" containsNumber="1" containsInteger="1" minValue="0" maxValue="1"/>
    </cacheField>
    <cacheField name="08.1.4 Q1 - Other comments and recommendations" numFmtId="0">
      <sharedItems containsSemiMixedTypes="0" containsString="0" containsNumber="1" containsInteger="1" minValue="0" maxValue="1"/>
    </cacheField>
    <cacheField name="08.1.5 Q1 - No comment" numFmtId="0">
      <sharedItems containsSemiMixedTypes="0" containsString="0" containsNumber="1" containsInteger="1" minValue="0" maxValue="1"/>
    </cacheField>
    <cacheField name="08.2.1 Q2 - The Guidance is structured in a way that is easy to understand" numFmtId="0">
      <sharedItems containsSemiMixedTypes="0" containsString="0" containsNumber="1" containsInteger="1" minValue="0" maxValue="1"/>
    </cacheField>
    <cacheField name="08.2.2 Q2 - The Guidance is not structured in a way that is easy to understand" numFmtId="0">
      <sharedItems containsSemiMixedTypes="0" containsString="0" containsNumber="1" containsInteger="1" minValue="0" maxValue="0"/>
    </cacheField>
    <cacheField name="08.2.3 Q2 - Mixed views on the structure of the Guidance" numFmtId="0">
      <sharedItems containsSemiMixedTypes="0" containsString="0" containsNumber="1" containsInteger="1" minValue="0" maxValue="1"/>
    </cacheField>
    <cacheField name="08.2.4 Q2 - Other comments and recommendations" numFmtId="0">
      <sharedItems containsSemiMixedTypes="0" containsString="0" containsNumber="1" containsInteger="1" minValue="0" maxValue="0"/>
    </cacheField>
    <cacheField name="08.2.5 Q2 - No comment" numFmtId="0">
      <sharedItems containsSemiMixedTypes="0" containsString="0" containsNumber="1" containsInteger="1" minValue="0" maxValue="1"/>
    </cacheField>
    <cacheField name="09.1.1 Q1 - The Guidance addresses the challenges" numFmtId="0">
      <sharedItems containsSemiMixedTypes="0" containsString="0" containsNumber="1" containsInteger="1" minValue="0" maxValue="1"/>
    </cacheField>
    <cacheField name="09.1.2 Q1 - The Guidance does not address the challenges" numFmtId="0">
      <sharedItems containsSemiMixedTypes="0" containsString="0" containsNumber="1" containsInteger="1" minValue="0" maxValue="0"/>
    </cacheField>
    <cacheField name="09.1.3 Q1 - Mixed views on the Guidance addressing the challenges" numFmtId="0">
      <sharedItems containsSemiMixedTypes="0" containsString="0" containsNumber="1" containsInteger="1" minValue="0" maxValue="1"/>
    </cacheField>
    <cacheField name="09.1.4 Q1 - Other comments and recommendations" numFmtId="0">
      <sharedItems containsSemiMixedTypes="0" containsString="0" containsNumber="1" containsInteger="1" minValue="0" maxValue="1"/>
    </cacheField>
    <cacheField name="09.1.5 Q1 - Comments on Diagram 10" numFmtId="0">
      <sharedItems containsSemiMixedTypes="0" containsString="0" containsNumber="1" containsInteger="1" minValue="0" maxValue="1"/>
    </cacheField>
    <cacheField name="09.1.6 Q1 - No comment" numFmtId="0">
      <sharedItems containsSemiMixedTypes="0" containsString="0" containsNumber="1" containsInteger="1" minValue="0" maxValue="1"/>
    </cacheField>
    <cacheField name="09.2.1 Q2 - The Guidance is structured in a way that is easy to understand" numFmtId="0">
      <sharedItems containsSemiMixedTypes="0" containsString="0" containsNumber="1" containsInteger="1" minValue="0" maxValue="1"/>
    </cacheField>
    <cacheField name="09.2.2 Q2- The Guidance is not structured in a way that is easy to understand" numFmtId="0">
      <sharedItems containsSemiMixedTypes="0" containsString="0" containsNumber="1" containsInteger="1" minValue="0" maxValue="0"/>
    </cacheField>
    <cacheField name="09.2.3 Q2 - Mixed views on the structure of the Guidance" numFmtId="0">
      <sharedItems containsSemiMixedTypes="0" containsString="0" containsNumber="1" containsInteger="1" minValue="0" maxValue="1"/>
    </cacheField>
    <cacheField name="09.2.4 Q2 - Other comments and recommendations" numFmtId="0">
      <sharedItems containsSemiMixedTypes="0" containsString="0" containsNumber="1" containsInteger="1" minValue="0" maxValue="0"/>
    </cacheField>
    <cacheField name="09.2.5 Q2 - No comment" numFmtId="0">
      <sharedItems containsSemiMixedTypes="0" containsString="0" containsNumber="1" containsInteger="1" minValue="0" maxValue="1"/>
    </cacheField>
    <cacheField name="10.1.1 Q1 - The Guidance addresses the challenges" numFmtId="0">
      <sharedItems containsSemiMixedTypes="0" containsString="0" containsNumber="1" containsInteger="1" minValue="0" maxValue="1"/>
    </cacheField>
    <cacheField name="10.1.2 Q1 - The Guidance does not address the challenges" numFmtId="0">
      <sharedItems containsSemiMixedTypes="0" containsString="0" containsNumber="1" containsInteger="1" minValue="0" maxValue="0"/>
    </cacheField>
    <cacheField name="10.1.3 Q1 - Mixed views on the Guidance addressing the challenges" numFmtId="0">
      <sharedItems containsSemiMixedTypes="0" containsString="0" containsNumber="1" containsInteger="1" minValue="0" maxValue="1"/>
    </cacheField>
    <cacheField name="10.1.4 Q1 - Other Comments and Recommendations" numFmtId="0">
      <sharedItems containsSemiMixedTypes="0" containsString="0" containsNumber="1" containsInteger="1" minValue="0" maxValue="1"/>
    </cacheField>
    <cacheField name="10.1.5 Q1 - No comment" numFmtId="0">
      <sharedItems containsSemiMixedTypes="0" containsString="0" containsNumber="1" containsInteger="1" minValue="0" maxValue="1"/>
    </cacheField>
    <cacheField name="10.2.1 Q2 - The Guidance is structured in a way that is easy to understand" numFmtId="0">
      <sharedItems containsSemiMixedTypes="0" containsString="0" containsNumber="1" containsInteger="1" minValue="0" maxValue="1"/>
    </cacheField>
    <cacheField name="10.2.2 Q2 - The Guidance is not structured in a way that is easy to understand" numFmtId="0">
      <sharedItems containsSemiMixedTypes="0" containsString="0" containsNumber="1" containsInteger="1" minValue="0" maxValue="0"/>
    </cacheField>
    <cacheField name="10.2.3 Q2 - Mixed views on the structure of the Guidance" numFmtId="0">
      <sharedItems containsSemiMixedTypes="0" containsString="0" containsNumber="1" containsInteger="1" minValue="0" maxValue="1"/>
    </cacheField>
    <cacheField name="10.2.4 Q2 - Other comments and recommendations" numFmtId="0">
      <sharedItems containsSemiMixedTypes="0" containsString="0" containsNumber="1" containsInteger="1" minValue="0" maxValue="0"/>
    </cacheField>
    <cacheField name="10.2.5 Q2 - No comment" numFmtId="0">
      <sharedItems containsSemiMixedTypes="0" containsString="0" containsNumber="1" containsInteger="1" minValue="0" maxValue="1"/>
    </cacheField>
    <cacheField name="11.1.1 Q1 - The Guidance addresses the challenges" numFmtId="0">
      <sharedItems containsSemiMixedTypes="0" containsString="0" containsNumber="1" containsInteger="1" minValue="0" maxValue="1"/>
    </cacheField>
    <cacheField name="11.1.2 Q1 - The Guidance does not address the challenges" numFmtId="0">
      <sharedItems containsSemiMixedTypes="0" containsString="0" containsNumber="1" containsInteger="1" minValue="0" maxValue="0"/>
    </cacheField>
    <cacheField name="11.1.3 Q1 - Mixed views on the Guidance addressing the challenges" numFmtId="0">
      <sharedItems containsSemiMixedTypes="0" containsString="0" containsNumber="1" containsInteger="1" minValue="0" maxValue="1"/>
    </cacheField>
    <cacheField name="11.1.4 Q1 - Other comments and recommendations" numFmtId="0">
      <sharedItems containsSemiMixedTypes="0" containsString="0" containsNumber="1" containsInteger="1" minValue="0" maxValue="1"/>
    </cacheField>
    <cacheField name="11.1.5 Q1 - No comment" numFmtId="0">
      <sharedItems containsSemiMixedTypes="0" containsString="0" containsNumber="1" containsInteger="1" minValue="0" maxValue="1"/>
    </cacheField>
    <cacheField name="11.2.1 Q2 - The Guidance is structured in a way that is easy to understand" numFmtId="0">
      <sharedItems containsSemiMixedTypes="0" containsString="0" containsNumber="1" containsInteger="1" minValue="0" maxValue="1"/>
    </cacheField>
    <cacheField name="11.2.2 Q2 - The Guidance is not structured in a way that is easy to understand" numFmtId="0">
      <sharedItems containsSemiMixedTypes="0" containsString="0" containsNumber="1" containsInteger="1" minValue="0" maxValue="0"/>
    </cacheField>
    <cacheField name="11.2.3 Q2 - Mixed views on the structure of the Guidance" numFmtId="0">
      <sharedItems containsSemiMixedTypes="0" containsString="0" containsNumber="1" containsInteger="1" minValue="0" maxValue="1"/>
    </cacheField>
    <cacheField name="11.2.4 Q2 - Other comments and recommendations" numFmtId="0">
      <sharedItems containsSemiMixedTypes="0" containsString="0" containsNumber="1" containsInteger="1" minValue="0" maxValue="0"/>
    </cacheField>
    <cacheField name="11.2.5 Q2 - No comment" numFmtId="0">
      <sharedItems containsSemiMixedTypes="0" containsString="0" containsNumber="1" containsInteger="1" minValue="0" maxValue="1"/>
    </cacheField>
    <cacheField name="12.1.1 Q1 - The Guidance addresses the challenges" numFmtId="0">
      <sharedItems containsSemiMixedTypes="0" containsString="0" containsNumber="1" containsInteger="1" minValue="0" maxValue="1"/>
    </cacheField>
    <cacheField name="12.1.2 Q1 - The Guidance does not address the challenges" numFmtId="0">
      <sharedItems containsSemiMixedTypes="0" containsString="0" containsNumber="1" containsInteger="1" minValue="0" maxValue="0"/>
    </cacheField>
    <cacheField name="12.1.3 Q1 - Mixed views on the Guidance addressing the challenges" numFmtId="0">
      <sharedItems containsSemiMixedTypes="0" containsString="0" containsNumber="1" containsInteger="1" minValue="0" maxValue="1"/>
    </cacheField>
    <cacheField name="12.1.4 Q1 - Other comments and recommendations" numFmtId="0">
      <sharedItems containsSemiMixedTypes="0" containsString="0" containsNumber="1" containsInteger="1" minValue="0" maxValue="1"/>
    </cacheField>
    <cacheField name="12.1.5 Q1 - No comment" numFmtId="0">
      <sharedItems containsSemiMixedTypes="0" containsString="0" containsNumber="1" containsInteger="1" minValue="0" maxValue="1"/>
    </cacheField>
    <cacheField name="12.2.1 Q2 - The Guidance is structured in a way that is easy to understand" numFmtId="0">
      <sharedItems containsSemiMixedTypes="0" containsString="0" containsNumber="1" containsInteger="1" minValue="0" maxValue="1"/>
    </cacheField>
    <cacheField name="12.2.2 Q2 - The Guidance is not structured in a way that is easy to understand" numFmtId="0">
      <sharedItems containsSemiMixedTypes="0" containsString="0" containsNumber="1" containsInteger="1" minValue="0" maxValue="0"/>
    </cacheField>
    <cacheField name="12.2.3 Q2 - Mixed views on the structure of the Guidance" numFmtId="0">
      <sharedItems containsSemiMixedTypes="0" containsString="0" containsNumber="1" containsInteger="1" minValue="0" maxValue="1"/>
    </cacheField>
    <cacheField name="12.2.4 Q2 - Other comments and recommendations" numFmtId="0">
      <sharedItems containsSemiMixedTypes="0" containsString="0" containsNumber="1" containsInteger="1" minValue="0" maxValue="0"/>
    </cacheField>
    <cacheField name="12.2.5 Q2 - No comment" numFmtId="0">
      <sharedItems containsSemiMixedTypes="0" containsString="0" containsNumber="1" containsInteger="1" minValue="0" maxValue="1"/>
    </cacheField>
    <cacheField name="13.1 Supportive comments" numFmtId="0">
      <sharedItems containsSemiMixedTypes="0" containsString="0" containsNumber="1" containsInteger="1" minValue="0" maxValue="1"/>
    </cacheField>
    <cacheField name="13.2 Improvements required" numFmtId="0">
      <sharedItems containsSemiMixedTypes="0" containsString="0" containsNumber="1" containsInteger="1" minValue="0" maxValue="1"/>
    </cacheField>
    <cacheField name="13.3 No particular view" numFmtId="0">
      <sharedItems containsSemiMixedTypes="0" containsString="0" containsNumber="1" containsInteger="1" minValue="0" maxValue="1"/>
    </cacheField>
    <cacheField name="13.4 Not supported" numFmtId="0">
      <sharedItems containsSemiMixedTypes="0" containsString="0" containsNumber="1" containsInteger="1" minValue="0" maxValue="1"/>
    </cacheField>
    <cacheField name="14.1 Supportive comments" numFmtId="0">
      <sharedItems containsSemiMixedTypes="0" containsString="0" containsNumber="1" containsInteger="1" minValue="0" maxValue="1"/>
    </cacheField>
    <cacheField name="14.2 Improvements required" numFmtId="0">
      <sharedItems containsSemiMixedTypes="0" containsString="0" containsNumber="1" containsInteger="1" minValue="0" maxValue="1"/>
    </cacheField>
    <cacheField name="14.3 No particular view" numFmtId="0">
      <sharedItems containsSemiMixedTypes="0" containsString="0" containsNumber="1" containsInteger="1" minValue="0" maxValue="1"/>
    </cacheField>
    <cacheField name="14.3 Suggestions for new examples" numFmtId="0">
      <sharedItems containsSemiMixedTypes="0" containsString="0" containsNumber="1" containsInteger="1" minValue="0" maxValue="1"/>
    </cacheField>
    <cacheField name="15.1.1 Prepareres of EER reports" numFmtId="0">
      <sharedItems containsSemiMixedTypes="0" containsString="0" containsNumber="1" containsInteger="1" minValue="0" maxValue="0"/>
    </cacheField>
    <cacheField name="15.1.2 Users of EER reports" numFmtId="0">
      <sharedItems containsSemiMixedTypes="0" containsString="0" containsNumber="1" containsInteger="1" minValue="0" maxValue="0"/>
    </cacheField>
    <cacheField name="15.1.3 Public Sector" numFmtId="0">
      <sharedItems containsSemiMixedTypes="0" containsString="0" containsNumber="1" containsInteger="1" minValue="0" maxValue="1"/>
    </cacheField>
    <cacheField name="15.1.4 Other" numFmtId="0">
      <sharedItems containsSemiMixedTypes="0" containsString="0" containsNumber="1" containsInteger="1" minValue="0" maxValue="1"/>
    </cacheField>
    <cacheField name="15.1.5 No particular view" numFmtId="0">
      <sharedItems containsSemiMixedTypes="0" containsString="0" containsNumber="1" containsInteger="1" minValue="0" maxValue="1"/>
    </cacheField>
    <cacheField name="15.2.1 Foresee difficulties" numFmtId="0">
      <sharedItems containsSemiMixedTypes="0" containsString="0" containsNumber="1" containsInteger="1" minValue="0" maxValue="1"/>
    </cacheField>
    <cacheField name="15.2.2 Do not foresee difficulties" numFmtId="0">
      <sharedItems containsSemiMixedTypes="0" containsString="0" containsNumber="1" containsInteger="1" minValue="0" maxValue="1"/>
    </cacheField>
    <cacheField name="15.2.3 No particular view" numFmtId="0">
      <sharedItems containsSemiMixedTypes="0" containsString="0" containsNumber="1" containsInteger="1" minValue="0" maxValue="1"/>
    </cacheField>
    <cacheField name="15.3.1 Foresee difficulties" numFmtId="0">
      <sharedItems containsSemiMixedTypes="0" containsString="0" containsNumber="1" containsInteger="1" minValue="0" maxValue="1"/>
    </cacheField>
    <cacheField name="15.3.2 Do not foresee difficulties" numFmtId="0">
      <sharedItems containsSemiMixedTypes="0" containsString="0" containsNumber="1" containsInteger="1" minValue="0" maxValue="1"/>
    </cacheField>
    <cacheField name="15.3.3  No particular view" numFmtId="0">
      <sharedItems containsSemiMixedTypes="0" containsString="0" containsNumber="1" containsInteger="1" minValue="0" maxValue="1"/>
    </cacheField>
    <cacheField name="16.1 Integrated Reporting or TCFD" numFmtId="0">
      <sharedItems containsSemiMixedTypes="0" containsString="0" containsNumber="1" containsInteger="1" minValue="0" maxValue="1"/>
    </cacheField>
    <cacheField name="16.10 Maturity assessments" numFmtId="0">
      <sharedItems containsSemiMixedTypes="0" containsString="0" containsNumber="1" containsInteger="1" minValue="0" maxValue="1"/>
    </cacheField>
    <cacheField name="16.11 Multilocation engagements" numFmtId="0">
      <sharedItems containsSemiMixedTypes="0" containsString="0" containsNumber="1" containsInteger="1" minValue="0" maxValue="1"/>
    </cacheField>
    <cacheField name="16.12 Appendices" numFmtId="0">
      <sharedItems containsSemiMixedTypes="0" containsString="0" containsNumber="1" containsInteger="1" minValue="0" maxValue="1"/>
    </cacheField>
    <cacheField name="16.13 Postive comments" numFmtId="0">
      <sharedItems containsSemiMixedTypes="0" containsString="0" containsNumber="1" containsInteger="1" minValue="0" maxValue="1"/>
    </cacheField>
    <cacheField name="16.14 Qualitative EER information" numFmtId="0">
      <sharedItems containsSemiMixedTypes="0" containsString="0" containsNumber="1" containsInteger="1" minValue="0" maxValue="1"/>
    </cacheField>
    <cacheField name="16.15 Monitoring and post-implementation review" numFmtId="0">
      <sharedItems containsSemiMixedTypes="0" containsString="0" containsNumber="1" containsInteger="1" minValue="0" maxValue="1"/>
    </cacheField>
    <cacheField name="16.15 Other individual comments not related to a particular question" numFmtId="0">
      <sharedItems containsSemiMixedTypes="0" containsString="0" containsNumber="1" containsInteger="1" minValue="0" maxValue="1"/>
    </cacheField>
    <cacheField name="16.2 Limited vs Reasonable" numFmtId="0">
      <sharedItems containsSemiMixedTypes="0" containsString="0" containsNumber="1" containsInteger="1" minValue="0" maxValue="1"/>
    </cacheField>
    <cacheField name="16.3 Professional skepticism" numFmtId="0">
      <sharedItems containsSemiMixedTypes="0" containsString="0" containsNumber="1" containsInteger="1" minValue="0" maxValue="1"/>
    </cacheField>
    <cacheField name="16.4 Structural comments including hyperlinking" numFmtId="0">
      <sharedItems containsSemiMixedTypes="0" containsString="0" containsNumber="1" containsInteger="1" minValue="0" maxValue="1"/>
    </cacheField>
    <cacheField name="16.5 Length of Guidance" numFmtId="0">
      <sharedItems containsSemiMixedTypes="0" containsString="0" containsNumber="1" containsInteger="1" minValue="0" maxValue="1"/>
    </cacheField>
    <cacheField name="16.6 Terminology and use of language" numFmtId="0">
      <sharedItems containsSemiMixedTypes="0" containsString="0" containsNumber="1" containsInteger="1" minValue="0" maxValue="1"/>
    </cacheField>
    <cacheField name="16.7 Need for Guidance or aspects  to be an evolving document" numFmtId="0">
      <sharedItems containsSemiMixedTypes="0" containsString="0" containsNumber="1" containsInteger="1" minValue="0" maxValue="1"/>
    </cacheField>
    <cacheField name="16.8 Need for further examples or point about 'considerations' boxes" numFmtId="0">
      <sharedItems containsSemiMixedTypes="0" containsString="0" containsNumber="1" containsInteger="1" minValue="0" maxValue="1"/>
    </cacheField>
    <cacheField name="16.9 EER Guidance audienc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s v="Cases\\ACCA-CAANZ"/>
    <x v="0"/>
    <s v="Global"/>
    <x v="0"/>
    <n v="0"/>
    <n v="0"/>
    <n v="0"/>
    <n v="1"/>
    <n v="0"/>
    <n v="0"/>
    <n v="0"/>
    <n v="0"/>
    <n v="0"/>
    <n v="0"/>
    <n v="1"/>
    <n v="0"/>
    <n v="0"/>
    <n v="0"/>
    <n v="0"/>
    <n v="1"/>
    <n v="0"/>
    <n v="0"/>
    <n v="0"/>
    <n v="0"/>
    <n v="0"/>
    <n v="1"/>
    <n v="0"/>
    <n v="0"/>
    <n v="1"/>
    <n v="0"/>
    <n v="0"/>
    <n v="0"/>
    <n v="0"/>
    <n v="1"/>
    <n v="0"/>
    <n v="1"/>
    <n v="0"/>
    <n v="0"/>
    <n v="0"/>
    <n v="0"/>
    <n v="0"/>
    <n v="1"/>
    <n v="0"/>
    <n v="0"/>
    <n v="1"/>
    <n v="0"/>
    <n v="0"/>
    <n v="0"/>
    <n v="0"/>
    <n v="0"/>
    <n v="0"/>
    <n v="0"/>
    <n v="1"/>
    <n v="0"/>
    <n v="0"/>
    <n v="1"/>
    <n v="0"/>
    <n v="0"/>
    <n v="0"/>
    <n v="0"/>
    <n v="0"/>
    <n v="0"/>
    <n v="0"/>
    <n v="1"/>
    <n v="0"/>
    <n v="0"/>
    <n v="1"/>
    <n v="0"/>
    <n v="0"/>
    <n v="0"/>
    <n v="0"/>
    <n v="0"/>
    <n v="0"/>
    <n v="1"/>
    <n v="0"/>
    <n v="0"/>
    <n v="0"/>
    <n v="0"/>
    <n v="0"/>
    <n v="0"/>
    <n v="1"/>
    <n v="0"/>
    <n v="0"/>
    <n v="0"/>
    <n v="0"/>
    <n v="1"/>
    <n v="0"/>
    <n v="0"/>
    <n v="1"/>
    <n v="0"/>
    <n v="0"/>
    <n v="0"/>
    <n v="0"/>
    <n v="0"/>
    <n v="0"/>
    <n v="1"/>
    <n v="0"/>
    <n v="0"/>
    <n v="1"/>
    <n v="0"/>
    <n v="0"/>
    <n v="0"/>
    <n v="0"/>
    <n v="0"/>
    <n v="0"/>
    <n v="0"/>
    <n v="1"/>
    <n v="0"/>
    <n v="0"/>
    <n v="0"/>
    <n v="0"/>
    <n v="1"/>
    <n v="0"/>
    <n v="0"/>
    <n v="1"/>
    <n v="0"/>
    <n v="0"/>
    <n v="0"/>
    <n v="0"/>
    <n v="1"/>
    <n v="0"/>
    <n v="0"/>
    <n v="0"/>
    <n v="0"/>
    <n v="1"/>
    <n v="0"/>
    <n v="0"/>
    <n v="0"/>
    <n v="0"/>
    <n v="1"/>
    <n v="0"/>
    <n v="0"/>
    <n v="0"/>
    <n v="0"/>
    <n v="0"/>
    <n v="0"/>
    <n v="1"/>
    <n v="1"/>
    <n v="0"/>
    <n v="0"/>
    <n v="0"/>
    <n v="1"/>
    <n v="0"/>
    <n v="0"/>
    <n v="0"/>
    <n v="0"/>
    <n v="0"/>
    <n v="0"/>
    <n v="0"/>
    <n v="1"/>
    <n v="0"/>
    <n v="0"/>
    <n v="1"/>
    <n v="0"/>
    <n v="0"/>
    <n v="1"/>
    <n v="0"/>
    <n v="1"/>
    <n v="0"/>
    <n v="0"/>
    <n v="1"/>
    <n v="1"/>
    <n v="0"/>
    <n v="0"/>
    <n v="1"/>
    <n v="1"/>
    <n v="1"/>
    <n v="1"/>
    <n v="1"/>
    <n v="0"/>
    <n v="1"/>
    <n v="0"/>
  </r>
  <r>
    <s v="Cases\\AE"/>
    <x v="0"/>
    <s v="Europe"/>
    <x v="1"/>
    <n v="0"/>
    <n v="0"/>
    <n v="0"/>
    <n v="1"/>
    <n v="0"/>
    <n v="0"/>
    <n v="0"/>
    <n v="0"/>
    <n v="0"/>
    <n v="0"/>
    <n v="1"/>
    <n v="0"/>
    <n v="0"/>
    <n v="0"/>
    <n v="0"/>
    <n v="1"/>
    <n v="0"/>
    <n v="0"/>
    <n v="1"/>
    <n v="0"/>
    <n v="0"/>
    <n v="0"/>
    <n v="0"/>
    <n v="0"/>
    <n v="0"/>
    <n v="0"/>
    <n v="1"/>
    <n v="0"/>
    <n v="0"/>
    <n v="0"/>
    <n v="0"/>
    <n v="0"/>
    <n v="1"/>
    <n v="0"/>
    <n v="0"/>
    <n v="0"/>
    <n v="0"/>
    <n v="1"/>
    <n v="0"/>
    <n v="0"/>
    <n v="1"/>
    <n v="0"/>
    <n v="0"/>
    <n v="0"/>
    <n v="0"/>
    <n v="0"/>
    <n v="0"/>
    <n v="0"/>
    <n v="1"/>
    <n v="0"/>
    <n v="0"/>
    <n v="1"/>
    <n v="0"/>
    <n v="0"/>
    <n v="0"/>
    <n v="0"/>
    <n v="0"/>
    <n v="0"/>
    <n v="0"/>
    <n v="1"/>
    <n v="0"/>
    <n v="0"/>
    <n v="0"/>
    <n v="0"/>
    <n v="0"/>
    <n v="0"/>
    <n v="1"/>
    <n v="0"/>
    <n v="0"/>
    <n v="0"/>
    <n v="0"/>
    <n v="1"/>
    <n v="0"/>
    <n v="0"/>
    <n v="0"/>
    <n v="0"/>
    <n v="1"/>
    <n v="0"/>
    <n v="0"/>
    <n v="0"/>
    <n v="0"/>
    <n v="1"/>
    <n v="0"/>
    <n v="0"/>
    <n v="0"/>
    <n v="0"/>
    <n v="1"/>
    <n v="0"/>
    <n v="0"/>
    <n v="0"/>
    <n v="0"/>
    <n v="1"/>
    <n v="0"/>
    <n v="0"/>
    <n v="1"/>
    <n v="0"/>
    <n v="0"/>
    <n v="0"/>
    <n v="0"/>
    <n v="0"/>
    <n v="0"/>
    <n v="0"/>
    <n v="1"/>
    <n v="0"/>
    <n v="0"/>
    <n v="0"/>
    <n v="0"/>
    <n v="1"/>
    <n v="0"/>
    <n v="0"/>
    <n v="1"/>
    <n v="0"/>
    <n v="0"/>
    <n v="0"/>
    <n v="0"/>
    <n v="1"/>
    <n v="0"/>
    <n v="0"/>
    <n v="0"/>
    <n v="0"/>
    <n v="0"/>
    <n v="0"/>
    <n v="1"/>
    <n v="0"/>
    <n v="0"/>
    <n v="1"/>
    <n v="0"/>
    <n v="0"/>
    <n v="0"/>
    <n v="0"/>
    <n v="0"/>
    <n v="0"/>
    <n v="1"/>
    <n v="0"/>
    <n v="0"/>
    <n v="0"/>
    <n v="1"/>
    <n v="1"/>
    <n v="0"/>
    <n v="0"/>
    <n v="0"/>
    <n v="0"/>
    <n v="0"/>
    <n v="0"/>
    <n v="0"/>
    <n v="1"/>
    <n v="0"/>
    <n v="0"/>
    <n v="1"/>
    <n v="0"/>
    <n v="0"/>
    <n v="1"/>
    <n v="0"/>
    <n v="0"/>
    <n v="0"/>
    <n v="0"/>
    <n v="1"/>
    <n v="0"/>
    <n v="0"/>
    <n v="1"/>
    <n v="1"/>
    <n v="1"/>
    <n v="0"/>
    <n v="0"/>
    <n v="0"/>
    <n v="1"/>
    <n v="0"/>
    <n v="0"/>
  </r>
  <r>
    <s v="Cases\\AGA"/>
    <x v="1"/>
    <s v="North America"/>
    <x v="2"/>
    <n v="0"/>
    <n v="0"/>
    <n v="0"/>
    <n v="1"/>
    <n v="0"/>
    <n v="0"/>
    <n v="0"/>
    <n v="0"/>
    <n v="0"/>
    <n v="0"/>
    <n v="1"/>
    <n v="0"/>
    <n v="0"/>
    <n v="0"/>
    <n v="0"/>
    <n v="1"/>
    <n v="0"/>
    <n v="0"/>
    <n v="0"/>
    <n v="0"/>
    <n v="0"/>
    <n v="1"/>
    <n v="0"/>
    <n v="0"/>
    <n v="0"/>
    <n v="0"/>
    <n v="1"/>
    <n v="0"/>
    <n v="0"/>
    <n v="1"/>
    <n v="0"/>
    <n v="0"/>
    <n v="0"/>
    <n v="0"/>
    <n v="0"/>
    <n v="0"/>
    <n v="0"/>
    <n v="1"/>
    <n v="0"/>
    <n v="0"/>
    <n v="0"/>
    <n v="0"/>
    <n v="0"/>
    <n v="1"/>
    <n v="0"/>
    <n v="0"/>
    <n v="0"/>
    <n v="0"/>
    <n v="1"/>
    <n v="0"/>
    <n v="0"/>
    <n v="1"/>
    <n v="0"/>
    <n v="0"/>
    <n v="0"/>
    <n v="0"/>
    <n v="0"/>
    <n v="0"/>
    <n v="0"/>
    <n v="1"/>
    <n v="0"/>
    <n v="0"/>
    <n v="1"/>
    <n v="0"/>
    <n v="0"/>
    <n v="0"/>
    <n v="0"/>
    <n v="0"/>
    <n v="0"/>
    <n v="0"/>
    <n v="0"/>
    <n v="1"/>
    <n v="0"/>
    <n v="0"/>
    <n v="0"/>
    <n v="0"/>
    <n v="1"/>
    <n v="0"/>
    <n v="0"/>
    <n v="0"/>
    <n v="0"/>
    <n v="1"/>
    <n v="0"/>
    <n v="0"/>
    <n v="0"/>
    <n v="0"/>
    <n v="1"/>
    <n v="0"/>
    <n v="0"/>
    <n v="0"/>
    <n v="0"/>
    <n v="1"/>
    <n v="0"/>
    <n v="0"/>
    <n v="0"/>
    <n v="0"/>
    <n v="0"/>
    <n v="1"/>
    <n v="0"/>
    <n v="0"/>
    <n v="0"/>
    <n v="0"/>
    <n v="1"/>
    <n v="0"/>
    <n v="0"/>
    <n v="1"/>
    <n v="0"/>
    <n v="0"/>
    <n v="0"/>
    <n v="0"/>
    <n v="0"/>
    <n v="0"/>
    <n v="1"/>
    <n v="0"/>
    <n v="0"/>
    <n v="0"/>
    <n v="0"/>
    <n v="1"/>
    <n v="0"/>
    <n v="0"/>
    <n v="0"/>
    <n v="0"/>
    <n v="1"/>
    <n v="0"/>
    <n v="0"/>
    <n v="0"/>
    <n v="0"/>
    <n v="1"/>
    <n v="0"/>
    <n v="0"/>
    <n v="0"/>
    <n v="0"/>
    <n v="1"/>
    <n v="0"/>
    <n v="0"/>
    <n v="1"/>
    <n v="0"/>
    <n v="0"/>
    <n v="0"/>
    <n v="1"/>
    <n v="0"/>
    <n v="0"/>
    <n v="0"/>
    <n v="1"/>
    <n v="0"/>
    <n v="0"/>
    <n v="0"/>
    <n v="0"/>
    <n v="1"/>
    <n v="0"/>
    <n v="0"/>
    <n v="1"/>
    <n v="0"/>
    <n v="0"/>
    <n v="0"/>
    <n v="0"/>
    <n v="1"/>
    <n v="0"/>
    <n v="0"/>
    <n v="0"/>
    <n v="0"/>
    <n v="0"/>
    <n v="0"/>
    <n v="1"/>
    <n v="0"/>
    <n v="1"/>
    <n v="0"/>
    <n v="0"/>
  </r>
  <r>
    <s v="Cases\\AGNZ"/>
    <x v="1"/>
    <s v="Asia Pacific"/>
    <x v="3"/>
    <n v="0"/>
    <n v="0"/>
    <n v="0"/>
    <n v="1"/>
    <n v="0"/>
    <n v="0"/>
    <n v="1"/>
    <n v="0"/>
    <n v="0"/>
    <n v="0"/>
    <n v="0"/>
    <n v="0"/>
    <n v="0"/>
    <n v="1"/>
    <n v="0"/>
    <n v="0"/>
    <n v="0"/>
    <n v="0"/>
    <n v="1"/>
    <n v="0"/>
    <n v="0"/>
    <n v="0"/>
    <n v="0"/>
    <n v="0"/>
    <n v="1"/>
    <n v="0"/>
    <n v="0"/>
    <n v="0"/>
    <n v="0"/>
    <n v="1"/>
    <n v="0"/>
    <n v="0"/>
    <n v="0"/>
    <n v="0"/>
    <n v="0"/>
    <n v="1"/>
    <n v="0"/>
    <n v="0"/>
    <n v="0"/>
    <n v="0"/>
    <n v="1"/>
    <n v="0"/>
    <n v="0"/>
    <n v="0"/>
    <n v="0"/>
    <n v="0"/>
    <n v="1"/>
    <n v="0"/>
    <n v="0"/>
    <n v="0"/>
    <n v="0"/>
    <n v="1"/>
    <n v="0"/>
    <n v="0"/>
    <n v="0"/>
    <n v="0"/>
    <n v="0"/>
    <n v="1"/>
    <n v="0"/>
    <n v="0"/>
    <n v="0"/>
    <n v="0"/>
    <n v="1"/>
    <n v="0"/>
    <n v="1"/>
    <n v="0"/>
    <n v="0"/>
    <n v="0"/>
    <n v="0"/>
    <n v="1"/>
    <n v="0"/>
    <n v="0"/>
    <n v="0"/>
    <n v="0"/>
    <n v="0"/>
    <n v="0"/>
    <n v="1"/>
    <n v="0"/>
    <n v="0"/>
    <n v="0"/>
    <n v="0"/>
    <n v="1"/>
    <n v="0"/>
    <n v="0"/>
    <n v="1"/>
    <n v="0"/>
    <n v="0"/>
    <n v="0"/>
    <n v="0"/>
    <n v="0"/>
    <n v="0"/>
    <n v="1"/>
    <n v="0"/>
    <n v="0"/>
    <n v="1"/>
    <n v="0"/>
    <n v="0"/>
    <n v="0"/>
    <n v="0"/>
    <n v="0"/>
    <n v="0"/>
    <n v="0"/>
    <n v="1"/>
    <n v="0"/>
    <n v="0"/>
    <n v="0"/>
    <n v="0"/>
    <n v="1"/>
    <n v="0"/>
    <n v="0"/>
    <n v="0"/>
    <n v="0"/>
    <n v="1"/>
    <n v="0"/>
    <n v="0"/>
    <n v="1"/>
    <n v="0"/>
    <n v="0"/>
    <n v="0"/>
    <n v="0"/>
    <n v="1"/>
    <n v="0"/>
    <n v="0"/>
    <n v="0"/>
    <n v="0"/>
    <n v="1"/>
    <n v="0"/>
    <n v="0"/>
    <n v="0"/>
    <n v="0"/>
    <n v="1"/>
    <n v="0"/>
    <n v="0"/>
    <n v="0"/>
    <n v="0"/>
    <n v="1"/>
    <n v="0"/>
    <n v="0"/>
    <n v="0"/>
    <n v="1"/>
    <n v="0"/>
    <n v="0"/>
    <n v="0"/>
    <n v="0"/>
    <n v="0"/>
    <n v="1"/>
    <n v="0"/>
    <n v="0"/>
    <n v="1"/>
    <n v="0"/>
    <n v="0"/>
    <n v="1"/>
    <n v="1"/>
    <n v="0"/>
    <n v="0"/>
    <n v="0"/>
    <n v="0"/>
    <n v="0"/>
    <n v="0"/>
    <n v="0"/>
    <n v="0"/>
    <n v="1"/>
    <n v="1"/>
    <n v="1"/>
    <n v="1"/>
    <n v="1"/>
    <n v="0"/>
    <n v="1"/>
  </r>
  <r>
    <s v="Cases\\AGSA"/>
    <x v="1"/>
    <s v="Middle East and Africa"/>
    <x v="4"/>
    <n v="0"/>
    <n v="0"/>
    <n v="0"/>
    <n v="1"/>
    <n v="1"/>
    <n v="0"/>
    <n v="0"/>
    <n v="0"/>
    <n v="0"/>
    <n v="0"/>
    <n v="0"/>
    <n v="0"/>
    <n v="0"/>
    <n v="0"/>
    <n v="0"/>
    <n v="1"/>
    <n v="1"/>
    <n v="0"/>
    <n v="0"/>
    <n v="0"/>
    <n v="0"/>
    <n v="0"/>
    <n v="0"/>
    <n v="0"/>
    <n v="0"/>
    <n v="0"/>
    <n v="1"/>
    <n v="1"/>
    <n v="0"/>
    <n v="0"/>
    <n v="0"/>
    <n v="0"/>
    <n v="0"/>
    <n v="0"/>
    <n v="0"/>
    <n v="0"/>
    <n v="0"/>
    <n v="1"/>
    <n v="1"/>
    <n v="0"/>
    <n v="0"/>
    <n v="0"/>
    <n v="0"/>
    <n v="0"/>
    <n v="0"/>
    <n v="0"/>
    <n v="0"/>
    <n v="0"/>
    <n v="1"/>
    <n v="1"/>
    <n v="0"/>
    <n v="0"/>
    <n v="0"/>
    <n v="0"/>
    <n v="0"/>
    <n v="0"/>
    <n v="0"/>
    <n v="0"/>
    <n v="0"/>
    <n v="1"/>
    <n v="1"/>
    <n v="0"/>
    <n v="0"/>
    <n v="0"/>
    <n v="0"/>
    <n v="0"/>
    <n v="0"/>
    <n v="0"/>
    <n v="0"/>
    <n v="0"/>
    <n v="0"/>
    <n v="1"/>
    <n v="0"/>
    <n v="0"/>
    <n v="1"/>
    <n v="0"/>
    <n v="0"/>
    <n v="0"/>
    <n v="0"/>
    <n v="0"/>
    <n v="0"/>
    <n v="1"/>
    <n v="0"/>
    <n v="0"/>
    <n v="1"/>
    <n v="0"/>
    <n v="0"/>
    <n v="0"/>
    <n v="0"/>
    <n v="0"/>
    <n v="0"/>
    <n v="1"/>
    <n v="0"/>
    <n v="0"/>
    <n v="1"/>
    <n v="0"/>
    <n v="0"/>
    <n v="0"/>
    <n v="0"/>
    <n v="0"/>
    <n v="0"/>
    <n v="0"/>
    <n v="1"/>
    <n v="0"/>
    <n v="0"/>
    <n v="0"/>
    <n v="0"/>
    <n v="1"/>
    <n v="0"/>
    <n v="0"/>
    <n v="0"/>
    <n v="0"/>
    <n v="1"/>
    <n v="0"/>
    <n v="0"/>
    <n v="1"/>
    <n v="0"/>
    <n v="0"/>
    <n v="0"/>
    <n v="0"/>
    <n v="0"/>
    <n v="0"/>
    <n v="1"/>
    <n v="0"/>
    <n v="0"/>
    <n v="1"/>
    <n v="0"/>
    <n v="0"/>
    <n v="0"/>
    <n v="0"/>
    <n v="0"/>
    <n v="0"/>
    <n v="1"/>
    <n v="0"/>
    <n v="0"/>
    <n v="1"/>
    <n v="0"/>
    <n v="0"/>
    <n v="1"/>
    <n v="0"/>
    <n v="0"/>
    <n v="0"/>
    <n v="0"/>
    <n v="0"/>
    <n v="0"/>
    <n v="1"/>
    <n v="0"/>
    <n v="0"/>
    <n v="1"/>
    <n v="0"/>
    <n v="0"/>
    <n v="1"/>
    <n v="0"/>
    <n v="0"/>
    <n v="0"/>
    <n v="0"/>
    <n v="0"/>
    <n v="0"/>
    <n v="0"/>
    <n v="1"/>
    <n v="0"/>
    <n v="0"/>
    <n v="0"/>
    <n v="0"/>
    <n v="0"/>
    <n v="0"/>
    <n v="0"/>
    <n v="0"/>
  </r>
  <r>
    <s v="Cases\\AICPA"/>
    <x v="0"/>
    <s v="North America"/>
    <x v="5"/>
    <n v="0"/>
    <n v="0"/>
    <n v="1"/>
    <n v="0"/>
    <n v="0"/>
    <n v="0"/>
    <n v="1"/>
    <n v="0"/>
    <n v="0"/>
    <n v="0"/>
    <n v="0"/>
    <n v="0"/>
    <n v="0"/>
    <n v="0"/>
    <n v="0"/>
    <n v="1"/>
    <n v="0"/>
    <n v="0"/>
    <n v="1"/>
    <n v="0"/>
    <n v="1"/>
    <n v="0"/>
    <n v="0"/>
    <n v="0"/>
    <n v="0"/>
    <n v="0"/>
    <n v="1"/>
    <n v="0"/>
    <n v="0"/>
    <n v="1"/>
    <n v="1"/>
    <n v="0"/>
    <n v="0"/>
    <n v="0"/>
    <n v="0"/>
    <n v="0"/>
    <n v="0"/>
    <n v="1"/>
    <n v="0"/>
    <n v="0"/>
    <n v="1"/>
    <n v="0"/>
    <n v="0"/>
    <n v="0"/>
    <n v="0"/>
    <n v="0"/>
    <n v="1"/>
    <n v="0"/>
    <n v="0"/>
    <n v="0"/>
    <n v="0"/>
    <n v="1"/>
    <n v="0"/>
    <n v="0"/>
    <n v="0"/>
    <n v="0"/>
    <n v="0"/>
    <n v="0"/>
    <n v="0"/>
    <n v="1"/>
    <n v="0"/>
    <n v="0"/>
    <n v="1"/>
    <n v="0"/>
    <n v="0"/>
    <n v="0"/>
    <n v="0"/>
    <n v="0"/>
    <n v="0"/>
    <n v="0"/>
    <n v="0"/>
    <n v="1"/>
    <n v="0"/>
    <n v="0"/>
    <n v="0"/>
    <n v="0"/>
    <n v="1"/>
    <n v="0"/>
    <n v="0"/>
    <n v="0"/>
    <n v="0"/>
    <n v="1"/>
    <n v="0"/>
    <n v="0"/>
    <n v="1"/>
    <n v="0"/>
    <n v="0"/>
    <n v="0"/>
    <n v="0"/>
    <n v="0"/>
    <n v="0"/>
    <n v="1"/>
    <n v="0"/>
    <n v="0"/>
    <n v="1"/>
    <n v="0"/>
    <n v="1"/>
    <n v="0"/>
    <n v="0"/>
    <n v="0"/>
    <n v="0"/>
    <n v="0"/>
    <n v="1"/>
    <n v="0"/>
    <n v="0"/>
    <n v="0"/>
    <n v="0"/>
    <n v="1"/>
    <n v="0"/>
    <n v="0"/>
    <n v="0"/>
    <n v="0"/>
    <n v="1"/>
    <n v="1"/>
    <n v="0"/>
    <n v="0"/>
    <n v="0"/>
    <n v="0"/>
    <n v="0"/>
    <n v="0"/>
    <n v="1"/>
    <n v="0"/>
    <n v="0"/>
    <n v="1"/>
    <n v="0"/>
    <n v="0"/>
    <n v="0"/>
    <n v="0"/>
    <n v="0"/>
    <n v="0"/>
    <n v="1"/>
    <n v="0"/>
    <n v="0"/>
    <n v="0"/>
    <n v="0"/>
    <n v="1"/>
    <n v="0"/>
    <n v="0"/>
    <n v="0"/>
    <n v="1"/>
    <n v="0"/>
    <n v="0"/>
    <n v="0"/>
    <n v="0"/>
    <n v="0"/>
    <n v="1"/>
    <n v="0"/>
    <n v="0"/>
    <n v="1"/>
    <n v="0"/>
    <n v="0"/>
    <n v="1"/>
    <n v="0"/>
    <n v="0"/>
    <n v="1"/>
    <n v="0"/>
    <n v="0"/>
    <n v="1"/>
    <n v="0"/>
    <n v="1"/>
    <n v="0"/>
    <n v="0"/>
    <n v="1"/>
    <n v="1"/>
    <n v="1"/>
    <n v="0"/>
    <n v="0"/>
    <n v="0"/>
  </r>
  <r>
    <s v="Cases\\ASSIREVI"/>
    <x v="0"/>
    <s v="Europe"/>
    <x v="6"/>
    <n v="0"/>
    <n v="0"/>
    <n v="0"/>
    <n v="1"/>
    <n v="0"/>
    <n v="0"/>
    <n v="1"/>
    <n v="0"/>
    <n v="0"/>
    <n v="0"/>
    <n v="0"/>
    <n v="0"/>
    <n v="0"/>
    <n v="0"/>
    <n v="0"/>
    <n v="1"/>
    <n v="1"/>
    <n v="0"/>
    <n v="0"/>
    <n v="1"/>
    <n v="1"/>
    <n v="0"/>
    <n v="1"/>
    <n v="0"/>
    <n v="0"/>
    <n v="1"/>
    <n v="0"/>
    <n v="0"/>
    <n v="0"/>
    <n v="1"/>
    <n v="0"/>
    <n v="1"/>
    <n v="0"/>
    <n v="0"/>
    <n v="0"/>
    <n v="0"/>
    <n v="0"/>
    <n v="1"/>
    <n v="0"/>
    <n v="0"/>
    <n v="1"/>
    <n v="0"/>
    <n v="0"/>
    <n v="0"/>
    <n v="0"/>
    <n v="0"/>
    <n v="0"/>
    <n v="0"/>
    <n v="1"/>
    <n v="0"/>
    <n v="0"/>
    <n v="1"/>
    <n v="0"/>
    <n v="0"/>
    <n v="0"/>
    <n v="0"/>
    <n v="0"/>
    <n v="0"/>
    <n v="0"/>
    <n v="1"/>
    <n v="0"/>
    <n v="0"/>
    <n v="1"/>
    <n v="0"/>
    <n v="0"/>
    <n v="0"/>
    <n v="0"/>
    <n v="0"/>
    <n v="0"/>
    <n v="1"/>
    <n v="0"/>
    <n v="0"/>
    <n v="0"/>
    <n v="0"/>
    <n v="1"/>
    <n v="0"/>
    <n v="0"/>
    <n v="0"/>
    <n v="0"/>
    <n v="0"/>
    <n v="0"/>
    <n v="1"/>
    <n v="0"/>
    <n v="0"/>
    <n v="1"/>
    <n v="0"/>
    <n v="0"/>
    <n v="0"/>
    <n v="0"/>
    <n v="0"/>
    <n v="0"/>
    <n v="1"/>
    <n v="0"/>
    <n v="0"/>
    <n v="1"/>
    <n v="0"/>
    <n v="1"/>
    <n v="0"/>
    <n v="0"/>
    <n v="0"/>
    <n v="0"/>
    <n v="0"/>
    <n v="1"/>
    <n v="0"/>
    <n v="0"/>
    <n v="1"/>
    <n v="0"/>
    <n v="0"/>
    <n v="0"/>
    <n v="0"/>
    <n v="0"/>
    <n v="0"/>
    <n v="1"/>
    <n v="0"/>
    <n v="0"/>
    <n v="1"/>
    <n v="0"/>
    <n v="0"/>
    <n v="0"/>
    <n v="0"/>
    <n v="0"/>
    <n v="0"/>
    <n v="1"/>
    <n v="0"/>
    <n v="0"/>
    <n v="1"/>
    <n v="0"/>
    <n v="0"/>
    <n v="0"/>
    <n v="0"/>
    <n v="0"/>
    <n v="0"/>
    <n v="1"/>
    <n v="0"/>
    <n v="0"/>
    <n v="1"/>
    <n v="0"/>
    <n v="0"/>
    <n v="0"/>
    <n v="1"/>
    <n v="0"/>
    <n v="0"/>
    <n v="0"/>
    <n v="0"/>
    <n v="0"/>
    <n v="1"/>
    <n v="0"/>
    <n v="0"/>
    <n v="1"/>
    <n v="0"/>
    <n v="0"/>
    <n v="1"/>
    <n v="0"/>
    <n v="0"/>
    <n v="0"/>
    <n v="0"/>
    <n v="1"/>
    <n v="0"/>
    <n v="0"/>
    <n v="1"/>
    <n v="1"/>
    <n v="0"/>
    <n v="1"/>
    <n v="0"/>
    <n v="0"/>
    <n v="0"/>
    <n v="1"/>
    <n v="0"/>
  </r>
  <r>
    <s v="Cases\\AUASB"/>
    <x v="2"/>
    <s v="Asia Pacific"/>
    <x v="7"/>
    <n v="0"/>
    <n v="0"/>
    <n v="1"/>
    <n v="0"/>
    <n v="0"/>
    <n v="0"/>
    <n v="1"/>
    <n v="1"/>
    <n v="0"/>
    <n v="0"/>
    <n v="0"/>
    <n v="0"/>
    <n v="0"/>
    <n v="0"/>
    <n v="0"/>
    <n v="1"/>
    <n v="0"/>
    <n v="0"/>
    <n v="1"/>
    <n v="0"/>
    <n v="0"/>
    <n v="0"/>
    <n v="0"/>
    <n v="0"/>
    <n v="0"/>
    <n v="0"/>
    <n v="1"/>
    <n v="0"/>
    <n v="0"/>
    <n v="1"/>
    <n v="0"/>
    <n v="1"/>
    <n v="0"/>
    <n v="0"/>
    <n v="0"/>
    <n v="1"/>
    <n v="0"/>
    <n v="0"/>
    <n v="1"/>
    <n v="0"/>
    <n v="0"/>
    <n v="0"/>
    <n v="1"/>
    <n v="0"/>
    <n v="0"/>
    <n v="0"/>
    <n v="0"/>
    <n v="0"/>
    <n v="1"/>
    <n v="0"/>
    <n v="0"/>
    <n v="1"/>
    <n v="0"/>
    <n v="0"/>
    <n v="0"/>
    <n v="0"/>
    <n v="0"/>
    <n v="0"/>
    <n v="0"/>
    <n v="1"/>
    <n v="0"/>
    <n v="0"/>
    <n v="1"/>
    <n v="0"/>
    <n v="1"/>
    <n v="0"/>
    <n v="0"/>
    <n v="0"/>
    <n v="0"/>
    <n v="1"/>
    <n v="0"/>
    <n v="0"/>
    <n v="0"/>
    <n v="0"/>
    <n v="1"/>
    <n v="0"/>
    <n v="0"/>
    <n v="0"/>
    <n v="0"/>
    <n v="0"/>
    <n v="0"/>
    <n v="1"/>
    <n v="0"/>
    <n v="0"/>
    <n v="1"/>
    <n v="0"/>
    <n v="0"/>
    <n v="0"/>
    <n v="0"/>
    <n v="1"/>
    <n v="0"/>
    <n v="0"/>
    <n v="1"/>
    <n v="0"/>
    <n v="0"/>
    <n v="0"/>
    <n v="0"/>
    <n v="0"/>
    <n v="0"/>
    <n v="0"/>
    <n v="0"/>
    <n v="0"/>
    <n v="1"/>
    <n v="0"/>
    <n v="0"/>
    <n v="1"/>
    <n v="0"/>
    <n v="0"/>
    <n v="0"/>
    <n v="0"/>
    <n v="1"/>
    <n v="0"/>
    <n v="0"/>
    <n v="0"/>
    <n v="0"/>
    <n v="1"/>
    <n v="0"/>
    <n v="0"/>
    <n v="0"/>
    <n v="0"/>
    <n v="1"/>
    <n v="0"/>
    <n v="0"/>
    <n v="0"/>
    <n v="0"/>
    <n v="1"/>
    <n v="0"/>
    <n v="0"/>
    <n v="0"/>
    <n v="0"/>
    <n v="0"/>
    <n v="0"/>
    <n v="1"/>
    <n v="1"/>
    <n v="0"/>
    <n v="0"/>
    <n v="0"/>
    <n v="1"/>
    <n v="0"/>
    <n v="0"/>
    <n v="1"/>
    <n v="0"/>
    <n v="0"/>
    <n v="0"/>
    <n v="0"/>
    <n v="1"/>
    <n v="0"/>
    <n v="0"/>
    <n v="1"/>
    <n v="0"/>
    <n v="0"/>
    <n v="1"/>
    <n v="1"/>
    <n v="1"/>
    <n v="0"/>
    <n v="0"/>
    <n v="1"/>
    <n v="1"/>
    <n v="1"/>
    <n v="1"/>
    <n v="1"/>
    <n v="1"/>
    <n v="1"/>
    <n v="1"/>
    <n v="1"/>
    <n v="1"/>
    <n v="0"/>
    <n v="0"/>
  </r>
  <r>
    <s v="Cases\\BDO"/>
    <x v="3"/>
    <s v="Global"/>
    <x v="8"/>
    <n v="0"/>
    <n v="0"/>
    <n v="0"/>
    <n v="1"/>
    <n v="0"/>
    <n v="0"/>
    <n v="1"/>
    <n v="0"/>
    <n v="0"/>
    <n v="0"/>
    <n v="0"/>
    <n v="0"/>
    <n v="0"/>
    <n v="0"/>
    <n v="0"/>
    <n v="1"/>
    <n v="1"/>
    <n v="0"/>
    <n v="0"/>
    <n v="0"/>
    <n v="0"/>
    <n v="0"/>
    <n v="0"/>
    <n v="0"/>
    <n v="0"/>
    <n v="0"/>
    <n v="1"/>
    <n v="1"/>
    <n v="0"/>
    <n v="0"/>
    <n v="0"/>
    <n v="1"/>
    <n v="0"/>
    <n v="0"/>
    <n v="0"/>
    <n v="0"/>
    <n v="0"/>
    <n v="1"/>
    <n v="0"/>
    <n v="0"/>
    <n v="1"/>
    <n v="0"/>
    <n v="0"/>
    <n v="0"/>
    <n v="0"/>
    <n v="0"/>
    <n v="0"/>
    <n v="0"/>
    <n v="1"/>
    <n v="1"/>
    <n v="0"/>
    <n v="0"/>
    <n v="0"/>
    <n v="0"/>
    <n v="0"/>
    <n v="0"/>
    <n v="0"/>
    <n v="0"/>
    <n v="0"/>
    <n v="1"/>
    <n v="1"/>
    <n v="0"/>
    <n v="0"/>
    <n v="0"/>
    <n v="0"/>
    <n v="0"/>
    <n v="0"/>
    <n v="0"/>
    <n v="0"/>
    <n v="0"/>
    <n v="0"/>
    <n v="1"/>
    <n v="1"/>
    <n v="0"/>
    <n v="0"/>
    <n v="0"/>
    <n v="0"/>
    <n v="0"/>
    <n v="0"/>
    <n v="0"/>
    <n v="0"/>
    <n v="1"/>
    <n v="1"/>
    <n v="0"/>
    <n v="0"/>
    <n v="0"/>
    <n v="0"/>
    <n v="0"/>
    <n v="0"/>
    <n v="0"/>
    <n v="0"/>
    <n v="1"/>
    <n v="1"/>
    <n v="0"/>
    <n v="0"/>
    <n v="0"/>
    <n v="0"/>
    <n v="0"/>
    <n v="0"/>
    <n v="0"/>
    <n v="0"/>
    <n v="0"/>
    <n v="1"/>
    <n v="0"/>
    <n v="0"/>
    <n v="1"/>
    <n v="0"/>
    <n v="0"/>
    <n v="0"/>
    <n v="0"/>
    <n v="0"/>
    <n v="0"/>
    <n v="1"/>
    <n v="1"/>
    <n v="0"/>
    <n v="0"/>
    <n v="0"/>
    <n v="0"/>
    <n v="0"/>
    <n v="0"/>
    <n v="0"/>
    <n v="0"/>
    <n v="1"/>
    <n v="0"/>
    <n v="0"/>
    <n v="1"/>
    <n v="0"/>
    <n v="0"/>
    <n v="0"/>
    <n v="0"/>
    <n v="0"/>
    <n v="0"/>
    <n v="1"/>
    <n v="0"/>
    <n v="1"/>
    <n v="0"/>
    <n v="0"/>
    <n v="0"/>
    <n v="0"/>
    <n v="1"/>
    <n v="0"/>
    <n v="0"/>
    <n v="0"/>
    <n v="0"/>
    <n v="0"/>
    <n v="1"/>
    <n v="0"/>
    <n v="0"/>
    <n v="1"/>
    <n v="0"/>
    <n v="0"/>
    <n v="1"/>
    <n v="0"/>
    <n v="0"/>
    <n v="0"/>
    <n v="0"/>
    <n v="1"/>
    <n v="0"/>
    <n v="0"/>
    <n v="1"/>
    <n v="0"/>
    <n v="1"/>
    <n v="1"/>
    <n v="1"/>
    <n v="0"/>
    <n v="0"/>
    <n v="1"/>
    <n v="1"/>
  </r>
  <r>
    <s v="Cases\\BICA"/>
    <x v="0"/>
    <s v="Middle East and Africa"/>
    <x v="9"/>
    <n v="0"/>
    <n v="0"/>
    <n v="0"/>
    <n v="1"/>
    <n v="1"/>
    <n v="0"/>
    <n v="0"/>
    <n v="1"/>
    <n v="0"/>
    <n v="0"/>
    <n v="0"/>
    <n v="1"/>
    <n v="0"/>
    <n v="0"/>
    <n v="0"/>
    <n v="0"/>
    <n v="1"/>
    <n v="0"/>
    <n v="0"/>
    <n v="0"/>
    <n v="0"/>
    <n v="0"/>
    <n v="1"/>
    <n v="0"/>
    <n v="0"/>
    <n v="0"/>
    <n v="0"/>
    <n v="1"/>
    <n v="0"/>
    <n v="0"/>
    <n v="1"/>
    <n v="0"/>
    <n v="0"/>
    <n v="1"/>
    <n v="0"/>
    <n v="0"/>
    <n v="0"/>
    <n v="0"/>
    <n v="1"/>
    <n v="0"/>
    <n v="0"/>
    <n v="0"/>
    <n v="0"/>
    <n v="0"/>
    <n v="1"/>
    <n v="0"/>
    <n v="0"/>
    <n v="0"/>
    <n v="0"/>
    <n v="1"/>
    <n v="0"/>
    <n v="0"/>
    <n v="0"/>
    <n v="0"/>
    <n v="0"/>
    <n v="1"/>
    <n v="0"/>
    <n v="0"/>
    <n v="0"/>
    <n v="0"/>
    <n v="1"/>
    <n v="0"/>
    <n v="0"/>
    <n v="0"/>
    <n v="0"/>
    <n v="0"/>
    <n v="0"/>
    <n v="1"/>
    <n v="0"/>
    <n v="0"/>
    <n v="0"/>
    <n v="0"/>
    <n v="1"/>
    <n v="0"/>
    <n v="0"/>
    <n v="1"/>
    <n v="0"/>
    <n v="1"/>
    <n v="0"/>
    <n v="0"/>
    <n v="0"/>
    <n v="0"/>
    <n v="1"/>
    <n v="0"/>
    <n v="0"/>
    <n v="1"/>
    <n v="0"/>
    <n v="1"/>
    <n v="0"/>
    <n v="0"/>
    <n v="0"/>
    <n v="0"/>
    <n v="1"/>
    <n v="0"/>
    <n v="0"/>
    <n v="0"/>
    <n v="0"/>
    <n v="0"/>
    <n v="1"/>
    <n v="0"/>
    <n v="0"/>
    <n v="0"/>
    <n v="0"/>
    <n v="0"/>
    <n v="0"/>
    <n v="1"/>
    <n v="0"/>
    <n v="0"/>
    <n v="1"/>
    <n v="0"/>
    <n v="0"/>
    <n v="0"/>
    <n v="0"/>
    <n v="1"/>
    <n v="0"/>
    <n v="0"/>
    <n v="0"/>
    <n v="0"/>
    <n v="1"/>
    <n v="0"/>
    <n v="0"/>
    <n v="0"/>
    <n v="0"/>
    <n v="1"/>
    <n v="0"/>
    <n v="0"/>
    <n v="0"/>
    <n v="0"/>
    <n v="1"/>
    <n v="0"/>
    <n v="0"/>
    <n v="0"/>
    <n v="0"/>
    <n v="0"/>
    <n v="0"/>
    <n v="1"/>
    <n v="0"/>
    <n v="0"/>
    <n v="0"/>
    <n v="1"/>
    <n v="0"/>
    <n v="0"/>
    <n v="0"/>
    <n v="0"/>
    <n v="0"/>
    <n v="1"/>
    <n v="0"/>
    <n v="0"/>
    <n v="1"/>
    <n v="0"/>
    <n v="0"/>
    <n v="1"/>
    <n v="0"/>
    <n v="0"/>
    <n v="0"/>
    <n v="0"/>
    <n v="0"/>
    <n v="0"/>
    <n v="0"/>
    <n v="1"/>
    <n v="0"/>
    <n v="0"/>
    <n v="0"/>
    <n v="0"/>
    <n v="0"/>
    <n v="0"/>
    <n v="0"/>
    <n v="0"/>
  </r>
  <r>
    <s v="Cases\\BRLF"/>
    <x v="0"/>
    <s v="Asia Pacific"/>
    <x v="10"/>
    <n v="0"/>
    <n v="0"/>
    <n v="0"/>
    <n v="1"/>
    <n v="0"/>
    <n v="0"/>
    <n v="0"/>
    <n v="0"/>
    <n v="0"/>
    <n v="0"/>
    <n v="1"/>
    <n v="0"/>
    <n v="0"/>
    <n v="0"/>
    <n v="0"/>
    <n v="1"/>
    <n v="0"/>
    <n v="0"/>
    <n v="0"/>
    <n v="0"/>
    <n v="0"/>
    <n v="1"/>
    <n v="0"/>
    <n v="0"/>
    <n v="0"/>
    <n v="0"/>
    <n v="1"/>
    <n v="0"/>
    <n v="0"/>
    <n v="0"/>
    <n v="0"/>
    <n v="0"/>
    <n v="1"/>
    <n v="0"/>
    <n v="0"/>
    <n v="0"/>
    <n v="0"/>
    <n v="1"/>
    <n v="0"/>
    <n v="0"/>
    <n v="0"/>
    <n v="0"/>
    <n v="0"/>
    <n v="1"/>
    <n v="0"/>
    <n v="0"/>
    <n v="0"/>
    <n v="0"/>
    <n v="1"/>
    <n v="0"/>
    <n v="0"/>
    <n v="0"/>
    <n v="0"/>
    <n v="0"/>
    <n v="1"/>
    <n v="0"/>
    <n v="0"/>
    <n v="0"/>
    <n v="0"/>
    <n v="1"/>
    <n v="0"/>
    <n v="0"/>
    <n v="0"/>
    <n v="0"/>
    <n v="0"/>
    <n v="0"/>
    <n v="1"/>
    <n v="0"/>
    <n v="0"/>
    <n v="0"/>
    <n v="0"/>
    <n v="1"/>
    <n v="0"/>
    <n v="0"/>
    <n v="0"/>
    <n v="0"/>
    <n v="1"/>
    <n v="0"/>
    <n v="0"/>
    <n v="0"/>
    <n v="0"/>
    <n v="1"/>
    <n v="0"/>
    <n v="0"/>
    <n v="0"/>
    <n v="0"/>
    <n v="1"/>
    <n v="0"/>
    <n v="0"/>
    <n v="0"/>
    <n v="0"/>
    <n v="1"/>
    <n v="0"/>
    <n v="0"/>
    <n v="0"/>
    <n v="0"/>
    <n v="0"/>
    <n v="1"/>
    <n v="0"/>
    <n v="0"/>
    <n v="0"/>
    <n v="0"/>
    <n v="1"/>
    <n v="0"/>
    <n v="0"/>
    <n v="0"/>
    <n v="0"/>
    <n v="1"/>
    <n v="0"/>
    <n v="0"/>
    <n v="0"/>
    <n v="0"/>
    <n v="1"/>
    <n v="0"/>
    <n v="0"/>
    <n v="0"/>
    <n v="0"/>
    <n v="1"/>
    <n v="0"/>
    <n v="0"/>
    <n v="0"/>
    <n v="0"/>
    <n v="1"/>
    <n v="0"/>
    <n v="0"/>
    <n v="0"/>
    <n v="0"/>
    <n v="1"/>
    <n v="0"/>
    <n v="0"/>
    <n v="0"/>
    <n v="0"/>
    <n v="1"/>
    <n v="0"/>
    <n v="0"/>
    <n v="1"/>
    <n v="0"/>
    <n v="0"/>
    <n v="1"/>
    <n v="0"/>
    <n v="0"/>
    <n v="0"/>
    <n v="0"/>
    <n v="0"/>
    <n v="0"/>
    <n v="1"/>
    <n v="0"/>
    <n v="0"/>
    <n v="1"/>
    <n v="0"/>
    <n v="0"/>
    <n v="1"/>
    <n v="1"/>
    <n v="0"/>
    <n v="0"/>
    <n v="0"/>
    <n v="1"/>
    <n v="0"/>
    <n v="0"/>
    <n v="0"/>
    <n v="1"/>
    <n v="0"/>
    <n v="0"/>
    <n v="0"/>
    <n v="0"/>
    <n v="0"/>
    <n v="0"/>
    <n v="0"/>
  </r>
  <r>
    <s v="Cases\\CAASB"/>
    <x v="2"/>
    <s v="North America"/>
    <x v="11"/>
    <n v="0"/>
    <n v="0"/>
    <n v="1"/>
    <n v="0"/>
    <n v="0"/>
    <n v="0"/>
    <n v="1"/>
    <n v="0"/>
    <n v="0"/>
    <n v="0"/>
    <n v="0"/>
    <n v="0"/>
    <n v="0"/>
    <n v="0"/>
    <n v="0"/>
    <n v="1"/>
    <n v="0"/>
    <n v="0"/>
    <n v="1"/>
    <n v="0"/>
    <n v="1"/>
    <n v="0"/>
    <n v="0"/>
    <n v="0"/>
    <n v="1"/>
    <n v="0"/>
    <n v="0"/>
    <n v="0"/>
    <n v="0"/>
    <n v="1"/>
    <n v="0"/>
    <n v="0"/>
    <n v="0"/>
    <n v="0"/>
    <n v="0"/>
    <n v="1"/>
    <n v="0"/>
    <n v="0"/>
    <n v="0"/>
    <n v="0"/>
    <n v="1"/>
    <n v="0"/>
    <n v="0"/>
    <n v="0"/>
    <n v="0"/>
    <n v="0"/>
    <n v="1"/>
    <n v="0"/>
    <n v="0"/>
    <n v="0"/>
    <n v="0"/>
    <n v="1"/>
    <n v="0"/>
    <n v="0"/>
    <n v="0"/>
    <n v="0"/>
    <n v="0"/>
    <n v="0"/>
    <n v="0"/>
    <n v="1"/>
    <n v="0"/>
    <n v="0"/>
    <n v="1"/>
    <n v="0"/>
    <n v="0"/>
    <n v="0"/>
    <n v="0"/>
    <n v="0"/>
    <n v="0"/>
    <n v="1"/>
    <n v="0"/>
    <n v="0"/>
    <n v="0"/>
    <n v="0"/>
    <n v="1"/>
    <n v="0"/>
    <n v="0"/>
    <n v="0"/>
    <n v="0"/>
    <n v="1"/>
    <n v="0"/>
    <n v="0"/>
    <n v="0"/>
    <n v="0"/>
    <n v="1"/>
    <n v="0"/>
    <n v="0"/>
    <n v="0"/>
    <n v="0"/>
    <n v="1"/>
    <n v="0"/>
    <n v="0"/>
    <n v="0"/>
    <n v="0"/>
    <n v="1"/>
    <n v="0"/>
    <n v="1"/>
    <n v="0"/>
    <n v="0"/>
    <n v="0"/>
    <n v="1"/>
    <n v="0"/>
    <n v="0"/>
    <n v="0"/>
    <n v="0"/>
    <n v="1"/>
    <n v="0"/>
    <n v="0"/>
    <n v="0"/>
    <n v="0"/>
    <n v="1"/>
    <n v="0"/>
    <n v="0"/>
    <n v="0"/>
    <n v="0"/>
    <n v="1"/>
    <n v="0"/>
    <n v="0"/>
    <n v="0"/>
    <n v="0"/>
    <n v="1"/>
    <n v="0"/>
    <n v="0"/>
    <n v="0"/>
    <n v="0"/>
    <n v="1"/>
    <n v="0"/>
    <n v="0"/>
    <n v="0"/>
    <n v="0"/>
    <n v="1"/>
    <n v="0"/>
    <n v="0"/>
    <n v="0"/>
    <n v="1"/>
    <n v="0"/>
    <n v="0"/>
    <n v="0"/>
    <n v="1"/>
    <n v="0"/>
    <n v="0"/>
    <n v="0"/>
    <n v="0"/>
    <n v="0"/>
    <n v="1"/>
    <n v="0"/>
    <n v="0"/>
    <n v="0"/>
    <n v="1"/>
    <n v="0"/>
    <n v="0"/>
    <n v="1"/>
    <n v="0"/>
    <n v="0"/>
    <n v="0"/>
    <n v="0"/>
    <n v="1"/>
    <n v="0"/>
    <n v="1"/>
    <n v="1"/>
    <n v="1"/>
    <n v="0"/>
    <n v="1"/>
    <n v="0"/>
    <n v="1"/>
    <n v="1"/>
    <n v="0"/>
    <n v="0"/>
  </r>
  <r>
    <s v="Cases\\CG"/>
    <x v="3"/>
    <s v="Global"/>
    <x v="12"/>
    <n v="0"/>
    <n v="0"/>
    <n v="0"/>
    <n v="1"/>
    <n v="1"/>
    <n v="0"/>
    <n v="0"/>
    <n v="0"/>
    <n v="0"/>
    <n v="0"/>
    <n v="0"/>
    <n v="1"/>
    <n v="0"/>
    <n v="0"/>
    <n v="0"/>
    <n v="0"/>
    <n v="1"/>
    <n v="0"/>
    <n v="0"/>
    <n v="0"/>
    <n v="0"/>
    <n v="0"/>
    <n v="1"/>
    <n v="0"/>
    <n v="0"/>
    <n v="0"/>
    <n v="0"/>
    <n v="1"/>
    <n v="0"/>
    <n v="0"/>
    <n v="0"/>
    <n v="0"/>
    <n v="0"/>
    <n v="1"/>
    <n v="0"/>
    <n v="0"/>
    <n v="0"/>
    <n v="0"/>
    <n v="1"/>
    <n v="0"/>
    <n v="0"/>
    <n v="0"/>
    <n v="0"/>
    <n v="0"/>
    <n v="1"/>
    <n v="0"/>
    <n v="0"/>
    <n v="0"/>
    <n v="0"/>
    <n v="1"/>
    <n v="0"/>
    <n v="0"/>
    <n v="0"/>
    <n v="0"/>
    <n v="0"/>
    <n v="1"/>
    <n v="0"/>
    <n v="0"/>
    <n v="0"/>
    <n v="0"/>
    <n v="1"/>
    <n v="0"/>
    <n v="0"/>
    <n v="0"/>
    <n v="0"/>
    <n v="0"/>
    <n v="0"/>
    <n v="1"/>
    <n v="0"/>
    <n v="0"/>
    <n v="0"/>
    <n v="0"/>
    <n v="1"/>
    <n v="0"/>
    <n v="0"/>
    <n v="0"/>
    <n v="0"/>
    <n v="1"/>
    <n v="0"/>
    <n v="0"/>
    <n v="0"/>
    <n v="0"/>
    <n v="1"/>
    <n v="0"/>
    <n v="0"/>
    <n v="0"/>
    <n v="0"/>
    <n v="1"/>
    <n v="0"/>
    <n v="0"/>
    <n v="0"/>
    <n v="0"/>
    <n v="1"/>
    <n v="0"/>
    <n v="0"/>
    <n v="0"/>
    <n v="0"/>
    <n v="0"/>
    <n v="1"/>
    <n v="0"/>
    <n v="0"/>
    <n v="0"/>
    <n v="0"/>
    <n v="1"/>
    <n v="0"/>
    <n v="0"/>
    <n v="0"/>
    <n v="0"/>
    <n v="1"/>
    <n v="0"/>
    <n v="0"/>
    <n v="0"/>
    <n v="0"/>
    <n v="1"/>
    <n v="0"/>
    <n v="0"/>
    <n v="0"/>
    <n v="0"/>
    <n v="1"/>
    <n v="0"/>
    <n v="0"/>
    <n v="0"/>
    <n v="0"/>
    <n v="1"/>
    <n v="0"/>
    <n v="0"/>
    <n v="0"/>
    <n v="0"/>
    <n v="1"/>
    <n v="0"/>
    <n v="0"/>
    <n v="0"/>
    <n v="0"/>
    <n v="0"/>
    <n v="0"/>
    <n v="1"/>
    <n v="0"/>
    <n v="0"/>
    <n v="0"/>
    <n v="1"/>
    <n v="0"/>
    <n v="0"/>
    <n v="0"/>
    <n v="0"/>
    <n v="0"/>
    <n v="1"/>
    <n v="0"/>
    <n v="0"/>
    <n v="1"/>
    <n v="0"/>
    <n v="0"/>
    <n v="1"/>
    <n v="0"/>
    <n v="0"/>
    <n v="0"/>
    <n v="0"/>
    <n v="1"/>
    <n v="0"/>
    <n v="1"/>
    <n v="0"/>
    <n v="0"/>
    <n v="0"/>
    <n v="1"/>
    <n v="0"/>
    <n v="0"/>
    <n v="0"/>
    <n v="0"/>
    <n v="0"/>
  </r>
  <r>
    <s v="Cases\\CNCC-CSOEC"/>
    <x v="2"/>
    <s v="Europe"/>
    <x v="13"/>
    <n v="0"/>
    <n v="0"/>
    <n v="0"/>
    <n v="1"/>
    <n v="0"/>
    <n v="0"/>
    <n v="1"/>
    <n v="0"/>
    <n v="0"/>
    <n v="0"/>
    <n v="0"/>
    <n v="0"/>
    <n v="0"/>
    <n v="0"/>
    <n v="0"/>
    <n v="1"/>
    <n v="0"/>
    <n v="0"/>
    <n v="1"/>
    <n v="0"/>
    <n v="1"/>
    <n v="0"/>
    <n v="0"/>
    <n v="0"/>
    <n v="0"/>
    <n v="0"/>
    <n v="1"/>
    <n v="1"/>
    <n v="0"/>
    <n v="0"/>
    <n v="0"/>
    <n v="1"/>
    <n v="0"/>
    <n v="0"/>
    <n v="0"/>
    <n v="0"/>
    <n v="0"/>
    <n v="1"/>
    <n v="0"/>
    <n v="0"/>
    <n v="1"/>
    <n v="0"/>
    <n v="0"/>
    <n v="0"/>
    <n v="0"/>
    <n v="0"/>
    <n v="1"/>
    <n v="0"/>
    <n v="0"/>
    <n v="0"/>
    <n v="0"/>
    <n v="1"/>
    <n v="0"/>
    <n v="0"/>
    <n v="0"/>
    <n v="0"/>
    <n v="0"/>
    <n v="1"/>
    <n v="0"/>
    <n v="0"/>
    <n v="0"/>
    <n v="0"/>
    <n v="1"/>
    <n v="0"/>
    <n v="0"/>
    <n v="0"/>
    <n v="0"/>
    <n v="0"/>
    <n v="0"/>
    <n v="0"/>
    <n v="0"/>
    <n v="1"/>
    <n v="0"/>
    <n v="0"/>
    <n v="1"/>
    <n v="0"/>
    <n v="0"/>
    <n v="0"/>
    <n v="0"/>
    <n v="0"/>
    <n v="0"/>
    <n v="1"/>
    <n v="0"/>
    <n v="0"/>
    <n v="1"/>
    <n v="0"/>
    <n v="0"/>
    <n v="0"/>
    <n v="0"/>
    <n v="0"/>
    <n v="0"/>
    <n v="1"/>
    <n v="0"/>
    <n v="0"/>
    <n v="1"/>
    <n v="0"/>
    <n v="0"/>
    <n v="0"/>
    <n v="0"/>
    <n v="0"/>
    <n v="1"/>
    <n v="0"/>
    <n v="0"/>
    <n v="0"/>
    <n v="0"/>
    <n v="1"/>
    <n v="0"/>
    <n v="0"/>
    <n v="0"/>
    <n v="0"/>
    <n v="1"/>
    <n v="0"/>
    <n v="0"/>
    <n v="1"/>
    <n v="0"/>
    <n v="0"/>
    <n v="0"/>
    <n v="0"/>
    <n v="0"/>
    <n v="0"/>
    <n v="1"/>
    <n v="0"/>
    <n v="0"/>
    <n v="0"/>
    <n v="0"/>
    <n v="1"/>
    <n v="0"/>
    <n v="0"/>
    <n v="0"/>
    <n v="0"/>
    <n v="0"/>
    <n v="0"/>
    <n v="1"/>
    <n v="0"/>
    <n v="1"/>
    <n v="0"/>
    <n v="0"/>
    <n v="0"/>
    <n v="1"/>
    <n v="0"/>
    <n v="0"/>
    <n v="0"/>
    <n v="0"/>
    <n v="0"/>
    <n v="0"/>
    <n v="1"/>
    <n v="0"/>
    <n v="0"/>
    <n v="1"/>
    <n v="0"/>
    <n v="0"/>
    <n v="1"/>
    <n v="0"/>
    <n v="0"/>
    <n v="1"/>
    <n v="1"/>
    <n v="0"/>
    <n v="1"/>
    <n v="0"/>
    <n v="1"/>
    <n v="1"/>
    <n v="1"/>
    <n v="0"/>
    <n v="1"/>
    <n v="0"/>
    <n v="0"/>
    <n v="1"/>
    <n v="0"/>
  </r>
  <r>
    <s v="Cases\\CPAA"/>
    <x v="0"/>
    <s v="Asia Pacific"/>
    <x v="14"/>
    <n v="0"/>
    <n v="0"/>
    <n v="1"/>
    <n v="0"/>
    <n v="0"/>
    <n v="0"/>
    <n v="0"/>
    <n v="0"/>
    <n v="0"/>
    <n v="0"/>
    <n v="1"/>
    <n v="0"/>
    <n v="0"/>
    <n v="0"/>
    <n v="0"/>
    <n v="1"/>
    <n v="0"/>
    <n v="0"/>
    <n v="0"/>
    <n v="0"/>
    <n v="0"/>
    <n v="1"/>
    <n v="0"/>
    <n v="0"/>
    <n v="0"/>
    <n v="0"/>
    <n v="1"/>
    <n v="0"/>
    <n v="0"/>
    <n v="1"/>
    <n v="0"/>
    <n v="1"/>
    <n v="0"/>
    <n v="0"/>
    <n v="0"/>
    <n v="0"/>
    <n v="0"/>
    <n v="1"/>
    <n v="0"/>
    <n v="0"/>
    <n v="1"/>
    <n v="0"/>
    <n v="0"/>
    <n v="0"/>
    <n v="0"/>
    <n v="0"/>
    <n v="0"/>
    <n v="0"/>
    <n v="1"/>
    <n v="0"/>
    <n v="0"/>
    <n v="1"/>
    <n v="0"/>
    <n v="1"/>
    <n v="0"/>
    <n v="0"/>
    <n v="0"/>
    <n v="0"/>
    <n v="0"/>
    <n v="1"/>
    <n v="0"/>
    <n v="0"/>
    <n v="1"/>
    <n v="0"/>
    <n v="1"/>
    <n v="0"/>
    <n v="0"/>
    <n v="0"/>
    <n v="0"/>
    <n v="1"/>
    <n v="0"/>
    <n v="0"/>
    <n v="0"/>
    <n v="0"/>
    <n v="1"/>
    <n v="0"/>
    <n v="0"/>
    <n v="0"/>
    <n v="0"/>
    <n v="0"/>
    <n v="0"/>
    <n v="1"/>
    <n v="0"/>
    <n v="0"/>
    <n v="1"/>
    <n v="0"/>
    <n v="0"/>
    <n v="0"/>
    <n v="0"/>
    <n v="0"/>
    <n v="0"/>
    <n v="1"/>
    <n v="0"/>
    <n v="0"/>
    <n v="0"/>
    <n v="0"/>
    <n v="0"/>
    <n v="1"/>
    <n v="0"/>
    <n v="0"/>
    <n v="0"/>
    <n v="0"/>
    <n v="1"/>
    <n v="0"/>
    <n v="0"/>
    <n v="1"/>
    <n v="0"/>
    <n v="0"/>
    <n v="0"/>
    <n v="0"/>
    <n v="0"/>
    <n v="0"/>
    <n v="1"/>
    <n v="0"/>
    <n v="0"/>
    <n v="1"/>
    <n v="0"/>
    <n v="0"/>
    <n v="0"/>
    <n v="0"/>
    <n v="1"/>
    <n v="0"/>
    <n v="0"/>
    <n v="0"/>
    <n v="0"/>
    <n v="1"/>
    <n v="0"/>
    <n v="0"/>
    <n v="0"/>
    <n v="0"/>
    <n v="1"/>
    <n v="0"/>
    <n v="0"/>
    <n v="1"/>
    <n v="0"/>
    <n v="0"/>
    <n v="0"/>
    <n v="0"/>
    <n v="1"/>
    <n v="0"/>
    <n v="0"/>
    <n v="0"/>
    <n v="0"/>
    <n v="0"/>
    <n v="0"/>
    <n v="1"/>
    <n v="0"/>
    <n v="0"/>
    <n v="1"/>
    <n v="0"/>
    <n v="0"/>
    <n v="1"/>
    <n v="0"/>
    <n v="0"/>
    <n v="0"/>
    <n v="1"/>
    <n v="1"/>
    <n v="1"/>
    <n v="1"/>
    <n v="1"/>
    <n v="1"/>
    <n v="0"/>
    <n v="1"/>
    <n v="0"/>
    <n v="1"/>
    <n v="1"/>
    <n v="0"/>
    <n v="0"/>
  </r>
  <r>
    <s v="Cases\\DEAKIN"/>
    <x v="4"/>
    <s v="Asia Pacific"/>
    <x v="15"/>
    <n v="0"/>
    <n v="0"/>
    <n v="0"/>
    <n v="1"/>
    <n v="0"/>
    <n v="0"/>
    <n v="0"/>
    <n v="0"/>
    <n v="0"/>
    <n v="0"/>
    <n v="1"/>
    <n v="0"/>
    <n v="0"/>
    <n v="0"/>
    <n v="0"/>
    <n v="1"/>
    <n v="0"/>
    <n v="0"/>
    <n v="0"/>
    <n v="0"/>
    <n v="0"/>
    <n v="1"/>
    <n v="0"/>
    <n v="0"/>
    <n v="0"/>
    <n v="0"/>
    <n v="1"/>
    <n v="0"/>
    <n v="0"/>
    <n v="0"/>
    <n v="0"/>
    <n v="0"/>
    <n v="1"/>
    <n v="0"/>
    <n v="0"/>
    <n v="0"/>
    <n v="0"/>
    <n v="1"/>
    <n v="0"/>
    <n v="0"/>
    <n v="0"/>
    <n v="0"/>
    <n v="0"/>
    <n v="1"/>
    <n v="0"/>
    <n v="0"/>
    <n v="0"/>
    <n v="0"/>
    <n v="1"/>
    <n v="0"/>
    <n v="0"/>
    <n v="0"/>
    <n v="0"/>
    <n v="0"/>
    <n v="1"/>
    <n v="0"/>
    <n v="0"/>
    <n v="0"/>
    <n v="0"/>
    <n v="1"/>
    <n v="0"/>
    <n v="0"/>
    <n v="0"/>
    <n v="0"/>
    <n v="0"/>
    <n v="0"/>
    <n v="1"/>
    <n v="0"/>
    <n v="0"/>
    <n v="0"/>
    <n v="0"/>
    <n v="1"/>
    <n v="0"/>
    <n v="0"/>
    <n v="0"/>
    <n v="0"/>
    <n v="1"/>
    <n v="0"/>
    <n v="0"/>
    <n v="0"/>
    <n v="0"/>
    <n v="1"/>
    <n v="0"/>
    <n v="0"/>
    <n v="0"/>
    <n v="0"/>
    <n v="1"/>
    <n v="0"/>
    <n v="0"/>
    <n v="0"/>
    <n v="0"/>
    <n v="1"/>
    <n v="0"/>
    <n v="0"/>
    <n v="0"/>
    <n v="0"/>
    <n v="0"/>
    <n v="1"/>
    <n v="0"/>
    <n v="0"/>
    <n v="0"/>
    <n v="0"/>
    <n v="1"/>
    <n v="0"/>
    <n v="0"/>
    <n v="0"/>
    <n v="0"/>
    <n v="1"/>
    <n v="0"/>
    <n v="0"/>
    <n v="0"/>
    <n v="0"/>
    <n v="1"/>
    <n v="0"/>
    <n v="0"/>
    <n v="1"/>
    <n v="0"/>
    <n v="0"/>
    <n v="0"/>
    <n v="0"/>
    <n v="0"/>
    <n v="0"/>
    <n v="1"/>
    <n v="0"/>
    <n v="0"/>
    <n v="0"/>
    <n v="0"/>
    <n v="1"/>
    <n v="0"/>
    <n v="0"/>
    <n v="0"/>
    <n v="0"/>
    <n v="1"/>
    <n v="0"/>
    <n v="0"/>
    <n v="1"/>
    <n v="0"/>
    <n v="0"/>
    <n v="1"/>
    <n v="0"/>
    <n v="0"/>
    <n v="0"/>
    <n v="0"/>
    <n v="0"/>
    <n v="0"/>
    <n v="1"/>
    <n v="0"/>
    <n v="0"/>
    <n v="1"/>
    <n v="0"/>
    <n v="0"/>
    <n v="1"/>
    <n v="1"/>
    <n v="0"/>
    <n v="0"/>
    <n v="0"/>
    <n v="1"/>
    <n v="1"/>
    <n v="0"/>
    <n v="1"/>
    <n v="1"/>
    <n v="0"/>
    <n v="0"/>
    <n v="0"/>
    <n v="0"/>
    <n v="0"/>
    <n v="0"/>
    <n v="0"/>
  </r>
  <r>
    <s v="Cases\\DTT"/>
    <x v="3"/>
    <s v="Global"/>
    <x v="16"/>
    <n v="0"/>
    <n v="0"/>
    <n v="0"/>
    <n v="1"/>
    <n v="0"/>
    <n v="0"/>
    <n v="1"/>
    <n v="0"/>
    <n v="0"/>
    <n v="0"/>
    <n v="0"/>
    <n v="0"/>
    <n v="0"/>
    <n v="0"/>
    <n v="0"/>
    <n v="1"/>
    <n v="0"/>
    <n v="0"/>
    <n v="1"/>
    <n v="0"/>
    <n v="0"/>
    <n v="0"/>
    <n v="0"/>
    <n v="0"/>
    <n v="0"/>
    <n v="0"/>
    <n v="1"/>
    <n v="0"/>
    <n v="0"/>
    <n v="1"/>
    <n v="0"/>
    <n v="0"/>
    <n v="0"/>
    <n v="0"/>
    <n v="0"/>
    <n v="1"/>
    <n v="0"/>
    <n v="0"/>
    <n v="0"/>
    <n v="0"/>
    <n v="1"/>
    <n v="0"/>
    <n v="0"/>
    <n v="0"/>
    <n v="0"/>
    <n v="0"/>
    <n v="1"/>
    <n v="0"/>
    <n v="0"/>
    <n v="0"/>
    <n v="0"/>
    <n v="1"/>
    <n v="0"/>
    <n v="0"/>
    <n v="0"/>
    <n v="0"/>
    <n v="0"/>
    <n v="1"/>
    <n v="0"/>
    <n v="0"/>
    <n v="0"/>
    <n v="0"/>
    <n v="1"/>
    <n v="0"/>
    <n v="0"/>
    <n v="0"/>
    <n v="0"/>
    <n v="0"/>
    <n v="0"/>
    <n v="0"/>
    <n v="0"/>
    <n v="1"/>
    <n v="0"/>
    <n v="0"/>
    <n v="1"/>
    <n v="0"/>
    <n v="0"/>
    <n v="0"/>
    <n v="0"/>
    <n v="0"/>
    <n v="0"/>
    <n v="1"/>
    <n v="0"/>
    <n v="0"/>
    <n v="1"/>
    <n v="0"/>
    <n v="0"/>
    <n v="0"/>
    <n v="0"/>
    <n v="1"/>
    <n v="0"/>
    <n v="0"/>
    <n v="0"/>
    <n v="0"/>
    <n v="1"/>
    <n v="0"/>
    <n v="1"/>
    <n v="0"/>
    <n v="0"/>
    <n v="0"/>
    <n v="0"/>
    <n v="0"/>
    <n v="1"/>
    <n v="0"/>
    <n v="0"/>
    <n v="1"/>
    <n v="0"/>
    <n v="0"/>
    <n v="0"/>
    <n v="0"/>
    <n v="0"/>
    <n v="0"/>
    <n v="1"/>
    <n v="0"/>
    <n v="0"/>
    <n v="1"/>
    <n v="0"/>
    <n v="0"/>
    <n v="0"/>
    <n v="0"/>
    <n v="1"/>
    <n v="0"/>
    <n v="0"/>
    <n v="1"/>
    <n v="0"/>
    <n v="0"/>
    <n v="1"/>
    <n v="0"/>
    <n v="0"/>
    <n v="0"/>
    <n v="0"/>
    <n v="0"/>
    <n v="1"/>
    <n v="0"/>
    <n v="1"/>
    <n v="0"/>
    <n v="0"/>
    <n v="0"/>
    <n v="1"/>
    <n v="0"/>
    <n v="0"/>
    <n v="0"/>
    <n v="0"/>
    <n v="0"/>
    <n v="0"/>
    <n v="1"/>
    <n v="0"/>
    <n v="0"/>
    <n v="1"/>
    <n v="0"/>
    <n v="0"/>
    <n v="1"/>
    <n v="0"/>
    <n v="0"/>
    <n v="0"/>
    <n v="0"/>
    <n v="1"/>
    <n v="0"/>
    <n v="0"/>
    <n v="1"/>
    <n v="1"/>
    <n v="0"/>
    <n v="1"/>
    <n v="1"/>
    <n v="1"/>
    <n v="1"/>
    <n v="0"/>
    <n v="1"/>
  </r>
  <r>
    <s v="Cases\\EYG"/>
    <x v="3"/>
    <s v="Global"/>
    <x v="17"/>
    <n v="0"/>
    <n v="0"/>
    <n v="1"/>
    <n v="0"/>
    <n v="0"/>
    <n v="0"/>
    <n v="1"/>
    <n v="0"/>
    <n v="0"/>
    <n v="0"/>
    <n v="0"/>
    <n v="1"/>
    <n v="0"/>
    <n v="0"/>
    <n v="0"/>
    <n v="0"/>
    <n v="1"/>
    <n v="0"/>
    <n v="0"/>
    <n v="0"/>
    <n v="0"/>
    <n v="0"/>
    <n v="1"/>
    <n v="0"/>
    <n v="0"/>
    <n v="0"/>
    <n v="0"/>
    <n v="0"/>
    <n v="0"/>
    <n v="1"/>
    <n v="0"/>
    <n v="0"/>
    <n v="0"/>
    <n v="1"/>
    <n v="0"/>
    <n v="0"/>
    <n v="0"/>
    <n v="0"/>
    <n v="0"/>
    <n v="0"/>
    <n v="1"/>
    <n v="0"/>
    <n v="0"/>
    <n v="0"/>
    <n v="1"/>
    <n v="0"/>
    <n v="0"/>
    <n v="0"/>
    <n v="0"/>
    <n v="0"/>
    <n v="0"/>
    <n v="1"/>
    <n v="0"/>
    <n v="0"/>
    <n v="0"/>
    <n v="1"/>
    <n v="0"/>
    <n v="0"/>
    <n v="0"/>
    <n v="0"/>
    <n v="1"/>
    <n v="0"/>
    <n v="0"/>
    <n v="1"/>
    <n v="0"/>
    <n v="0"/>
    <n v="0"/>
    <n v="1"/>
    <n v="0"/>
    <n v="0"/>
    <n v="0"/>
    <n v="0"/>
    <n v="1"/>
    <n v="0"/>
    <n v="0"/>
    <n v="0"/>
    <n v="0"/>
    <n v="1"/>
    <n v="0"/>
    <n v="0"/>
    <n v="0"/>
    <n v="0"/>
    <n v="1"/>
    <n v="0"/>
    <n v="0"/>
    <n v="0"/>
    <n v="0"/>
    <n v="1"/>
    <n v="0"/>
    <n v="0"/>
    <n v="0"/>
    <n v="0"/>
    <n v="0"/>
    <n v="0"/>
    <n v="1"/>
    <n v="0"/>
    <n v="0"/>
    <n v="0"/>
    <n v="1"/>
    <n v="0"/>
    <n v="0"/>
    <n v="0"/>
    <n v="0"/>
    <n v="0"/>
    <n v="0"/>
    <n v="1"/>
    <n v="0"/>
    <n v="0"/>
    <n v="1"/>
    <n v="0"/>
    <n v="0"/>
    <n v="0"/>
    <n v="0"/>
    <n v="0"/>
    <n v="0"/>
    <n v="1"/>
    <n v="1"/>
    <n v="0"/>
    <n v="1"/>
    <n v="0"/>
    <n v="0"/>
    <n v="0"/>
    <n v="0"/>
    <n v="1"/>
    <n v="0"/>
    <n v="0"/>
    <n v="0"/>
    <n v="0"/>
    <n v="1"/>
    <n v="0"/>
    <n v="0"/>
    <n v="0"/>
    <n v="0"/>
    <n v="0"/>
    <n v="1"/>
    <n v="0"/>
    <n v="0"/>
    <n v="1"/>
    <n v="0"/>
    <n v="0"/>
    <n v="0"/>
    <n v="0"/>
    <n v="0"/>
    <n v="0"/>
    <n v="0"/>
    <n v="1"/>
    <n v="0"/>
    <n v="0"/>
    <n v="1"/>
    <n v="0"/>
    <n v="0"/>
    <n v="1"/>
    <n v="0"/>
    <n v="0"/>
    <n v="1"/>
    <n v="1"/>
    <n v="1"/>
    <n v="0"/>
    <n v="0"/>
    <n v="1"/>
    <n v="1"/>
    <n v="0"/>
    <n v="1"/>
    <n v="1"/>
    <n v="1"/>
    <n v="1"/>
    <n v="0"/>
    <n v="0"/>
  </r>
  <r>
    <s v="Cases\\FACPE"/>
    <x v="0"/>
    <s v="South America"/>
    <x v="18"/>
    <n v="0"/>
    <n v="0"/>
    <n v="0"/>
    <n v="1"/>
    <n v="0"/>
    <n v="0"/>
    <n v="1"/>
    <n v="0"/>
    <n v="0"/>
    <n v="0"/>
    <n v="0"/>
    <n v="1"/>
    <n v="0"/>
    <n v="0"/>
    <n v="0"/>
    <n v="0"/>
    <n v="0"/>
    <n v="0"/>
    <n v="0"/>
    <n v="0"/>
    <n v="0"/>
    <n v="1"/>
    <n v="1"/>
    <n v="0"/>
    <n v="0"/>
    <n v="0"/>
    <n v="0"/>
    <n v="0"/>
    <n v="0"/>
    <n v="0"/>
    <n v="0"/>
    <n v="0"/>
    <n v="1"/>
    <n v="1"/>
    <n v="0"/>
    <n v="0"/>
    <n v="0"/>
    <n v="0"/>
    <n v="0"/>
    <n v="0"/>
    <n v="0"/>
    <n v="0"/>
    <n v="0"/>
    <n v="1"/>
    <n v="1"/>
    <n v="0"/>
    <n v="0"/>
    <n v="0"/>
    <n v="0"/>
    <n v="0"/>
    <n v="0"/>
    <n v="0"/>
    <n v="0"/>
    <n v="0"/>
    <n v="1"/>
    <n v="1"/>
    <n v="0"/>
    <n v="0"/>
    <n v="0"/>
    <n v="0"/>
    <n v="0"/>
    <n v="0"/>
    <n v="0"/>
    <n v="0"/>
    <n v="0"/>
    <n v="0"/>
    <n v="1"/>
    <n v="1"/>
    <n v="0"/>
    <n v="0"/>
    <n v="0"/>
    <n v="0"/>
    <n v="0"/>
    <n v="0"/>
    <n v="0"/>
    <n v="0"/>
    <n v="1"/>
    <n v="1"/>
    <n v="0"/>
    <n v="0"/>
    <n v="0"/>
    <n v="0"/>
    <n v="0"/>
    <n v="0"/>
    <n v="0"/>
    <n v="0"/>
    <n v="1"/>
    <n v="1"/>
    <n v="0"/>
    <n v="0"/>
    <n v="0"/>
    <n v="0"/>
    <n v="0"/>
    <n v="0"/>
    <n v="1"/>
    <n v="0"/>
    <n v="0"/>
    <n v="0"/>
    <n v="1"/>
    <n v="0"/>
    <n v="0"/>
    <n v="0"/>
    <n v="0"/>
    <n v="0"/>
    <n v="0"/>
    <n v="1"/>
    <n v="0"/>
    <n v="0"/>
    <n v="1"/>
    <n v="0"/>
    <n v="0"/>
    <n v="0"/>
    <n v="0"/>
    <n v="0"/>
    <n v="0"/>
    <n v="0"/>
    <n v="0"/>
    <n v="1"/>
    <n v="1"/>
    <n v="0"/>
    <n v="0"/>
    <n v="0"/>
    <n v="0"/>
    <n v="0"/>
    <n v="0"/>
    <n v="0"/>
    <n v="0"/>
    <n v="1"/>
    <n v="1"/>
    <n v="0"/>
    <n v="0"/>
    <n v="0"/>
    <n v="0"/>
    <n v="0"/>
    <n v="0"/>
    <n v="1"/>
    <n v="0"/>
    <n v="0"/>
    <n v="0"/>
    <n v="1"/>
    <n v="0"/>
    <n v="0"/>
    <n v="0"/>
    <n v="0"/>
    <n v="0"/>
    <n v="1"/>
    <n v="0"/>
    <n v="0"/>
    <n v="1"/>
    <n v="0"/>
    <n v="0"/>
    <n v="1"/>
    <n v="0"/>
    <n v="0"/>
    <n v="0"/>
    <n v="0"/>
    <n v="0"/>
    <n v="0"/>
    <n v="0"/>
    <n v="1"/>
    <n v="0"/>
    <n v="0"/>
    <n v="1"/>
    <n v="0"/>
    <n v="0"/>
    <n v="0"/>
    <n v="0"/>
    <n v="0"/>
  </r>
  <r>
    <s v="Cases\\FAR"/>
    <x v="0"/>
    <s v="Unassigned"/>
    <x v="19"/>
    <n v="0"/>
    <n v="0"/>
    <n v="0"/>
    <n v="1"/>
    <n v="0"/>
    <n v="0"/>
    <n v="1"/>
    <n v="0"/>
    <n v="0"/>
    <n v="0"/>
    <n v="0"/>
    <n v="0"/>
    <n v="0"/>
    <n v="0"/>
    <n v="0"/>
    <n v="1"/>
    <n v="0"/>
    <n v="0"/>
    <n v="0"/>
    <n v="0"/>
    <n v="0"/>
    <n v="1"/>
    <n v="0"/>
    <n v="0"/>
    <n v="0"/>
    <n v="0"/>
    <n v="1"/>
    <n v="0"/>
    <n v="0"/>
    <n v="0"/>
    <n v="0"/>
    <n v="0"/>
    <n v="1"/>
    <n v="0"/>
    <n v="0"/>
    <n v="0"/>
    <n v="0"/>
    <n v="1"/>
    <n v="0"/>
    <n v="0"/>
    <n v="1"/>
    <n v="0"/>
    <n v="0"/>
    <n v="0"/>
    <n v="0"/>
    <n v="0"/>
    <n v="0"/>
    <n v="0"/>
    <n v="1"/>
    <n v="0"/>
    <n v="0"/>
    <n v="0"/>
    <n v="0"/>
    <n v="0"/>
    <n v="1"/>
    <n v="0"/>
    <n v="0"/>
    <n v="0"/>
    <n v="0"/>
    <n v="1"/>
    <n v="0"/>
    <n v="0"/>
    <n v="1"/>
    <n v="0"/>
    <n v="0"/>
    <n v="0"/>
    <n v="0"/>
    <n v="0"/>
    <n v="0"/>
    <n v="0"/>
    <n v="0"/>
    <n v="1"/>
    <n v="0"/>
    <n v="0"/>
    <n v="1"/>
    <n v="0"/>
    <n v="0"/>
    <n v="0"/>
    <n v="0"/>
    <n v="0"/>
    <n v="0"/>
    <n v="1"/>
    <n v="0"/>
    <n v="0"/>
    <n v="1"/>
    <n v="0"/>
    <n v="0"/>
    <n v="0"/>
    <n v="0"/>
    <n v="0"/>
    <n v="0"/>
    <n v="1"/>
    <n v="0"/>
    <n v="0"/>
    <n v="1"/>
    <n v="0"/>
    <n v="0"/>
    <n v="0"/>
    <n v="0"/>
    <n v="0"/>
    <n v="0"/>
    <n v="0"/>
    <n v="1"/>
    <n v="0"/>
    <n v="0"/>
    <n v="1"/>
    <n v="0"/>
    <n v="0"/>
    <n v="0"/>
    <n v="0"/>
    <n v="0"/>
    <n v="0"/>
    <n v="1"/>
    <n v="0"/>
    <n v="0"/>
    <n v="1"/>
    <n v="0"/>
    <n v="0"/>
    <n v="0"/>
    <n v="0"/>
    <n v="0"/>
    <n v="0"/>
    <n v="1"/>
    <n v="0"/>
    <n v="0"/>
    <n v="0"/>
    <n v="0"/>
    <n v="1"/>
    <n v="0"/>
    <n v="0"/>
    <n v="0"/>
    <n v="0"/>
    <n v="1"/>
    <n v="0"/>
    <n v="0"/>
    <n v="1"/>
    <n v="0"/>
    <n v="0"/>
    <n v="0"/>
    <n v="1"/>
    <n v="0"/>
    <n v="0"/>
    <n v="0"/>
    <n v="0"/>
    <n v="0"/>
    <n v="1"/>
    <n v="0"/>
    <n v="0"/>
    <n v="1"/>
    <n v="0"/>
    <n v="0"/>
    <n v="1"/>
    <n v="0"/>
    <n v="0"/>
    <n v="0"/>
    <n v="0"/>
    <n v="0"/>
    <n v="0"/>
    <n v="0"/>
    <n v="0"/>
    <n v="1"/>
    <n v="0"/>
    <n v="1"/>
    <n v="0"/>
    <n v="0"/>
    <n v="0"/>
    <n v="0"/>
    <n v="0"/>
  </r>
  <r>
    <s v="Cases\\GAO"/>
    <x v="1"/>
    <s v="North America"/>
    <x v="20"/>
    <n v="0"/>
    <n v="0"/>
    <n v="0"/>
    <n v="1"/>
    <n v="1"/>
    <n v="0"/>
    <n v="0"/>
    <n v="0"/>
    <n v="0"/>
    <n v="0"/>
    <n v="0"/>
    <n v="0"/>
    <n v="0"/>
    <n v="1"/>
    <n v="0"/>
    <n v="0"/>
    <n v="1"/>
    <n v="0"/>
    <n v="0"/>
    <n v="0"/>
    <n v="0"/>
    <n v="0"/>
    <n v="0"/>
    <n v="0"/>
    <n v="0"/>
    <n v="0"/>
    <n v="1"/>
    <n v="1"/>
    <n v="0"/>
    <n v="0"/>
    <n v="0"/>
    <n v="0"/>
    <n v="0"/>
    <n v="0"/>
    <n v="0"/>
    <n v="1"/>
    <n v="0"/>
    <n v="0"/>
    <n v="1"/>
    <n v="0"/>
    <n v="0"/>
    <n v="0"/>
    <n v="0"/>
    <n v="0"/>
    <n v="0"/>
    <n v="0"/>
    <n v="0"/>
    <n v="0"/>
    <n v="1"/>
    <n v="0"/>
    <n v="0"/>
    <n v="1"/>
    <n v="0"/>
    <n v="0"/>
    <n v="0"/>
    <n v="0"/>
    <n v="0"/>
    <n v="0"/>
    <n v="0"/>
    <n v="1"/>
    <n v="1"/>
    <n v="0"/>
    <n v="0"/>
    <n v="0"/>
    <n v="0"/>
    <n v="0"/>
    <n v="0"/>
    <n v="0"/>
    <n v="0"/>
    <n v="0"/>
    <n v="0"/>
    <n v="1"/>
    <n v="1"/>
    <n v="0"/>
    <n v="0"/>
    <n v="0"/>
    <n v="0"/>
    <n v="0"/>
    <n v="0"/>
    <n v="0"/>
    <n v="0"/>
    <n v="1"/>
    <n v="1"/>
    <n v="0"/>
    <n v="0"/>
    <n v="0"/>
    <n v="0"/>
    <n v="0"/>
    <n v="0"/>
    <n v="0"/>
    <n v="0"/>
    <n v="1"/>
    <n v="1"/>
    <n v="0"/>
    <n v="0"/>
    <n v="0"/>
    <n v="0"/>
    <n v="0"/>
    <n v="0"/>
    <n v="0"/>
    <n v="0"/>
    <n v="0"/>
    <n v="1"/>
    <n v="1"/>
    <n v="0"/>
    <n v="0"/>
    <n v="0"/>
    <n v="0"/>
    <n v="0"/>
    <n v="0"/>
    <n v="0"/>
    <n v="0"/>
    <n v="1"/>
    <n v="1"/>
    <n v="0"/>
    <n v="0"/>
    <n v="0"/>
    <n v="0"/>
    <n v="0"/>
    <n v="0"/>
    <n v="0"/>
    <n v="0"/>
    <n v="1"/>
    <n v="1"/>
    <n v="0"/>
    <n v="0"/>
    <n v="0"/>
    <n v="0"/>
    <n v="0"/>
    <n v="0"/>
    <n v="0"/>
    <n v="0"/>
    <n v="1"/>
    <n v="0"/>
    <n v="0"/>
    <n v="1"/>
    <n v="0"/>
    <n v="0"/>
    <n v="0"/>
    <n v="1"/>
    <n v="0"/>
    <n v="0"/>
    <n v="0"/>
    <n v="0"/>
    <n v="0"/>
    <n v="1"/>
    <n v="0"/>
    <n v="0"/>
    <n v="1"/>
    <n v="0"/>
    <n v="0"/>
    <n v="1"/>
    <n v="0"/>
    <n v="0"/>
    <n v="0"/>
    <n v="0"/>
    <n v="0"/>
    <n v="0"/>
    <n v="0"/>
    <n v="1"/>
    <n v="0"/>
    <n v="1"/>
    <n v="0"/>
    <n v="0"/>
    <n v="0"/>
    <n v="0"/>
    <n v="1"/>
    <n v="0"/>
  </r>
  <r>
    <s v="Cases\\GRI"/>
    <x v="0"/>
    <s v="Global"/>
    <x v="21"/>
    <n v="0"/>
    <n v="0"/>
    <n v="0"/>
    <n v="1"/>
    <n v="1"/>
    <n v="0"/>
    <n v="0"/>
    <n v="0"/>
    <n v="0"/>
    <n v="0"/>
    <n v="0"/>
    <n v="1"/>
    <n v="0"/>
    <n v="0"/>
    <n v="0"/>
    <n v="0"/>
    <n v="1"/>
    <n v="0"/>
    <n v="0"/>
    <n v="0"/>
    <n v="0"/>
    <n v="0"/>
    <n v="1"/>
    <n v="0"/>
    <n v="0"/>
    <n v="1"/>
    <n v="0"/>
    <n v="1"/>
    <n v="0"/>
    <n v="0"/>
    <n v="0"/>
    <n v="0"/>
    <n v="0"/>
    <n v="1"/>
    <n v="0"/>
    <n v="0"/>
    <n v="0"/>
    <n v="0"/>
    <n v="1"/>
    <n v="0"/>
    <n v="0"/>
    <n v="0"/>
    <n v="0"/>
    <n v="0"/>
    <n v="1"/>
    <n v="0"/>
    <n v="0"/>
    <n v="0"/>
    <n v="0"/>
    <n v="1"/>
    <n v="0"/>
    <n v="0"/>
    <n v="0"/>
    <n v="0"/>
    <n v="0"/>
    <n v="1"/>
    <n v="0"/>
    <n v="0"/>
    <n v="0"/>
    <n v="0"/>
    <n v="1"/>
    <n v="0"/>
    <n v="0"/>
    <n v="0"/>
    <n v="0"/>
    <n v="0"/>
    <n v="0"/>
    <n v="1"/>
    <n v="0"/>
    <n v="0"/>
    <n v="0"/>
    <n v="0"/>
    <n v="1"/>
    <n v="0"/>
    <n v="0"/>
    <n v="0"/>
    <n v="0"/>
    <n v="1"/>
    <n v="0"/>
    <n v="0"/>
    <n v="0"/>
    <n v="0"/>
    <n v="1"/>
    <n v="0"/>
    <n v="0"/>
    <n v="0"/>
    <n v="0"/>
    <n v="1"/>
    <n v="0"/>
    <n v="0"/>
    <n v="0"/>
    <n v="0"/>
    <n v="1"/>
    <n v="0"/>
    <n v="0"/>
    <n v="0"/>
    <n v="0"/>
    <n v="0"/>
    <n v="1"/>
    <n v="0"/>
    <n v="0"/>
    <n v="0"/>
    <n v="0"/>
    <n v="1"/>
    <n v="0"/>
    <n v="0"/>
    <n v="0"/>
    <n v="0"/>
    <n v="1"/>
    <n v="0"/>
    <n v="0"/>
    <n v="0"/>
    <n v="0"/>
    <n v="1"/>
    <n v="0"/>
    <n v="0"/>
    <n v="0"/>
    <n v="0"/>
    <n v="1"/>
    <n v="0"/>
    <n v="0"/>
    <n v="0"/>
    <n v="0"/>
    <n v="1"/>
    <n v="0"/>
    <n v="0"/>
    <n v="0"/>
    <n v="0"/>
    <n v="1"/>
    <n v="0"/>
    <n v="0"/>
    <n v="0"/>
    <n v="0"/>
    <n v="1"/>
    <n v="0"/>
    <n v="0"/>
    <n v="0"/>
    <n v="1"/>
    <n v="0"/>
    <n v="0"/>
    <n v="0"/>
    <n v="0"/>
    <n v="0"/>
    <n v="0"/>
    <n v="0"/>
    <n v="1"/>
    <n v="0"/>
    <n v="0"/>
    <n v="1"/>
    <n v="0"/>
    <n v="0"/>
    <n v="1"/>
    <n v="1"/>
    <n v="0"/>
    <n v="0"/>
    <n v="0"/>
    <n v="1"/>
    <n v="0"/>
    <n v="0"/>
    <n v="1"/>
    <n v="0"/>
    <n v="1"/>
    <n v="1"/>
    <n v="1"/>
    <n v="0"/>
    <n v="0"/>
    <n v="0"/>
    <n v="0"/>
  </r>
  <r>
    <s v="Cases\\GTI"/>
    <x v="3"/>
    <s v="Global"/>
    <x v="22"/>
    <n v="1"/>
    <n v="0"/>
    <n v="0"/>
    <n v="0"/>
    <n v="0"/>
    <n v="0"/>
    <n v="1"/>
    <n v="0"/>
    <n v="0"/>
    <n v="0"/>
    <n v="0"/>
    <n v="1"/>
    <n v="0"/>
    <n v="0"/>
    <n v="0"/>
    <n v="0"/>
    <n v="0"/>
    <n v="0"/>
    <n v="1"/>
    <n v="0"/>
    <n v="0"/>
    <n v="0"/>
    <n v="1"/>
    <n v="0"/>
    <n v="0"/>
    <n v="0"/>
    <n v="0"/>
    <n v="0"/>
    <n v="0"/>
    <n v="1"/>
    <n v="0"/>
    <n v="1"/>
    <n v="0"/>
    <n v="1"/>
    <n v="0"/>
    <n v="0"/>
    <n v="0"/>
    <n v="0"/>
    <n v="0"/>
    <n v="0"/>
    <n v="1"/>
    <n v="0"/>
    <n v="0"/>
    <n v="0"/>
    <n v="1"/>
    <n v="0"/>
    <n v="0"/>
    <n v="0"/>
    <n v="0"/>
    <n v="0"/>
    <n v="0"/>
    <n v="1"/>
    <n v="0"/>
    <n v="0"/>
    <n v="0"/>
    <n v="1"/>
    <n v="0"/>
    <n v="0"/>
    <n v="0"/>
    <n v="0"/>
    <n v="0"/>
    <n v="0"/>
    <n v="1"/>
    <n v="0"/>
    <n v="1"/>
    <n v="0"/>
    <n v="0"/>
    <n v="0"/>
    <n v="0"/>
    <n v="1"/>
    <n v="0"/>
    <n v="0"/>
    <n v="0"/>
    <n v="0"/>
    <n v="1"/>
    <n v="0"/>
    <n v="0"/>
    <n v="1"/>
    <n v="0"/>
    <n v="0"/>
    <n v="0"/>
    <n v="0"/>
    <n v="0"/>
    <n v="0"/>
    <n v="1"/>
    <n v="0"/>
    <n v="0"/>
    <n v="1"/>
    <n v="0"/>
    <n v="0"/>
    <n v="0"/>
    <n v="0"/>
    <n v="0"/>
    <n v="0"/>
    <n v="1"/>
    <n v="0"/>
    <n v="0"/>
    <n v="0"/>
    <n v="1"/>
    <n v="0"/>
    <n v="0"/>
    <n v="0"/>
    <n v="0"/>
    <n v="1"/>
    <n v="0"/>
    <n v="0"/>
    <n v="0"/>
    <n v="0"/>
    <n v="1"/>
    <n v="0"/>
    <n v="0"/>
    <n v="0"/>
    <n v="0"/>
    <n v="0"/>
    <n v="0"/>
    <n v="1"/>
    <n v="0"/>
    <n v="0"/>
    <n v="1"/>
    <n v="0"/>
    <n v="0"/>
    <n v="0"/>
    <n v="0"/>
    <n v="0"/>
    <n v="0"/>
    <n v="1"/>
    <n v="0"/>
    <n v="0"/>
    <n v="1"/>
    <n v="0"/>
    <n v="0"/>
    <n v="0"/>
    <n v="0"/>
    <n v="1"/>
    <n v="0"/>
    <n v="0"/>
    <n v="0"/>
    <n v="1"/>
    <n v="0"/>
    <n v="0"/>
    <n v="0"/>
    <n v="0"/>
    <n v="0"/>
    <n v="0"/>
    <n v="0"/>
    <n v="1"/>
    <n v="0"/>
    <n v="0"/>
    <n v="1"/>
    <n v="0"/>
    <n v="1"/>
    <n v="0"/>
    <n v="0"/>
    <n v="0"/>
    <n v="0"/>
    <n v="0"/>
    <n v="1"/>
    <n v="0"/>
    <n v="1"/>
    <n v="1"/>
    <n v="1"/>
    <n v="0"/>
    <n v="1"/>
    <n v="1"/>
    <n v="0"/>
    <n v="0"/>
    <n v="1"/>
    <n v="0"/>
  </r>
  <r>
    <s v="Cases\\HKICPA"/>
    <x v="2"/>
    <s v="Asia Pacific"/>
    <x v="23"/>
    <n v="0"/>
    <n v="0"/>
    <n v="0"/>
    <n v="1"/>
    <n v="0"/>
    <n v="0"/>
    <n v="1"/>
    <n v="0"/>
    <n v="0"/>
    <n v="0"/>
    <n v="0"/>
    <n v="0"/>
    <n v="0"/>
    <n v="0"/>
    <n v="0"/>
    <n v="1"/>
    <n v="0"/>
    <n v="0"/>
    <n v="0"/>
    <n v="0"/>
    <n v="0"/>
    <n v="1"/>
    <n v="0"/>
    <n v="0"/>
    <n v="0"/>
    <n v="0"/>
    <n v="1"/>
    <n v="0"/>
    <n v="0"/>
    <n v="0"/>
    <n v="0"/>
    <n v="0"/>
    <n v="1"/>
    <n v="0"/>
    <n v="0"/>
    <n v="0"/>
    <n v="0"/>
    <n v="1"/>
    <n v="0"/>
    <n v="0"/>
    <n v="0"/>
    <n v="0"/>
    <n v="0"/>
    <n v="1"/>
    <n v="0"/>
    <n v="0"/>
    <n v="0"/>
    <n v="0"/>
    <n v="1"/>
    <n v="0"/>
    <n v="0"/>
    <n v="0"/>
    <n v="0"/>
    <n v="0"/>
    <n v="1"/>
    <n v="0"/>
    <n v="0"/>
    <n v="0"/>
    <n v="0"/>
    <n v="1"/>
    <n v="0"/>
    <n v="0"/>
    <n v="0"/>
    <n v="0"/>
    <n v="0"/>
    <n v="0"/>
    <n v="1"/>
    <n v="0"/>
    <n v="0"/>
    <n v="0"/>
    <n v="0"/>
    <n v="1"/>
    <n v="0"/>
    <n v="0"/>
    <n v="0"/>
    <n v="0"/>
    <n v="1"/>
    <n v="0"/>
    <n v="0"/>
    <n v="0"/>
    <n v="0"/>
    <n v="1"/>
    <n v="0"/>
    <n v="0"/>
    <n v="1"/>
    <n v="0"/>
    <n v="0"/>
    <n v="0"/>
    <n v="0"/>
    <n v="0"/>
    <n v="0"/>
    <n v="1"/>
    <n v="0"/>
    <n v="0"/>
    <n v="0"/>
    <n v="0"/>
    <n v="0"/>
    <n v="1"/>
    <n v="0"/>
    <n v="0"/>
    <n v="0"/>
    <n v="0"/>
    <n v="1"/>
    <n v="0"/>
    <n v="0"/>
    <n v="1"/>
    <n v="0"/>
    <n v="0"/>
    <n v="0"/>
    <n v="0"/>
    <n v="0"/>
    <n v="0"/>
    <n v="1"/>
    <n v="0"/>
    <n v="0"/>
    <n v="0"/>
    <n v="0"/>
    <n v="1"/>
    <n v="0"/>
    <n v="0"/>
    <n v="0"/>
    <n v="0"/>
    <n v="1"/>
    <n v="0"/>
    <n v="0"/>
    <n v="0"/>
    <n v="0"/>
    <n v="1"/>
    <n v="0"/>
    <n v="0"/>
    <n v="0"/>
    <n v="0"/>
    <n v="1"/>
    <n v="0"/>
    <n v="0"/>
    <n v="1"/>
    <n v="0"/>
    <n v="0"/>
    <n v="0"/>
    <n v="1"/>
    <n v="0"/>
    <n v="0"/>
    <n v="0"/>
    <n v="0"/>
    <n v="0"/>
    <n v="1"/>
    <n v="0"/>
    <n v="0"/>
    <n v="1"/>
    <n v="0"/>
    <n v="0"/>
    <n v="1"/>
    <n v="0"/>
    <n v="0"/>
    <n v="0"/>
    <n v="0"/>
    <n v="1"/>
    <n v="0"/>
    <n v="0"/>
    <n v="0"/>
    <n v="0"/>
    <n v="0"/>
    <n v="0"/>
    <n v="0"/>
    <n v="0"/>
    <n v="0"/>
    <n v="0"/>
    <n v="0"/>
  </r>
  <r>
    <s v="Cases\\IAAA"/>
    <x v="0"/>
    <s v="South America"/>
    <x v="24"/>
    <n v="0"/>
    <n v="0"/>
    <n v="0"/>
    <n v="1"/>
    <n v="1"/>
    <n v="0"/>
    <n v="0"/>
    <n v="0"/>
    <n v="0"/>
    <n v="0"/>
    <n v="0"/>
    <n v="1"/>
    <n v="0"/>
    <n v="0"/>
    <n v="0"/>
    <n v="0"/>
    <n v="1"/>
    <n v="0"/>
    <n v="0"/>
    <n v="0"/>
    <n v="0"/>
    <n v="0"/>
    <n v="1"/>
    <n v="0"/>
    <n v="0"/>
    <n v="0"/>
    <n v="0"/>
    <n v="1"/>
    <n v="0"/>
    <n v="0"/>
    <n v="0"/>
    <n v="0"/>
    <n v="0"/>
    <n v="1"/>
    <n v="0"/>
    <n v="0"/>
    <n v="0"/>
    <n v="0"/>
    <n v="1"/>
    <n v="0"/>
    <n v="0"/>
    <n v="0"/>
    <n v="0"/>
    <n v="0"/>
    <n v="1"/>
    <n v="0"/>
    <n v="0"/>
    <n v="0"/>
    <n v="0"/>
    <n v="1"/>
    <n v="0"/>
    <n v="0"/>
    <n v="0"/>
    <n v="0"/>
    <n v="0"/>
    <n v="1"/>
    <n v="0"/>
    <n v="0"/>
    <n v="0"/>
    <n v="0"/>
    <n v="1"/>
    <n v="0"/>
    <n v="0"/>
    <n v="0"/>
    <n v="0"/>
    <n v="0"/>
    <n v="0"/>
    <n v="1"/>
    <n v="0"/>
    <n v="0"/>
    <n v="0"/>
    <n v="0"/>
    <n v="1"/>
    <n v="0"/>
    <n v="0"/>
    <n v="0"/>
    <n v="0"/>
    <n v="1"/>
    <n v="0"/>
    <n v="0"/>
    <n v="0"/>
    <n v="0"/>
    <n v="1"/>
    <n v="0"/>
    <n v="0"/>
    <n v="0"/>
    <n v="0"/>
    <n v="1"/>
    <n v="0"/>
    <n v="0"/>
    <n v="0"/>
    <n v="0"/>
    <n v="1"/>
    <n v="0"/>
    <n v="0"/>
    <n v="0"/>
    <n v="0"/>
    <n v="0"/>
    <n v="1"/>
    <n v="0"/>
    <n v="0"/>
    <n v="0"/>
    <n v="0"/>
    <n v="1"/>
    <n v="0"/>
    <n v="0"/>
    <n v="0"/>
    <n v="0"/>
    <n v="1"/>
    <n v="0"/>
    <n v="0"/>
    <n v="0"/>
    <n v="0"/>
    <n v="1"/>
    <n v="0"/>
    <n v="0"/>
    <n v="0"/>
    <n v="0"/>
    <n v="1"/>
    <n v="0"/>
    <n v="0"/>
    <n v="0"/>
    <n v="0"/>
    <n v="1"/>
    <n v="0"/>
    <n v="0"/>
    <n v="0"/>
    <n v="0"/>
    <n v="1"/>
    <n v="0"/>
    <n v="0"/>
    <n v="0"/>
    <n v="0"/>
    <n v="0"/>
    <n v="0"/>
    <n v="1"/>
    <n v="0"/>
    <n v="0"/>
    <n v="0"/>
    <n v="1"/>
    <n v="0"/>
    <n v="0"/>
    <n v="0"/>
    <n v="0"/>
    <n v="1"/>
    <n v="0"/>
    <n v="1"/>
    <n v="0"/>
    <n v="0"/>
    <n v="1"/>
    <n v="0"/>
    <n v="0"/>
    <n v="0"/>
    <n v="0"/>
    <n v="0"/>
    <n v="0"/>
    <n v="1"/>
    <n v="0"/>
    <n v="0"/>
    <n v="1"/>
    <n v="0"/>
    <n v="0"/>
    <n v="0"/>
    <n v="0"/>
    <n v="0"/>
    <n v="0"/>
    <n v="0"/>
    <n v="0"/>
  </r>
  <r>
    <s v="Cases\\ICAS"/>
    <x v="0"/>
    <s v="Europe"/>
    <x v="25"/>
    <n v="0"/>
    <n v="0"/>
    <n v="0"/>
    <n v="1"/>
    <n v="0"/>
    <n v="0"/>
    <n v="0"/>
    <n v="0"/>
    <n v="0"/>
    <n v="0"/>
    <n v="1"/>
    <n v="0"/>
    <n v="0"/>
    <n v="0"/>
    <n v="0"/>
    <n v="1"/>
    <n v="0"/>
    <n v="0"/>
    <n v="0"/>
    <n v="0"/>
    <n v="0"/>
    <n v="1"/>
    <n v="0"/>
    <n v="0"/>
    <n v="0"/>
    <n v="0"/>
    <n v="1"/>
    <n v="0"/>
    <n v="0"/>
    <n v="0"/>
    <n v="0"/>
    <n v="0"/>
    <n v="1"/>
    <n v="0"/>
    <n v="0"/>
    <n v="0"/>
    <n v="0"/>
    <n v="1"/>
    <n v="0"/>
    <n v="0"/>
    <n v="0"/>
    <n v="0"/>
    <n v="0"/>
    <n v="1"/>
    <n v="0"/>
    <n v="0"/>
    <n v="0"/>
    <n v="0"/>
    <n v="1"/>
    <n v="0"/>
    <n v="0"/>
    <n v="1"/>
    <n v="0"/>
    <n v="0"/>
    <n v="0"/>
    <n v="0"/>
    <n v="0"/>
    <n v="0"/>
    <n v="0"/>
    <n v="1"/>
    <n v="0"/>
    <n v="0"/>
    <n v="0"/>
    <n v="0"/>
    <n v="0"/>
    <n v="0"/>
    <n v="1"/>
    <n v="0"/>
    <n v="0"/>
    <n v="0"/>
    <n v="0"/>
    <n v="1"/>
    <n v="0"/>
    <n v="0"/>
    <n v="0"/>
    <n v="0"/>
    <n v="1"/>
    <n v="0"/>
    <n v="0"/>
    <n v="0"/>
    <n v="0"/>
    <n v="1"/>
    <n v="0"/>
    <n v="0"/>
    <n v="0"/>
    <n v="0"/>
    <n v="1"/>
    <n v="0"/>
    <n v="0"/>
    <n v="0"/>
    <n v="0"/>
    <n v="1"/>
    <n v="0"/>
    <n v="0"/>
    <n v="0"/>
    <n v="0"/>
    <n v="0"/>
    <n v="1"/>
    <n v="0"/>
    <n v="0"/>
    <n v="0"/>
    <n v="0"/>
    <n v="1"/>
    <n v="0"/>
    <n v="0"/>
    <n v="0"/>
    <n v="0"/>
    <n v="1"/>
    <n v="0"/>
    <n v="0"/>
    <n v="0"/>
    <n v="0"/>
    <n v="1"/>
    <n v="0"/>
    <n v="0"/>
    <n v="0"/>
    <n v="0"/>
    <n v="1"/>
    <n v="0"/>
    <n v="0"/>
    <n v="0"/>
    <n v="0"/>
    <n v="1"/>
    <n v="0"/>
    <n v="0"/>
    <n v="0"/>
    <n v="0"/>
    <n v="1"/>
    <n v="0"/>
    <n v="0"/>
    <n v="0"/>
    <n v="0"/>
    <n v="1"/>
    <n v="0"/>
    <n v="0"/>
    <n v="1"/>
    <n v="0"/>
    <n v="1"/>
    <n v="0"/>
    <n v="0"/>
    <n v="0"/>
    <n v="0"/>
    <n v="0"/>
    <n v="0"/>
    <n v="0"/>
    <n v="1"/>
    <n v="0"/>
    <n v="0"/>
    <n v="1"/>
    <n v="0"/>
    <n v="0"/>
    <n v="1"/>
    <n v="0"/>
    <n v="0"/>
    <n v="0"/>
    <n v="0"/>
    <n v="1"/>
    <n v="0"/>
    <n v="0"/>
    <n v="0"/>
    <n v="0"/>
    <n v="0"/>
    <n v="0"/>
    <n v="1"/>
    <n v="0"/>
    <n v="1"/>
    <n v="0"/>
    <n v="0"/>
  </r>
  <r>
    <s v="Cases\\ICGN"/>
    <x v="5"/>
    <s v="Global"/>
    <x v="26"/>
    <n v="0"/>
    <n v="0"/>
    <n v="0"/>
    <n v="1"/>
    <n v="0"/>
    <n v="0"/>
    <n v="1"/>
    <n v="0"/>
    <n v="0"/>
    <n v="0"/>
    <n v="0"/>
    <n v="0"/>
    <n v="0"/>
    <n v="1"/>
    <n v="0"/>
    <n v="0"/>
    <n v="1"/>
    <n v="0"/>
    <n v="0"/>
    <n v="0"/>
    <n v="0"/>
    <n v="0"/>
    <n v="0"/>
    <n v="0"/>
    <n v="1"/>
    <n v="0"/>
    <n v="0"/>
    <n v="0"/>
    <n v="0"/>
    <n v="1"/>
    <n v="0"/>
    <n v="0"/>
    <n v="0"/>
    <n v="0"/>
    <n v="0"/>
    <n v="1"/>
    <n v="0"/>
    <n v="0"/>
    <n v="1"/>
    <n v="0"/>
    <n v="0"/>
    <n v="0"/>
    <n v="0"/>
    <n v="0"/>
    <n v="0"/>
    <n v="0"/>
    <n v="1"/>
    <n v="0"/>
    <n v="0"/>
    <n v="0"/>
    <n v="0"/>
    <n v="1"/>
    <n v="0"/>
    <n v="0"/>
    <n v="0"/>
    <n v="0"/>
    <n v="0"/>
    <n v="1"/>
    <n v="0"/>
    <n v="0"/>
    <n v="1"/>
    <n v="0"/>
    <n v="0"/>
    <n v="0"/>
    <n v="0"/>
    <n v="0"/>
    <n v="0"/>
    <n v="0"/>
    <n v="0"/>
    <n v="1"/>
    <n v="0"/>
    <n v="0"/>
    <n v="1"/>
    <n v="0"/>
    <n v="0"/>
    <n v="0"/>
    <n v="0"/>
    <n v="0"/>
    <n v="0"/>
    <n v="1"/>
    <n v="0"/>
    <n v="0"/>
    <n v="1"/>
    <n v="0"/>
    <n v="0"/>
    <n v="0"/>
    <n v="0"/>
    <n v="0"/>
    <n v="0"/>
    <n v="1"/>
    <n v="0"/>
    <n v="0"/>
    <n v="0"/>
    <n v="0"/>
    <n v="1"/>
    <n v="0"/>
    <n v="0"/>
    <n v="0"/>
    <n v="0"/>
    <n v="0"/>
    <n v="1"/>
    <n v="0"/>
    <n v="0"/>
    <n v="1"/>
    <n v="0"/>
    <n v="0"/>
    <n v="0"/>
    <n v="0"/>
    <n v="0"/>
    <n v="0"/>
    <n v="1"/>
    <n v="0"/>
    <n v="0"/>
    <n v="0"/>
    <n v="0"/>
    <n v="1"/>
    <n v="0"/>
    <n v="0"/>
    <n v="0"/>
    <n v="0"/>
    <n v="0"/>
    <n v="0"/>
    <n v="1"/>
    <n v="1"/>
    <n v="0"/>
    <n v="0"/>
    <n v="0"/>
    <n v="0"/>
    <n v="0"/>
    <n v="0"/>
    <n v="0"/>
    <n v="0"/>
    <n v="1"/>
    <n v="1"/>
    <n v="0"/>
    <n v="0"/>
    <n v="0"/>
    <n v="0"/>
    <n v="0"/>
    <n v="1"/>
    <n v="0"/>
    <n v="0"/>
    <n v="0"/>
    <n v="0"/>
    <n v="0"/>
    <n v="1"/>
    <n v="0"/>
    <n v="0"/>
    <n v="1"/>
    <n v="0"/>
    <n v="0"/>
    <n v="1"/>
    <n v="0"/>
    <n v="0"/>
    <n v="1"/>
    <n v="0"/>
    <n v="1"/>
    <n v="0"/>
    <n v="0"/>
    <n v="1"/>
    <n v="0"/>
    <n v="0"/>
    <n v="0"/>
    <n v="1"/>
    <n v="1"/>
    <n v="0"/>
    <n v="0"/>
    <n v="0"/>
  </r>
  <r>
    <s v="Cases\\ICPAR"/>
    <x v="0"/>
    <s v="Middle East and Africa"/>
    <x v="27"/>
    <n v="0"/>
    <n v="0"/>
    <n v="0"/>
    <n v="1"/>
    <n v="1"/>
    <n v="0"/>
    <n v="0"/>
    <n v="0"/>
    <n v="0"/>
    <n v="0"/>
    <n v="0"/>
    <n v="1"/>
    <n v="0"/>
    <n v="0"/>
    <n v="0"/>
    <n v="0"/>
    <n v="1"/>
    <n v="0"/>
    <n v="0"/>
    <n v="0"/>
    <n v="0"/>
    <n v="0"/>
    <n v="1"/>
    <n v="0"/>
    <n v="0"/>
    <n v="0"/>
    <n v="0"/>
    <n v="1"/>
    <n v="0"/>
    <n v="0"/>
    <n v="0"/>
    <n v="0"/>
    <n v="0"/>
    <n v="1"/>
    <n v="0"/>
    <n v="0"/>
    <n v="0"/>
    <n v="0"/>
    <n v="1"/>
    <n v="0"/>
    <n v="0"/>
    <n v="0"/>
    <n v="0"/>
    <n v="0"/>
    <n v="1"/>
    <n v="0"/>
    <n v="0"/>
    <n v="0"/>
    <n v="0"/>
    <n v="1"/>
    <n v="0"/>
    <n v="0"/>
    <n v="0"/>
    <n v="0"/>
    <n v="0"/>
    <n v="1"/>
    <n v="0"/>
    <n v="0"/>
    <n v="0"/>
    <n v="0"/>
    <n v="1"/>
    <n v="0"/>
    <n v="0"/>
    <n v="0"/>
    <n v="0"/>
    <n v="0"/>
    <n v="0"/>
    <n v="1"/>
    <n v="0"/>
    <n v="0"/>
    <n v="0"/>
    <n v="0"/>
    <n v="1"/>
    <n v="0"/>
    <n v="0"/>
    <n v="0"/>
    <n v="0"/>
    <n v="1"/>
    <n v="0"/>
    <n v="0"/>
    <n v="0"/>
    <n v="0"/>
    <n v="1"/>
    <n v="0"/>
    <n v="0"/>
    <n v="0"/>
    <n v="0"/>
    <n v="1"/>
    <n v="0"/>
    <n v="0"/>
    <n v="0"/>
    <n v="0"/>
    <n v="1"/>
    <n v="0"/>
    <n v="0"/>
    <n v="0"/>
    <n v="0"/>
    <n v="0"/>
    <n v="1"/>
    <n v="0"/>
    <n v="0"/>
    <n v="0"/>
    <n v="0"/>
    <n v="1"/>
    <n v="0"/>
    <n v="0"/>
    <n v="0"/>
    <n v="0"/>
    <n v="1"/>
    <n v="0"/>
    <n v="0"/>
    <n v="0"/>
    <n v="0"/>
    <n v="1"/>
    <n v="0"/>
    <n v="0"/>
    <n v="0"/>
    <n v="0"/>
    <n v="1"/>
    <n v="0"/>
    <n v="0"/>
    <n v="0"/>
    <n v="0"/>
    <n v="1"/>
    <n v="0"/>
    <n v="0"/>
    <n v="0"/>
    <n v="0"/>
    <n v="1"/>
    <n v="0"/>
    <n v="0"/>
    <n v="0"/>
    <n v="0"/>
    <n v="0"/>
    <n v="0"/>
    <n v="1"/>
    <n v="0"/>
    <n v="0"/>
    <n v="0"/>
    <n v="1"/>
    <n v="0"/>
    <n v="0"/>
    <n v="0"/>
    <n v="0"/>
    <n v="1"/>
    <n v="0"/>
    <n v="0"/>
    <n v="1"/>
    <n v="0"/>
    <n v="0"/>
    <n v="1"/>
    <n v="0"/>
    <n v="0"/>
    <n v="0"/>
    <n v="0"/>
    <n v="0"/>
    <n v="0"/>
    <n v="0"/>
    <n v="0"/>
    <n v="1"/>
    <n v="0"/>
    <n v="0"/>
    <n v="0"/>
    <n v="0"/>
    <n v="0"/>
    <n v="0"/>
    <n v="0"/>
    <n v="0"/>
  </r>
  <r>
    <s v="Cases\\ICPAU"/>
    <x v="0"/>
    <s v="Middle East and Africa"/>
    <x v="28"/>
    <n v="0"/>
    <n v="0"/>
    <n v="0"/>
    <n v="1"/>
    <n v="1"/>
    <n v="0"/>
    <n v="0"/>
    <n v="0"/>
    <n v="0"/>
    <n v="0"/>
    <n v="0"/>
    <n v="1"/>
    <n v="0"/>
    <n v="0"/>
    <n v="0"/>
    <n v="0"/>
    <n v="1"/>
    <n v="0"/>
    <n v="0"/>
    <n v="0"/>
    <n v="0"/>
    <n v="0"/>
    <n v="1"/>
    <n v="0"/>
    <n v="0"/>
    <n v="0"/>
    <n v="0"/>
    <n v="1"/>
    <n v="0"/>
    <n v="0"/>
    <n v="0"/>
    <n v="0"/>
    <n v="0"/>
    <n v="1"/>
    <n v="0"/>
    <n v="0"/>
    <n v="0"/>
    <n v="0"/>
    <n v="1"/>
    <n v="0"/>
    <n v="0"/>
    <n v="0"/>
    <n v="0"/>
    <n v="0"/>
    <n v="1"/>
    <n v="0"/>
    <n v="0"/>
    <n v="0"/>
    <n v="0"/>
    <n v="1"/>
    <n v="0"/>
    <n v="0"/>
    <n v="0"/>
    <n v="0"/>
    <n v="0"/>
    <n v="1"/>
    <n v="0"/>
    <n v="0"/>
    <n v="0"/>
    <n v="0"/>
    <n v="1"/>
    <n v="0"/>
    <n v="0"/>
    <n v="0"/>
    <n v="0"/>
    <n v="0"/>
    <n v="0"/>
    <n v="1"/>
    <n v="0"/>
    <n v="0"/>
    <n v="0"/>
    <n v="0"/>
    <n v="1"/>
    <n v="0"/>
    <n v="0"/>
    <n v="0"/>
    <n v="0"/>
    <n v="1"/>
    <n v="0"/>
    <n v="0"/>
    <n v="0"/>
    <n v="0"/>
    <n v="1"/>
    <n v="0"/>
    <n v="0"/>
    <n v="0"/>
    <n v="0"/>
    <n v="1"/>
    <n v="0"/>
    <n v="0"/>
    <n v="0"/>
    <n v="0"/>
    <n v="1"/>
    <n v="0"/>
    <n v="0"/>
    <n v="0"/>
    <n v="0"/>
    <n v="0"/>
    <n v="1"/>
    <n v="0"/>
    <n v="0"/>
    <n v="0"/>
    <n v="0"/>
    <n v="1"/>
    <n v="0"/>
    <n v="0"/>
    <n v="0"/>
    <n v="0"/>
    <n v="1"/>
    <n v="0"/>
    <n v="0"/>
    <n v="0"/>
    <n v="0"/>
    <n v="1"/>
    <n v="0"/>
    <n v="0"/>
    <n v="0"/>
    <n v="0"/>
    <n v="1"/>
    <n v="0"/>
    <n v="0"/>
    <n v="0"/>
    <n v="0"/>
    <n v="1"/>
    <n v="0"/>
    <n v="0"/>
    <n v="0"/>
    <n v="0"/>
    <n v="1"/>
    <n v="0"/>
    <n v="0"/>
    <n v="0"/>
    <n v="0"/>
    <n v="0"/>
    <n v="0"/>
    <n v="1"/>
    <n v="0"/>
    <n v="0"/>
    <n v="0"/>
    <n v="1"/>
    <n v="0"/>
    <n v="0"/>
    <n v="0"/>
    <n v="0"/>
    <n v="0"/>
    <n v="1"/>
    <n v="0"/>
    <n v="0"/>
    <n v="1"/>
    <n v="0"/>
    <n v="0"/>
    <n v="1"/>
    <n v="0"/>
    <n v="0"/>
    <n v="0"/>
    <n v="0"/>
    <n v="0"/>
    <n v="0"/>
    <n v="0"/>
    <n v="1"/>
    <n v="0"/>
    <n v="0"/>
    <n v="0"/>
    <n v="0"/>
    <n v="0"/>
    <n v="0"/>
    <n v="0"/>
    <n v="0"/>
  </r>
  <r>
    <s v="Cases\\IDW"/>
    <x v="2"/>
    <s v="Europe"/>
    <x v="29"/>
    <n v="0"/>
    <n v="0"/>
    <n v="1"/>
    <n v="0"/>
    <n v="0"/>
    <n v="0"/>
    <n v="1"/>
    <n v="0"/>
    <n v="0"/>
    <n v="0"/>
    <n v="0"/>
    <n v="1"/>
    <n v="0"/>
    <n v="0"/>
    <n v="0"/>
    <n v="0"/>
    <n v="0"/>
    <n v="0"/>
    <n v="1"/>
    <n v="0"/>
    <n v="0"/>
    <n v="0"/>
    <n v="1"/>
    <n v="0"/>
    <n v="0"/>
    <n v="0"/>
    <n v="0"/>
    <n v="0"/>
    <n v="0"/>
    <n v="1"/>
    <n v="0"/>
    <n v="0"/>
    <n v="0"/>
    <n v="1"/>
    <n v="0"/>
    <n v="0"/>
    <n v="0"/>
    <n v="0"/>
    <n v="0"/>
    <n v="0"/>
    <n v="1"/>
    <n v="0"/>
    <n v="0"/>
    <n v="0"/>
    <n v="1"/>
    <n v="0"/>
    <n v="0"/>
    <n v="0"/>
    <n v="0"/>
    <n v="0"/>
    <n v="0"/>
    <n v="1"/>
    <n v="0"/>
    <n v="0"/>
    <n v="0"/>
    <n v="0"/>
    <n v="0"/>
    <n v="1"/>
    <n v="0"/>
    <n v="0"/>
    <n v="0"/>
    <n v="0"/>
    <n v="1"/>
    <n v="0"/>
    <n v="0"/>
    <n v="0"/>
    <n v="0"/>
    <n v="1"/>
    <n v="0"/>
    <n v="0"/>
    <n v="0"/>
    <n v="0"/>
    <n v="0"/>
    <n v="0"/>
    <n v="1"/>
    <n v="0"/>
    <n v="0"/>
    <n v="1"/>
    <n v="0"/>
    <n v="0"/>
    <n v="0"/>
    <n v="0"/>
    <n v="0"/>
    <n v="0"/>
    <n v="1"/>
    <n v="0"/>
    <n v="0"/>
    <n v="1"/>
    <n v="0"/>
    <n v="0"/>
    <n v="0"/>
    <n v="0"/>
    <n v="0"/>
    <n v="0"/>
    <n v="1"/>
    <n v="0"/>
    <n v="0"/>
    <n v="0"/>
    <n v="1"/>
    <n v="0"/>
    <n v="0"/>
    <n v="0"/>
    <n v="0"/>
    <n v="0"/>
    <n v="0"/>
    <n v="1"/>
    <n v="0"/>
    <n v="0"/>
    <n v="1"/>
    <n v="0"/>
    <n v="0"/>
    <n v="0"/>
    <n v="0"/>
    <n v="0"/>
    <n v="0"/>
    <n v="1"/>
    <n v="0"/>
    <n v="0"/>
    <n v="1"/>
    <n v="0"/>
    <n v="0"/>
    <n v="0"/>
    <n v="0"/>
    <n v="0"/>
    <n v="0"/>
    <n v="1"/>
    <n v="0"/>
    <n v="0"/>
    <n v="1"/>
    <n v="0"/>
    <n v="0"/>
    <n v="0"/>
    <n v="0"/>
    <n v="0"/>
    <n v="0"/>
    <n v="0"/>
    <n v="1"/>
    <n v="0"/>
    <n v="1"/>
    <n v="0"/>
    <n v="0"/>
    <n v="0"/>
    <n v="0"/>
    <n v="0"/>
    <n v="0"/>
    <n v="1"/>
    <n v="0"/>
    <n v="0"/>
    <n v="1"/>
    <n v="0"/>
    <n v="0"/>
    <n v="1"/>
    <n v="0"/>
    <n v="0"/>
    <n v="0"/>
    <n v="1"/>
    <n v="0"/>
    <n v="0"/>
    <n v="0"/>
    <n v="1"/>
    <n v="0"/>
    <n v="0"/>
    <n v="1"/>
    <n v="1"/>
    <n v="0"/>
    <n v="0"/>
    <n v="0"/>
    <n v="0"/>
  </r>
  <r>
    <s v="Cases\\IIA"/>
    <x v="0"/>
    <s v="Global"/>
    <x v="30"/>
    <n v="0"/>
    <n v="0"/>
    <n v="0"/>
    <n v="1"/>
    <n v="0"/>
    <n v="0"/>
    <n v="1"/>
    <n v="0"/>
    <n v="0"/>
    <n v="0"/>
    <n v="0"/>
    <n v="0"/>
    <n v="0"/>
    <n v="0"/>
    <n v="0"/>
    <n v="1"/>
    <n v="0"/>
    <n v="0"/>
    <n v="0"/>
    <n v="0"/>
    <n v="0"/>
    <n v="1"/>
    <n v="0"/>
    <n v="0"/>
    <n v="0"/>
    <n v="0"/>
    <n v="1"/>
    <n v="0"/>
    <n v="0"/>
    <n v="0"/>
    <n v="0"/>
    <n v="0"/>
    <n v="1"/>
    <n v="0"/>
    <n v="0"/>
    <n v="0"/>
    <n v="0"/>
    <n v="1"/>
    <n v="0"/>
    <n v="0"/>
    <n v="0"/>
    <n v="0"/>
    <n v="0"/>
    <n v="1"/>
    <n v="0"/>
    <n v="0"/>
    <n v="0"/>
    <n v="0"/>
    <n v="1"/>
    <n v="0"/>
    <n v="0"/>
    <n v="0"/>
    <n v="0"/>
    <n v="0"/>
    <n v="1"/>
    <n v="0"/>
    <n v="0"/>
    <n v="0"/>
    <n v="0"/>
    <n v="1"/>
    <n v="0"/>
    <n v="0"/>
    <n v="0"/>
    <n v="0"/>
    <n v="0"/>
    <n v="0"/>
    <n v="1"/>
    <n v="0"/>
    <n v="0"/>
    <n v="0"/>
    <n v="0"/>
    <n v="1"/>
    <n v="0"/>
    <n v="0"/>
    <n v="0"/>
    <n v="0"/>
    <n v="1"/>
    <n v="0"/>
    <n v="0"/>
    <n v="0"/>
    <n v="0"/>
    <n v="1"/>
    <n v="0"/>
    <n v="0"/>
    <n v="0"/>
    <n v="0"/>
    <n v="1"/>
    <n v="0"/>
    <n v="0"/>
    <n v="0"/>
    <n v="0"/>
    <n v="1"/>
    <n v="0"/>
    <n v="0"/>
    <n v="0"/>
    <n v="0"/>
    <n v="0"/>
    <n v="1"/>
    <n v="0"/>
    <n v="0"/>
    <n v="0"/>
    <n v="0"/>
    <n v="1"/>
    <n v="0"/>
    <n v="0"/>
    <n v="0"/>
    <n v="0"/>
    <n v="1"/>
    <n v="0"/>
    <n v="0"/>
    <n v="0"/>
    <n v="0"/>
    <n v="1"/>
    <n v="0"/>
    <n v="0"/>
    <n v="0"/>
    <n v="0"/>
    <n v="1"/>
    <n v="0"/>
    <n v="0"/>
    <n v="0"/>
    <n v="0"/>
    <n v="1"/>
    <n v="0"/>
    <n v="0"/>
    <n v="0"/>
    <n v="0"/>
    <n v="1"/>
    <n v="0"/>
    <n v="0"/>
    <n v="0"/>
    <n v="0"/>
    <n v="1"/>
    <n v="0"/>
    <n v="0"/>
    <n v="1"/>
    <n v="0"/>
    <n v="0"/>
    <n v="0"/>
    <n v="1"/>
    <n v="0"/>
    <n v="0"/>
    <n v="0"/>
    <n v="0"/>
    <n v="0"/>
    <n v="1"/>
    <n v="0"/>
    <n v="0"/>
    <n v="1"/>
    <n v="0"/>
    <n v="0"/>
    <n v="1"/>
    <n v="0"/>
    <n v="0"/>
    <n v="0"/>
    <n v="0"/>
    <n v="0"/>
    <n v="0"/>
    <n v="0"/>
    <n v="1"/>
    <n v="0"/>
    <n v="0"/>
    <n v="0"/>
    <n v="0"/>
    <n v="0"/>
    <n v="0"/>
    <n v="0"/>
    <n v="0"/>
  </r>
  <r>
    <s v="Cases\\IIRC"/>
    <x v="0"/>
    <s v="Global"/>
    <x v="31"/>
    <n v="0"/>
    <n v="0"/>
    <n v="0"/>
    <n v="1"/>
    <n v="0"/>
    <n v="0"/>
    <n v="0"/>
    <n v="0"/>
    <n v="0"/>
    <n v="0"/>
    <n v="1"/>
    <n v="0"/>
    <n v="0"/>
    <n v="0"/>
    <n v="0"/>
    <n v="1"/>
    <n v="0"/>
    <n v="0"/>
    <n v="0"/>
    <n v="0"/>
    <n v="0"/>
    <n v="1"/>
    <n v="0"/>
    <n v="0"/>
    <n v="0"/>
    <n v="0"/>
    <n v="1"/>
    <n v="0"/>
    <n v="0"/>
    <n v="0"/>
    <n v="0"/>
    <n v="0"/>
    <n v="1"/>
    <n v="0"/>
    <n v="0"/>
    <n v="0"/>
    <n v="0"/>
    <n v="1"/>
    <n v="0"/>
    <n v="0"/>
    <n v="0"/>
    <n v="0"/>
    <n v="0"/>
    <n v="1"/>
    <n v="0"/>
    <n v="0"/>
    <n v="0"/>
    <n v="0"/>
    <n v="1"/>
    <n v="0"/>
    <n v="0"/>
    <n v="0"/>
    <n v="0"/>
    <n v="0"/>
    <n v="1"/>
    <n v="0"/>
    <n v="0"/>
    <n v="0"/>
    <n v="0"/>
    <n v="1"/>
    <n v="0"/>
    <n v="0"/>
    <n v="0"/>
    <n v="0"/>
    <n v="0"/>
    <n v="0"/>
    <n v="1"/>
    <n v="0"/>
    <n v="0"/>
    <n v="0"/>
    <n v="0"/>
    <n v="1"/>
    <n v="0"/>
    <n v="0"/>
    <n v="0"/>
    <n v="0"/>
    <n v="1"/>
    <n v="0"/>
    <n v="0"/>
    <n v="0"/>
    <n v="0"/>
    <n v="1"/>
    <n v="0"/>
    <n v="0"/>
    <n v="0"/>
    <n v="0"/>
    <n v="1"/>
    <n v="0"/>
    <n v="0"/>
    <n v="0"/>
    <n v="0"/>
    <n v="1"/>
    <n v="0"/>
    <n v="0"/>
    <n v="0"/>
    <n v="0"/>
    <n v="0"/>
    <n v="1"/>
    <n v="0"/>
    <n v="0"/>
    <n v="0"/>
    <n v="0"/>
    <n v="1"/>
    <n v="0"/>
    <n v="0"/>
    <n v="0"/>
    <n v="0"/>
    <n v="1"/>
    <n v="0"/>
    <n v="0"/>
    <n v="0"/>
    <n v="0"/>
    <n v="1"/>
    <n v="0"/>
    <n v="0"/>
    <n v="1"/>
    <n v="0"/>
    <n v="0"/>
    <n v="0"/>
    <n v="0"/>
    <n v="0"/>
    <n v="0"/>
    <n v="1"/>
    <n v="0"/>
    <n v="0"/>
    <n v="0"/>
    <n v="0"/>
    <n v="1"/>
    <n v="0"/>
    <n v="0"/>
    <n v="0"/>
    <n v="0"/>
    <n v="1"/>
    <n v="0"/>
    <n v="0"/>
    <n v="1"/>
    <n v="0"/>
    <n v="0"/>
    <n v="1"/>
    <n v="0"/>
    <n v="0"/>
    <n v="0"/>
    <n v="0"/>
    <n v="0"/>
    <n v="0"/>
    <n v="1"/>
    <n v="0"/>
    <n v="0"/>
    <n v="1"/>
    <n v="0"/>
    <n v="0"/>
    <n v="1"/>
    <n v="1"/>
    <n v="0"/>
    <n v="0"/>
    <n v="0"/>
    <n v="1"/>
    <n v="0"/>
    <n v="0"/>
    <n v="1"/>
    <n v="1"/>
    <n v="0"/>
    <n v="0"/>
    <n v="0"/>
    <n v="0"/>
    <n v="0"/>
    <n v="0"/>
    <n v="0"/>
  </r>
  <r>
    <s v="Cases\\ISCA"/>
    <x v="0"/>
    <s v="Asia Pacific"/>
    <x v="32"/>
    <n v="0"/>
    <n v="0"/>
    <n v="0"/>
    <n v="1"/>
    <n v="1"/>
    <n v="0"/>
    <n v="0"/>
    <n v="0"/>
    <n v="1"/>
    <n v="0"/>
    <n v="0"/>
    <n v="0"/>
    <n v="0"/>
    <n v="0"/>
    <n v="0"/>
    <n v="1"/>
    <n v="0"/>
    <n v="0"/>
    <n v="1"/>
    <n v="0"/>
    <n v="1"/>
    <n v="0"/>
    <n v="0"/>
    <n v="0"/>
    <n v="0"/>
    <n v="0"/>
    <n v="1"/>
    <n v="0"/>
    <n v="0"/>
    <n v="1"/>
    <n v="0"/>
    <n v="0"/>
    <n v="0"/>
    <n v="0"/>
    <n v="0"/>
    <n v="0"/>
    <n v="0"/>
    <n v="1"/>
    <n v="1"/>
    <n v="0"/>
    <n v="0"/>
    <n v="0"/>
    <n v="1"/>
    <n v="0"/>
    <n v="0"/>
    <n v="0"/>
    <n v="0"/>
    <n v="0"/>
    <n v="1"/>
    <n v="0"/>
    <n v="0"/>
    <n v="1"/>
    <n v="0"/>
    <n v="1"/>
    <n v="0"/>
    <n v="0"/>
    <n v="0"/>
    <n v="0"/>
    <n v="0"/>
    <n v="1"/>
    <n v="0"/>
    <n v="0"/>
    <n v="0"/>
    <n v="0"/>
    <n v="0"/>
    <n v="0"/>
    <n v="1"/>
    <n v="0"/>
    <n v="0"/>
    <n v="0"/>
    <n v="0"/>
    <n v="1"/>
    <n v="0"/>
    <n v="0"/>
    <n v="0"/>
    <n v="0"/>
    <n v="1"/>
    <n v="0"/>
    <n v="0"/>
    <n v="0"/>
    <n v="0"/>
    <n v="1"/>
    <n v="0"/>
    <n v="0"/>
    <n v="1"/>
    <n v="0"/>
    <n v="0"/>
    <n v="0"/>
    <n v="0"/>
    <n v="0"/>
    <n v="0"/>
    <n v="1"/>
    <n v="0"/>
    <n v="0"/>
    <n v="0"/>
    <n v="0"/>
    <n v="0"/>
    <n v="1"/>
    <n v="0"/>
    <n v="0"/>
    <n v="0"/>
    <n v="0"/>
    <n v="1"/>
    <n v="0"/>
    <n v="0"/>
    <n v="1"/>
    <n v="0"/>
    <n v="0"/>
    <n v="0"/>
    <n v="0"/>
    <n v="0"/>
    <n v="0"/>
    <n v="1"/>
    <n v="0"/>
    <n v="0"/>
    <n v="1"/>
    <n v="0"/>
    <n v="0"/>
    <n v="0"/>
    <n v="0"/>
    <n v="0"/>
    <n v="0"/>
    <n v="1"/>
    <n v="0"/>
    <n v="0"/>
    <n v="0"/>
    <n v="0"/>
    <n v="1"/>
    <n v="0"/>
    <n v="0"/>
    <n v="0"/>
    <n v="0"/>
    <n v="1"/>
    <n v="0"/>
    <n v="1"/>
    <n v="0"/>
    <n v="0"/>
    <n v="0"/>
    <n v="1"/>
    <n v="0"/>
    <n v="1"/>
    <n v="0"/>
    <n v="0"/>
    <n v="0"/>
    <n v="0"/>
    <n v="1"/>
    <n v="0"/>
    <n v="0"/>
    <n v="1"/>
    <n v="0"/>
    <n v="0"/>
    <n v="1"/>
    <n v="0"/>
    <n v="0"/>
    <n v="0"/>
    <n v="0"/>
    <n v="1"/>
    <n v="0"/>
    <n v="0"/>
    <n v="1"/>
    <n v="1"/>
    <n v="0"/>
    <n v="1"/>
    <n v="1"/>
    <n v="0"/>
    <n v="0"/>
    <n v="0"/>
    <n v="0"/>
  </r>
  <r>
    <s v="Cases\\JICPA"/>
    <x v="2"/>
    <s v="Asia Pacific"/>
    <x v="33"/>
    <n v="0"/>
    <n v="0"/>
    <n v="0"/>
    <n v="1"/>
    <n v="0"/>
    <n v="0"/>
    <n v="0"/>
    <n v="0"/>
    <n v="0"/>
    <n v="0"/>
    <n v="1"/>
    <n v="0"/>
    <n v="0"/>
    <n v="0"/>
    <n v="0"/>
    <n v="1"/>
    <n v="0"/>
    <n v="0"/>
    <n v="0"/>
    <n v="0"/>
    <n v="0"/>
    <n v="1"/>
    <n v="0"/>
    <n v="0"/>
    <n v="0"/>
    <n v="0"/>
    <n v="1"/>
    <n v="0"/>
    <n v="0"/>
    <n v="1"/>
    <n v="0"/>
    <n v="0"/>
    <n v="0"/>
    <n v="0"/>
    <n v="0"/>
    <n v="0"/>
    <n v="0"/>
    <n v="1"/>
    <n v="0"/>
    <n v="0"/>
    <n v="0"/>
    <n v="0"/>
    <n v="0"/>
    <n v="1"/>
    <n v="0"/>
    <n v="0"/>
    <n v="0"/>
    <n v="0"/>
    <n v="1"/>
    <n v="0"/>
    <n v="0"/>
    <n v="0"/>
    <n v="0"/>
    <n v="0"/>
    <n v="1"/>
    <n v="0"/>
    <n v="0"/>
    <n v="0"/>
    <n v="0"/>
    <n v="1"/>
    <n v="0"/>
    <n v="0"/>
    <n v="0"/>
    <n v="0"/>
    <n v="0"/>
    <n v="0"/>
    <n v="1"/>
    <n v="0"/>
    <n v="0"/>
    <n v="0"/>
    <n v="0"/>
    <n v="1"/>
    <n v="0"/>
    <n v="0"/>
    <n v="0"/>
    <n v="0"/>
    <n v="1"/>
    <n v="0"/>
    <n v="0"/>
    <n v="0"/>
    <n v="0"/>
    <n v="1"/>
    <n v="0"/>
    <n v="0"/>
    <n v="0"/>
    <n v="0"/>
    <n v="1"/>
    <n v="0"/>
    <n v="0"/>
    <n v="0"/>
    <n v="0"/>
    <n v="1"/>
    <n v="0"/>
    <n v="0"/>
    <n v="1"/>
    <n v="0"/>
    <n v="0"/>
    <n v="0"/>
    <n v="0"/>
    <n v="0"/>
    <n v="0"/>
    <n v="0"/>
    <n v="1"/>
    <n v="0"/>
    <n v="0"/>
    <n v="1"/>
    <n v="0"/>
    <n v="0"/>
    <n v="0"/>
    <n v="0"/>
    <n v="0"/>
    <n v="0"/>
    <n v="1"/>
    <n v="0"/>
    <n v="0"/>
    <n v="1"/>
    <n v="0"/>
    <n v="0"/>
    <n v="0"/>
    <n v="0"/>
    <n v="0"/>
    <n v="0"/>
    <n v="1"/>
    <n v="0"/>
    <n v="0"/>
    <n v="1"/>
    <n v="0"/>
    <n v="0"/>
    <n v="0"/>
    <n v="0"/>
    <n v="0"/>
    <n v="0"/>
    <n v="1"/>
    <n v="0"/>
    <n v="1"/>
    <n v="0"/>
    <n v="0"/>
    <n v="0"/>
    <n v="1"/>
    <n v="0"/>
    <n v="0"/>
    <n v="0"/>
    <n v="0"/>
    <n v="0"/>
    <n v="0"/>
    <n v="1"/>
    <n v="0"/>
    <n v="0"/>
    <n v="1"/>
    <n v="0"/>
    <n v="0"/>
    <n v="1"/>
    <n v="0"/>
    <n v="0"/>
    <n v="0"/>
    <n v="0"/>
    <n v="0"/>
    <n v="0"/>
    <n v="0"/>
    <n v="1"/>
    <n v="0"/>
    <n v="0"/>
    <n v="0"/>
    <n v="0"/>
    <n v="0"/>
    <n v="0"/>
    <n v="0"/>
    <n v="0"/>
  </r>
  <r>
    <s v="Cases\\KPMG"/>
    <x v="3"/>
    <s v="Global"/>
    <x v="34"/>
    <n v="0"/>
    <n v="0"/>
    <n v="0"/>
    <n v="1"/>
    <n v="0"/>
    <n v="0"/>
    <n v="0"/>
    <n v="0"/>
    <n v="0"/>
    <n v="0"/>
    <n v="1"/>
    <n v="1"/>
    <n v="0"/>
    <n v="0"/>
    <n v="0"/>
    <n v="0"/>
    <n v="0"/>
    <n v="0"/>
    <n v="0"/>
    <n v="0"/>
    <n v="0"/>
    <n v="1"/>
    <n v="1"/>
    <n v="0"/>
    <n v="0"/>
    <n v="0"/>
    <n v="0"/>
    <n v="0"/>
    <n v="0"/>
    <n v="1"/>
    <n v="0"/>
    <n v="0"/>
    <n v="0"/>
    <n v="1"/>
    <n v="0"/>
    <n v="0"/>
    <n v="0"/>
    <n v="0"/>
    <n v="0"/>
    <n v="0"/>
    <n v="1"/>
    <n v="0"/>
    <n v="0"/>
    <n v="0"/>
    <n v="1"/>
    <n v="0"/>
    <n v="0"/>
    <n v="0"/>
    <n v="0"/>
    <n v="0"/>
    <n v="0"/>
    <n v="0"/>
    <n v="0"/>
    <n v="0"/>
    <n v="1"/>
    <n v="1"/>
    <n v="0"/>
    <n v="0"/>
    <n v="0"/>
    <n v="0"/>
    <n v="0"/>
    <n v="0"/>
    <n v="0"/>
    <n v="0"/>
    <n v="0"/>
    <n v="0"/>
    <n v="1"/>
    <n v="1"/>
    <n v="0"/>
    <n v="0"/>
    <n v="0"/>
    <n v="0"/>
    <n v="0"/>
    <n v="0"/>
    <n v="0"/>
    <n v="0"/>
    <n v="1"/>
    <n v="1"/>
    <n v="0"/>
    <n v="0"/>
    <n v="0"/>
    <n v="0"/>
    <n v="0"/>
    <n v="0"/>
    <n v="0"/>
    <n v="0"/>
    <n v="1"/>
    <n v="1"/>
    <n v="0"/>
    <n v="0"/>
    <n v="0"/>
    <n v="0"/>
    <n v="0"/>
    <n v="0"/>
    <n v="1"/>
    <n v="0"/>
    <n v="0"/>
    <n v="0"/>
    <n v="1"/>
    <n v="0"/>
    <n v="0"/>
    <n v="0"/>
    <n v="0"/>
    <n v="0"/>
    <n v="0"/>
    <n v="1"/>
    <n v="0"/>
    <n v="0"/>
    <n v="1"/>
    <n v="0"/>
    <n v="0"/>
    <n v="0"/>
    <n v="0"/>
    <n v="0"/>
    <n v="0"/>
    <n v="0"/>
    <n v="0"/>
    <n v="1"/>
    <n v="1"/>
    <n v="0"/>
    <n v="0"/>
    <n v="0"/>
    <n v="0"/>
    <n v="0"/>
    <n v="0"/>
    <n v="0"/>
    <n v="0"/>
    <n v="1"/>
    <n v="1"/>
    <n v="0"/>
    <n v="0"/>
    <n v="0"/>
    <n v="0"/>
    <n v="1"/>
    <n v="0"/>
    <n v="0"/>
    <n v="0"/>
    <n v="1"/>
    <n v="0"/>
    <n v="0"/>
    <n v="0"/>
    <n v="0"/>
    <n v="0"/>
    <n v="0"/>
    <n v="0"/>
    <n v="1"/>
    <n v="0"/>
    <n v="0"/>
    <n v="1"/>
    <n v="0"/>
    <n v="0"/>
    <n v="1"/>
    <n v="1"/>
    <n v="0"/>
    <n v="0"/>
    <n v="0"/>
    <n v="1"/>
    <n v="0"/>
    <n v="0"/>
    <n v="1"/>
    <n v="1"/>
    <n v="0"/>
    <n v="1"/>
    <n v="0"/>
    <n v="1"/>
    <n v="1"/>
    <n v="1"/>
    <n v="1"/>
  </r>
  <r>
    <s v="Cases\\MIA"/>
    <x v="0"/>
    <s v="Asia Pacific"/>
    <x v="35"/>
    <n v="0"/>
    <n v="0"/>
    <n v="0"/>
    <n v="1"/>
    <n v="0"/>
    <n v="0"/>
    <n v="1"/>
    <n v="0"/>
    <n v="0"/>
    <n v="0"/>
    <n v="0"/>
    <n v="0"/>
    <n v="0"/>
    <n v="0"/>
    <n v="0"/>
    <n v="1"/>
    <n v="0"/>
    <n v="0"/>
    <n v="1"/>
    <n v="0"/>
    <n v="0"/>
    <n v="0"/>
    <n v="0"/>
    <n v="0"/>
    <n v="0"/>
    <n v="0"/>
    <n v="1"/>
    <n v="0"/>
    <n v="0"/>
    <n v="1"/>
    <n v="0"/>
    <n v="0"/>
    <n v="0"/>
    <n v="0"/>
    <n v="0"/>
    <n v="0"/>
    <n v="0"/>
    <n v="1"/>
    <n v="0"/>
    <n v="0"/>
    <n v="1"/>
    <n v="0"/>
    <n v="0"/>
    <n v="0"/>
    <n v="0"/>
    <n v="0"/>
    <n v="0"/>
    <n v="0"/>
    <n v="1"/>
    <n v="0"/>
    <n v="0"/>
    <n v="1"/>
    <n v="0"/>
    <n v="1"/>
    <n v="0"/>
    <n v="0"/>
    <n v="0"/>
    <n v="0"/>
    <n v="0"/>
    <n v="1"/>
    <n v="0"/>
    <n v="0"/>
    <n v="1"/>
    <n v="0"/>
    <n v="0"/>
    <n v="0"/>
    <n v="0"/>
    <n v="0"/>
    <n v="0"/>
    <n v="0"/>
    <n v="0"/>
    <n v="1"/>
    <n v="0"/>
    <n v="0"/>
    <n v="1"/>
    <n v="0"/>
    <n v="0"/>
    <n v="0"/>
    <n v="0"/>
    <n v="0"/>
    <n v="0"/>
    <n v="1"/>
    <n v="0"/>
    <n v="0"/>
    <n v="0"/>
    <n v="0"/>
    <n v="1"/>
    <n v="0"/>
    <n v="0"/>
    <n v="0"/>
    <n v="0"/>
    <n v="1"/>
    <n v="0"/>
    <n v="0"/>
    <n v="1"/>
    <n v="0"/>
    <n v="0"/>
    <n v="0"/>
    <n v="0"/>
    <n v="0"/>
    <n v="0"/>
    <n v="0"/>
    <n v="1"/>
    <n v="0"/>
    <n v="0"/>
    <n v="1"/>
    <n v="0"/>
    <n v="0"/>
    <n v="0"/>
    <n v="0"/>
    <n v="0"/>
    <n v="0"/>
    <n v="1"/>
    <n v="0"/>
    <n v="0"/>
    <n v="1"/>
    <n v="0"/>
    <n v="0"/>
    <n v="0"/>
    <n v="0"/>
    <n v="0"/>
    <n v="0"/>
    <n v="1"/>
    <n v="0"/>
    <n v="0"/>
    <n v="1"/>
    <n v="0"/>
    <n v="0"/>
    <n v="0"/>
    <n v="0"/>
    <n v="0"/>
    <n v="0"/>
    <n v="1"/>
    <n v="0"/>
    <n v="0"/>
    <n v="1"/>
    <n v="0"/>
    <n v="0"/>
    <n v="0"/>
    <n v="1"/>
    <n v="0"/>
    <n v="0"/>
    <n v="0"/>
    <n v="0"/>
    <n v="0"/>
    <n v="1"/>
    <n v="0"/>
    <n v="0"/>
    <n v="1"/>
    <n v="0"/>
    <n v="0"/>
    <n v="1"/>
    <n v="0"/>
    <n v="0"/>
    <n v="0"/>
    <n v="0"/>
    <n v="0"/>
    <n v="0"/>
    <n v="0"/>
    <n v="1"/>
    <n v="0"/>
    <n v="0"/>
    <n v="0"/>
    <n v="1"/>
    <n v="0"/>
    <n v="0"/>
    <n v="0"/>
    <n v="0"/>
  </r>
  <r>
    <s v="Cases\\MICPA"/>
    <x v="0"/>
    <s v="Asia Pacific"/>
    <x v="36"/>
    <n v="0"/>
    <n v="0"/>
    <n v="0"/>
    <n v="1"/>
    <n v="0"/>
    <n v="0"/>
    <n v="0"/>
    <n v="0"/>
    <n v="0"/>
    <n v="0"/>
    <n v="1"/>
    <n v="1"/>
    <n v="0"/>
    <n v="0"/>
    <n v="1"/>
    <n v="0"/>
    <n v="0"/>
    <n v="0"/>
    <n v="0"/>
    <n v="0"/>
    <n v="0"/>
    <n v="1"/>
    <n v="1"/>
    <n v="0"/>
    <n v="0"/>
    <n v="0"/>
    <n v="0"/>
    <n v="0"/>
    <n v="0"/>
    <n v="0"/>
    <n v="0"/>
    <n v="0"/>
    <n v="1"/>
    <n v="1"/>
    <n v="0"/>
    <n v="0"/>
    <n v="0"/>
    <n v="0"/>
    <n v="0"/>
    <n v="0"/>
    <n v="0"/>
    <n v="0"/>
    <n v="0"/>
    <n v="1"/>
    <n v="1"/>
    <n v="0"/>
    <n v="0"/>
    <n v="0"/>
    <n v="0"/>
    <n v="0"/>
    <n v="0"/>
    <n v="0"/>
    <n v="0"/>
    <n v="0"/>
    <n v="1"/>
    <n v="1"/>
    <n v="0"/>
    <n v="0"/>
    <n v="0"/>
    <n v="0"/>
    <n v="0"/>
    <n v="0"/>
    <n v="0"/>
    <n v="0"/>
    <n v="0"/>
    <n v="0"/>
    <n v="1"/>
    <n v="1"/>
    <n v="0"/>
    <n v="0"/>
    <n v="0"/>
    <n v="0"/>
    <n v="0"/>
    <n v="0"/>
    <n v="0"/>
    <n v="0"/>
    <n v="1"/>
    <n v="1"/>
    <n v="0"/>
    <n v="0"/>
    <n v="0"/>
    <n v="0"/>
    <n v="0"/>
    <n v="0"/>
    <n v="0"/>
    <n v="0"/>
    <n v="1"/>
    <n v="1"/>
    <n v="0"/>
    <n v="0"/>
    <n v="0"/>
    <n v="0"/>
    <n v="0"/>
    <n v="0"/>
    <n v="1"/>
    <n v="0"/>
    <n v="0"/>
    <n v="0"/>
    <n v="1"/>
    <n v="0"/>
    <n v="0"/>
    <n v="0"/>
    <n v="0"/>
    <n v="0"/>
    <n v="0"/>
    <n v="0"/>
    <n v="0"/>
    <n v="1"/>
    <n v="1"/>
    <n v="0"/>
    <n v="0"/>
    <n v="0"/>
    <n v="0"/>
    <n v="0"/>
    <n v="0"/>
    <n v="0"/>
    <n v="0"/>
    <n v="1"/>
    <n v="1"/>
    <n v="0"/>
    <n v="0"/>
    <n v="0"/>
    <n v="0"/>
    <n v="0"/>
    <n v="0"/>
    <n v="0"/>
    <n v="0"/>
    <n v="1"/>
    <n v="1"/>
    <n v="0"/>
    <n v="0"/>
    <n v="0"/>
    <n v="0"/>
    <n v="0"/>
    <n v="0"/>
    <n v="1"/>
    <n v="0"/>
    <n v="0"/>
    <n v="0"/>
    <n v="1"/>
    <n v="0"/>
    <n v="0"/>
    <n v="0"/>
    <n v="0"/>
    <n v="0"/>
    <n v="1"/>
    <n v="0"/>
    <n v="0"/>
    <n v="1"/>
    <n v="0"/>
    <n v="0"/>
    <n v="1"/>
    <n v="0"/>
    <n v="0"/>
    <n v="0"/>
    <n v="0"/>
    <n v="1"/>
    <n v="0"/>
    <n v="0"/>
    <n v="0"/>
    <n v="0"/>
    <n v="0"/>
    <n v="0"/>
    <n v="0"/>
    <n v="0"/>
    <n v="0"/>
    <n v="1"/>
    <n v="0"/>
  </r>
  <r>
    <s v="Cases\\NZAASB"/>
    <x v="2"/>
    <s v="Asia Pacific"/>
    <x v="37"/>
    <n v="0"/>
    <n v="0"/>
    <n v="1"/>
    <n v="0"/>
    <n v="0"/>
    <n v="0"/>
    <n v="1"/>
    <n v="0"/>
    <n v="1"/>
    <n v="0"/>
    <n v="0"/>
    <n v="0"/>
    <n v="0"/>
    <n v="1"/>
    <n v="0"/>
    <n v="0"/>
    <n v="0"/>
    <n v="0"/>
    <n v="1"/>
    <n v="0"/>
    <n v="1"/>
    <n v="0"/>
    <n v="0"/>
    <n v="0"/>
    <n v="1"/>
    <n v="0"/>
    <n v="0"/>
    <n v="0"/>
    <n v="0"/>
    <n v="1"/>
    <n v="0"/>
    <n v="1"/>
    <n v="0"/>
    <n v="0"/>
    <n v="0"/>
    <n v="1"/>
    <n v="0"/>
    <n v="0"/>
    <n v="0"/>
    <n v="0"/>
    <n v="1"/>
    <n v="0"/>
    <n v="1"/>
    <n v="0"/>
    <n v="0"/>
    <n v="0"/>
    <n v="1"/>
    <n v="0"/>
    <n v="0"/>
    <n v="0"/>
    <n v="0"/>
    <n v="1"/>
    <n v="0"/>
    <n v="1"/>
    <n v="0"/>
    <n v="0"/>
    <n v="0"/>
    <n v="1"/>
    <n v="0"/>
    <n v="0"/>
    <n v="0"/>
    <n v="0"/>
    <n v="1"/>
    <n v="0"/>
    <n v="1"/>
    <n v="0"/>
    <n v="0"/>
    <n v="0"/>
    <n v="0"/>
    <n v="1"/>
    <n v="0"/>
    <n v="0"/>
    <n v="0"/>
    <n v="0"/>
    <n v="1"/>
    <n v="0"/>
    <n v="0"/>
    <n v="0"/>
    <n v="0"/>
    <n v="0"/>
    <n v="0"/>
    <n v="1"/>
    <n v="0"/>
    <n v="0"/>
    <n v="1"/>
    <n v="0"/>
    <n v="0"/>
    <n v="0"/>
    <n v="0"/>
    <n v="1"/>
    <n v="0"/>
    <n v="0"/>
    <n v="0"/>
    <n v="0"/>
    <n v="1"/>
    <n v="0"/>
    <n v="1"/>
    <n v="0"/>
    <n v="0"/>
    <n v="0"/>
    <n v="1"/>
    <n v="0"/>
    <n v="0"/>
    <n v="0"/>
    <n v="0"/>
    <n v="1"/>
    <n v="0"/>
    <n v="0"/>
    <n v="0"/>
    <n v="0"/>
    <n v="0"/>
    <n v="0"/>
    <n v="1"/>
    <n v="0"/>
    <n v="0"/>
    <n v="1"/>
    <n v="0"/>
    <n v="0"/>
    <n v="0"/>
    <n v="0"/>
    <n v="1"/>
    <n v="0"/>
    <n v="0"/>
    <n v="0"/>
    <n v="0"/>
    <n v="1"/>
    <n v="0"/>
    <n v="0"/>
    <n v="0"/>
    <n v="0"/>
    <n v="1"/>
    <n v="0"/>
    <n v="0"/>
    <n v="0"/>
    <n v="1"/>
    <n v="0"/>
    <n v="0"/>
    <n v="1"/>
    <n v="0"/>
    <n v="0"/>
    <n v="1"/>
    <n v="0"/>
    <n v="0"/>
    <n v="0"/>
    <n v="0"/>
    <n v="1"/>
    <n v="0"/>
    <n v="0"/>
    <n v="1"/>
    <n v="0"/>
    <n v="0"/>
    <n v="1"/>
    <n v="1"/>
    <n v="0"/>
    <n v="0"/>
    <n v="0"/>
    <n v="1"/>
    <n v="1"/>
    <n v="1"/>
    <n v="1"/>
    <n v="1"/>
    <n v="0"/>
    <n v="1"/>
    <n v="1"/>
    <n v="1"/>
    <n v="0"/>
    <n v="0"/>
    <n v="0"/>
  </r>
  <r>
    <s v="Cases\\PwC"/>
    <x v="3"/>
    <s v="Global"/>
    <x v="38"/>
    <n v="0"/>
    <n v="0"/>
    <n v="0"/>
    <n v="1"/>
    <n v="0"/>
    <n v="0"/>
    <n v="1"/>
    <n v="0"/>
    <n v="0"/>
    <n v="0"/>
    <n v="0"/>
    <n v="1"/>
    <n v="0"/>
    <n v="0"/>
    <n v="0"/>
    <n v="0"/>
    <n v="0"/>
    <n v="0"/>
    <n v="1"/>
    <n v="0"/>
    <n v="0"/>
    <n v="0"/>
    <n v="0"/>
    <n v="0"/>
    <n v="1"/>
    <n v="0"/>
    <n v="0"/>
    <n v="0"/>
    <n v="0"/>
    <n v="1"/>
    <n v="0"/>
    <n v="1"/>
    <n v="0"/>
    <n v="0"/>
    <n v="0"/>
    <n v="1"/>
    <n v="0"/>
    <n v="0"/>
    <n v="1"/>
    <n v="0"/>
    <n v="0"/>
    <n v="0"/>
    <n v="0"/>
    <n v="0"/>
    <n v="1"/>
    <n v="0"/>
    <n v="0"/>
    <n v="0"/>
    <n v="0"/>
    <n v="0"/>
    <n v="0"/>
    <n v="1"/>
    <n v="0"/>
    <n v="0"/>
    <n v="0"/>
    <n v="1"/>
    <n v="0"/>
    <n v="0"/>
    <n v="0"/>
    <n v="0"/>
    <n v="0"/>
    <n v="0"/>
    <n v="1"/>
    <n v="0"/>
    <n v="0"/>
    <n v="0"/>
    <n v="0"/>
    <n v="0"/>
    <n v="0"/>
    <n v="1"/>
    <n v="0"/>
    <n v="0"/>
    <n v="0"/>
    <n v="0"/>
    <n v="1"/>
    <n v="0"/>
    <n v="0"/>
    <n v="1"/>
    <n v="0"/>
    <n v="0"/>
    <n v="0"/>
    <n v="0"/>
    <n v="1"/>
    <n v="0"/>
    <n v="0"/>
    <n v="0"/>
    <n v="0"/>
    <n v="0"/>
    <n v="0"/>
    <n v="1"/>
    <n v="0"/>
    <n v="0"/>
    <n v="0"/>
    <n v="0"/>
    <n v="1"/>
    <n v="0"/>
    <n v="0"/>
    <n v="0"/>
    <n v="1"/>
    <n v="0"/>
    <n v="0"/>
    <n v="0"/>
    <n v="0"/>
    <n v="1"/>
    <n v="0"/>
    <n v="0"/>
    <n v="0"/>
    <n v="0"/>
    <n v="1"/>
    <n v="0"/>
    <n v="0"/>
    <n v="0"/>
    <n v="0"/>
    <n v="0"/>
    <n v="0"/>
    <n v="1"/>
    <n v="0"/>
    <n v="0"/>
    <n v="1"/>
    <n v="0"/>
    <n v="0"/>
    <n v="0"/>
    <n v="0"/>
    <n v="0"/>
    <n v="0"/>
    <n v="1"/>
    <n v="0"/>
    <n v="0"/>
    <n v="1"/>
    <n v="0"/>
    <n v="0"/>
    <n v="0"/>
    <n v="0"/>
    <n v="0"/>
    <n v="1"/>
    <n v="0"/>
    <n v="0"/>
    <n v="1"/>
    <n v="0"/>
    <n v="0"/>
    <n v="0"/>
    <n v="0"/>
    <n v="0"/>
    <n v="0"/>
    <n v="0"/>
    <n v="1"/>
    <n v="0"/>
    <n v="0"/>
    <n v="1"/>
    <n v="0"/>
    <n v="0"/>
    <n v="1"/>
    <n v="0"/>
    <n v="0"/>
    <n v="0"/>
    <n v="0"/>
    <n v="1"/>
    <n v="0"/>
    <n v="0"/>
    <n v="1"/>
    <n v="0"/>
    <n v="1"/>
    <n v="1"/>
    <n v="1"/>
    <n v="0"/>
    <n v="0"/>
    <n v="0"/>
    <n v="0"/>
  </r>
  <r>
    <s v="Cases\\RSMI"/>
    <x v="3"/>
    <s v="Global"/>
    <x v="39"/>
    <n v="0"/>
    <n v="0"/>
    <n v="0"/>
    <n v="1"/>
    <n v="1"/>
    <n v="0"/>
    <n v="0"/>
    <n v="0"/>
    <n v="0"/>
    <n v="0"/>
    <n v="0"/>
    <n v="1"/>
    <n v="0"/>
    <n v="0"/>
    <n v="0"/>
    <n v="0"/>
    <n v="0"/>
    <n v="0"/>
    <n v="1"/>
    <n v="0"/>
    <n v="1"/>
    <n v="0"/>
    <n v="1"/>
    <n v="0"/>
    <n v="0"/>
    <n v="0"/>
    <n v="0"/>
    <n v="0"/>
    <n v="0"/>
    <n v="1"/>
    <n v="0"/>
    <n v="1"/>
    <n v="0"/>
    <n v="1"/>
    <n v="0"/>
    <n v="0"/>
    <n v="0"/>
    <n v="0"/>
    <n v="0"/>
    <n v="0"/>
    <n v="1"/>
    <n v="0"/>
    <n v="1"/>
    <n v="0"/>
    <n v="1"/>
    <n v="0"/>
    <n v="0"/>
    <n v="0"/>
    <n v="0"/>
    <n v="1"/>
    <n v="0"/>
    <n v="0"/>
    <n v="1"/>
    <n v="0"/>
    <n v="0"/>
    <n v="1"/>
    <n v="0"/>
    <n v="0"/>
    <n v="0"/>
    <n v="0"/>
    <n v="1"/>
    <n v="0"/>
    <n v="0"/>
    <n v="0"/>
    <n v="1"/>
    <n v="1"/>
    <n v="0"/>
    <n v="1"/>
    <n v="0"/>
    <n v="0"/>
    <n v="0"/>
    <n v="0"/>
    <n v="1"/>
    <n v="0"/>
    <n v="0"/>
    <n v="0"/>
    <n v="0"/>
    <n v="1"/>
    <n v="0"/>
    <n v="0"/>
    <n v="0"/>
    <n v="0"/>
    <n v="1"/>
    <n v="0"/>
    <n v="0"/>
    <n v="1"/>
    <n v="0"/>
    <n v="1"/>
    <n v="0"/>
    <n v="0"/>
    <n v="0"/>
    <n v="0"/>
    <n v="0"/>
    <n v="0"/>
    <n v="1"/>
    <n v="0"/>
    <n v="1"/>
    <n v="0"/>
    <n v="1"/>
    <n v="0"/>
    <n v="0"/>
    <n v="0"/>
    <n v="0"/>
    <n v="1"/>
    <n v="0"/>
    <n v="0"/>
    <n v="0"/>
    <n v="0"/>
    <n v="1"/>
    <n v="0"/>
    <n v="0"/>
    <n v="0"/>
    <n v="0"/>
    <n v="0"/>
    <n v="0"/>
    <n v="1"/>
    <n v="0"/>
    <n v="0"/>
    <n v="1"/>
    <n v="0"/>
    <n v="0"/>
    <n v="0"/>
    <n v="0"/>
    <n v="0"/>
    <n v="0"/>
    <n v="0"/>
    <n v="0"/>
    <n v="1"/>
    <n v="1"/>
    <n v="0"/>
    <n v="0"/>
    <n v="0"/>
    <n v="0"/>
    <n v="0"/>
    <n v="0"/>
    <n v="1"/>
    <n v="0"/>
    <n v="0"/>
    <n v="1"/>
    <n v="0"/>
    <n v="0"/>
    <n v="0"/>
    <n v="0"/>
    <n v="0"/>
    <n v="0"/>
    <n v="1"/>
    <n v="0"/>
    <n v="0"/>
    <n v="1"/>
    <n v="1"/>
    <n v="0"/>
    <n v="0"/>
    <n v="0"/>
    <n v="0"/>
    <n v="0"/>
    <n v="0"/>
    <n v="1"/>
    <n v="0"/>
    <n v="0"/>
    <n v="0"/>
    <n v="0"/>
    <n v="0"/>
    <n v="1"/>
    <n v="1"/>
    <n v="0"/>
    <n v="0"/>
    <n v="1"/>
    <n v="0"/>
  </r>
  <r>
    <s v="Cases\\SAICA"/>
    <x v="0"/>
    <s v="Middle East and Africa"/>
    <x v="40"/>
    <n v="1"/>
    <n v="0"/>
    <n v="0"/>
    <n v="0"/>
    <n v="1"/>
    <n v="0"/>
    <n v="0"/>
    <n v="1"/>
    <n v="0"/>
    <n v="0"/>
    <n v="0"/>
    <n v="1"/>
    <n v="0"/>
    <n v="0"/>
    <n v="0"/>
    <n v="0"/>
    <n v="1"/>
    <n v="0"/>
    <n v="0"/>
    <n v="0"/>
    <n v="0"/>
    <n v="0"/>
    <n v="1"/>
    <n v="0"/>
    <n v="0"/>
    <n v="0"/>
    <n v="0"/>
    <n v="1"/>
    <n v="0"/>
    <n v="0"/>
    <n v="1"/>
    <n v="1"/>
    <n v="0"/>
    <n v="1"/>
    <n v="0"/>
    <n v="0"/>
    <n v="0"/>
    <n v="0"/>
    <n v="1"/>
    <n v="0"/>
    <n v="0"/>
    <n v="0"/>
    <n v="0"/>
    <n v="0"/>
    <n v="1"/>
    <n v="0"/>
    <n v="0"/>
    <n v="0"/>
    <n v="0"/>
    <n v="1"/>
    <n v="0"/>
    <n v="0"/>
    <n v="0"/>
    <n v="0"/>
    <n v="0"/>
    <n v="1"/>
    <n v="0"/>
    <n v="0"/>
    <n v="0"/>
    <n v="0"/>
    <n v="1"/>
    <n v="0"/>
    <n v="0"/>
    <n v="0"/>
    <n v="0"/>
    <n v="0"/>
    <n v="0"/>
    <n v="1"/>
    <n v="0"/>
    <n v="0"/>
    <n v="0"/>
    <n v="0"/>
    <n v="0"/>
    <n v="0"/>
    <n v="1"/>
    <n v="1"/>
    <n v="0"/>
    <n v="1"/>
    <n v="0"/>
    <n v="0"/>
    <n v="0"/>
    <n v="0"/>
    <n v="1"/>
    <n v="0"/>
    <n v="0"/>
    <n v="1"/>
    <n v="0"/>
    <n v="0"/>
    <n v="0"/>
    <n v="1"/>
    <n v="0"/>
    <n v="0"/>
    <n v="1"/>
    <n v="0"/>
    <n v="0"/>
    <n v="1"/>
    <n v="0"/>
    <n v="0"/>
    <n v="0"/>
    <n v="0"/>
    <n v="1"/>
    <n v="0"/>
    <n v="0"/>
    <n v="1"/>
    <n v="0"/>
    <n v="0"/>
    <n v="1"/>
    <n v="0"/>
    <n v="1"/>
    <n v="0"/>
    <n v="0"/>
    <n v="0"/>
    <n v="0"/>
    <n v="1"/>
    <n v="0"/>
    <n v="0"/>
    <n v="0"/>
    <n v="0"/>
    <n v="1"/>
    <n v="0"/>
    <n v="0"/>
    <n v="0"/>
    <n v="0"/>
    <n v="1"/>
    <n v="0"/>
    <n v="0"/>
    <n v="0"/>
    <n v="0"/>
    <n v="1"/>
    <n v="0"/>
    <n v="0"/>
    <n v="0"/>
    <n v="0"/>
    <n v="1"/>
    <n v="0"/>
    <n v="0"/>
    <n v="0"/>
    <n v="0"/>
    <n v="1"/>
    <n v="0"/>
    <n v="0"/>
    <n v="0"/>
    <n v="0"/>
    <n v="0"/>
    <n v="1"/>
    <n v="0"/>
    <n v="0"/>
    <n v="0"/>
    <n v="1"/>
    <n v="0"/>
    <n v="0"/>
    <n v="1"/>
    <n v="0"/>
    <n v="0"/>
    <n v="0"/>
    <n v="0"/>
    <n v="1"/>
    <n v="0"/>
    <n v="0"/>
    <n v="1"/>
    <n v="0"/>
    <n v="0"/>
    <n v="1"/>
    <n v="0"/>
    <n v="1"/>
    <n v="0"/>
    <n v="1"/>
    <n v="0"/>
  </r>
  <r>
    <s v="Cases\\SASB"/>
    <x v="0"/>
    <s v="Global"/>
    <x v="41"/>
    <n v="0"/>
    <n v="0"/>
    <n v="0"/>
    <n v="1"/>
    <n v="0"/>
    <n v="0"/>
    <n v="0"/>
    <n v="0"/>
    <n v="0"/>
    <n v="0"/>
    <n v="1"/>
    <n v="0"/>
    <n v="0"/>
    <n v="0"/>
    <n v="0"/>
    <n v="1"/>
    <n v="0"/>
    <n v="0"/>
    <n v="0"/>
    <n v="0"/>
    <n v="0"/>
    <n v="1"/>
    <n v="0"/>
    <n v="0"/>
    <n v="0"/>
    <n v="0"/>
    <n v="1"/>
    <n v="0"/>
    <n v="0"/>
    <n v="0"/>
    <n v="0"/>
    <n v="0"/>
    <n v="1"/>
    <n v="0"/>
    <n v="0"/>
    <n v="0"/>
    <n v="0"/>
    <n v="1"/>
    <n v="0"/>
    <n v="0"/>
    <n v="0"/>
    <n v="0"/>
    <n v="0"/>
    <n v="1"/>
    <n v="0"/>
    <n v="0"/>
    <n v="0"/>
    <n v="0"/>
    <n v="1"/>
    <n v="0"/>
    <n v="0"/>
    <n v="0"/>
    <n v="0"/>
    <n v="0"/>
    <n v="1"/>
    <n v="0"/>
    <n v="0"/>
    <n v="0"/>
    <n v="0"/>
    <n v="1"/>
    <n v="0"/>
    <n v="0"/>
    <n v="1"/>
    <n v="0"/>
    <n v="0"/>
    <n v="0"/>
    <n v="0"/>
    <n v="0"/>
    <n v="0"/>
    <n v="0"/>
    <n v="0"/>
    <n v="1"/>
    <n v="0"/>
    <n v="0"/>
    <n v="0"/>
    <n v="0"/>
    <n v="1"/>
    <n v="0"/>
    <n v="0"/>
    <n v="0"/>
    <n v="0"/>
    <n v="1"/>
    <n v="0"/>
    <n v="0"/>
    <n v="0"/>
    <n v="0"/>
    <n v="1"/>
    <n v="0"/>
    <n v="0"/>
    <n v="0"/>
    <n v="0"/>
    <n v="1"/>
    <n v="0"/>
    <n v="0"/>
    <n v="0"/>
    <n v="0"/>
    <n v="0"/>
    <n v="1"/>
    <n v="0"/>
    <n v="0"/>
    <n v="0"/>
    <n v="0"/>
    <n v="1"/>
    <n v="0"/>
    <n v="0"/>
    <n v="0"/>
    <n v="0"/>
    <n v="1"/>
    <n v="0"/>
    <n v="0"/>
    <n v="0"/>
    <n v="0"/>
    <n v="1"/>
    <n v="0"/>
    <n v="0"/>
    <n v="0"/>
    <n v="0"/>
    <n v="1"/>
    <n v="0"/>
    <n v="0"/>
    <n v="0"/>
    <n v="0"/>
    <n v="1"/>
    <n v="0"/>
    <n v="0"/>
    <n v="0"/>
    <n v="0"/>
    <n v="1"/>
    <n v="0"/>
    <n v="0"/>
    <n v="0"/>
    <n v="0"/>
    <n v="1"/>
    <n v="0"/>
    <n v="0"/>
    <n v="1"/>
    <n v="0"/>
    <n v="0"/>
    <n v="1"/>
    <n v="0"/>
    <n v="0"/>
    <n v="0"/>
    <n v="0"/>
    <n v="0"/>
    <n v="0"/>
    <n v="1"/>
    <n v="0"/>
    <n v="0"/>
    <n v="1"/>
    <n v="0"/>
    <n v="0"/>
    <n v="1"/>
    <n v="0"/>
    <n v="0"/>
    <n v="0"/>
    <n v="0"/>
    <n v="0"/>
    <n v="0"/>
    <n v="0"/>
    <n v="1"/>
    <n v="0"/>
    <n v="0"/>
    <n v="0"/>
    <n v="0"/>
    <n v="0"/>
    <n v="0"/>
    <n v="0"/>
    <n v="0"/>
  </r>
  <r>
    <s v="Cases\\SVI"/>
    <x v="0"/>
    <s v="Global"/>
    <x v="42"/>
    <n v="0"/>
    <n v="0"/>
    <n v="0"/>
    <n v="1"/>
    <n v="1"/>
    <n v="0"/>
    <n v="0"/>
    <n v="0"/>
    <n v="0"/>
    <n v="0"/>
    <n v="0"/>
    <n v="1"/>
    <n v="0"/>
    <n v="0"/>
    <n v="0"/>
    <n v="0"/>
    <n v="1"/>
    <n v="0"/>
    <n v="0"/>
    <n v="0"/>
    <n v="0"/>
    <n v="0"/>
    <n v="1"/>
    <n v="0"/>
    <n v="0"/>
    <n v="0"/>
    <n v="0"/>
    <n v="1"/>
    <n v="0"/>
    <n v="0"/>
    <n v="0"/>
    <n v="0"/>
    <n v="0"/>
    <n v="1"/>
    <n v="0"/>
    <n v="0"/>
    <n v="0"/>
    <n v="0"/>
    <n v="1"/>
    <n v="0"/>
    <n v="0"/>
    <n v="0"/>
    <n v="0"/>
    <n v="0"/>
    <n v="1"/>
    <n v="0"/>
    <n v="0"/>
    <n v="0"/>
    <n v="0"/>
    <n v="1"/>
    <n v="0"/>
    <n v="0"/>
    <n v="0"/>
    <n v="0"/>
    <n v="0"/>
    <n v="1"/>
    <n v="0"/>
    <n v="0"/>
    <n v="0"/>
    <n v="0"/>
    <n v="0"/>
    <n v="0"/>
    <n v="1"/>
    <n v="0"/>
    <n v="0"/>
    <n v="0"/>
    <n v="0"/>
    <n v="1"/>
    <n v="0"/>
    <n v="0"/>
    <n v="0"/>
    <n v="0"/>
    <n v="1"/>
    <n v="0"/>
    <n v="0"/>
    <n v="0"/>
    <n v="0"/>
    <n v="1"/>
    <n v="0"/>
    <n v="0"/>
    <n v="0"/>
    <n v="0"/>
    <n v="1"/>
    <n v="0"/>
    <n v="0"/>
    <n v="0"/>
    <n v="0"/>
    <n v="1"/>
    <n v="0"/>
    <n v="0"/>
    <n v="0"/>
    <n v="0"/>
    <n v="1"/>
    <n v="0"/>
    <n v="0"/>
    <n v="0"/>
    <n v="0"/>
    <n v="0"/>
    <n v="1"/>
    <n v="0"/>
    <n v="0"/>
    <n v="0"/>
    <n v="0"/>
    <n v="1"/>
    <n v="0"/>
    <n v="0"/>
    <n v="0"/>
    <n v="0"/>
    <n v="1"/>
    <n v="0"/>
    <n v="0"/>
    <n v="0"/>
    <n v="0"/>
    <n v="1"/>
    <n v="0"/>
    <n v="0"/>
    <n v="0"/>
    <n v="0"/>
    <n v="1"/>
    <n v="0"/>
    <n v="0"/>
    <n v="0"/>
    <n v="0"/>
    <n v="1"/>
    <n v="0"/>
    <n v="0"/>
    <n v="0"/>
    <n v="0"/>
    <n v="1"/>
    <n v="0"/>
    <n v="0"/>
    <n v="0"/>
    <n v="0"/>
    <n v="0"/>
    <n v="0"/>
    <n v="1"/>
    <n v="0"/>
    <n v="0"/>
    <n v="0"/>
    <n v="1"/>
    <n v="0"/>
    <n v="0"/>
    <n v="0"/>
    <n v="0"/>
    <n v="0"/>
    <n v="1"/>
    <n v="0"/>
    <n v="0"/>
    <n v="1"/>
    <n v="0"/>
    <n v="0"/>
    <n v="1"/>
    <n v="0"/>
    <n v="0"/>
    <n v="0"/>
    <n v="0"/>
    <n v="0"/>
    <n v="0"/>
    <n v="0"/>
    <n v="1"/>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2BD127-E3BB-41C8-96F7-6703931BD55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E14"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4">
    <i>
      <x/>
    </i>
    <i i="1">
      <x v="1"/>
    </i>
    <i i="2">
      <x v="2"/>
    </i>
    <i i="3">
      <x v="3"/>
    </i>
  </colItems>
  <dataFields count="4">
    <dataField name=" Introduction supported" fld="4" baseField="1" baseItem="0"/>
    <dataField name=" Introduction not supported" fld="5" baseField="1" baseItem="0"/>
    <dataField name=" Mixed views on Introduction" fld="6" baseField="1" baseItem="0"/>
    <dataField name=" No comment on introduction" fld="7" baseField="1" baseItem="0"/>
  </dataFields>
  <formats count="23">
    <format dxfId="534">
      <pivotArea type="all" dataOnly="0" outline="0" fieldPosition="0"/>
    </format>
    <format dxfId="533">
      <pivotArea outline="0" collapsedLevelsAreSubtotals="1" fieldPosition="0"/>
    </format>
    <format dxfId="532">
      <pivotArea field="1" type="button" dataOnly="0" labelOnly="1" outline="0" axis="axisRow" fieldPosition="0"/>
    </format>
    <format dxfId="531">
      <pivotArea dataOnly="0" labelOnly="1" fieldPosition="0">
        <references count="1">
          <reference field="1" count="0"/>
        </references>
      </pivotArea>
    </format>
    <format dxfId="530">
      <pivotArea dataOnly="0" labelOnly="1" grandRow="1" outline="0" fieldPosition="0"/>
    </format>
    <format dxfId="529">
      <pivotArea dataOnly="0" labelOnly="1" outline="0" fieldPosition="0">
        <references count="1">
          <reference field="4294967294" count="4">
            <x v="0"/>
            <x v="1"/>
            <x v="2"/>
            <x v="3"/>
          </reference>
        </references>
      </pivotArea>
    </format>
    <format dxfId="528">
      <pivotArea outline="0" collapsedLevelsAreSubtotals="1" fieldPosition="0"/>
    </format>
    <format dxfId="527">
      <pivotArea collapsedLevelsAreSubtotals="1" fieldPosition="0">
        <references count="1">
          <reference field="1" count="1">
            <x v="0"/>
          </reference>
        </references>
      </pivotArea>
    </format>
    <format dxfId="526">
      <pivotArea collapsedLevelsAreSubtotals="1" fieldPosition="0">
        <references count="1">
          <reference field="1" count="1">
            <x v="1"/>
          </reference>
        </references>
      </pivotArea>
    </format>
    <format dxfId="525">
      <pivotArea collapsedLevelsAreSubtotals="1" fieldPosition="0">
        <references count="1">
          <reference field="1" count="1">
            <x v="2"/>
          </reference>
        </references>
      </pivotArea>
    </format>
    <format dxfId="524">
      <pivotArea collapsedLevelsAreSubtotals="1" fieldPosition="0">
        <references count="1">
          <reference field="1" count="1">
            <x v="3"/>
          </reference>
        </references>
      </pivotArea>
    </format>
    <format dxfId="523">
      <pivotArea collapsedLevelsAreSubtotals="1" fieldPosition="0">
        <references count="1">
          <reference field="1" count="1">
            <x v="4"/>
          </reference>
        </references>
      </pivotArea>
    </format>
    <format dxfId="522">
      <pivotArea collapsedLevelsAreSubtotals="1" fieldPosition="0">
        <references count="1">
          <reference field="1" count="1">
            <x v="5"/>
          </reference>
        </references>
      </pivotArea>
    </format>
    <format dxfId="521">
      <pivotArea dataOnly="0" labelOnly="1" fieldPosition="0">
        <references count="1">
          <reference field="1" count="0"/>
        </references>
      </pivotArea>
    </format>
    <format dxfId="520">
      <pivotArea field="1" type="button" dataOnly="0" labelOnly="1" outline="0" axis="axisRow" fieldPosition="0"/>
    </format>
    <format dxfId="519">
      <pivotArea dataOnly="0" labelOnly="1" outline="0" fieldPosition="0">
        <references count="1">
          <reference field="4294967294" count="4">
            <x v="0"/>
            <x v="1"/>
            <x v="2"/>
            <x v="3"/>
          </reference>
        </references>
      </pivotArea>
    </format>
    <format dxfId="518">
      <pivotArea dataOnly="0" labelOnly="1" outline="0" fieldPosition="0">
        <references count="1">
          <reference field="4294967294" count="4">
            <x v="0"/>
            <x v="1"/>
            <x v="2"/>
            <x v="3"/>
          </reference>
        </references>
      </pivotArea>
    </format>
    <format dxfId="517">
      <pivotArea type="all" dataOnly="0" outline="0" fieldPosition="0"/>
    </format>
    <format dxfId="516">
      <pivotArea outline="0" collapsedLevelsAreSubtotals="1" fieldPosition="0"/>
    </format>
    <format dxfId="515">
      <pivotArea field="1" type="button" dataOnly="0" labelOnly="1" outline="0" axis="axisRow" fieldPosition="0"/>
    </format>
    <format dxfId="514">
      <pivotArea dataOnly="0" labelOnly="1" fieldPosition="0">
        <references count="1">
          <reference field="1" count="0"/>
        </references>
      </pivotArea>
    </format>
    <format dxfId="513">
      <pivotArea dataOnly="0" labelOnly="1" grandRow="1" outline="0" fieldPosition="0"/>
    </format>
    <format dxfId="512">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F3FC00-9B06-4178-ADC6-7B1541185B0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9:Q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2 - The Guidance is structured in a way that is easy to understand" fld="15" baseField="1" baseItem="0"/>
    <dataField name=" Q2 - The Guidance is not structured in a way that is easy to understand" fld="16" baseField="1" baseItem="0"/>
    <dataField name=" Q2 - Mixed views on the structure of the Guidance" fld="17" baseField="1" baseItem="0"/>
    <dataField name=" Q2 - No comment" fld="19" baseField="1" baseItem="0"/>
    <dataField name=" Q2 - Other comments and recommendations" fld="18" baseField="1" baseItem="0"/>
  </dataFields>
  <formats count="17">
    <format dxfId="492">
      <pivotArea type="all" dataOnly="0" outline="0" fieldPosition="0"/>
    </format>
    <format dxfId="491">
      <pivotArea outline="0" collapsedLevelsAreSubtotals="1" fieldPosition="0"/>
    </format>
    <format dxfId="490">
      <pivotArea field="1" type="button" dataOnly="0" labelOnly="1" outline="0" axis="axisRow" fieldPosition="0"/>
    </format>
    <format dxfId="489">
      <pivotArea dataOnly="0" labelOnly="1" fieldPosition="0">
        <references count="1">
          <reference field="1" count="0"/>
        </references>
      </pivotArea>
    </format>
    <format dxfId="488">
      <pivotArea dataOnly="0" labelOnly="1" grandRow="1" outline="0" fieldPosition="0"/>
    </format>
    <format dxfId="487">
      <pivotArea type="all" dataOnly="0" outline="0" fieldPosition="0"/>
    </format>
    <format dxfId="486">
      <pivotArea outline="0" collapsedLevelsAreSubtotals="1" fieldPosition="0"/>
    </format>
    <format dxfId="485">
      <pivotArea field="1" type="button" dataOnly="0" labelOnly="1" outline="0" axis="axisRow" fieldPosition="0"/>
    </format>
    <format dxfId="484">
      <pivotArea dataOnly="0" labelOnly="1" fieldPosition="0">
        <references count="1">
          <reference field="1" count="0"/>
        </references>
      </pivotArea>
    </format>
    <format dxfId="483">
      <pivotArea dataOnly="0" labelOnly="1" grandRow="1" outline="0" fieldPosition="0"/>
    </format>
    <format dxfId="482">
      <pivotArea field="1" type="button" dataOnly="0" labelOnly="1" outline="0" axis="axisRow" fieldPosition="0"/>
    </format>
    <format dxfId="481">
      <pivotArea outline="0" collapsedLevelsAreSubtotals="1" fieldPosition="0"/>
    </format>
    <format dxfId="480">
      <pivotArea field="1" type="button" dataOnly="0" labelOnly="1" outline="0" axis="axisRow" fieldPosition="0"/>
    </format>
    <format dxfId="479">
      <pivotArea dataOnly="0" labelOnly="1" outline="0" fieldPosition="0">
        <references count="1">
          <reference field="4294967294" count="5">
            <x v="0"/>
            <x v="1"/>
            <x v="2"/>
            <x v="3"/>
            <x v="4"/>
          </reference>
        </references>
      </pivotArea>
    </format>
    <format dxfId="478">
      <pivotArea dataOnly="0" labelOnly="1" outline="0" fieldPosition="0">
        <references count="1">
          <reference field="4294967294" count="5">
            <x v="0"/>
            <x v="1"/>
            <x v="2"/>
            <x v="3"/>
            <x v="4"/>
          </reference>
        </references>
      </pivotArea>
    </format>
    <format dxfId="477">
      <pivotArea field="1" type="button" dataOnly="0" labelOnly="1" outline="0" axis="axisRow" fieldPosition="0"/>
    </format>
    <format dxfId="476">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2B596F-2699-4F54-80BC-B79B3F53BB1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I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7">
    <i>
      <x/>
    </i>
    <i i="1">
      <x v="1"/>
    </i>
    <i i="2">
      <x v="2"/>
    </i>
    <i i="3">
      <x v="3"/>
    </i>
    <i i="4">
      <x v="4"/>
    </i>
    <i i="5">
      <x v="5"/>
    </i>
    <i i="6">
      <x v="6"/>
    </i>
  </colItems>
  <dataFields count="7">
    <dataField name=" Q1 - The Guidance addresses the challenges" fld="8" baseField="1" baseItem="0"/>
    <dataField name=" Q1 - The Guidance does not address the challenges" fld="9" baseField="1" baseItem="0"/>
    <dataField name=" Q1 - Mixed views on the Guidance addressing the challenges" fld="10" baseField="1" baseItem="0"/>
    <dataField name=" Q1 - No comment" fld="14" baseField="1" baseItem="0"/>
    <dataField name=" Q1 - Other comments and recommendations" fld="11" baseField="1" baseItem="0"/>
    <dataField name=" Q1 - Comments on Diagram 2" fld="12" baseField="1" baseItem="0"/>
    <dataField name=" Q1 - Comments on Diagram 3" fld="13" baseField="1" baseItem="0"/>
  </dataFields>
  <formats count="19">
    <format dxfId="511">
      <pivotArea type="all" dataOnly="0" outline="0" fieldPosition="0"/>
    </format>
    <format dxfId="510">
      <pivotArea outline="0" collapsedLevelsAreSubtotals="1" fieldPosition="0"/>
    </format>
    <format dxfId="509">
      <pivotArea field="1" type="button" dataOnly="0" labelOnly="1" outline="0" axis="axisRow" fieldPosition="0"/>
    </format>
    <format dxfId="508">
      <pivotArea dataOnly="0" labelOnly="1" fieldPosition="0">
        <references count="1">
          <reference field="1" count="0"/>
        </references>
      </pivotArea>
    </format>
    <format dxfId="507">
      <pivotArea dataOnly="0" labelOnly="1" grandRow="1" outline="0" fieldPosition="0"/>
    </format>
    <format dxfId="506">
      <pivotArea dataOnly="0" labelOnly="1" outline="0" fieldPosition="0">
        <references count="1">
          <reference field="4294967294" count="7">
            <x v="0"/>
            <x v="1"/>
            <x v="2"/>
            <x v="3"/>
            <x v="4"/>
            <x v="5"/>
            <x v="6"/>
          </reference>
        </references>
      </pivotArea>
    </format>
    <format dxfId="505">
      <pivotArea type="all" dataOnly="0" outline="0" fieldPosition="0"/>
    </format>
    <format dxfId="504">
      <pivotArea outline="0" collapsedLevelsAreSubtotals="1" fieldPosition="0"/>
    </format>
    <format dxfId="503">
      <pivotArea field="1" type="button" dataOnly="0" labelOnly="1" outline="0" axis="axisRow" fieldPosition="0"/>
    </format>
    <format dxfId="502">
      <pivotArea dataOnly="0" labelOnly="1" fieldPosition="0">
        <references count="1">
          <reference field="1" count="0"/>
        </references>
      </pivotArea>
    </format>
    <format dxfId="501">
      <pivotArea dataOnly="0" labelOnly="1" grandRow="1" outline="0" fieldPosition="0"/>
    </format>
    <format dxfId="500">
      <pivotArea dataOnly="0" labelOnly="1" outline="0" fieldPosition="0">
        <references count="1">
          <reference field="4294967294" count="7">
            <x v="0"/>
            <x v="1"/>
            <x v="2"/>
            <x v="3"/>
            <x v="4"/>
            <x v="5"/>
            <x v="6"/>
          </reference>
        </references>
      </pivotArea>
    </format>
    <format dxfId="499">
      <pivotArea field="1" type="button" dataOnly="0" labelOnly="1" outline="0" axis="axisRow" fieldPosition="0"/>
    </format>
    <format dxfId="498">
      <pivotArea dataOnly="0" labelOnly="1" outline="0" fieldPosition="0">
        <references count="1">
          <reference field="4294967294" count="7">
            <x v="0"/>
            <x v="1"/>
            <x v="2"/>
            <x v="3"/>
            <x v="4"/>
            <x v="5"/>
            <x v="6"/>
          </reference>
        </references>
      </pivotArea>
    </format>
    <format dxfId="497">
      <pivotArea outline="0" collapsedLevelsAreSubtotals="1" fieldPosition="0"/>
    </format>
    <format dxfId="496">
      <pivotArea field="1" type="button" dataOnly="0" labelOnly="1" outline="0" axis="axisRow" fieldPosition="0"/>
    </format>
    <format dxfId="495">
      <pivotArea dataOnly="0" labelOnly="1" outline="0" fieldPosition="0">
        <references count="1">
          <reference field="4294967294" count="7">
            <x v="0"/>
            <x v="1"/>
            <x v="2"/>
            <x v="3"/>
            <x v="4"/>
            <x v="5"/>
            <x v="6"/>
          </reference>
        </references>
      </pivotArea>
    </format>
    <format dxfId="494">
      <pivotArea field="1" type="button" dataOnly="0" labelOnly="1" outline="0" axis="axisRow" fieldPosition="0"/>
    </format>
    <format dxfId="493">
      <pivotArea dataOnly="0" labelOnly="1" outline="0" fieldPosition="0">
        <references count="1">
          <reference field="4294967294" count="7">
            <x v="0"/>
            <x v="1"/>
            <x v="2"/>
            <x v="3"/>
            <x v="4"/>
            <x v="5"/>
            <x v="6"/>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171A11-34F9-47A8-95FA-D8515426D2C6}"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H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6">
    <i>
      <x/>
    </i>
    <i i="1">
      <x v="1"/>
    </i>
    <i i="2">
      <x v="2"/>
    </i>
    <i i="3">
      <x v="3"/>
    </i>
    <i i="4">
      <x v="4"/>
    </i>
    <i i="5">
      <x v="5"/>
    </i>
  </colItems>
  <dataFields count="6">
    <dataField name=" Q1 - The Guidance addresses the challenges" fld="20" baseField="1" baseItem="0"/>
    <dataField name=" Q1 - The Guidance does not address the challenges" fld="21" baseField="1" baseItem="0"/>
    <dataField name=" Q1 - Mixed views on the Guidance addressing the challenges" fld="22" baseField="1" baseItem="0"/>
    <dataField name=" Q1 - No comment" fld="25" baseField="1" baseItem="0"/>
    <dataField name=" Q1 - Other comments and recommendations" fld="23" baseField="1" baseItem="0"/>
    <dataField name=" Q1 - Comments on Diagram 4" fld="24" baseField="1" baseItem="0"/>
  </dataFields>
  <formats count="17">
    <format dxfId="458">
      <pivotArea type="all" dataOnly="0" outline="0" fieldPosition="0"/>
    </format>
    <format dxfId="457">
      <pivotArea outline="0" collapsedLevelsAreSubtotals="1" fieldPosition="0"/>
    </format>
    <format dxfId="456">
      <pivotArea field="1" type="button" dataOnly="0" labelOnly="1" outline="0" axis="axisRow" fieldPosition="0"/>
    </format>
    <format dxfId="455">
      <pivotArea dataOnly="0" labelOnly="1" fieldPosition="0">
        <references count="1">
          <reference field="1" count="0"/>
        </references>
      </pivotArea>
    </format>
    <format dxfId="454">
      <pivotArea dataOnly="0" labelOnly="1" grandRow="1" outline="0" fieldPosition="0"/>
    </format>
    <format dxfId="453">
      <pivotArea type="all" dataOnly="0" outline="0" fieldPosition="0"/>
    </format>
    <format dxfId="452">
      <pivotArea outline="0" collapsedLevelsAreSubtotals="1" fieldPosition="0"/>
    </format>
    <format dxfId="451">
      <pivotArea field="1" type="button" dataOnly="0" labelOnly="1" outline="0" axis="axisRow" fieldPosition="0"/>
    </format>
    <format dxfId="450">
      <pivotArea dataOnly="0" labelOnly="1" fieldPosition="0">
        <references count="1">
          <reference field="1" count="0"/>
        </references>
      </pivotArea>
    </format>
    <format dxfId="449">
      <pivotArea dataOnly="0" labelOnly="1" grandRow="1" outline="0" fieldPosition="0"/>
    </format>
    <format dxfId="448">
      <pivotArea outline="0" collapsedLevelsAreSubtotals="1" fieldPosition="0"/>
    </format>
    <format dxfId="447">
      <pivotArea field="1" type="button" dataOnly="0" labelOnly="1" outline="0" axis="axisRow" fieldPosition="0"/>
    </format>
    <format dxfId="446">
      <pivotArea field="1" type="button" dataOnly="0" labelOnly="1" outline="0" axis="axisRow" fieldPosition="0"/>
    </format>
    <format dxfId="445">
      <pivotArea field="1" type="button" dataOnly="0" labelOnly="1" outline="0" axis="axisRow" fieldPosition="0"/>
    </format>
    <format dxfId="444">
      <pivotArea dataOnly="0" labelOnly="1" outline="0" fieldPosition="0">
        <references count="1">
          <reference field="4294967294" count="6">
            <x v="0"/>
            <x v="1"/>
            <x v="2"/>
            <x v="3"/>
            <x v="4"/>
            <x v="5"/>
          </reference>
        </references>
      </pivotArea>
    </format>
    <format dxfId="443">
      <pivotArea dataOnly="0" labelOnly="1" outline="0" fieldPosition="0">
        <references count="1">
          <reference field="4294967294" count="6">
            <x v="0"/>
            <x v="1"/>
            <x v="2"/>
            <x v="3"/>
            <x v="4"/>
            <x v="5"/>
          </reference>
        </references>
      </pivotArea>
    </format>
    <format dxfId="442">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6EC6FB-7533-49D1-8E9F-438ED5597ECF}"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9:P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2 - The Guidance is structured in a way that is easy to understand" fld="26" baseField="1" baseItem="0"/>
    <dataField name=" Q2 - The Guidance is not structured in a way that is easy to understand" fld="27" baseField="1" baseItem="0"/>
    <dataField name=" Q2 - Mixed views on the structure of the Guidance" fld="28" baseField="1" baseItem="0"/>
    <dataField name=" Q2 - No comment" fld="30" baseField="1" baseItem="0"/>
    <dataField name=" Q2 - Other comments and recommendations" fld="29" baseField="1" baseItem="0"/>
  </dataFields>
  <formats count="17">
    <format dxfId="475">
      <pivotArea type="all" dataOnly="0" outline="0" fieldPosition="0"/>
    </format>
    <format dxfId="474">
      <pivotArea outline="0" collapsedLevelsAreSubtotals="1" fieldPosition="0"/>
    </format>
    <format dxfId="473">
      <pivotArea field="1" type="button" dataOnly="0" labelOnly="1" outline="0" axis="axisRow" fieldPosition="0"/>
    </format>
    <format dxfId="472">
      <pivotArea dataOnly="0" labelOnly="1" fieldPosition="0">
        <references count="1">
          <reference field="1" count="0"/>
        </references>
      </pivotArea>
    </format>
    <format dxfId="471">
      <pivotArea dataOnly="0" labelOnly="1" grandRow="1" outline="0" fieldPosition="0"/>
    </format>
    <format dxfId="470">
      <pivotArea type="all" dataOnly="0" outline="0" fieldPosition="0"/>
    </format>
    <format dxfId="469">
      <pivotArea outline="0" collapsedLevelsAreSubtotals="1" fieldPosition="0"/>
    </format>
    <format dxfId="468">
      <pivotArea field="1" type="button" dataOnly="0" labelOnly="1" outline="0" axis="axisRow" fieldPosition="0"/>
    </format>
    <format dxfId="467">
      <pivotArea dataOnly="0" labelOnly="1" fieldPosition="0">
        <references count="1">
          <reference field="1" count="0"/>
        </references>
      </pivotArea>
    </format>
    <format dxfId="466">
      <pivotArea dataOnly="0" labelOnly="1" grandRow="1" outline="0" fieldPosition="0"/>
    </format>
    <format dxfId="465">
      <pivotArea outline="0" collapsedLevelsAreSubtotals="1" fieldPosition="0"/>
    </format>
    <format dxfId="464">
      <pivotArea field="1" type="button" dataOnly="0" labelOnly="1" outline="0" axis="axisRow" fieldPosition="0"/>
    </format>
    <format dxfId="463">
      <pivotArea field="1" type="button" dataOnly="0" labelOnly="1" outline="0" axis="axisRow" fieldPosition="0"/>
    </format>
    <format dxfId="462">
      <pivotArea field="1" type="button" dataOnly="0" labelOnly="1" outline="0" axis="axisRow" fieldPosition="0"/>
    </format>
    <format dxfId="461">
      <pivotArea dataOnly="0" labelOnly="1" outline="0" fieldPosition="0">
        <references count="1">
          <reference field="4294967294" count="5">
            <x v="0"/>
            <x v="1"/>
            <x v="2"/>
            <x v="3"/>
            <x v="4"/>
          </reference>
        </references>
      </pivotArea>
    </format>
    <format dxfId="460">
      <pivotArea dataOnly="0" labelOnly="1" outline="0" fieldPosition="0">
        <references count="1">
          <reference field="4294967294" count="5">
            <x v="0"/>
            <x v="1"/>
            <x v="2"/>
            <x v="3"/>
            <x v="4"/>
          </reference>
        </references>
      </pivotArea>
    </format>
    <format dxfId="459">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02EF07-84E9-4373-9721-29E207265654}"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H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6">
    <i>
      <x/>
    </i>
    <i i="1">
      <x v="1"/>
    </i>
    <i i="2">
      <x v="2"/>
    </i>
    <i i="3">
      <x v="3"/>
    </i>
    <i i="4">
      <x v="4"/>
    </i>
    <i i="5">
      <x v="5"/>
    </i>
  </colItems>
  <dataFields count="6">
    <dataField name=" Q1 - The Guidance addresses the challenges" fld="31" baseField="1" baseItem="0"/>
    <dataField name=" Q1 - The Guidance does not address the challenges" fld="32" baseField="1" baseItem="0"/>
    <dataField name=" Q1 - Mixed views on the Guidance addressing the challenges" fld="33" baseField="1" baseItem="0"/>
    <dataField name=" Q1 - No comment" fld="36" baseField="1" baseItem="0"/>
    <dataField name=" Q1 - Other comments" fld="34" baseField="1" baseItem="0"/>
    <dataField name=" Q1 - Comments on Diagram 5" fld="35" baseField="1" baseItem="0"/>
  </dataFields>
  <formats count="17">
    <format dxfId="424">
      <pivotArea type="all" dataOnly="0" outline="0" fieldPosition="0"/>
    </format>
    <format dxfId="423">
      <pivotArea outline="0" collapsedLevelsAreSubtotals="1" fieldPosition="0"/>
    </format>
    <format dxfId="422">
      <pivotArea field="1" type="button" dataOnly="0" labelOnly="1" outline="0" axis="axisRow" fieldPosition="0"/>
    </format>
    <format dxfId="421">
      <pivotArea dataOnly="0" labelOnly="1" fieldPosition="0">
        <references count="1">
          <reference field="1" count="0"/>
        </references>
      </pivotArea>
    </format>
    <format dxfId="420">
      <pivotArea dataOnly="0" labelOnly="1" grandRow="1" outline="0" fieldPosition="0"/>
    </format>
    <format dxfId="419">
      <pivotArea type="all" dataOnly="0" outline="0" fieldPosition="0"/>
    </format>
    <format dxfId="418">
      <pivotArea outline="0" collapsedLevelsAreSubtotals="1" fieldPosition="0"/>
    </format>
    <format dxfId="417">
      <pivotArea field="1" type="button" dataOnly="0" labelOnly="1" outline="0" axis="axisRow" fieldPosition="0"/>
    </format>
    <format dxfId="416">
      <pivotArea dataOnly="0" labelOnly="1" fieldPosition="0">
        <references count="1">
          <reference field="1" count="0"/>
        </references>
      </pivotArea>
    </format>
    <format dxfId="415">
      <pivotArea dataOnly="0" labelOnly="1" grandRow="1" outline="0" fieldPosition="0"/>
    </format>
    <format dxfId="414">
      <pivotArea outline="0" collapsedLevelsAreSubtotals="1" fieldPosition="0"/>
    </format>
    <format dxfId="413">
      <pivotArea field="1" type="button" dataOnly="0" labelOnly="1" outline="0" axis="axisRow" fieldPosition="0"/>
    </format>
    <format dxfId="412">
      <pivotArea dataOnly="0" labelOnly="1" outline="0" fieldPosition="0">
        <references count="1">
          <reference field="4294967294" count="6">
            <x v="0"/>
            <x v="1"/>
            <x v="2"/>
            <x v="3"/>
            <x v="4"/>
            <x v="5"/>
          </reference>
        </references>
      </pivotArea>
    </format>
    <format dxfId="411">
      <pivotArea field="1" type="button" dataOnly="0" labelOnly="1" outline="0" axis="axisRow" fieldPosition="0"/>
    </format>
    <format dxfId="410">
      <pivotArea dataOnly="0" labelOnly="1" outline="0" fieldPosition="0">
        <references count="1">
          <reference field="4294967294" count="6">
            <x v="0"/>
            <x v="1"/>
            <x v="2"/>
            <x v="3"/>
            <x v="4"/>
            <x v="5"/>
          </reference>
        </references>
      </pivotArea>
    </format>
    <format dxfId="409">
      <pivotArea field="1" type="button" dataOnly="0" labelOnly="1" outline="0" axis="axisRow" fieldPosition="0"/>
    </format>
    <format dxfId="408">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081A3F-57E8-4E7E-8519-BE09AD5216E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9:P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2 - The Guidance is structured in a way that is easy to understand" fld="37" baseField="1" baseItem="0"/>
    <dataField name=" Q2 - The Guidance is not structured in a way that is easy to understand" fld="38" baseField="1" baseItem="0"/>
    <dataField name=" Q2 - Mixed views on the structure of the Guidance" fld="39" baseField="1" baseItem="0"/>
    <dataField name=" Q2 - No comment" fld="41" baseField="1" baseItem="0"/>
    <dataField name=" Q2 - Other comments" fld="40" baseField="1" baseItem="0"/>
  </dataFields>
  <formats count="17">
    <format dxfId="441">
      <pivotArea type="all" dataOnly="0" outline="0" fieldPosition="0"/>
    </format>
    <format dxfId="440">
      <pivotArea outline="0" collapsedLevelsAreSubtotals="1" fieldPosition="0"/>
    </format>
    <format dxfId="439">
      <pivotArea field="1" type="button" dataOnly="0" labelOnly="1" outline="0" axis="axisRow" fieldPosition="0"/>
    </format>
    <format dxfId="438">
      <pivotArea dataOnly="0" labelOnly="1" fieldPosition="0">
        <references count="1">
          <reference field="1" count="0"/>
        </references>
      </pivotArea>
    </format>
    <format dxfId="437">
      <pivotArea dataOnly="0" labelOnly="1" grandRow="1" outline="0" fieldPosition="0"/>
    </format>
    <format dxfId="436">
      <pivotArea type="all" dataOnly="0" outline="0" fieldPosition="0"/>
    </format>
    <format dxfId="435">
      <pivotArea outline="0" collapsedLevelsAreSubtotals="1" fieldPosition="0"/>
    </format>
    <format dxfId="434">
      <pivotArea field="1" type="button" dataOnly="0" labelOnly="1" outline="0" axis="axisRow" fieldPosition="0"/>
    </format>
    <format dxfId="433">
      <pivotArea dataOnly="0" labelOnly="1" fieldPosition="0">
        <references count="1">
          <reference field="1" count="0"/>
        </references>
      </pivotArea>
    </format>
    <format dxfId="432">
      <pivotArea dataOnly="0" labelOnly="1" grandRow="1" outline="0" fieldPosition="0"/>
    </format>
    <format dxfId="431">
      <pivotArea outline="0" collapsedLevelsAreSubtotals="1" fieldPosition="0"/>
    </format>
    <format dxfId="430">
      <pivotArea field="1" type="button" dataOnly="0" labelOnly="1" outline="0" axis="axisRow" fieldPosition="0"/>
    </format>
    <format dxfId="429">
      <pivotArea dataOnly="0" labelOnly="1" outline="0" fieldPosition="0">
        <references count="1">
          <reference field="4294967294" count="5">
            <x v="0"/>
            <x v="1"/>
            <x v="2"/>
            <x v="3"/>
            <x v="4"/>
          </reference>
        </references>
      </pivotArea>
    </format>
    <format dxfId="428">
      <pivotArea field="1" type="button" dataOnly="0" labelOnly="1" outline="0" axis="axisRow" fieldPosition="0"/>
    </format>
    <format dxfId="427">
      <pivotArea dataOnly="0" labelOnly="1" outline="0" fieldPosition="0">
        <references count="1">
          <reference field="4294967294" count="5">
            <x v="0"/>
            <x v="1"/>
            <x v="2"/>
            <x v="3"/>
            <x v="4"/>
          </reference>
        </references>
      </pivotArea>
    </format>
    <format dxfId="426">
      <pivotArea field="1" type="button" dataOnly="0" labelOnly="1" outline="0" axis="axisRow" fieldPosition="0"/>
    </format>
    <format dxfId="425">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D979E4-C6D5-4AB8-BC68-4EB22072C833}"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H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6">
    <i>
      <x/>
    </i>
    <i i="1">
      <x v="1"/>
    </i>
    <i i="2">
      <x v="2"/>
    </i>
    <i i="3">
      <x v="3"/>
    </i>
    <i i="4">
      <x v="4"/>
    </i>
    <i i="5">
      <x v="5"/>
    </i>
  </colItems>
  <dataFields count="6">
    <dataField name=" Q1 - The Guidance addresses the challenges" fld="42" baseField="1" baseItem="0"/>
    <dataField name=" Q1 - The Guidance does not address the challenges" fld="43" baseField="1" baseItem="0"/>
    <dataField name="Sum of 04.1.3 Q1 - Mixed views on the Guidance addressing the challenges" fld="44" baseField="1" baseItem="0"/>
    <dataField name=" Q1 - No comment" fld="47" baseField="1" baseItem="0"/>
    <dataField name=" Q1 - Other comments and recommendations" fld="45" baseField="1" baseItem="0"/>
    <dataField name=" Q1 - Comments on Diagram 6" fld="46" baseField="1" baseItem="0"/>
  </dataFields>
  <formats count="17">
    <format dxfId="390">
      <pivotArea type="all" dataOnly="0" outline="0" fieldPosition="0"/>
    </format>
    <format dxfId="389">
      <pivotArea outline="0" collapsedLevelsAreSubtotals="1" fieldPosition="0"/>
    </format>
    <format dxfId="388">
      <pivotArea field="1" type="button" dataOnly="0" labelOnly="1" outline="0" axis="axisRow" fieldPosition="0"/>
    </format>
    <format dxfId="387">
      <pivotArea dataOnly="0" labelOnly="1" fieldPosition="0">
        <references count="1">
          <reference field="1" count="0"/>
        </references>
      </pivotArea>
    </format>
    <format dxfId="386">
      <pivotArea dataOnly="0" labelOnly="1" grandRow="1" outline="0" fieldPosition="0"/>
    </format>
    <format dxfId="385">
      <pivotArea type="all" dataOnly="0" outline="0" fieldPosition="0"/>
    </format>
    <format dxfId="384">
      <pivotArea outline="0" collapsedLevelsAreSubtotals="1" fieldPosition="0"/>
    </format>
    <format dxfId="383">
      <pivotArea field="1" type="button" dataOnly="0" labelOnly="1" outline="0" axis="axisRow" fieldPosition="0"/>
    </format>
    <format dxfId="382">
      <pivotArea dataOnly="0" labelOnly="1" fieldPosition="0">
        <references count="1">
          <reference field="1" count="0"/>
        </references>
      </pivotArea>
    </format>
    <format dxfId="381">
      <pivotArea dataOnly="0" labelOnly="1" grandRow="1" outline="0" fieldPosition="0"/>
    </format>
    <format dxfId="380">
      <pivotArea outline="0" collapsedLevelsAreSubtotals="1" fieldPosition="0"/>
    </format>
    <format dxfId="379">
      <pivotArea field="1" type="button" dataOnly="0" labelOnly="1" outline="0" axis="axisRow" fieldPosition="0"/>
    </format>
    <format dxfId="378">
      <pivotArea dataOnly="0" labelOnly="1" outline="0" fieldPosition="0">
        <references count="1">
          <reference field="4294967294" count="6">
            <x v="0"/>
            <x v="1"/>
            <x v="2"/>
            <x v="3"/>
            <x v="4"/>
            <x v="5"/>
          </reference>
        </references>
      </pivotArea>
    </format>
    <format dxfId="377">
      <pivotArea field="1" type="button" dataOnly="0" labelOnly="1" outline="0" axis="axisRow" fieldPosition="0"/>
    </format>
    <format dxfId="376">
      <pivotArea dataOnly="0" labelOnly="1" outline="0" fieldPosition="0">
        <references count="1">
          <reference field="4294967294" count="6">
            <x v="0"/>
            <x v="1"/>
            <x v="2"/>
            <x v="3"/>
            <x v="4"/>
            <x v="5"/>
          </reference>
        </references>
      </pivotArea>
    </format>
    <format dxfId="375">
      <pivotArea field="1" type="button" dataOnly="0" labelOnly="1" outline="0" axis="axisRow" fieldPosition="0"/>
    </format>
    <format dxfId="374">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0FC819-AA3E-4654-9B71-DCA89D70FEE9}"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9:P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2 - The Guidance is structured in a way that is easy to understand" fld="48" baseField="1" baseItem="0"/>
    <dataField name=" Q2 - The Guidance is not structured in a way that is easy to understand" fld="49" baseField="1" baseItem="0"/>
    <dataField name=" Q2 - Mixed views on the structure of the Guidance" fld="50" baseField="1" baseItem="0"/>
    <dataField name=" Q2 - No comment" fld="52" baseField="1" baseItem="0"/>
    <dataField name=" Q2 - Other comments" fld="51" baseField="1" baseItem="0"/>
  </dataFields>
  <formats count="17">
    <format dxfId="407">
      <pivotArea type="all" dataOnly="0" outline="0" fieldPosition="0"/>
    </format>
    <format dxfId="406">
      <pivotArea outline="0" collapsedLevelsAreSubtotals="1" fieldPosition="0"/>
    </format>
    <format dxfId="405">
      <pivotArea field="1" type="button" dataOnly="0" labelOnly="1" outline="0" axis="axisRow" fieldPosition="0"/>
    </format>
    <format dxfId="404">
      <pivotArea dataOnly="0" labelOnly="1" fieldPosition="0">
        <references count="1">
          <reference field="1" count="0"/>
        </references>
      </pivotArea>
    </format>
    <format dxfId="403">
      <pivotArea dataOnly="0" labelOnly="1" grandRow="1" outline="0" fieldPosition="0"/>
    </format>
    <format dxfId="402">
      <pivotArea type="all" dataOnly="0" outline="0" fieldPosition="0"/>
    </format>
    <format dxfId="401">
      <pivotArea outline="0" collapsedLevelsAreSubtotals="1" fieldPosition="0"/>
    </format>
    <format dxfId="400">
      <pivotArea field="1" type="button" dataOnly="0" labelOnly="1" outline="0" axis="axisRow" fieldPosition="0"/>
    </format>
    <format dxfId="399">
      <pivotArea dataOnly="0" labelOnly="1" fieldPosition="0">
        <references count="1">
          <reference field="1" count="0"/>
        </references>
      </pivotArea>
    </format>
    <format dxfId="398">
      <pivotArea dataOnly="0" labelOnly="1" grandRow="1" outline="0" fieldPosition="0"/>
    </format>
    <format dxfId="397">
      <pivotArea outline="0" collapsedLevelsAreSubtotals="1" fieldPosition="0"/>
    </format>
    <format dxfId="396">
      <pivotArea field="1" type="button" dataOnly="0" labelOnly="1" outline="0" axis="axisRow" fieldPosition="0"/>
    </format>
    <format dxfId="395">
      <pivotArea dataOnly="0" labelOnly="1" outline="0" fieldPosition="0">
        <references count="1">
          <reference field="4294967294" count="5">
            <x v="0"/>
            <x v="1"/>
            <x v="2"/>
            <x v="3"/>
            <x v="4"/>
          </reference>
        </references>
      </pivotArea>
    </format>
    <format dxfId="394">
      <pivotArea field="1" type="button" dataOnly="0" labelOnly="1" outline="0" axis="axisRow" fieldPosition="0"/>
    </format>
    <format dxfId="393">
      <pivotArea dataOnly="0" labelOnly="1" outline="0" fieldPosition="0">
        <references count="1">
          <reference field="4294967294" count="5">
            <x v="0"/>
            <x v="1"/>
            <x v="2"/>
            <x v="3"/>
            <x v="4"/>
          </reference>
        </references>
      </pivotArea>
    </format>
    <format dxfId="392">
      <pivotArea field="1" type="button" dataOnly="0" labelOnly="1" outline="0" axis="axisRow" fieldPosition="0"/>
    </format>
    <format dxfId="391">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79D0EF-B5C3-4539-A90C-3F1F6FE8F9FB}"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H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6">
    <i>
      <x/>
    </i>
    <i i="1">
      <x v="1"/>
    </i>
    <i i="2">
      <x v="2"/>
    </i>
    <i i="3">
      <x v="3"/>
    </i>
    <i i="4">
      <x v="4"/>
    </i>
    <i i="5">
      <x v="5"/>
    </i>
  </colItems>
  <dataFields count="6">
    <dataField name=" Q1 - The Guidance addresses the challenges" fld="53" baseField="1" baseItem="0"/>
    <dataField name=" Q1 - The Guidance does not address the challenges" fld="54" baseField="1" baseItem="0"/>
    <dataField name=" Q1 - Mixed views on the Guidance addressing the challenges" fld="55" baseField="1" baseItem="0"/>
    <dataField name=" Q1 - No comment" fld="58" baseField="1" baseItem="0"/>
    <dataField name=" Q1 - Other comments and recommendations" fld="56" baseField="1" baseItem="0"/>
    <dataField name=" Q1 - Comments on Diagram 7" fld="57" baseField="1" baseItem="0"/>
  </dataFields>
  <formats count="20">
    <format dxfId="356">
      <pivotArea type="all" dataOnly="0" outline="0" fieldPosition="0"/>
    </format>
    <format dxfId="355">
      <pivotArea outline="0" collapsedLevelsAreSubtotals="1" fieldPosition="0"/>
    </format>
    <format dxfId="354">
      <pivotArea field="1" type="button" dataOnly="0" labelOnly="1" outline="0" axis="axisRow" fieldPosition="0"/>
    </format>
    <format dxfId="353">
      <pivotArea dataOnly="0" labelOnly="1" fieldPosition="0">
        <references count="1">
          <reference field="1" count="0"/>
        </references>
      </pivotArea>
    </format>
    <format dxfId="352">
      <pivotArea dataOnly="0" labelOnly="1" grandRow="1" outline="0" fieldPosition="0"/>
    </format>
    <format dxfId="351">
      <pivotArea type="all" dataOnly="0" outline="0" fieldPosition="0"/>
    </format>
    <format dxfId="350">
      <pivotArea outline="0" collapsedLevelsAreSubtotals="1" fieldPosition="0"/>
    </format>
    <format dxfId="349">
      <pivotArea field="1" type="button" dataOnly="0" labelOnly="1" outline="0" axis="axisRow" fieldPosition="0"/>
    </format>
    <format dxfId="348">
      <pivotArea dataOnly="0" labelOnly="1" fieldPosition="0">
        <references count="1">
          <reference field="1" count="0"/>
        </references>
      </pivotArea>
    </format>
    <format dxfId="347">
      <pivotArea dataOnly="0" labelOnly="1" grandRow="1" outline="0" fieldPosition="0"/>
    </format>
    <format dxfId="346">
      <pivotArea outline="0" collapsedLevelsAreSubtotals="1" fieldPosition="0"/>
    </format>
    <format dxfId="345">
      <pivotArea field="1" type="button" dataOnly="0" labelOnly="1" outline="0" axis="axisRow" fieldPosition="0"/>
    </format>
    <format dxfId="344">
      <pivotArea dataOnly="0" labelOnly="1" outline="0" fieldPosition="0">
        <references count="1">
          <reference field="4294967294" count="3">
            <x v="0"/>
            <x v="1"/>
            <x v="2"/>
          </reference>
        </references>
      </pivotArea>
    </format>
    <format dxfId="343">
      <pivotArea field="1" type="button" dataOnly="0" labelOnly="1" outline="0" axis="axisRow" fieldPosition="0"/>
    </format>
    <format dxfId="342">
      <pivotArea dataOnly="0" labelOnly="1" outline="0" fieldPosition="0">
        <references count="1">
          <reference field="4294967294" count="3">
            <x v="0"/>
            <x v="1"/>
            <x v="2"/>
          </reference>
        </references>
      </pivotArea>
    </format>
    <format dxfId="341">
      <pivotArea field="1" type="button" dataOnly="0" labelOnly="1" outline="0" axis="axisRow" fieldPosition="0"/>
    </format>
    <format dxfId="340">
      <pivotArea dataOnly="0" labelOnly="1" outline="0" fieldPosition="0">
        <references count="1">
          <reference field="4294967294" count="3">
            <x v="0"/>
            <x v="1"/>
            <x v="2"/>
          </reference>
        </references>
      </pivotArea>
    </format>
    <format dxfId="339">
      <pivotArea dataOnly="0" labelOnly="1" outline="0" fieldPosition="0">
        <references count="1">
          <reference field="4294967294" count="3">
            <x v="3"/>
            <x v="4"/>
            <x v="5"/>
          </reference>
        </references>
      </pivotArea>
    </format>
    <format dxfId="338">
      <pivotArea dataOnly="0" labelOnly="1" outline="0" fieldPosition="0">
        <references count="1">
          <reference field="4294967294" count="3">
            <x v="3"/>
            <x v="4"/>
            <x v="5"/>
          </reference>
        </references>
      </pivotArea>
    </format>
    <format dxfId="337">
      <pivotArea dataOnly="0" labelOnly="1" outline="0" fieldPosition="0">
        <references count="1">
          <reference field="4294967294" count="3">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C836A0-9E5C-431F-8134-BB0EC0B4A5F8}"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9:P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2 - The Guidance is structured in a way that is easy to understand" fld="59" baseField="1" baseItem="0"/>
    <dataField name=" Q2 - The Guidance is not structured in a way that is easy to understand" fld="60" baseField="1" baseItem="0"/>
    <dataField name=" Q2 - Mixed views on the structure of the Guidance" fld="61" baseField="1" baseItem="0"/>
    <dataField name=" Q2 - No comment" fld="63" baseField="1" baseItem="0"/>
    <dataField name=" Q2 - Other comments and recommendations" fld="62" baseField="1" baseItem="0"/>
  </dataFields>
  <formats count="17">
    <format dxfId="373">
      <pivotArea type="all" dataOnly="0" outline="0" fieldPosition="0"/>
    </format>
    <format dxfId="372">
      <pivotArea outline="0" collapsedLevelsAreSubtotals="1" fieldPosition="0"/>
    </format>
    <format dxfId="371">
      <pivotArea field="1" type="button" dataOnly="0" labelOnly="1" outline="0" axis="axisRow" fieldPosition="0"/>
    </format>
    <format dxfId="370">
      <pivotArea dataOnly="0" labelOnly="1" fieldPosition="0">
        <references count="1">
          <reference field="1" count="0"/>
        </references>
      </pivotArea>
    </format>
    <format dxfId="369">
      <pivotArea dataOnly="0" labelOnly="1" grandRow="1" outline="0" fieldPosition="0"/>
    </format>
    <format dxfId="368">
      <pivotArea type="all" dataOnly="0" outline="0" fieldPosition="0"/>
    </format>
    <format dxfId="367">
      <pivotArea outline="0" collapsedLevelsAreSubtotals="1" fieldPosition="0"/>
    </format>
    <format dxfId="366">
      <pivotArea field="1" type="button" dataOnly="0" labelOnly="1" outline="0" axis="axisRow" fieldPosition="0"/>
    </format>
    <format dxfId="365">
      <pivotArea dataOnly="0" labelOnly="1" fieldPosition="0">
        <references count="1">
          <reference field="1" count="0"/>
        </references>
      </pivotArea>
    </format>
    <format dxfId="364">
      <pivotArea dataOnly="0" labelOnly="1" grandRow="1" outline="0" fieldPosition="0"/>
    </format>
    <format dxfId="363">
      <pivotArea outline="0" collapsedLevelsAreSubtotals="1" fieldPosition="0"/>
    </format>
    <format dxfId="362">
      <pivotArea field="1" type="button" dataOnly="0" labelOnly="1" outline="0" axis="axisRow" fieldPosition="0"/>
    </format>
    <format dxfId="361">
      <pivotArea dataOnly="0" labelOnly="1" outline="0" fieldPosition="0">
        <references count="1">
          <reference field="4294967294" count="5">
            <x v="0"/>
            <x v="1"/>
            <x v="2"/>
            <x v="3"/>
            <x v="4"/>
          </reference>
        </references>
      </pivotArea>
    </format>
    <format dxfId="360">
      <pivotArea field="1" type="button" dataOnly="0" labelOnly="1" outline="0" axis="axisRow" fieldPosition="0"/>
    </format>
    <format dxfId="359">
      <pivotArea dataOnly="0" labelOnly="1" outline="0" fieldPosition="0">
        <references count="1">
          <reference field="4294967294" count="5">
            <x v="0"/>
            <x v="1"/>
            <x v="2"/>
            <x v="3"/>
            <x v="4"/>
          </reference>
        </references>
      </pivotArea>
    </format>
    <format dxfId="358">
      <pivotArea field="1" type="button" dataOnly="0" labelOnly="1" outline="0" axis="axisRow" fieldPosition="0"/>
    </format>
    <format dxfId="357">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74A225-DE6F-4A07-A8B5-A2D71BE3704B}"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I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7">
    <i>
      <x/>
    </i>
    <i i="1">
      <x v="1"/>
    </i>
    <i i="2">
      <x v="2"/>
    </i>
    <i i="3">
      <x v="3"/>
    </i>
    <i i="4">
      <x v="4"/>
    </i>
    <i i="5">
      <x v="5"/>
    </i>
    <i i="6">
      <x v="6"/>
    </i>
  </colItems>
  <dataFields count="7">
    <dataField name=" Q1 - The Guidance addresses the challenges" fld="64" baseField="1" baseItem="0"/>
    <dataField name=" Q1 - The Guidance does not address the challenges" fld="65" baseField="1" baseItem="0"/>
    <dataField name=" Q1 - Mixed views on the Guidance addressing the challenges" fld="66" baseField="1" baseItem="0"/>
    <dataField name=" Q1 - No comment" fld="70" baseField="1" baseItem="0"/>
    <dataField name=" Q1 - Other comments and recommendations" fld="67" baseField="1" baseItem="0"/>
    <dataField name=" Q1 - Comments on Diagram 8" fld="68" baseField="1" baseItem="0"/>
    <dataField name=" Q1 - Comments on Diagram 9" fld="69" baseField="1" baseItem="0"/>
  </dataFields>
  <formats count="14">
    <format dxfId="322">
      <pivotArea type="all" dataOnly="0" outline="0" fieldPosition="0"/>
    </format>
    <format dxfId="321">
      <pivotArea outline="0" collapsedLevelsAreSubtotals="1" fieldPosition="0"/>
    </format>
    <format dxfId="320">
      <pivotArea field="1" type="button" dataOnly="0" labelOnly="1" outline="0" axis="axisRow" fieldPosition="0"/>
    </format>
    <format dxfId="319">
      <pivotArea dataOnly="0" labelOnly="1" fieldPosition="0">
        <references count="1">
          <reference field="1" count="0"/>
        </references>
      </pivotArea>
    </format>
    <format dxfId="318">
      <pivotArea dataOnly="0" labelOnly="1" grandRow="1" outline="0" fieldPosition="0"/>
    </format>
    <format dxfId="317">
      <pivotArea type="all" dataOnly="0" outline="0" fieldPosition="0"/>
    </format>
    <format dxfId="316">
      <pivotArea outline="0" collapsedLevelsAreSubtotals="1" fieldPosition="0"/>
    </format>
    <format dxfId="315">
      <pivotArea field="1" type="button" dataOnly="0" labelOnly="1" outline="0" axis="axisRow" fieldPosition="0"/>
    </format>
    <format dxfId="314">
      <pivotArea dataOnly="0" labelOnly="1" fieldPosition="0">
        <references count="1">
          <reference field="1" count="0"/>
        </references>
      </pivotArea>
    </format>
    <format dxfId="313">
      <pivotArea dataOnly="0" labelOnly="1" grandRow="1" outline="0" fieldPosition="0"/>
    </format>
    <format dxfId="312">
      <pivotArea field="1" type="button" dataOnly="0" labelOnly="1" outline="0" axis="axisRow" fieldPosition="0"/>
    </format>
    <format dxfId="311">
      <pivotArea outline="0" collapsedLevelsAreSubtotals="1" fieldPosition="0"/>
    </format>
    <format dxfId="310">
      <pivotArea field="1" type="button" dataOnly="0" labelOnly="1" outline="0" axis="axisRow" fieldPosition="0"/>
    </format>
    <format dxfId="309">
      <pivotArea field="1" type="button" dataOnly="0" labelOnly="1" outline="0" axis="axisRow"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95A92F-CE48-48FE-AC5D-E30D2D652E17}"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9:Q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2 - The Guidance is structured in a way that is easy to understand" fld="71" baseField="1" baseItem="0"/>
    <dataField name=" Q2 - The Guidance is not structured in a way that is easy to understand" fld="72" baseField="1" baseItem="0"/>
    <dataField name=" Q2 - Mixed views on the structure of the Guidance" fld="73" baseField="1" baseItem="0"/>
    <dataField name=" Q2 - No comment" fld="75" baseField="1" baseItem="0"/>
    <dataField name=" Q2 - Other comments and recommendations" fld="74" baseField="1" baseItem="0"/>
  </dataFields>
  <formats count="14">
    <format dxfId="336">
      <pivotArea type="all" dataOnly="0" outline="0" fieldPosition="0"/>
    </format>
    <format dxfId="335">
      <pivotArea outline="0" collapsedLevelsAreSubtotals="1" fieldPosition="0"/>
    </format>
    <format dxfId="334">
      <pivotArea field="1" type="button" dataOnly="0" labelOnly="1" outline="0" axis="axisRow" fieldPosition="0"/>
    </format>
    <format dxfId="333">
      <pivotArea dataOnly="0" labelOnly="1" fieldPosition="0">
        <references count="1">
          <reference field="1" count="0"/>
        </references>
      </pivotArea>
    </format>
    <format dxfId="332">
      <pivotArea dataOnly="0" labelOnly="1" grandRow="1" outline="0" fieldPosition="0"/>
    </format>
    <format dxfId="331">
      <pivotArea type="all" dataOnly="0" outline="0" fieldPosition="0"/>
    </format>
    <format dxfId="330">
      <pivotArea outline="0" collapsedLevelsAreSubtotals="1" fieldPosition="0"/>
    </format>
    <format dxfId="329">
      <pivotArea field="1" type="button" dataOnly="0" labelOnly="1" outline="0" axis="axisRow" fieldPosition="0"/>
    </format>
    <format dxfId="328">
      <pivotArea dataOnly="0" labelOnly="1" fieldPosition="0">
        <references count="1">
          <reference field="1" count="0"/>
        </references>
      </pivotArea>
    </format>
    <format dxfId="327">
      <pivotArea dataOnly="0" labelOnly="1" grandRow="1" outline="0" fieldPosition="0"/>
    </format>
    <format dxfId="326">
      <pivotArea field="1" type="button" dataOnly="0" labelOnly="1" outline="0" axis="axisRow" fieldPosition="0"/>
    </format>
    <format dxfId="325">
      <pivotArea outline="0" collapsedLevelsAreSubtotals="1" fieldPosition="0"/>
    </format>
    <format dxfId="324">
      <pivotArea field="1" type="button" dataOnly="0" labelOnly="1" outline="0" axis="axisRow" fieldPosition="0"/>
    </format>
    <format dxfId="323">
      <pivotArea field="1" type="button" dataOnly="0" labelOnly="1" outline="0" axis="axisRow"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01FB2E8-68F7-4505-8AFB-F38E10E2AF7A}"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G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1 - The Guidance addresses the challenges" fld="76" baseField="1" baseItem="0"/>
    <dataField name=" Q1 - The Guidance does not address the challenges" fld="77" baseField="1" baseItem="0"/>
    <dataField name=" Q1 - Mixed views on the Guidance addressing the challenges" fld="78" baseField="1" baseItem="0"/>
    <dataField name=" Q1 - No comment" fld="80" baseField="1" baseItem="0"/>
    <dataField name=" Q1 - Other comments and recommendations" fld="79" baseField="1" baseItem="0"/>
  </dataFields>
  <formats count="17">
    <format dxfId="291">
      <pivotArea type="all" dataOnly="0" outline="0" fieldPosition="0"/>
    </format>
    <format dxfId="290">
      <pivotArea outline="0" collapsedLevelsAreSubtotals="1" fieldPosition="0"/>
    </format>
    <format dxfId="289">
      <pivotArea field="1" type="button" dataOnly="0" labelOnly="1" outline="0" axis="axisRow" fieldPosition="0"/>
    </format>
    <format dxfId="288">
      <pivotArea dataOnly="0" labelOnly="1" fieldPosition="0">
        <references count="1">
          <reference field="1" count="0"/>
        </references>
      </pivotArea>
    </format>
    <format dxfId="287">
      <pivotArea dataOnly="0" labelOnly="1" grandRow="1" outline="0" fieldPosition="0"/>
    </format>
    <format dxfId="286">
      <pivotArea type="all" dataOnly="0" outline="0" fieldPosition="0"/>
    </format>
    <format dxfId="285">
      <pivotArea outline="0" collapsedLevelsAreSubtotals="1" fieldPosition="0"/>
    </format>
    <format dxfId="284">
      <pivotArea field="1" type="button" dataOnly="0" labelOnly="1" outline="0" axis="axisRow" fieldPosition="0"/>
    </format>
    <format dxfId="283">
      <pivotArea dataOnly="0" labelOnly="1" fieldPosition="0">
        <references count="1">
          <reference field="1" count="0"/>
        </references>
      </pivotArea>
    </format>
    <format dxfId="282">
      <pivotArea dataOnly="0" labelOnly="1" grandRow="1" outline="0" fieldPosition="0"/>
    </format>
    <format dxfId="281">
      <pivotArea outline="0" collapsedLevelsAreSubtotals="1" fieldPosition="0"/>
    </format>
    <format dxfId="280">
      <pivotArea field="1" type="button" dataOnly="0" labelOnly="1" outline="0" axis="axisRow" fieldPosition="0"/>
    </format>
    <format dxfId="279">
      <pivotArea dataOnly="0" labelOnly="1" outline="0" fieldPosition="0">
        <references count="1">
          <reference field="4294967294" count="5">
            <x v="0"/>
            <x v="1"/>
            <x v="2"/>
            <x v="3"/>
            <x v="4"/>
          </reference>
        </references>
      </pivotArea>
    </format>
    <format dxfId="278">
      <pivotArea field="1" type="button" dataOnly="0" labelOnly="1" outline="0" axis="axisRow" fieldPosition="0"/>
    </format>
    <format dxfId="277">
      <pivotArea dataOnly="0" labelOnly="1" outline="0" fieldPosition="0">
        <references count="1">
          <reference field="4294967294" count="5">
            <x v="0"/>
            <x v="1"/>
            <x v="2"/>
            <x v="3"/>
            <x v="4"/>
          </reference>
        </references>
      </pivotArea>
    </format>
    <format dxfId="276">
      <pivotArea field="1" type="button" dataOnly="0" labelOnly="1" outline="0" axis="axisRow" fieldPosition="0"/>
    </format>
    <format dxfId="275">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95434AB-4AC9-4E9B-8396-FDA09CEBEB0A}"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9:O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2- The Guidance is structured in a way that is easy to understand" fld="81" baseField="1" baseItem="0"/>
    <dataField name=" Q2 - The Guidance is not structured in a way that is easy to understand" fld="82" baseField="1" baseItem="0"/>
    <dataField name=" Q2 - Mixed views on the structure of the Guidance" fld="83" baseField="1" baseItem="0"/>
    <dataField name=" Q2 - No comment" fld="85" baseField="1" baseItem="0"/>
    <dataField name=" Q2 - Other comments and recommendations" fld="84" baseField="1" baseItem="0"/>
  </dataFields>
  <formats count="17">
    <format dxfId="308">
      <pivotArea type="all" dataOnly="0" outline="0" fieldPosition="0"/>
    </format>
    <format dxfId="307">
      <pivotArea outline="0" collapsedLevelsAreSubtotals="1" fieldPosition="0"/>
    </format>
    <format dxfId="306">
      <pivotArea field="1" type="button" dataOnly="0" labelOnly="1" outline="0" axis="axisRow" fieldPosition="0"/>
    </format>
    <format dxfId="305">
      <pivotArea dataOnly="0" labelOnly="1" fieldPosition="0">
        <references count="1">
          <reference field="1" count="0"/>
        </references>
      </pivotArea>
    </format>
    <format dxfId="304">
      <pivotArea dataOnly="0" labelOnly="1" grandRow="1" outline="0" fieldPosition="0"/>
    </format>
    <format dxfId="303">
      <pivotArea type="all" dataOnly="0" outline="0" fieldPosition="0"/>
    </format>
    <format dxfId="302">
      <pivotArea outline="0" collapsedLevelsAreSubtotals="1" fieldPosition="0"/>
    </format>
    <format dxfId="301">
      <pivotArea field="1" type="button" dataOnly="0" labelOnly="1" outline="0" axis="axisRow" fieldPosition="0"/>
    </format>
    <format dxfId="300">
      <pivotArea dataOnly="0" labelOnly="1" fieldPosition="0">
        <references count="1">
          <reference field="1" count="0"/>
        </references>
      </pivotArea>
    </format>
    <format dxfId="299">
      <pivotArea dataOnly="0" labelOnly="1" grandRow="1" outline="0" fieldPosition="0"/>
    </format>
    <format dxfId="298">
      <pivotArea outline="0" collapsedLevelsAreSubtotals="1" fieldPosition="0"/>
    </format>
    <format dxfId="297">
      <pivotArea field="1" type="button" dataOnly="0" labelOnly="1" outline="0" axis="axisRow" fieldPosition="0"/>
    </format>
    <format dxfId="296">
      <pivotArea dataOnly="0" labelOnly="1" outline="0" fieldPosition="0">
        <references count="1">
          <reference field="4294967294" count="5">
            <x v="0"/>
            <x v="1"/>
            <x v="2"/>
            <x v="3"/>
            <x v="4"/>
          </reference>
        </references>
      </pivotArea>
    </format>
    <format dxfId="295">
      <pivotArea field="1" type="button" dataOnly="0" labelOnly="1" outline="0" axis="axisRow" fieldPosition="0"/>
    </format>
    <format dxfId="294">
      <pivotArea dataOnly="0" labelOnly="1" outline="0" fieldPosition="0">
        <references count="1">
          <reference field="4294967294" count="5">
            <x v="0"/>
            <x v="1"/>
            <x v="2"/>
            <x v="3"/>
            <x v="4"/>
          </reference>
        </references>
      </pivotArea>
    </format>
    <format dxfId="293">
      <pivotArea field="1" type="button" dataOnly="0" labelOnly="1" outline="0" axis="axisRow" fieldPosition="0"/>
    </format>
    <format dxfId="292">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ADFE88F-E306-4474-A791-2ADC050E5269}"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9:O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2 - The Guidance is structured in a way that is easy to understand" fld="91" baseField="1" baseItem="0"/>
    <dataField name=" Q2 - The Guidance is not structured in a way that is easy to understand" fld="92" baseField="1" baseItem="0"/>
    <dataField name=" Q2 - Mixed views on the structure of the Guidance" fld="93" baseField="1" baseItem="0"/>
    <dataField name=" Q2 - No comment" fld="95" baseField="1" baseItem="0"/>
    <dataField name=" Q2 - Other comments and recommendations" fld="94" baseField="1" baseItem="0"/>
  </dataFields>
  <formats count="17">
    <format dxfId="257">
      <pivotArea type="all" dataOnly="0" outline="0" fieldPosition="0"/>
    </format>
    <format dxfId="256">
      <pivotArea outline="0" collapsedLevelsAreSubtotals="1" fieldPosition="0"/>
    </format>
    <format dxfId="255">
      <pivotArea field="1" type="button" dataOnly="0" labelOnly="1" outline="0" axis="axisRow" fieldPosition="0"/>
    </format>
    <format dxfId="254">
      <pivotArea dataOnly="0" labelOnly="1" fieldPosition="0">
        <references count="1">
          <reference field="1" count="0"/>
        </references>
      </pivotArea>
    </format>
    <format dxfId="253">
      <pivotArea dataOnly="0" labelOnly="1" grandRow="1" outline="0" fieldPosition="0"/>
    </format>
    <format dxfId="252">
      <pivotArea type="all" dataOnly="0" outline="0" fieldPosition="0"/>
    </format>
    <format dxfId="251">
      <pivotArea outline="0" collapsedLevelsAreSubtotals="1" fieldPosition="0"/>
    </format>
    <format dxfId="250">
      <pivotArea field="1" type="button" dataOnly="0" labelOnly="1" outline="0" axis="axisRow" fieldPosition="0"/>
    </format>
    <format dxfId="249">
      <pivotArea dataOnly="0" labelOnly="1" fieldPosition="0">
        <references count="1">
          <reference field="1" count="0"/>
        </references>
      </pivotArea>
    </format>
    <format dxfId="248">
      <pivotArea dataOnly="0" labelOnly="1" grandRow="1" outline="0" fieldPosition="0"/>
    </format>
    <format dxfId="247">
      <pivotArea outline="0" collapsedLevelsAreSubtotals="1" fieldPosition="0"/>
    </format>
    <format dxfId="246">
      <pivotArea field="1" type="button" dataOnly="0" labelOnly="1" outline="0" axis="axisRow" fieldPosition="0"/>
    </format>
    <format dxfId="245">
      <pivotArea dataOnly="0" labelOnly="1" outline="0" fieldPosition="0">
        <references count="1">
          <reference field="4294967294" count="5">
            <x v="0"/>
            <x v="1"/>
            <x v="2"/>
            <x v="3"/>
            <x v="4"/>
          </reference>
        </references>
      </pivotArea>
    </format>
    <format dxfId="244">
      <pivotArea field="1" type="button" dataOnly="0" labelOnly="1" outline="0" axis="axisRow" fieldPosition="0"/>
    </format>
    <format dxfId="243">
      <pivotArea dataOnly="0" labelOnly="1" outline="0" fieldPosition="0">
        <references count="1">
          <reference field="4294967294" count="5">
            <x v="0"/>
            <x v="1"/>
            <x v="2"/>
            <x v="3"/>
            <x v="4"/>
          </reference>
        </references>
      </pivotArea>
    </format>
    <format dxfId="242">
      <pivotArea field="1" type="button" dataOnly="0" labelOnly="1" outline="0" axis="axisRow" fieldPosition="0"/>
    </format>
    <format dxfId="241">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A7D8C28-2A69-4540-8401-123310267D89}"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G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1 - The Guidance addresses the challenges" fld="86" baseField="1" baseItem="0"/>
    <dataField name=" Q1 - The Guidance does not address the challenges" fld="87" baseField="1" baseItem="0"/>
    <dataField name=" Q1 - Mixed views on the Guidance addressing the challenges" fld="88" baseField="1" baseItem="0"/>
    <dataField name=" Q1 - No comment" fld="90" baseField="1" baseItem="0"/>
    <dataField name=" Q1 - Other comments and recommendations" fld="89" baseField="1" baseItem="0"/>
  </dataFields>
  <formats count="17">
    <format dxfId="274">
      <pivotArea type="all" dataOnly="0" outline="0" fieldPosition="0"/>
    </format>
    <format dxfId="273">
      <pivotArea outline="0" collapsedLevelsAreSubtotals="1" fieldPosition="0"/>
    </format>
    <format dxfId="272">
      <pivotArea field="1" type="button" dataOnly="0" labelOnly="1" outline="0" axis="axisRow" fieldPosition="0"/>
    </format>
    <format dxfId="271">
      <pivotArea dataOnly="0" labelOnly="1" fieldPosition="0">
        <references count="1">
          <reference field="1" count="0"/>
        </references>
      </pivotArea>
    </format>
    <format dxfId="270">
      <pivotArea dataOnly="0" labelOnly="1" grandRow="1" outline="0" fieldPosition="0"/>
    </format>
    <format dxfId="269">
      <pivotArea type="all" dataOnly="0" outline="0" fieldPosition="0"/>
    </format>
    <format dxfId="268">
      <pivotArea outline="0" collapsedLevelsAreSubtotals="1" fieldPosition="0"/>
    </format>
    <format dxfId="267">
      <pivotArea field="1" type="button" dataOnly="0" labelOnly="1" outline="0" axis="axisRow" fieldPosition="0"/>
    </format>
    <format dxfId="266">
      <pivotArea dataOnly="0" labelOnly="1" fieldPosition="0">
        <references count="1">
          <reference field="1" count="0"/>
        </references>
      </pivotArea>
    </format>
    <format dxfId="265">
      <pivotArea dataOnly="0" labelOnly="1" grandRow="1" outline="0" fieldPosition="0"/>
    </format>
    <format dxfId="264">
      <pivotArea outline="0" collapsedLevelsAreSubtotals="1" fieldPosition="0"/>
    </format>
    <format dxfId="263">
      <pivotArea field="1" type="button" dataOnly="0" labelOnly="1" outline="0" axis="axisRow" fieldPosition="0"/>
    </format>
    <format dxfId="262">
      <pivotArea dataOnly="0" labelOnly="1" outline="0" fieldPosition="0">
        <references count="1">
          <reference field="4294967294" count="5">
            <x v="0"/>
            <x v="1"/>
            <x v="2"/>
            <x v="3"/>
            <x v="4"/>
          </reference>
        </references>
      </pivotArea>
    </format>
    <format dxfId="261">
      <pivotArea field="1" type="button" dataOnly="0" labelOnly="1" outline="0" axis="axisRow" fieldPosition="0"/>
    </format>
    <format dxfId="260">
      <pivotArea dataOnly="0" labelOnly="1" outline="0" fieldPosition="0">
        <references count="1">
          <reference field="4294967294" count="5">
            <x v="0"/>
            <x v="1"/>
            <x v="2"/>
            <x v="3"/>
            <x v="4"/>
          </reference>
        </references>
      </pivotArea>
    </format>
    <format dxfId="259">
      <pivotArea field="1" type="button" dataOnly="0" labelOnly="1" outline="0" axis="axisRow" fieldPosition="0"/>
    </format>
    <format dxfId="258">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96D2D22-D8B7-452A-A8AF-6949E1A9A02B}"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H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6">
    <i>
      <x/>
    </i>
    <i i="1">
      <x v="1"/>
    </i>
    <i i="2">
      <x v="2"/>
    </i>
    <i i="3">
      <x v="3"/>
    </i>
    <i i="4">
      <x v="4"/>
    </i>
    <i i="5">
      <x v="5"/>
    </i>
  </colItems>
  <dataFields count="6">
    <dataField name=" Q1 - The Guidance addresses the challenges" fld="96" baseField="1" baseItem="0"/>
    <dataField name=" Q1 - The Guidance does not address the challenges" fld="97" baseField="1" baseItem="0"/>
    <dataField name=" Q1 - Mixed views on the Guidance addressing the challenges" fld="98" baseField="1" baseItem="0"/>
    <dataField name=" Q1 - No comment" fld="101" baseField="1" baseItem="0"/>
    <dataField name=" Q1 - Other comments and recommendations" fld="99" baseField="1" baseItem="0"/>
    <dataField name=" Q1 - Comments on Diagram 10" fld="100" baseField="1" baseItem="0"/>
  </dataFields>
  <formats count="17">
    <format dxfId="223">
      <pivotArea type="all" dataOnly="0" outline="0" fieldPosition="0"/>
    </format>
    <format dxfId="222">
      <pivotArea outline="0" collapsedLevelsAreSubtotals="1" fieldPosition="0"/>
    </format>
    <format dxfId="221">
      <pivotArea field="1" type="button" dataOnly="0" labelOnly="1" outline="0" axis="axisRow" fieldPosition="0"/>
    </format>
    <format dxfId="220">
      <pivotArea dataOnly="0" labelOnly="1" fieldPosition="0">
        <references count="1">
          <reference field="1" count="0"/>
        </references>
      </pivotArea>
    </format>
    <format dxfId="219">
      <pivotArea dataOnly="0" labelOnly="1" grandRow="1" outline="0" fieldPosition="0"/>
    </format>
    <format dxfId="218">
      <pivotArea type="all" dataOnly="0" outline="0" fieldPosition="0"/>
    </format>
    <format dxfId="217">
      <pivotArea outline="0" collapsedLevelsAreSubtotals="1" fieldPosition="0"/>
    </format>
    <format dxfId="216">
      <pivotArea field="1" type="button" dataOnly="0" labelOnly="1" outline="0" axis="axisRow" fieldPosition="0"/>
    </format>
    <format dxfId="215">
      <pivotArea dataOnly="0" labelOnly="1" fieldPosition="0">
        <references count="1">
          <reference field="1" count="0"/>
        </references>
      </pivotArea>
    </format>
    <format dxfId="214">
      <pivotArea dataOnly="0" labelOnly="1" grandRow="1" outline="0" fieldPosition="0"/>
    </format>
    <format dxfId="213">
      <pivotArea outline="0" collapsedLevelsAreSubtotals="1" fieldPosition="0"/>
    </format>
    <format dxfId="212">
      <pivotArea field="1" type="button" dataOnly="0" labelOnly="1" outline="0" axis="axisRow" fieldPosition="0"/>
    </format>
    <format dxfId="211">
      <pivotArea dataOnly="0" labelOnly="1" outline="0" fieldPosition="0">
        <references count="1">
          <reference field="4294967294" count="6">
            <x v="0"/>
            <x v="1"/>
            <x v="2"/>
            <x v="3"/>
            <x v="4"/>
            <x v="5"/>
          </reference>
        </references>
      </pivotArea>
    </format>
    <format dxfId="210">
      <pivotArea field="1" type="button" dataOnly="0" labelOnly="1" outline="0" axis="axisRow" fieldPosition="0"/>
    </format>
    <format dxfId="209">
      <pivotArea dataOnly="0" labelOnly="1" outline="0" fieldPosition="0">
        <references count="1">
          <reference field="4294967294" count="6">
            <x v="0"/>
            <x v="1"/>
            <x v="2"/>
            <x v="3"/>
            <x v="4"/>
            <x v="5"/>
          </reference>
        </references>
      </pivotArea>
    </format>
    <format dxfId="208">
      <pivotArea field="1" type="button" dataOnly="0" labelOnly="1" outline="0" axis="axisRow" fieldPosition="0"/>
    </format>
    <format dxfId="207">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3CA2E2A-EAED-4D5B-A6F3-F966CD673F16}"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9:P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2 - The Guidance is structured in a way that is easy to understand" fld="102" baseField="1" baseItem="0"/>
    <dataField name=" Q2- The Guidance is not structured in a way that is easy to understand" fld="103" baseField="1" baseItem="0"/>
    <dataField name="Sum of 09.2.3 Q2 - Mixed views on the structure of the Guidance" fld="104" baseField="0" baseItem="0"/>
    <dataField name="Sum of 09.2.5 Q2 - No comment" fld="106" baseField="0" baseItem="0"/>
    <dataField name="Sum of 09.2.4 Q2 - Other comments and recommendations" fld="105" baseField="0" baseItem="0"/>
  </dataFields>
  <formats count="17">
    <format dxfId="240">
      <pivotArea type="all" dataOnly="0" outline="0" fieldPosition="0"/>
    </format>
    <format dxfId="239">
      <pivotArea outline="0" collapsedLevelsAreSubtotals="1" fieldPosition="0"/>
    </format>
    <format dxfId="238">
      <pivotArea field="1" type="button" dataOnly="0" labelOnly="1" outline="0" axis="axisRow" fieldPosition="0"/>
    </format>
    <format dxfId="237">
      <pivotArea dataOnly="0" labelOnly="1" fieldPosition="0">
        <references count="1">
          <reference field="1" count="0"/>
        </references>
      </pivotArea>
    </format>
    <format dxfId="236">
      <pivotArea dataOnly="0" labelOnly="1" grandRow="1" outline="0" fieldPosition="0"/>
    </format>
    <format dxfId="235">
      <pivotArea type="all" dataOnly="0" outline="0" fieldPosition="0"/>
    </format>
    <format dxfId="234">
      <pivotArea outline="0" collapsedLevelsAreSubtotals="1" fieldPosition="0"/>
    </format>
    <format dxfId="233">
      <pivotArea field="1" type="button" dataOnly="0" labelOnly="1" outline="0" axis="axisRow" fieldPosition="0"/>
    </format>
    <format dxfId="232">
      <pivotArea dataOnly="0" labelOnly="1" fieldPosition="0">
        <references count="1">
          <reference field="1" count="0"/>
        </references>
      </pivotArea>
    </format>
    <format dxfId="231">
      <pivotArea dataOnly="0" labelOnly="1" grandRow="1" outline="0" fieldPosition="0"/>
    </format>
    <format dxfId="230">
      <pivotArea outline="0" collapsedLevelsAreSubtotals="1" fieldPosition="0"/>
    </format>
    <format dxfId="229">
      <pivotArea field="1" type="button" dataOnly="0" labelOnly="1" outline="0" axis="axisRow" fieldPosition="0"/>
    </format>
    <format dxfId="228">
      <pivotArea dataOnly="0" labelOnly="1" outline="0" fieldPosition="0">
        <references count="1">
          <reference field="4294967294" count="5">
            <x v="0"/>
            <x v="1"/>
            <x v="2"/>
            <x v="3"/>
            <x v="4"/>
          </reference>
        </references>
      </pivotArea>
    </format>
    <format dxfId="227">
      <pivotArea field="1" type="button" dataOnly="0" labelOnly="1" outline="0" axis="axisRow" fieldPosition="0"/>
    </format>
    <format dxfId="226">
      <pivotArea dataOnly="0" labelOnly="1" outline="0" fieldPosition="0">
        <references count="1">
          <reference field="4294967294" count="5">
            <x v="0"/>
            <x v="1"/>
            <x v="2"/>
            <x v="3"/>
            <x v="4"/>
          </reference>
        </references>
      </pivotArea>
    </format>
    <format dxfId="225">
      <pivotArea field="1" type="button" dataOnly="0" labelOnly="1" outline="0" axis="axisRow" fieldPosition="0"/>
    </format>
    <format dxfId="224">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83790DD-36A2-4B7B-9067-790A956D06BC}" name="PivotTable2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G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1 - The Guidance addresses the challenges" fld="107" baseField="1" baseItem="0"/>
    <dataField name=" Q1 - The Guidance does not address the challenges" fld="108" baseField="1" baseItem="0"/>
    <dataField name=" Q1 - Mixed views on the Guidance addressing the challenges" fld="109" baseField="1" baseItem="0"/>
    <dataField name=" Q1 - No comment" fld="111" baseField="1" baseItem="0"/>
    <dataField name=" Q1 - Other Comments and Recommendations" fld="110" baseField="1" baseItem="0"/>
  </dataFields>
  <formats count="17">
    <format dxfId="189">
      <pivotArea type="all" dataOnly="0" outline="0" fieldPosition="0"/>
    </format>
    <format dxfId="188">
      <pivotArea outline="0" collapsedLevelsAreSubtotals="1" fieldPosition="0"/>
    </format>
    <format dxfId="187">
      <pivotArea field="1" type="button" dataOnly="0" labelOnly="1" outline="0" axis="axisRow" fieldPosition="0"/>
    </format>
    <format dxfId="186">
      <pivotArea dataOnly="0" labelOnly="1" fieldPosition="0">
        <references count="1">
          <reference field="1" count="0"/>
        </references>
      </pivotArea>
    </format>
    <format dxfId="185">
      <pivotArea dataOnly="0" labelOnly="1" grandRow="1" outline="0" fieldPosition="0"/>
    </format>
    <format dxfId="184">
      <pivotArea type="all" dataOnly="0" outline="0" fieldPosition="0"/>
    </format>
    <format dxfId="183">
      <pivotArea outline="0" collapsedLevelsAreSubtotals="1" fieldPosition="0"/>
    </format>
    <format dxfId="182">
      <pivotArea field="1" type="button" dataOnly="0" labelOnly="1" outline="0" axis="axisRow" fieldPosition="0"/>
    </format>
    <format dxfId="181">
      <pivotArea dataOnly="0" labelOnly="1" fieldPosition="0">
        <references count="1">
          <reference field="1" count="0"/>
        </references>
      </pivotArea>
    </format>
    <format dxfId="180">
      <pivotArea dataOnly="0" labelOnly="1" grandRow="1" outline="0" fieldPosition="0"/>
    </format>
    <format dxfId="179">
      <pivotArea outline="0" collapsedLevelsAreSubtotals="1" fieldPosition="0"/>
    </format>
    <format dxfId="178">
      <pivotArea field="1" type="button" dataOnly="0" labelOnly="1" outline="0" axis="axisRow" fieldPosition="0"/>
    </format>
    <format dxfId="177">
      <pivotArea dataOnly="0" labelOnly="1" outline="0" fieldPosition="0">
        <references count="1">
          <reference field="4294967294" count="5">
            <x v="0"/>
            <x v="1"/>
            <x v="2"/>
            <x v="3"/>
            <x v="4"/>
          </reference>
        </references>
      </pivotArea>
    </format>
    <format dxfId="176">
      <pivotArea field="1" type="button" dataOnly="0" labelOnly="1" outline="0" axis="axisRow" fieldPosition="0"/>
    </format>
    <format dxfId="175">
      <pivotArea dataOnly="0" labelOnly="1" outline="0" fieldPosition="0">
        <references count="1">
          <reference field="4294967294" count="5">
            <x v="0"/>
            <x v="1"/>
            <x v="2"/>
            <x v="3"/>
            <x v="4"/>
          </reference>
        </references>
      </pivotArea>
    </format>
    <format dxfId="174">
      <pivotArea field="1" type="button" dataOnly="0" labelOnly="1" outline="0" axis="axisRow" fieldPosition="0"/>
    </format>
    <format dxfId="173">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59F5798-3B1D-4ECC-A2CB-15249D16A699}"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9:O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2 - The Guidance is structured in a way that is easy to understand" fld="112" baseField="1" baseItem="0"/>
    <dataField name=" Q2 - The Guidance is not structured in a way that is easy to understand" fld="113" baseField="1" baseItem="0"/>
    <dataField name=" Q2 - Mixed views on the structure of the Guidance" fld="114" baseField="1" baseItem="0"/>
    <dataField name=" Q2 - No comment" fld="116" baseField="1" baseItem="0"/>
    <dataField name=" Q2 - Other comments and recommendations" fld="115" baseField="1" baseItem="0"/>
  </dataFields>
  <formats count="17">
    <format dxfId="206">
      <pivotArea type="all" dataOnly="0" outline="0" fieldPosition="0"/>
    </format>
    <format dxfId="205">
      <pivotArea outline="0" collapsedLevelsAreSubtotals="1" fieldPosition="0"/>
    </format>
    <format dxfId="204">
      <pivotArea field="1" type="button" dataOnly="0" labelOnly="1" outline="0" axis="axisRow" fieldPosition="0"/>
    </format>
    <format dxfId="203">
      <pivotArea dataOnly="0" labelOnly="1" fieldPosition="0">
        <references count="1">
          <reference field="1" count="0"/>
        </references>
      </pivotArea>
    </format>
    <format dxfId="202">
      <pivotArea dataOnly="0" labelOnly="1" grandRow="1" outline="0" fieldPosition="0"/>
    </format>
    <format dxfId="201">
      <pivotArea type="all" dataOnly="0" outline="0" fieldPosition="0"/>
    </format>
    <format dxfId="200">
      <pivotArea outline="0" collapsedLevelsAreSubtotals="1" fieldPosition="0"/>
    </format>
    <format dxfId="199">
      <pivotArea field="1" type="button" dataOnly="0" labelOnly="1" outline="0" axis="axisRow" fieldPosition="0"/>
    </format>
    <format dxfId="198">
      <pivotArea dataOnly="0" labelOnly="1" fieldPosition="0">
        <references count="1">
          <reference field="1" count="0"/>
        </references>
      </pivotArea>
    </format>
    <format dxfId="197">
      <pivotArea dataOnly="0" labelOnly="1" grandRow="1" outline="0" fieldPosition="0"/>
    </format>
    <format dxfId="196">
      <pivotArea outline="0" collapsedLevelsAreSubtotals="1" fieldPosition="0"/>
    </format>
    <format dxfId="195">
      <pivotArea field="1" type="button" dataOnly="0" labelOnly="1" outline="0" axis="axisRow" fieldPosition="0"/>
    </format>
    <format dxfId="194">
      <pivotArea dataOnly="0" labelOnly="1" outline="0" fieldPosition="0">
        <references count="1">
          <reference field="4294967294" count="5">
            <x v="0"/>
            <x v="1"/>
            <x v="2"/>
            <x v="3"/>
            <x v="4"/>
          </reference>
        </references>
      </pivotArea>
    </format>
    <format dxfId="193">
      <pivotArea field="1" type="button" dataOnly="0" labelOnly="1" outline="0" axis="axisRow" fieldPosition="0"/>
    </format>
    <format dxfId="192">
      <pivotArea dataOnly="0" labelOnly="1" outline="0" fieldPosition="0">
        <references count="1">
          <reference field="4294967294" count="5">
            <x v="0"/>
            <x v="1"/>
            <x v="2"/>
            <x v="3"/>
            <x v="4"/>
          </reference>
        </references>
      </pivotArea>
    </format>
    <format dxfId="191">
      <pivotArea field="1" type="button" dataOnly="0" labelOnly="1" outline="0" axis="axisRow" fieldPosition="0"/>
    </format>
    <format dxfId="190">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0EB1D41-E5B2-46EA-ACC7-04297E85EBFC}"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9:O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2 - The Guidance is structured in a way that is easy to understand" fld="122" baseField="1" baseItem="0"/>
    <dataField name=" Q2 - The Guidance is not structured in a way that is easy to understand" fld="123" baseField="1" baseItem="0"/>
    <dataField name=" Q2 - Mixed views on the structure of the Guidance" fld="124" baseField="1" baseItem="0"/>
    <dataField name=" Q2 - No comment" fld="126" baseField="1" baseItem="0"/>
    <dataField name=" Q2 - Other comments and recommendations" fld="125" baseField="1" baseItem="0"/>
  </dataFields>
  <formats count="17">
    <format dxfId="155">
      <pivotArea type="all" dataOnly="0" outline="0" fieldPosition="0"/>
    </format>
    <format dxfId="154">
      <pivotArea outline="0" collapsedLevelsAreSubtotals="1" fieldPosition="0"/>
    </format>
    <format dxfId="153">
      <pivotArea field="1" type="button" dataOnly="0" labelOnly="1" outline="0" axis="axisRow" fieldPosition="0"/>
    </format>
    <format dxfId="152">
      <pivotArea dataOnly="0" labelOnly="1" fieldPosition="0">
        <references count="1">
          <reference field="1" count="0"/>
        </references>
      </pivotArea>
    </format>
    <format dxfId="151">
      <pivotArea dataOnly="0" labelOnly="1" grandRow="1" outline="0" fieldPosition="0"/>
    </format>
    <format dxfId="150">
      <pivotArea type="all" dataOnly="0" outline="0" fieldPosition="0"/>
    </format>
    <format dxfId="149">
      <pivotArea outline="0" collapsedLevelsAreSubtotals="1" fieldPosition="0"/>
    </format>
    <format dxfId="148">
      <pivotArea field="1" type="button" dataOnly="0" labelOnly="1" outline="0" axis="axisRow" fieldPosition="0"/>
    </format>
    <format dxfId="147">
      <pivotArea dataOnly="0" labelOnly="1" fieldPosition="0">
        <references count="1">
          <reference field="1" count="0"/>
        </references>
      </pivotArea>
    </format>
    <format dxfId="146">
      <pivotArea dataOnly="0" labelOnly="1" grandRow="1" outline="0" fieldPosition="0"/>
    </format>
    <format dxfId="145">
      <pivotArea outline="0" collapsedLevelsAreSubtotals="1" fieldPosition="0"/>
    </format>
    <format dxfId="144">
      <pivotArea field="1" type="button" dataOnly="0" labelOnly="1" outline="0" axis="axisRow" fieldPosition="0"/>
    </format>
    <format dxfId="143">
      <pivotArea dataOnly="0" labelOnly="1" outline="0" fieldPosition="0">
        <references count="1">
          <reference field="4294967294" count="5">
            <x v="0"/>
            <x v="1"/>
            <x v="2"/>
            <x v="3"/>
            <x v="4"/>
          </reference>
        </references>
      </pivotArea>
    </format>
    <format dxfId="142">
      <pivotArea field="1" type="button" dataOnly="0" labelOnly="1" outline="0" axis="axisRow" fieldPosition="0"/>
    </format>
    <format dxfId="141">
      <pivotArea dataOnly="0" labelOnly="1" outline="0" fieldPosition="0">
        <references count="1">
          <reference field="4294967294" count="5">
            <x v="0"/>
            <x v="1"/>
            <x v="2"/>
            <x v="3"/>
            <x v="4"/>
          </reference>
        </references>
      </pivotArea>
    </format>
    <format dxfId="140">
      <pivotArea field="1" type="button" dataOnly="0" labelOnly="1" outline="0" axis="axisRow" fieldPosition="0"/>
    </format>
    <format dxfId="139">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99C133B-CED2-44F1-8FC3-85F68067E504}"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G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1 - The Guidance addresses the challenges" fld="117" baseField="1" baseItem="0"/>
    <dataField name=" Q1 - The Guidance does not address the challenges" fld="118" baseField="1" baseItem="0"/>
    <dataField name=" Q1 - Mixed views on the Guidance addressing the challenges" fld="119" baseField="1" baseItem="0"/>
    <dataField name=" Q1 - No comment" fld="121" baseField="1" baseItem="0"/>
    <dataField name=" Q1 - Other comments and recommendations" fld="120" baseField="1" baseItem="0"/>
  </dataFields>
  <formats count="17">
    <format dxfId="172">
      <pivotArea type="all" dataOnly="0" outline="0" fieldPosition="0"/>
    </format>
    <format dxfId="171">
      <pivotArea outline="0" collapsedLevelsAreSubtotals="1" fieldPosition="0"/>
    </format>
    <format dxfId="170">
      <pivotArea field="1" type="button" dataOnly="0" labelOnly="1" outline="0" axis="axisRow" fieldPosition="0"/>
    </format>
    <format dxfId="169">
      <pivotArea dataOnly="0" labelOnly="1" fieldPosition="0">
        <references count="1">
          <reference field="1" count="0"/>
        </references>
      </pivotArea>
    </format>
    <format dxfId="168">
      <pivotArea dataOnly="0" labelOnly="1" grandRow="1" outline="0" fieldPosition="0"/>
    </format>
    <format dxfId="167">
      <pivotArea type="all" dataOnly="0" outline="0" fieldPosition="0"/>
    </format>
    <format dxfId="166">
      <pivotArea outline="0" collapsedLevelsAreSubtotals="1" fieldPosition="0"/>
    </format>
    <format dxfId="165">
      <pivotArea field="1" type="button" dataOnly="0" labelOnly="1" outline="0" axis="axisRow" fieldPosition="0"/>
    </format>
    <format dxfId="164">
      <pivotArea dataOnly="0" labelOnly="1" fieldPosition="0">
        <references count="1">
          <reference field="1" count="0"/>
        </references>
      </pivotArea>
    </format>
    <format dxfId="163">
      <pivotArea dataOnly="0" labelOnly="1" grandRow="1" outline="0" fieldPosition="0"/>
    </format>
    <format dxfId="162">
      <pivotArea outline="0" collapsedLevelsAreSubtotals="1" fieldPosition="0"/>
    </format>
    <format dxfId="161">
      <pivotArea field="1" type="button" dataOnly="0" labelOnly="1" outline="0" axis="axisRow" fieldPosition="0"/>
    </format>
    <format dxfId="160">
      <pivotArea dataOnly="0" labelOnly="1" outline="0" fieldPosition="0">
        <references count="1">
          <reference field="4294967294" count="5">
            <x v="0"/>
            <x v="1"/>
            <x v="2"/>
            <x v="3"/>
            <x v="4"/>
          </reference>
        </references>
      </pivotArea>
    </format>
    <format dxfId="159">
      <pivotArea field="1" type="button" dataOnly="0" labelOnly="1" outline="0" axis="axisRow" fieldPosition="0"/>
    </format>
    <format dxfId="158">
      <pivotArea dataOnly="0" labelOnly="1" outline="0" fieldPosition="0">
        <references count="1">
          <reference field="4294967294" count="5">
            <x v="0"/>
            <x v="1"/>
            <x v="2"/>
            <x v="3"/>
            <x v="4"/>
          </reference>
        </references>
      </pivotArea>
    </format>
    <format dxfId="157">
      <pivotArea field="1" type="button" dataOnly="0" labelOnly="1" outline="0" axis="axisRow" fieldPosition="0"/>
    </format>
    <format dxfId="156">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CD62040-9E06-4892-9E9F-FFEFCFF0ED44}" name="PivotTable2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G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Sum of 12.1.1 Q1 - The Guidance addresses the challenges" fld="127" baseField="0" baseItem="0"/>
    <dataField name="Sum of 12.1.2 Q1 - The Guidance does not address the challenges" fld="128" baseField="0" baseItem="0"/>
    <dataField name="Sum of 12.1.3 Q1 - Mixed views on the Guidance addressing the challenges" fld="129" baseField="0" baseItem="0"/>
    <dataField name=" Q1 - No comment" fld="131" baseField="1" baseItem="0"/>
    <dataField name=" Q1 - Other comments and recommendations" fld="130" baseField="1" baseItem="0"/>
  </dataFields>
  <formats count="17">
    <format dxfId="121">
      <pivotArea type="all" dataOnly="0" outline="0" fieldPosition="0"/>
    </format>
    <format dxfId="120">
      <pivotArea outline="0" collapsedLevelsAreSubtotals="1" fieldPosition="0"/>
    </format>
    <format dxfId="119">
      <pivotArea field="1" type="button" dataOnly="0" labelOnly="1" outline="0" axis="axisRow" fieldPosition="0"/>
    </format>
    <format dxfId="118">
      <pivotArea dataOnly="0" labelOnly="1" fieldPosition="0">
        <references count="1">
          <reference field="1" count="0"/>
        </references>
      </pivotArea>
    </format>
    <format dxfId="117">
      <pivotArea dataOnly="0" labelOnly="1" grandRow="1" outline="0" fieldPosition="0"/>
    </format>
    <format dxfId="116">
      <pivotArea type="all" dataOnly="0" outline="0" fieldPosition="0"/>
    </format>
    <format dxfId="115">
      <pivotArea outline="0" collapsedLevelsAreSubtotals="1" fieldPosition="0"/>
    </format>
    <format dxfId="114">
      <pivotArea field="1" type="button" dataOnly="0" labelOnly="1" outline="0" axis="axisRow" fieldPosition="0"/>
    </format>
    <format dxfId="113">
      <pivotArea dataOnly="0" labelOnly="1" fieldPosition="0">
        <references count="1">
          <reference field="1" count="0"/>
        </references>
      </pivotArea>
    </format>
    <format dxfId="112">
      <pivotArea dataOnly="0" labelOnly="1" grandRow="1" outline="0" fieldPosition="0"/>
    </format>
    <format dxfId="111">
      <pivotArea outline="0" collapsedLevelsAreSubtotals="1" fieldPosition="0"/>
    </format>
    <format dxfId="110">
      <pivotArea field="1" type="button" dataOnly="0" labelOnly="1" outline="0" axis="axisRow" fieldPosition="0"/>
    </format>
    <format dxfId="109">
      <pivotArea dataOnly="0" labelOnly="1" outline="0" fieldPosition="0">
        <references count="1">
          <reference field="4294967294" count="5">
            <x v="0"/>
            <x v="1"/>
            <x v="2"/>
            <x v="3"/>
            <x v="4"/>
          </reference>
        </references>
      </pivotArea>
    </format>
    <format dxfId="108">
      <pivotArea field="1" type="button" dataOnly="0" labelOnly="1" outline="0" axis="axisRow" fieldPosition="0"/>
    </format>
    <format dxfId="107">
      <pivotArea dataOnly="0" labelOnly="1" outline="0" fieldPosition="0">
        <references count="1">
          <reference field="4294967294" count="5">
            <x v="0"/>
            <x v="1"/>
            <x v="2"/>
            <x v="3"/>
            <x v="4"/>
          </reference>
        </references>
      </pivotArea>
    </format>
    <format dxfId="106">
      <pivotArea field="1" type="button" dataOnly="0" labelOnly="1" outline="0" axis="axisRow" fieldPosition="0"/>
    </format>
    <format dxfId="105">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F0486A9-22C5-467A-98C0-C279F754D0D1}" name="PivotTable2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9:O16"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Q2 - The Guidance is structured in a way that is easy to understand" fld="132" baseField="1" baseItem="0"/>
    <dataField name=" Q2 - The Guidance is not structured in a way that is easy to understand" fld="133" baseField="1" baseItem="0"/>
    <dataField name=" Q2 - Mixed views on the structure of the Guidance" fld="134" baseField="1" baseItem="0"/>
    <dataField name=" Q2 - No comment" fld="136" baseField="1" baseItem="0"/>
    <dataField name=" Q2 - Other comments and recommendations" fld="135" baseField="1" baseItem="0"/>
  </dataFields>
  <formats count="17">
    <format dxfId="138">
      <pivotArea type="all" dataOnly="0" outline="0" fieldPosition="0"/>
    </format>
    <format dxfId="137">
      <pivotArea outline="0" collapsedLevelsAreSubtotals="1" fieldPosition="0"/>
    </format>
    <format dxfId="136">
      <pivotArea field="1" type="button" dataOnly="0" labelOnly="1" outline="0" axis="axisRow" fieldPosition="0"/>
    </format>
    <format dxfId="135">
      <pivotArea dataOnly="0" labelOnly="1" fieldPosition="0">
        <references count="1">
          <reference field="1" count="0"/>
        </references>
      </pivotArea>
    </format>
    <format dxfId="134">
      <pivotArea dataOnly="0" labelOnly="1" grandRow="1" outline="0" fieldPosition="0"/>
    </format>
    <format dxfId="133">
      <pivotArea type="all" dataOnly="0" outline="0" fieldPosition="0"/>
    </format>
    <format dxfId="132">
      <pivotArea outline="0" collapsedLevelsAreSubtotals="1" fieldPosition="0"/>
    </format>
    <format dxfId="131">
      <pivotArea field="1" type="button" dataOnly="0" labelOnly="1" outline="0" axis="axisRow" fieldPosition="0"/>
    </format>
    <format dxfId="130">
      <pivotArea dataOnly="0" labelOnly="1" fieldPosition="0">
        <references count="1">
          <reference field="1" count="0"/>
        </references>
      </pivotArea>
    </format>
    <format dxfId="129">
      <pivotArea dataOnly="0" labelOnly="1" grandRow="1" outline="0" fieldPosition="0"/>
    </format>
    <format dxfId="128">
      <pivotArea outline="0" collapsedLevelsAreSubtotals="1" fieldPosition="0"/>
    </format>
    <format dxfId="127">
      <pivotArea field="1" type="button" dataOnly="0" labelOnly="1" outline="0" axis="axisRow" fieldPosition="0"/>
    </format>
    <format dxfId="126">
      <pivotArea dataOnly="0" labelOnly="1" outline="0" fieldPosition="0">
        <references count="1">
          <reference field="4294967294" count="5">
            <x v="0"/>
            <x v="1"/>
            <x v="2"/>
            <x v="3"/>
            <x v="4"/>
          </reference>
        </references>
      </pivotArea>
    </format>
    <format dxfId="125">
      <pivotArea field="1" type="button" dataOnly="0" labelOnly="1" outline="0" axis="axisRow" fieldPosition="0"/>
    </format>
    <format dxfId="124">
      <pivotArea dataOnly="0" labelOnly="1" outline="0" fieldPosition="0">
        <references count="1">
          <reference field="4294967294" count="5">
            <x v="0"/>
            <x v="1"/>
            <x v="2"/>
            <x v="3"/>
            <x v="4"/>
          </reference>
        </references>
      </pivotArea>
    </format>
    <format dxfId="123">
      <pivotArea field="1" type="button" dataOnly="0" labelOnly="1" outline="0" axis="axisRow" fieldPosition="0"/>
    </format>
    <format dxfId="122">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46638C5-058A-46B7-88E8-3631E3845A8E}" name="PivotTable2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8:F15"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4">
    <i>
      <x/>
    </i>
    <i i="1">
      <x v="1"/>
    </i>
    <i i="2">
      <x v="2"/>
    </i>
    <i i="3">
      <x v="3"/>
    </i>
  </colItems>
  <dataFields count="4">
    <dataField name=" Supportive comments" fld="137" baseField="1" baseItem="0"/>
    <dataField name=" Improvements required" fld="138" baseField="1" baseItem="0"/>
    <dataField name=" No particular view" fld="139" baseField="1" baseItem="0"/>
    <dataField name=" Not supported" fld="140" baseField="1" baseItem="0"/>
  </dataFields>
  <formats count="17">
    <format dxfId="87">
      <pivotArea type="all" dataOnly="0" outline="0" fieldPosition="0"/>
    </format>
    <format dxfId="86">
      <pivotArea outline="0" collapsedLevelsAreSubtotals="1" fieldPosition="0"/>
    </format>
    <format dxfId="85">
      <pivotArea field="1" type="button" dataOnly="0" labelOnly="1" outline="0" axis="axisRow" fieldPosition="0"/>
    </format>
    <format dxfId="84">
      <pivotArea dataOnly="0" labelOnly="1" fieldPosition="0">
        <references count="1">
          <reference field="1" count="0"/>
        </references>
      </pivotArea>
    </format>
    <format dxfId="83">
      <pivotArea dataOnly="0" labelOnly="1" grandRow="1" outline="0" fieldPosition="0"/>
    </format>
    <format dxfId="82">
      <pivotArea type="all" dataOnly="0" outline="0" fieldPosition="0"/>
    </format>
    <format dxfId="81">
      <pivotArea outline="0" collapsedLevelsAreSubtotals="1" fieldPosition="0"/>
    </format>
    <format dxfId="80">
      <pivotArea field="1" type="button" dataOnly="0" labelOnly="1" outline="0" axis="axisRow" fieldPosition="0"/>
    </format>
    <format dxfId="79">
      <pivotArea dataOnly="0" labelOnly="1" fieldPosition="0">
        <references count="1">
          <reference field="1" count="0"/>
        </references>
      </pivotArea>
    </format>
    <format dxfId="78">
      <pivotArea dataOnly="0" labelOnly="1" grandRow="1" outline="0" fieldPosition="0"/>
    </format>
    <format dxfId="77">
      <pivotArea outline="0" collapsedLevelsAreSubtotals="1" fieldPosition="0"/>
    </format>
    <format dxfId="76">
      <pivotArea field="1" type="button" dataOnly="0" labelOnly="1" outline="0" axis="axisRow" fieldPosition="0"/>
    </format>
    <format dxfId="75">
      <pivotArea dataOnly="0" labelOnly="1" outline="0" fieldPosition="0">
        <references count="1">
          <reference field="4294967294" count="4">
            <x v="0"/>
            <x v="1"/>
            <x v="2"/>
            <x v="3"/>
          </reference>
        </references>
      </pivotArea>
    </format>
    <format dxfId="74">
      <pivotArea field="1" type="button" dataOnly="0" labelOnly="1" outline="0" axis="axisRow" fieldPosition="0"/>
    </format>
    <format dxfId="73">
      <pivotArea dataOnly="0" labelOnly="1" outline="0" fieldPosition="0">
        <references count="1">
          <reference field="4294967294" count="4">
            <x v="0"/>
            <x v="1"/>
            <x v="2"/>
            <x v="3"/>
          </reference>
        </references>
      </pivotArea>
    </format>
    <format dxfId="72">
      <pivotArea field="1" type="button" dataOnly="0" labelOnly="1" outline="0" axis="axisRow" fieldPosition="0"/>
    </format>
    <format dxfId="71">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06F612F-E961-464C-81CC-B6B8AE6311FE}" name="PivotTable2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8:M15"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4">
    <i>
      <x/>
    </i>
    <i i="1">
      <x v="1"/>
    </i>
    <i i="2">
      <x v="2"/>
    </i>
    <i i="3">
      <x v="3"/>
    </i>
  </colItems>
  <dataFields count="4">
    <dataField name=" Supportive comments" fld="141" baseField="1" baseItem="0"/>
    <dataField name=" Improvements required" fld="142" baseField="1" baseItem="0"/>
    <dataField name=" No particular view" fld="143" baseField="1" baseItem="0"/>
    <dataField name=" Suggestions for new examples" fld="144" baseField="1" baseItem="0"/>
  </dataFields>
  <formats count="17">
    <format dxfId="104">
      <pivotArea type="all" dataOnly="0" outline="0" fieldPosition="0"/>
    </format>
    <format dxfId="103">
      <pivotArea outline="0" collapsedLevelsAreSubtotals="1" fieldPosition="0"/>
    </format>
    <format dxfId="102">
      <pivotArea field="1" type="button" dataOnly="0" labelOnly="1" outline="0" axis="axisRow" fieldPosition="0"/>
    </format>
    <format dxfId="101">
      <pivotArea dataOnly="0" labelOnly="1" fieldPosition="0">
        <references count="1">
          <reference field="1" count="0"/>
        </references>
      </pivotArea>
    </format>
    <format dxfId="100">
      <pivotArea dataOnly="0" labelOnly="1" grandRow="1" outline="0" fieldPosition="0"/>
    </format>
    <format dxfId="99">
      <pivotArea type="all" dataOnly="0" outline="0" fieldPosition="0"/>
    </format>
    <format dxfId="98">
      <pivotArea outline="0" collapsedLevelsAreSubtotals="1" fieldPosition="0"/>
    </format>
    <format dxfId="97">
      <pivotArea field="1" type="button" dataOnly="0" labelOnly="1" outline="0" axis="axisRow" fieldPosition="0"/>
    </format>
    <format dxfId="96">
      <pivotArea dataOnly="0" labelOnly="1" fieldPosition="0">
        <references count="1">
          <reference field="1" count="0"/>
        </references>
      </pivotArea>
    </format>
    <format dxfId="95">
      <pivotArea dataOnly="0" labelOnly="1" grandRow="1" outline="0" fieldPosition="0"/>
    </format>
    <format dxfId="94">
      <pivotArea outline="0" collapsedLevelsAreSubtotals="1" fieldPosition="0"/>
    </format>
    <format dxfId="93">
      <pivotArea field="1" type="button" dataOnly="0" labelOnly="1" outline="0" axis="axisRow" fieldPosition="0"/>
    </format>
    <format dxfId="92">
      <pivotArea dataOnly="0" labelOnly="1" outline="0" fieldPosition="0">
        <references count="1">
          <reference field="4294967294" count="4">
            <x v="0"/>
            <x v="1"/>
            <x v="2"/>
            <x v="3"/>
          </reference>
        </references>
      </pivotArea>
    </format>
    <format dxfId="91">
      <pivotArea field="1" type="button" dataOnly="0" labelOnly="1" outline="0" axis="axisRow" fieldPosition="0"/>
    </format>
    <format dxfId="90">
      <pivotArea dataOnly="0" labelOnly="1" outline="0" fieldPosition="0">
        <references count="1">
          <reference field="4294967294" count="4">
            <x v="0"/>
            <x v="1"/>
            <x v="2"/>
            <x v="3"/>
          </reference>
        </references>
      </pivotArea>
    </format>
    <format dxfId="89">
      <pivotArea field="1" type="button" dataOnly="0" labelOnly="1" outline="0" axis="axisRow" fieldPosition="0"/>
    </format>
    <format dxfId="88">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DAE3BB6-8FD9-4955-9EF9-34B325E8E341}" name="PivotTable2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8:M15"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3">
    <i>
      <x/>
    </i>
    <i i="1">
      <x v="1"/>
    </i>
    <i i="2">
      <x v="2"/>
    </i>
  </colItems>
  <dataFields count="3">
    <dataField name=" Foresee difficulties" fld="150" baseField="1" baseItem="0"/>
    <dataField name=" Do not foresee difficulties" fld="151" baseField="1" baseItem="0"/>
    <dataField name=" No particular view" fld="152" baseField="1" baseItem="0"/>
  </dataFields>
  <formats count="18">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grandRow="1" outline="0" fieldPosition="0"/>
    </format>
    <format dxfId="26">
      <pivotArea field="1" type="button" dataOnly="0" labelOnly="1" outline="0" axis="axisRow" fieldPosition="0"/>
    </format>
    <format dxfId="25">
      <pivotArea outline="0" collapsedLevelsAreSubtotals="1" fieldPosition="0"/>
    </format>
    <format dxfId="24">
      <pivotArea field="1" type="button" dataOnly="0" labelOnly="1" outline="0" axis="axisRow" fieldPosition="0"/>
    </format>
    <format dxfId="23">
      <pivotArea field="1" type="button" dataOnly="0" labelOnly="1" outline="0" axis="axisRow" fieldPosition="0"/>
    </format>
    <format dxfId="22">
      <pivotArea type="all" dataOnly="0" outline="0" fieldPosition="0"/>
    </format>
    <format dxfId="21">
      <pivotArea outline="0" collapsedLevelsAreSubtotals="1" fieldPosition="0"/>
    </format>
    <format dxfId="20">
      <pivotArea field="1" type="button" dataOnly="0" labelOnly="1" outline="0" axis="axisRow" fieldPosition="0"/>
    </format>
    <format dxfId="19">
      <pivotArea dataOnly="0" labelOnly="1" fieldPosition="0">
        <references count="1">
          <reference field="1" count="0"/>
        </references>
      </pivotArea>
    </format>
    <format dxfId="18">
      <pivotArea dataOnly="0" labelOnly="1" grandRow="1" outline="0" fieldPosition="0"/>
    </format>
    <format dxfId="17">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91B2CB9-0057-4982-8681-2223B12C0873}" name="PivotTable2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8:G15"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5">
    <i>
      <x/>
    </i>
    <i i="1">
      <x v="1"/>
    </i>
    <i i="2">
      <x v="2"/>
    </i>
    <i i="3">
      <x v="3"/>
    </i>
    <i i="4">
      <x v="4"/>
    </i>
  </colItems>
  <dataFields count="5">
    <dataField name=" Prepareres of EER reports" fld="145" baseField="1" baseItem="0"/>
    <dataField name=" Users of EER reports" fld="146" baseField="1" baseItem="0"/>
    <dataField name=" Public Sector" fld="147" baseField="1" baseItem="0"/>
    <dataField name=" Other" fld="148" baseField="1" baseItem="0"/>
    <dataField name=" No particular view" fld="149" baseField="1" baseItem="0"/>
  </dataFields>
  <formats count="18">
    <format dxfId="52">
      <pivotArea type="all" dataOnly="0" outline="0" fieldPosition="0"/>
    </format>
    <format dxfId="51">
      <pivotArea outline="0" collapsedLevelsAreSubtotals="1" fieldPosition="0"/>
    </format>
    <format dxfId="50">
      <pivotArea field="1" type="button" dataOnly="0" labelOnly="1" outline="0" axis="axisRow" fieldPosition="0"/>
    </format>
    <format dxfId="49">
      <pivotArea type="all" dataOnly="0" outline="0" fieldPosition="0"/>
    </format>
    <format dxfId="48">
      <pivotArea outline="0" collapsedLevelsAreSubtotals="1" fieldPosition="0"/>
    </format>
    <format dxfId="47">
      <pivotArea field="1" type="button" dataOnly="0" labelOnly="1" outline="0" axis="axisRow" fieldPosition="0"/>
    </format>
    <format dxfId="46">
      <pivotArea dataOnly="0" labelOnly="1" fieldPosition="0">
        <references count="1">
          <reference field="1" count="0"/>
        </references>
      </pivotArea>
    </format>
    <format dxfId="45">
      <pivotArea dataOnly="0" labelOnly="1" grandRow="1" outline="0" fieldPosition="0"/>
    </format>
    <format dxfId="44">
      <pivotArea field="1" type="button" dataOnly="0" labelOnly="1" outline="0" axis="axisRow" fieldPosition="0"/>
    </format>
    <format dxfId="43">
      <pivotArea outline="0" collapsedLevelsAreSubtotals="1" fieldPosition="0"/>
    </format>
    <format dxfId="42">
      <pivotArea field="1" type="button" dataOnly="0" labelOnly="1" outline="0" axis="axisRow" fieldPosition="0"/>
    </format>
    <format dxfId="41">
      <pivotArea field="1" type="button" dataOnly="0" labelOnly="1" outline="0" axis="axisRow" fieldPosition="0"/>
    </format>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grandRow="1" outline="0" fieldPosition="0"/>
    </format>
    <format dxfId="35">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9D521A4-2B1C-48D5-BA14-871D68AD7D3E}" name="PivotTable3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8:S15"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i>
    <i>
      <x v="1"/>
    </i>
    <i>
      <x v="2"/>
    </i>
    <i>
      <x v="3"/>
    </i>
    <i>
      <x v="4"/>
    </i>
    <i>
      <x v="5"/>
    </i>
    <i t="grand">
      <x/>
    </i>
  </rowItems>
  <colFields count="1">
    <field x="-2"/>
  </colFields>
  <colItems count="3">
    <i>
      <x/>
    </i>
    <i i="1">
      <x v="1"/>
    </i>
    <i i="2">
      <x v="2"/>
    </i>
  </colItems>
  <dataFields count="3">
    <dataField name=" Foresee difficulties" fld="153" baseField="1" baseItem="0"/>
    <dataField name=" Do not foresee difficulties" fld="154" baseField="1" baseItem="0"/>
    <dataField name=" No particular view" fld="155" baseField="1" baseItem="0"/>
  </dataFields>
  <formats count="18">
    <format dxfId="70">
      <pivotArea type="all" dataOnly="0" outline="0" fieldPosition="0"/>
    </format>
    <format dxfId="69">
      <pivotArea outline="0" collapsedLevelsAreSubtotals="1" fieldPosition="0"/>
    </format>
    <format dxfId="68">
      <pivotArea field="1" type="button" dataOnly="0" labelOnly="1" outline="0" axis="axisRow" fieldPosition="0"/>
    </format>
    <format dxfId="67">
      <pivotArea type="all" dataOnly="0" outline="0" fieldPosition="0"/>
    </format>
    <format dxfId="66">
      <pivotArea outline="0" collapsedLevelsAreSubtotals="1" fieldPosition="0"/>
    </format>
    <format dxfId="65">
      <pivotArea field="1" type="button" dataOnly="0" labelOnly="1" outline="0" axis="axisRow" fieldPosition="0"/>
    </format>
    <format dxfId="64">
      <pivotArea dataOnly="0" labelOnly="1" fieldPosition="0">
        <references count="1">
          <reference field="1" count="0"/>
        </references>
      </pivotArea>
    </format>
    <format dxfId="63">
      <pivotArea dataOnly="0" labelOnly="1" grandRow="1" outline="0" fieldPosition="0"/>
    </format>
    <format dxfId="62">
      <pivotArea field="1" type="button" dataOnly="0" labelOnly="1" outline="0" axis="axisRow" fieldPosition="0"/>
    </format>
    <format dxfId="61">
      <pivotArea outline="0" collapsedLevelsAreSubtotals="1" fieldPosition="0"/>
    </format>
    <format dxfId="60">
      <pivotArea field="1" type="button" dataOnly="0" labelOnly="1" outline="0" axis="axisRow" fieldPosition="0"/>
    </format>
    <format dxfId="59">
      <pivotArea field="1" type="button" dataOnly="0" labelOnly="1" outline="0" axis="axisRow" fieldPosition="0"/>
    </format>
    <format dxfId="58">
      <pivotArea type="all" dataOnly="0" outline="0" fieldPosition="0"/>
    </format>
    <format dxfId="57">
      <pivotArea outline="0" collapsedLevelsAreSubtotals="1" fieldPosition="0"/>
    </format>
    <format dxfId="56">
      <pivotArea field="1" type="button" dataOnly="0" labelOnly="1" outline="0" axis="axisRow" fieldPosition="0"/>
    </format>
    <format dxfId="55">
      <pivotArea dataOnly="0" labelOnly="1" fieldPosition="0">
        <references count="1">
          <reference field="1" count="0"/>
        </references>
      </pivotArea>
    </format>
    <format dxfId="54">
      <pivotArea dataOnly="0" labelOnly="1" grandRow="1" outline="0" fieldPosition="0"/>
    </format>
    <format dxfId="53">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E8699ED-B761-4CCA-A6E8-4C33ABA21D84}" name="PivotTable3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6:R13" firstHeaderRow="0" firstDataRow="1" firstDataCol="1"/>
  <pivotFields count="172">
    <pivotField showAll="0"/>
    <pivotField axis="axisRow" showAll="0">
      <items count="7">
        <item sd="0" x="5"/>
        <item sd="0" x="2"/>
        <item sd="0" x="3"/>
        <item sd="0" x="1"/>
        <item sd="0" x="0"/>
        <item sd="0" x="4"/>
        <item t="default"/>
      </items>
    </pivotField>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1"/>
    <field x="3"/>
  </rowFields>
  <rowItems count="7">
    <i>
      <x/>
    </i>
    <i>
      <x v="1"/>
    </i>
    <i>
      <x v="2"/>
    </i>
    <i>
      <x v="3"/>
    </i>
    <i>
      <x v="4"/>
    </i>
    <i>
      <x v="5"/>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name=" Integrated Reporting or TCFD" fld="156" baseField="1" baseItem="0"/>
    <dataField name=" Limited vs Reasonable" fld="164" baseField="1" baseItem="0"/>
    <dataField name=" Professional skepticism" fld="165" baseField="1" baseItem="0"/>
    <dataField name=" Structural comments including hyperlinking" fld="166" baseField="1" baseItem="0"/>
    <dataField name=" Length of Guidance" fld="167" baseField="1" baseItem="0"/>
    <dataField name=" Terminology and use of language" fld="168" baseField="1" baseItem="0"/>
    <dataField name=" Need for Guidance or aspects  to be an evolving document" fld="169" baseField="1" baseItem="0"/>
    <dataField name=" Need for further examples or point about 'considerations' boxes" fld="170" baseField="1" baseItem="0"/>
    <dataField name=" EER Guidance audience" fld="171" baseField="1" baseItem="0"/>
    <dataField name=" Maturity assessments" fld="157" baseField="1" baseItem="0"/>
    <dataField name=" Multilocation engagements" fld="158" baseField="1" baseItem="0"/>
    <dataField name=" Appendices" fld="159" baseField="1" baseItem="0"/>
    <dataField name=" Postive comments" fld="160" baseField="1" baseItem="0"/>
    <dataField name=" Qualitative EER information" fld="161" baseField="1" baseItem="0"/>
    <dataField name=" Monitoring and post-implementation review" fld="162" baseField="1" baseItem="0"/>
    <dataField name=" Other individual comments not related to a particular question" fld="163" baseField="1" baseItem="0"/>
  </dataFields>
  <formats count="17">
    <format dxfId="16">
      <pivotArea type="all" dataOnly="0" outline="0" fieldPosition="0"/>
    </format>
    <format dxfId="15">
      <pivotArea outline="0" collapsedLevelsAreSubtotals="1" fieldPosition="0"/>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grandRow="1" outline="0" fieldPosition="0"/>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outline="0" collapsedLevelsAreSubtotals="1" fieldPosition="0"/>
    </format>
    <format dxfId="5">
      <pivotArea field="1" type="button" dataOnly="0" labelOnly="1" outline="0" axis="axisRow" fieldPosition="0"/>
    </format>
    <format dxfId="4">
      <pivotArea dataOnly="0" labelOnly="1" outline="0" fieldPosition="0">
        <references count="1">
          <reference field="4294967294" count="16">
            <x v="0"/>
            <x v="1"/>
            <x v="2"/>
            <x v="3"/>
            <x v="4"/>
            <x v="5"/>
            <x v="6"/>
            <x v="7"/>
            <x v="8"/>
            <x v="9"/>
            <x v="10"/>
            <x v="11"/>
            <x v="12"/>
            <x v="13"/>
            <x v="14"/>
            <x v="15"/>
          </reference>
        </references>
      </pivotArea>
    </format>
    <format dxfId="3">
      <pivotArea field="1" type="button" dataOnly="0" labelOnly="1" outline="0" axis="axisRow" fieldPosition="0"/>
    </format>
    <format dxfId="2">
      <pivotArea dataOnly="0" labelOnly="1" outline="0" fieldPosition="0">
        <references count="1">
          <reference field="4294967294" count="16">
            <x v="0"/>
            <x v="1"/>
            <x v="2"/>
            <x v="3"/>
            <x v="4"/>
            <x v="5"/>
            <x v="6"/>
            <x v="7"/>
            <x v="8"/>
            <x v="9"/>
            <x v="10"/>
            <x v="11"/>
            <x v="12"/>
            <x v="13"/>
            <x v="14"/>
            <x v="15"/>
          </reference>
        </references>
      </pivotArea>
    </format>
    <format dxfId="1">
      <pivotArea field="1" type="button" dataOnly="0" labelOnly="1" outline="0" axis="axisRow" fieldPosition="0"/>
    </format>
    <format dxfId="0">
      <pivotArea dataOnly="0" labelOnly="1" outline="0" fieldPosition="0">
        <references count="1">
          <reference field="4294967294" count="16">
            <x v="0"/>
            <x v="1"/>
            <x v="2"/>
            <x v="3"/>
            <x v="4"/>
            <x v="5"/>
            <x v="6"/>
            <x v="7"/>
            <x v="8"/>
            <x v="9"/>
            <x v="10"/>
            <x v="11"/>
            <x v="12"/>
            <x v="13"/>
            <x v="14"/>
            <x v="1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ivotTable" Target="../pivotTables/pivotTable23.xml"/><Relationship Id="rId1" Type="http://schemas.openxmlformats.org/officeDocument/2006/relationships/pivotTable" Target="../pivotTables/pivotTable22.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ivotTable" Target="../pivotTables/pivotTable25.xml"/><Relationship Id="rId1" Type="http://schemas.openxmlformats.org/officeDocument/2006/relationships/pivotTable" Target="../pivotTables/pivotTable24.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ivotTable" Target="../pivotTables/pivotTable27.xml"/><Relationship Id="rId1" Type="http://schemas.openxmlformats.org/officeDocument/2006/relationships/pivotTable" Target="../pivotTables/pivotTable26.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30.xml"/><Relationship Id="rId2" Type="http://schemas.openxmlformats.org/officeDocument/2006/relationships/pivotTable" Target="../pivotTables/pivotTable29.xml"/><Relationship Id="rId1" Type="http://schemas.openxmlformats.org/officeDocument/2006/relationships/pivotTable" Target="../pivotTables/pivotTable28.xml"/><Relationship Id="rId4"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3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4B78D-DF2D-49DF-AFA7-E3C5BBCE03DF}">
  <dimension ref="A1:H15"/>
  <sheetViews>
    <sheetView view="pageBreakPreview" zoomScale="90" zoomScaleNormal="80" zoomScaleSheetLayoutView="90" workbookViewId="0">
      <selection activeCell="F14" sqref="F14"/>
    </sheetView>
  </sheetViews>
  <sheetFormatPr defaultRowHeight="14.25" x14ac:dyDescent="0.2"/>
  <cols>
    <col min="1" max="1" width="55" style="18" bestFit="1" customWidth="1"/>
    <col min="2" max="2" width="22.42578125" style="18" bestFit="1" customWidth="1"/>
    <col min="3" max="3" width="26" style="18" bestFit="1" customWidth="1"/>
    <col min="4" max="4" width="27.140625" style="18" bestFit="1" customWidth="1"/>
    <col min="5" max="5" width="27.42578125" style="18" bestFit="1" customWidth="1"/>
    <col min="6" max="6" width="18.7109375" style="18" customWidth="1"/>
    <col min="7" max="16384" width="9.140625" style="18"/>
  </cols>
  <sheetData>
    <row r="1" spans="1:8" x14ac:dyDescent="0.2">
      <c r="A1" s="41" t="s">
        <v>274</v>
      </c>
      <c r="B1" s="41"/>
      <c r="C1" s="41"/>
      <c r="D1" s="41"/>
      <c r="E1" s="41"/>
      <c r="F1" s="8"/>
      <c r="H1" s="16"/>
    </row>
    <row r="2" spans="1:8" ht="20.25" x14ac:dyDescent="0.3">
      <c r="A2" s="13" t="s">
        <v>275</v>
      </c>
      <c r="E2" s="21" t="s">
        <v>276</v>
      </c>
      <c r="F2" s="21"/>
      <c r="G2" s="20"/>
    </row>
    <row r="5" spans="1:8" ht="15" x14ac:dyDescent="0.25">
      <c r="A5" s="22" t="s">
        <v>291</v>
      </c>
      <c r="B5" s="23">
        <f>B14/$F$14</f>
        <v>4.6511627906976744E-2</v>
      </c>
      <c r="C5" s="23">
        <f t="shared" ref="C5:E5" si="0">C14/$F$14</f>
        <v>0</v>
      </c>
      <c r="D5" s="23">
        <f t="shared" si="0"/>
        <v>0.16279069767441862</v>
      </c>
      <c r="E5" s="23">
        <f t="shared" si="0"/>
        <v>0.79069767441860461</v>
      </c>
      <c r="F5" s="31">
        <f>SUM(B5:E5)</f>
        <v>1</v>
      </c>
    </row>
    <row r="6" spans="1:8" ht="15" thickBot="1" x14ac:dyDescent="0.25"/>
    <row r="7" spans="1:8" s="17" customFormat="1" x14ac:dyDescent="0.2">
      <c r="A7" s="33" t="s">
        <v>272</v>
      </c>
      <c r="B7" s="34" t="s">
        <v>277</v>
      </c>
      <c r="C7" s="34" t="s">
        <v>278</v>
      </c>
      <c r="D7" s="34" t="s">
        <v>279</v>
      </c>
      <c r="E7" s="34" t="s">
        <v>280</v>
      </c>
      <c r="F7" s="15" t="s">
        <v>63</v>
      </c>
    </row>
    <row r="8" spans="1:8" x14ac:dyDescent="0.2">
      <c r="A8" s="35" t="s">
        <v>53</v>
      </c>
      <c r="B8" s="36">
        <v>0</v>
      </c>
      <c r="C8" s="36">
        <v>0</v>
      </c>
      <c r="D8" s="36">
        <v>0</v>
      </c>
      <c r="E8" s="36">
        <v>1</v>
      </c>
      <c r="F8" s="11">
        <f>SUM(B8:E8)</f>
        <v>1</v>
      </c>
    </row>
    <row r="9" spans="1:8" x14ac:dyDescent="0.2">
      <c r="A9" s="35" t="s">
        <v>54</v>
      </c>
      <c r="B9" s="36">
        <v>0</v>
      </c>
      <c r="C9" s="36">
        <v>0</v>
      </c>
      <c r="D9" s="36">
        <v>4</v>
      </c>
      <c r="E9" s="36">
        <v>3</v>
      </c>
      <c r="F9" s="11">
        <f t="shared" ref="F9:F13" si="1">SUM(B9:E9)</f>
        <v>7</v>
      </c>
    </row>
    <row r="10" spans="1:8" x14ac:dyDescent="0.2">
      <c r="A10" s="35" t="s">
        <v>55</v>
      </c>
      <c r="B10" s="36">
        <v>1</v>
      </c>
      <c r="C10" s="36">
        <v>0</v>
      </c>
      <c r="D10" s="36">
        <v>1</v>
      </c>
      <c r="E10" s="36">
        <v>6</v>
      </c>
      <c r="F10" s="11">
        <f t="shared" si="1"/>
        <v>8</v>
      </c>
    </row>
    <row r="11" spans="1:8" x14ac:dyDescent="0.2">
      <c r="A11" s="35" t="s">
        <v>56</v>
      </c>
      <c r="B11" s="36">
        <v>0</v>
      </c>
      <c r="C11" s="36">
        <v>0</v>
      </c>
      <c r="D11" s="36">
        <v>0</v>
      </c>
      <c r="E11" s="36">
        <v>4</v>
      </c>
      <c r="F11" s="11">
        <f t="shared" si="1"/>
        <v>4</v>
      </c>
    </row>
    <row r="12" spans="1:8" x14ac:dyDescent="0.2">
      <c r="A12" s="35" t="s">
        <v>57</v>
      </c>
      <c r="B12" s="36">
        <v>1</v>
      </c>
      <c r="C12" s="36">
        <v>0</v>
      </c>
      <c r="D12" s="36">
        <v>2</v>
      </c>
      <c r="E12" s="36">
        <v>19</v>
      </c>
      <c r="F12" s="11">
        <f t="shared" si="1"/>
        <v>22</v>
      </c>
    </row>
    <row r="13" spans="1:8" x14ac:dyDescent="0.2">
      <c r="A13" s="35" t="s">
        <v>58</v>
      </c>
      <c r="B13" s="36">
        <v>0</v>
      </c>
      <c r="C13" s="36">
        <v>0</v>
      </c>
      <c r="D13" s="36">
        <v>0</v>
      </c>
      <c r="E13" s="36">
        <v>1</v>
      </c>
      <c r="F13" s="11">
        <f t="shared" si="1"/>
        <v>1</v>
      </c>
    </row>
    <row r="14" spans="1:8" ht="15" thickBot="1" x14ac:dyDescent="0.25">
      <c r="A14" s="27" t="s">
        <v>273</v>
      </c>
      <c r="B14" s="28">
        <v>2</v>
      </c>
      <c r="C14" s="28">
        <v>0</v>
      </c>
      <c r="D14" s="28">
        <v>7</v>
      </c>
      <c r="E14" s="28">
        <v>34</v>
      </c>
      <c r="F14" s="32">
        <f>SUM(F8:F13)</f>
        <v>43</v>
      </c>
    </row>
    <row r="15" spans="1:8" ht="15" x14ac:dyDescent="0.25">
      <c r="A15"/>
      <c r="B15"/>
      <c r="C15"/>
      <c r="D15"/>
      <c r="E15"/>
      <c r="F15" s="5"/>
    </row>
  </sheetData>
  <mergeCells count="1">
    <mergeCell ref="A1:E1"/>
  </mergeCells>
  <pageMargins left="0.7" right="0.7" top="0.75" bottom="0.75" header="0.3" footer="0.3"/>
  <pageSetup scale="4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88FB9-0E4A-4789-9633-8277EF7CA62C}">
  <dimension ref="A1:R22"/>
  <sheetViews>
    <sheetView view="pageBreakPreview" zoomScale="90" zoomScaleNormal="80" zoomScaleSheetLayoutView="90" workbookViewId="0">
      <selection activeCell="B27" sqref="B27"/>
    </sheetView>
  </sheetViews>
  <sheetFormatPr defaultRowHeight="15" x14ac:dyDescent="0.25"/>
  <cols>
    <col min="1" max="1" width="3.28515625" style="5" customWidth="1"/>
    <col min="2" max="2" width="55" bestFit="1" customWidth="1"/>
    <col min="3" max="3" width="28.7109375" bestFit="1" customWidth="1"/>
    <col min="4" max="4" width="27.28515625" bestFit="1" customWidth="1"/>
    <col min="5" max="5" width="24" bestFit="1" customWidth="1"/>
    <col min="6" max="6" width="17.42578125" bestFit="1" customWidth="1"/>
    <col min="7" max="7" width="25.28515625" bestFit="1" customWidth="1"/>
    <col min="8" max="9" width="28.5703125" bestFit="1" customWidth="1"/>
    <col min="10" max="10" width="15" customWidth="1"/>
    <col min="11" max="11" width="3.85546875" customWidth="1"/>
    <col min="12" max="12" width="55" bestFit="1" customWidth="1"/>
    <col min="13" max="13" width="34.85546875" bestFit="1" customWidth="1"/>
    <col min="14" max="14" width="47" bestFit="1" customWidth="1"/>
    <col min="15" max="15" width="32.42578125" bestFit="1" customWidth="1"/>
    <col min="16" max="16" width="17.42578125" bestFit="1" customWidth="1"/>
    <col min="17" max="17" width="25.28515625" bestFit="1" customWidth="1"/>
    <col min="18" max="18" width="14.85546875" customWidth="1"/>
    <col min="19" max="19" width="6.7109375" customWidth="1"/>
  </cols>
  <sheetData>
    <row r="1" spans="2:18" s="5" customFormat="1" x14ac:dyDescent="0.25">
      <c r="B1" s="41" t="s">
        <v>274</v>
      </c>
      <c r="C1" s="41"/>
      <c r="D1" s="41"/>
      <c r="E1" s="41"/>
      <c r="F1" s="41"/>
      <c r="G1" s="41"/>
      <c r="H1" s="41"/>
      <c r="I1" s="41"/>
      <c r="J1" s="41"/>
    </row>
    <row r="2" spans="2:18" s="5" customFormat="1" ht="20.25" x14ac:dyDescent="0.3">
      <c r="B2" s="13" t="s">
        <v>275</v>
      </c>
      <c r="C2" s="18"/>
      <c r="D2" s="18"/>
      <c r="E2" s="18"/>
      <c r="J2" s="21" t="s">
        <v>288</v>
      </c>
    </row>
    <row r="3" spans="2:18" s="9" customFormat="1" ht="12.75" x14ac:dyDescent="0.2"/>
    <row r="4" spans="2:18" s="9" customFormat="1" ht="42.75" customHeight="1" x14ac:dyDescent="0.2">
      <c r="B4" s="42" t="s">
        <v>289</v>
      </c>
      <c r="C4" s="43"/>
      <c r="D4" s="43"/>
      <c r="E4" s="44"/>
    </row>
    <row r="5" spans="2:18" s="9" customFormat="1" ht="44.25" customHeight="1" x14ac:dyDescent="0.2">
      <c r="B5" s="45" t="s">
        <v>290</v>
      </c>
      <c r="C5" s="46"/>
      <c r="D5" s="46"/>
      <c r="E5" s="47"/>
    </row>
    <row r="6" spans="2:18" s="9" customFormat="1" ht="12.75" x14ac:dyDescent="0.2"/>
    <row r="7" spans="2:18" s="22" customFormat="1" ht="12.75" x14ac:dyDescent="0.2">
      <c r="B7" s="22" t="s">
        <v>291</v>
      </c>
      <c r="C7" s="23">
        <f>C16/$J$16</f>
        <v>0.27906976744186046</v>
      </c>
      <c r="D7" s="23">
        <f t="shared" ref="D7:F7" si="0">D16/$J$16</f>
        <v>0</v>
      </c>
      <c r="E7" s="23">
        <f t="shared" si="0"/>
        <v>0.44186046511627908</v>
      </c>
      <c r="F7" s="23">
        <f t="shared" si="0"/>
        <v>0.27906976744186046</v>
      </c>
      <c r="J7" s="23">
        <f>SUM(C7:F7)</f>
        <v>1</v>
      </c>
      <c r="L7" s="22" t="s">
        <v>291</v>
      </c>
      <c r="M7" s="23">
        <f>M16/$J$16</f>
        <v>0.37209302325581395</v>
      </c>
      <c r="N7" s="23">
        <f t="shared" ref="N7:P7" si="1">N16/$J$16</f>
        <v>0</v>
      </c>
      <c r="O7" s="23">
        <f t="shared" si="1"/>
        <v>9.3023255813953487E-2</v>
      </c>
      <c r="P7" s="23">
        <f t="shared" si="1"/>
        <v>0.53488372093023251</v>
      </c>
      <c r="R7" s="23">
        <f>SUM(M7:P7)</f>
        <v>1</v>
      </c>
    </row>
    <row r="8" spans="2:18" s="9" customFormat="1" ht="13.5" thickBot="1" x14ac:dyDescent="0.25">
      <c r="C8" s="24" t="s">
        <v>292</v>
      </c>
      <c r="D8" s="24" t="s">
        <v>293</v>
      </c>
      <c r="E8" s="24" t="s">
        <v>294</v>
      </c>
      <c r="F8" s="24" t="s">
        <v>295</v>
      </c>
      <c r="J8" s="24" t="s">
        <v>296</v>
      </c>
      <c r="M8" s="24" t="s">
        <v>292</v>
      </c>
      <c r="N8" s="24" t="s">
        <v>293</v>
      </c>
      <c r="O8" s="24" t="s">
        <v>294</v>
      </c>
      <c r="P8" s="24" t="s">
        <v>295</v>
      </c>
      <c r="R8" s="24" t="s">
        <v>296</v>
      </c>
    </row>
    <row r="9" spans="2:18" s="14" customFormat="1" ht="38.25" x14ac:dyDescent="0.25">
      <c r="B9" s="29" t="s">
        <v>272</v>
      </c>
      <c r="C9" s="30" t="s">
        <v>281</v>
      </c>
      <c r="D9" s="30" t="s">
        <v>282</v>
      </c>
      <c r="E9" s="30" t="s">
        <v>283</v>
      </c>
      <c r="F9" s="30" t="s">
        <v>284</v>
      </c>
      <c r="G9" s="30" t="s">
        <v>285</v>
      </c>
      <c r="H9" s="30" t="s">
        <v>286</v>
      </c>
      <c r="I9" s="30" t="s">
        <v>287</v>
      </c>
      <c r="J9" s="15" t="s">
        <v>63</v>
      </c>
      <c r="L9" s="29" t="s">
        <v>272</v>
      </c>
      <c r="M9" s="30" t="s">
        <v>297</v>
      </c>
      <c r="N9" s="30" t="s">
        <v>298</v>
      </c>
      <c r="O9" s="30" t="s">
        <v>299</v>
      </c>
      <c r="P9" s="30" t="s">
        <v>300</v>
      </c>
      <c r="Q9" s="30" t="s">
        <v>301</v>
      </c>
      <c r="R9" s="15" t="s">
        <v>63</v>
      </c>
    </row>
    <row r="10" spans="2:18" s="9" customFormat="1" ht="12.75" x14ac:dyDescent="0.2">
      <c r="B10" s="27" t="s">
        <v>53</v>
      </c>
      <c r="C10" s="28">
        <v>0</v>
      </c>
      <c r="D10" s="28">
        <v>0</v>
      </c>
      <c r="E10" s="28">
        <v>1</v>
      </c>
      <c r="F10" s="28">
        <v>0</v>
      </c>
      <c r="G10" s="28">
        <v>0</v>
      </c>
      <c r="H10" s="28">
        <v>0</v>
      </c>
      <c r="I10" s="28">
        <v>0</v>
      </c>
      <c r="J10" s="11">
        <f>SUM(C10:F10)</f>
        <v>1</v>
      </c>
      <c r="L10" s="27" t="s">
        <v>53</v>
      </c>
      <c r="M10" s="28">
        <v>0</v>
      </c>
      <c r="N10" s="28">
        <v>0</v>
      </c>
      <c r="O10" s="28">
        <v>1</v>
      </c>
      <c r="P10" s="28">
        <v>0</v>
      </c>
      <c r="Q10" s="28">
        <v>0</v>
      </c>
      <c r="R10" s="11">
        <f>SUM(M10:P10)</f>
        <v>1</v>
      </c>
    </row>
    <row r="11" spans="2:18" s="9" customFormat="1" ht="12.75" x14ac:dyDescent="0.2">
      <c r="B11" s="27" t="s">
        <v>54</v>
      </c>
      <c r="C11" s="28">
        <v>0</v>
      </c>
      <c r="D11" s="28">
        <v>0</v>
      </c>
      <c r="E11" s="28">
        <v>6</v>
      </c>
      <c r="F11" s="28">
        <v>1</v>
      </c>
      <c r="G11" s="28">
        <v>1</v>
      </c>
      <c r="H11" s="28">
        <v>1</v>
      </c>
      <c r="I11" s="28">
        <v>0</v>
      </c>
      <c r="J11" s="11">
        <f t="shared" ref="J11:J15" si="2">SUM(C11:F11)</f>
        <v>7</v>
      </c>
      <c r="L11" s="27" t="s">
        <v>54</v>
      </c>
      <c r="M11" s="28">
        <v>1</v>
      </c>
      <c r="N11" s="28">
        <v>0</v>
      </c>
      <c r="O11" s="28">
        <v>1</v>
      </c>
      <c r="P11" s="28">
        <v>5</v>
      </c>
      <c r="Q11" s="28">
        <v>0</v>
      </c>
      <c r="R11" s="11">
        <f t="shared" ref="R11:R15" si="3">SUM(M11:P11)</f>
        <v>7</v>
      </c>
    </row>
    <row r="12" spans="2:18" s="9" customFormat="1" ht="12.75" x14ac:dyDescent="0.2">
      <c r="B12" s="27" t="s">
        <v>55</v>
      </c>
      <c r="C12" s="28">
        <v>2</v>
      </c>
      <c r="D12" s="28">
        <v>0</v>
      </c>
      <c r="E12" s="28">
        <v>5</v>
      </c>
      <c r="F12" s="28">
        <v>1</v>
      </c>
      <c r="G12" s="28">
        <v>0</v>
      </c>
      <c r="H12" s="28">
        <v>0</v>
      </c>
      <c r="I12" s="28">
        <v>0</v>
      </c>
      <c r="J12" s="11">
        <f t="shared" si="2"/>
        <v>8</v>
      </c>
      <c r="L12" s="27" t="s">
        <v>55</v>
      </c>
      <c r="M12" s="28">
        <v>6</v>
      </c>
      <c r="N12" s="28">
        <v>0</v>
      </c>
      <c r="O12" s="28">
        <v>0</v>
      </c>
      <c r="P12" s="28">
        <v>2</v>
      </c>
      <c r="Q12" s="28">
        <v>0</v>
      </c>
      <c r="R12" s="11">
        <f t="shared" si="3"/>
        <v>8</v>
      </c>
    </row>
    <row r="13" spans="2:18" s="9" customFormat="1" ht="12.75" x14ac:dyDescent="0.2">
      <c r="B13" s="27" t="s">
        <v>56</v>
      </c>
      <c r="C13" s="28">
        <v>2</v>
      </c>
      <c r="D13" s="28">
        <v>0</v>
      </c>
      <c r="E13" s="28">
        <v>1</v>
      </c>
      <c r="F13" s="28">
        <v>1</v>
      </c>
      <c r="G13" s="28">
        <v>0</v>
      </c>
      <c r="H13" s="28">
        <v>0</v>
      </c>
      <c r="I13" s="28">
        <v>0</v>
      </c>
      <c r="J13" s="11">
        <f t="shared" si="2"/>
        <v>4</v>
      </c>
      <c r="L13" s="27" t="s">
        <v>56</v>
      </c>
      <c r="M13" s="28">
        <v>0</v>
      </c>
      <c r="N13" s="28">
        <v>0</v>
      </c>
      <c r="O13" s="28">
        <v>2</v>
      </c>
      <c r="P13" s="28">
        <v>2</v>
      </c>
      <c r="Q13" s="28">
        <v>0</v>
      </c>
      <c r="R13" s="11">
        <f t="shared" si="3"/>
        <v>4</v>
      </c>
    </row>
    <row r="14" spans="2:18" s="9" customFormat="1" ht="12.75" x14ac:dyDescent="0.2">
      <c r="B14" s="27" t="s">
        <v>57</v>
      </c>
      <c r="C14" s="28">
        <v>8</v>
      </c>
      <c r="D14" s="28">
        <v>0</v>
      </c>
      <c r="E14" s="28">
        <v>6</v>
      </c>
      <c r="F14" s="28">
        <v>8</v>
      </c>
      <c r="G14" s="28">
        <v>2</v>
      </c>
      <c r="H14" s="28">
        <v>1</v>
      </c>
      <c r="I14" s="28">
        <v>0</v>
      </c>
      <c r="J14" s="11">
        <f t="shared" si="2"/>
        <v>22</v>
      </c>
      <c r="L14" s="27" t="s">
        <v>57</v>
      </c>
      <c r="M14" s="28">
        <v>9</v>
      </c>
      <c r="N14" s="28">
        <v>0</v>
      </c>
      <c r="O14" s="28">
        <v>0</v>
      </c>
      <c r="P14" s="28">
        <v>13</v>
      </c>
      <c r="Q14" s="28">
        <v>1</v>
      </c>
      <c r="R14" s="11">
        <f t="shared" si="3"/>
        <v>22</v>
      </c>
    </row>
    <row r="15" spans="2:18" s="9" customFormat="1" ht="12.75" x14ac:dyDescent="0.2">
      <c r="B15" s="27" t="s">
        <v>58</v>
      </c>
      <c r="C15" s="28">
        <v>0</v>
      </c>
      <c r="D15" s="28">
        <v>0</v>
      </c>
      <c r="E15" s="28">
        <v>0</v>
      </c>
      <c r="F15" s="28">
        <v>1</v>
      </c>
      <c r="G15" s="28">
        <v>0</v>
      </c>
      <c r="H15" s="28">
        <v>0</v>
      </c>
      <c r="I15" s="28">
        <v>0</v>
      </c>
      <c r="J15" s="11">
        <f t="shared" si="2"/>
        <v>1</v>
      </c>
      <c r="L15" s="27" t="s">
        <v>58</v>
      </c>
      <c r="M15" s="28">
        <v>0</v>
      </c>
      <c r="N15" s="28">
        <v>0</v>
      </c>
      <c r="O15" s="28">
        <v>0</v>
      </c>
      <c r="P15" s="28">
        <v>1</v>
      </c>
      <c r="Q15" s="28">
        <v>0</v>
      </c>
      <c r="R15" s="11">
        <f t="shared" si="3"/>
        <v>1</v>
      </c>
    </row>
    <row r="16" spans="2:18" s="9" customFormat="1" ht="13.5" thickBot="1" x14ac:dyDescent="0.25">
      <c r="B16" s="27" t="s">
        <v>273</v>
      </c>
      <c r="C16" s="28">
        <v>12</v>
      </c>
      <c r="D16" s="28">
        <v>0</v>
      </c>
      <c r="E16" s="28">
        <v>19</v>
      </c>
      <c r="F16" s="28">
        <v>12</v>
      </c>
      <c r="G16" s="28">
        <v>3</v>
      </c>
      <c r="H16" s="28">
        <v>2</v>
      </c>
      <c r="I16" s="28">
        <v>0</v>
      </c>
      <c r="J16" s="12">
        <f>SUM(J10:J15)</f>
        <v>43</v>
      </c>
      <c r="L16" s="27" t="s">
        <v>273</v>
      </c>
      <c r="M16" s="28">
        <v>16</v>
      </c>
      <c r="N16" s="28">
        <v>0</v>
      </c>
      <c r="O16" s="28">
        <v>4</v>
      </c>
      <c r="P16" s="28">
        <v>23</v>
      </c>
      <c r="Q16" s="28">
        <v>1</v>
      </c>
      <c r="R16" s="12">
        <f>SUM(R10:R15)</f>
        <v>43</v>
      </c>
    </row>
    <row r="17" s="9" customFormat="1" ht="12.75" x14ac:dyDescent="0.2"/>
    <row r="18" s="9" customFormat="1" ht="12.75" x14ac:dyDescent="0.2"/>
    <row r="19" s="9" customFormat="1" ht="12.75" x14ac:dyDescent="0.2"/>
    <row r="20" s="9" customFormat="1" ht="12.75" x14ac:dyDescent="0.2"/>
    <row r="21" s="9" customFormat="1" ht="12.75" x14ac:dyDescent="0.2"/>
    <row r="22" s="9" customFormat="1" ht="12.75" x14ac:dyDescent="0.2"/>
  </sheetData>
  <mergeCells count="3">
    <mergeCell ref="B4:E4"/>
    <mergeCell ref="B5:E5"/>
    <mergeCell ref="B1:J1"/>
  </mergeCells>
  <pageMargins left="0.7" right="0.7" top="0.75" bottom="0.75" header="0.3" footer="0.3"/>
  <pageSetup scale="32" orientation="portrait" r:id="rId3"/>
  <colBreaks count="1" manualBreakCount="1">
    <brk id="10"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28210-E391-4964-B799-A2BF0171DF35}">
  <dimension ref="A1:R17"/>
  <sheetViews>
    <sheetView view="pageBreakPreview" topLeftCell="G1" zoomScale="90" zoomScaleNormal="100" zoomScaleSheetLayoutView="90" workbookViewId="0">
      <selection activeCell="A5" sqref="A5:XFD5"/>
    </sheetView>
  </sheetViews>
  <sheetFormatPr defaultRowHeight="15" x14ac:dyDescent="0.25"/>
  <cols>
    <col min="1" max="1" width="3.140625" customWidth="1"/>
    <col min="2" max="2" width="55" bestFit="1" customWidth="1"/>
    <col min="3" max="3" width="32.140625" bestFit="1" customWidth="1"/>
    <col min="4" max="4" width="27.28515625" bestFit="1" customWidth="1"/>
    <col min="5" max="5" width="33.28515625" bestFit="1" customWidth="1"/>
    <col min="6" max="6" width="17.42578125" bestFit="1" customWidth="1"/>
    <col min="7" max="7" width="25.28515625" bestFit="1" customWidth="1"/>
    <col min="8" max="8" width="28.5703125" bestFit="1" customWidth="1"/>
    <col min="9" max="9" width="13.140625" customWidth="1"/>
    <col min="10" max="10" width="4.140625" customWidth="1"/>
    <col min="11" max="11" width="55" bestFit="1" customWidth="1"/>
    <col min="12" max="12" width="33" bestFit="1" customWidth="1"/>
    <col min="13" max="13" width="34.28515625" customWidth="1"/>
    <col min="14" max="14" width="32.42578125" bestFit="1" customWidth="1"/>
    <col min="15" max="15" width="17.42578125" bestFit="1" customWidth="1"/>
    <col min="16" max="16" width="25.28515625" bestFit="1" customWidth="1"/>
    <col min="17" max="17" width="12.28515625" bestFit="1" customWidth="1"/>
    <col min="18" max="18" width="4.85546875" customWidth="1"/>
  </cols>
  <sheetData>
    <row r="1" spans="1:18" x14ac:dyDescent="0.25">
      <c r="A1" s="5"/>
      <c r="B1" s="41" t="s">
        <v>274</v>
      </c>
      <c r="C1" s="41"/>
      <c r="D1" s="41"/>
      <c r="E1" s="41"/>
      <c r="F1" s="41"/>
      <c r="G1" s="41"/>
      <c r="H1" s="41"/>
      <c r="I1" s="41"/>
      <c r="J1" s="5"/>
      <c r="K1" s="5"/>
      <c r="L1" s="5"/>
      <c r="M1" s="5"/>
      <c r="N1" s="5"/>
      <c r="O1" s="5"/>
      <c r="P1" s="5"/>
      <c r="Q1" s="5"/>
      <c r="R1" s="5"/>
    </row>
    <row r="2" spans="1:18" ht="20.25" x14ac:dyDescent="0.3">
      <c r="A2" s="5"/>
      <c r="B2" s="13" t="s">
        <v>275</v>
      </c>
      <c r="C2" s="18"/>
      <c r="D2" s="18"/>
      <c r="E2" s="18"/>
      <c r="F2" s="5"/>
      <c r="G2" s="5"/>
      <c r="H2" s="5"/>
      <c r="I2" s="21" t="s">
        <v>310</v>
      </c>
      <c r="J2" s="5"/>
      <c r="K2" s="5"/>
      <c r="L2" s="5"/>
      <c r="M2" s="5"/>
      <c r="N2" s="5"/>
      <c r="O2" s="5"/>
      <c r="P2" s="5"/>
      <c r="Q2" s="5"/>
      <c r="R2" s="5"/>
    </row>
    <row r="3" spans="1:18" x14ac:dyDescent="0.25">
      <c r="A3" s="9"/>
      <c r="B3" s="9"/>
      <c r="C3" s="9"/>
      <c r="D3" s="9"/>
      <c r="E3" s="9"/>
      <c r="F3" s="9"/>
      <c r="G3" s="9"/>
      <c r="H3" s="9"/>
      <c r="I3" s="9"/>
      <c r="J3" s="9"/>
      <c r="K3" s="9"/>
      <c r="L3" s="9"/>
      <c r="M3" s="9"/>
      <c r="N3" s="9"/>
      <c r="O3" s="9"/>
      <c r="P3" s="9"/>
      <c r="Q3" s="9"/>
      <c r="R3" s="9"/>
    </row>
    <row r="4" spans="1:18" ht="48.75" customHeight="1" x14ac:dyDescent="0.25">
      <c r="A4" s="9"/>
      <c r="B4" s="42" t="s">
        <v>289</v>
      </c>
      <c r="C4" s="43"/>
      <c r="D4" s="43"/>
      <c r="E4" s="44"/>
      <c r="F4" s="9"/>
      <c r="G4" s="9"/>
      <c r="H4" s="9"/>
      <c r="I4" s="9"/>
      <c r="J4" s="9"/>
      <c r="K4" s="9"/>
      <c r="L4" s="9"/>
      <c r="M4" s="9"/>
      <c r="N4" s="9"/>
      <c r="O4" s="9"/>
      <c r="P4" s="9"/>
      <c r="Q4" s="9"/>
      <c r="R4" s="9"/>
    </row>
    <row r="5" spans="1:18" ht="44.25" customHeight="1" x14ac:dyDescent="0.25">
      <c r="A5" s="9"/>
      <c r="B5" s="45" t="s">
        <v>290</v>
      </c>
      <c r="C5" s="46"/>
      <c r="D5" s="46"/>
      <c r="E5" s="47"/>
      <c r="F5" s="9"/>
      <c r="G5" s="9"/>
      <c r="H5" s="9"/>
      <c r="I5" s="9"/>
      <c r="J5" s="9"/>
      <c r="K5" s="9"/>
      <c r="L5" s="9"/>
      <c r="M5" s="9"/>
      <c r="N5" s="9"/>
      <c r="O5" s="9"/>
      <c r="P5" s="9"/>
      <c r="Q5" s="9"/>
      <c r="R5" s="9"/>
    </row>
    <row r="6" spans="1:18" x14ac:dyDescent="0.25">
      <c r="A6" s="9"/>
      <c r="B6" s="9"/>
      <c r="C6" s="9"/>
      <c r="D6" s="9"/>
      <c r="E6" s="9"/>
      <c r="F6" s="9"/>
      <c r="G6" s="9"/>
      <c r="H6" s="9"/>
      <c r="I6" s="9"/>
      <c r="J6" s="9"/>
      <c r="K6" s="9"/>
      <c r="L6" s="9"/>
      <c r="M6" s="9"/>
      <c r="N6" s="9"/>
      <c r="O6" s="9"/>
      <c r="P6" s="9"/>
      <c r="Q6" s="9"/>
      <c r="R6" s="9"/>
    </row>
    <row r="7" spans="1:18" x14ac:dyDescent="0.25">
      <c r="A7" s="22"/>
      <c r="B7" s="22" t="s">
        <v>291</v>
      </c>
      <c r="C7" s="23">
        <f>C16/$I$16</f>
        <v>0.32558139534883723</v>
      </c>
      <c r="D7" s="23">
        <f>D16/$I$16</f>
        <v>0</v>
      </c>
      <c r="E7" s="23">
        <f>E16/$I$16</f>
        <v>0.32558139534883723</v>
      </c>
      <c r="F7" s="23">
        <f>F16/$I$16</f>
        <v>0.34883720930232559</v>
      </c>
      <c r="G7" s="22"/>
      <c r="H7" s="22"/>
      <c r="I7" s="23">
        <f>SUM(C7:F7)</f>
        <v>1</v>
      </c>
      <c r="J7" s="22"/>
      <c r="K7" s="22" t="s">
        <v>291</v>
      </c>
      <c r="L7" s="23">
        <f>L16/$I$16</f>
        <v>0.37209302325581395</v>
      </c>
      <c r="M7" s="23">
        <f t="shared" ref="M7:O7" si="0">M16/$I$16</f>
        <v>0</v>
      </c>
      <c r="N7" s="23">
        <f t="shared" si="0"/>
        <v>0.13953488372093023</v>
      </c>
      <c r="O7" s="23">
        <f t="shared" si="0"/>
        <v>0.48837209302325579</v>
      </c>
      <c r="P7" s="22"/>
      <c r="Q7" s="23">
        <f>SUM(L7:O7)</f>
        <v>1</v>
      </c>
      <c r="R7" s="22"/>
    </row>
    <row r="8" spans="1:18" ht="15.75" thickBot="1" x14ac:dyDescent="0.3">
      <c r="A8" s="9"/>
      <c r="B8" s="9"/>
      <c r="C8" s="24" t="s">
        <v>292</v>
      </c>
      <c r="D8" s="24" t="s">
        <v>293</v>
      </c>
      <c r="E8" s="24" t="s">
        <v>294</v>
      </c>
      <c r="F8" s="24" t="s">
        <v>295</v>
      </c>
      <c r="G8" s="9"/>
      <c r="H8" s="9"/>
      <c r="I8" s="24" t="s">
        <v>296</v>
      </c>
      <c r="J8" s="9"/>
      <c r="K8" s="9"/>
      <c r="L8" s="24" t="s">
        <v>292</v>
      </c>
      <c r="M8" s="24" t="s">
        <v>293</v>
      </c>
      <c r="N8" s="24" t="s">
        <v>294</v>
      </c>
      <c r="O8" s="24" t="s">
        <v>295</v>
      </c>
      <c r="P8" s="9"/>
      <c r="Q8" s="24" t="s">
        <v>296</v>
      </c>
      <c r="R8" s="9"/>
    </row>
    <row r="9" spans="1:18" s="6" customFormat="1" ht="42" customHeight="1" x14ac:dyDescent="0.25">
      <c r="A9" s="14"/>
      <c r="B9" s="29" t="s">
        <v>272</v>
      </c>
      <c r="C9" s="30" t="s">
        <v>281</v>
      </c>
      <c r="D9" s="30" t="s">
        <v>282</v>
      </c>
      <c r="E9" s="30" t="s">
        <v>283</v>
      </c>
      <c r="F9" s="30" t="s">
        <v>284</v>
      </c>
      <c r="G9" s="30" t="s">
        <v>285</v>
      </c>
      <c r="H9" s="30" t="s">
        <v>302</v>
      </c>
      <c r="I9" s="26" t="s">
        <v>63</v>
      </c>
      <c r="J9" s="25"/>
      <c r="K9" s="29" t="s">
        <v>272</v>
      </c>
      <c r="L9" s="30" t="s">
        <v>297</v>
      </c>
      <c r="M9" s="30" t="s">
        <v>298</v>
      </c>
      <c r="N9" s="30" t="s">
        <v>299</v>
      </c>
      <c r="O9" s="30" t="s">
        <v>300</v>
      </c>
      <c r="P9" s="30" t="s">
        <v>301</v>
      </c>
      <c r="Q9" s="15" t="s">
        <v>63</v>
      </c>
      <c r="R9" s="14"/>
    </row>
    <row r="10" spans="1:18" x14ac:dyDescent="0.25">
      <c r="A10" s="9"/>
      <c r="B10" s="27" t="s">
        <v>53</v>
      </c>
      <c r="C10" s="28">
        <v>1</v>
      </c>
      <c r="D10" s="28">
        <v>0</v>
      </c>
      <c r="E10" s="28">
        <v>0</v>
      </c>
      <c r="F10" s="28">
        <v>0</v>
      </c>
      <c r="G10" s="28">
        <v>0</v>
      </c>
      <c r="H10" s="28">
        <v>0</v>
      </c>
      <c r="I10" s="11">
        <f t="shared" ref="I10:I15" si="1">SUM(C10:F10)</f>
        <v>1</v>
      </c>
      <c r="J10" s="9"/>
      <c r="K10" s="27" t="s">
        <v>53</v>
      </c>
      <c r="L10" s="28">
        <v>0</v>
      </c>
      <c r="M10" s="28">
        <v>0</v>
      </c>
      <c r="N10" s="28">
        <v>1</v>
      </c>
      <c r="O10" s="28">
        <v>0</v>
      </c>
      <c r="P10" s="28">
        <v>0</v>
      </c>
      <c r="Q10" s="11">
        <f>SUM(L10:O10)</f>
        <v>1</v>
      </c>
      <c r="R10" s="9"/>
    </row>
    <row r="11" spans="1:18" x14ac:dyDescent="0.25">
      <c r="A11" s="9"/>
      <c r="B11" s="27" t="s">
        <v>54</v>
      </c>
      <c r="C11" s="28">
        <v>0</v>
      </c>
      <c r="D11" s="28">
        <v>0</v>
      </c>
      <c r="E11" s="28">
        <v>5</v>
      </c>
      <c r="F11" s="28">
        <v>2</v>
      </c>
      <c r="G11" s="28">
        <v>0</v>
      </c>
      <c r="H11" s="28">
        <v>3</v>
      </c>
      <c r="I11" s="11">
        <f t="shared" si="1"/>
        <v>7</v>
      </c>
      <c r="J11" s="9"/>
      <c r="K11" s="27" t="s">
        <v>54</v>
      </c>
      <c r="L11" s="28">
        <v>1</v>
      </c>
      <c r="M11" s="28">
        <v>0</v>
      </c>
      <c r="N11" s="28">
        <v>2</v>
      </c>
      <c r="O11" s="28">
        <v>4</v>
      </c>
      <c r="P11" s="28">
        <v>0</v>
      </c>
      <c r="Q11" s="11">
        <f t="shared" ref="Q11:Q15" si="2">SUM(L11:O11)</f>
        <v>7</v>
      </c>
      <c r="R11" s="9"/>
    </row>
    <row r="12" spans="1:18" x14ac:dyDescent="0.25">
      <c r="A12" s="9"/>
      <c r="B12" s="27" t="s">
        <v>55</v>
      </c>
      <c r="C12" s="28">
        <v>3</v>
      </c>
      <c r="D12" s="28">
        <v>0</v>
      </c>
      <c r="E12" s="28">
        <v>4</v>
      </c>
      <c r="F12" s="28">
        <v>1</v>
      </c>
      <c r="G12" s="28">
        <v>0</v>
      </c>
      <c r="H12" s="28">
        <v>1</v>
      </c>
      <c r="I12" s="11">
        <f t="shared" si="1"/>
        <v>8</v>
      </c>
      <c r="J12" s="9"/>
      <c r="K12" s="27" t="s">
        <v>55</v>
      </c>
      <c r="L12" s="28">
        <v>5</v>
      </c>
      <c r="M12" s="28">
        <v>0</v>
      </c>
      <c r="N12" s="28">
        <v>1</v>
      </c>
      <c r="O12" s="28">
        <v>2</v>
      </c>
      <c r="P12" s="28">
        <v>0</v>
      </c>
      <c r="Q12" s="11">
        <f t="shared" si="2"/>
        <v>8</v>
      </c>
      <c r="R12" s="9"/>
    </row>
    <row r="13" spans="1:18" x14ac:dyDescent="0.25">
      <c r="A13" s="9"/>
      <c r="B13" s="27" t="s">
        <v>56</v>
      </c>
      <c r="C13" s="28">
        <v>2</v>
      </c>
      <c r="D13" s="28">
        <v>0</v>
      </c>
      <c r="E13" s="28">
        <v>1</v>
      </c>
      <c r="F13" s="28">
        <v>1</v>
      </c>
      <c r="G13" s="28">
        <v>0</v>
      </c>
      <c r="H13" s="28">
        <v>0</v>
      </c>
      <c r="I13" s="11">
        <f t="shared" si="1"/>
        <v>4</v>
      </c>
      <c r="J13" s="9"/>
      <c r="K13" s="27" t="s">
        <v>56</v>
      </c>
      <c r="L13" s="28">
        <v>0</v>
      </c>
      <c r="M13" s="28">
        <v>0</v>
      </c>
      <c r="N13" s="28">
        <v>1</v>
      </c>
      <c r="O13" s="28">
        <v>3</v>
      </c>
      <c r="P13" s="28">
        <v>0</v>
      </c>
      <c r="Q13" s="11">
        <f t="shared" si="2"/>
        <v>4</v>
      </c>
      <c r="R13" s="9"/>
    </row>
    <row r="14" spans="1:18" x14ac:dyDescent="0.25">
      <c r="A14" s="9"/>
      <c r="B14" s="27" t="s">
        <v>57</v>
      </c>
      <c r="C14" s="28">
        <v>8</v>
      </c>
      <c r="D14" s="28">
        <v>0</v>
      </c>
      <c r="E14" s="28">
        <v>4</v>
      </c>
      <c r="F14" s="28">
        <v>10</v>
      </c>
      <c r="G14" s="28">
        <v>1</v>
      </c>
      <c r="H14" s="28">
        <v>3</v>
      </c>
      <c r="I14" s="11">
        <f t="shared" si="1"/>
        <v>22</v>
      </c>
      <c r="J14" s="9"/>
      <c r="K14" s="27" t="s">
        <v>57</v>
      </c>
      <c r="L14" s="28">
        <v>10</v>
      </c>
      <c r="M14" s="28">
        <v>0</v>
      </c>
      <c r="N14" s="28">
        <v>1</v>
      </c>
      <c r="O14" s="28">
        <v>11</v>
      </c>
      <c r="P14" s="28">
        <v>2</v>
      </c>
      <c r="Q14" s="11">
        <f t="shared" si="2"/>
        <v>22</v>
      </c>
      <c r="R14" s="9"/>
    </row>
    <row r="15" spans="1:18" x14ac:dyDescent="0.25">
      <c r="A15" s="9"/>
      <c r="B15" s="27" t="s">
        <v>58</v>
      </c>
      <c r="C15" s="28">
        <v>0</v>
      </c>
      <c r="D15" s="28">
        <v>0</v>
      </c>
      <c r="E15" s="28">
        <v>0</v>
      </c>
      <c r="F15" s="28">
        <v>1</v>
      </c>
      <c r="G15" s="28">
        <v>0</v>
      </c>
      <c r="H15" s="28">
        <v>0</v>
      </c>
      <c r="I15" s="11">
        <f t="shared" si="1"/>
        <v>1</v>
      </c>
      <c r="J15" s="9"/>
      <c r="K15" s="27" t="s">
        <v>58</v>
      </c>
      <c r="L15" s="28">
        <v>0</v>
      </c>
      <c r="M15" s="28">
        <v>0</v>
      </c>
      <c r="N15" s="28">
        <v>0</v>
      </c>
      <c r="O15" s="28">
        <v>1</v>
      </c>
      <c r="P15" s="28">
        <v>0</v>
      </c>
      <c r="Q15" s="11">
        <f t="shared" si="2"/>
        <v>1</v>
      </c>
      <c r="R15" s="9"/>
    </row>
    <row r="16" spans="1:18" ht="15.75" thickBot="1" x14ac:dyDescent="0.3">
      <c r="A16" s="9"/>
      <c r="B16" s="27" t="s">
        <v>273</v>
      </c>
      <c r="C16" s="28">
        <v>14</v>
      </c>
      <c r="D16" s="28">
        <v>0</v>
      </c>
      <c r="E16" s="28">
        <v>14</v>
      </c>
      <c r="F16" s="28">
        <v>15</v>
      </c>
      <c r="G16" s="28">
        <v>1</v>
      </c>
      <c r="H16" s="28">
        <v>7</v>
      </c>
      <c r="I16" s="12">
        <f>SUM(I10:I15)</f>
        <v>43</v>
      </c>
      <c r="J16" s="9"/>
      <c r="K16" s="27" t="s">
        <v>273</v>
      </c>
      <c r="L16" s="28">
        <v>16</v>
      </c>
      <c r="M16" s="28">
        <v>0</v>
      </c>
      <c r="N16" s="28">
        <v>6</v>
      </c>
      <c r="O16" s="28">
        <v>21</v>
      </c>
      <c r="P16" s="28">
        <v>2</v>
      </c>
      <c r="Q16" s="12">
        <f>SUM(Q10:Q15)</f>
        <v>43</v>
      </c>
      <c r="R16" s="9"/>
    </row>
    <row r="17" spans="1:18" x14ac:dyDescent="0.25">
      <c r="A17" s="9"/>
      <c r="B17" s="9"/>
      <c r="C17" s="9"/>
      <c r="D17" s="9"/>
      <c r="E17" s="9"/>
      <c r="F17" s="9"/>
      <c r="G17" s="9"/>
      <c r="H17" s="9"/>
      <c r="I17" s="9"/>
      <c r="J17" s="9"/>
      <c r="K17" s="9"/>
      <c r="L17" s="9"/>
      <c r="M17" s="9"/>
      <c r="N17" s="9"/>
      <c r="O17" s="9"/>
      <c r="P17" s="9"/>
      <c r="Q17" s="9"/>
      <c r="R17" s="9"/>
    </row>
  </sheetData>
  <mergeCells count="3">
    <mergeCell ref="B4:E4"/>
    <mergeCell ref="B5:E5"/>
    <mergeCell ref="B1:I1"/>
  </mergeCells>
  <pageMargins left="0.7" right="0.7" top="0.75" bottom="0.75" header="0.3" footer="0.3"/>
  <pageSetup scale="29" orientation="portrait" r:id="rId3"/>
  <colBreaks count="1" manualBreakCount="1">
    <brk id="9"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37137-94E2-4B8C-AAD5-D84E96305447}">
  <dimension ref="A1:R16"/>
  <sheetViews>
    <sheetView view="pageBreakPreview" zoomScale="90" zoomScaleNormal="100" zoomScaleSheetLayoutView="90" workbookViewId="0">
      <selection activeCell="G3" sqref="G3"/>
    </sheetView>
  </sheetViews>
  <sheetFormatPr defaultRowHeight="15" x14ac:dyDescent="0.25"/>
  <cols>
    <col min="1" max="1" width="2.7109375" customWidth="1"/>
    <col min="2" max="2" width="55" bestFit="1" customWidth="1"/>
    <col min="3" max="3" width="24.85546875" bestFit="1" customWidth="1"/>
    <col min="4" max="4" width="23.7109375" bestFit="1" customWidth="1"/>
    <col min="5" max="5" width="24" bestFit="1" customWidth="1"/>
    <col min="6" max="6" width="17.42578125" bestFit="1" customWidth="1"/>
    <col min="7" max="7" width="21.28515625" bestFit="1" customWidth="1"/>
    <col min="8" max="8" width="18.42578125" bestFit="1" customWidth="1"/>
    <col min="9" max="9" width="16.7109375" customWidth="1"/>
    <col min="10" max="10" width="5.85546875" customWidth="1"/>
    <col min="11" max="11" width="55" bestFit="1" customWidth="1"/>
    <col min="12" max="13" width="24.85546875" bestFit="1" customWidth="1"/>
    <col min="14" max="14" width="24.42578125" bestFit="1" customWidth="1"/>
    <col min="15" max="15" width="17.42578125" bestFit="1" customWidth="1"/>
    <col min="16" max="16" width="21.28515625" bestFit="1" customWidth="1"/>
    <col min="17" max="17" width="12.28515625" bestFit="1" customWidth="1"/>
    <col min="18" max="18" width="5.28515625" customWidth="1"/>
  </cols>
  <sheetData>
    <row r="1" spans="1:18" x14ac:dyDescent="0.25">
      <c r="A1" s="5"/>
      <c r="B1" s="41" t="s">
        <v>274</v>
      </c>
      <c r="C1" s="41"/>
      <c r="D1" s="41"/>
      <c r="E1" s="41"/>
      <c r="F1" s="41"/>
      <c r="G1" s="41"/>
      <c r="H1" s="41"/>
      <c r="I1" s="41"/>
      <c r="J1" s="5"/>
      <c r="K1" s="5"/>
      <c r="L1" s="5"/>
      <c r="M1" s="5"/>
      <c r="N1" s="5"/>
      <c r="O1" s="5"/>
      <c r="P1" s="5"/>
      <c r="Q1" s="5"/>
      <c r="R1" s="5"/>
    </row>
    <row r="2" spans="1:18" ht="20.25" x14ac:dyDescent="0.3">
      <c r="A2" s="5"/>
      <c r="B2" s="13" t="s">
        <v>275</v>
      </c>
      <c r="C2" s="18"/>
      <c r="D2" s="18"/>
      <c r="E2" s="18"/>
      <c r="F2" s="5"/>
      <c r="G2" s="5"/>
      <c r="H2" s="5"/>
      <c r="I2" s="21" t="s">
        <v>306</v>
      </c>
      <c r="J2" s="5"/>
      <c r="K2" s="5"/>
      <c r="L2" s="5"/>
      <c r="M2" s="5"/>
      <c r="N2" s="5"/>
      <c r="O2" s="5"/>
      <c r="P2" s="5"/>
      <c r="Q2" s="5"/>
      <c r="R2" s="5"/>
    </row>
    <row r="3" spans="1:18" x14ac:dyDescent="0.25">
      <c r="A3" s="9"/>
      <c r="B3" s="9"/>
      <c r="C3" s="9"/>
      <c r="D3" s="9"/>
      <c r="E3" s="9"/>
      <c r="F3" s="9"/>
      <c r="G3" s="9"/>
      <c r="H3" s="9"/>
      <c r="I3" s="9"/>
      <c r="J3" s="9"/>
      <c r="K3" s="9"/>
      <c r="L3" s="9"/>
      <c r="M3" s="9"/>
      <c r="N3" s="9"/>
      <c r="O3" s="9"/>
      <c r="P3" s="9"/>
      <c r="Q3" s="9"/>
      <c r="R3" s="9"/>
    </row>
    <row r="4" spans="1:18" ht="43.5" customHeight="1" x14ac:dyDescent="0.25">
      <c r="A4" s="9"/>
      <c r="B4" s="42" t="s">
        <v>289</v>
      </c>
      <c r="C4" s="43"/>
      <c r="D4" s="43"/>
      <c r="E4" s="44"/>
      <c r="F4" s="9"/>
      <c r="G4" s="9"/>
      <c r="H4" s="9"/>
      <c r="I4" s="9"/>
      <c r="J4" s="9"/>
      <c r="K4" s="9"/>
      <c r="L4" s="9"/>
      <c r="M4" s="9"/>
      <c r="N4" s="9"/>
      <c r="O4" s="9"/>
      <c r="P4" s="9"/>
      <c r="Q4" s="9"/>
      <c r="R4" s="9"/>
    </row>
    <row r="5" spans="1:18" ht="44.25" customHeight="1" x14ac:dyDescent="0.25">
      <c r="A5" s="9"/>
      <c r="B5" s="45" t="s">
        <v>290</v>
      </c>
      <c r="C5" s="46"/>
      <c r="D5" s="46"/>
      <c r="E5" s="47"/>
      <c r="F5" s="9"/>
      <c r="G5" s="9"/>
      <c r="H5" s="9"/>
      <c r="I5" s="9"/>
      <c r="J5" s="9"/>
      <c r="K5" s="9"/>
      <c r="L5" s="9"/>
      <c r="M5" s="9"/>
      <c r="N5" s="9"/>
      <c r="O5" s="9"/>
      <c r="P5" s="9"/>
      <c r="Q5" s="9"/>
      <c r="R5" s="9"/>
    </row>
    <row r="6" spans="1:18" x14ac:dyDescent="0.25">
      <c r="A6" s="9"/>
      <c r="B6" s="9"/>
      <c r="C6" s="9"/>
      <c r="D6" s="9"/>
      <c r="E6" s="9"/>
      <c r="F6" s="9"/>
      <c r="G6" s="9"/>
      <c r="H6" s="9"/>
      <c r="I6" s="9"/>
      <c r="J6" s="9"/>
      <c r="K6" s="9"/>
      <c r="L6" s="9"/>
      <c r="M6" s="9"/>
      <c r="N6" s="9"/>
      <c r="O6" s="9"/>
      <c r="P6" s="9"/>
      <c r="Q6" s="9"/>
      <c r="R6" s="9"/>
    </row>
    <row r="7" spans="1:18" x14ac:dyDescent="0.25">
      <c r="A7" s="22"/>
      <c r="B7" s="22" t="s">
        <v>291</v>
      </c>
      <c r="C7" s="23">
        <f>C16/$I$16</f>
        <v>0.27906976744186046</v>
      </c>
      <c r="D7" s="23">
        <f>D16/$I$16</f>
        <v>0</v>
      </c>
      <c r="E7" s="23">
        <f>E16/$I$16</f>
        <v>0.46511627906976744</v>
      </c>
      <c r="F7" s="23">
        <f>F16/$I$16</f>
        <v>0.2558139534883721</v>
      </c>
      <c r="G7" s="22"/>
      <c r="H7" s="22"/>
      <c r="I7" s="23">
        <f>SUM(C7:F7)</f>
        <v>1</v>
      </c>
      <c r="J7" s="22"/>
      <c r="K7" s="22" t="s">
        <v>291</v>
      </c>
      <c r="L7" s="23">
        <f>L16/$I$16</f>
        <v>0.34883720930232559</v>
      </c>
      <c r="M7" s="23">
        <f t="shared" ref="M7:O7" si="0">M16/$I$16</f>
        <v>0</v>
      </c>
      <c r="N7" s="23">
        <f t="shared" si="0"/>
        <v>0.18604651162790697</v>
      </c>
      <c r="O7" s="23">
        <f t="shared" si="0"/>
        <v>0.46511627906976744</v>
      </c>
      <c r="P7" s="22"/>
      <c r="Q7" s="23">
        <f>SUM(L7:O7)</f>
        <v>1</v>
      </c>
      <c r="R7" s="22"/>
    </row>
    <row r="8" spans="1:18" ht="15.75" thickBot="1" x14ac:dyDescent="0.3">
      <c r="A8" s="9"/>
      <c r="B8" s="9"/>
      <c r="C8" s="24" t="s">
        <v>292</v>
      </c>
      <c r="D8" s="24" t="s">
        <v>293</v>
      </c>
      <c r="E8" s="24" t="s">
        <v>294</v>
      </c>
      <c r="F8" s="24" t="s">
        <v>295</v>
      </c>
      <c r="G8" s="9"/>
      <c r="H8" s="9"/>
      <c r="I8" s="24" t="s">
        <v>296</v>
      </c>
      <c r="J8" s="9"/>
      <c r="K8" s="9"/>
      <c r="L8" s="24" t="s">
        <v>292</v>
      </c>
      <c r="M8" s="24" t="s">
        <v>293</v>
      </c>
      <c r="N8" s="24" t="s">
        <v>294</v>
      </c>
      <c r="O8" s="24" t="s">
        <v>295</v>
      </c>
      <c r="P8" s="9"/>
      <c r="Q8" s="24" t="s">
        <v>296</v>
      </c>
      <c r="R8" s="9"/>
    </row>
    <row r="9" spans="1:18" s="7" customFormat="1" ht="38.25" x14ac:dyDescent="0.25">
      <c r="A9" s="14"/>
      <c r="B9" s="29" t="s">
        <v>272</v>
      </c>
      <c r="C9" s="30" t="s">
        <v>281</v>
      </c>
      <c r="D9" s="30" t="s">
        <v>282</v>
      </c>
      <c r="E9" s="30" t="s">
        <v>283</v>
      </c>
      <c r="F9" s="30" t="s">
        <v>284</v>
      </c>
      <c r="G9" s="30" t="s">
        <v>303</v>
      </c>
      <c r="H9" s="30" t="s">
        <v>304</v>
      </c>
      <c r="I9" s="26" t="s">
        <v>63</v>
      </c>
      <c r="J9" s="25"/>
      <c r="K9" s="29" t="s">
        <v>272</v>
      </c>
      <c r="L9" s="30" t="s">
        <v>297</v>
      </c>
      <c r="M9" s="30" t="s">
        <v>298</v>
      </c>
      <c r="N9" s="30" t="s">
        <v>299</v>
      </c>
      <c r="O9" s="30" t="s">
        <v>300</v>
      </c>
      <c r="P9" s="30" t="s">
        <v>305</v>
      </c>
      <c r="Q9" s="15" t="s">
        <v>63</v>
      </c>
      <c r="R9" s="14"/>
    </row>
    <row r="10" spans="1:18" x14ac:dyDescent="0.25">
      <c r="A10" s="9"/>
      <c r="B10" s="27" t="s">
        <v>53</v>
      </c>
      <c r="C10" s="28">
        <v>0</v>
      </c>
      <c r="D10" s="28">
        <v>0</v>
      </c>
      <c r="E10" s="28">
        <v>1</v>
      </c>
      <c r="F10" s="28">
        <v>0</v>
      </c>
      <c r="G10" s="28">
        <v>0</v>
      </c>
      <c r="H10" s="28">
        <v>0</v>
      </c>
      <c r="I10" s="11">
        <f t="shared" ref="I10:I15" si="1">SUM(C10:F10)</f>
        <v>1</v>
      </c>
      <c r="J10" s="9"/>
      <c r="K10" s="27" t="s">
        <v>53</v>
      </c>
      <c r="L10" s="28">
        <v>0</v>
      </c>
      <c r="M10" s="28">
        <v>0</v>
      </c>
      <c r="N10" s="28">
        <v>1</v>
      </c>
      <c r="O10" s="28">
        <v>0</v>
      </c>
      <c r="P10" s="28">
        <v>0</v>
      </c>
      <c r="Q10" s="11">
        <f>SUM(L10:O10)</f>
        <v>1</v>
      </c>
      <c r="R10" s="9"/>
    </row>
    <row r="11" spans="1:18" x14ac:dyDescent="0.25">
      <c r="A11" s="9"/>
      <c r="B11" s="27" t="s">
        <v>54</v>
      </c>
      <c r="C11" s="28">
        <v>1</v>
      </c>
      <c r="D11" s="28">
        <v>0</v>
      </c>
      <c r="E11" s="28">
        <v>5</v>
      </c>
      <c r="F11" s="28">
        <v>1</v>
      </c>
      <c r="G11" s="28">
        <v>0</v>
      </c>
      <c r="H11" s="28">
        <v>3</v>
      </c>
      <c r="I11" s="11">
        <f t="shared" si="1"/>
        <v>7</v>
      </c>
      <c r="J11" s="9"/>
      <c r="K11" s="27" t="s">
        <v>54</v>
      </c>
      <c r="L11" s="28">
        <v>1</v>
      </c>
      <c r="M11" s="28">
        <v>0</v>
      </c>
      <c r="N11" s="28">
        <v>3</v>
      </c>
      <c r="O11" s="28">
        <v>3</v>
      </c>
      <c r="P11" s="28">
        <v>0</v>
      </c>
      <c r="Q11" s="11">
        <f t="shared" ref="Q11:Q15" si="2">SUM(L11:O11)</f>
        <v>7</v>
      </c>
      <c r="R11" s="9"/>
    </row>
    <row r="12" spans="1:18" x14ac:dyDescent="0.25">
      <c r="A12" s="9"/>
      <c r="B12" s="27" t="s">
        <v>55</v>
      </c>
      <c r="C12" s="28">
        <v>2</v>
      </c>
      <c r="D12" s="28">
        <v>0</v>
      </c>
      <c r="E12" s="28">
        <v>6</v>
      </c>
      <c r="F12" s="28">
        <v>0</v>
      </c>
      <c r="G12" s="28">
        <v>0</v>
      </c>
      <c r="H12" s="28">
        <v>4</v>
      </c>
      <c r="I12" s="11">
        <f t="shared" si="1"/>
        <v>8</v>
      </c>
      <c r="J12" s="9"/>
      <c r="K12" s="27" t="s">
        <v>55</v>
      </c>
      <c r="L12" s="28">
        <v>5</v>
      </c>
      <c r="M12" s="28">
        <v>0</v>
      </c>
      <c r="N12" s="28">
        <v>2</v>
      </c>
      <c r="O12" s="28">
        <v>1</v>
      </c>
      <c r="P12" s="28">
        <v>0</v>
      </c>
      <c r="Q12" s="11">
        <f t="shared" si="2"/>
        <v>8</v>
      </c>
      <c r="R12" s="9"/>
    </row>
    <row r="13" spans="1:18" x14ac:dyDescent="0.25">
      <c r="A13" s="9"/>
      <c r="B13" s="27" t="s">
        <v>56</v>
      </c>
      <c r="C13" s="28">
        <v>2</v>
      </c>
      <c r="D13" s="28">
        <v>0</v>
      </c>
      <c r="E13" s="28">
        <v>2</v>
      </c>
      <c r="F13" s="28">
        <v>0</v>
      </c>
      <c r="G13" s="28">
        <v>0</v>
      </c>
      <c r="H13" s="28">
        <v>0</v>
      </c>
      <c r="I13" s="11">
        <f t="shared" si="1"/>
        <v>4</v>
      </c>
      <c r="J13" s="9"/>
      <c r="K13" s="27" t="s">
        <v>56</v>
      </c>
      <c r="L13" s="28">
        <v>0</v>
      </c>
      <c r="M13" s="28">
        <v>0</v>
      </c>
      <c r="N13" s="28">
        <v>2</v>
      </c>
      <c r="O13" s="28">
        <v>2</v>
      </c>
      <c r="P13" s="28">
        <v>0</v>
      </c>
      <c r="Q13" s="11">
        <f t="shared" si="2"/>
        <v>4</v>
      </c>
      <c r="R13" s="9"/>
    </row>
    <row r="14" spans="1:18" x14ac:dyDescent="0.25">
      <c r="A14" s="9"/>
      <c r="B14" s="27" t="s">
        <v>57</v>
      </c>
      <c r="C14" s="28">
        <v>7</v>
      </c>
      <c r="D14" s="28">
        <v>0</v>
      </c>
      <c r="E14" s="28">
        <v>6</v>
      </c>
      <c r="F14" s="28">
        <v>9</v>
      </c>
      <c r="G14" s="28">
        <v>3</v>
      </c>
      <c r="H14" s="28">
        <v>4</v>
      </c>
      <c r="I14" s="11">
        <f t="shared" si="1"/>
        <v>22</v>
      </c>
      <c r="J14" s="9"/>
      <c r="K14" s="27" t="s">
        <v>57</v>
      </c>
      <c r="L14" s="28">
        <v>9</v>
      </c>
      <c r="M14" s="28">
        <v>0</v>
      </c>
      <c r="N14" s="28">
        <v>0</v>
      </c>
      <c r="O14" s="28">
        <v>13</v>
      </c>
      <c r="P14" s="28">
        <v>0</v>
      </c>
      <c r="Q14" s="11">
        <f t="shared" si="2"/>
        <v>22</v>
      </c>
      <c r="R14" s="9"/>
    </row>
    <row r="15" spans="1:18" x14ac:dyDescent="0.25">
      <c r="A15" s="9"/>
      <c r="B15" s="27" t="s">
        <v>58</v>
      </c>
      <c r="C15" s="28">
        <v>0</v>
      </c>
      <c r="D15" s="28">
        <v>0</v>
      </c>
      <c r="E15" s="28">
        <v>0</v>
      </c>
      <c r="F15" s="28">
        <v>1</v>
      </c>
      <c r="G15" s="28">
        <v>0</v>
      </c>
      <c r="H15" s="28">
        <v>0</v>
      </c>
      <c r="I15" s="11">
        <f t="shared" si="1"/>
        <v>1</v>
      </c>
      <c r="J15" s="9"/>
      <c r="K15" s="27" t="s">
        <v>58</v>
      </c>
      <c r="L15" s="28">
        <v>0</v>
      </c>
      <c r="M15" s="28">
        <v>0</v>
      </c>
      <c r="N15" s="28">
        <v>0</v>
      </c>
      <c r="O15" s="28">
        <v>1</v>
      </c>
      <c r="P15" s="28">
        <v>0</v>
      </c>
      <c r="Q15" s="11">
        <f t="shared" si="2"/>
        <v>1</v>
      </c>
      <c r="R15" s="9"/>
    </row>
    <row r="16" spans="1:18" ht="15.75" thickBot="1" x14ac:dyDescent="0.3">
      <c r="A16" s="9"/>
      <c r="B16" s="27" t="s">
        <v>273</v>
      </c>
      <c r="C16" s="28">
        <v>12</v>
      </c>
      <c r="D16" s="28">
        <v>0</v>
      </c>
      <c r="E16" s="28">
        <v>20</v>
      </c>
      <c r="F16" s="28">
        <v>11</v>
      </c>
      <c r="G16" s="28">
        <v>3</v>
      </c>
      <c r="H16" s="28">
        <v>11</v>
      </c>
      <c r="I16" s="12">
        <f>SUM(I10:I15)</f>
        <v>43</v>
      </c>
      <c r="J16" s="9"/>
      <c r="K16" s="27" t="s">
        <v>273</v>
      </c>
      <c r="L16" s="28">
        <v>15</v>
      </c>
      <c r="M16" s="28">
        <v>0</v>
      </c>
      <c r="N16" s="28">
        <v>8</v>
      </c>
      <c r="O16" s="28">
        <v>20</v>
      </c>
      <c r="P16" s="28">
        <v>0</v>
      </c>
      <c r="Q16" s="12">
        <f>SUM(Q10:Q15)</f>
        <v>43</v>
      </c>
      <c r="R16" s="9"/>
    </row>
  </sheetData>
  <mergeCells count="3">
    <mergeCell ref="B1:I1"/>
    <mergeCell ref="B4:E4"/>
    <mergeCell ref="B5:E5"/>
  </mergeCells>
  <pageMargins left="0.7" right="0.7" top="0.75" bottom="0.75" header="0.3" footer="0.3"/>
  <pageSetup scale="39" orientation="portrait" r:id="rId3"/>
  <colBreaks count="1" manualBreakCount="1">
    <brk id="9"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7A562-4F14-4B68-95E6-8810597D3221}">
  <dimension ref="A1:R16"/>
  <sheetViews>
    <sheetView view="pageBreakPreview" zoomScale="90" zoomScaleNormal="100" zoomScaleSheetLayoutView="90" workbookViewId="0">
      <selection activeCell="I2" sqref="I2"/>
    </sheetView>
  </sheetViews>
  <sheetFormatPr defaultRowHeight="15" x14ac:dyDescent="0.25"/>
  <cols>
    <col min="1" max="1" width="3" customWidth="1"/>
    <col min="2" max="2" width="55" bestFit="1" customWidth="1"/>
    <col min="3" max="3" width="24.85546875" bestFit="1" customWidth="1"/>
    <col min="4" max="4" width="27.28515625" bestFit="1" customWidth="1"/>
    <col min="5" max="5" width="25.42578125" bestFit="1" customWidth="1"/>
    <col min="6" max="6" width="17.42578125" bestFit="1" customWidth="1"/>
    <col min="7" max="7" width="25.28515625" bestFit="1" customWidth="1"/>
    <col min="8" max="8" width="27" bestFit="1" customWidth="1"/>
    <col min="9" max="9" width="12.85546875" customWidth="1"/>
    <col min="10" max="10" width="5" customWidth="1"/>
    <col min="11" max="11" width="55" bestFit="1" customWidth="1"/>
    <col min="12" max="13" width="24.85546875" bestFit="1" customWidth="1"/>
    <col min="14" max="14" width="24.42578125" bestFit="1" customWidth="1"/>
    <col min="15" max="15" width="17.42578125" bestFit="1" customWidth="1"/>
    <col min="16" max="16" width="21.28515625" bestFit="1" customWidth="1"/>
    <col min="17" max="17" width="12.85546875" customWidth="1"/>
    <col min="18" max="18" width="4.5703125" customWidth="1"/>
  </cols>
  <sheetData>
    <row r="1" spans="1:18" x14ac:dyDescent="0.25">
      <c r="A1" s="5"/>
      <c r="B1" s="41" t="s">
        <v>274</v>
      </c>
      <c r="C1" s="41"/>
      <c r="D1" s="41"/>
      <c r="E1" s="41"/>
      <c r="F1" s="41"/>
      <c r="G1" s="41"/>
      <c r="H1" s="41"/>
      <c r="I1" s="41"/>
      <c r="J1" s="5"/>
      <c r="K1" s="5"/>
      <c r="L1" s="5"/>
      <c r="M1" s="5"/>
      <c r="N1" s="5"/>
      <c r="O1" s="5"/>
      <c r="P1" s="5"/>
      <c r="Q1" s="5"/>
      <c r="R1" s="5"/>
    </row>
    <row r="2" spans="1:18" ht="20.25" x14ac:dyDescent="0.3">
      <c r="A2" s="5"/>
      <c r="B2" s="13" t="s">
        <v>275</v>
      </c>
      <c r="C2" s="18"/>
      <c r="D2" s="18"/>
      <c r="E2" s="18"/>
      <c r="F2" s="5"/>
      <c r="G2" s="5"/>
      <c r="H2" s="5"/>
      <c r="I2" s="21" t="s">
        <v>309</v>
      </c>
      <c r="J2" s="5"/>
      <c r="K2" s="5"/>
      <c r="L2" s="5"/>
      <c r="M2" s="5"/>
      <c r="N2" s="5"/>
      <c r="O2" s="5"/>
      <c r="P2" s="5"/>
      <c r="Q2" s="5"/>
      <c r="R2" s="5"/>
    </row>
    <row r="3" spans="1:18" x14ac:dyDescent="0.25">
      <c r="A3" s="9"/>
      <c r="B3" s="9"/>
      <c r="C3" s="9"/>
      <c r="D3" s="9"/>
      <c r="E3" s="9"/>
      <c r="F3" s="9"/>
      <c r="G3" s="9"/>
      <c r="H3" s="9"/>
      <c r="I3" s="9"/>
      <c r="J3" s="9"/>
      <c r="K3" s="9"/>
      <c r="L3" s="9"/>
      <c r="M3" s="9"/>
      <c r="N3" s="9"/>
      <c r="O3" s="9"/>
      <c r="P3" s="9"/>
      <c r="Q3" s="9"/>
      <c r="R3" s="9"/>
    </row>
    <row r="4" spans="1:18" ht="41.25" customHeight="1" x14ac:dyDescent="0.25">
      <c r="A4" s="9"/>
      <c r="B4" s="42" t="s">
        <v>289</v>
      </c>
      <c r="C4" s="43"/>
      <c r="D4" s="43"/>
      <c r="E4" s="44"/>
      <c r="F4" s="9"/>
      <c r="G4" s="9"/>
      <c r="H4" s="9"/>
      <c r="I4" s="9"/>
      <c r="J4" s="9"/>
      <c r="K4" s="9"/>
      <c r="L4" s="9"/>
      <c r="M4" s="9"/>
      <c r="N4" s="9"/>
      <c r="O4" s="9"/>
      <c r="P4" s="9"/>
      <c r="Q4" s="9"/>
      <c r="R4" s="9"/>
    </row>
    <row r="5" spans="1:18" ht="41.25" customHeight="1" x14ac:dyDescent="0.25">
      <c r="A5" s="9"/>
      <c r="B5" s="45" t="s">
        <v>290</v>
      </c>
      <c r="C5" s="46"/>
      <c r="D5" s="46"/>
      <c r="E5" s="47"/>
      <c r="F5" s="9"/>
      <c r="G5" s="9"/>
      <c r="H5" s="9"/>
      <c r="I5" s="9"/>
      <c r="J5" s="9"/>
      <c r="K5" s="9"/>
      <c r="L5" s="9"/>
      <c r="M5" s="9"/>
      <c r="N5" s="9"/>
      <c r="O5" s="9"/>
      <c r="P5" s="9"/>
      <c r="Q5" s="9"/>
      <c r="R5" s="9"/>
    </row>
    <row r="6" spans="1:18" x14ac:dyDescent="0.25">
      <c r="A6" s="9"/>
      <c r="B6" s="9"/>
      <c r="C6" s="9"/>
      <c r="D6" s="9"/>
      <c r="E6" s="9"/>
      <c r="F6" s="9"/>
      <c r="G6" s="9"/>
      <c r="H6" s="9"/>
      <c r="I6" s="9"/>
      <c r="J6" s="9"/>
      <c r="K6" s="9"/>
      <c r="L6" s="9"/>
      <c r="M6" s="9"/>
      <c r="N6" s="9"/>
      <c r="O6" s="9"/>
      <c r="P6" s="9"/>
      <c r="Q6" s="9"/>
      <c r="R6" s="9"/>
    </row>
    <row r="7" spans="1:18" x14ac:dyDescent="0.25">
      <c r="A7" s="22"/>
      <c r="B7" s="22" t="s">
        <v>291</v>
      </c>
      <c r="C7" s="23">
        <f>C16/$I$16</f>
        <v>0.32558139534883723</v>
      </c>
      <c r="D7" s="23">
        <f>D16/$I$16</f>
        <v>0</v>
      </c>
      <c r="E7" s="23">
        <f>E16/$I$16</f>
        <v>0.41860465116279072</v>
      </c>
      <c r="F7" s="23">
        <f>F16/$I$16</f>
        <v>0.2558139534883721</v>
      </c>
      <c r="G7" s="22"/>
      <c r="H7" s="22"/>
      <c r="I7" s="23">
        <f>SUM(C7:F7)</f>
        <v>1</v>
      </c>
      <c r="J7" s="22"/>
      <c r="K7" s="22" t="s">
        <v>291</v>
      </c>
      <c r="L7" s="23">
        <f>L16/$I$16</f>
        <v>0.37209302325581395</v>
      </c>
      <c r="M7" s="23">
        <f t="shared" ref="M7:O7" si="0">M16/$I$16</f>
        <v>0</v>
      </c>
      <c r="N7" s="23">
        <f t="shared" si="0"/>
        <v>0.16279069767441862</v>
      </c>
      <c r="O7" s="23">
        <f t="shared" si="0"/>
        <v>0.46511627906976744</v>
      </c>
      <c r="P7" s="22"/>
      <c r="Q7" s="23">
        <f>SUM(L7:O7)</f>
        <v>1</v>
      </c>
      <c r="R7" s="22"/>
    </row>
    <row r="8" spans="1:18" ht="15.75" thickBot="1" x14ac:dyDescent="0.3">
      <c r="A8" s="9"/>
      <c r="B8" s="9"/>
      <c r="C8" s="24" t="s">
        <v>292</v>
      </c>
      <c r="D8" s="24" t="s">
        <v>293</v>
      </c>
      <c r="E8" s="24" t="s">
        <v>294</v>
      </c>
      <c r="F8" s="24" t="s">
        <v>295</v>
      </c>
      <c r="G8" s="9"/>
      <c r="H8" s="9"/>
      <c r="I8" s="24" t="s">
        <v>296</v>
      </c>
      <c r="J8" s="9"/>
      <c r="K8" s="9"/>
      <c r="L8" s="24" t="s">
        <v>292</v>
      </c>
      <c r="M8" s="24" t="s">
        <v>293</v>
      </c>
      <c r="N8" s="24" t="s">
        <v>294</v>
      </c>
      <c r="O8" s="24" t="s">
        <v>295</v>
      </c>
      <c r="P8" s="9"/>
      <c r="Q8" s="24" t="s">
        <v>296</v>
      </c>
      <c r="R8" s="9"/>
    </row>
    <row r="9" spans="1:18" s="7" customFormat="1" ht="38.25" x14ac:dyDescent="0.25">
      <c r="A9" s="14"/>
      <c r="B9" s="29" t="s">
        <v>272</v>
      </c>
      <c r="C9" s="30" t="s">
        <v>281</v>
      </c>
      <c r="D9" s="30" t="s">
        <v>282</v>
      </c>
      <c r="E9" s="30" t="s">
        <v>307</v>
      </c>
      <c r="F9" s="30" t="s">
        <v>284</v>
      </c>
      <c r="G9" s="30" t="s">
        <v>285</v>
      </c>
      <c r="H9" s="30" t="s">
        <v>308</v>
      </c>
      <c r="I9" s="26" t="s">
        <v>63</v>
      </c>
      <c r="J9" s="25"/>
      <c r="K9" s="29" t="s">
        <v>272</v>
      </c>
      <c r="L9" s="30" t="s">
        <v>297</v>
      </c>
      <c r="M9" s="30" t="s">
        <v>298</v>
      </c>
      <c r="N9" s="30" t="s">
        <v>299</v>
      </c>
      <c r="O9" s="30" t="s">
        <v>300</v>
      </c>
      <c r="P9" s="30" t="s">
        <v>305</v>
      </c>
      <c r="Q9" s="15" t="s">
        <v>63</v>
      </c>
      <c r="R9" s="14"/>
    </row>
    <row r="10" spans="1:18" x14ac:dyDescent="0.25">
      <c r="A10" s="9"/>
      <c r="B10" s="27" t="s">
        <v>53</v>
      </c>
      <c r="C10" s="28">
        <v>1</v>
      </c>
      <c r="D10" s="28">
        <v>0</v>
      </c>
      <c r="E10" s="28">
        <v>0</v>
      </c>
      <c r="F10" s="28">
        <v>0</v>
      </c>
      <c r="G10" s="28">
        <v>0</v>
      </c>
      <c r="H10" s="28">
        <v>0</v>
      </c>
      <c r="I10" s="11">
        <f t="shared" ref="I10:I15" si="1">SUM(C10:F10)</f>
        <v>1</v>
      </c>
      <c r="J10" s="9"/>
      <c r="K10" s="27" t="s">
        <v>53</v>
      </c>
      <c r="L10" s="28">
        <v>0</v>
      </c>
      <c r="M10" s="28">
        <v>0</v>
      </c>
      <c r="N10" s="28">
        <v>1</v>
      </c>
      <c r="O10" s="28">
        <v>0</v>
      </c>
      <c r="P10" s="28">
        <v>0</v>
      </c>
      <c r="Q10" s="11">
        <f>SUM(L10:O10)</f>
        <v>1</v>
      </c>
      <c r="R10" s="9"/>
    </row>
    <row r="11" spans="1:18" x14ac:dyDescent="0.25">
      <c r="A11" s="9"/>
      <c r="B11" s="27" t="s">
        <v>54</v>
      </c>
      <c r="C11" s="28">
        <v>1</v>
      </c>
      <c r="D11" s="28">
        <v>0</v>
      </c>
      <c r="E11" s="28">
        <v>4</v>
      </c>
      <c r="F11" s="28">
        <v>2</v>
      </c>
      <c r="G11" s="28">
        <v>0</v>
      </c>
      <c r="H11" s="28">
        <v>2</v>
      </c>
      <c r="I11" s="11">
        <f t="shared" si="1"/>
        <v>7</v>
      </c>
      <c r="J11" s="9"/>
      <c r="K11" s="27" t="s">
        <v>54</v>
      </c>
      <c r="L11" s="28">
        <v>1</v>
      </c>
      <c r="M11" s="28">
        <v>0</v>
      </c>
      <c r="N11" s="28">
        <v>3</v>
      </c>
      <c r="O11" s="28">
        <v>3</v>
      </c>
      <c r="P11" s="28">
        <v>0</v>
      </c>
      <c r="Q11" s="11">
        <f t="shared" ref="Q11:Q15" si="2">SUM(L11:O11)</f>
        <v>7</v>
      </c>
      <c r="R11" s="9"/>
    </row>
    <row r="12" spans="1:18" x14ac:dyDescent="0.25">
      <c r="A12" s="9"/>
      <c r="B12" s="27" t="s">
        <v>55</v>
      </c>
      <c r="C12" s="28">
        <v>2</v>
      </c>
      <c r="D12" s="28">
        <v>0</v>
      </c>
      <c r="E12" s="28">
        <v>6</v>
      </c>
      <c r="F12" s="28">
        <v>0</v>
      </c>
      <c r="G12" s="28">
        <v>0</v>
      </c>
      <c r="H12" s="28">
        <v>1</v>
      </c>
      <c r="I12" s="11">
        <f t="shared" si="1"/>
        <v>8</v>
      </c>
      <c r="J12" s="9"/>
      <c r="K12" s="27" t="s">
        <v>55</v>
      </c>
      <c r="L12" s="28">
        <v>6</v>
      </c>
      <c r="M12" s="28">
        <v>0</v>
      </c>
      <c r="N12" s="28">
        <v>1</v>
      </c>
      <c r="O12" s="28">
        <v>1</v>
      </c>
      <c r="P12" s="28">
        <v>0</v>
      </c>
      <c r="Q12" s="11">
        <f t="shared" si="2"/>
        <v>8</v>
      </c>
      <c r="R12" s="9"/>
    </row>
    <row r="13" spans="1:18" x14ac:dyDescent="0.25">
      <c r="A13" s="9"/>
      <c r="B13" s="27" t="s">
        <v>56</v>
      </c>
      <c r="C13" s="28">
        <v>2</v>
      </c>
      <c r="D13" s="28">
        <v>0</v>
      </c>
      <c r="E13" s="28">
        <v>1</v>
      </c>
      <c r="F13" s="28">
        <v>1</v>
      </c>
      <c r="G13" s="28">
        <v>0</v>
      </c>
      <c r="H13" s="28">
        <v>0</v>
      </c>
      <c r="I13" s="11">
        <f t="shared" si="1"/>
        <v>4</v>
      </c>
      <c r="J13" s="9"/>
      <c r="K13" s="27" t="s">
        <v>56</v>
      </c>
      <c r="L13" s="28">
        <v>0</v>
      </c>
      <c r="M13" s="28">
        <v>0</v>
      </c>
      <c r="N13" s="28">
        <v>1</v>
      </c>
      <c r="O13" s="28">
        <v>3</v>
      </c>
      <c r="P13" s="28">
        <v>0</v>
      </c>
      <c r="Q13" s="11">
        <f t="shared" si="2"/>
        <v>4</v>
      </c>
      <c r="R13" s="9"/>
    </row>
    <row r="14" spans="1:18" x14ac:dyDescent="0.25">
      <c r="A14" s="9"/>
      <c r="B14" s="27" t="s">
        <v>57</v>
      </c>
      <c r="C14" s="28">
        <v>8</v>
      </c>
      <c r="D14" s="28">
        <v>0</v>
      </c>
      <c r="E14" s="28">
        <v>7</v>
      </c>
      <c r="F14" s="28">
        <v>7</v>
      </c>
      <c r="G14" s="28">
        <v>0</v>
      </c>
      <c r="H14" s="28">
        <v>1</v>
      </c>
      <c r="I14" s="11">
        <f t="shared" si="1"/>
        <v>22</v>
      </c>
      <c r="J14" s="9"/>
      <c r="K14" s="27" t="s">
        <v>57</v>
      </c>
      <c r="L14" s="28">
        <v>9</v>
      </c>
      <c r="M14" s="28">
        <v>0</v>
      </c>
      <c r="N14" s="28">
        <v>1</v>
      </c>
      <c r="O14" s="28">
        <v>12</v>
      </c>
      <c r="P14" s="28">
        <v>0</v>
      </c>
      <c r="Q14" s="11">
        <f t="shared" si="2"/>
        <v>22</v>
      </c>
      <c r="R14" s="9"/>
    </row>
    <row r="15" spans="1:18" x14ac:dyDescent="0.25">
      <c r="A15" s="9"/>
      <c r="B15" s="27" t="s">
        <v>58</v>
      </c>
      <c r="C15" s="28">
        <v>0</v>
      </c>
      <c r="D15" s="28">
        <v>0</v>
      </c>
      <c r="E15" s="28">
        <v>0</v>
      </c>
      <c r="F15" s="28">
        <v>1</v>
      </c>
      <c r="G15" s="28">
        <v>0</v>
      </c>
      <c r="H15" s="28">
        <v>0</v>
      </c>
      <c r="I15" s="11">
        <f t="shared" si="1"/>
        <v>1</v>
      </c>
      <c r="J15" s="9"/>
      <c r="K15" s="27" t="s">
        <v>58</v>
      </c>
      <c r="L15" s="28">
        <v>0</v>
      </c>
      <c r="M15" s="28">
        <v>0</v>
      </c>
      <c r="N15" s="28">
        <v>0</v>
      </c>
      <c r="O15" s="28">
        <v>1</v>
      </c>
      <c r="P15" s="28">
        <v>0</v>
      </c>
      <c r="Q15" s="11">
        <f t="shared" si="2"/>
        <v>1</v>
      </c>
      <c r="R15" s="9"/>
    </row>
    <row r="16" spans="1:18" ht="15.75" thickBot="1" x14ac:dyDescent="0.3">
      <c r="A16" s="9"/>
      <c r="B16" s="27" t="s">
        <v>273</v>
      </c>
      <c r="C16" s="28">
        <v>14</v>
      </c>
      <c r="D16" s="28">
        <v>0</v>
      </c>
      <c r="E16" s="28">
        <v>18</v>
      </c>
      <c r="F16" s="28">
        <v>11</v>
      </c>
      <c r="G16" s="28">
        <v>0</v>
      </c>
      <c r="H16" s="28">
        <v>4</v>
      </c>
      <c r="I16" s="12">
        <f>SUM(I10:I15)</f>
        <v>43</v>
      </c>
      <c r="J16" s="9"/>
      <c r="K16" s="27" t="s">
        <v>273</v>
      </c>
      <c r="L16" s="28">
        <v>16</v>
      </c>
      <c r="M16" s="28">
        <v>0</v>
      </c>
      <c r="N16" s="28">
        <v>7</v>
      </c>
      <c r="O16" s="28">
        <v>20</v>
      </c>
      <c r="P16" s="28">
        <v>0</v>
      </c>
      <c r="Q16" s="12">
        <f>SUM(Q10:Q15)</f>
        <v>43</v>
      </c>
      <c r="R16" s="9"/>
    </row>
  </sheetData>
  <mergeCells count="3">
    <mergeCell ref="B1:I1"/>
    <mergeCell ref="B4:E4"/>
    <mergeCell ref="B5:E5"/>
  </mergeCells>
  <pageMargins left="0.7" right="0.7" top="0.75" bottom="0.75" header="0.3" footer="0.3"/>
  <pageSetup scale="38" orientation="portrait" r:id="rId3"/>
  <colBreaks count="1" manualBreakCount="1">
    <brk id="9"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0D8E1-5227-4FCB-B09F-E6B85B952F7B}">
  <dimension ref="A1:Q16"/>
  <sheetViews>
    <sheetView view="pageBreakPreview" zoomScale="90" zoomScaleNormal="100" zoomScaleSheetLayoutView="90" workbookViewId="0">
      <selection activeCell="A20" sqref="A20"/>
    </sheetView>
  </sheetViews>
  <sheetFormatPr defaultRowHeight="15" x14ac:dyDescent="0.25"/>
  <cols>
    <col min="1" max="1" width="3.28515625" customWidth="1"/>
    <col min="2" max="2" width="55" bestFit="1" customWidth="1"/>
    <col min="3" max="3" width="28.5703125" bestFit="1" customWidth="1"/>
    <col min="4" max="4" width="27.28515625" bestFit="1" customWidth="1"/>
    <col min="5" max="5" width="24" bestFit="1" customWidth="1"/>
    <col min="6" max="6" width="17.42578125" bestFit="1" customWidth="1"/>
    <col min="7" max="7" width="21.7109375" bestFit="1" customWidth="1"/>
    <col min="8" max="8" width="18.42578125" bestFit="1" customWidth="1"/>
    <col min="9" max="9" width="12.85546875" customWidth="1"/>
    <col min="10" max="10" width="5.42578125" customWidth="1"/>
    <col min="11" max="11" width="55" bestFit="1" customWidth="1"/>
    <col min="12" max="13" width="24.85546875" bestFit="1" customWidth="1"/>
    <col min="14" max="14" width="24.42578125" bestFit="1" customWidth="1"/>
    <col min="15" max="15" width="17.42578125" bestFit="1" customWidth="1"/>
    <col min="16" max="16" width="25.28515625" bestFit="1" customWidth="1"/>
    <col min="17" max="17" width="12.28515625" bestFit="1" customWidth="1"/>
    <col min="18" max="18" width="4.42578125" customWidth="1"/>
  </cols>
  <sheetData>
    <row r="1" spans="1:17" x14ac:dyDescent="0.25">
      <c r="A1" s="5"/>
      <c r="B1" s="41" t="s">
        <v>274</v>
      </c>
      <c r="C1" s="41"/>
      <c r="D1" s="41"/>
      <c r="E1" s="41"/>
      <c r="F1" s="41"/>
      <c r="G1" s="41"/>
      <c r="H1" s="41"/>
      <c r="I1" s="41"/>
      <c r="J1" s="5"/>
      <c r="K1" s="5"/>
      <c r="L1" s="5"/>
      <c r="M1" s="5"/>
      <c r="N1" s="5"/>
      <c r="O1" s="5"/>
      <c r="P1" s="5"/>
      <c r="Q1" s="5"/>
    </row>
    <row r="2" spans="1:17" ht="20.25" x14ac:dyDescent="0.3">
      <c r="A2" s="5"/>
      <c r="B2" s="13" t="s">
        <v>275</v>
      </c>
      <c r="C2" s="18"/>
      <c r="D2" s="18"/>
      <c r="E2" s="18"/>
      <c r="F2" s="5"/>
      <c r="G2" s="5"/>
      <c r="H2" s="5"/>
      <c r="I2" s="21" t="s">
        <v>312</v>
      </c>
      <c r="J2" s="5"/>
      <c r="K2" s="5"/>
      <c r="L2" s="5"/>
      <c r="M2" s="5"/>
      <c r="N2" s="5"/>
      <c r="O2" s="5"/>
      <c r="P2" s="5"/>
      <c r="Q2" s="5"/>
    </row>
    <row r="3" spans="1:17" x14ac:dyDescent="0.25">
      <c r="A3" s="9"/>
      <c r="B3" s="9"/>
      <c r="C3" s="9"/>
      <c r="D3" s="9"/>
      <c r="E3" s="9"/>
      <c r="F3" s="9"/>
      <c r="G3" s="9"/>
      <c r="H3" s="9"/>
      <c r="I3" s="9"/>
      <c r="J3" s="9"/>
      <c r="K3" s="9"/>
      <c r="L3" s="9"/>
      <c r="M3" s="9"/>
      <c r="N3" s="9"/>
      <c r="O3" s="9"/>
      <c r="P3" s="9"/>
      <c r="Q3" s="9"/>
    </row>
    <row r="4" spans="1:17" ht="43.5" customHeight="1" x14ac:dyDescent="0.25">
      <c r="A4" s="9"/>
      <c r="B4" s="42" t="s">
        <v>289</v>
      </c>
      <c r="C4" s="43"/>
      <c r="D4" s="43"/>
      <c r="E4" s="44"/>
      <c r="F4" s="9"/>
      <c r="G4" s="9"/>
      <c r="H4" s="9"/>
      <c r="I4" s="9"/>
      <c r="J4" s="9"/>
      <c r="K4" s="9"/>
      <c r="L4" s="9"/>
      <c r="M4" s="9"/>
      <c r="N4" s="9"/>
      <c r="O4" s="9"/>
      <c r="P4" s="9"/>
      <c r="Q4" s="9"/>
    </row>
    <row r="5" spans="1:17" ht="42.75" customHeight="1" x14ac:dyDescent="0.25">
      <c r="A5" s="9"/>
      <c r="B5" s="45" t="s">
        <v>290</v>
      </c>
      <c r="C5" s="46"/>
      <c r="D5" s="46"/>
      <c r="E5" s="47"/>
      <c r="F5" s="9"/>
      <c r="G5" s="9"/>
      <c r="H5" s="9"/>
      <c r="I5" s="9"/>
      <c r="J5" s="9"/>
      <c r="K5" s="9"/>
      <c r="L5" s="9"/>
      <c r="M5" s="9"/>
      <c r="N5" s="9"/>
      <c r="O5" s="9"/>
      <c r="P5" s="9"/>
      <c r="Q5" s="9"/>
    </row>
    <row r="6" spans="1:17" x14ac:dyDescent="0.25">
      <c r="A6" s="9"/>
      <c r="B6" s="9"/>
      <c r="C6" s="9"/>
      <c r="D6" s="9"/>
      <c r="E6" s="9"/>
      <c r="F6" s="9"/>
      <c r="G6" s="9"/>
      <c r="H6" s="9"/>
      <c r="I6" s="9"/>
      <c r="J6" s="9"/>
      <c r="K6" s="9"/>
      <c r="L6" s="9"/>
      <c r="M6" s="9"/>
      <c r="N6" s="9"/>
      <c r="O6" s="9"/>
      <c r="P6" s="9"/>
      <c r="Q6" s="9"/>
    </row>
    <row r="7" spans="1:17" x14ac:dyDescent="0.25">
      <c r="A7" s="22"/>
      <c r="B7" s="22" t="s">
        <v>291</v>
      </c>
      <c r="C7" s="23">
        <f>C16/$I$16</f>
        <v>0.2558139534883721</v>
      </c>
      <c r="D7" s="23">
        <f>D16/$I$16</f>
        <v>0</v>
      </c>
      <c r="E7" s="23">
        <f>E16/$I$16</f>
        <v>0.48837209302325579</v>
      </c>
      <c r="F7" s="23">
        <f>F16/$I$16</f>
        <v>0.2558139534883721</v>
      </c>
      <c r="G7" s="22"/>
      <c r="H7" s="22"/>
      <c r="I7" s="23">
        <f>SUM(C7:F7)</f>
        <v>1</v>
      </c>
      <c r="J7" s="22"/>
      <c r="K7" s="22" t="s">
        <v>291</v>
      </c>
      <c r="L7" s="23">
        <f>L16/$I$16</f>
        <v>0.34883720930232559</v>
      </c>
      <c r="M7" s="23">
        <f>M16/$I$16</f>
        <v>0</v>
      </c>
      <c r="N7" s="23">
        <f>N16/$I$16</f>
        <v>0.13953488372093023</v>
      </c>
      <c r="O7" s="23">
        <f>O16/$I$16</f>
        <v>0.51162790697674421</v>
      </c>
      <c r="P7" s="22"/>
      <c r="Q7" s="23">
        <f>SUM(L7:O7)</f>
        <v>1</v>
      </c>
    </row>
    <row r="8" spans="1:17" ht="15.75" thickBot="1" x14ac:dyDescent="0.3">
      <c r="A8" s="9"/>
      <c r="B8" s="9"/>
      <c r="C8" s="24" t="s">
        <v>292</v>
      </c>
      <c r="D8" s="24" t="s">
        <v>293</v>
      </c>
      <c r="E8" s="24" t="s">
        <v>294</v>
      </c>
      <c r="F8" s="24" t="s">
        <v>295</v>
      </c>
      <c r="G8" s="9"/>
      <c r="H8" s="9"/>
      <c r="I8" s="24" t="s">
        <v>296</v>
      </c>
      <c r="J8" s="9"/>
      <c r="K8" s="9"/>
      <c r="L8" s="24" t="s">
        <v>292</v>
      </c>
      <c r="M8" s="24" t="s">
        <v>293</v>
      </c>
      <c r="N8" s="24" t="s">
        <v>294</v>
      </c>
      <c r="O8" s="24" t="s">
        <v>295</v>
      </c>
      <c r="P8" s="9"/>
      <c r="Q8" s="24" t="s">
        <v>296</v>
      </c>
    </row>
    <row r="9" spans="1:17" s="7" customFormat="1" ht="38.25" x14ac:dyDescent="0.25">
      <c r="A9" s="14"/>
      <c r="B9" s="29" t="s">
        <v>272</v>
      </c>
      <c r="C9" s="30" t="s">
        <v>281</v>
      </c>
      <c r="D9" s="30" t="s">
        <v>282</v>
      </c>
      <c r="E9" s="30" t="s">
        <v>283</v>
      </c>
      <c r="F9" s="30" t="s">
        <v>284</v>
      </c>
      <c r="G9" s="30" t="s">
        <v>285</v>
      </c>
      <c r="H9" s="30" t="s">
        <v>311</v>
      </c>
      <c r="I9" s="26" t="s">
        <v>63</v>
      </c>
      <c r="J9" s="25"/>
      <c r="K9" s="29" t="s">
        <v>272</v>
      </c>
      <c r="L9" s="30" t="s">
        <v>297</v>
      </c>
      <c r="M9" s="30" t="s">
        <v>298</v>
      </c>
      <c r="N9" s="30" t="s">
        <v>299</v>
      </c>
      <c r="O9" s="30" t="s">
        <v>300</v>
      </c>
      <c r="P9" s="30" t="s">
        <v>301</v>
      </c>
      <c r="Q9" s="15" t="s">
        <v>63</v>
      </c>
    </row>
    <row r="10" spans="1:17" x14ac:dyDescent="0.25">
      <c r="A10" s="9"/>
      <c r="B10" s="27" t="s">
        <v>53</v>
      </c>
      <c r="C10" s="28">
        <v>0</v>
      </c>
      <c r="D10" s="28">
        <v>0</v>
      </c>
      <c r="E10" s="28">
        <v>1</v>
      </c>
      <c r="F10" s="28">
        <v>0</v>
      </c>
      <c r="G10" s="28">
        <v>0</v>
      </c>
      <c r="H10" s="28">
        <v>0</v>
      </c>
      <c r="I10" s="11">
        <f t="shared" ref="I10:I15" si="0">SUM(C10:F10)</f>
        <v>1</v>
      </c>
      <c r="J10" s="9"/>
      <c r="K10" s="27" t="s">
        <v>53</v>
      </c>
      <c r="L10" s="28">
        <v>0</v>
      </c>
      <c r="M10" s="28">
        <v>0</v>
      </c>
      <c r="N10" s="28">
        <v>1</v>
      </c>
      <c r="O10" s="28">
        <v>0</v>
      </c>
      <c r="P10" s="28">
        <v>0</v>
      </c>
      <c r="Q10" s="11">
        <f>SUM(L10:O10)</f>
        <v>1</v>
      </c>
    </row>
    <row r="11" spans="1:17" x14ac:dyDescent="0.25">
      <c r="A11" s="9"/>
      <c r="B11" s="27" t="s">
        <v>54</v>
      </c>
      <c r="C11" s="28">
        <v>0</v>
      </c>
      <c r="D11" s="28">
        <v>0</v>
      </c>
      <c r="E11" s="28">
        <v>5</v>
      </c>
      <c r="F11" s="28">
        <v>2</v>
      </c>
      <c r="G11" s="28">
        <v>0</v>
      </c>
      <c r="H11" s="28">
        <v>1</v>
      </c>
      <c r="I11" s="11">
        <f t="shared" si="0"/>
        <v>7</v>
      </c>
      <c r="J11" s="9"/>
      <c r="K11" s="27" t="s">
        <v>54</v>
      </c>
      <c r="L11" s="28">
        <v>0</v>
      </c>
      <c r="M11" s="28">
        <v>0</v>
      </c>
      <c r="N11" s="28">
        <v>3</v>
      </c>
      <c r="O11" s="28">
        <v>4</v>
      </c>
      <c r="P11" s="28">
        <v>0</v>
      </c>
      <c r="Q11" s="11">
        <f t="shared" ref="Q11:Q15" si="1">SUM(L11:O11)</f>
        <v>7</v>
      </c>
    </row>
    <row r="12" spans="1:17" x14ac:dyDescent="0.25">
      <c r="A12" s="9"/>
      <c r="B12" s="27" t="s">
        <v>55</v>
      </c>
      <c r="C12" s="28">
        <v>3</v>
      </c>
      <c r="D12" s="28">
        <v>0</v>
      </c>
      <c r="E12" s="28">
        <v>4</v>
      </c>
      <c r="F12" s="28">
        <v>1</v>
      </c>
      <c r="G12" s="28">
        <v>1</v>
      </c>
      <c r="H12" s="28">
        <v>0</v>
      </c>
      <c r="I12" s="11">
        <f t="shared" si="0"/>
        <v>8</v>
      </c>
      <c r="J12" s="9"/>
      <c r="K12" s="27" t="s">
        <v>55</v>
      </c>
      <c r="L12" s="28">
        <v>6</v>
      </c>
      <c r="M12" s="28">
        <v>0</v>
      </c>
      <c r="N12" s="28">
        <v>1</v>
      </c>
      <c r="O12" s="28">
        <v>1</v>
      </c>
      <c r="P12" s="28">
        <v>0</v>
      </c>
      <c r="Q12" s="11">
        <f t="shared" si="1"/>
        <v>8</v>
      </c>
    </row>
    <row r="13" spans="1:17" x14ac:dyDescent="0.25">
      <c r="A13" s="9"/>
      <c r="B13" s="27" t="s">
        <v>56</v>
      </c>
      <c r="C13" s="28">
        <v>1</v>
      </c>
      <c r="D13" s="28">
        <v>0</v>
      </c>
      <c r="E13" s="28">
        <v>3</v>
      </c>
      <c r="F13" s="28">
        <v>0</v>
      </c>
      <c r="G13" s="28">
        <v>0</v>
      </c>
      <c r="H13" s="28">
        <v>0</v>
      </c>
      <c r="I13" s="11">
        <f t="shared" si="0"/>
        <v>4</v>
      </c>
      <c r="J13" s="9"/>
      <c r="K13" s="27" t="s">
        <v>56</v>
      </c>
      <c r="L13" s="28">
        <v>0</v>
      </c>
      <c r="M13" s="28">
        <v>0</v>
      </c>
      <c r="N13" s="28">
        <v>1</v>
      </c>
      <c r="O13" s="28">
        <v>3</v>
      </c>
      <c r="P13" s="28">
        <v>0</v>
      </c>
      <c r="Q13" s="11">
        <f t="shared" si="1"/>
        <v>4</v>
      </c>
    </row>
    <row r="14" spans="1:17" x14ac:dyDescent="0.25">
      <c r="A14" s="9"/>
      <c r="B14" s="27" t="s">
        <v>57</v>
      </c>
      <c r="C14" s="28">
        <v>7</v>
      </c>
      <c r="D14" s="28">
        <v>0</v>
      </c>
      <c r="E14" s="28">
        <v>8</v>
      </c>
      <c r="F14" s="28">
        <v>7</v>
      </c>
      <c r="G14" s="28">
        <v>0</v>
      </c>
      <c r="H14" s="28">
        <v>3</v>
      </c>
      <c r="I14" s="11">
        <f t="shared" si="0"/>
        <v>22</v>
      </c>
      <c r="J14" s="9"/>
      <c r="K14" s="27" t="s">
        <v>57</v>
      </c>
      <c r="L14" s="28">
        <v>9</v>
      </c>
      <c r="M14" s="28">
        <v>0</v>
      </c>
      <c r="N14" s="28">
        <v>0</v>
      </c>
      <c r="O14" s="28">
        <v>13</v>
      </c>
      <c r="P14" s="28">
        <v>0</v>
      </c>
      <c r="Q14" s="11">
        <f t="shared" si="1"/>
        <v>22</v>
      </c>
    </row>
    <row r="15" spans="1:17" x14ac:dyDescent="0.25">
      <c r="A15" s="9"/>
      <c r="B15" s="27" t="s">
        <v>58</v>
      </c>
      <c r="C15" s="28">
        <v>0</v>
      </c>
      <c r="D15" s="28">
        <v>0</v>
      </c>
      <c r="E15" s="28">
        <v>0</v>
      </c>
      <c r="F15" s="28">
        <v>1</v>
      </c>
      <c r="G15" s="28">
        <v>0</v>
      </c>
      <c r="H15" s="28">
        <v>0</v>
      </c>
      <c r="I15" s="11">
        <f t="shared" si="0"/>
        <v>1</v>
      </c>
      <c r="J15" s="9"/>
      <c r="K15" s="27" t="s">
        <v>58</v>
      </c>
      <c r="L15" s="28">
        <v>0</v>
      </c>
      <c r="M15" s="28">
        <v>0</v>
      </c>
      <c r="N15" s="28">
        <v>0</v>
      </c>
      <c r="O15" s="28">
        <v>1</v>
      </c>
      <c r="P15" s="28">
        <v>0</v>
      </c>
      <c r="Q15" s="11">
        <f t="shared" si="1"/>
        <v>1</v>
      </c>
    </row>
    <row r="16" spans="1:17" ht="15.75" thickBot="1" x14ac:dyDescent="0.3">
      <c r="A16" s="9"/>
      <c r="B16" s="27" t="s">
        <v>273</v>
      </c>
      <c r="C16" s="28">
        <v>11</v>
      </c>
      <c r="D16" s="28">
        <v>0</v>
      </c>
      <c r="E16" s="28">
        <v>21</v>
      </c>
      <c r="F16" s="28">
        <v>11</v>
      </c>
      <c r="G16" s="28">
        <v>1</v>
      </c>
      <c r="H16" s="28">
        <v>4</v>
      </c>
      <c r="I16" s="12">
        <f>SUM(I10:I15)</f>
        <v>43</v>
      </c>
      <c r="J16" s="9"/>
      <c r="K16" s="27" t="s">
        <v>273</v>
      </c>
      <c r="L16" s="28">
        <v>15</v>
      </c>
      <c r="M16" s="28">
        <v>0</v>
      </c>
      <c r="N16" s="28">
        <v>6</v>
      </c>
      <c r="O16" s="28">
        <v>22</v>
      </c>
      <c r="P16" s="28">
        <v>0</v>
      </c>
      <c r="Q16" s="12">
        <f>SUM(Q10:Q15)</f>
        <v>43</v>
      </c>
    </row>
  </sheetData>
  <mergeCells count="3">
    <mergeCell ref="B1:I1"/>
    <mergeCell ref="B4:E4"/>
    <mergeCell ref="B5:E5"/>
  </mergeCells>
  <pageMargins left="0.7" right="0.7" top="0.75" bottom="0.75" header="0.3" footer="0.3"/>
  <pageSetup scale="40" orientation="portrait" r:id="rId3"/>
  <colBreaks count="1" manualBreakCount="1">
    <brk id="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490FA-9076-45C9-98A9-D90E93FB547F}">
  <dimension ref="A1:R16"/>
  <sheetViews>
    <sheetView view="pageBreakPreview" topLeftCell="H1" zoomScale="90" zoomScaleNormal="100" zoomScaleSheetLayoutView="90" workbookViewId="0">
      <selection activeCell="V29" sqref="V29"/>
    </sheetView>
  </sheetViews>
  <sheetFormatPr defaultRowHeight="15" x14ac:dyDescent="0.25"/>
  <cols>
    <col min="2" max="2" width="55" bestFit="1" customWidth="1"/>
    <col min="3" max="3" width="43" bestFit="1" customWidth="1"/>
    <col min="4" max="4" width="49.42578125" bestFit="1" customWidth="1"/>
    <col min="5" max="5" width="58.42578125" bestFit="1" customWidth="1"/>
    <col min="6" max="6" width="17.42578125" bestFit="1" customWidth="1"/>
    <col min="7" max="7" width="42.85546875" bestFit="1" customWidth="1"/>
    <col min="8" max="9" width="28.5703125" bestFit="1" customWidth="1"/>
    <col min="10" max="10" width="13.7109375" customWidth="1"/>
    <col min="11" max="11" width="6.140625" customWidth="1"/>
    <col min="12" max="12" width="55" bestFit="1" customWidth="1"/>
    <col min="13" max="13" width="63.85546875" bestFit="1" customWidth="1"/>
    <col min="14" max="14" width="67.42578125" bestFit="1" customWidth="1"/>
    <col min="15" max="15" width="48" bestFit="1" customWidth="1"/>
    <col min="16" max="16" width="17.42578125" bestFit="1" customWidth="1"/>
    <col min="17" max="17" width="42.85546875" bestFit="1" customWidth="1"/>
    <col min="18" max="18" width="12.28515625" bestFit="1" customWidth="1"/>
    <col min="19" max="19" width="4.85546875" customWidth="1"/>
  </cols>
  <sheetData>
    <row r="1" spans="1:18" x14ac:dyDescent="0.25">
      <c r="A1" s="5"/>
      <c r="B1" s="41" t="s">
        <v>274</v>
      </c>
      <c r="C1" s="41"/>
      <c r="D1" s="41"/>
      <c r="E1" s="41"/>
      <c r="F1" s="41"/>
      <c r="G1" s="41"/>
      <c r="H1" s="41"/>
      <c r="I1" s="41"/>
      <c r="J1" s="41"/>
      <c r="K1" s="5"/>
      <c r="L1" s="5"/>
      <c r="M1" s="5"/>
      <c r="N1" s="5"/>
      <c r="O1" s="5"/>
      <c r="P1" s="5"/>
      <c r="Q1" s="5"/>
      <c r="R1" s="5"/>
    </row>
    <row r="2" spans="1:18" ht="20.25" x14ac:dyDescent="0.3">
      <c r="A2" s="5"/>
      <c r="B2" s="13" t="s">
        <v>275</v>
      </c>
      <c r="C2" s="18"/>
      <c r="D2" s="18"/>
      <c r="E2" s="18"/>
      <c r="F2" s="5"/>
      <c r="G2" s="5"/>
      <c r="H2" s="5"/>
      <c r="I2" s="5"/>
      <c r="J2" s="21" t="s">
        <v>315</v>
      </c>
      <c r="K2" s="5"/>
      <c r="L2" s="5"/>
      <c r="M2" s="5"/>
      <c r="N2" s="5"/>
      <c r="O2" s="5"/>
      <c r="P2" s="5"/>
      <c r="Q2" s="5"/>
      <c r="R2" s="5"/>
    </row>
    <row r="3" spans="1:18" x14ac:dyDescent="0.25">
      <c r="A3" s="9"/>
      <c r="B3" s="9"/>
      <c r="C3" s="9"/>
      <c r="D3" s="9"/>
      <c r="E3" s="9"/>
      <c r="F3" s="9"/>
      <c r="G3" s="9"/>
      <c r="H3" s="9"/>
      <c r="I3" s="9"/>
      <c r="J3" s="9"/>
      <c r="K3" s="9"/>
      <c r="L3" s="9"/>
      <c r="M3" s="9"/>
      <c r="N3" s="9"/>
      <c r="O3" s="9"/>
      <c r="P3" s="9"/>
      <c r="Q3" s="9"/>
      <c r="R3" s="9"/>
    </row>
    <row r="4" spans="1:18" ht="39.75" customHeight="1" x14ac:dyDescent="0.25">
      <c r="A4" s="9"/>
      <c r="B4" s="42" t="s">
        <v>289</v>
      </c>
      <c r="C4" s="43"/>
      <c r="D4" s="43"/>
      <c r="E4" s="44"/>
      <c r="F4" s="9"/>
      <c r="G4" s="9"/>
      <c r="H4" s="9"/>
      <c r="I4" s="9"/>
      <c r="J4" s="9"/>
      <c r="K4" s="9"/>
      <c r="L4" s="9"/>
      <c r="M4" s="9"/>
      <c r="N4" s="9"/>
      <c r="O4" s="9"/>
      <c r="P4" s="9"/>
      <c r="Q4" s="9"/>
      <c r="R4" s="9"/>
    </row>
    <row r="5" spans="1:18" ht="44.25" customHeight="1" x14ac:dyDescent="0.25">
      <c r="A5" s="9"/>
      <c r="B5" s="45" t="s">
        <v>290</v>
      </c>
      <c r="C5" s="46"/>
      <c r="D5" s="46"/>
      <c r="E5" s="47"/>
      <c r="F5" s="9"/>
      <c r="G5" s="9"/>
      <c r="H5" s="9"/>
      <c r="I5" s="9"/>
      <c r="J5" s="9"/>
      <c r="K5" s="9"/>
      <c r="L5" s="9"/>
      <c r="M5" s="9"/>
      <c r="N5" s="9"/>
      <c r="O5" s="9"/>
      <c r="P5" s="9"/>
      <c r="Q5" s="9"/>
      <c r="R5" s="9"/>
    </row>
    <row r="6" spans="1:18" x14ac:dyDescent="0.25">
      <c r="A6" s="9"/>
      <c r="B6" s="9"/>
      <c r="C6" s="9"/>
      <c r="D6" s="9"/>
      <c r="E6" s="9"/>
      <c r="F6" s="9"/>
      <c r="G6" s="9"/>
      <c r="H6" s="9"/>
      <c r="I6" s="9"/>
      <c r="J6" s="9"/>
      <c r="K6" s="9"/>
      <c r="L6" s="9"/>
      <c r="M6" s="9"/>
      <c r="N6" s="9"/>
      <c r="O6" s="9"/>
      <c r="P6" s="9"/>
      <c r="Q6" s="9"/>
      <c r="R6" s="9"/>
    </row>
    <row r="7" spans="1:18" x14ac:dyDescent="0.25">
      <c r="A7" s="22"/>
      <c r="B7" s="22" t="s">
        <v>291</v>
      </c>
      <c r="C7" s="23">
        <f>C16/$J$16</f>
        <v>0.30232558139534882</v>
      </c>
      <c r="D7" s="23">
        <f t="shared" ref="D7:F7" si="0">D16/$J$16</f>
        <v>0</v>
      </c>
      <c r="E7" s="23">
        <f t="shared" si="0"/>
        <v>0.41860465116279072</v>
      </c>
      <c r="F7" s="23">
        <f t="shared" si="0"/>
        <v>0.27906976744186046</v>
      </c>
      <c r="G7" s="22"/>
      <c r="H7" s="22"/>
      <c r="I7" s="22"/>
      <c r="J7" s="23">
        <f>SUM(C7:F7)</f>
        <v>1</v>
      </c>
      <c r="K7" s="22"/>
      <c r="L7" s="22" t="s">
        <v>291</v>
      </c>
      <c r="M7" s="23">
        <f>M16/$J$16</f>
        <v>0.32558139534883723</v>
      </c>
      <c r="N7" s="23">
        <f t="shared" ref="N7:P7" si="1">N16/$J$16</f>
        <v>0</v>
      </c>
      <c r="O7" s="23">
        <f t="shared" si="1"/>
        <v>0.23255813953488372</v>
      </c>
      <c r="P7" s="23">
        <f t="shared" si="1"/>
        <v>0.44186046511627908</v>
      </c>
      <c r="Q7" s="22"/>
      <c r="R7" s="23">
        <f>SUM(M7:P7)</f>
        <v>1</v>
      </c>
    </row>
    <row r="8" spans="1:18" ht="15.75" thickBot="1" x14ac:dyDescent="0.3">
      <c r="A8" s="9"/>
      <c r="B8" s="9"/>
      <c r="C8" s="24" t="s">
        <v>292</v>
      </c>
      <c r="D8" s="24" t="s">
        <v>293</v>
      </c>
      <c r="E8" s="24" t="s">
        <v>294</v>
      </c>
      <c r="F8" s="24" t="s">
        <v>295</v>
      </c>
      <c r="G8" s="9"/>
      <c r="H8" s="9"/>
      <c r="I8" s="9"/>
      <c r="J8" s="24" t="s">
        <v>296</v>
      </c>
      <c r="K8" s="9"/>
      <c r="L8" s="9"/>
      <c r="M8" s="24" t="s">
        <v>292</v>
      </c>
      <c r="N8" s="24" t="s">
        <v>293</v>
      </c>
      <c r="O8" s="24" t="s">
        <v>294</v>
      </c>
      <c r="P8" s="24" t="s">
        <v>295</v>
      </c>
      <c r="Q8" s="9"/>
      <c r="R8" s="24" t="s">
        <v>296</v>
      </c>
    </row>
    <row r="9" spans="1:18" x14ac:dyDescent="0.25">
      <c r="A9" s="14"/>
      <c r="B9" s="29" t="s">
        <v>272</v>
      </c>
      <c r="C9" s="37" t="s">
        <v>281</v>
      </c>
      <c r="D9" s="37" t="s">
        <v>282</v>
      </c>
      <c r="E9" s="37" t="s">
        <v>283</v>
      </c>
      <c r="F9" s="37" t="s">
        <v>284</v>
      </c>
      <c r="G9" s="37" t="s">
        <v>285</v>
      </c>
      <c r="H9" s="37" t="s">
        <v>314</v>
      </c>
      <c r="I9" s="37" t="s">
        <v>313</v>
      </c>
      <c r="J9" s="26" t="s">
        <v>63</v>
      </c>
      <c r="K9" s="25"/>
      <c r="L9" s="29" t="s">
        <v>272</v>
      </c>
      <c r="M9" s="37" t="s">
        <v>297</v>
      </c>
      <c r="N9" s="37" t="s">
        <v>298</v>
      </c>
      <c r="O9" s="37" t="s">
        <v>299</v>
      </c>
      <c r="P9" s="37" t="s">
        <v>300</v>
      </c>
      <c r="Q9" s="37" t="s">
        <v>301</v>
      </c>
      <c r="R9" s="15" t="s">
        <v>63</v>
      </c>
    </row>
    <row r="10" spans="1:18" x14ac:dyDescent="0.25">
      <c r="A10" s="9"/>
      <c r="B10" s="27" t="s">
        <v>53</v>
      </c>
      <c r="C10" s="28">
        <v>1</v>
      </c>
      <c r="D10" s="28">
        <v>0</v>
      </c>
      <c r="E10" s="28">
        <v>0</v>
      </c>
      <c r="F10" s="28">
        <v>0</v>
      </c>
      <c r="G10" s="28">
        <v>0</v>
      </c>
      <c r="H10" s="28">
        <v>0</v>
      </c>
      <c r="I10" s="28">
        <v>0</v>
      </c>
      <c r="J10" s="11">
        <f>SUM(C10:F10)</f>
        <v>1</v>
      </c>
      <c r="K10" s="9"/>
      <c r="L10" s="27" t="s">
        <v>53</v>
      </c>
      <c r="M10" s="28">
        <v>0</v>
      </c>
      <c r="N10" s="28">
        <v>0</v>
      </c>
      <c r="O10" s="28">
        <v>1</v>
      </c>
      <c r="P10" s="28">
        <v>0</v>
      </c>
      <c r="Q10" s="28">
        <v>0</v>
      </c>
      <c r="R10" s="11">
        <f>SUM(M10:P10)</f>
        <v>1</v>
      </c>
    </row>
    <row r="11" spans="1:18" x14ac:dyDescent="0.25">
      <c r="A11" s="9"/>
      <c r="B11" s="27" t="s">
        <v>54</v>
      </c>
      <c r="C11" s="28">
        <v>0</v>
      </c>
      <c r="D11" s="28">
        <v>0</v>
      </c>
      <c r="E11" s="28">
        <v>5</v>
      </c>
      <c r="F11" s="28">
        <v>2</v>
      </c>
      <c r="G11" s="28">
        <v>0</v>
      </c>
      <c r="H11" s="28">
        <v>2</v>
      </c>
      <c r="I11" s="28">
        <v>0</v>
      </c>
      <c r="J11" s="11">
        <f t="shared" ref="J11:J15" si="2">SUM(C11:F11)</f>
        <v>7</v>
      </c>
      <c r="K11" s="9"/>
      <c r="L11" s="27" t="s">
        <v>54</v>
      </c>
      <c r="M11" s="28">
        <v>1</v>
      </c>
      <c r="N11" s="28">
        <v>0</v>
      </c>
      <c r="O11" s="28">
        <v>3</v>
      </c>
      <c r="P11" s="28">
        <v>3</v>
      </c>
      <c r="Q11" s="28">
        <v>0</v>
      </c>
      <c r="R11" s="11">
        <f t="shared" ref="R11:R15" si="3">SUM(M11:P11)</f>
        <v>7</v>
      </c>
    </row>
    <row r="12" spans="1:18" x14ac:dyDescent="0.25">
      <c r="A12" s="9"/>
      <c r="B12" s="27" t="s">
        <v>55</v>
      </c>
      <c r="C12" s="28">
        <v>4</v>
      </c>
      <c r="D12" s="28">
        <v>0</v>
      </c>
      <c r="E12" s="28">
        <v>3</v>
      </c>
      <c r="F12" s="28">
        <v>1</v>
      </c>
      <c r="G12" s="28">
        <v>1</v>
      </c>
      <c r="H12" s="28">
        <v>2</v>
      </c>
      <c r="I12" s="28">
        <v>1</v>
      </c>
      <c r="J12" s="11">
        <f t="shared" si="2"/>
        <v>8</v>
      </c>
      <c r="K12" s="9"/>
      <c r="L12" s="27" t="s">
        <v>55</v>
      </c>
      <c r="M12" s="28">
        <v>4</v>
      </c>
      <c r="N12" s="28">
        <v>0</v>
      </c>
      <c r="O12" s="28">
        <v>2</v>
      </c>
      <c r="P12" s="28">
        <v>2</v>
      </c>
      <c r="Q12" s="28">
        <v>0</v>
      </c>
      <c r="R12" s="11">
        <f t="shared" si="3"/>
        <v>8</v>
      </c>
    </row>
    <row r="13" spans="1:18" x14ac:dyDescent="0.25">
      <c r="A13" s="9"/>
      <c r="B13" s="27" t="s">
        <v>56</v>
      </c>
      <c r="C13" s="28">
        <v>2</v>
      </c>
      <c r="D13" s="28">
        <v>0</v>
      </c>
      <c r="E13" s="28">
        <v>2</v>
      </c>
      <c r="F13" s="28">
        <v>0</v>
      </c>
      <c r="G13" s="28">
        <v>0</v>
      </c>
      <c r="H13" s="28">
        <v>1</v>
      </c>
      <c r="I13" s="28">
        <v>0</v>
      </c>
      <c r="J13" s="11">
        <f t="shared" si="2"/>
        <v>4</v>
      </c>
      <c r="K13" s="9"/>
      <c r="L13" s="27" t="s">
        <v>56</v>
      </c>
      <c r="M13" s="28">
        <v>0</v>
      </c>
      <c r="N13" s="28">
        <v>0</v>
      </c>
      <c r="O13" s="28">
        <v>1</v>
      </c>
      <c r="P13" s="28">
        <v>3</v>
      </c>
      <c r="Q13" s="28">
        <v>0</v>
      </c>
      <c r="R13" s="11">
        <f t="shared" si="3"/>
        <v>4</v>
      </c>
    </row>
    <row r="14" spans="1:18" x14ac:dyDescent="0.25">
      <c r="A14" s="9"/>
      <c r="B14" s="27" t="s">
        <v>57</v>
      </c>
      <c r="C14" s="28">
        <v>6</v>
      </c>
      <c r="D14" s="28">
        <v>0</v>
      </c>
      <c r="E14" s="28">
        <v>8</v>
      </c>
      <c r="F14" s="28">
        <v>8</v>
      </c>
      <c r="G14" s="28">
        <v>0</v>
      </c>
      <c r="H14" s="28">
        <v>1</v>
      </c>
      <c r="I14" s="28">
        <v>0</v>
      </c>
      <c r="J14" s="11">
        <f t="shared" si="2"/>
        <v>22</v>
      </c>
      <c r="K14" s="9"/>
      <c r="L14" s="27" t="s">
        <v>57</v>
      </c>
      <c r="M14" s="28">
        <v>9</v>
      </c>
      <c r="N14" s="28">
        <v>0</v>
      </c>
      <c r="O14" s="28">
        <v>3</v>
      </c>
      <c r="P14" s="28">
        <v>10</v>
      </c>
      <c r="Q14" s="28">
        <v>0</v>
      </c>
      <c r="R14" s="11">
        <f t="shared" si="3"/>
        <v>22</v>
      </c>
    </row>
    <row r="15" spans="1:18" x14ac:dyDescent="0.25">
      <c r="A15" s="9"/>
      <c r="B15" s="27" t="s">
        <v>58</v>
      </c>
      <c r="C15" s="28">
        <v>0</v>
      </c>
      <c r="D15" s="28">
        <v>0</v>
      </c>
      <c r="E15" s="28">
        <v>0</v>
      </c>
      <c r="F15" s="28">
        <v>1</v>
      </c>
      <c r="G15" s="28">
        <v>0</v>
      </c>
      <c r="H15" s="28">
        <v>0</v>
      </c>
      <c r="I15" s="28">
        <v>0</v>
      </c>
      <c r="J15" s="11">
        <f t="shared" si="2"/>
        <v>1</v>
      </c>
      <c r="K15" s="9"/>
      <c r="L15" s="27" t="s">
        <v>58</v>
      </c>
      <c r="M15" s="28">
        <v>0</v>
      </c>
      <c r="N15" s="28">
        <v>0</v>
      </c>
      <c r="O15" s="28">
        <v>0</v>
      </c>
      <c r="P15" s="28">
        <v>1</v>
      </c>
      <c r="Q15" s="28">
        <v>0</v>
      </c>
      <c r="R15" s="11">
        <f t="shared" si="3"/>
        <v>1</v>
      </c>
    </row>
    <row r="16" spans="1:18" ht="15.75" thickBot="1" x14ac:dyDescent="0.3">
      <c r="A16" s="9"/>
      <c r="B16" s="27" t="s">
        <v>273</v>
      </c>
      <c r="C16" s="28">
        <v>13</v>
      </c>
      <c r="D16" s="28">
        <v>0</v>
      </c>
      <c r="E16" s="28">
        <v>18</v>
      </c>
      <c r="F16" s="28">
        <v>12</v>
      </c>
      <c r="G16" s="28">
        <v>1</v>
      </c>
      <c r="H16" s="28">
        <v>6</v>
      </c>
      <c r="I16" s="28">
        <v>1</v>
      </c>
      <c r="J16" s="12">
        <f>SUM(J10:J15)</f>
        <v>43</v>
      </c>
      <c r="K16" s="9"/>
      <c r="L16" s="27" t="s">
        <v>273</v>
      </c>
      <c r="M16" s="28">
        <v>14</v>
      </c>
      <c r="N16" s="28">
        <v>0</v>
      </c>
      <c r="O16" s="28">
        <v>10</v>
      </c>
      <c r="P16" s="28">
        <v>19</v>
      </c>
      <c r="Q16" s="28">
        <v>0</v>
      </c>
      <c r="R16" s="12">
        <f>SUM(R10:R15)</f>
        <v>43</v>
      </c>
    </row>
  </sheetData>
  <mergeCells count="3">
    <mergeCell ref="B1:J1"/>
    <mergeCell ref="B4:E4"/>
    <mergeCell ref="B5:E5"/>
  </mergeCells>
  <pageMargins left="0.7" right="0.7" top="0.75" bottom="0.75" header="0.3" footer="0.3"/>
  <pageSetup scale="34" orientation="portrait" verticalDpi="0" r:id="rId3"/>
  <colBreaks count="1" manualBreakCount="1">
    <brk id="10" max="16"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C121-D746-4920-A786-A8E280795406}">
  <dimension ref="A1:P16"/>
  <sheetViews>
    <sheetView view="pageBreakPreview" zoomScale="90" zoomScaleNormal="100" zoomScaleSheetLayoutView="90" workbookViewId="0">
      <selection activeCell="D7" sqref="D7"/>
    </sheetView>
  </sheetViews>
  <sheetFormatPr defaultRowHeight="15" x14ac:dyDescent="0.25"/>
  <cols>
    <col min="1" max="1" width="3" customWidth="1"/>
    <col min="2" max="2" width="55" bestFit="1" customWidth="1"/>
    <col min="3" max="3" width="24.85546875" bestFit="1" customWidth="1"/>
    <col min="4" max="4" width="26" bestFit="1" customWidth="1"/>
    <col min="5" max="5" width="24" bestFit="1" customWidth="1"/>
    <col min="6" max="6" width="17.42578125" bestFit="1" customWidth="1"/>
    <col min="7" max="7" width="25.28515625" bestFit="1" customWidth="1"/>
    <col min="8" max="8" width="14" customWidth="1"/>
    <col min="9" max="9" width="5.28515625" customWidth="1"/>
    <col min="10" max="10" width="55" bestFit="1" customWidth="1"/>
    <col min="11" max="12" width="24.85546875" bestFit="1" customWidth="1"/>
    <col min="13" max="13" width="24.42578125" bestFit="1" customWidth="1"/>
    <col min="14" max="14" width="17.42578125" bestFit="1" customWidth="1"/>
    <col min="15" max="15" width="25.28515625" bestFit="1" customWidth="1"/>
    <col min="16" max="16" width="13.42578125" customWidth="1"/>
    <col min="17" max="17" width="4.5703125" customWidth="1"/>
  </cols>
  <sheetData>
    <row r="1" spans="1:16" x14ac:dyDescent="0.25">
      <c r="A1" s="5"/>
      <c r="B1" s="41" t="s">
        <v>274</v>
      </c>
      <c r="C1" s="41"/>
      <c r="D1" s="41"/>
      <c r="E1" s="41"/>
      <c r="F1" s="41"/>
      <c r="G1" s="41"/>
      <c r="H1" s="41"/>
      <c r="I1" s="5"/>
      <c r="J1" s="5"/>
      <c r="K1" s="5"/>
      <c r="L1" s="5"/>
      <c r="M1" s="5"/>
      <c r="N1" s="5"/>
      <c r="O1" s="5"/>
      <c r="P1" s="5"/>
    </row>
    <row r="2" spans="1:16" ht="20.25" x14ac:dyDescent="0.3">
      <c r="A2" s="5"/>
      <c r="B2" s="13" t="s">
        <v>275</v>
      </c>
      <c r="C2" s="18"/>
      <c r="D2" s="18"/>
      <c r="E2" s="18"/>
      <c r="F2" s="5"/>
      <c r="G2" s="5"/>
      <c r="H2" s="21" t="s">
        <v>316</v>
      </c>
      <c r="I2" s="5"/>
      <c r="J2" s="5"/>
      <c r="K2" s="5"/>
      <c r="L2" s="5"/>
      <c r="M2" s="5"/>
      <c r="N2" s="5"/>
      <c r="O2" s="5"/>
      <c r="P2" s="5"/>
    </row>
    <row r="3" spans="1:16" x14ac:dyDescent="0.25">
      <c r="A3" s="9"/>
      <c r="B3" s="9"/>
      <c r="C3" s="9"/>
      <c r="D3" s="9"/>
      <c r="E3" s="9"/>
      <c r="F3" s="9"/>
      <c r="G3" s="9"/>
      <c r="H3" s="9"/>
      <c r="I3" s="9"/>
      <c r="J3" s="9"/>
      <c r="K3" s="9"/>
      <c r="L3" s="9"/>
      <c r="M3" s="9"/>
      <c r="N3" s="9"/>
      <c r="O3" s="9"/>
      <c r="P3" s="9"/>
    </row>
    <row r="4" spans="1:16" ht="43.5" customHeight="1" x14ac:dyDescent="0.25">
      <c r="A4" s="9"/>
      <c r="B4" s="42" t="s">
        <v>289</v>
      </c>
      <c r="C4" s="43"/>
      <c r="D4" s="43"/>
      <c r="E4" s="44"/>
      <c r="F4" s="9"/>
      <c r="G4" s="9"/>
      <c r="H4" s="9"/>
      <c r="I4" s="9"/>
      <c r="J4" s="9"/>
      <c r="K4" s="9"/>
      <c r="L4" s="9"/>
      <c r="M4" s="9"/>
      <c r="N4" s="9"/>
      <c r="O4" s="9"/>
      <c r="P4" s="9"/>
    </row>
    <row r="5" spans="1:16" ht="42" customHeight="1" x14ac:dyDescent="0.25">
      <c r="A5" s="9"/>
      <c r="B5" s="45" t="s">
        <v>290</v>
      </c>
      <c r="C5" s="46"/>
      <c r="D5" s="46"/>
      <c r="E5" s="47"/>
      <c r="F5" s="9"/>
      <c r="G5" s="9"/>
      <c r="H5" s="9"/>
      <c r="I5" s="9"/>
      <c r="J5" s="9"/>
      <c r="K5" s="9"/>
      <c r="L5" s="9"/>
      <c r="M5" s="9"/>
      <c r="N5" s="9"/>
      <c r="O5" s="9"/>
      <c r="P5" s="9"/>
    </row>
    <row r="6" spans="1:16" x14ac:dyDescent="0.25">
      <c r="A6" s="9"/>
      <c r="B6" s="9"/>
      <c r="C6" s="9"/>
      <c r="D6" s="9"/>
      <c r="E6" s="9"/>
      <c r="F6" s="9"/>
      <c r="G6" s="9"/>
      <c r="H6" s="9"/>
      <c r="I6" s="9"/>
      <c r="J6" s="9"/>
      <c r="K6" s="9"/>
      <c r="L6" s="9"/>
      <c r="M6" s="9"/>
      <c r="N6" s="9"/>
      <c r="O6" s="9"/>
      <c r="P6" s="9"/>
    </row>
    <row r="7" spans="1:16" x14ac:dyDescent="0.25">
      <c r="A7" s="22"/>
      <c r="B7" s="22" t="s">
        <v>291</v>
      </c>
      <c r="C7" s="23">
        <f>C16/$H$16</f>
        <v>0.27906976744186046</v>
      </c>
      <c r="D7" s="23">
        <f>D16/$H$16</f>
        <v>0</v>
      </c>
      <c r="E7" s="23">
        <f>E16/$H$16</f>
        <v>0.32558139534883723</v>
      </c>
      <c r="F7" s="23">
        <f>F16/$H$16</f>
        <v>0.39534883720930231</v>
      </c>
      <c r="G7" s="22"/>
      <c r="H7" s="23">
        <f>SUM(C7:F7)</f>
        <v>1</v>
      </c>
      <c r="I7" s="22"/>
      <c r="J7" s="22" t="s">
        <v>291</v>
      </c>
      <c r="K7" s="23">
        <f>K16/$H$16</f>
        <v>0.37209302325581395</v>
      </c>
      <c r="L7" s="23">
        <f t="shared" ref="L7:N7" si="0">L16/$H$16</f>
        <v>0</v>
      </c>
      <c r="M7" s="23">
        <f t="shared" si="0"/>
        <v>4.6511627906976744E-2</v>
      </c>
      <c r="N7" s="23">
        <f t="shared" si="0"/>
        <v>0.58139534883720934</v>
      </c>
      <c r="O7" s="22"/>
      <c r="P7" s="23">
        <f>SUM(K7:N7)</f>
        <v>1</v>
      </c>
    </row>
    <row r="8" spans="1:16" ht="15.75" thickBot="1" x14ac:dyDescent="0.3">
      <c r="A8" s="9"/>
      <c r="B8" s="9"/>
      <c r="C8" s="24" t="s">
        <v>292</v>
      </c>
      <c r="D8" s="24" t="s">
        <v>293</v>
      </c>
      <c r="E8" s="24" t="s">
        <v>294</v>
      </c>
      <c r="F8" s="24" t="s">
        <v>295</v>
      </c>
      <c r="G8" s="9"/>
      <c r="H8" s="24" t="s">
        <v>296</v>
      </c>
      <c r="I8" s="9"/>
      <c r="J8" s="9"/>
      <c r="K8" s="24" t="s">
        <v>292</v>
      </c>
      <c r="L8" s="24" t="s">
        <v>293</v>
      </c>
      <c r="M8" s="24" t="s">
        <v>294</v>
      </c>
      <c r="N8" s="24" t="s">
        <v>295</v>
      </c>
      <c r="O8" s="9"/>
      <c r="P8" s="24" t="s">
        <v>296</v>
      </c>
    </row>
    <row r="9" spans="1:16" s="7" customFormat="1" ht="38.25" x14ac:dyDescent="0.25">
      <c r="A9" s="14"/>
      <c r="B9" s="29" t="s">
        <v>272</v>
      </c>
      <c r="C9" s="30" t="s">
        <v>281</v>
      </c>
      <c r="D9" s="30" t="s">
        <v>282</v>
      </c>
      <c r="E9" s="30" t="s">
        <v>283</v>
      </c>
      <c r="F9" s="30" t="s">
        <v>284</v>
      </c>
      <c r="G9" s="30" t="s">
        <v>285</v>
      </c>
      <c r="H9" s="26" t="s">
        <v>63</v>
      </c>
      <c r="I9" s="25"/>
      <c r="J9" s="29" t="s">
        <v>272</v>
      </c>
      <c r="K9" s="30" t="s">
        <v>317</v>
      </c>
      <c r="L9" s="30" t="s">
        <v>298</v>
      </c>
      <c r="M9" s="30" t="s">
        <v>299</v>
      </c>
      <c r="N9" s="30" t="s">
        <v>300</v>
      </c>
      <c r="O9" s="30" t="s">
        <v>301</v>
      </c>
      <c r="P9" s="15" t="s">
        <v>63</v>
      </c>
    </row>
    <row r="10" spans="1:16" x14ac:dyDescent="0.25">
      <c r="A10" s="9"/>
      <c r="B10" s="27" t="s">
        <v>53</v>
      </c>
      <c r="C10" s="28">
        <v>1</v>
      </c>
      <c r="D10" s="28">
        <v>0</v>
      </c>
      <c r="E10" s="28">
        <v>0</v>
      </c>
      <c r="F10" s="28">
        <v>0</v>
      </c>
      <c r="G10" s="28">
        <v>0</v>
      </c>
      <c r="H10" s="11">
        <f t="shared" ref="H10:H15" si="1">SUM(C10:F10)</f>
        <v>1</v>
      </c>
      <c r="I10" s="9"/>
      <c r="J10" s="27" t="s">
        <v>53</v>
      </c>
      <c r="K10" s="28">
        <v>0</v>
      </c>
      <c r="L10" s="28">
        <v>0</v>
      </c>
      <c r="M10" s="28">
        <v>1</v>
      </c>
      <c r="N10" s="28">
        <v>0</v>
      </c>
      <c r="O10" s="28">
        <v>0</v>
      </c>
      <c r="P10" s="11">
        <f>SUM(K10:N10)</f>
        <v>1</v>
      </c>
    </row>
    <row r="11" spans="1:16" x14ac:dyDescent="0.25">
      <c r="A11" s="9"/>
      <c r="B11" s="27" t="s">
        <v>54</v>
      </c>
      <c r="C11" s="28">
        <v>0</v>
      </c>
      <c r="D11" s="28">
        <v>0</v>
      </c>
      <c r="E11" s="28">
        <v>5</v>
      </c>
      <c r="F11" s="28">
        <v>2</v>
      </c>
      <c r="G11" s="28">
        <v>0</v>
      </c>
      <c r="H11" s="11">
        <f t="shared" si="1"/>
        <v>7</v>
      </c>
      <c r="I11" s="9"/>
      <c r="J11" s="27" t="s">
        <v>54</v>
      </c>
      <c r="K11" s="28">
        <v>1</v>
      </c>
      <c r="L11" s="28">
        <v>0</v>
      </c>
      <c r="M11" s="28">
        <v>1</v>
      </c>
      <c r="N11" s="28">
        <v>5</v>
      </c>
      <c r="O11" s="28">
        <v>0</v>
      </c>
      <c r="P11" s="11">
        <f t="shared" ref="P11:P15" si="2">SUM(K11:N11)</f>
        <v>7</v>
      </c>
    </row>
    <row r="12" spans="1:16" x14ac:dyDescent="0.25">
      <c r="A12" s="9"/>
      <c r="B12" s="27" t="s">
        <v>55</v>
      </c>
      <c r="C12" s="28">
        <v>4</v>
      </c>
      <c r="D12" s="28">
        <v>0</v>
      </c>
      <c r="E12" s="28">
        <v>3</v>
      </c>
      <c r="F12" s="28">
        <v>1</v>
      </c>
      <c r="G12" s="28">
        <v>0</v>
      </c>
      <c r="H12" s="11">
        <f t="shared" si="1"/>
        <v>8</v>
      </c>
      <c r="I12" s="9"/>
      <c r="J12" s="27" t="s">
        <v>55</v>
      </c>
      <c r="K12" s="28">
        <v>6</v>
      </c>
      <c r="L12" s="28">
        <v>0</v>
      </c>
      <c r="M12" s="28">
        <v>0</v>
      </c>
      <c r="N12" s="28">
        <v>2</v>
      </c>
      <c r="O12" s="28">
        <v>0</v>
      </c>
      <c r="P12" s="11">
        <f t="shared" si="2"/>
        <v>8</v>
      </c>
    </row>
    <row r="13" spans="1:16" x14ac:dyDescent="0.25">
      <c r="A13" s="9"/>
      <c r="B13" s="27" t="s">
        <v>56</v>
      </c>
      <c r="C13" s="28">
        <v>1</v>
      </c>
      <c r="D13" s="28">
        <v>0</v>
      </c>
      <c r="E13" s="28">
        <v>1</v>
      </c>
      <c r="F13" s="28">
        <v>2</v>
      </c>
      <c r="G13" s="28">
        <v>0</v>
      </c>
      <c r="H13" s="11">
        <f t="shared" si="1"/>
        <v>4</v>
      </c>
      <c r="I13" s="9"/>
      <c r="J13" s="27" t="s">
        <v>56</v>
      </c>
      <c r="K13" s="28">
        <v>0</v>
      </c>
      <c r="L13" s="28">
        <v>0</v>
      </c>
      <c r="M13" s="28">
        <v>0</v>
      </c>
      <c r="N13" s="28">
        <v>4</v>
      </c>
      <c r="O13" s="28">
        <v>0</v>
      </c>
      <c r="P13" s="11">
        <f t="shared" si="2"/>
        <v>4</v>
      </c>
    </row>
    <row r="14" spans="1:16" x14ac:dyDescent="0.25">
      <c r="A14" s="9"/>
      <c r="B14" s="27" t="s">
        <v>57</v>
      </c>
      <c r="C14" s="28">
        <v>6</v>
      </c>
      <c r="D14" s="28">
        <v>0</v>
      </c>
      <c r="E14" s="28">
        <v>5</v>
      </c>
      <c r="F14" s="28">
        <v>11</v>
      </c>
      <c r="G14" s="28">
        <v>2</v>
      </c>
      <c r="H14" s="11">
        <f t="shared" si="1"/>
        <v>22</v>
      </c>
      <c r="I14" s="9"/>
      <c r="J14" s="27" t="s">
        <v>57</v>
      </c>
      <c r="K14" s="28">
        <v>9</v>
      </c>
      <c r="L14" s="28">
        <v>0</v>
      </c>
      <c r="M14" s="28">
        <v>0</v>
      </c>
      <c r="N14" s="28">
        <v>13</v>
      </c>
      <c r="O14" s="28">
        <v>0</v>
      </c>
      <c r="P14" s="11">
        <f t="shared" si="2"/>
        <v>22</v>
      </c>
    </row>
    <row r="15" spans="1:16" x14ac:dyDescent="0.25">
      <c r="A15" s="9"/>
      <c r="B15" s="27" t="s">
        <v>58</v>
      </c>
      <c r="C15" s="28">
        <v>0</v>
      </c>
      <c r="D15" s="28">
        <v>0</v>
      </c>
      <c r="E15" s="28">
        <v>0</v>
      </c>
      <c r="F15" s="28">
        <v>1</v>
      </c>
      <c r="G15" s="28">
        <v>0</v>
      </c>
      <c r="H15" s="11">
        <f t="shared" si="1"/>
        <v>1</v>
      </c>
      <c r="I15" s="9"/>
      <c r="J15" s="27" t="s">
        <v>58</v>
      </c>
      <c r="K15" s="28">
        <v>0</v>
      </c>
      <c r="L15" s="28">
        <v>0</v>
      </c>
      <c r="M15" s="28">
        <v>0</v>
      </c>
      <c r="N15" s="28">
        <v>1</v>
      </c>
      <c r="O15" s="28">
        <v>0</v>
      </c>
      <c r="P15" s="11">
        <f t="shared" si="2"/>
        <v>1</v>
      </c>
    </row>
    <row r="16" spans="1:16" ht="15.75" thickBot="1" x14ac:dyDescent="0.3">
      <c r="A16" s="9"/>
      <c r="B16" s="27" t="s">
        <v>273</v>
      </c>
      <c r="C16" s="28">
        <v>12</v>
      </c>
      <c r="D16" s="28">
        <v>0</v>
      </c>
      <c r="E16" s="28">
        <v>14</v>
      </c>
      <c r="F16" s="28">
        <v>17</v>
      </c>
      <c r="G16" s="28">
        <v>2</v>
      </c>
      <c r="H16" s="12">
        <f>SUM(H10:H15)</f>
        <v>43</v>
      </c>
      <c r="I16" s="9"/>
      <c r="J16" s="27" t="s">
        <v>273</v>
      </c>
      <c r="K16" s="28">
        <v>16</v>
      </c>
      <c r="L16" s="28">
        <v>0</v>
      </c>
      <c r="M16" s="28">
        <v>2</v>
      </c>
      <c r="N16" s="28">
        <v>25</v>
      </c>
      <c r="O16" s="28">
        <v>0</v>
      </c>
      <c r="P16" s="12">
        <f>SUM(P10:P15)</f>
        <v>43</v>
      </c>
    </row>
  </sheetData>
  <mergeCells count="3">
    <mergeCell ref="B1:H1"/>
    <mergeCell ref="B4:E4"/>
    <mergeCell ref="B5:E5"/>
  </mergeCells>
  <pageMargins left="0.7" right="0.7" top="0.75" bottom="0.75" header="0.3" footer="0.3"/>
  <pageSetup scale="43" orientation="portrait" verticalDpi="0" r:id="rId3"/>
  <colBreaks count="1" manualBreakCount="1">
    <brk id="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3491-C651-4B54-A707-E02AC45DF906}">
  <dimension ref="A1:P16"/>
  <sheetViews>
    <sheetView tabSelected="1" view="pageBreakPreview" topLeftCell="H4" zoomScale="90" zoomScaleNormal="100" zoomScaleSheetLayoutView="90" workbookViewId="0">
      <selection activeCell="O33" sqref="O33"/>
    </sheetView>
  </sheetViews>
  <sheetFormatPr defaultRowHeight="15" x14ac:dyDescent="0.25"/>
  <cols>
    <col min="1" max="1" width="3.28515625" customWidth="1"/>
    <col min="2" max="2" width="55" bestFit="1" customWidth="1"/>
    <col min="3" max="3" width="32.140625" bestFit="1" customWidth="1"/>
    <col min="4" max="4" width="27.28515625" bestFit="1" customWidth="1"/>
    <col min="5" max="5" width="32.42578125" bestFit="1" customWidth="1"/>
    <col min="6" max="6" width="17.42578125" bestFit="1" customWidth="1"/>
    <col min="7" max="7" width="25.28515625" bestFit="1" customWidth="1"/>
    <col min="8" max="8" width="12.85546875" customWidth="1"/>
    <col min="9" max="9" width="3.85546875" customWidth="1"/>
    <col min="10" max="10" width="55" bestFit="1" customWidth="1"/>
    <col min="11" max="11" width="32.7109375" customWidth="1"/>
    <col min="12" max="12" width="32" bestFit="1" customWidth="1"/>
    <col min="13" max="13" width="32.42578125" bestFit="1" customWidth="1"/>
    <col min="14" max="14" width="17.42578125" bestFit="1" customWidth="1"/>
    <col min="15" max="15" width="25.28515625" bestFit="1" customWidth="1"/>
    <col min="16" max="16" width="12.28515625" bestFit="1" customWidth="1"/>
    <col min="17" max="17" width="3.85546875" customWidth="1"/>
  </cols>
  <sheetData>
    <row r="1" spans="1:16" x14ac:dyDescent="0.25">
      <c r="A1" s="5"/>
      <c r="B1" s="41" t="s">
        <v>274</v>
      </c>
      <c r="C1" s="41"/>
      <c r="D1" s="41"/>
      <c r="E1" s="41"/>
      <c r="F1" s="41"/>
      <c r="G1" s="41"/>
      <c r="H1" s="41"/>
      <c r="I1" s="5"/>
      <c r="J1" s="5"/>
      <c r="K1" s="5"/>
      <c r="L1" s="5"/>
      <c r="M1" s="5"/>
      <c r="N1" s="5"/>
      <c r="O1" s="5"/>
      <c r="P1" s="5"/>
    </row>
    <row r="2" spans="1:16" ht="20.25" x14ac:dyDescent="0.3">
      <c r="A2" s="5"/>
      <c r="B2" s="13" t="s">
        <v>275</v>
      </c>
      <c r="C2" s="18"/>
      <c r="D2" s="18"/>
      <c r="E2" s="18"/>
      <c r="F2" s="5"/>
      <c r="G2" s="5"/>
      <c r="H2" s="21" t="s">
        <v>318</v>
      </c>
      <c r="I2" s="5"/>
      <c r="J2" s="5"/>
      <c r="K2" s="5"/>
      <c r="L2" s="5"/>
      <c r="M2" s="5"/>
      <c r="N2" s="5"/>
      <c r="O2" s="5"/>
      <c r="P2" s="5"/>
    </row>
    <row r="3" spans="1:16" x14ac:dyDescent="0.25">
      <c r="A3" s="9"/>
      <c r="B3" s="9"/>
      <c r="C3" s="9"/>
      <c r="D3" s="9"/>
      <c r="E3" s="9"/>
      <c r="F3" s="9"/>
      <c r="G3" s="9"/>
      <c r="H3" s="9"/>
      <c r="I3" s="9"/>
      <c r="J3" s="9"/>
      <c r="K3" s="9"/>
      <c r="L3" s="9"/>
      <c r="M3" s="9"/>
      <c r="N3" s="9"/>
      <c r="O3" s="9"/>
      <c r="P3" s="9"/>
    </row>
    <row r="4" spans="1:16" ht="45" customHeight="1" x14ac:dyDescent="0.25">
      <c r="A4" s="9"/>
      <c r="B4" s="42" t="s">
        <v>289</v>
      </c>
      <c r="C4" s="43"/>
      <c r="D4" s="43"/>
      <c r="E4" s="44"/>
      <c r="F4" s="9"/>
      <c r="G4" s="9"/>
      <c r="H4" s="9"/>
      <c r="I4" s="9"/>
      <c r="J4" s="9"/>
      <c r="K4" s="9"/>
      <c r="L4" s="9"/>
      <c r="M4" s="9"/>
      <c r="N4" s="9"/>
      <c r="O4" s="9"/>
      <c r="P4" s="9"/>
    </row>
    <row r="5" spans="1:16" ht="45" customHeight="1" x14ac:dyDescent="0.25">
      <c r="A5" s="9"/>
      <c r="B5" s="45" t="s">
        <v>290</v>
      </c>
      <c r="C5" s="46"/>
      <c r="D5" s="46"/>
      <c r="E5" s="47"/>
      <c r="F5" s="9"/>
      <c r="G5" s="9"/>
      <c r="H5" s="9"/>
      <c r="I5" s="9"/>
      <c r="J5" s="9"/>
      <c r="K5" s="9"/>
      <c r="L5" s="9"/>
      <c r="M5" s="9"/>
      <c r="N5" s="9"/>
      <c r="O5" s="9"/>
      <c r="P5" s="9"/>
    </row>
    <row r="6" spans="1:16" x14ac:dyDescent="0.25">
      <c r="A6" s="9"/>
      <c r="B6" s="9"/>
      <c r="C6" s="9"/>
      <c r="D6" s="9"/>
      <c r="E6" s="9"/>
      <c r="F6" s="9"/>
      <c r="G6" s="9"/>
      <c r="H6" s="9"/>
      <c r="I6" s="9"/>
      <c r="J6" s="9"/>
      <c r="K6" s="9"/>
      <c r="L6" s="9"/>
      <c r="M6" s="9"/>
      <c r="N6" s="9"/>
      <c r="O6" s="9"/>
      <c r="P6" s="9"/>
    </row>
    <row r="7" spans="1:16" x14ac:dyDescent="0.25">
      <c r="A7" s="22"/>
      <c r="B7" s="22" t="s">
        <v>291</v>
      </c>
      <c r="C7" s="23">
        <f>C16/$H$16</f>
        <v>0.32558139534883723</v>
      </c>
      <c r="D7" s="23">
        <f>D16/$H$16</f>
        <v>0</v>
      </c>
      <c r="E7" s="23">
        <f>E16/$H$16</f>
        <v>0.37209302325581395</v>
      </c>
      <c r="F7" s="23">
        <f>F16/$H$16</f>
        <v>0.30232558139534882</v>
      </c>
      <c r="G7" s="22"/>
      <c r="H7" s="23">
        <f>SUM(C7:F7)</f>
        <v>1</v>
      </c>
      <c r="I7" s="22"/>
      <c r="J7" s="22" t="s">
        <v>291</v>
      </c>
      <c r="K7" s="23">
        <f>K16/$H$16</f>
        <v>0.32558139534883723</v>
      </c>
      <c r="L7" s="23">
        <f t="shared" ref="L7:N7" si="0">L16/$H$16</f>
        <v>0</v>
      </c>
      <c r="M7" s="23">
        <f t="shared" si="0"/>
        <v>0.16279069767441862</v>
      </c>
      <c r="N7" s="23">
        <f t="shared" si="0"/>
        <v>0.51162790697674421</v>
      </c>
      <c r="O7" s="22"/>
      <c r="P7" s="23">
        <f>SUM(K7:N7)</f>
        <v>1</v>
      </c>
    </row>
    <row r="8" spans="1:16" ht="15.75" thickBot="1" x14ac:dyDescent="0.3">
      <c r="A8" s="9"/>
      <c r="B8" s="9"/>
      <c r="C8" s="24" t="s">
        <v>292</v>
      </c>
      <c r="D8" s="24" t="s">
        <v>293</v>
      </c>
      <c r="E8" s="24" t="s">
        <v>294</v>
      </c>
      <c r="F8" s="24" t="s">
        <v>295</v>
      </c>
      <c r="G8" s="9"/>
      <c r="H8" s="24" t="s">
        <v>296</v>
      </c>
      <c r="I8" s="9"/>
      <c r="J8" s="9"/>
      <c r="K8" s="24" t="s">
        <v>292</v>
      </c>
      <c r="L8" s="24" t="s">
        <v>293</v>
      </c>
      <c r="M8" s="24" t="s">
        <v>294</v>
      </c>
      <c r="N8" s="24" t="s">
        <v>295</v>
      </c>
      <c r="O8" s="9"/>
      <c r="P8" s="24" t="s">
        <v>296</v>
      </c>
    </row>
    <row r="9" spans="1:16" s="7" customFormat="1" ht="25.5" x14ac:dyDescent="0.25">
      <c r="A9" s="14"/>
      <c r="B9" s="29" t="s">
        <v>272</v>
      </c>
      <c r="C9" s="30" t="s">
        <v>281</v>
      </c>
      <c r="D9" s="30" t="s">
        <v>282</v>
      </c>
      <c r="E9" s="30" t="s">
        <v>283</v>
      </c>
      <c r="F9" s="30" t="s">
        <v>284</v>
      </c>
      <c r="G9" s="30" t="s">
        <v>285</v>
      </c>
      <c r="H9" s="26" t="s">
        <v>63</v>
      </c>
      <c r="I9" s="25"/>
      <c r="J9" s="29" t="s">
        <v>272</v>
      </c>
      <c r="K9" s="30" t="s">
        <v>297</v>
      </c>
      <c r="L9" s="30" t="s">
        <v>298</v>
      </c>
      <c r="M9" s="30" t="s">
        <v>299</v>
      </c>
      <c r="N9" s="30" t="s">
        <v>300</v>
      </c>
      <c r="O9" s="30" t="s">
        <v>301</v>
      </c>
      <c r="P9" s="15" t="s">
        <v>63</v>
      </c>
    </row>
    <row r="10" spans="1:16" x14ac:dyDescent="0.25">
      <c r="A10" s="9"/>
      <c r="B10" s="27" t="s">
        <v>53</v>
      </c>
      <c r="C10" s="28">
        <v>1</v>
      </c>
      <c r="D10" s="28">
        <v>0</v>
      </c>
      <c r="E10" s="28">
        <v>0</v>
      </c>
      <c r="F10" s="28">
        <v>0</v>
      </c>
      <c r="G10" s="28">
        <v>0</v>
      </c>
      <c r="H10" s="11">
        <f t="shared" ref="H10:H15" si="1">SUM(C10:F10)</f>
        <v>1</v>
      </c>
      <c r="I10" s="9"/>
      <c r="J10" s="27" t="s">
        <v>53</v>
      </c>
      <c r="K10" s="28">
        <v>0</v>
      </c>
      <c r="L10" s="28">
        <v>0</v>
      </c>
      <c r="M10" s="28">
        <v>1</v>
      </c>
      <c r="N10" s="28">
        <v>0</v>
      </c>
      <c r="O10" s="28">
        <v>0</v>
      </c>
      <c r="P10" s="11">
        <f>SUM(K10:N10)</f>
        <v>1</v>
      </c>
    </row>
    <row r="11" spans="1:16" x14ac:dyDescent="0.25">
      <c r="A11" s="9"/>
      <c r="B11" s="27" t="s">
        <v>54</v>
      </c>
      <c r="C11" s="28">
        <v>0</v>
      </c>
      <c r="D11" s="28">
        <v>0</v>
      </c>
      <c r="E11" s="28">
        <v>6</v>
      </c>
      <c r="F11" s="28">
        <v>1</v>
      </c>
      <c r="G11" s="28">
        <v>0</v>
      </c>
      <c r="H11" s="11">
        <f t="shared" si="1"/>
        <v>7</v>
      </c>
      <c r="I11" s="9"/>
      <c r="J11" s="27" t="s">
        <v>54</v>
      </c>
      <c r="K11" s="28">
        <v>1</v>
      </c>
      <c r="L11" s="28">
        <v>0</v>
      </c>
      <c r="M11" s="28">
        <v>3</v>
      </c>
      <c r="N11" s="28">
        <v>3</v>
      </c>
      <c r="O11" s="28">
        <v>0</v>
      </c>
      <c r="P11" s="11">
        <f t="shared" ref="P11:P15" si="2">SUM(K11:N11)</f>
        <v>7</v>
      </c>
    </row>
    <row r="12" spans="1:16" x14ac:dyDescent="0.25">
      <c r="A12" s="9"/>
      <c r="B12" s="27" t="s">
        <v>55</v>
      </c>
      <c r="C12" s="28">
        <v>5</v>
      </c>
      <c r="D12" s="28">
        <v>0</v>
      </c>
      <c r="E12" s="28">
        <v>2</v>
      </c>
      <c r="F12" s="28">
        <v>1</v>
      </c>
      <c r="G12" s="28">
        <v>1</v>
      </c>
      <c r="H12" s="11">
        <f t="shared" si="1"/>
        <v>8</v>
      </c>
      <c r="I12" s="9"/>
      <c r="J12" s="27" t="s">
        <v>55</v>
      </c>
      <c r="K12" s="28">
        <v>5</v>
      </c>
      <c r="L12" s="28">
        <v>0</v>
      </c>
      <c r="M12" s="28">
        <v>2</v>
      </c>
      <c r="N12" s="28">
        <v>1</v>
      </c>
      <c r="O12" s="28">
        <v>0</v>
      </c>
      <c r="P12" s="11">
        <f t="shared" si="2"/>
        <v>8</v>
      </c>
    </row>
    <row r="13" spans="1:16" x14ac:dyDescent="0.25">
      <c r="A13" s="9"/>
      <c r="B13" s="27" t="s">
        <v>56</v>
      </c>
      <c r="C13" s="28">
        <v>1</v>
      </c>
      <c r="D13" s="28">
        <v>0</v>
      </c>
      <c r="E13" s="28">
        <v>2</v>
      </c>
      <c r="F13" s="28">
        <v>1</v>
      </c>
      <c r="G13" s="28">
        <v>0</v>
      </c>
      <c r="H13" s="11">
        <f t="shared" si="1"/>
        <v>4</v>
      </c>
      <c r="I13" s="9"/>
      <c r="J13" s="27" t="s">
        <v>56</v>
      </c>
      <c r="K13" s="28">
        <v>0</v>
      </c>
      <c r="L13" s="28">
        <v>0</v>
      </c>
      <c r="M13" s="28">
        <v>0</v>
      </c>
      <c r="N13" s="28">
        <v>4</v>
      </c>
      <c r="O13" s="28">
        <v>0</v>
      </c>
      <c r="P13" s="11">
        <f t="shared" si="2"/>
        <v>4</v>
      </c>
    </row>
    <row r="14" spans="1:16" x14ac:dyDescent="0.25">
      <c r="A14" s="9"/>
      <c r="B14" s="27" t="s">
        <v>57</v>
      </c>
      <c r="C14" s="28">
        <v>7</v>
      </c>
      <c r="D14" s="28">
        <v>0</v>
      </c>
      <c r="E14" s="28">
        <v>6</v>
      </c>
      <c r="F14" s="28">
        <v>9</v>
      </c>
      <c r="G14" s="28">
        <v>2</v>
      </c>
      <c r="H14" s="11">
        <f t="shared" si="1"/>
        <v>22</v>
      </c>
      <c r="I14" s="9"/>
      <c r="J14" s="27" t="s">
        <v>57</v>
      </c>
      <c r="K14" s="28">
        <v>8</v>
      </c>
      <c r="L14" s="28">
        <v>0</v>
      </c>
      <c r="M14" s="28">
        <v>1</v>
      </c>
      <c r="N14" s="28">
        <v>13</v>
      </c>
      <c r="O14" s="28">
        <v>0</v>
      </c>
      <c r="P14" s="11">
        <f t="shared" si="2"/>
        <v>22</v>
      </c>
    </row>
    <row r="15" spans="1:16" x14ac:dyDescent="0.25">
      <c r="A15" s="9"/>
      <c r="B15" s="27" t="s">
        <v>58</v>
      </c>
      <c r="C15" s="28">
        <v>0</v>
      </c>
      <c r="D15" s="28">
        <v>0</v>
      </c>
      <c r="E15" s="28">
        <v>0</v>
      </c>
      <c r="F15" s="28">
        <v>1</v>
      </c>
      <c r="G15" s="28">
        <v>0</v>
      </c>
      <c r="H15" s="11">
        <f t="shared" si="1"/>
        <v>1</v>
      </c>
      <c r="I15" s="9"/>
      <c r="J15" s="27" t="s">
        <v>58</v>
      </c>
      <c r="K15" s="28">
        <v>0</v>
      </c>
      <c r="L15" s="28">
        <v>0</v>
      </c>
      <c r="M15" s="28">
        <v>0</v>
      </c>
      <c r="N15" s="28">
        <v>1</v>
      </c>
      <c r="O15" s="28">
        <v>0</v>
      </c>
      <c r="P15" s="11">
        <f t="shared" si="2"/>
        <v>1</v>
      </c>
    </row>
    <row r="16" spans="1:16" ht="15.75" thickBot="1" x14ac:dyDescent="0.3">
      <c r="A16" s="9"/>
      <c r="B16" s="27" t="s">
        <v>273</v>
      </c>
      <c r="C16" s="28">
        <v>14</v>
      </c>
      <c r="D16" s="28">
        <v>0</v>
      </c>
      <c r="E16" s="28">
        <v>16</v>
      </c>
      <c r="F16" s="28">
        <v>13</v>
      </c>
      <c r="G16" s="28">
        <v>3</v>
      </c>
      <c r="H16" s="12">
        <f>SUM(H10:H15)</f>
        <v>43</v>
      </c>
      <c r="I16" s="9"/>
      <c r="J16" s="27" t="s">
        <v>273</v>
      </c>
      <c r="K16" s="28">
        <v>14</v>
      </c>
      <c r="L16" s="28">
        <v>0</v>
      </c>
      <c r="M16" s="28">
        <v>7</v>
      </c>
      <c r="N16" s="28">
        <v>22</v>
      </c>
      <c r="O16" s="28">
        <v>0</v>
      </c>
      <c r="P16" s="57">
        <f>SUM(P10:P15)</f>
        <v>43</v>
      </c>
    </row>
  </sheetData>
  <mergeCells count="3">
    <mergeCell ref="B1:H1"/>
    <mergeCell ref="B4:E4"/>
    <mergeCell ref="B5:E5"/>
  </mergeCells>
  <pageMargins left="0.7" right="0.7" top="0.75" bottom="0.75" header="0.3" footer="0.3"/>
  <pageSetup scale="37" orientation="portrait" verticalDpi="0" r:id="rId3"/>
  <colBreaks count="1" manualBreakCount="1">
    <brk id="8"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D00A3-B36B-4604-AEEA-1AAF69052CEB}">
  <dimension ref="A1:Q16"/>
  <sheetViews>
    <sheetView view="pageBreakPreview" zoomScale="90" zoomScaleNormal="100" zoomScaleSheetLayoutView="90" workbookViewId="0">
      <selection activeCell="F24" sqref="F24"/>
    </sheetView>
  </sheetViews>
  <sheetFormatPr defaultRowHeight="15" x14ac:dyDescent="0.25"/>
  <cols>
    <col min="1" max="1" width="3.140625" customWidth="1"/>
    <col min="2" max="2" width="55" bestFit="1" customWidth="1"/>
    <col min="3" max="3" width="28.7109375" bestFit="1" customWidth="1"/>
    <col min="4" max="4" width="27.28515625" bestFit="1" customWidth="1"/>
    <col min="5" max="5" width="24" bestFit="1" customWidth="1"/>
    <col min="6" max="6" width="17.42578125" bestFit="1" customWidth="1"/>
    <col min="7" max="7" width="25.28515625" bestFit="1" customWidth="1"/>
    <col min="8" max="8" width="27" bestFit="1" customWidth="1"/>
    <col min="9" max="9" width="12.85546875" customWidth="1"/>
    <col min="10" max="10" width="4.5703125" customWidth="1"/>
    <col min="11" max="11" width="55" bestFit="1" customWidth="1"/>
    <col min="12" max="13" width="24.85546875" bestFit="1" customWidth="1"/>
    <col min="14" max="14" width="27.28515625" bestFit="1" customWidth="1"/>
    <col min="15" max="15" width="20.5703125" bestFit="1" customWidth="1"/>
    <col min="16" max="16" width="23.28515625" bestFit="1" customWidth="1"/>
    <col min="17" max="17" width="13.85546875" customWidth="1"/>
    <col min="18" max="18" width="5.5703125" customWidth="1"/>
  </cols>
  <sheetData>
    <row r="1" spans="1:17" x14ac:dyDescent="0.25">
      <c r="A1" s="5"/>
      <c r="B1" s="41" t="s">
        <v>274</v>
      </c>
      <c r="C1" s="41"/>
      <c r="D1" s="41"/>
      <c r="E1" s="41"/>
      <c r="F1" s="41"/>
      <c r="G1" s="41"/>
      <c r="H1" s="41"/>
      <c r="I1" s="41"/>
      <c r="J1" s="5"/>
      <c r="K1" s="5"/>
      <c r="L1" s="5"/>
      <c r="M1" s="5"/>
      <c r="N1" s="5"/>
      <c r="O1" s="5"/>
      <c r="P1" s="5"/>
      <c r="Q1" s="5"/>
    </row>
    <row r="2" spans="1:17" ht="20.25" x14ac:dyDescent="0.3">
      <c r="A2" s="5"/>
      <c r="B2" s="13" t="s">
        <v>275</v>
      </c>
      <c r="C2" s="18"/>
      <c r="D2" s="18"/>
      <c r="E2" s="18"/>
      <c r="F2" s="5"/>
      <c r="G2" s="5"/>
      <c r="H2" s="5"/>
      <c r="I2" s="21" t="s">
        <v>324</v>
      </c>
      <c r="J2" s="5"/>
      <c r="K2" s="5"/>
      <c r="L2" s="5"/>
      <c r="M2" s="5"/>
      <c r="N2" s="5"/>
      <c r="O2" s="5"/>
      <c r="P2" s="5"/>
      <c r="Q2" s="5"/>
    </row>
    <row r="3" spans="1:17" x14ac:dyDescent="0.25">
      <c r="A3" s="9"/>
      <c r="B3" s="9"/>
      <c r="C3" s="9"/>
      <c r="D3" s="9"/>
      <c r="E3" s="9"/>
      <c r="F3" s="9"/>
      <c r="G3" s="9"/>
      <c r="H3" s="9"/>
      <c r="I3" s="9"/>
      <c r="J3" s="9"/>
      <c r="K3" s="9"/>
      <c r="L3" s="9"/>
      <c r="M3" s="9"/>
      <c r="N3" s="9"/>
      <c r="O3" s="9"/>
      <c r="P3" s="9"/>
      <c r="Q3" s="9"/>
    </row>
    <row r="4" spans="1:17" ht="42" customHeight="1" x14ac:dyDescent="0.25">
      <c r="A4" s="9"/>
      <c r="B4" s="42" t="s">
        <v>289</v>
      </c>
      <c r="C4" s="43"/>
      <c r="D4" s="43"/>
      <c r="E4" s="44"/>
      <c r="F4" s="9"/>
      <c r="G4" s="9"/>
      <c r="H4" s="9"/>
      <c r="I4" s="9"/>
      <c r="J4" s="9"/>
      <c r="K4" s="9"/>
      <c r="L4" s="9"/>
      <c r="M4" s="9"/>
      <c r="N4" s="9"/>
      <c r="O4" s="9"/>
      <c r="P4" s="9"/>
      <c r="Q4" s="9"/>
    </row>
    <row r="5" spans="1:17" ht="45.75" customHeight="1" x14ac:dyDescent="0.25">
      <c r="A5" s="9"/>
      <c r="B5" s="45" t="s">
        <v>290</v>
      </c>
      <c r="C5" s="46"/>
      <c r="D5" s="46"/>
      <c r="E5" s="47"/>
      <c r="F5" s="9"/>
      <c r="G5" s="9"/>
      <c r="H5" s="9"/>
      <c r="I5" s="9"/>
      <c r="J5" s="9"/>
      <c r="K5" s="9"/>
      <c r="L5" s="9"/>
      <c r="M5" s="9"/>
      <c r="N5" s="9"/>
      <c r="O5" s="9"/>
      <c r="P5" s="9"/>
      <c r="Q5" s="9"/>
    </row>
    <row r="6" spans="1:17" x14ac:dyDescent="0.25">
      <c r="A6" s="9"/>
      <c r="B6" s="9"/>
      <c r="C6" s="9"/>
      <c r="D6" s="9"/>
      <c r="E6" s="9"/>
      <c r="F6" s="9"/>
      <c r="G6" s="9"/>
      <c r="H6" s="9"/>
      <c r="I6" s="9"/>
      <c r="J6" s="9"/>
      <c r="K6" s="9"/>
      <c r="L6" s="9"/>
      <c r="M6" s="9"/>
      <c r="N6" s="9"/>
      <c r="O6" s="9"/>
      <c r="P6" s="9"/>
      <c r="Q6" s="9"/>
    </row>
    <row r="7" spans="1:17" x14ac:dyDescent="0.25">
      <c r="A7" s="22"/>
      <c r="B7" s="22" t="s">
        <v>291</v>
      </c>
      <c r="C7" s="23">
        <f>C16/$I$16</f>
        <v>0.2558139534883721</v>
      </c>
      <c r="D7" s="23">
        <f>D16/$I$16</f>
        <v>0</v>
      </c>
      <c r="E7" s="23">
        <f>E16/$I$16</f>
        <v>0.51162790697674421</v>
      </c>
      <c r="F7" s="23">
        <f>F16/$I$16</f>
        <v>0.23255813953488372</v>
      </c>
      <c r="G7" s="22"/>
      <c r="H7" s="22"/>
      <c r="I7" s="23">
        <f>SUM(C7:F7)</f>
        <v>1</v>
      </c>
      <c r="J7" s="22"/>
      <c r="K7" s="22" t="s">
        <v>291</v>
      </c>
      <c r="L7" s="23">
        <f>L16/$I$16</f>
        <v>0.34883720930232559</v>
      </c>
      <c r="M7" s="23">
        <f t="shared" ref="M7:O7" si="0">M16/$I$16</f>
        <v>0</v>
      </c>
      <c r="N7" s="23">
        <f t="shared" si="0"/>
        <v>0.11627906976744186</v>
      </c>
      <c r="O7" s="23">
        <f t="shared" si="0"/>
        <v>0.53488372093023251</v>
      </c>
      <c r="P7" s="22"/>
      <c r="Q7" s="23">
        <f>SUM(L7:O7)</f>
        <v>1</v>
      </c>
    </row>
    <row r="8" spans="1:17" ht="15.75" thickBot="1" x14ac:dyDescent="0.3">
      <c r="A8" s="9"/>
      <c r="B8" s="9"/>
      <c r="C8" s="24" t="s">
        <v>292</v>
      </c>
      <c r="D8" s="24" t="s">
        <v>293</v>
      </c>
      <c r="E8" s="24" t="s">
        <v>294</v>
      </c>
      <c r="F8" s="24" t="s">
        <v>295</v>
      </c>
      <c r="G8" s="9"/>
      <c r="H8" s="9"/>
      <c r="I8" s="24" t="s">
        <v>296</v>
      </c>
      <c r="J8" s="9"/>
      <c r="K8" s="9"/>
      <c r="L8" s="24" t="s">
        <v>292</v>
      </c>
      <c r="M8" s="24" t="s">
        <v>293</v>
      </c>
      <c r="N8" s="24" t="s">
        <v>294</v>
      </c>
      <c r="O8" s="24" t="s">
        <v>295</v>
      </c>
      <c r="P8" s="9"/>
      <c r="Q8" s="24" t="s">
        <v>296</v>
      </c>
    </row>
    <row r="9" spans="1:17" s="7" customFormat="1" ht="38.25" x14ac:dyDescent="0.25">
      <c r="A9" s="14"/>
      <c r="B9" s="29" t="s">
        <v>272</v>
      </c>
      <c r="C9" s="30" t="s">
        <v>281</v>
      </c>
      <c r="D9" s="30" t="s">
        <v>282</v>
      </c>
      <c r="E9" s="30" t="s">
        <v>283</v>
      </c>
      <c r="F9" s="30" t="s">
        <v>284</v>
      </c>
      <c r="G9" s="30" t="s">
        <v>285</v>
      </c>
      <c r="H9" s="30" t="s">
        <v>323</v>
      </c>
      <c r="I9" s="26" t="s">
        <v>63</v>
      </c>
      <c r="J9" s="25"/>
      <c r="K9" s="29" t="s">
        <v>272</v>
      </c>
      <c r="L9" s="30" t="s">
        <v>297</v>
      </c>
      <c r="M9" s="30" t="s">
        <v>322</v>
      </c>
      <c r="N9" s="30" t="s">
        <v>319</v>
      </c>
      <c r="O9" s="30" t="s">
        <v>320</v>
      </c>
      <c r="P9" s="30" t="s">
        <v>321</v>
      </c>
      <c r="Q9" s="15" t="s">
        <v>63</v>
      </c>
    </row>
    <row r="10" spans="1:17" x14ac:dyDescent="0.25">
      <c r="A10" s="9"/>
      <c r="B10" s="27" t="s">
        <v>53</v>
      </c>
      <c r="C10" s="28">
        <v>0</v>
      </c>
      <c r="D10" s="28">
        <v>0</v>
      </c>
      <c r="E10" s="28">
        <v>1</v>
      </c>
      <c r="F10" s="28">
        <v>0</v>
      </c>
      <c r="G10" s="28">
        <v>0</v>
      </c>
      <c r="H10" s="28">
        <v>0</v>
      </c>
      <c r="I10" s="11">
        <f t="shared" ref="I10:I15" si="1">SUM(C10:F10)</f>
        <v>1</v>
      </c>
      <c r="J10" s="9"/>
      <c r="K10" s="27" t="s">
        <v>53</v>
      </c>
      <c r="L10" s="28">
        <v>0</v>
      </c>
      <c r="M10" s="28">
        <v>0</v>
      </c>
      <c r="N10" s="28">
        <v>1</v>
      </c>
      <c r="O10" s="28">
        <v>0</v>
      </c>
      <c r="P10" s="28">
        <v>0</v>
      </c>
      <c r="Q10" s="11">
        <f>SUM(L10:O10)</f>
        <v>1</v>
      </c>
    </row>
    <row r="11" spans="1:17" x14ac:dyDescent="0.25">
      <c r="A11" s="9"/>
      <c r="B11" s="27" t="s">
        <v>54</v>
      </c>
      <c r="C11" s="28">
        <v>1</v>
      </c>
      <c r="D11" s="28">
        <v>0</v>
      </c>
      <c r="E11" s="28">
        <v>5</v>
      </c>
      <c r="F11" s="28">
        <v>1</v>
      </c>
      <c r="G11" s="28">
        <v>0</v>
      </c>
      <c r="H11" s="28">
        <v>2</v>
      </c>
      <c r="I11" s="11">
        <f t="shared" si="1"/>
        <v>7</v>
      </c>
      <c r="J11" s="9"/>
      <c r="K11" s="27" t="s">
        <v>54</v>
      </c>
      <c r="L11" s="28">
        <v>1</v>
      </c>
      <c r="M11" s="28">
        <v>0</v>
      </c>
      <c r="N11" s="28">
        <v>3</v>
      </c>
      <c r="O11" s="28">
        <v>3</v>
      </c>
      <c r="P11" s="28">
        <v>0</v>
      </c>
      <c r="Q11" s="11">
        <f t="shared" ref="Q11:Q15" si="2">SUM(L11:O11)</f>
        <v>7</v>
      </c>
    </row>
    <row r="12" spans="1:17" x14ac:dyDescent="0.25">
      <c r="A12" s="9"/>
      <c r="B12" s="27" t="s">
        <v>55</v>
      </c>
      <c r="C12" s="28">
        <v>2</v>
      </c>
      <c r="D12" s="28">
        <v>0</v>
      </c>
      <c r="E12" s="28">
        <v>6</v>
      </c>
      <c r="F12" s="28">
        <v>0</v>
      </c>
      <c r="G12" s="28">
        <v>0</v>
      </c>
      <c r="H12" s="28">
        <v>2</v>
      </c>
      <c r="I12" s="11">
        <f t="shared" si="1"/>
        <v>8</v>
      </c>
      <c r="J12" s="9"/>
      <c r="K12" s="27" t="s">
        <v>55</v>
      </c>
      <c r="L12" s="28">
        <v>6</v>
      </c>
      <c r="M12" s="28">
        <v>0</v>
      </c>
      <c r="N12" s="28">
        <v>0</v>
      </c>
      <c r="O12" s="28">
        <v>2</v>
      </c>
      <c r="P12" s="28">
        <v>0</v>
      </c>
      <c r="Q12" s="11">
        <f t="shared" si="2"/>
        <v>8</v>
      </c>
    </row>
    <row r="13" spans="1:17" x14ac:dyDescent="0.25">
      <c r="A13" s="9"/>
      <c r="B13" s="27" t="s">
        <v>56</v>
      </c>
      <c r="C13" s="28">
        <v>1</v>
      </c>
      <c r="D13" s="28">
        <v>0</v>
      </c>
      <c r="E13" s="28">
        <v>2</v>
      </c>
      <c r="F13" s="28">
        <v>1</v>
      </c>
      <c r="G13" s="28">
        <v>0</v>
      </c>
      <c r="H13" s="28">
        <v>0</v>
      </c>
      <c r="I13" s="11">
        <f t="shared" si="1"/>
        <v>4</v>
      </c>
      <c r="J13" s="9"/>
      <c r="K13" s="27" t="s">
        <v>56</v>
      </c>
      <c r="L13" s="28">
        <v>0</v>
      </c>
      <c r="M13" s="28">
        <v>0</v>
      </c>
      <c r="N13" s="28">
        <v>0</v>
      </c>
      <c r="O13" s="28">
        <v>4</v>
      </c>
      <c r="P13" s="28">
        <v>0</v>
      </c>
      <c r="Q13" s="11">
        <f t="shared" si="2"/>
        <v>4</v>
      </c>
    </row>
    <row r="14" spans="1:17" x14ac:dyDescent="0.25">
      <c r="A14" s="9"/>
      <c r="B14" s="27" t="s">
        <v>57</v>
      </c>
      <c r="C14" s="28">
        <v>7</v>
      </c>
      <c r="D14" s="28">
        <v>0</v>
      </c>
      <c r="E14" s="28">
        <v>8</v>
      </c>
      <c r="F14" s="28">
        <v>7</v>
      </c>
      <c r="G14" s="28">
        <v>1</v>
      </c>
      <c r="H14" s="28">
        <v>2</v>
      </c>
      <c r="I14" s="11">
        <f t="shared" si="1"/>
        <v>22</v>
      </c>
      <c r="J14" s="9"/>
      <c r="K14" s="27" t="s">
        <v>57</v>
      </c>
      <c r="L14" s="28">
        <v>8</v>
      </c>
      <c r="M14" s="28">
        <v>0</v>
      </c>
      <c r="N14" s="28">
        <v>1</v>
      </c>
      <c r="O14" s="28">
        <v>13</v>
      </c>
      <c r="P14" s="28">
        <v>0</v>
      </c>
      <c r="Q14" s="11">
        <f t="shared" si="2"/>
        <v>22</v>
      </c>
    </row>
    <row r="15" spans="1:17" x14ac:dyDescent="0.25">
      <c r="A15" s="9"/>
      <c r="B15" s="27" t="s">
        <v>58</v>
      </c>
      <c r="C15" s="28">
        <v>0</v>
      </c>
      <c r="D15" s="28">
        <v>0</v>
      </c>
      <c r="E15" s="28">
        <v>0</v>
      </c>
      <c r="F15" s="28">
        <v>1</v>
      </c>
      <c r="G15" s="28">
        <v>0</v>
      </c>
      <c r="H15" s="28">
        <v>0</v>
      </c>
      <c r="I15" s="11">
        <f t="shared" si="1"/>
        <v>1</v>
      </c>
      <c r="J15" s="9"/>
      <c r="K15" s="27" t="s">
        <v>58</v>
      </c>
      <c r="L15" s="28">
        <v>0</v>
      </c>
      <c r="M15" s="28">
        <v>0</v>
      </c>
      <c r="N15" s="28">
        <v>0</v>
      </c>
      <c r="O15" s="28">
        <v>1</v>
      </c>
      <c r="P15" s="28">
        <v>0</v>
      </c>
      <c r="Q15" s="11">
        <f t="shared" si="2"/>
        <v>1</v>
      </c>
    </row>
    <row r="16" spans="1:17" ht="15.75" thickBot="1" x14ac:dyDescent="0.3">
      <c r="A16" s="9"/>
      <c r="B16" s="27" t="s">
        <v>273</v>
      </c>
      <c r="C16" s="28">
        <v>11</v>
      </c>
      <c r="D16" s="28">
        <v>0</v>
      </c>
      <c r="E16" s="28">
        <v>22</v>
      </c>
      <c r="F16" s="28">
        <v>10</v>
      </c>
      <c r="G16" s="28">
        <v>1</v>
      </c>
      <c r="H16" s="28">
        <v>6</v>
      </c>
      <c r="I16" s="12">
        <f>SUM(I10:I15)</f>
        <v>43</v>
      </c>
      <c r="J16" s="9"/>
      <c r="K16" s="27" t="s">
        <v>273</v>
      </c>
      <c r="L16" s="28">
        <v>15</v>
      </c>
      <c r="M16" s="28">
        <v>0</v>
      </c>
      <c r="N16" s="28">
        <v>5</v>
      </c>
      <c r="O16" s="28">
        <v>23</v>
      </c>
      <c r="P16" s="28">
        <v>0</v>
      </c>
      <c r="Q16" s="12">
        <f>SUM(Q10:Q15)</f>
        <v>43</v>
      </c>
    </row>
  </sheetData>
  <mergeCells count="3">
    <mergeCell ref="B1:I1"/>
    <mergeCell ref="B4:E4"/>
    <mergeCell ref="B5:E5"/>
  </mergeCells>
  <pageMargins left="0.7" right="0.7" top="0.75" bottom="0.75" header="0.3" footer="0.3"/>
  <pageSetup scale="36" orientation="portrait" verticalDpi="0" r:id="rId3"/>
  <colBreaks count="1" manualBreakCount="1">
    <brk id="9" max="16"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BA14B-0960-4B59-91ED-6747D7C7B99A}">
  <dimension ref="A1:P16"/>
  <sheetViews>
    <sheetView view="pageBreakPreview" zoomScale="90" zoomScaleNormal="100" zoomScaleSheetLayoutView="90" workbookViewId="0">
      <selection activeCell="E21" sqref="E21"/>
    </sheetView>
  </sheetViews>
  <sheetFormatPr defaultRowHeight="15" x14ac:dyDescent="0.25"/>
  <cols>
    <col min="1" max="1" width="3.7109375" customWidth="1"/>
    <col min="2" max="2" width="55" bestFit="1" customWidth="1"/>
    <col min="3" max="3" width="24.85546875" bestFit="1" customWidth="1"/>
    <col min="4" max="4" width="23.7109375" bestFit="1" customWidth="1"/>
    <col min="5" max="5" width="24" bestFit="1" customWidth="1"/>
    <col min="6" max="6" width="17.42578125" bestFit="1" customWidth="1"/>
    <col min="7" max="7" width="22.28515625" bestFit="1" customWidth="1"/>
    <col min="8" max="8" width="25.140625" customWidth="1"/>
    <col min="9" max="9" width="5.42578125" customWidth="1"/>
    <col min="10" max="10" width="55" bestFit="1" customWidth="1"/>
    <col min="11" max="12" width="24.85546875" bestFit="1" customWidth="1"/>
    <col min="13" max="13" width="24.42578125" bestFit="1" customWidth="1"/>
    <col min="14" max="14" width="17.42578125" bestFit="1" customWidth="1"/>
    <col min="15" max="15" width="25.28515625" bestFit="1" customWidth="1"/>
    <col min="16" max="16" width="13.28515625" customWidth="1"/>
    <col min="17" max="17" width="3.42578125" customWidth="1"/>
  </cols>
  <sheetData>
    <row r="1" spans="1:16" x14ac:dyDescent="0.25">
      <c r="A1" s="5"/>
      <c r="B1" s="41" t="s">
        <v>274</v>
      </c>
      <c r="C1" s="41"/>
      <c r="D1" s="41"/>
      <c r="E1" s="41"/>
      <c r="F1" s="41"/>
      <c r="G1" s="41"/>
      <c r="H1" s="41"/>
      <c r="I1" s="5"/>
      <c r="J1" s="5"/>
      <c r="K1" s="5"/>
      <c r="L1" s="5"/>
      <c r="M1" s="5"/>
      <c r="N1" s="5"/>
      <c r="O1" s="5"/>
      <c r="P1" s="5"/>
    </row>
    <row r="2" spans="1:16" ht="20.25" x14ac:dyDescent="0.3">
      <c r="A2" s="5"/>
      <c r="B2" s="13" t="s">
        <v>275</v>
      </c>
      <c r="C2" s="18"/>
      <c r="D2" s="18"/>
      <c r="E2" s="18"/>
      <c r="F2" s="5"/>
      <c r="G2" s="5"/>
      <c r="H2" s="21" t="s">
        <v>325</v>
      </c>
      <c r="I2" s="5"/>
      <c r="J2" s="5"/>
      <c r="K2" s="5"/>
      <c r="L2" s="5"/>
      <c r="M2" s="5"/>
      <c r="N2" s="5"/>
      <c r="O2" s="5"/>
      <c r="P2" s="5"/>
    </row>
    <row r="3" spans="1:16" x14ac:dyDescent="0.25">
      <c r="A3" s="9"/>
      <c r="B3" s="9"/>
      <c r="C3" s="9"/>
      <c r="D3" s="9"/>
      <c r="E3" s="9"/>
      <c r="F3" s="9"/>
      <c r="G3" s="9"/>
      <c r="H3" s="9"/>
      <c r="I3" s="9"/>
      <c r="J3" s="9"/>
      <c r="K3" s="9"/>
      <c r="L3" s="9"/>
      <c r="M3" s="9"/>
      <c r="N3" s="9"/>
      <c r="O3" s="9"/>
      <c r="P3" s="9"/>
    </row>
    <row r="4" spans="1:16" ht="45" customHeight="1" x14ac:dyDescent="0.25">
      <c r="A4" s="9"/>
      <c r="B4" s="42" t="s">
        <v>289</v>
      </c>
      <c r="C4" s="43"/>
      <c r="D4" s="43"/>
      <c r="E4" s="44"/>
      <c r="F4" s="9"/>
      <c r="G4" s="9"/>
      <c r="H4" s="9"/>
      <c r="I4" s="9"/>
      <c r="J4" s="9"/>
      <c r="K4" s="9"/>
      <c r="L4" s="9"/>
      <c r="M4" s="9"/>
      <c r="N4" s="9"/>
      <c r="O4" s="9"/>
      <c r="P4" s="9"/>
    </row>
    <row r="5" spans="1:16" ht="43.5" customHeight="1" x14ac:dyDescent="0.25">
      <c r="A5" s="9"/>
      <c r="B5" s="45" t="s">
        <v>290</v>
      </c>
      <c r="C5" s="46"/>
      <c r="D5" s="46"/>
      <c r="E5" s="47"/>
      <c r="F5" s="9"/>
      <c r="G5" s="9"/>
      <c r="H5" s="9"/>
      <c r="I5" s="9"/>
      <c r="J5" s="9"/>
      <c r="K5" s="9"/>
      <c r="L5" s="9"/>
      <c r="M5" s="9"/>
      <c r="N5" s="9"/>
      <c r="O5" s="9"/>
      <c r="P5" s="9"/>
    </row>
    <row r="6" spans="1:16" x14ac:dyDescent="0.25">
      <c r="A6" s="9"/>
      <c r="B6" s="9"/>
      <c r="C6" s="9"/>
      <c r="D6" s="9"/>
      <c r="E6" s="9"/>
      <c r="F6" s="9"/>
      <c r="G6" s="9"/>
      <c r="H6" s="9"/>
      <c r="I6" s="9"/>
      <c r="J6" s="9"/>
      <c r="K6" s="9"/>
      <c r="L6" s="9"/>
      <c r="M6" s="9"/>
      <c r="N6" s="9"/>
      <c r="O6" s="9"/>
      <c r="P6" s="9"/>
    </row>
    <row r="7" spans="1:16" x14ac:dyDescent="0.25">
      <c r="A7" s="22"/>
      <c r="B7" s="22" t="s">
        <v>291</v>
      </c>
      <c r="C7" s="23">
        <f>C16/$H$16</f>
        <v>0.27906976744186046</v>
      </c>
      <c r="D7" s="23">
        <f>D16/$H$16</f>
        <v>0</v>
      </c>
      <c r="E7" s="23">
        <f>E16/$H$16</f>
        <v>0.44186046511627908</v>
      </c>
      <c r="F7" s="23">
        <f>F16/$H$16</f>
        <v>0.27906976744186046</v>
      </c>
      <c r="G7" s="22"/>
      <c r="H7" s="23">
        <f>SUM(C7:F7)</f>
        <v>1</v>
      </c>
      <c r="I7" s="22"/>
      <c r="J7" s="22" t="s">
        <v>291</v>
      </c>
      <c r="K7" s="23">
        <f>K16/$H$16</f>
        <v>0.37209302325581395</v>
      </c>
      <c r="L7" s="23">
        <f t="shared" ref="L7:N7" si="0">L16/$H$16</f>
        <v>0</v>
      </c>
      <c r="M7" s="23">
        <f t="shared" si="0"/>
        <v>0.13953488372093023</v>
      </c>
      <c r="N7" s="23">
        <f t="shared" si="0"/>
        <v>0.48837209302325579</v>
      </c>
      <c r="O7" s="22"/>
      <c r="P7" s="23">
        <f>SUM(K7:N7)</f>
        <v>1</v>
      </c>
    </row>
    <row r="8" spans="1:16" ht="15.75" thickBot="1" x14ac:dyDescent="0.3">
      <c r="A8" s="9"/>
      <c r="B8" s="9"/>
      <c r="C8" s="24" t="s">
        <v>292</v>
      </c>
      <c r="D8" s="24" t="s">
        <v>293</v>
      </c>
      <c r="E8" s="24" t="s">
        <v>294</v>
      </c>
      <c r="F8" s="24" t="s">
        <v>295</v>
      </c>
      <c r="G8" s="9"/>
      <c r="H8" s="24" t="s">
        <v>296</v>
      </c>
      <c r="I8" s="9"/>
      <c r="J8" s="9"/>
      <c r="K8" s="24" t="s">
        <v>292</v>
      </c>
      <c r="L8" s="24" t="s">
        <v>293</v>
      </c>
      <c r="M8" s="24" t="s">
        <v>294</v>
      </c>
      <c r="N8" s="24" t="s">
        <v>295</v>
      </c>
      <c r="O8" s="9"/>
      <c r="P8" s="24" t="s">
        <v>296</v>
      </c>
    </row>
    <row r="9" spans="1:16" s="7" customFormat="1" ht="38.25" x14ac:dyDescent="0.25">
      <c r="A9" s="14"/>
      <c r="B9" s="29" t="s">
        <v>272</v>
      </c>
      <c r="C9" s="30" t="s">
        <v>281</v>
      </c>
      <c r="D9" s="30" t="s">
        <v>282</v>
      </c>
      <c r="E9" s="30" t="s">
        <v>283</v>
      </c>
      <c r="F9" s="30" t="s">
        <v>284</v>
      </c>
      <c r="G9" s="30" t="s">
        <v>326</v>
      </c>
      <c r="H9" s="26" t="s">
        <v>63</v>
      </c>
      <c r="I9" s="25"/>
      <c r="J9" s="29" t="s">
        <v>272</v>
      </c>
      <c r="K9" s="30" t="s">
        <v>297</v>
      </c>
      <c r="L9" s="30" t="s">
        <v>298</v>
      </c>
      <c r="M9" s="30" t="s">
        <v>299</v>
      </c>
      <c r="N9" s="30" t="s">
        <v>300</v>
      </c>
      <c r="O9" s="30" t="s">
        <v>301</v>
      </c>
      <c r="P9" s="15" t="s">
        <v>63</v>
      </c>
    </row>
    <row r="10" spans="1:16" x14ac:dyDescent="0.25">
      <c r="A10" s="9"/>
      <c r="B10" s="27" t="s">
        <v>53</v>
      </c>
      <c r="C10" s="28">
        <v>1</v>
      </c>
      <c r="D10" s="28">
        <v>0</v>
      </c>
      <c r="E10" s="28">
        <v>0</v>
      </c>
      <c r="F10" s="28">
        <v>0</v>
      </c>
      <c r="G10" s="28">
        <v>0</v>
      </c>
      <c r="H10" s="11">
        <f t="shared" ref="H10:H15" si="1">SUM(C10:F10)</f>
        <v>1</v>
      </c>
      <c r="I10" s="9"/>
      <c r="J10" s="27" t="s">
        <v>53</v>
      </c>
      <c r="K10" s="28">
        <v>0</v>
      </c>
      <c r="L10" s="28">
        <v>0</v>
      </c>
      <c r="M10" s="28">
        <v>1</v>
      </c>
      <c r="N10" s="28">
        <v>0</v>
      </c>
      <c r="O10" s="28">
        <v>0</v>
      </c>
      <c r="P10" s="11">
        <f>SUM(K10:N10)</f>
        <v>1</v>
      </c>
    </row>
    <row r="11" spans="1:16" x14ac:dyDescent="0.25">
      <c r="A11" s="9"/>
      <c r="B11" s="27" t="s">
        <v>54</v>
      </c>
      <c r="C11" s="28">
        <v>0</v>
      </c>
      <c r="D11" s="28">
        <v>0</v>
      </c>
      <c r="E11" s="28">
        <v>7</v>
      </c>
      <c r="F11" s="28">
        <v>0</v>
      </c>
      <c r="G11" s="28">
        <v>0</v>
      </c>
      <c r="H11" s="11">
        <f t="shared" si="1"/>
        <v>7</v>
      </c>
      <c r="I11" s="9"/>
      <c r="J11" s="27" t="s">
        <v>54</v>
      </c>
      <c r="K11" s="28">
        <v>1</v>
      </c>
      <c r="L11" s="28">
        <v>0</v>
      </c>
      <c r="M11" s="28">
        <v>3</v>
      </c>
      <c r="N11" s="28">
        <v>3</v>
      </c>
      <c r="O11" s="28">
        <v>0</v>
      </c>
      <c r="P11" s="11">
        <f t="shared" ref="P11:P15" si="2">SUM(K11:N11)</f>
        <v>7</v>
      </c>
    </row>
    <row r="12" spans="1:16" x14ac:dyDescent="0.25">
      <c r="A12" s="9"/>
      <c r="B12" s="27" t="s">
        <v>55</v>
      </c>
      <c r="C12" s="28">
        <v>4</v>
      </c>
      <c r="D12" s="28">
        <v>0</v>
      </c>
      <c r="E12" s="28">
        <v>4</v>
      </c>
      <c r="F12" s="28">
        <v>0</v>
      </c>
      <c r="G12" s="28">
        <v>0</v>
      </c>
      <c r="H12" s="11">
        <f t="shared" si="1"/>
        <v>8</v>
      </c>
      <c r="I12" s="9"/>
      <c r="J12" s="27" t="s">
        <v>55</v>
      </c>
      <c r="K12" s="28">
        <v>6</v>
      </c>
      <c r="L12" s="28">
        <v>0</v>
      </c>
      <c r="M12" s="28">
        <v>0</v>
      </c>
      <c r="N12" s="28">
        <v>2</v>
      </c>
      <c r="O12" s="28">
        <v>0</v>
      </c>
      <c r="P12" s="11">
        <f t="shared" si="2"/>
        <v>8</v>
      </c>
    </row>
    <row r="13" spans="1:16" x14ac:dyDescent="0.25">
      <c r="A13" s="9"/>
      <c r="B13" s="27" t="s">
        <v>56</v>
      </c>
      <c r="C13" s="28">
        <v>1</v>
      </c>
      <c r="D13" s="28">
        <v>0</v>
      </c>
      <c r="E13" s="28">
        <v>1</v>
      </c>
      <c r="F13" s="28">
        <v>2</v>
      </c>
      <c r="G13" s="28">
        <v>0</v>
      </c>
      <c r="H13" s="11">
        <f t="shared" si="1"/>
        <v>4</v>
      </c>
      <c r="I13" s="9"/>
      <c r="J13" s="27" t="s">
        <v>56</v>
      </c>
      <c r="K13" s="28">
        <v>0</v>
      </c>
      <c r="L13" s="28">
        <v>0</v>
      </c>
      <c r="M13" s="28">
        <v>0</v>
      </c>
      <c r="N13" s="28">
        <v>4</v>
      </c>
      <c r="O13" s="28">
        <v>0</v>
      </c>
      <c r="P13" s="11">
        <f t="shared" si="2"/>
        <v>4</v>
      </c>
    </row>
    <row r="14" spans="1:16" x14ac:dyDescent="0.25">
      <c r="A14" s="9"/>
      <c r="B14" s="27" t="s">
        <v>57</v>
      </c>
      <c r="C14" s="28">
        <v>6</v>
      </c>
      <c r="D14" s="28">
        <v>0</v>
      </c>
      <c r="E14" s="28">
        <v>7</v>
      </c>
      <c r="F14" s="28">
        <v>9</v>
      </c>
      <c r="G14" s="28">
        <v>1</v>
      </c>
      <c r="H14" s="11">
        <f t="shared" si="1"/>
        <v>22</v>
      </c>
      <c r="I14" s="9"/>
      <c r="J14" s="27" t="s">
        <v>57</v>
      </c>
      <c r="K14" s="28">
        <v>9</v>
      </c>
      <c r="L14" s="28">
        <v>0</v>
      </c>
      <c r="M14" s="28">
        <v>2</v>
      </c>
      <c r="N14" s="28">
        <v>11</v>
      </c>
      <c r="O14" s="28">
        <v>0</v>
      </c>
      <c r="P14" s="11">
        <f t="shared" si="2"/>
        <v>22</v>
      </c>
    </row>
    <row r="15" spans="1:16" x14ac:dyDescent="0.25">
      <c r="A15" s="9"/>
      <c r="B15" s="27" t="s">
        <v>58</v>
      </c>
      <c r="C15" s="28">
        <v>0</v>
      </c>
      <c r="D15" s="28">
        <v>0</v>
      </c>
      <c r="E15" s="28">
        <v>0</v>
      </c>
      <c r="F15" s="28">
        <v>1</v>
      </c>
      <c r="G15" s="28">
        <v>0</v>
      </c>
      <c r="H15" s="11">
        <f t="shared" si="1"/>
        <v>1</v>
      </c>
      <c r="I15" s="9"/>
      <c r="J15" s="27" t="s">
        <v>58</v>
      </c>
      <c r="K15" s="28">
        <v>0</v>
      </c>
      <c r="L15" s="28">
        <v>0</v>
      </c>
      <c r="M15" s="28">
        <v>0</v>
      </c>
      <c r="N15" s="28">
        <v>1</v>
      </c>
      <c r="O15" s="28">
        <v>0</v>
      </c>
      <c r="P15" s="11">
        <f t="shared" si="2"/>
        <v>1</v>
      </c>
    </row>
    <row r="16" spans="1:16" ht="15.75" thickBot="1" x14ac:dyDescent="0.3">
      <c r="A16" s="9"/>
      <c r="B16" s="27" t="s">
        <v>273</v>
      </c>
      <c r="C16" s="28">
        <v>12</v>
      </c>
      <c r="D16" s="28">
        <v>0</v>
      </c>
      <c r="E16" s="28">
        <v>19</v>
      </c>
      <c r="F16" s="28">
        <v>12</v>
      </c>
      <c r="G16" s="28">
        <v>1</v>
      </c>
      <c r="H16" s="32">
        <f>SUM(H10:H15)</f>
        <v>43</v>
      </c>
      <c r="I16" s="9"/>
      <c r="J16" s="27" t="s">
        <v>273</v>
      </c>
      <c r="K16" s="28">
        <v>16</v>
      </c>
      <c r="L16" s="28">
        <v>0</v>
      </c>
      <c r="M16" s="28">
        <v>6</v>
      </c>
      <c r="N16" s="28">
        <v>21</v>
      </c>
      <c r="O16" s="28">
        <v>0</v>
      </c>
      <c r="P16" s="12">
        <f>SUM(P10:P15)</f>
        <v>43</v>
      </c>
    </row>
  </sheetData>
  <mergeCells count="3">
    <mergeCell ref="B1:H1"/>
    <mergeCell ref="B4:E4"/>
    <mergeCell ref="B5:E5"/>
  </mergeCells>
  <pageMargins left="0.7" right="0.7" top="0.75" bottom="0.75" header="0.3" footer="0.3"/>
  <pageSetup scale="42" orientation="portrait" verticalDpi="0" r:id="rId3"/>
  <colBreaks count="1" manualBreakCount="1">
    <brk id="8"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C735E-CA4D-48C0-BF64-9026DDF434EA}">
  <dimension ref="A1:P16"/>
  <sheetViews>
    <sheetView view="pageBreakPreview" zoomScale="90" zoomScaleNormal="100" zoomScaleSheetLayoutView="90" workbookViewId="0">
      <selection activeCell="B5" sqref="B5:E5"/>
    </sheetView>
  </sheetViews>
  <sheetFormatPr defaultRowHeight="15" x14ac:dyDescent="0.25"/>
  <cols>
    <col min="1" max="1" width="3.28515625" customWidth="1"/>
    <col min="2" max="2" width="55" bestFit="1" customWidth="1"/>
    <col min="3" max="3" width="24.85546875" bestFit="1" customWidth="1"/>
    <col min="4" max="4" width="26" bestFit="1" customWidth="1"/>
    <col min="5" max="5" width="24" bestFit="1" customWidth="1"/>
    <col min="6" max="6" width="17.42578125" bestFit="1" customWidth="1"/>
    <col min="7" max="7" width="25.28515625" bestFit="1" customWidth="1"/>
    <col min="8" max="8" width="13.7109375" customWidth="1"/>
    <col min="9" max="9" width="5.28515625" customWidth="1"/>
    <col min="10" max="10" width="55" bestFit="1" customWidth="1"/>
    <col min="11" max="12" width="24.85546875" bestFit="1" customWidth="1"/>
    <col min="13" max="13" width="24.42578125" bestFit="1" customWidth="1"/>
    <col min="14" max="14" width="17.42578125" bestFit="1" customWidth="1"/>
    <col min="15" max="15" width="25.28515625" bestFit="1" customWidth="1"/>
    <col min="17" max="17" width="6" customWidth="1"/>
  </cols>
  <sheetData>
    <row r="1" spans="1:16" x14ac:dyDescent="0.25">
      <c r="A1" s="5"/>
      <c r="B1" s="41" t="s">
        <v>274</v>
      </c>
      <c r="C1" s="41"/>
      <c r="D1" s="41"/>
      <c r="E1" s="41"/>
      <c r="F1" s="41"/>
      <c r="G1" s="41"/>
      <c r="H1" s="41"/>
      <c r="I1" s="5"/>
      <c r="J1" s="5"/>
      <c r="K1" s="5"/>
      <c r="L1" s="5"/>
      <c r="M1" s="5"/>
      <c r="N1" s="5"/>
      <c r="O1" s="5"/>
      <c r="P1" s="5"/>
    </row>
    <row r="2" spans="1:16" ht="20.25" x14ac:dyDescent="0.3">
      <c r="A2" s="5"/>
      <c r="B2" s="13" t="s">
        <v>275</v>
      </c>
      <c r="C2" s="18"/>
      <c r="D2" s="18"/>
      <c r="E2" s="18"/>
      <c r="F2" s="5"/>
      <c r="G2" s="5"/>
      <c r="H2" s="21" t="s">
        <v>327</v>
      </c>
      <c r="I2" s="5"/>
      <c r="J2" s="5"/>
      <c r="K2" s="5"/>
      <c r="L2" s="5"/>
      <c r="M2" s="5"/>
      <c r="N2" s="5"/>
      <c r="O2" s="5"/>
      <c r="P2" s="5"/>
    </row>
    <row r="3" spans="1:16" x14ac:dyDescent="0.25">
      <c r="A3" s="9"/>
      <c r="B3" s="9"/>
      <c r="C3" s="9"/>
      <c r="D3" s="9"/>
      <c r="E3" s="9"/>
      <c r="F3" s="9"/>
      <c r="G3" s="9"/>
      <c r="H3" s="9"/>
      <c r="I3" s="9"/>
      <c r="J3" s="9"/>
      <c r="K3" s="9"/>
      <c r="L3" s="9"/>
      <c r="M3" s="9"/>
      <c r="N3" s="9"/>
      <c r="O3" s="9"/>
      <c r="P3" s="9"/>
    </row>
    <row r="4" spans="1:16" ht="43.5" customHeight="1" x14ac:dyDescent="0.25">
      <c r="A4" s="9"/>
      <c r="B4" s="42" t="s">
        <v>289</v>
      </c>
      <c r="C4" s="43"/>
      <c r="D4" s="43"/>
      <c r="E4" s="44"/>
      <c r="F4" s="9"/>
      <c r="G4" s="9"/>
      <c r="H4" s="9"/>
      <c r="I4" s="9"/>
      <c r="J4" s="9"/>
      <c r="K4" s="9"/>
      <c r="L4" s="9"/>
      <c r="M4" s="9"/>
      <c r="N4" s="9"/>
      <c r="O4" s="9"/>
      <c r="P4" s="9"/>
    </row>
    <row r="5" spans="1:16" ht="44.25" customHeight="1" x14ac:dyDescent="0.25">
      <c r="A5" s="9"/>
      <c r="B5" s="45" t="s">
        <v>290</v>
      </c>
      <c r="C5" s="46"/>
      <c r="D5" s="46"/>
      <c r="E5" s="47"/>
      <c r="F5" s="9"/>
      <c r="G5" s="9"/>
      <c r="H5" s="9"/>
      <c r="I5" s="9"/>
      <c r="J5" s="9"/>
      <c r="K5" s="9"/>
      <c r="L5" s="9"/>
      <c r="M5" s="9"/>
      <c r="N5" s="9"/>
      <c r="O5" s="9"/>
      <c r="P5" s="9"/>
    </row>
    <row r="6" spans="1:16" x14ac:dyDescent="0.25">
      <c r="A6" s="9"/>
      <c r="B6" s="9"/>
      <c r="C6" s="9"/>
      <c r="D6" s="9"/>
      <c r="E6" s="9"/>
      <c r="F6" s="9"/>
      <c r="G6" s="9"/>
      <c r="H6" s="9"/>
      <c r="I6" s="9"/>
      <c r="J6" s="9"/>
      <c r="K6" s="9"/>
      <c r="L6" s="9"/>
      <c r="M6" s="9"/>
      <c r="N6" s="9"/>
      <c r="O6" s="9"/>
      <c r="P6" s="9"/>
    </row>
    <row r="7" spans="1:16" x14ac:dyDescent="0.25">
      <c r="A7" s="22"/>
      <c r="B7" s="22" t="s">
        <v>291</v>
      </c>
      <c r="C7" s="23">
        <f>C16/$H$16</f>
        <v>0.27906976744186046</v>
      </c>
      <c r="D7" s="23">
        <f>D16/$H$16</f>
        <v>0</v>
      </c>
      <c r="E7" s="23">
        <f>E16/$H$16</f>
        <v>0.51162790697674421</v>
      </c>
      <c r="F7" s="23">
        <f>F16/$H$16</f>
        <v>0.20930232558139536</v>
      </c>
      <c r="G7" s="22"/>
      <c r="H7" s="23">
        <f>SUM(C7:F7)</f>
        <v>1</v>
      </c>
      <c r="I7" s="22"/>
      <c r="J7" s="22" t="s">
        <v>291</v>
      </c>
      <c r="K7" s="23">
        <f>K16/$H$16</f>
        <v>0.37209302325581395</v>
      </c>
      <c r="L7" s="23">
        <f t="shared" ref="L7:N7" si="0">L16/$H$16</f>
        <v>0</v>
      </c>
      <c r="M7" s="23">
        <f t="shared" si="0"/>
        <v>0.20930232558139536</v>
      </c>
      <c r="N7" s="23">
        <f t="shared" si="0"/>
        <v>0.41860465116279072</v>
      </c>
      <c r="O7" s="22"/>
      <c r="P7" s="23">
        <f>SUM(K7:N7)</f>
        <v>1</v>
      </c>
    </row>
    <row r="8" spans="1:16" ht="15.75" thickBot="1" x14ac:dyDescent="0.3">
      <c r="A8" s="9"/>
      <c r="B8" s="9"/>
      <c r="C8" s="24" t="s">
        <v>292</v>
      </c>
      <c r="D8" s="24" t="s">
        <v>293</v>
      </c>
      <c r="E8" s="24" t="s">
        <v>294</v>
      </c>
      <c r="F8" s="24" t="s">
        <v>295</v>
      </c>
      <c r="G8" s="9"/>
      <c r="H8" s="24" t="s">
        <v>296</v>
      </c>
      <c r="I8" s="9"/>
      <c r="J8" s="9"/>
      <c r="K8" s="24" t="s">
        <v>292</v>
      </c>
      <c r="L8" s="24" t="s">
        <v>293</v>
      </c>
      <c r="M8" s="24" t="s">
        <v>294</v>
      </c>
      <c r="N8" s="24" t="s">
        <v>295</v>
      </c>
      <c r="O8" s="9"/>
      <c r="P8" s="24" t="s">
        <v>296</v>
      </c>
    </row>
    <row r="9" spans="1:16" s="7" customFormat="1" ht="38.25" x14ac:dyDescent="0.25">
      <c r="A9" s="14"/>
      <c r="B9" s="29" t="s">
        <v>272</v>
      </c>
      <c r="C9" s="30" t="s">
        <v>281</v>
      </c>
      <c r="D9" s="30" t="s">
        <v>282</v>
      </c>
      <c r="E9" s="30" t="s">
        <v>283</v>
      </c>
      <c r="F9" s="30" t="s">
        <v>284</v>
      </c>
      <c r="G9" s="30" t="s">
        <v>285</v>
      </c>
      <c r="H9" s="26" t="s">
        <v>63</v>
      </c>
      <c r="I9" s="25"/>
      <c r="J9" s="29" t="s">
        <v>272</v>
      </c>
      <c r="K9" s="30" t="s">
        <v>297</v>
      </c>
      <c r="L9" s="30" t="s">
        <v>298</v>
      </c>
      <c r="M9" s="30" t="s">
        <v>299</v>
      </c>
      <c r="N9" s="30" t="s">
        <v>300</v>
      </c>
      <c r="O9" s="30" t="s">
        <v>301</v>
      </c>
      <c r="P9" s="15" t="s">
        <v>63</v>
      </c>
    </row>
    <row r="10" spans="1:16" x14ac:dyDescent="0.25">
      <c r="A10" s="9"/>
      <c r="B10" s="27" t="s">
        <v>53</v>
      </c>
      <c r="C10" s="28">
        <v>0</v>
      </c>
      <c r="D10" s="28">
        <v>0</v>
      </c>
      <c r="E10" s="28">
        <v>1</v>
      </c>
      <c r="F10" s="28">
        <v>0</v>
      </c>
      <c r="G10" s="28">
        <v>0</v>
      </c>
      <c r="H10" s="11">
        <f t="shared" ref="H10:H15" si="1">SUM(C10:F10)</f>
        <v>1</v>
      </c>
      <c r="I10" s="9"/>
      <c r="J10" s="27" t="s">
        <v>53</v>
      </c>
      <c r="K10" s="28">
        <v>0</v>
      </c>
      <c r="L10" s="28">
        <v>0</v>
      </c>
      <c r="M10" s="28">
        <v>0</v>
      </c>
      <c r="N10" s="28">
        <v>1</v>
      </c>
      <c r="O10" s="28">
        <v>0</v>
      </c>
      <c r="P10" s="11">
        <f>SUM(K10:N10)</f>
        <v>1</v>
      </c>
    </row>
    <row r="11" spans="1:16" x14ac:dyDescent="0.25">
      <c r="A11" s="9"/>
      <c r="B11" s="27" t="s">
        <v>54</v>
      </c>
      <c r="C11" s="28">
        <v>1</v>
      </c>
      <c r="D11" s="28">
        <v>0</v>
      </c>
      <c r="E11" s="28">
        <v>5</v>
      </c>
      <c r="F11" s="28">
        <v>1</v>
      </c>
      <c r="G11" s="28">
        <v>0</v>
      </c>
      <c r="H11" s="11">
        <f t="shared" si="1"/>
        <v>7</v>
      </c>
      <c r="I11" s="9"/>
      <c r="J11" s="27" t="s">
        <v>54</v>
      </c>
      <c r="K11" s="28">
        <v>1</v>
      </c>
      <c r="L11" s="28">
        <v>0</v>
      </c>
      <c r="M11" s="28">
        <v>4</v>
      </c>
      <c r="N11" s="28">
        <v>2</v>
      </c>
      <c r="O11" s="28">
        <v>0</v>
      </c>
      <c r="P11" s="11">
        <f t="shared" ref="P11:P15" si="2">SUM(K11:N11)</f>
        <v>7</v>
      </c>
    </row>
    <row r="12" spans="1:16" x14ac:dyDescent="0.25">
      <c r="A12" s="9"/>
      <c r="B12" s="27" t="s">
        <v>55</v>
      </c>
      <c r="C12" s="28">
        <v>2</v>
      </c>
      <c r="D12" s="28">
        <v>0</v>
      </c>
      <c r="E12" s="28">
        <v>5</v>
      </c>
      <c r="F12" s="28">
        <v>1</v>
      </c>
      <c r="G12" s="28">
        <v>1</v>
      </c>
      <c r="H12" s="11">
        <f t="shared" si="1"/>
        <v>8</v>
      </c>
      <c r="I12" s="9"/>
      <c r="J12" s="27" t="s">
        <v>55</v>
      </c>
      <c r="K12" s="28">
        <v>6</v>
      </c>
      <c r="L12" s="28">
        <v>0</v>
      </c>
      <c r="M12" s="28">
        <v>1</v>
      </c>
      <c r="N12" s="28">
        <v>1</v>
      </c>
      <c r="O12" s="28">
        <v>0</v>
      </c>
      <c r="P12" s="11">
        <f t="shared" si="2"/>
        <v>8</v>
      </c>
    </row>
    <row r="13" spans="1:16" x14ac:dyDescent="0.25">
      <c r="A13" s="9"/>
      <c r="B13" s="27" t="s">
        <v>56</v>
      </c>
      <c r="C13" s="28">
        <v>1</v>
      </c>
      <c r="D13" s="28">
        <v>0</v>
      </c>
      <c r="E13" s="28">
        <v>2</v>
      </c>
      <c r="F13" s="28">
        <v>1</v>
      </c>
      <c r="G13" s="28">
        <v>0</v>
      </c>
      <c r="H13" s="11">
        <f t="shared" si="1"/>
        <v>4</v>
      </c>
      <c r="I13" s="9"/>
      <c r="J13" s="27" t="s">
        <v>56</v>
      </c>
      <c r="K13" s="28">
        <v>0</v>
      </c>
      <c r="L13" s="28">
        <v>0</v>
      </c>
      <c r="M13" s="28">
        <v>1</v>
      </c>
      <c r="N13" s="28">
        <v>3</v>
      </c>
      <c r="O13" s="28">
        <v>0</v>
      </c>
      <c r="P13" s="11">
        <f t="shared" si="2"/>
        <v>4</v>
      </c>
    </row>
    <row r="14" spans="1:16" x14ac:dyDescent="0.25">
      <c r="A14" s="9"/>
      <c r="B14" s="27" t="s">
        <v>57</v>
      </c>
      <c r="C14" s="28">
        <v>8</v>
      </c>
      <c r="D14" s="28">
        <v>0</v>
      </c>
      <c r="E14" s="28">
        <v>8</v>
      </c>
      <c r="F14" s="28">
        <v>6</v>
      </c>
      <c r="G14" s="28">
        <v>0</v>
      </c>
      <c r="H14" s="11">
        <f t="shared" si="1"/>
        <v>22</v>
      </c>
      <c r="I14" s="9"/>
      <c r="J14" s="27" t="s">
        <v>57</v>
      </c>
      <c r="K14" s="28">
        <v>9</v>
      </c>
      <c r="L14" s="28">
        <v>0</v>
      </c>
      <c r="M14" s="28">
        <v>3</v>
      </c>
      <c r="N14" s="28">
        <v>10</v>
      </c>
      <c r="O14" s="28">
        <v>0</v>
      </c>
      <c r="P14" s="11">
        <f t="shared" si="2"/>
        <v>22</v>
      </c>
    </row>
    <row r="15" spans="1:16" x14ac:dyDescent="0.25">
      <c r="A15" s="9"/>
      <c r="B15" s="27" t="s">
        <v>58</v>
      </c>
      <c r="C15" s="28">
        <v>0</v>
      </c>
      <c r="D15" s="28">
        <v>0</v>
      </c>
      <c r="E15" s="28">
        <v>1</v>
      </c>
      <c r="F15" s="28">
        <v>0</v>
      </c>
      <c r="G15" s="28">
        <v>0</v>
      </c>
      <c r="H15" s="11">
        <f t="shared" si="1"/>
        <v>1</v>
      </c>
      <c r="I15" s="9"/>
      <c r="J15" s="27" t="s">
        <v>58</v>
      </c>
      <c r="K15" s="28">
        <v>0</v>
      </c>
      <c r="L15" s="28">
        <v>0</v>
      </c>
      <c r="M15" s="28">
        <v>0</v>
      </c>
      <c r="N15" s="28">
        <v>1</v>
      </c>
      <c r="O15" s="28">
        <v>0</v>
      </c>
      <c r="P15" s="11">
        <f t="shared" si="2"/>
        <v>1</v>
      </c>
    </row>
    <row r="16" spans="1:16" ht="15.75" thickBot="1" x14ac:dyDescent="0.3">
      <c r="A16" s="9"/>
      <c r="B16" s="27" t="s">
        <v>273</v>
      </c>
      <c r="C16" s="28">
        <v>12</v>
      </c>
      <c r="D16" s="28">
        <v>0</v>
      </c>
      <c r="E16" s="28">
        <v>22</v>
      </c>
      <c r="F16" s="28">
        <v>9</v>
      </c>
      <c r="G16" s="28">
        <v>1</v>
      </c>
      <c r="H16" s="12">
        <f>SUM(H10:H15)</f>
        <v>43</v>
      </c>
      <c r="I16" s="9"/>
      <c r="J16" s="27" t="s">
        <v>273</v>
      </c>
      <c r="K16" s="28">
        <v>16</v>
      </c>
      <c r="L16" s="28">
        <v>0</v>
      </c>
      <c r="M16" s="28">
        <v>9</v>
      </c>
      <c r="N16" s="28">
        <v>18</v>
      </c>
      <c r="O16" s="28">
        <v>0</v>
      </c>
      <c r="P16" s="12">
        <f>SUM(P10:P15)</f>
        <v>43</v>
      </c>
    </row>
  </sheetData>
  <mergeCells count="3">
    <mergeCell ref="B1:H1"/>
    <mergeCell ref="B4:E4"/>
    <mergeCell ref="B5:E5"/>
  </mergeCells>
  <pageMargins left="0.7" right="0.7" top="0.75" bottom="0.75" header="0.3" footer="0.3"/>
  <pageSetup scale="44" orientation="portrait" verticalDpi="0" r:id="rId3"/>
  <colBreaks count="1" manualBreakCount="1">
    <brk id="8"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D767E-EF33-461B-84AA-279FBFDF1F60}">
  <dimension ref="A1:P16"/>
  <sheetViews>
    <sheetView view="pageBreakPreview" zoomScale="90" zoomScaleNormal="100" zoomScaleSheetLayoutView="90" workbookViewId="0">
      <selection activeCell="M13" sqref="M13"/>
    </sheetView>
  </sheetViews>
  <sheetFormatPr defaultRowHeight="15" x14ac:dyDescent="0.25"/>
  <cols>
    <col min="1" max="1" width="3.5703125" customWidth="1"/>
    <col min="2" max="2" width="55" bestFit="1" customWidth="1"/>
    <col min="3" max="3" width="23.28515625" bestFit="1" customWidth="1"/>
    <col min="4" max="4" width="22.5703125" bestFit="1" customWidth="1"/>
    <col min="5" max="5" width="23.85546875" bestFit="1" customWidth="1"/>
    <col min="6" max="6" width="17.42578125" bestFit="1" customWidth="1"/>
    <col min="7" max="7" width="25.28515625" customWidth="1"/>
    <col min="8" max="8" width="13" customWidth="1"/>
    <col min="9" max="9" width="3.28515625" customWidth="1"/>
    <col min="10" max="10" width="55" bestFit="1" customWidth="1"/>
    <col min="11" max="12" width="24.85546875" bestFit="1" customWidth="1"/>
    <col min="13" max="13" width="24.42578125" bestFit="1" customWidth="1"/>
    <col min="14" max="14" width="17.42578125" bestFit="1" customWidth="1"/>
    <col min="15" max="15" width="25.28515625" customWidth="1"/>
    <col min="16" max="16" width="13.42578125" customWidth="1"/>
    <col min="17" max="17" width="4.5703125" customWidth="1"/>
  </cols>
  <sheetData>
    <row r="1" spans="1:16" x14ac:dyDescent="0.25">
      <c r="A1" s="5"/>
      <c r="B1" s="41" t="s">
        <v>274</v>
      </c>
      <c r="C1" s="41"/>
      <c r="D1" s="41"/>
      <c r="E1" s="41"/>
      <c r="F1" s="41"/>
      <c r="G1" s="41"/>
      <c r="H1" s="41"/>
      <c r="I1" s="5"/>
      <c r="J1" s="5"/>
      <c r="K1" s="5"/>
      <c r="L1" s="5"/>
      <c r="M1" s="5"/>
      <c r="N1" s="5"/>
      <c r="O1" s="5"/>
      <c r="P1" s="5"/>
    </row>
    <row r="2" spans="1:16" ht="20.25" x14ac:dyDescent="0.3">
      <c r="A2" s="5"/>
      <c r="B2" s="13" t="s">
        <v>275</v>
      </c>
      <c r="C2" s="18"/>
      <c r="D2" s="18"/>
      <c r="E2" s="18"/>
      <c r="F2" s="5"/>
      <c r="G2" s="5"/>
      <c r="H2" s="21" t="s">
        <v>331</v>
      </c>
      <c r="I2" s="5"/>
      <c r="J2" s="5"/>
      <c r="K2" s="5"/>
      <c r="L2" s="5"/>
      <c r="M2" s="5"/>
      <c r="N2" s="5"/>
      <c r="O2" s="5"/>
      <c r="P2" s="5"/>
    </row>
    <row r="3" spans="1:16" x14ac:dyDescent="0.25">
      <c r="A3" s="9"/>
      <c r="B3" s="9"/>
      <c r="C3" s="9"/>
      <c r="D3" s="9"/>
      <c r="E3" s="9"/>
      <c r="F3" s="9"/>
      <c r="G3" s="9"/>
      <c r="H3" s="9"/>
      <c r="I3" s="9"/>
      <c r="J3" s="9"/>
      <c r="K3" s="9"/>
      <c r="L3" s="9"/>
      <c r="M3" s="9"/>
      <c r="N3" s="9"/>
      <c r="O3" s="9"/>
      <c r="P3" s="9"/>
    </row>
    <row r="4" spans="1:16" ht="45" customHeight="1" x14ac:dyDescent="0.25">
      <c r="A4" s="9"/>
      <c r="B4" s="42" t="s">
        <v>289</v>
      </c>
      <c r="C4" s="43"/>
      <c r="D4" s="43"/>
      <c r="E4" s="44"/>
      <c r="F4" s="9"/>
      <c r="G4" s="9"/>
      <c r="H4" s="9"/>
      <c r="I4" s="9"/>
      <c r="J4" s="9"/>
      <c r="K4" s="9"/>
      <c r="L4" s="9"/>
      <c r="M4" s="9"/>
      <c r="N4" s="9"/>
      <c r="O4" s="9"/>
      <c r="P4" s="9"/>
    </row>
    <row r="5" spans="1:16" ht="47.25" customHeight="1" x14ac:dyDescent="0.25">
      <c r="A5" s="9"/>
      <c r="B5" s="45" t="s">
        <v>290</v>
      </c>
      <c r="C5" s="46"/>
      <c r="D5" s="46"/>
      <c r="E5" s="47"/>
      <c r="F5" s="9"/>
      <c r="G5" s="9"/>
      <c r="H5" s="9"/>
      <c r="I5" s="9"/>
      <c r="J5" s="9"/>
      <c r="K5" s="9"/>
      <c r="L5" s="9"/>
      <c r="M5" s="9"/>
      <c r="N5" s="9"/>
      <c r="O5" s="9"/>
      <c r="P5" s="9"/>
    </row>
    <row r="6" spans="1:16" x14ac:dyDescent="0.25">
      <c r="A6" s="9"/>
      <c r="B6" s="9"/>
      <c r="C6" s="9"/>
      <c r="D6" s="9"/>
      <c r="E6" s="9"/>
      <c r="F6" s="9"/>
      <c r="G6" s="9"/>
      <c r="H6" s="9"/>
      <c r="I6" s="9"/>
      <c r="J6" s="9"/>
      <c r="K6" s="9"/>
      <c r="L6" s="9"/>
      <c r="M6" s="9"/>
      <c r="N6" s="9"/>
      <c r="O6" s="9"/>
      <c r="P6" s="9"/>
    </row>
    <row r="7" spans="1:16" x14ac:dyDescent="0.25">
      <c r="A7" s="22"/>
      <c r="B7" s="22" t="s">
        <v>291</v>
      </c>
      <c r="C7" s="23">
        <f>C16/$H$16</f>
        <v>0.30232558139534882</v>
      </c>
      <c r="D7" s="23">
        <f>D16/$H$16</f>
        <v>0</v>
      </c>
      <c r="E7" s="23">
        <f>E16/$H$16</f>
        <v>0.37209302325581395</v>
      </c>
      <c r="F7" s="23">
        <f>F16/$H$16</f>
        <v>0.32558139534883723</v>
      </c>
      <c r="G7" s="22"/>
      <c r="H7" s="23">
        <f>SUM(C7:F7)</f>
        <v>1</v>
      </c>
      <c r="I7" s="22"/>
      <c r="J7" s="22" t="s">
        <v>291</v>
      </c>
      <c r="K7" s="23">
        <f>K16/$H$16</f>
        <v>0.37209302325581395</v>
      </c>
      <c r="L7" s="23">
        <f t="shared" ref="L7:N7" si="0">L16/$H$16</f>
        <v>0</v>
      </c>
      <c r="M7" s="23">
        <f t="shared" si="0"/>
        <v>0.11627906976744186</v>
      </c>
      <c r="N7" s="23">
        <f t="shared" si="0"/>
        <v>0.51162790697674421</v>
      </c>
      <c r="O7" s="22"/>
      <c r="P7" s="23">
        <f>SUM(K7:N7)</f>
        <v>1</v>
      </c>
    </row>
    <row r="8" spans="1:16" ht="15.75" thickBot="1" x14ac:dyDescent="0.3">
      <c r="A8" s="9"/>
      <c r="B8" s="9"/>
      <c r="C8" s="24" t="s">
        <v>292</v>
      </c>
      <c r="D8" s="24" t="s">
        <v>293</v>
      </c>
      <c r="E8" s="24" t="s">
        <v>294</v>
      </c>
      <c r="F8" s="24" t="s">
        <v>295</v>
      </c>
      <c r="G8" s="9"/>
      <c r="H8" s="24" t="s">
        <v>296</v>
      </c>
      <c r="I8" s="9"/>
      <c r="J8" s="9"/>
      <c r="K8" s="24" t="s">
        <v>292</v>
      </c>
      <c r="L8" s="24" t="s">
        <v>293</v>
      </c>
      <c r="M8" s="24" t="s">
        <v>294</v>
      </c>
      <c r="N8" s="24" t="s">
        <v>295</v>
      </c>
      <c r="O8" s="9"/>
      <c r="P8" s="24" t="s">
        <v>296</v>
      </c>
    </row>
    <row r="9" spans="1:16" s="7" customFormat="1" ht="38.25" x14ac:dyDescent="0.25">
      <c r="A9" s="14"/>
      <c r="B9" s="29" t="s">
        <v>272</v>
      </c>
      <c r="C9" s="30" t="s">
        <v>328</v>
      </c>
      <c r="D9" s="30" t="s">
        <v>329</v>
      </c>
      <c r="E9" s="30" t="s">
        <v>330</v>
      </c>
      <c r="F9" s="30" t="s">
        <v>284</v>
      </c>
      <c r="G9" s="30" t="s">
        <v>285</v>
      </c>
      <c r="H9" s="26" t="s">
        <v>63</v>
      </c>
      <c r="I9" s="25"/>
      <c r="J9" s="29" t="s">
        <v>272</v>
      </c>
      <c r="K9" s="30" t="s">
        <v>297</v>
      </c>
      <c r="L9" s="30" t="s">
        <v>298</v>
      </c>
      <c r="M9" s="30" t="s">
        <v>299</v>
      </c>
      <c r="N9" s="30" t="s">
        <v>300</v>
      </c>
      <c r="O9" s="30" t="s">
        <v>301</v>
      </c>
      <c r="P9" s="15" t="s">
        <v>63</v>
      </c>
    </row>
    <row r="10" spans="1:16" x14ac:dyDescent="0.25">
      <c r="A10" s="9"/>
      <c r="B10" s="27" t="s">
        <v>53</v>
      </c>
      <c r="C10" s="28">
        <v>1</v>
      </c>
      <c r="D10" s="28">
        <v>0</v>
      </c>
      <c r="E10" s="28">
        <v>0</v>
      </c>
      <c r="F10" s="28">
        <v>0</v>
      </c>
      <c r="G10" s="28">
        <v>0</v>
      </c>
      <c r="H10" s="11">
        <f t="shared" ref="H10:H15" si="1">SUM(C10:F10)</f>
        <v>1</v>
      </c>
      <c r="I10" s="9"/>
      <c r="J10" s="27" t="s">
        <v>53</v>
      </c>
      <c r="K10" s="28">
        <v>0</v>
      </c>
      <c r="L10" s="28">
        <v>0</v>
      </c>
      <c r="M10" s="28">
        <v>0</v>
      </c>
      <c r="N10" s="28">
        <v>1</v>
      </c>
      <c r="O10" s="28">
        <v>0</v>
      </c>
      <c r="P10" s="11">
        <f>SUM(K10:N10)</f>
        <v>1</v>
      </c>
    </row>
    <row r="11" spans="1:16" x14ac:dyDescent="0.25">
      <c r="A11" s="9"/>
      <c r="B11" s="27" t="s">
        <v>54</v>
      </c>
      <c r="C11" s="28">
        <v>0</v>
      </c>
      <c r="D11" s="28">
        <v>0</v>
      </c>
      <c r="E11" s="28">
        <v>6</v>
      </c>
      <c r="F11" s="28">
        <v>1</v>
      </c>
      <c r="G11" s="28">
        <v>0</v>
      </c>
      <c r="H11" s="11">
        <f t="shared" si="1"/>
        <v>7</v>
      </c>
      <c r="I11" s="9"/>
      <c r="J11" s="27" t="s">
        <v>54</v>
      </c>
      <c r="K11" s="28">
        <v>1</v>
      </c>
      <c r="L11" s="28">
        <v>0</v>
      </c>
      <c r="M11" s="28">
        <v>2</v>
      </c>
      <c r="N11" s="28">
        <v>4</v>
      </c>
      <c r="O11" s="28">
        <v>0</v>
      </c>
      <c r="P11" s="11">
        <f t="shared" ref="P11:P15" si="2">SUM(K11:N11)</f>
        <v>7</v>
      </c>
    </row>
    <row r="12" spans="1:16" x14ac:dyDescent="0.25">
      <c r="A12" s="9"/>
      <c r="B12" s="27" t="s">
        <v>55</v>
      </c>
      <c r="C12" s="28">
        <v>3</v>
      </c>
      <c r="D12" s="28">
        <v>0</v>
      </c>
      <c r="E12" s="28">
        <v>3</v>
      </c>
      <c r="F12" s="28">
        <v>2</v>
      </c>
      <c r="G12" s="28">
        <v>1</v>
      </c>
      <c r="H12" s="11">
        <f t="shared" si="1"/>
        <v>8</v>
      </c>
      <c r="I12" s="9"/>
      <c r="J12" s="27" t="s">
        <v>55</v>
      </c>
      <c r="K12" s="28">
        <v>6</v>
      </c>
      <c r="L12" s="28">
        <v>0</v>
      </c>
      <c r="M12" s="28">
        <v>0</v>
      </c>
      <c r="N12" s="28">
        <v>2</v>
      </c>
      <c r="O12" s="28">
        <v>0</v>
      </c>
      <c r="P12" s="11">
        <f t="shared" si="2"/>
        <v>8</v>
      </c>
    </row>
    <row r="13" spans="1:16" x14ac:dyDescent="0.25">
      <c r="A13" s="9"/>
      <c r="B13" s="27" t="s">
        <v>56</v>
      </c>
      <c r="C13" s="28">
        <v>1</v>
      </c>
      <c r="D13" s="28">
        <v>0</v>
      </c>
      <c r="E13" s="28">
        <v>2</v>
      </c>
      <c r="F13" s="28">
        <v>1</v>
      </c>
      <c r="G13" s="28">
        <v>0</v>
      </c>
      <c r="H13" s="11">
        <f t="shared" si="1"/>
        <v>4</v>
      </c>
      <c r="I13" s="9"/>
      <c r="J13" s="27" t="s">
        <v>56</v>
      </c>
      <c r="K13" s="28">
        <v>0</v>
      </c>
      <c r="L13" s="28">
        <v>0</v>
      </c>
      <c r="M13" s="28">
        <v>1</v>
      </c>
      <c r="N13" s="28">
        <v>3</v>
      </c>
      <c r="O13" s="28">
        <v>0</v>
      </c>
      <c r="P13" s="11">
        <f t="shared" si="2"/>
        <v>4</v>
      </c>
    </row>
    <row r="14" spans="1:16" x14ac:dyDescent="0.25">
      <c r="A14" s="9"/>
      <c r="B14" s="27" t="s">
        <v>57</v>
      </c>
      <c r="C14" s="28">
        <v>8</v>
      </c>
      <c r="D14" s="28">
        <v>0</v>
      </c>
      <c r="E14" s="28">
        <v>5</v>
      </c>
      <c r="F14" s="28">
        <v>9</v>
      </c>
      <c r="G14" s="28">
        <v>0</v>
      </c>
      <c r="H14" s="11">
        <f t="shared" si="1"/>
        <v>22</v>
      </c>
      <c r="I14" s="9"/>
      <c r="J14" s="27" t="s">
        <v>57</v>
      </c>
      <c r="K14" s="28">
        <v>9</v>
      </c>
      <c r="L14" s="28">
        <v>0</v>
      </c>
      <c r="M14" s="28">
        <v>2</v>
      </c>
      <c r="N14" s="28">
        <v>11</v>
      </c>
      <c r="O14" s="28">
        <v>0</v>
      </c>
      <c r="P14" s="11">
        <f t="shared" si="2"/>
        <v>22</v>
      </c>
    </row>
    <row r="15" spans="1:16" x14ac:dyDescent="0.25">
      <c r="A15" s="9"/>
      <c r="B15" s="27" t="s">
        <v>58</v>
      </c>
      <c r="C15" s="28">
        <v>0</v>
      </c>
      <c r="D15" s="28">
        <v>0</v>
      </c>
      <c r="E15" s="28">
        <v>0</v>
      </c>
      <c r="F15" s="28">
        <v>1</v>
      </c>
      <c r="G15" s="28">
        <v>0</v>
      </c>
      <c r="H15" s="11">
        <f t="shared" si="1"/>
        <v>1</v>
      </c>
      <c r="I15" s="9"/>
      <c r="J15" s="27" t="s">
        <v>58</v>
      </c>
      <c r="K15" s="28">
        <v>0</v>
      </c>
      <c r="L15" s="28">
        <v>0</v>
      </c>
      <c r="M15" s="28">
        <v>0</v>
      </c>
      <c r="N15" s="28">
        <v>1</v>
      </c>
      <c r="O15" s="28">
        <v>0</v>
      </c>
      <c r="P15" s="11">
        <f t="shared" si="2"/>
        <v>1</v>
      </c>
    </row>
    <row r="16" spans="1:16" ht="15.75" thickBot="1" x14ac:dyDescent="0.3">
      <c r="A16" s="9"/>
      <c r="B16" s="27" t="s">
        <v>273</v>
      </c>
      <c r="C16" s="28">
        <v>13</v>
      </c>
      <c r="D16" s="28">
        <v>0</v>
      </c>
      <c r="E16" s="28">
        <v>16</v>
      </c>
      <c r="F16" s="28">
        <v>14</v>
      </c>
      <c r="G16" s="28">
        <v>1</v>
      </c>
      <c r="H16" s="12">
        <f>SUM(H10:H15)</f>
        <v>43</v>
      </c>
      <c r="I16" s="9"/>
      <c r="J16" s="27" t="s">
        <v>273</v>
      </c>
      <c r="K16" s="28">
        <v>16</v>
      </c>
      <c r="L16" s="28">
        <v>0</v>
      </c>
      <c r="M16" s="28">
        <v>5</v>
      </c>
      <c r="N16" s="28">
        <v>22</v>
      </c>
      <c r="O16" s="28">
        <v>0</v>
      </c>
      <c r="P16" s="32">
        <f>SUM(P10:P15)</f>
        <v>43</v>
      </c>
    </row>
  </sheetData>
  <mergeCells count="3">
    <mergeCell ref="B1:H1"/>
    <mergeCell ref="B4:E4"/>
    <mergeCell ref="B5:E5"/>
  </mergeCells>
  <pageMargins left="0.7" right="0.7" top="0.75" bottom="0.75" header="0.3" footer="0.3"/>
  <pageSetup scale="43" orientation="portrait" verticalDpi="0" r:id="rId3"/>
  <colBreaks count="1" manualBreakCount="1">
    <brk id="8"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27109-D977-4CFE-B6EF-20F47714D6D8}">
  <dimension ref="A1:N15"/>
  <sheetViews>
    <sheetView view="pageBreakPreview" topLeftCell="B1" zoomScale="90" zoomScaleNormal="100" zoomScaleSheetLayoutView="90" workbookViewId="0">
      <selection activeCell="N22" sqref="N22"/>
    </sheetView>
  </sheetViews>
  <sheetFormatPr defaultRowHeight="15" x14ac:dyDescent="0.25"/>
  <cols>
    <col min="1" max="1" width="3.85546875" customWidth="1"/>
    <col min="2" max="2" width="55" bestFit="1" customWidth="1"/>
    <col min="3" max="3" width="21.7109375" bestFit="1" customWidth="1"/>
    <col min="4" max="4" width="23.140625" bestFit="1" customWidth="1"/>
    <col min="5" max="5" width="18.42578125" bestFit="1" customWidth="1"/>
    <col min="6" max="6" width="14.28515625" bestFit="1" customWidth="1"/>
    <col min="7" max="7" width="13.85546875" customWidth="1"/>
    <col min="8" max="8" width="5" customWidth="1"/>
    <col min="9" max="9" width="55" bestFit="1" customWidth="1"/>
    <col min="10" max="10" width="21.7109375" bestFit="1" customWidth="1"/>
    <col min="11" max="11" width="23.140625" bestFit="1" customWidth="1"/>
    <col min="12" max="12" width="18.42578125" bestFit="1" customWidth="1"/>
    <col min="13" max="13" width="20.42578125" bestFit="1" customWidth="1"/>
    <col min="14" max="14" width="13.140625" customWidth="1"/>
    <col min="15" max="15" width="3.85546875" customWidth="1"/>
  </cols>
  <sheetData>
    <row r="1" spans="1:14" x14ac:dyDescent="0.25">
      <c r="A1" s="5"/>
      <c r="B1" s="41" t="s">
        <v>274</v>
      </c>
      <c r="C1" s="41"/>
      <c r="D1" s="41"/>
      <c r="E1" s="41"/>
      <c r="F1" s="41"/>
      <c r="G1" s="41"/>
      <c r="H1" s="5"/>
      <c r="I1" s="5"/>
      <c r="J1" s="5"/>
      <c r="K1" s="5"/>
      <c r="L1" s="5"/>
      <c r="M1" s="5"/>
      <c r="N1" s="5"/>
    </row>
    <row r="2" spans="1:14" ht="20.25" x14ac:dyDescent="0.3">
      <c r="A2" s="5"/>
      <c r="B2" s="13" t="s">
        <v>275</v>
      </c>
      <c r="C2" s="18"/>
      <c r="D2" s="18"/>
      <c r="E2" s="18"/>
      <c r="F2" s="5"/>
      <c r="G2" s="21" t="s">
        <v>333</v>
      </c>
      <c r="H2" s="5"/>
      <c r="I2" s="5"/>
      <c r="J2" s="5"/>
      <c r="K2" s="5"/>
      <c r="L2" s="5"/>
      <c r="M2" s="5"/>
      <c r="N2" s="5"/>
    </row>
    <row r="3" spans="1:14" x14ac:dyDescent="0.25">
      <c r="A3" s="9"/>
      <c r="B3" s="9"/>
      <c r="C3" s="9"/>
      <c r="D3" s="9"/>
      <c r="E3" s="9"/>
      <c r="F3" s="9"/>
      <c r="G3" s="9"/>
      <c r="H3" s="9"/>
      <c r="I3" s="9"/>
      <c r="J3" s="9"/>
      <c r="K3" s="9"/>
      <c r="L3" s="9"/>
      <c r="M3" s="9"/>
      <c r="N3" s="9"/>
    </row>
    <row r="4" spans="1:14" ht="29.25" customHeight="1" x14ac:dyDescent="0.25">
      <c r="A4" s="9"/>
      <c r="B4" s="48" t="s">
        <v>332</v>
      </c>
      <c r="C4" s="49"/>
      <c r="D4" s="49"/>
      <c r="E4" s="50"/>
      <c r="F4" s="9"/>
      <c r="G4" s="9"/>
      <c r="H4" s="9"/>
      <c r="I4" s="9"/>
      <c r="J4" s="9"/>
      <c r="K4" s="9"/>
      <c r="L4" s="9"/>
      <c r="M4" s="9"/>
      <c r="N4" s="9"/>
    </row>
    <row r="5" spans="1:14" x14ac:dyDescent="0.25">
      <c r="A5" s="9"/>
      <c r="B5" s="9"/>
      <c r="C5" s="9"/>
      <c r="D5" s="9"/>
      <c r="E5" s="9"/>
      <c r="F5" s="9"/>
      <c r="G5" s="9"/>
      <c r="H5" s="9"/>
      <c r="I5" s="9"/>
      <c r="J5" s="9"/>
      <c r="K5" s="9"/>
      <c r="L5" s="9"/>
      <c r="M5" s="9"/>
      <c r="N5" s="9"/>
    </row>
    <row r="6" spans="1:14" x14ac:dyDescent="0.25">
      <c r="A6" s="22"/>
      <c r="B6" s="22" t="s">
        <v>291</v>
      </c>
      <c r="C6" s="23">
        <f>C15/$G$15</f>
        <v>0.18604651162790697</v>
      </c>
      <c r="D6" s="23">
        <f>D15/$G$15</f>
        <v>0.20930232558139536</v>
      </c>
      <c r="E6" s="23">
        <f>E15/$G$15</f>
        <v>0.55813953488372092</v>
      </c>
      <c r="F6" s="23">
        <f>F15/$G$15</f>
        <v>4.6511627906976744E-2</v>
      </c>
      <c r="G6" s="23">
        <f>SUM(C6:F6)</f>
        <v>1</v>
      </c>
      <c r="H6" s="22"/>
      <c r="I6" s="22" t="s">
        <v>291</v>
      </c>
      <c r="J6" s="23">
        <f>J15/$G$15</f>
        <v>0.23255813953488372</v>
      </c>
      <c r="K6" s="23">
        <f t="shared" ref="K6:M6" si="0">K15/$G$15</f>
        <v>0.32558139534883723</v>
      </c>
      <c r="L6" s="23">
        <f t="shared" si="0"/>
        <v>0.44186046511627908</v>
      </c>
      <c r="M6" s="23">
        <f t="shared" si="0"/>
        <v>6.9767441860465115E-2</v>
      </c>
      <c r="N6" s="23">
        <f>SUM(J6:M6)</f>
        <v>1.069767441860465</v>
      </c>
    </row>
    <row r="7" spans="1:14" ht="15.75" thickBot="1" x14ac:dyDescent="0.3">
      <c r="A7" s="9"/>
      <c r="B7" s="9"/>
      <c r="C7" s="24"/>
      <c r="D7" s="24"/>
      <c r="E7" s="24"/>
      <c r="F7" s="24"/>
      <c r="G7" s="24"/>
      <c r="H7" s="9"/>
      <c r="I7" s="9"/>
      <c r="J7" s="24"/>
      <c r="K7" s="24"/>
      <c r="L7" s="24"/>
      <c r="M7" s="24"/>
      <c r="N7" s="24"/>
    </row>
    <row r="8" spans="1:14" s="7" customFormat="1" ht="25.5" x14ac:dyDescent="0.25">
      <c r="A8" s="14"/>
      <c r="B8" s="29" t="s">
        <v>272</v>
      </c>
      <c r="C8" s="30" t="s">
        <v>337</v>
      </c>
      <c r="D8" s="30" t="s">
        <v>336</v>
      </c>
      <c r="E8" s="30" t="s">
        <v>335</v>
      </c>
      <c r="F8" s="30" t="s">
        <v>338</v>
      </c>
      <c r="G8" s="26" t="s">
        <v>63</v>
      </c>
      <c r="H8" s="25"/>
      <c r="I8" s="29" t="s">
        <v>272</v>
      </c>
      <c r="J8" s="30" t="s">
        <v>337</v>
      </c>
      <c r="K8" s="30" t="s">
        <v>336</v>
      </c>
      <c r="L8" s="30" t="s">
        <v>335</v>
      </c>
      <c r="M8" s="30" t="s">
        <v>334</v>
      </c>
      <c r="N8" s="15" t="s">
        <v>63</v>
      </c>
    </row>
    <row r="9" spans="1:14" x14ac:dyDescent="0.25">
      <c r="A9" s="9"/>
      <c r="B9" s="27" t="s">
        <v>53</v>
      </c>
      <c r="C9" s="28">
        <v>1</v>
      </c>
      <c r="D9" s="28">
        <v>0</v>
      </c>
      <c r="E9" s="28">
        <v>0</v>
      </c>
      <c r="F9" s="28">
        <v>0</v>
      </c>
      <c r="G9" s="11">
        <f t="shared" ref="G9:G14" si="1">SUM(C9:F9)</f>
        <v>1</v>
      </c>
      <c r="H9" s="9"/>
      <c r="I9" s="27" t="s">
        <v>53</v>
      </c>
      <c r="J9" s="28">
        <v>0</v>
      </c>
      <c r="K9" s="28">
        <v>0</v>
      </c>
      <c r="L9" s="28">
        <v>1</v>
      </c>
      <c r="M9" s="28">
        <v>0</v>
      </c>
      <c r="N9" s="11">
        <f>SUM(J9:L9)</f>
        <v>1</v>
      </c>
    </row>
    <row r="10" spans="1:14" x14ac:dyDescent="0.25">
      <c r="A10" s="9"/>
      <c r="B10" s="27" t="s">
        <v>54</v>
      </c>
      <c r="C10" s="28">
        <v>1</v>
      </c>
      <c r="D10" s="28">
        <v>4</v>
      </c>
      <c r="E10" s="28">
        <v>1</v>
      </c>
      <c r="F10" s="28">
        <v>1</v>
      </c>
      <c r="G10" s="11">
        <f t="shared" si="1"/>
        <v>7</v>
      </c>
      <c r="H10" s="9"/>
      <c r="I10" s="27" t="s">
        <v>54</v>
      </c>
      <c r="J10" s="28">
        <v>2</v>
      </c>
      <c r="K10" s="28">
        <v>4</v>
      </c>
      <c r="L10" s="28">
        <v>1</v>
      </c>
      <c r="M10" s="28">
        <v>2</v>
      </c>
      <c r="N10" s="11">
        <f t="shared" ref="N10:N14" si="2">SUM(J10:L10)</f>
        <v>7</v>
      </c>
    </row>
    <row r="11" spans="1:14" x14ac:dyDescent="0.25">
      <c r="A11" s="9"/>
      <c r="B11" s="27" t="s">
        <v>55</v>
      </c>
      <c r="C11" s="28">
        <v>2</v>
      </c>
      <c r="D11" s="28">
        <v>4</v>
      </c>
      <c r="E11" s="28">
        <v>2</v>
      </c>
      <c r="F11" s="28">
        <v>0</v>
      </c>
      <c r="G11" s="11">
        <f t="shared" si="1"/>
        <v>8</v>
      </c>
      <c r="H11" s="9"/>
      <c r="I11" s="27" t="s">
        <v>55</v>
      </c>
      <c r="J11" s="28">
        <v>4</v>
      </c>
      <c r="K11" s="28">
        <v>2</v>
      </c>
      <c r="L11" s="28">
        <v>2</v>
      </c>
      <c r="M11" s="28">
        <v>0</v>
      </c>
      <c r="N11" s="11">
        <f t="shared" si="2"/>
        <v>8</v>
      </c>
    </row>
    <row r="12" spans="1:14" x14ac:dyDescent="0.25">
      <c r="A12" s="9"/>
      <c r="B12" s="27" t="s">
        <v>56</v>
      </c>
      <c r="C12" s="28">
        <v>0</v>
      </c>
      <c r="D12" s="28">
        <v>0</v>
      </c>
      <c r="E12" s="28">
        <v>4</v>
      </c>
      <c r="F12" s="28">
        <v>0</v>
      </c>
      <c r="G12" s="11">
        <f t="shared" si="1"/>
        <v>4</v>
      </c>
      <c r="H12" s="9"/>
      <c r="I12" s="27" t="s">
        <v>56</v>
      </c>
      <c r="J12" s="28">
        <v>0</v>
      </c>
      <c r="K12" s="28">
        <v>1</v>
      </c>
      <c r="L12" s="28">
        <v>3</v>
      </c>
      <c r="M12" s="28">
        <v>0</v>
      </c>
      <c r="N12" s="11">
        <f t="shared" si="2"/>
        <v>4</v>
      </c>
    </row>
    <row r="13" spans="1:14" x14ac:dyDescent="0.25">
      <c r="A13" s="9"/>
      <c r="B13" s="27" t="s">
        <v>57</v>
      </c>
      <c r="C13" s="28">
        <v>4</v>
      </c>
      <c r="D13" s="28">
        <v>1</v>
      </c>
      <c r="E13" s="28">
        <v>16</v>
      </c>
      <c r="F13" s="28">
        <v>1</v>
      </c>
      <c r="G13" s="11">
        <f t="shared" si="1"/>
        <v>22</v>
      </c>
      <c r="H13" s="9"/>
      <c r="I13" s="27" t="s">
        <v>57</v>
      </c>
      <c r="J13" s="28">
        <v>4</v>
      </c>
      <c r="K13" s="28">
        <v>6</v>
      </c>
      <c r="L13" s="28">
        <v>12</v>
      </c>
      <c r="M13" s="28">
        <v>1</v>
      </c>
      <c r="N13" s="11">
        <f t="shared" si="2"/>
        <v>22</v>
      </c>
    </row>
    <row r="14" spans="1:14" x14ac:dyDescent="0.25">
      <c r="A14" s="9"/>
      <c r="B14" s="27" t="s">
        <v>58</v>
      </c>
      <c r="C14" s="28">
        <v>0</v>
      </c>
      <c r="D14" s="28">
        <v>0</v>
      </c>
      <c r="E14" s="28">
        <v>1</v>
      </c>
      <c r="F14" s="28">
        <v>0</v>
      </c>
      <c r="G14" s="11">
        <f t="shared" si="1"/>
        <v>1</v>
      </c>
      <c r="H14" s="9"/>
      <c r="I14" s="27" t="s">
        <v>58</v>
      </c>
      <c r="J14" s="28">
        <v>0</v>
      </c>
      <c r="K14" s="28">
        <v>1</v>
      </c>
      <c r="L14" s="28">
        <v>0</v>
      </c>
      <c r="M14" s="28">
        <v>0</v>
      </c>
      <c r="N14" s="11">
        <f t="shared" si="2"/>
        <v>1</v>
      </c>
    </row>
    <row r="15" spans="1:14" ht="15.75" thickBot="1" x14ac:dyDescent="0.3">
      <c r="A15" s="9"/>
      <c r="B15" s="27" t="s">
        <v>273</v>
      </c>
      <c r="C15" s="28">
        <v>8</v>
      </c>
      <c r="D15" s="28">
        <v>9</v>
      </c>
      <c r="E15" s="28">
        <v>24</v>
      </c>
      <c r="F15" s="28">
        <v>2</v>
      </c>
      <c r="G15" s="32">
        <f>SUM(G9:G14)</f>
        <v>43</v>
      </c>
      <c r="H15" s="9"/>
      <c r="I15" s="27" t="s">
        <v>273</v>
      </c>
      <c r="J15" s="28">
        <v>10</v>
      </c>
      <c r="K15" s="28">
        <v>14</v>
      </c>
      <c r="L15" s="28">
        <v>19</v>
      </c>
      <c r="M15" s="28">
        <v>3</v>
      </c>
      <c r="N15" s="32">
        <f>SUM(N9:N14)</f>
        <v>43</v>
      </c>
    </row>
  </sheetData>
  <mergeCells count="2">
    <mergeCell ref="B1:G1"/>
    <mergeCell ref="B4:E4"/>
  </mergeCells>
  <pageMargins left="0.7" right="0.7" top="0.75" bottom="0.75" header="0.3" footer="0.3"/>
  <pageSetup scale="49" orientation="portrait" verticalDpi="0" r:id="rId3"/>
  <colBreaks count="1" manualBreakCount="1">
    <brk id="7"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3FF46-2B06-423D-9378-58BE4C864FE0}">
  <dimension ref="A1:T15"/>
  <sheetViews>
    <sheetView view="pageBreakPreview" zoomScale="90" zoomScaleNormal="100" zoomScaleSheetLayoutView="90" workbookViewId="0">
      <selection activeCell="P28" sqref="P28"/>
    </sheetView>
  </sheetViews>
  <sheetFormatPr defaultRowHeight="14.25" x14ac:dyDescent="0.2"/>
  <cols>
    <col min="1" max="1" width="3.140625" style="18" customWidth="1"/>
    <col min="2" max="2" width="55" style="18" bestFit="1" customWidth="1"/>
    <col min="3" max="3" width="25.7109375" style="18" bestFit="1" customWidth="1"/>
    <col min="4" max="4" width="20.5703125" style="18" bestFit="1" customWidth="1"/>
    <col min="5" max="5" width="13.85546875" style="18" bestFit="1" customWidth="1"/>
    <col min="6" max="6" width="6.7109375" style="18" bestFit="1" customWidth="1"/>
    <col min="7" max="7" width="18.42578125" style="18" bestFit="1" customWidth="1"/>
    <col min="8" max="8" width="14.28515625" style="18" customWidth="1"/>
    <col min="9" max="9" width="4.42578125" style="18" customWidth="1"/>
    <col min="10" max="10" width="55" style="18" bestFit="1" customWidth="1"/>
    <col min="11" max="11" width="19" style="18" bestFit="1" customWidth="1"/>
    <col min="12" max="12" width="25" style="18" bestFit="1" customWidth="1"/>
    <col min="13" max="13" width="18.42578125" style="18" bestFit="1" customWidth="1"/>
    <col min="14" max="14" width="13.140625" style="18" customWidth="1"/>
    <col min="15" max="15" width="3.85546875" style="18" customWidth="1"/>
    <col min="16" max="16" width="55" style="18" bestFit="1" customWidth="1"/>
    <col min="17" max="17" width="19" style="18" bestFit="1" customWidth="1"/>
    <col min="18" max="18" width="25" style="18" bestFit="1" customWidth="1"/>
    <col min="19" max="19" width="18.42578125" style="18" bestFit="1" customWidth="1"/>
    <col min="20" max="20" width="12.140625" style="18" customWidth="1"/>
    <col min="21" max="21" width="4.5703125" style="18" customWidth="1"/>
    <col min="22" max="16384" width="9.140625" style="18"/>
  </cols>
  <sheetData>
    <row r="1" spans="1:20" x14ac:dyDescent="0.2">
      <c r="B1" s="41" t="s">
        <v>274</v>
      </c>
      <c r="C1" s="41"/>
      <c r="D1" s="41"/>
      <c r="E1" s="41"/>
      <c r="F1" s="41"/>
      <c r="G1" s="41"/>
      <c r="H1" s="41"/>
    </row>
    <row r="2" spans="1:20" ht="20.25" x14ac:dyDescent="0.3">
      <c r="B2" s="13" t="s">
        <v>275</v>
      </c>
      <c r="H2" s="21" t="s">
        <v>339</v>
      </c>
    </row>
    <row r="3" spans="1:20" x14ac:dyDescent="0.2">
      <c r="A3" s="9"/>
      <c r="B3" s="9"/>
      <c r="C3" s="9"/>
      <c r="D3" s="9"/>
      <c r="E3" s="9"/>
      <c r="F3" s="9"/>
      <c r="G3" s="9"/>
      <c r="H3" s="9"/>
      <c r="I3" s="9"/>
      <c r="J3" s="9"/>
      <c r="K3" s="9"/>
      <c r="L3" s="9"/>
      <c r="M3" s="9"/>
      <c r="N3" s="9"/>
    </row>
    <row r="4" spans="1:20" ht="41.25" customHeight="1" x14ac:dyDescent="0.2">
      <c r="A4" s="9"/>
      <c r="B4" s="48" t="s">
        <v>340</v>
      </c>
      <c r="C4" s="49"/>
      <c r="D4" s="50"/>
      <c r="E4" s="9"/>
      <c r="F4" s="9"/>
      <c r="G4" s="9"/>
      <c r="H4" s="9"/>
      <c r="I4" s="9"/>
      <c r="J4" s="51" t="s">
        <v>347</v>
      </c>
      <c r="K4" s="52"/>
      <c r="L4" s="53"/>
      <c r="M4" s="9"/>
      <c r="N4" s="9"/>
      <c r="P4" s="54" t="s">
        <v>348</v>
      </c>
      <c r="Q4" s="55"/>
      <c r="R4" s="56"/>
    </row>
    <row r="5" spans="1:20" x14ac:dyDescent="0.2">
      <c r="A5" s="9"/>
      <c r="B5" s="9"/>
      <c r="C5" s="9"/>
      <c r="D5" s="9"/>
      <c r="E5" s="9"/>
      <c r="F5" s="9"/>
      <c r="G5" s="9"/>
      <c r="H5" s="9"/>
      <c r="I5" s="9"/>
      <c r="J5" s="9"/>
      <c r="K5" s="9"/>
      <c r="L5" s="9"/>
      <c r="M5" s="9"/>
      <c r="N5" s="9"/>
    </row>
    <row r="6" spans="1:20" x14ac:dyDescent="0.2">
      <c r="A6" s="22"/>
      <c r="B6" s="22" t="s">
        <v>291</v>
      </c>
      <c r="C6" s="23">
        <f>C15/$H$15</f>
        <v>0</v>
      </c>
      <c r="D6" s="23">
        <f>D15/$H$15</f>
        <v>0</v>
      </c>
      <c r="E6" s="23">
        <f>E15/$H$15</f>
        <v>2.3255813953488372E-2</v>
      </c>
      <c r="F6" s="23">
        <f>F15/$H$15</f>
        <v>9.3023255813953487E-2</v>
      </c>
      <c r="G6" s="23">
        <f>G15/$H$15</f>
        <v>0.88372093023255816</v>
      </c>
      <c r="H6" s="23">
        <f>SUM(C6:G6)</f>
        <v>1</v>
      </c>
      <c r="I6" s="22"/>
      <c r="J6" s="22" t="s">
        <v>291</v>
      </c>
      <c r="K6" s="23">
        <f>K15/$H$15</f>
        <v>2.3255813953488372E-2</v>
      </c>
      <c r="L6" s="23">
        <f t="shared" ref="L6:M6" si="0">L15/$H$15</f>
        <v>2.3255813953488372E-2</v>
      </c>
      <c r="M6" s="23">
        <f t="shared" si="0"/>
        <v>0.95348837209302328</v>
      </c>
      <c r="N6" s="23">
        <f>SUM(K6:M6)</f>
        <v>1</v>
      </c>
      <c r="P6" s="22" t="s">
        <v>291</v>
      </c>
      <c r="Q6" s="23">
        <f>Q15/$H$15</f>
        <v>4.6511627906976744E-2</v>
      </c>
      <c r="R6" s="23">
        <f>R15/$H$15</f>
        <v>4.6511627906976744E-2</v>
      </c>
      <c r="S6" s="23">
        <f>S15/$H$15</f>
        <v>0.90697674418604646</v>
      </c>
      <c r="T6" s="23">
        <f>SUM(Q6:S6)</f>
        <v>1</v>
      </c>
    </row>
    <row r="7" spans="1:20" ht="15" thickBot="1" x14ac:dyDescent="0.25">
      <c r="A7" s="9"/>
      <c r="B7" s="9"/>
      <c r="C7" s="24"/>
      <c r="D7" s="24"/>
      <c r="E7" s="24"/>
      <c r="F7" s="24"/>
      <c r="G7" s="9"/>
      <c r="H7" s="24"/>
      <c r="I7" s="9"/>
      <c r="J7" s="9"/>
      <c r="K7" s="24"/>
      <c r="L7" s="24"/>
      <c r="M7" s="24"/>
      <c r="N7" s="24"/>
      <c r="P7" s="9"/>
      <c r="Q7" s="24"/>
      <c r="R7" s="24"/>
      <c r="S7" s="24"/>
      <c r="T7" s="24"/>
    </row>
    <row r="8" spans="1:20" x14ac:dyDescent="0.2">
      <c r="A8" s="14"/>
      <c r="B8" s="25" t="s">
        <v>272</v>
      </c>
      <c r="C8" s="9" t="s">
        <v>341</v>
      </c>
      <c r="D8" s="9" t="s">
        <v>342</v>
      </c>
      <c r="E8" s="9" t="s">
        <v>343</v>
      </c>
      <c r="F8" s="9" t="s">
        <v>344</v>
      </c>
      <c r="G8" s="9" t="s">
        <v>335</v>
      </c>
      <c r="H8" s="26" t="s">
        <v>63</v>
      </c>
      <c r="I8" s="25"/>
      <c r="J8" s="25" t="s">
        <v>272</v>
      </c>
      <c r="K8" s="9" t="s">
        <v>345</v>
      </c>
      <c r="L8" s="9" t="s">
        <v>346</v>
      </c>
      <c r="M8" s="9" t="s">
        <v>335</v>
      </c>
      <c r="N8" s="15" t="s">
        <v>63</v>
      </c>
      <c r="P8" s="25" t="s">
        <v>272</v>
      </c>
      <c r="Q8" s="9" t="s">
        <v>345</v>
      </c>
      <c r="R8" s="9" t="s">
        <v>346</v>
      </c>
      <c r="S8" s="9" t="s">
        <v>335</v>
      </c>
      <c r="T8" s="15" t="s">
        <v>63</v>
      </c>
    </row>
    <row r="9" spans="1:20" x14ac:dyDescent="0.2">
      <c r="A9" s="9"/>
      <c r="B9" s="19" t="s">
        <v>53</v>
      </c>
      <c r="C9" s="10">
        <v>0</v>
      </c>
      <c r="D9" s="10">
        <v>0</v>
      </c>
      <c r="E9" s="10">
        <v>0</v>
      </c>
      <c r="F9" s="10">
        <v>0</v>
      </c>
      <c r="G9" s="10">
        <v>1</v>
      </c>
      <c r="H9" s="11">
        <f>SUM(C9:G9)</f>
        <v>1</v>
      </c>
      <c r="I9" s="9"/>
      <c r="J9" s="19" t="s">
        <v>53</v>
      </c>
      <c r="K9" s="10">
        <v>0</v>
      </c>
      <c r="L9" s="10">
        <v>0</v>
      </c>
      <c r="M9" s="10">
        <v>1</v>
      </c>
      <c r="N9" s="11">
        <f t="shared" ref="N9:N14" si="1">SUM(K9:M9)</f>
        <v>1</v>
      </c>
      <c r="P9" s="19" t="s">
        <v>53</v>
      </c>
      <c r="Q9" s="10">
        <v>0</v>
      </c>
      <c r="R9" s="10">
        <v>0</v>
      </c>
      <c r="S9" s="10">
        <v>1</v>
      </c>
      <c r="T9" s="11">
        <f t="shared" ref="T9:T14" si="2">SUM(Q9:S9)</f>
        <v>1</v>
      </c>
    </row>
    <row r="10" spans="1:20" x14ac:dyDescent="0.2">
      <c r="A10" s="9"/>
      <c r="B10" s="19" t="s">
        <v>54</v>
      </c>
      <c r="C10" s="10">
        <v>0</v>
      </c>
      <c r="D10" s="10">
        <v>0</v>
      </c>
      <c r="E10" s="10">
        <v>0</v>
      </c>
      <c r="F10" s="10">
        <v>1</v>
      </c>
      <c r="G10" s="10">
        <v>6</v>
      </c>
      <c r="H10" s="11">
        <f t="shared" ref="H10:H14" si="3">SUM(C10:G10)</f>
        <v>7</v>
      </c>
      <c r="I10" s="9"/>
      <c r="J10" s="19" t="s">
        <v>54</v>
      </c>
      <c r="K10" s="10">
        <v>0</v>
      </c>
      <c r="L10" s="10">
        <v>0</v>
      </c>
      <c r="M10" s="10">
        <v>7</v>
      </c>
      <c r="N10" s="11">
        <f t="shared" si="1"/>
        <v>7</v>
      </c>
      <c r="P10" s="19" t="s">
        <v>54</v>
      </c>
      <c r="Q10" s="10">
        <v>0</v>
      </c>
      <c r="R10" s="10">
        <v>0</v>
      </c>
      <c r="S10" s="10">
        <v>7</v>
      </c>
      <c r="T10" s="11">
        <f t="shared" si="2"/>
        <v>7</v>
      </c>
    </row>
    <row r="11" spans="1:20" x14ac:dyDescent="0.2">
      <c r="A11" s="9"/>
      <c r="B11" s="19" t="s">
        <v>55</v>
      </c>
      <c r="C11" s="10">
        <v>0</v>
      </c>
      <c r="D11" s="10">
        <v>0</v>
      </c>
      <c r="E11" s="10">
        <v>0</v>
      </c>
      <c r="F11" s="10">
        <v>0</v>
      </c>
      <c r="G11" s="10">
        <v>8</v>
      </c>
      <c r="H11" s="11">
        <f t="shared" si="3"/>
        <v>8</v>
      </c>
      <c r="I11" s="9"/>
      <c r="J11" s="19" t="s">
        <v>55</v>
      </c>
      <c r="K11" s="10">
        <v>0</v>
      </c>
      <c r="L11" s="10">
        <v>0</v>
      </c>
      <c r="M11" s="10">
        <v>8</v>
      </c>
      <c r="N11" s="11">
        <f t="shared" si="1"/>
        <v>8</v>
      </c>
      <c r="P11" s="19" t="s">
        <v>55</v>
      </c>
      <c r="Q11" s="10">
        <v>1</v>
      </c>
      <c r="R11" s="10">
        <v>1</v>
      </c>
      <c r="S11" s="10">
        <v>6</v>
      </c>
      <c r="T11" s="11">
        <f t="shared" si="2"/>
        <v>8</v>
      </c>
    </row>
    <row r="12" spans="1:20" x14ac:dyDescent="0.2">
      <c r="A12" s="9"/>
      <c r="B12" s="19" t="s">
        <v>56</v>
      </c>
      <c r="C12" s="10">
        <v>0</v>
      </c>
      <c r="D12" s="10">
        <v>0</v>
      </c>
      <c r="E12" s="10">
        <v>1</v>
      </c>
      <c r="F12" s="10">
        <v>0</v>
      </c>
      <c r="G12" s="10">
        <v>3</v>
      </c>
      <c r="H12" s="11">
        <f t="shared" si="3"/>
        <v>4</v>
      </c>
      <c r="I12" s="9"/>
      <c r="J12" s="19" t="s">
        <v>56</v>
      </c>
      <c r="K12" s="10">
        <v>0</v>
      </c>
      <c r="L12" s="10">
        <v>0</v>
      </c>
      <c r="M12" s="10">
        <v>4</v>
      </c>
      <c r="N12" s="11">
        <f t="shared" si="1"/>
        <v>4</v>
      </c>
      <c r="P12" s="19" t="s">
        <v>56</v>
      </c>
      <c r="Q12" s="10">
        <v>0</v>
      </c>
      <c r="R12" s="10">
        <v>0</v>
      </c>
      <c r="S12" s="10">
        <v>4</v>
      </c>
      <c r="T12" s="11">
        <f t="shared" si="2"/>
        <v>4</v>
      </c>
    </row>
    <row r="13" spans="1:20" x14ac:dyDescent="0.2">
      <c r="A13" s="9"/>
      <c r="B13" s="19" t="s">
        <v>57</v>
      </c>
      <c r="C13" s="10">
        <v>0</v>
      </c>
      <c r="D13" s="10">
        <v>0</v>
      </c>
      <c r="E13" s="10">
        <v>0</v>
      </c>
      <c r="F13" s="10">
        <v>3</v>
      </c>
      <c r="G13" s="10">
        <v>19</v>
      </c>
      <c r="H13" s="11">
        <f t="shared" si="3"/>
        <v>22</v>
      </c>
      <c r="I13" s="9"/>
      <c r="J13" s="19" t="s">
        <v>57</v>
      </c>
      <c r="K13" s="10">
        <v>1</v>
      </c>
      <c r="L13" s="10">
        <v>1</v>
      </c>
      <c r="M13" s="10">
        <v>20</v>
      </c>
      <c r="N13" s="11">
        <f t="shared" si="1"/>
        <v>22</v>
      </c>
      <c r="P13" s="19" t="s">
        <v>57</v>
      </c>
      <c r="Q13" s="10">
        <v>1</v>
      </c>
      <c r="R13" s="10">
        <v>1</v>
      </c>
      <c r="S13" s="10">
        <v>20</v>
      </c>
      <c r="T13" s="11">
        <f t="shared" si="2"/>
        <v>22</v>
      </c>
    </row>
    <row r="14" spans="1:20" x14ac:dyDescent="0.2">
      <c r="A14" s="9"/>
      <c r="B14" s="19" t="s">
        <v>58</v>
      </c>
      <c r="C14" s="10">
        <v>0</v>
      </c>
      <c r="D14" s="10">
        <v>0</v>
      </c>
      <c r="E14" s="10">
        <v>0</v>
      </c>
      <c r="F14" s="10">
        <v>0</v>
      </c>
      <c r="G14" s="10">
        <v>1</v>
      </c>
      <c r="H14" s="11">
        <f t="shared" si="3"/>
        <v>1</v>
      </c>
      <c r="I14" s="9"/>
      <c r="J14" s="19" t="s">
        <v>58</v>
      </c>
      <c r="K14" s="10">
        <v>0</v>
      </c>
      <c r="L14" s="10">
        <v>0</v>
      </c>
      <c r="M14" s="10">
        <v>1</v>
      </c>
      <c r="N14" s="11">
        <f t="shared" si="1"/>
        <v>1</v>
      </c>
      <c r="P14" s="19" t="s">
        <v>58</v>
      </c>
      <c r="Q14" s="10">
        <v>0</v>
      </c>
      <c r="R14" s="10">
        <v>0</v>
      </c>
      <c r="S14" s="10">
        <v>1</v>
      </c>
      <c r="T14" s="11">
        <f t="shared" si="2"/>
        <v>1</v>
      </c>
    </row>
    <row r="15" spans="1:20" ht="15" thickBot="1" x14ac:dyDescent="0.25">
      <c r="A15" s="9"/>
      <c r="B15" s="19" t="s">
        <v>273</v>
      </c>
      <c r="C15" s="10">
        <v>0</v>
      </c>
      <c r="D15" s="10">
        <v>0</v>
      </c>
      <c r="E15" s="10">
        <v>1</v>
      </c>
      <c r="F15" s="10">
        <v>4</v>
      </c>
      <c r="G15" s="10">
        <v>38</v>
      </c>
      <c r="H15" s="32">
        <f>SUM(H9:H14)</f>
        <v>43</v>
      </c>
      <c r="I15" s="9"/>
      <c r="J15" s="19" t="s">
        <v>273</v>
      </c>
      <c r="K15" s="10">
        <v>1</v>
      </c>
      <c r="L15" s="10">
        <v>1</v>
      </c>
      <c r="M15" s="10">
        <v>41</v>
      </c>
      <c r="N15" s="32">
        <f>SUM(N9:N14)</f>
        <v>43</v>
      </c>
      <c r="P15" s="19" t="s">
        <v>273</v>
      </c>
      <c r="Q15" s="10">
        <v>2</v>
      </c>
      <c r="R15" s="10">
        <v>2</v>
      </c>
      <c r="S15" s="10">
        <v>39</v>
      </c>
      <c r="T15" s="32">
        <f>SUM(T9:T14)</f>
        <v>43</v>
      </c>
    </row>
  </sheetData>
  <mergeCells count="4">
    <mergeCell ref="B1:H1"/>
    <mergeCell ref="B4:D4"/>
    <mergeCell ref="J4:L4"/>
    <mergeCell ref="P4:R4"/>
  </mergeCells>
  <pageMargins left="0.7" right="0.7" top="0.75" bottom="0.75" header="0.3" footer="0.3"/>
  <pageSetup scale="44" orientation="portrait" verticalDpi="0" r:id="rId4"/>
  <colBreaks count="2" manualBreakCount="2">
    <brk id="8" max="1048575" man="1"/>
    <brk id="14"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78174-6714-489A-92AF-C8EF865170C6}">
  <dimension ref="A1:R13"/>
  <sheetViews>
    <sheetView view="pageBreakPreview" topLeftCell="G1" zoomScale="90" zoomScaleNormal="100" zoomScaleSheetLayoutView="90" workbookViewId="0">
      <selection activeCell="C19" sqref="C19"/>
    </sheetView>
  </sheetViews>
  <sheetFormatPr defaultRowHeight="15" x14ac:dyDescent="0.25"/>
  <cols>
    <col min="1" max="1" width="2.5703125" customWidth="1"/>
    <col min="2" max="2" width="55" bestFit="1" customWidth="1"/>
    <col min="3" max="3" width="28.7109375" bestFit="1" customWidth="1"/>
    <col min="4" max="4" width="22.5703125" bestFit="1" customWidth="1"/>
    <col min="5" max="5" width="24" bestFit="1" customWidth="1"/>
    <col min="6" max="6" width="21.7109375" bestFit="1" customWidth="1"/>
    <col min="7" max="7" width="19.7109375" bestFit="1" customWidth="1"/>
    <col min="8" max="8" width="23.42578125" bestFit="1" customWidth="1"/>
    <col min="9" max="9" width="28.85546875" bestFit="1" customWidth="1"/>
    <col min="10" max="10" width="28.28515625" bestFit="1" customWidth="1"/>
    <col min="11" max="11" width="23.85546875" bestFit="1" customWidth="1"/>
    <col min="12" max="12" width="22" bestFit="1" customWidth="1"/>
    <col min="13" max="13" width="26.7109375" bestFit="1" customWidth="1"/>
    <col min="14" max="14" width="12.140625" bestFit="1" customWidth="1"/>
    <col min="15" max="15" width="18.5703125" bestFit="1" customWidth="1"/>
    <col min="16" max="16" width="27.140625" bestFit="1" customWidth="1"/>
    <col min="17" max="17" width="22.42578125" bestFit="1" customWidth="1"/>
    <col min="18" max="18" width="26.5703125" bestFit="1" customWidth="1"/>
    <col min="19" max="19" width="3.140625" customWidth="1"/>
  </cols>
  <sheetData>
    <row r="1" spans="1:18" x14ac:dyDescent="0.25">
      <c r="A1" s="5"/>
      <c r="B1" s="41" t="s">
        <v>274</v>
      </c>
      <c r="C1" s="41"/>
      <c r="D1" s="41"/>
      <c r="E1" s="41"/>
      <c r="F1" s="41"/>
      <c r="G1" s="41"/>
      <c r="H1" s="41"/>
      <c r="I1" s="41"/>
      <c r="J1" s="41"/>
      <c r="K1" s="5"/>
    </row>
    <row r="2" spans="1:18" ht="20.25" x14ac:dyDescent="0.3">
      <c r="A2" s="5"/>
      <c r="B2" s="13" t="s">
        <v>275</v>
      </c>
      <c r="C2" s="18"/>
      <c r="D2" s="18"/>
      <c r="E2" s="18"/>
      <c r="F2" s="5"/>
      <c r="G2" s="5"/>
      <c r="H2" s="5"/>
      <c r="I2" s="5"/>
      <c r="K2" s="5"/>
      <c r="R2" s="21" t="s">
        <v>365</v>
      </c>
    </row>
    <row r="3" spans="1:18" x14ac:dyDescent="0.25">
      <c r="A3" s="9"/>
      <c r="B3" s="9"/>
      <c r="C3" s="9"/>
      <c r="D3" s="9"/>
      <c r="E3" s="9"/>
      <c r="F3" s="9"/>
      <c r="G3" s="9"/>
      <c r="H3" s="9"/>
      <c r="I3" s="9"/>
      <c r="J3" s="9"/>
      <c r="K3" s="9"/>
    </row>
    <row r="4" spans="1:18" x14ac:dyDescent="0.25">
      <c r="A4" s="22"/>
      <c r="B4" s="22"/>
      <c r="C4" s="23"/>
      <c r="D4" s="23"/>
      <c r="E4" s="23"/>
      <c r="F4" s="23"/>
      <c r="G4" s="22"/>
      <c r="H4" s="22"/>
      <c r="I4" s="22"/>
      <c r="J4" s="23"/>
      <c r="K4" s="22"/>
    </row>
    <row r="5" spans="1:18" x14ac:dyDescent="0.25">
      <c r="A5" s="9"/>
      <c r="B5" s="9"/>
      <c r="C5" s="24"/>
      <c r="D5" s="24"/>
      <c r="E5" s="24"/>
      <c r="F5" s="24"/>
      <c r="G5" s="9"/>
      <c r="H5" s="9"/>
      <c r="I5" s="9"/>
      <c r="J5" s="24"/>
      <c r="K5" s="9"/>
    </row>
    <row r="6" spans="1:18" s="7" customFormat="1" ht="38.25" x14ac:dyDescent="0.25">
      <c r="A6" s="14"/>
      <c r="B6" s="29" t="s">
        <v>272</v>
      </c>
      <c r="C6" s="30" t="s">
        <v>349</v>
      </c>
      <c r="D6" s="30" t="s">
        <v>350</v>
      </c>
      <c r="E6" s="30" t="s">
        <v>351</v>
      </c>
      <c r="F6" s="30" t="s">
        <v>352</v>
      </c>
      <c r="G6" s="30" t="s">
        <v>353</v>
      </c>
      <c r="H6" s="30" t="s">
        <v>354</v>
      </c>
      <c r="I6" s="30" t="s">
        <v>355</v>
      </c>
      <c r="J6" s="30" t="s">
        <v>356</v>
      </c>
      <c r="K6" s="30" t="s">
        <v>357</v>
      </c>
      <c r="L6" s="30" t="s">
        <v>358</v>
      </c>
      <c r="M6" s="30" t="s">
        <v>359</v>
      </c>
      <c r="N6" s="30" t="s">
        <v>360</v>
      </c>
      <c r="O6" s="30" t="s">
        <v>361</v>
      </c>
      <c r="P6" s="30" t="s">
        <v>362</v>
      </c>
      <c r="Q6" s="30" t="s">
        <v>363</v>
      </c>
      <c r="R6" s="30" t="s">
        <v>364</v>
      </c>
    </row>
    <row r="7" spans="1:18" x14ac:dyDescent="0.25">
      <c r="A7" s="9"/>
      <c r="B7" s="27" t="s">
        <v>53</v>
      </c>
      <c r="C7" s="28">
        <v>0</v>
      </c>
      <c r="D7" s="28">
        <v>0</v>
      </c>
      <c r="E7" s="28">
        <v>0</v>
      </c>
      <c r="F7" s="28">
        <v>0</v>
      </c>
      <c r="G7" s="28">
        <v>1</v>
      </c>
      <c r="H7" s="28">
        <v>1</v>
      </c>
      <c r="I7" s="28">
        <v>0</v>
      </c>
      <c r="J7" s="28">
        <v>0</v>
      </c>
      <c r="K7" s="28">
        <v>0</v>
      </c>
      <c r="L7" s="28">
        <v>0</v>
      </c>
      <c r="M7" s="28">
        <v>1</v>
      </c>
      <c r="N7" s="28">
        <v>0</v>
      </c>
      <c r="O7" s="28">
        <v>1</v>
      </c>
      <c r="P7" s="28">
        <v>0</v>
      </c>
      <c r="Q7" s="28">
        <v>0</v>
      </c>
      <c r="R7" s="28">
        <v>1</v>
      </c>
    </row>
    <row r="8" spans="1:18" x14ac:dyDescent="0.25">
      <c r="A8" s="9"/>
      <c r="B8" s="27" t="s">
        <v>54</v>
      </c>
      <c r="C8" s="28">
        <v>2</v>
      </c>
      <c r="D8" s="28">
        <v>4</v>
      </c>
      <c r="E8" s="28">
        <v>2</v>
      </c>
      <c r="F8" s="28">
        <v>4</v>
      </c>
      <c r="G8" s="28">
        <v>4</v>
      </c>
      <c r="H8" s="28">
        <v>3</v>
      </c>
      <c r="I8" s="28">
        <v>2</v>
      </c>
      <c r="J8" s="28">
        <v>1</v>
      </c>
      <c r="K8" s="28">
        <v>0</v>
      </c>
      <c r="L8" s="28">
        <v>1</v>
      </c>
      <c r="M8" s="28">
        <v>1</v>
      </c>
      <c r="N8" s="28">
        <v>2</v>
      </c>
      <c r="O8" s="28">
        <v>4</v>
      </c>
      <c r="P8" s="28">
        <v>3</v>
      </c>
      <c r="Q8" s="28">
        <v>3</v>
      </c>
      <c r="R8" s="28">
        <v>6</v>
      </c>
    </row>
    <row r="9" spans="1:18" x14ac:dyDescent="0.25">
      <c r="A9" s="9"/>
      <c r="B9" s="27" t="s">
        <v>55</v>
      </c>
      <c r="C9" s="28">
        <v>1</v>
      </c>
      <c r="D9" s="28">
        <v>4</v>
      </c>
      <c r="E9" s="28">
        <v>2</v>
      </c>
      <c r="F9" s="28">
        <v>8</v>
      </c>
      <c r="G9" s="28">
        <v>6</v>
      </c>
      <c r="H9" s="28">
        <v>3</v>
      </c>
      <c r="I9" s="28">
        <v>3</v>
      </c>
      <c r="J9" s="28">
        <v>4</v>
      </c>
      <c r="K9" s="28">
        <v>3</v>
      </c>
      <c r="L9" s="28">
        <v>0</v>
      </c>
      <c r="M9" s="28">
        <v>1</v>
      </c>
      <c r="N9" s="28">
        <v>1</v>
      </c>
      <c r="O9" s="28">
        <v>8</v>
      </c>
      <c r="P9" s="28">
        <v>0</v>
      </c>
      <c r="Q9" s="28">
        <v>2</v>
      </c>
      <c r="R9" s="28">
        <v>6</v>
      </c>
    </row>
    <row r="10" spans="1:18" x14ac:dyDescent="0.25">
      <c r="A10" s="9"/>
      <c r="B10" s="27" t="s">
        <v>56</v>
      </c>
      <c r="C10" s="28">
        <v>1</v>
      </c>
      <c r="D10" s="28">
        <v>0</v>
      </c>
      <c r="E10" s="28">
        <v>2</v>
      </c>
      <c r="F10" s="28">
        <v>1</v>
      </c>
      <c r="G10" s="28">
        <v>2</v>
      </c>
      <c r="H10" s="28">
        <v>1</v>
      </c>
      <c r="I10" s="28">
        <v>2</v>
      </c>
      <c r="J10" s="28">
        <v>1</v>
      </c>
      <c r="K10" s="28">
        <v>1</v>
      </c>
      <c r="L10" s="28">
        <v>0</v>
      </c>
      <c r="M10" s="28">
        <v>0</v>
      </c>
      <c r="N10" s="28">
        <v>0</v>
      </c>
      <c r="O10" s="28">
        <v>1</v>
      </c>
      <c r="P10" s="28">
        <v>0</v>
      </c>
      <c r="Q10" s="28">
        <v>0</v>
      </c>
      <c r="R10" s="28">
        <v>2</v>
      </c>
    </row>
    <row r="11" spans="1:18" x14ac:dyDescent="0.25">
      <c r="A11" s="9"/>
      <c r="B11" s="27" t="s">
        <v>57</v>
      </c>
      <c r="C11" s="28">
        <v>3</v>
      </c>
      <c r="D11" s="28">
        <v>8</v>
      </c>
      <c r="E11" s="28">
        <v>3</v>
      </c>
      <c r="F11" s="28">
        <v>9</v>
      </c>
      <c r="G11" s="28">
        <v>6</v>
      </c>
      <c r="H11" s="28">
        <v>4</v>
      </c>
      <c r="I11" s="28">
        <v>3</v>
      </c>
      <c r="J11" s="28">
        <v>4</v>
      </c>
      <c r="K11" s="28">
        <v>0</v>
      </c>
      <c r="L11" s="28">
        <v>1</v>
      </c>
      <c r="M11" s="28">
        <v>1</v>
      </c>
      <c r="N11" s="28">
        <v>1</v>
      </c>
      <c r="O11" s="28">
        <v>12</v>
      </c>
      <c r="P11" s="28">
        <v>3</v>
      </c>
      <c r="Q11" s="28">
        <v>1</v>
      </c>
      <c r="R11" s="28">
        <v>17</v>
      </c>
    </row>
    <row r="12" spans="1:18" x14ac:dyDescent="0.25">
      <c r="A12" s="9"/>
      <c r="B12" s="27" t="s">
        <v>58</v>
      </c>
      <c r="C12" s="28">
        <v>1</v>
      </c>
      <c r="D12" s="28">
        <v>1</v>
      </c>
      <c r="E12" s="28">
        <v>0</v>
      </c>
      <c r="F12" s="28">
        <v>0</v>
      </c>
      <c r="G12" s="28">
        <v>0</v>
      </c>
      <c r="H12" s="28">
        <v>0</v>
      </c>
      <c r="I12" s="28">
        <v>0</v>
      </c>
      <c r="J12" s="28">
        <v>0</v>
      </c>
      <c r="K12" s="28">
        <v>0</v>
      </c>
      <c r="L12" s="28">
        <v>0</v>
      </c>
      <c r="M12" s="28">
        <v>0</v>
      </c>
      <c r="N12" s="28">
        <v>0</v>
      </c>
      <c r="O12" s="28">
        <v>1</v>
      </c>
      <c r="P12" s="28">
        <v>1</v>
      </c>
      <c r="Q12" s="28">
        <v>0</v>
      </c>
      <c r="R12" s="28">
        <v>1</v>
      </c>
    </row>
    <row r="13" spans="1:18" ht="15.75" thickBot="1" x14ac:dyDescent="0.3">
      <c r="A13" s="9"/>
      <c r="B13" s="27" t="s">
        <v>273</v>
      </c>
      <c r="C13" s="28">
        <v>8</v>
      </c>
      <c r="D13" s="28">
        <v>17</v>
      </c>
      <c r="E13" s="28">
        <v>9</v>
      </c>
      <c r="F13" s="28">
        <v>22</v>
      </c>
      <c r="G13" s="28">
        <v>19</v>
      </c>
      <c r="H13" s="28">
        <v>12</v>
      </c>
      <c r="I13" s="28">
        <v>10</v>
      </c>
      <c r="J13" s="28">
        <v>10</v>
      </c>
      <c r="K13" s="28">
        <v>4</v>
      </c>
      <c r="L13" s="28">
        <v>2</v>
      </c>
      <c r="M13" s="28">
        <v>4</v>
      </c>
      <c r="N13" s="28">
        <v>4</v>
      </c>
      <c r="O13" s="28">
        <v>27</v>
      </c>
      <c r="P13" s="28">
        <v>7</v>
      </c>
      <c r="Q13" s="28">
        <v>6</v>
      </c>
      <c r="R13" s="28">
        <v>33</v>
      </c>
    </row>
  </sheetData>
  <mergeCells count="1">
    <mergeCell ref="B1:J1"/>
  </mergeCells>
  <pageMargins left="0.7" right="0.7" top="0.75" bottom="0.75" header="0.3" footer="0.3"/>
  <pageSetup scale="16" orientation="portrait" verticalDpi="0"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P44"/>
  <sheetViews>
    <sheetView topLeftCell="AH1" zoomScaleNormal="100" workbookViewId="0">
      <selection activeCell="BB33" sqref="BB33"/>
    </sheetView>
  </sheetViews>
  <sheetFormatPr defaultColWidth="9.140625" defaultRowHeight="15" x14ac:dyDescent="0.25"/>
  <cols>
    <col min="1" max="1" width="19.7109375" bestFit="1" customWidth="1"/>
    <col min="2" max="2" width="51.7109375" bestFit="1" customWidth="1"/>
    <col min="3" max="3" width="20.85546875" bestFit="1" customWidth="1"/>
    <col min="92" max="112" width="9.140625" style="40"/>
    <col min="133" max="157" width="9.140625" style="40"/>
  </cols>
  <sheetData>
    <row r="1" spans="1:172" s="4" customFormat="1" x14ac:dyDescent="0.25">
      <c r="A1" s="4" t="s">
        <v>50</v>
      </c>
      <c r="B1" s="4" t="s">
        <v>28</v>
      </c>
      <c r="C1" s="4" t="s">
        <v>47</v>
      </c>
      <c r="D1" s="4" t="s">
        <v>271</v>
      </c>
      <c r="E1" s="1" t="s">
        <v>59</v>
      </c>
      <c r="F1" s="1" t="s">
        <v>60</v>
      </c>
      <c r="G1" s="1" t="s">
        <v>61</v>
      </c>
      <c r="H1" s="1" t="s">
        <v>62</v>
      </c>
      <c r="I1" s="1" t="s">
        <v>107</v>
      </c>
      <c r="J1" s="1" t="s">
        <v>108</v>
      </c>
      <c r="K1" s="1" t="s">
        <v>109</v>
      </c>
      <c r="L1" s="1" t="s">
        <v>110</v>
      </c>
      <c r="M1" s="1" t="s">
        <v>111</v>
      </c>
      <c r="N1" s="1" t="s">
        <v>112</v>
      </c>
      <c r="O1" s="1" t="s">
        <v>113</v>
      </c>
      <c r="P1" s="1" t="s">
        <v>114</v>
      </c>
      <c r="Q1" s="1" t="s">
        <v>115</v>
      </c>
      <c r="R1" s="1" t="s">
        <v>116</v>
      </c>
      <c r="S1" s="1" t="s">
        <v>117</v>
      </c>
      <c r="T1" s="1" t="s">
        <v>118</v>
      </c>
      <c r="U1" s="1" t="s">
        <v>119</v>
      </c>
      <c r="V1" s="1" t="s">
        <v>120</v>
      </c>
      <c r="W1" s="1" t="s">
        <v>121</v>
      </c>
      <c r="X1" s="1" t="s">
        <v>122</v>
      </c>
      <c r="Y1" s="1" t="s">
        <v>123</v>
      </c>
      <c r="Z1" s="1" t="s">
        <v>124</v>
      </c>
      <c r="AA1" s="1" t="s">
        <v>125</v>
      </c>
      <c r="AB1" s="1" t="s">
        <v>126</v>
      </c>
      <c r="AC1" s="1" t="s">
        <v>127</v>
      </c>
      <c r="AD1" s="1" t="s">
        <v>128</v>
      </c>
      <c r="AE1" s="1" t="s">
        <v>129</v>
      </c>
      <c r="AF1" s="1" t="s">
        <v>130</v>
      </c>
      <c r="AG1" s="1" t="s">
        <v>131</v>
      </c>
      <c r="AH1" s="1" t="s">
        <v>132</v>
      </c>
      <c r="AI1" s="1" t="s">
        <v>133</v>
      </c>
      <c r="AJ1" s="1" t="s">
        <v>134</v>
      </c>
      <c r="AK1" s="1" t="s">
        <v>135</v>
      </c>
      <c r="AL1" s="1" t="s">
        <v>136</v>
      </c>
      <c r="AM1" s="1" t="s">
        <v>137</v>
      </c>
      <c r="AN1" s="1" t="s">
        <v>138</v>
      </c>
      <c r="AO1" s="1" t="s">
        <v>139</v>
      </c>
      <c r="AP1" s="1" t="s">
        <v>140</v>
      </c>
      <c r="AQ1" s="1" t="s">
        <v>141</v>
      </c>
      <c r="AR1" s="1" t="s">
        <v>142</v>
      </c>
      <c r="AS1" s="1" t="s">
        <v>143</v>
      </c>
      <c r="AT1" s="1" t="s">
        <v>144</v>
      </c>
      <c r="AU1" s="1" t="s">
        <v>145</v>
      </c>
      <c r="AV1" s="1" t="s">
        <v>146</v>
      </c>
      <c r="AW1" s="1" t="s">
        <v>147</v>
      </c>
      <c r="AX1" s="1" t="s">
        <v>148</v>
      </c>
      <c r="AY1" s="1" t="s">
        <v>149</v>
      </c>
      <c r="AZ1" s="1" t="s">
        <v>150</v>
      </c>
      <c r="BA1" s="1" t="s">
        <v>151</v>
      </c>
      <c r="BB1" s="1" t="s">
        <v>152</v>
      </c>
      <c r="BC1" s="1" t="s">
        <v>153</v>
      </c>
      <c r="BD1" s="1" t="s">
        <v>154</v>
      </c>
      <c r="BE1" s="1" t="s">
        <v>155</v>
      </c>
      <c r="BF1" s="1" t="s">
        <v>156</v>
      </c>
      <c r="BG1" s="1" t="s">
        <v>157</v>
      </c>
      <c r="BH1" s="1" t="s">
        <v>158</v>
      </c>
      <c r="BI1" s="1" t="s">
        <v>159</v>
      </c>
      <c r="BJ1" s="1" t="s">
        <v>160</v>
      </c>
      <c r="BK1" s="1" t="s">
        <v>161</v>
      </c>
      <c r="BL1" s="1" t="s">
        <v>162</v>
      </c>
      <c r="BM1" s="1" t="s">
        <v>163</v>
      </c>
      <c r="BN1" s="1" t="s">
        <v>164</v>
      </c>
      <c r="BO1" s="1" t="s">
        <v>165</v>
      </c>
      <c r="BP1" s="1" t="s">
        <v>166</v>
      </c>
      <c r="BQ1" s="1" t="s">
        <v>167</v>
      </c>
      <c r="BR1" s="1" t="s">
        <v>168</v>
      </c>
      <c r="BS1" s="1" t="s">
        <v>169</v>
      </c>
      <c r="BT1" s="1" t="s">
        <v>170</v>
      </c>
      <c r="BU1" s="1" t="s">
        <v>171</v>
      </c>
      <c r="BV1" s="1" t="s">
        <v>172</v>
      </c>
      <c r="BW1" s="1" t="s">
        <v>173</v>
      </c>
      <c r="BX1" s="1" t="s">
        <v>174</v>
      </c>
      <c r="BY1" s="1" t="s">
        <v>175</v>
      </c>
      <c r="BZ1" s="1" t="s">
        <v>176</v>
      </c>
      <c r="CA1" s="1" t="s">
        <v>177</v>
      </c>
      <c r="CB1" s="1" t="s">
        <v>178</v>
      </c>
      <c r="CC1" s="1" t="s">
        <v>179</v>
      </c>
      <c r="CD1" s="1" t="s">
        <v>180</v>
      </c>
      <c r="CE1" s="1" t="s">
        <v>181</v>
      </c>
      <c r="CF1" s="1" t="s">
        <v>182</v>
      </c>
      <c r="CG1" s="1" t="s">
        <v>183</v>
      </c>
      <c r="CH1" s="1" t="s">
        <v>184</v>
      </c>
      <c r="CI1" s="1" t="s">
        <v>185</v>
      </c>
      <c r="CJ1" s="1" t="s">
        <v>186</v>
      </c>
      <c r="CK1" s="1" t="s">
        <v>187</v>
      </c>
      <c r="CL1" s="1" t="s">
        <v>188</v>
      </c>
      <c r="CM1" s="1" t="s">
        <v>189</v>
      </c>
      <c r="CN1" s="38" t="s">
        <v>190</v>
      </c>
      <c r="CO1" s="38" t="s">
        <v>191</v>
      </c>
      <c r="CP1" s="38" t="s">
        <v>192</v>
      </c>
      <c r="CQ1" s="38" t="s">
        <v>193</v>
      </c>
      <c r="CR1" s="38" t="s">
        <v>194</v>
      </c>
      <c r="CS1" s="38" t="s">
        <v>195</v>
      </c>
      <c r="CT1" s="38" t="s">
        <v>196</v>
      </c>
      <c r="CU1" s="38" t="s">
        <v>197</v>
      </c>
      <c r="CV1" s="38" t="s">
        <v>198</v>
      </c>
      <c r="CW1" s="38" t="s">
        <v>199</v>
      </c>
      <c r="CX1" s="38" t="s">
        <v>200</v>
      </c>
      <c r="CY1" s="38" t="s">
        <v>201</v>
      </c>
      <c r="CZ1" s="38" t="s">
        <v>202</v>
      </c>
      <c r="DA1" s="38" t="s">
        <v>203</v>
      </c>
      <c r="DB1" s="38" t="s">
        <v>204</v>
      </c>
      <c r="DC1" s="38" t="s">
        <v>205</v>
      </c>
      <c r="DD1" s="38" t="s">
        <v>206</v>
      </c>
      <c r="DE1" s="38" t="s">
        <v>207</v>
      </c>
      <c r="DF1" s="38" t="s">
        <v>208</v>
      </c>
      <c r="DG1" s="38" t="s">
        <v>209</v>
      </c>
      <c r="DH1" s="38" t="s">
        <v>210</v>
      </c>
      <c r="DI1" s="1" t="s">
        <v>211</v>
      </c>
      <c r="DJ1" s="1" t="s">
        <v>212</v>
      </c>
      <c r="DK1" s="1" t="s">
        <v>213</v>
      </c>
      <c r="DL1" s="1" t="s">
        <v>214</v>
      </c>
      <c r="DM1" s="1" t="s">
        <v>215</v>
      </c>
      <c r="DN1" s="1" t="s">
        <v>216</v>
      </c>
      <c r="DO1" s="1" t="s">
        <v>217</v>
      </c>
      <c r="DP1" s="1" t="s">
        <v>218</v>
      </c>
      <c r="DQ1" s="1" t="s">
        <v>219</v>
      </c>
      <c r="DR1" s="1" t="s">
        <v>220</v>
      </c>
      <c r="DS1" s="1" t="s">
        <v>221</v>
      </c>
      <c r="DT1" s="1" t="s">
        <v>222</v>
      </c>
      <c r="DU1" s="1" t="s">
        <v>223</v>
      </c>
      <c r="DV1" s="1" t="s">
        <v>224</v>
      </c>
      <c r="DW1" s="1" t="s">
        <v>225</v>
      </c>
      <c r="DX1" s="1" t="s">
        <v>226</v>
      </c>
      <c r="DY1" s="1" t="s">
        <v>227</v>
      </c>
      <c r="DZ1" s="1" t="s">
        <v>228</v>
      </c>
      <c r="EA1" s="1" t="s">
        <v>229</v>
      </c>
      <c r="EB1" s="1" t="s">
        <v>230</v>
      </c>
      <c r="EC1" s="38" t="s">
        <v>231</v>
      </c>
      <c r="ED1" s="38" t="s">
        <v>232</v>
      </c>
      <c r="EE1" s="38" t="s">
        <v>233</v>
      </c>
      <c r="EF1" s="38" t="s">
        <v>234</v>
      </c>
      <c r="EG1" s="38" t="s">
        <v>235</v>
      </c>
      <c r="EH1" s="38" t="s">
        <v>236</v>
      </c>
      <c r="EI1" s="38" t="s">
        <v>237</v>
      </c>
      <c r="EJ1" s="38" t="s">
        <v>238</v>
      </c>
      <c r="EK1" s="38" t="s">
        <v>239</v>
      </c>
      <c r="EL1" s="38" t="s">
        <v>240</v>
      </c>
      <c r="EM1" s="38" t="s">
        <v>241</v>
      </c>
      <c r="EN1" s="38" t="s">
        <v>242</v>
      </c>
      <c r="EO1" s="38" t="s">
        <v>243</v>
      </c>
      <c r="EP1" s="38" t="s">
        <v>244</v>
      </c>
      <c r="EQ1" s="38" t="s">
        <v>245</v>
      </c>
      <c r="ER1" s="38" t="s">
        <v>246</v>
      </c>
      <c r="ES1" s="38" t="s">
        <v>247</v>
      </c>
      <c r="ET1" s="38" t="s">
        <v>248</v>
      </c>
      <c r="EU1" s="38" t="s">
        <v>249</v>
      </c>
      <c r="EV1" s="38" t="s">
        <v>250</v>
      </c>
      <c r="EW1" s="38" t="s">
        <v>251</v>
      </c>
      <c r="EX1" s="38" t="s">
        <v>252</v>
      </c>
      <c r="EY1" s="38" t="s">
        <v>253</v>
      </c>
      <c r="EZ1" s="38" t="s">
        <v>254</v>
      </c>
      <c r="FA1" s="38"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c r="FP1" s="1" t="s">
        <v>270</v>
      </c>
    </row>
    <row r="2" spans="1:172" x14ac:dyDescent="0.25">
      <c r="A2" t="s">
        <v>34</v>
      </c>
      <c r="B2" t="s">
        <v>57</v>
      </c>
      <c r="C2" t="s">
        <v>7</v>
      </c>
      <c r="D2" s="2" t="s">
        <v>64</v>
      </c>
      <c r="E2" s="3">
        <v>0</v>
      </c>
      <c r="F2" s="3">
        <v>0</v>
      </c>
      <c r="G2" s="3">
        <v>0</v>
      </c>
      <c r="H2" s="3">
        <v>1</v>
      </c>
      <c r="I2" s="3">
        <v>0</v>
      </c>
      <c r="J2" s="3">
        <v>0</v>
      </c>
      <c r="K2" s="3">
        <v>0</v>
      </c>
      <c r="L2" s="3">
        <v>0</v>
      </c>
      <c r="M2" s="3">
        <v>0</v>
      </c>
      <c r="N2" s="3">
        <v>0</v>
      </c>
      <c r="O2" s="3">
        <v>1</v>
      </c>
      <c r="P2" s="3">
        <v>0</v>
      </c>
      <c r="Q2" s="3">
        <v>0</v>
      </c>
      <c r="R2" s="3">
        <v>0</v>
      </c>
      <c r="S2" s="3">
        <v>0</v>
      </c>
      <c r="T2" s="3">
        <v>1</v>
      </c>
      <c r="U2" s="3">
        <v>0</v>
      </c>
      <c r="V2" s="3">
        <v>0</v>
      </c>
      <c r="W2" s="3">
        <v>0</v>
      </c>
      <c r="X2" s="3">
        <v>0</v>
      </c>
      <c r="Y2" s="3">
        <v>0</v>
      </c>
      <c r="Z2" s="3">
        <v>1</v>
      </c>
      <c r="AA2" s="3">
        <v>0</v>
      </c>
      <c r="AB2" s="3">
        <v>0</v>
      </c>
      <c r="AC2" s="3">
        <v>1</v>
      </c>
      <c r="AD2" s="3">
        <v>0</v>
      </c>
      <c r="AE2" s="3">
        <v>0</v>
      </c>
      <c r="AF2" s="3">
        <v>0</v>
      </c>
      <c r="AG2" s="3">
        <v>0</v>
      </c>
      <c r="AH2" s="3">
        <v>1</v>
      </c>
      <c r="AI2" s="3">
        <v>0</v>
      </c>
      <c r="AJ2" s="3">
        <v>1</v>
      </c>
      <c r="AK2" s="3">
        <v>0</v>
      </c>
      <c r="AL2" s="3">
        <v>0</v>
      </c>
      <c r="AM2" s="3">
        <v>0</v>
      </c>
      <c r="AN2" s="3">
        <v>0</v>
      </c>
      <c r="AO2" s="3">
        <v>0</v>
      </c>
      <c r="AP2" s="3">
        <v>1</v>
      </c>
      <c r="AQ2" s="3">
        <v>0</v>
      </c>
      <c r="AR2" s="3">
        <v>0</v>
      </c>
      <c r="AS2" s="3">
        <v>1</v>
      </c>
      <c r="AT2" s="3">
        <v>0</v>
      </c>
      <c r="AU2" s="3">
        <v>0</v>
      </c>
      <c r="AV2" s="3">
        <v>0</v>
      </c>
      <c r="AW2" s="3">
        <v>0</v>
      </c>
      <c r="AX2" s="3">
        <v>0</v>
      </c>
      <c r="AY2" s="3">
        <v>0</v>
      </c>
      <c r="AZ2" s="3">
        <v>0</v>
      </c>
      <c r="BA2" s="3">
        <v>1</v>
      </c>
      <c r="BB2" s="3">
        <v>0</v>
      </c>
      <c r="BC2" s="3">
        <v>0</v>
      </c>
      <c r="BD2" s="3">
        <v>1</v>
      </c>
      <c r="BE2" s="3">
        <v>0</v>
      </c>
      <c r="BF2" s="3">
        <v>0</v>
      </c>
      <c r="BG2" s="3">
        <v>0</v>
      </c>
      <c r="BH2" s="3">
        <v>0</v>
      </c>
      <c r="BI2" s="3">
        <v>0</v>
      </c>
      <c r="BJ2" s="3">
        <v>0</v>
      </c>
      <c r="BK2" s="3">
        <v>0</v>
      </c>
      <c r="BL2" s="3">
        <v>1</v>
      </c>
      <c r="BM2" s="3">
        <v>0</v>
      </c>
      <c r="BN2" s="3">
        <v>0</v>
      </c>
      <c r="BO2" s="3">
        <v>1</v>
      </c>
      <c r="BP2" s="3">
        <v>0</v>
      </c>
      <c r="BQ2" s="3">
        <v>0</v>
      </c>
      <c r="BR2" s="3">
        <v>0</v>
      </c>
      <c r="BS2" s="3">
        <v>0</v>
      </c>
      <c r="BT2" s="3">
        <v>0</v>
      </c>
      <c r="BU2" s="3">
        <v>0</v>
      </c>
      <c r="BV2" s="3">
        <v>1</v>
      </c>
      <c r="BW2" s="3">
        <v>0</v>
      </c>
      <c r="BX2" s="3">
        <v>0</v>
      </c>
      <c r="BY2" s="3">
        <v>0</v>
      </c>
      <c r="BZ2" s="3">
        <v>0</v>
      </c>
      <c r="CA2" s="3">
        <v>0</v>
      </c>
      <c r="CB2" s="3">
        <v>0</v>
      </c>
      <c r="CC2" s="3">
        <v>1</v>
      </c>
      <c r="CD2" s="3">
        <v>0</v>
      </c>
      <c r="CE2" s="3">
        <v>0</v>
      </c>
      <c r="CF2" s="3">
        <v>0</v>
      </c>
      <c r="CG2" s="3">
        <v>0</v>
      </c>
      <c r="CH2" s="3">
        <v>1</v>
      </c>
      <c r="CI2" s="3">
        <v>0</v>
      </c>
      <c r="CJ2" s="3">
        <v>0</v>
      </c>
      <c r="CK2" s="3">
        <v>1</v>
      </c>
      <c r="CL2" s="3">
        <v>0</v>
      </c>
      <c r="CM2" s="3">
        <v>0</v>
      </c>
      <c r="CN2" s="39">
        <v>0</v>
      </c>
      <c r="CO2" s="39">
        <v>0</v>
      </c>
      <c r="CP2" s="39">
        <v>0</v>
      </c>
      <c r="CQ2" s="39">
        <v>0</v>
      </c>
      <c r="CR2" s="39">
        <v>1</v>
      </c>
      <c r="CS2" s="39">
        <v>0</v>
      </c>
      <c r="CT2" s="39">
        <v>0</v>
      </c>
      <c r="CU2" s="39">
        <v>1</v>
      </c>
      <c r="CV2" s="39">
        <v>0</v>
      </c>
      <c r="CW2" s="39">
        <v>0</v>
      </c>
      <c r="CX2" s="39">
        <v>0</v>
      </c>
      <c r="CY2" s="39">
        <v>0</v>
      </c>
      <c r="CZ2" s="39">
        <v>0</v>
      </c>
      <c r="DA2" s="39">
        <v>0</v>
      </c>
      <c r="DB2" s="39">
        <v>0</v>
      </c>
      <c r="DC2" s="39">
        <v>1</v>
      </c>
      <c r="DD2" s="39">
        <v>0</v>
      </c>
      <c r="DE2" s="39">
        <v>0</v>
      </c>
      <c r="DF2" s="39">
        <v>0</v>
      </c>
      <c r="DG2" s="39">
        <v>0</v>
      </c>
      <c r="DH2" s="39">
        <v>1</v>
      </c>
      <c r="DI2" s="3">
        <v>0</v>
      </c>
      <c r="DJ2" s="3">
        <v>0</v>
      </c>
      <c r="DK2" s="3">
        <v>1</v>
      </c>
      <c r="DL2" s="3">
        <v>0</v>
      </c>
      <c r="DM2" s="3">
        <v>0</v>
      </c>
      <c r="DN2" s="3">
        <v>0</v>
      </c>
      <c r="DO2" s="3">
        <v>0</v>
      </c>
      <c r="DP2" s="3">
        <v>1</v>
      </c>
      <c r="DQ2" s="3">
        <v>0</v>
      </c>
      <c r="DR2" s="3">
        <v>0</v>
      </c>
      <c r="DS2" s="3">
        <v>0</v>
      </c>
      <c r="DT2" s="3">
        <v>0</v>
      </c>
      <c r="DU2" s="3">
        <v>1</v>
      </c>
      <c r="DV2" s="3">
        <v>0</v>
      </c>
      <c r="DW2" s="3">
        <v>0</v>
      </c>
      <c r="DX2" s="3">
        <v>0</v>
      </c>
      <c r="DY2" s="3">
        <v>0</v>
      </c>
      <c r="DZ2" s="3">
        <v>1</v>
      </c>
      <c r="EA2" s="3">
        <v>0</v>
      </c>
      <c r="EB2" s="3">
        <v>0</v>
      </c>
      <c r="EC2" s="39">
        <v>0</v>
      </c>
      <c r="ED2" s="39">
        <v>0</v>
      </c>
      <c r="EE2" s="39">
        <v>0</v>
      </c>
      <c r="EF2" s="39">
        <v>0</v>
      </c>
      <c r="EG2" s="39">
        <v>1</v>
      </c>
      <c r="EH2" s="39">
        <v>1</v>
      </c>
      <c r="EI2" s="39">
        <v>0</v>
      </c>
      <c r="EJ2" s="39">
        <v>0</v>
      </c>
      <c r="EK2" s="39">
        <v>0</v>
      </c>
      <c r="EL2" s="39">
        <v>1</v>
      </c>
      <c r="EM2" s="39">
        <v>0</v>
      </c>
      <c r="EN2" s="39">
        <v>0</v>
      </c>
      <c r="EO2" s="39">
        <v>0</v>
      </c>
      <c r="EP2" s="39">
        <v>0</v>
      </c>
      <c r="EQ2" s="39">
        <v>0</v>
      </c>
      <c r="ER2" s="39">
        <v>0</v>
      </c>
      <c r="ES2" s="39">
        <v>0</v>
      </c>
      <c r="ET2" s="39">
        <v>1</v>
      </c>
      <c r="EU2" s="39">
        <v>0</v>
      </c>
      <c r="EV2" s="39">
        <v>0</v>
      </c>
      <c r="EW2" s="39">
        <v>1</v>
      </c>
      <c r="EX2" s="39">
        <v>0</v>
      </c>
      <c r="EY2" s="39">
        <v>0</v>
      </c>
      <c r="EZ2" s="39">
        <v>1</v>
      </c>
      <c r="FA2" s="39">
        <v>0</v>
      </c>
      <c r="FB2" s="3">
        <v>1</v>
      </c>
      <c r="FC2" s="3">
        <v>0</v>
      </c>
      <c r="FD2" s="3">
        <v>0</v>
      </c>
      <c r="FE2" s="3">
        <v>1</v>
      </c>
      <c r="FF2" s="3">
        <v>1</v>
      </c>
      <c r="FG2" s="3">
        <v>0</v>
      </c>
      <c r="FH2" s="3">
        <v>0</v>
      </c>
      <c r="FI2" s="3">
        <v>1</v>
      </c>
      <c r="FJ2" s="3">
        <v>1</v>
      </c>
      <c r="FK2" s="3">
        <v>1</v>
      </c>
      <c r="FL2" s="3">
        <v>1</v>
      </c>
      <c r="FM2" s="3">
        <v>1</v>
      </c>
      <c r="FN2" s="3">
        <v>0</v>
      </c>
      <c r="FO2" s="3">
        <v>1</v>
      </c>
      <c r="FP2" s="3">
        <v>0</v>
      </c>
    </row>
    <row r="3" spans="1:172" x14ac:dyDescent="0.25">
      <c r="A3" t="s">
        <v>4</v>
      </c>
      <c r="B3" t="s">
        <v>57</v>
      </c>
      <c r="C3" t="s">
        <v>32</v>
      </c>
      <c r="D3" s="2" t="s">
        <v>65</v>
      </c>
      <c r="E3" s="3">
        <v>0</v>
      </c>
      <c r="F3" s="3">
        <v>0</v>
      </c>
      <c r="G3" s="3">
        <v>0</v>
      </c>
      <c r="H3" s="3">
        <v>1</v>
      </c>
      <c r="I3" s="3">
        <v>0</v>
      </c>
      <c r="J3" s="3">
        <v>0</v>
      </c>
      <c r="K3" s="3">
        <v>0</v>
      </c>
      <c r="L3" s="3">
        <v>0</v>
      </c>
      <c r="M3" s="3">
        <v>0</v>
      </c>
      <c r="N3" s="3">
        <v>0</v>
      </c>
      <c r="O3" s="3">
        <v>1</v>
      </c>
      <c r="P3" s="3">
        <v>0</v>
      </c>
      <c r="Q3" s="3">
        <v>0</v>
      </c>
      <c r="R3" s="3">
        <v>0</v>
      </c>
      <c r="S3" s="3">
        <v>0</v>
      </c>
      <c r="T3" s="3">
        <v>1</v>
      </c>
      <c r="U3" s="3">
        <v>0</v>
      </c>
      <c r="V3" s="3">
        <v>0</v>
      </c>
      <c r="W3" s="3">
        <v>1</v>
      </c>
      <c r="X3" s="3">
        <v>0</v>
      </c>
      <c r="Y3" s="3">
        <v>0</v>
      </c>
      <c r="Z3" s="3">
        <v>0</v>
      </c>
      <c r="AA3" s="3">
        <v>0</v>
      </c>
      <c r="AB3" s="3">
        <v>0</v>
      </c>
      <c r="AC3" s="3">
        <v>0</v>
      </c>
      <c r="AD3" s="3">
        <v>0</v>
      </c>
      <c r="AE3" s="3">
        <v>1</v>
      </c>
      <c r="AF3" s="3">
        <v>0</v>
      </c>
      <c r="AG3" s="3">
        <v>0</v>
      </c>
      <c r="AH3" s="3">
        <v>0</v>
      </c>
      <c r="AI3" s="3">
        <v>0</v>
      </c>
      <c r="AJ3" s="3">
        <v>0</v>
      </c>
      <c r="AK3" s="3">
        <v>1</v>
      </c>
      <c r="AL3" s="3">
        <v>0</v>
      </c>
      <c r="AM3" s="3">
        <v>0</v>
      </c>
      <c r="AN3" s="3">
        <v>0</v>
      </c>
      <c r="AO3" s="3">
        <v>0</v>
      </c>
      <c r="AP3" s="3">
        <v>1</v>
      </c>
      <c r="AQ3" s="3">
        <v>0</v>
      </c>
      <c r="AR3" s="3">
        <v>0</v>
      </c>
      <c r="AS3" s="3">
        <v>1</v>
      </c>
      <c r="AT3" s="3">
        <v>0</v>
      </c>
      <c r="AU3" s="3">
        <v>0</v>
      </c>
      <c r="AV3" s="3">
        <v>0</v>
      </c>
      <c r="AW3" s="3">
        <v>0</v>
      </c>
      <c r="AX3" s="3">
        <v>0</v>
      </c>
      <c r="AY3" s="3">
        <v>0</v>
      </c>
      <c r="AZ3" s="3">
        <v>0</v>
      </c>
      <c r="BA3" s="3">
        <v>1</v>
      </c>
      <c r="BB3" s="3">
        <v>0</v>
      </c>
      <c r="BC3" s="3">
        <v>0</v>
      </c>
      <c r="BD3" s="3">
        <v>1</v>
      </c>
      <c r="BE3" s="3">
        <v>0</v>
      </c>
      <c r="BF3" s="3">
        <v>0</v>
      </c>
      <c r="BG3" s="3">
        <v>0</v>
      </c>
      <c r="BH3" s="3">
        <v>0</v>
      </c>
      <c r="BI3" s="3">
        <v>0</v>
      </c>
      <c r="BJ3" s="3">
        <v>0</v>
      </c>
      <c r="BK3" s="3">
        <v>0</v>
      </c>
      <c r="BL3" s="3">
        <v>1</v>
      </c>
      <c r="BM3" s="3">
        <v>0</v>
      </c>
      <c r="BN3" s="3">
        <v>0</v>
      </c>
      <c r="BO3" s="3">
        <v>0</v>
      </c>
      <c r="BP3" s="3">
        <v>0</v>
      </c>
      <c r="BQ3" s="3">
        <v>0</v>
      </c>
      <c r="BR3" s="3">
        <v>0</v>
      </c>
      <c r="BS3" s="3">
        <v>1</v>
      </c>
      <c r="BT3" s="3">
        <v>0</v>
      </c>
      <c r="BU3" s="3">
        <v>0</v>
      </c>
      <c r="BV3" s="3">
        <v>0</v>
      </c>
      <c r="BW3" s="3">
        <v>0</v>
      </c>
      <c r="BX3" s="3">
        <v>1</v>
      </c>
      <c r="BY3" s="3">
        <v>0</v>
      </c>
      <c r="BZ3" s="3">
        <v>0</v>
      </c>
      <c r="CA3" s="3">
        <v>0</v>
      </c>
      <c r="CB3" s="3">
        <v>0</v>
      </c>
      <c r="CC3" s="3">
        <v>1</v>
      </c>
      <c r="CD3" s="3">
        <v>0</v>
      </c>
      <c r="CE3" s="3">
        <v>0</v>
      </c>
      <c r="CF3" s="3">
        <v>0</v>
      </c>
      <c r="CG3" s="3">
        <v>0</v>
      </c>
      <c r="CH3" s="3">
        <v>1</v>
      </c>
      <c r="CI3" s="3">
        <v>0</v>
      </c>
      <c r="CJ3" s="3">
        <v>0</v>
      </c>
      <c r="CK3" s="3">
        <v>0</v>
      </c>
      <c r="CL3" s="3">
        <v>0</v>
      </c>
      <c r="CM3" s="3">
        <v>1</v>
      </c>
      <c r="CN3" s="39">
        <v>0</v>
      </c>
      <c r="CO3" s="39">
        <v>0</v>
      </c>
      <c r="CP3" s="39">
        <v>0</v>
      </c>
      <c r="CQ3" s="39">
        <v>0</v>
      </c>
      <c r="CR3" s="39">
        <v>1</v>
      </c>
      <c r="CS3" s="39">
        <v>0</v>
      </c>
      <c r="CT3" s="39">
        <v>0</v>
      </c>
      <c r="CU3" s="39">
        <v>1</v>
      </c>
      <c r="CV3" s="39">
        <v>0</v>
      </c>
      <c r="CW3" s="39">
        <v>0</v>
      </c>
      <c r="CX3" s="39">
        <v>0</v>
      </c>
      <c r="CY3" s="39">
        <v>0</v>
      </c>
      <c r="CZ3" s="39">
        <v>0</v>
      </c>
      <c r="DA3" s="39">
        <v>0</v>
      </c>
      <c r="DB3" s="39">
        <v>0</v>
      </c>
      <c r="DC3" s="39">
        <v>1</v>
      </c>
      <c r="DD3" s="39">
        <v>0</v>
      </c>
      <c r="DE3" s="39">
        <v>0</v>
      </c>
      <c r="DF3" s="39">
        <v>0</v>
      </c>
      <c r="DG3" s="39">
        <v>0</v>
      </c>
      <c r="DH3" s="39">
        <v>1</v>
      </c>
      <c r="DI3" s="3">
        <v>0</v>
      </c>
      <c r="DJ3" s="3">
        <v>0</v>
      </c>
      <c r="DK3" s="3">
        <v>1</v>
      </c>
      <c r="DL3" s="3">
        <v>0</v>
      </c>
      <c r="DM3" s="3">
        <v>0</v>
      </c>
      <c r="DN3" s="3">
        <v>0</v>
      </c>
      <c r="DO3" s="3">
        <v>0</v>
      </c>
      <c r="DP3" s="3">
        <v>1</v>
      </c>
      <c r="DQ3" s="3">
        <v>0</v>
      </c>
      <c r="DR3" s="3">
        <v>0</v>
      </c>
      <c r="DS3" s="3">
        <v>0</v>
      </c>
      <c r="DT3" s="3">
        <v>0</v>
      </c>
      <c r="DU3" s="3">
        <v>0</v>
      </c>
      <c r="DV3" s="3">
        <v>0</v>
      </c>
      <c r="DW3" s="3">
        <v>1</v>
      </c>
      <c r="DX3" s="3">
        <v>0</v>
      </c>
      <c r="DY3" s="3">
        <v>0</v>
      </c>
      <c r="DZ3" s="3">
        <v>1</v>
      </c>
      <c r="EA3" s="3">
        <v>0</v>
      </c>
      <c r="EB3" s="3">
        <v>0</v>
      </c>
      <c r="EC3" s="39">
        <v>0</v>
      </c>
      <c r="ED3" s="39">
        <v>0</v>
      </c>
      <c r="EE3" s="39">
        <v>0</v>
      </c>
      <c r="EF3" s="39">
        <v>0</v>
      </c>
      <c r="EG3" s="39">
        <v>1</v>
      </c>
      <c r="EH3" s="39">
        <v>0</v>
      </c>
      <c r="EI3" s="39">
        <v>0</v>
      </c>
      <c r="EJ3" s="39">
        <v>0</v>
      </c>
      <c r="EK3" s="39">
        <v>1</v>
      </c>
      <c r="EL3" s="39">
        <v>1</v>
      </c>
      <c r="EM3" s="39">
        <v>0</v>
      </c>
      <c r="EN3" s="39">
        <v>0</v>
      </c>
      <c r="EO3" s="39">
        <v>0</v>
      </c>
      <c r="EP3" s="39">
        <v>0</v>
      </c>
      <c r="EQ3" s="39">
        <v>0</v>
      </c>
      <c r="ER3" s="39">
        <v>0</v>
      </c>
      <c r="ES3" s="39">
        <v>0</v>
      </c>
      <c r="ET3" s="39">
        <v>1</v>
      </c>
      <c r="EU3" s="39">
        <v>0</v>
      </c>
      <c r="EV3" s="39">
        <v>0</v>
      </c>
      <c r="EW3" s="39">
        <v>1</v>
      </c>
      <c r="EX3" s="39">
        <v>0</v>
      </c>
      <c r="EY3" s="39">
        <v>0</v>
      </c>
      <c r="EZ3" s="39">
        <v>1</v>
      </c>
      <c r="FA3" s="39">
        <v>0</v>
      </c>
      <c r="FB3" s="3">
        <v>0</v>
      </c>
      <c r="FC3" s="3">
        <v>0</v>
      </c>
      <c r="FD3" s="3">
        <v>0</v>
      </c>
      <c r="FE3" s="3">
        <v>1</v>
      </c>
      <c r="FF3" s="3">
        <v>0</v>
      </c>
      <c r="FG3" s="3">
        <v>0</v>
      </c>
      <c r="FH3" s="3">
        <v>1</v>
      </c>
      <c r="FI3" s="3">
        <v>1</v>
      </c>
      <c r="FJ3" s="3">
        <v>1</v>
      </c>
      <c r="FK3" s="3">
        <v>0</v>
      </c>
      <c r="FL3" s="3">
        <v>0</v>
      </c>
      <c r="FM3" s="3">
        <v>0</v>
      </c>
      <c r="FN3" s="3">
        <v>1</v>
      </c>
      <c r="FO3" s="3">
        <v>0</v>
      </c>
      <c r="FP3" s="3">
        <v>0</v>
      </c>
    </row>
    <row r="4" spans="1:172" x14ac:dyDescent="0.25">
      <c r="A4" t="s">
        <v>41</v>
      </c>
      <c r="B4" t="s">
        <v>56</v>
      </c>
      <c r="C4" t="s">
        <v>29</v>
      </c>
      <c r="D4" s="2" t="s">
        <v>66</v>
      </c>
      <c r="E4" s="3">
        <v>0</v>
      </c>
      <c r="F4" s="3">
        <v>0</v>
      </c>
      <c r="G4" s="3">
        <v>0</v>
      </c>
      <c r="H4" s="3">
        <v>1</v>
      </c>
      <c r="I4" s="3">
        <v>0</v>
      </c>
      <c r="J4" s="3">
        <v>0</v>
      </c>
      <c r="K4" s="3">
        <v>0</v>
      </c>
      <c r="L4" s="3">
        <v>0</v>
      </c>
      <c r="M4" s="3">
        <v>0</v>
      </c>
      <c r="N4" s="3">
        <v>0</v>
      </c>
      <c r="O4" s="3">
        <v>1</v>
      </c>
      <c r="P4" s="3">
        <v>0</v>
      </c>
      <c r="Q4" s="3">
        <v>0</v>
      </c>
      <c r="R4" s="3">
        <v>0</v>
      </c>
      <c r="S4" s="3">
        <v>0</v>
      </c>
      <c r="T4" s="3">
        <v>1</v>
      </c>
      <c r="U4" s="3">
        <v>0</v>
      </c>
      <c r="V4" s="3">
        <v>0</v>
      </c>
      <c r="W4" s="3">
        <v>0</v>
      </c>
      <c r="X4" s="3">
        <v>0</v>
      </c>
      <c r="Y4" s="3">
        <v>0</v>
      </c>
      <c r="Z4" s="3">
        <v>1</v>
      </c>
      <c r="AA4" s="3">
        <v>0</v>
      </c>
      <c r="AB4" s="3">
        <v>0</v>
      </c>
      <c r="AC4" s="3">
        <v>0</v>
      </c>
      <c r="AD4" s="3">
        <v>0</v>
      </c>
      <c r="AE4" s="3">
        <v>1</v>
      </c>
      <c r="AF4" s="3">
        <v>0</v>
      </c>
      <c r="AG4" s="3">
        <v>0</v>
      </c>
      <c r="AH4" s="3">
        <v>1</v>
      </c>
      <c r="AI4" s="3">
        <v>0</v>
      </c>
      <c r="AJ4" s="3">
        <v>0</v>
      </c>
      <c r="AK4" s="3">
        <v>0</v>
      </c>
      <c r="AL4" s="3">
        <v>0</v>
      </c>
      <c r="AM4" s="3">
        <v>0</v>
      </c>
      <c r="AN4" s="3">
        <v>0</v>
      </c>
      <c r="AO4" s="3">
        <v>0</v>
      </c>
      <c r="AP4" s="3">
        <v>1</v>
      </c>
      <c r="AQ4" s="3">
        <v>0</v>
      </c>
      <c r="AR4" s="3">
        <v>0</v>
      </c>
      <c r="AS4" s="3">
        <v>0</v>
      </c>
      <c r="AT4" s="3">
        <v>0</v>
      </c>
      <c r="AU4" s="3">
        <v>0</v>
      </c>
      <c r="AV4" s="3">
        <v>1</v>
      </c>
      <c r="AW4" s="3">
        <v>0</v>
      </c>
      <c r="AX4" s="3">
        <v>0</v>
      </c>
      <c r="AY4" s="3">
        <v>0</v>
      </c>
      <c r="AZ4" s="3">
        <v>0</v>
      </c>
      <c r="BA4" s="3">
        <v>1</v>
      </c>
      <c r="BB4" s="3">
        <v>0</v>
      </c>
      <c r="BC4" s="3">
        <v>0</v>
      </c>
      <c r="BD4" s="3">
        <v>1</v>
      </c>
      <c r="BE4" s="3">
        <v>0</v>
      </c>
      <c r="BF4" s="3">
        <v>0</v>
      </c>
      <c r="BG4" s="3">
        <v>0</v>
      </c>
      <c r="BH4" s="3">
        <v>0</v>
      </c>
      <c r="BI4" s="3">
        <v>0</v>
      </c>
      <c r="BJ4" s="3">
        <v>0</v>
      </c>
      <c r="BK4" s="3">
        <v>0</v>
      </c>
      <c r="BL4" s="3">
        <v>1</v>
      </c>
      <c r="BM4" s="3">
        <v>0</v>
      </c>
      <c r="BN4" s="3">
        <v>0</v>
      </c>
      <c r="BO4" s="3">
        <v>1</v>
      </c>
      <c r="BP4" s="3">
        <v>0</v>
      </c>
      <c r="BQ4" s="3">
        <v>0</v>
      </c>
      <c r="BR4" s="3">
        <v>0</v>
      </c>
      <c r="BS4" s="3">
        <v>0</v>
      </c>
      <c r="BT4" s="3">
        <v>0</v>
      </c>
      <c r="BU4" s="3">
        <v>0</v>
      </c>
      <c r="BV4" s="3">
        <v>0</v>
      </c>
      <c r="BW4" s="3">
        <v>0</v>
      </c>
      <c r="BX4" s="3">
        <v>1</v>
      </c>
      <c r="BY4" s="3">
        <v>0</v>
      </c>
      <c r="BZ4" s="3">
        <v>0</v>
      </c>
      <c r="CA4" s="3">
        <v>0</v>
      </c>
      <c r="CB4" s="3">
        <v>0</v>
      </c>
      <c r="CC4" s="3">
        <v>1</v>
      </c>
      <c r="CD4" s="3">
        <v>0</v>
      </c>
      <c r="CE4" s="3">
        <v>0</v>
      </c>
      <c r="CF4" s="3">
        <v>0</v>
      </c>
      <c r="CG4" s="3">
        <v>0</v>
      </c>
      <c r="CH4" s="3">
        <v>1</v>
      </c>
      <c r="CI4" s="3">
        <v>0</v>
      </c>
      <c r="CJ4" s="3">
        <v>0</v>
      </c>
      <c r="CK4" s="3">
        <v>0</v>
      </c>
      <c r="CL4" s="3">
        <v>0</v>
      </c>
      <c r="CM4" s="3">
        <v>1</v>
      </c>
      <c r="CN4" s="39">
        <v>0</v>
      </c>
      <c r="CO4" s="39">
        <v>0</v>
      </c>
      <c r="CP4" s="39">
        <v>0</v>
      </c>
      <c r="CQ4" s="39">
        <v>0</v>
      </c>
      <c r="CR4" s="39">
        <v>1</v>
      </c>
      <c r="CS4" s="39">
        <v>0</v>
      </c>
      <c r="CT4" s="39">
        <v>0</v>
      </c>
      <c r="CU4" s="39">
        <v>0</v>
      </c>
      <c r="CV4" s="39">
        <v>0</v>
      </c>
      <c r="CW4" s="39">
        <v>0</v>
      </c>
      <c r="CX4" s="39">
        <v>1</v>
      </c>
      <c r="CY4" s="39">
        <v>0</v>
      </c>
      <c r="CZ4" s="39">
        <v>0</v>
      </c>
      <c r="DA4" s="39">
        <v>0</v>
      </c>
      <c r="DB4" s="39">
        <v>0</v>
      </c>
      <c r="DC4" s="39">
        <v>1</v>
      </c>
      <c r="DD4" s="39">
        <v>0</v>
      </c>
      <c r="DE4" s="39">
        <v>0</v>
      </c>
      <c r="DF4" s="39">
        <v>1</v>
      </c>
      <c r="DG4" s="39">
        <v>0</v>
      </c>
      <c r="DH4" s="39">
        <v>0</v>
      </c>
      <c r="DI4" s="3">
        <v>0</v>
      </c>
      <c r="DJ4" s="3">
        <v>0</v>
      </c>
      <c r="DK4" s="3">
        <v>0</v>
      </c>
      <c r="DL4" s="3">
        <v>0</v>
      </c>
      <c r="DM4" s="3">
        <v>1</v>
      </c>
      <c r="DN4" s="3">
        <v>0</v>
      </c>
      <c r="DO4" s="3">
        <v>0</v>
      </c>
      <c r="DP4" s="3">
        <v>0</v>
      </c>
      <c r="DQ4" s="3">
        <v>0</v>
      </c>
      <c r="DR4" s="3">
        <v>1</v>
      </c>
      <c r="DS4" s="3">
        <v>0</v>
      </c>
      <c r="DT4" s="3">
        <v>0</v>
      </c>
      <c r="DU4" s="3">
        <v>0</v>
      </c>
      <c r="DV4" s="3">
        <v>0</v>
      </c>
      <c r="DW4" s="3">
        <v>1</v>
      </c>
      <c r="DX4" s="3">
        <v>0</v>
      </c>
      <c r="DY4" s="3">
        <v>0</v>
      </c>
      <c r="DZ4" s="3">
        <v>0</v>
      </c>
      <c r="EA4" s="3">
        <v>0</v>
      </c>
      <c r="EB4" s="3">
        <v>1</v>
      </c>
      <c r="EC4" s="39">
        <v>0</v>
      </c>
      <c r="ED4" s="39">
        <v>0</v>
      </c>
      <c r="EE4" s="39">
        <v>0</v>
      </c>
      <c r="EF4" s="39">
        <v>0</v>
      </c>
      <c r="EG4" s="39">
        <v>1</v>
      </c>
      <c r="EH4" s="39">
        <v>0</v>
      </c>
      <c r="EI4" s="39">
        <v>0</v>
      </c>
      <c r="EJ4" s="39">
        <v>1</v>
      </c>
      <c r="EK4" s="39">
        <v>0</v>
      </c>
      <c r="EL4" s="39">
        <v>0</v>
      </c>
      <c r="EM4" s="39">
        <v>0</v>
      </c>
      <c r="EN4" s="39">
        <v>1</v>
      </c>
      <c r="EO4" s="39">
        <v>0</v>
      </c>
      <c r="EP4" s="39">
        <v>0</v>
      </c>
      <c r="EQ4" s="39">
        <v>0</v>
      </c>
      <c r="ER4" s="39">
        <v>1</v>
      </c>
      <c r="ES4" s="39">
        <v>0</v>
      </c>
      <c r="ET4" s="39">
        <v>0</v>
      </c>
      <c r="EU4" s="39">
        <v>0</v>
      </c>
      <c r="EV4" s="39">
        <v>0</v>
      </c>
      <c r="EW4" s="39">
        <v>1</v>
      </c>
      <c r="EX4" s="39">
        <v>0</v>
      </c>
      <c r="EY4" s="39">
        <v>0</v>
      </c>
      <c r="EZ4" s="39">
        <v>1</v>
      </c>
      <c r="FA4" s="39">
        <v>0</v>
      </c>
      <c r="FB4" s="3">
        <v>0</v>
      </c>
      <c r="FC4" s="3">
        <v>0</v>
      </c>
      <c r="FD4" s="3">
        <v>0</v>
      </c>
      <c r="FE4" s="3">
        <v>1</v>
      </c>
      <c r="FF4" s="3">
        <v>0</v>
      </c>
      <c r="FG4" s="3">
        <v>0</v>
      </c>
      <c r="FH4" s="3">
        <v>0</v>
      </c>
      <c r="FI4" s="3">
        <v>0</v>
      </c>
      <c r="FJ4" s="3">
        <v>0</v>
      </c>
      <c r="FK4" s="3">
        <v>0</v>
      </c>
      <c r="FL4" s="3">
        <v>1</v>
      </c>
      <c r="FM4" s="3">
        <v>0</v>
      </c>
      <c r="FN4" s="3">
        <v>1</v>
      </c>
      <c r="FO4" s="3">
        <v>0</v>
      </c>
      <c r="FP4" s="3">
        <v>0</v>
      </c>
    </row>
    <row r="5" spans="1:172" x14ac:dyDescent="0.25">
      <c r="A5" t="s">
        <v>23</v>
      </c>
      <c r="B5" t="s">
        <v>56</v>
      </c>
      <c r="C5" t="s">
        <v>0</v>
      </c>
      <c r="D5" s="2" t="s">
        <v>67</v>
      </c>
      <c r="E5" s="3">
        <v>0</v>
      </c>
      <c r="F5" s="3">
        <v>0</v>
      </c>
      <c r="G5" s="3">
        <v>0</v>
      </c>
      <c r="H5" s="3">
        <v>1</v>
      </c>
      <c r="I5" s="3">
        <v>0</v>
      </c>
      <c r="J5" s="3">
        <v>0</v>
      </c>
      <c r="K5" s="3">
        <v>1</v>
      </c>
      <c r="L5" s="3">
        <v>0</v>
      </c>
      <c r="M5" s="3">
        <v>0</v>
      </c>
      <c r="N5" s="3">
        <v>0</v>
      </c>
      <c r="O5" s="3">
        <v>0</v>
      </c>
      <c r="P5" s="3">
        <v>0</v>
      </c>
      <c r="Q5" s="3">
        <v>0</v>
      </c>
      <c r="R5" s="3">
        <v>1</v>
      </c>
      <c r="S5" s="3">
        <v>0</v>
      </c>
      <c r="T5" s="3">
        <v>0</v>
      </c>
      <c r="U5" s="3">
        <v>0</v>
      </c>
      <c r="V5" s="3">
        <v>0</v>
      </c>
      <c r="W5" s="3">
        <v>1</v>
      </c>
      <c r="X5" s="3">
        <v>0</v>
      </c>
      <c r="Y5" s="3">
        <v>0</v>
      </c>
      <c r="Z5" s="3">
        <v>0</v>
      </c>
      <c r="AA5" s="3">
        <v>0</v>
      </c>
      <c r="AB5" s="3">
        <v>0</v>
      </c>
      <c r="AC5" s="3">
        <v>1</v>
      </c>
      <c r="AD5" s="3">
        <v>0</v>
      </c>
      <c r="AE5" s="3">
        <v>0</v>
      </c>
      <c r="AF5" s="3">
        <v>0</v>
      </c>
      <c r="AG5" s="3">
        <v>0</v>
      </c>
      <c r="AH5" s="3">
        <v>1</v>
      </c>
      <c r="AI5" s="3">
        <v>0</v>
      </c>
      <c r="AJ5" s="3">
        <v>0</v>
      </c>
      <c r="AK5" s="3">
        <v>0</v>
      </c>
      <c r="AL5" s="3">
        <v>0</v>
      </c>
      <c r="AM5" s="3">
        <v>0</v>
      </c>
      <c r="AN5" s="3">
        <v>1</v>
      </c>
      <c r="AO5" s="3">
        <v>0</v>
      </c>
      <c r="AP5" s="3">
        <v>0</v>
      </c>
      <c r="AQ5" s="3">
        <v>0</v>
      </c>
      <c r="AR5" s="3">
        <v>0</v>
      </c>
      <c r="AS5" s="3">
        <v>1</v>
      </c>
      <c r="AT5" s="3">
        <v>0</v>
      </c>
      <c r="AU5" s="3">
        <v>0</v>
      </c>
      <c r="AV5" s="3">
        <v>0</v>
      </c>
      <c r="AW5" s="3">
        <v>0</v>
      </c>
      <c r="AX5" s="3">
        <v>0</v>
      </c>
      <c r="AY5" s="3">
        <v>1</v>
      </c>
      <c r="AZ5" s="3">
        <v>0</v>
      </c>
      <c r="BA5" s="3">
        <v>0</v>
      </c>
      <c r="BB5" s="3">
        <v>0</v>
      </c>
      <c r="BC5" s="3">
        <v>0</v>
      </c>
      <c r="BD5" s="3">
        <v>1</v>
      </c>
      <c r="BE5" s="3">
        <v>0</v>
      </c>
      <c r="BF5" s="3">
        <v>0</v>
      </c>
      <c r="BG5" s="3">
        <v>0</v>
      </c>
      <c r="BH5" s="3">
        <v>0</v>
      </c>
      <c r="BI5" s="3">
        <v>0</v>
      </c>
      <c r="BJ5" s="3">
        <v>1</v>
      </c>
      <c r="BK5" s="3">
        <v>0</v>
      </c>
      <c r="BL5" s="3">
        <v>0</v>
      </c>
      <c r="BM5" s="3">
        <v>0</v>
      </c>
      <c r="BN5" s="3">
        <v>0</v>
      </c>
      <c r="BO5" s="3">
        <v>1</v>
      </c>
      <c r="BP5" s="3">
        <v>0</v>
      </c>
      <c r="BQ5" s="3">
        <v>1</v>
      </c>
      <c r="BR5" s="3">
        <v>0</v>
      </c>
      <c r="BS5" s="3">
        <v>0</v>
      </c>
      <c r="BT5" s="3">
        <v>0</v>
      </c>
      <c r="BU5" s="3">
        <v>0</v>
      </c>
      <c r="BV5" s="3">
        <v>1</v>
      </c>
      <c r="BW5" s="3">
        <v>0</v>
      </c>
      <c r="BX5" s="3">
        <v>0</v>
      </c>
      <c r="BY5" s="3">
        <v>0</v>
      </c>
      <c r="BZ5" s="3">
        <v>0</v>
      </c>
      <c r="CA5" s="3">
        <v>0</v>
      </c>
      <c r="CB5" s="3">
        <v>0</v>
      </c>
      <c r="CC5" s="3">
        <v>1</v>
      </c>
      <c r="CD5" s="3">
        <v>0</v>
      </c>
      <c r="CE5" s="3">
        <v>0</v>
      </c>
      <c r="CF5" s="3">
        <v>0</v>
      </c>
      <c r="CG5" s="3">
        <v>0</v>
      </c>
      <c r="CH5" s="3">
        <v>1</v>
      </c>
      <c r="CI5" s="3">
        <v>0</v>
      </c>
      <c r="CJ5" s="3">
        <v>0</v>
      </c>
      <c r="CK5" s="3">
        <v>1</v>
      </c>
      <c r="CL5" s="3">
        <v>0</v>
      </c>
      <c r="CM5" s="3">
        <v>0</v>
      </c>
      <c r="CN5" s="39">
        <v>0</v>
      </c>
      <c r="CO5" s="39">
        <v>0</v>
      </c>
      <c r="CP5" s="39">
        <v>0</v>
      </c>
      <c r="CQ5" s="39">
        <v>0</v>
      </c>
      <c r="CR5" s="39">
        <v>1</v>
      </c>
      <c r="CS5" s="39">
        <v>0</v>
      </c>
      <c r="CT5" s="39">
        <v>0</v>
      </c>
      <c r="CU5" s="39">
        <v>1</v>
      </c>
      <c r="CV5" s="39">
        <v>0</v>
      </c>
      <c r="CW5" s="39">
        <v>0</v>
      </c>
      <c r="CX5" s="39">
        <v>0</v>
      </c>
      <c r="CY5" s="39">
        <v>0</v>
      </c>
      <c r="CZ5" s="39">
        <v>0</v>
      </c>
      <c r="DA5" s="39">
        <v>0</v>
      </c>
      <c r="DB5" s="39">
        <v>0</v>
      </c>
      <c r="DC5" s="39">
        <v>1</v>
      </c>
      <c r="DD5" s="39">
        <v>0</v>
      </c>
      <c r="DE5" s="39">
        <v>0</v>
      </c>
      <c r="DF5" s="39">
        <v>0</v>
      </c>
      <c r="DG5" s="39">
        <v>0</v>
      </c>
      <c r="DH5" s="39">
        <v>1</v>
      </c>
      <c r="DI5" s="3">
        <v>0</v>
      </c>
      <c r="DJ5" s="3">
        <v>0</v>
      </c>
      <c r="DK5" s="3">
        <v>0</v>
      </c>
      <c r="DL5" s="3">
        <v>0</v>
      </c>
      <c r="DM5" s="3">
        <v>1</v>
      </c>
      <c r="DN5" s="3">
        <v>0</v>
      </c>
      <c r="DO5" s="3">
        <v>0</v>
      </c>
      <c r="DP5" s="3">
        <v>1</v>
      </c>
      <c r="DQ5" s="3">
        <v>0</v>
      </c>
      <c r="DR5" s="3">
        <v>0</v>
      </c>
      <c r="DS5" s="3">
        <v>0</v>
      </c>
      <c r="DT5" s="3">
        <v>0</v>
      </c>
      <c r="DU5" s="3">
        <v>1</v>
      </c>
      <c r="DV5" s="3">
        <v>0</v>
      </c>
      <c r="DW5" s="3">
        <v>0</v>
      </c>
      <c r="DX5" s="3">
        <v>0</v>
      </c>
      <c r="DY5" s="3">
        <v>0</v>
      </c>
      <c r="DZ5" s="3">
        <v>1</v>
      </c>
      <c r="EA5" s="3">
        <v>0</v>
      </c>
      <c r="EB5" s="3">
        <v>0</v>
      </c>
      <c r="EC5" s="39">
        <v>0</v>
      </c>
      <c r="ED5" s="39">
        <v>0</v>
      </c>
      <c r="EE5" s="39">
        <v>1</v>
      </c>
      <c r="EF5" s="39">
        <v>0</v>
      </c>
      <c r="EG5" s="39">
        <v>0</v>
      </c>
      <c r="EH5" s="39">
        <v>0</v>
      </c>
      <c r="EI5" s="39">
        <v>0</v>
      </c>
      <c r="EJ5" s="39">
        <v>1</v>
      </c>
      <c r="EK5" s="39">
        <v>0</v>
      </c>
      <c r="EL5" s="39">
        <v>0</v>
      </c>
      <c r="EM5" s="39">
        <v>0</v>
      </c>
      <c r="EN5" s="39">
        <v>1</v>
      </c>
      <c r="EO5" s="39">
        <v>0</v>
      </c>
      <c r="EP5" s="39">
        <v>0</v>
      </c>
      <c r="EQ5" s="39">
        <v>0</v>
      </c>
      <c r="ER5" s="39">
        <v>0</v>
      </c>
      <c r="ES5" s="39">
        <v>0</v>
      </c>
      <c r="ET5" s="39">
        <v>1</v>
      </c>
      <c r="EU5" s="39">
        <v>0</v>
      </c>
      <c r="EV5" s="39">
        <v>0</v>
      </c>
      <c r="EW5" s="39">
        <v>1</v>
      </c>
      <c r="EX5" s="39">
        <v>0</v>
      </c>
      <c r="EY5" s="39">
        <v>0</v>
      </c>
      <c r="EZ5" s="39">
        <v>1</v>
      </c>
      <c r="FA5" s="39">
        <v>1</v>
      </c>
      <c r="FB5" s="3">
        <v>0</v>
      </c>
      <c r="FC5" s="3">
        <v>0</v>
      </c>
      <c r="FD5" s="3">
        <v>0</v>
      </c>
      <c r="FE5" s="3">
        <v>0</v>
      </c>
      <c r="FF5" s="3">
        <v>0</v>
      </c>
      <c r="FG5" s="3">
        <v>0</v>
      </c>
      <c r="FH5" s="3">
        <v>0</v>
      </c>
      <c r="FI5" s="3">
        <v>0</v>
      </c>
      <c r="FJ5" s="3">
        <v>1</v>
      </c>
      <c r="FK5" s="3">
        <v>1</v>
      </c>
      <c r="FL5" s="3">
        <v>1</v>
      </c>
      <c r="FM5" s="3">
        <v>1</v>
      </c>
      <c r="FN5" s="3">
        <v>1</v>
      </c>
      <c r="FO5" s="3">
        <v>0</v>
      </c>
      <c r="FP5" s="3">
        <v>1</v>
      </c>
    </row>
    <row r="6" spans="1:172" x14ac:dyDescent="0.25">
      <c r="A6" t="s">
        <v>21</v>
      </c>
      <c r="B6" t="s">
        <v>56</v>
      </c>
      <c r="C6" t="s">
        <v>27</v>
      </c>
      <c r="D6" s="2" t="s">
        <v>68</v>
      </c>
      <c r="E6" s="3">
        <v>0</v>
      </c>
      <c r="F6" s="3">
        <v>0</v>
      </c>
      <c r="G6" s="3">
        <v>0</v>
      </c>
      <c r="H6" s="3">
        <v>1</v>
      </c>
      <c r="I6" s="3">
        <v>1</v>
      </c>
      <c r="J6" s="3">
        <v>0</v>
      </c>
      <c r="K6" s="3">
        <v>0</v>
      </c>
      <c r="L6" s="3">
        <v>0</v>
      </c>
      <c r="M6" s="3">
        <v>0</v>
      </c>
      <c r="N6" s="3">
        <v>0</v>
      </c>
      <c r="O6" s="3">
        <v>0</v>
      </c>
      <c r="P6" s="3">
        <v>0</v>
      </c>
      <c r="Q6" s="3">
        <v>0</v>
      </c>
      <c r="R6" s="3">
        <v>0</v>
      </c>
      <c r="S6" s="3">
        <v>0</v>
      </c>
      <c r="T6" s="3">
        <v>1</v>
      </c>
      <c r="U6" s="3">
        <v>1</v>
      </c>
      <c r="V6" s="3">
        <v>0</v>
      </c>
      <c r="W6" s="3">
        <v>0</v>
      </c>
      <c r="X6" s="3">
        <v>0</v>
      </c>
      <c r="Y6" s="3">
        <v>0</v>
      </c>
      <c r="Z6" s="3">
        <v>0</v>
      </c>
      <c r="AA6" s="3">
        <v>0</v>
      </c>
      <c r="AB6" s="3">
        <v>0</v>
      </c>
      <c r="AC6" s="3">
        <v>0</v>
      </c>
      <c r="AD6" s="3">
        <v>0</v>
      </c>
      <c r="AE6" s="3">
        <v>1</v>
      </c>
      <c r="AF6" s="3">
        <v>1</v>
      </c>
      <c r="AG6" s="3">
        <v>0</v>
      </c>
      <c r="AH6" s="3">
        <v>0</v>
      </c>
      <c r="AI6" s="3">
        <v>0</v>
      </c>
      <c r="AJ6" s="3">
        <v>0</v>
      </c>
      <c r="AK6" s="3">
        <v>0</v>
      </c>
      <c r="AL6" s="3">
        <v>0</v>
      </c>
      <c r="AM6" s="3">
        <v>0</v>
      </c>
      <c r="AN6" s="3">
        <v>0</v>
      </c>
      <c r="AO6" s="3">
        <v>0</v>
      </c>
      <c r="AP6" s="3">
        <v>1</v>
      </c>
      <c r="AQ6" s="3">
        <v>1</v>
      </c>
      <c r="AR6" s="3">
        <v>0</v>
      </c>
      <c r="AS6" s="3">
        <v>0</v>
      </c>
      <c r="AT6" s="3">
        <v>0</v>
      </c>
      <c r="AU6" s="3">
        <v>0</v>
      </c>
      <c r="AV6" s="3">
        <v>0</v>
      </c>
      <c r="AW6" s="3">
        <v>0</v>
      </c>
      <c r="AX6" s="3">
        <v>0</v>
      </c>
      <c r="AY6" s="3">
        <v>0</v>
      </c>
      <c r="AZ6" s="3">
        <v>0</v>
      </c>
      <c r="BA6" s="3">
        <v>1</v>
      </c>
      <c r="BB6" s="3">
        <v>1</v>
      </c>
      <c r="BC6" s="3">
        <v>0</v>
      </c>
      <c r="BD6" s="3">
        <v>0</v>
      </c>
      <c r="BE6" s="3">
        <v>0</v>
      </c>
      <c r="BF6" s="3">
        <v>0</v>
      </c>
      <c r="BG6" s="3">
        <v>0</v>
      </c>
      <c r="BH6" s="3">
        <v>0</v>
      </c>
      <c r="BI6" s="3">
        <v>0</v>
      </c>
      <c r="BJ6" s="3">
        <v>0</v>
      </c>
      <c r="BK6" s="3">
        <v>0</v>
      </c>
      <c r="BL6" s="3">
        <v>1</v>
      </c>
      <c r="BM6" s="3">
        <v>1</v>
      </c>
      <c r="BN6" s="3">
        <v>0</v>
      </c>
      <c r="BO6" s="3">
        <v>0</v>
      </c>
      <c r="BP6" s="3">
        <v>0</v>
      </c>
      <c r="BQ6" s="3">
        <v>0</v>
      </c>
      <c r="BR6" s="3">
        <v>0</v>
      </c>
      <c r="BS6" s="3">
        <v>0</v>
      </c>
      <c r="BT6" s="3">
        <v>0</v>
      </c>
      <c r="BU6" s="3">
        <v>0</v>
      </c>
      <c r="BV6" s="3">
        <v>0</v>
      </c>
      <c r="BW6" s="3">
        <v>0</v>
      </c>
      <c r="BX6" s="3">
        <v>1</v>
      </c>
      <c r="BY6" s="3">
        <v>0</v>
      </c>
      <c r="BZ6" s="3">
        <v>0</v>
      </c>
      <c r="CA6" s="3">
        <v>1</v>
      </c>
      <c r="CB6" s="3">
        <v>0</v>
      </c>
      <c r="CC6" s="3">
        <v>0</v>
      </c>
      <c r="CD6" s="3">
        <v>0</v>
      </c>
      <c r="CE6" s="3">
        <v>0</v>
      </c>
      <c r="CF6" s="3">
        <v>0</v>
      </c>
      <c r="CG6" s="3">
        <v>0</v>
      </c>
      <c r="CH6" s="3">
        <v>1</v>
      </c>
      <c r="CI6" s="3">
        <v>0</v>
      </c>
      <c r="CJ6" s="3">
        <v>0</v>
      </c>
      <c r="CK6" s="3">
        <v>1</v>
      </c>
      <c r="CL6" s="3">
        <v>0</v>
      </c>
      <c r="CM6" s="3">
        <v>0</v>
      </c>
      <c r="CN6" s="39">
        <v>0</v>
      </c>
      <c r="CO6" s="39">
        <v>0</v>
      </c>
      <c r="CP6" s="39">
        <v>0</v>
      </c>
      <c r="CQ6" s="39">
        <v>0</v>
      </c>
      <c r="CR6" s="39">
        <v>1</v>
      </c>
      <c r="CS6" s="39">
        <v>0</v>
      </c>
      <c r="CT6" s="39">
        <v>0</v>
      </c>
      <c r="CU6" s="39">
        <v>1</v>
      </c>
      <c r="CV6" s="39">
        <v>0</v>
      </c>
      <c r="CW6" s="39">
        <v>0</v>
      </c>
      <c r="CX6" s="39">
        <v>0</v>
      </c>
      <c r="CY6" s="39">
        <v>0</v>
      </c>
      <c r="CZ6" s="39">
        <v>0</v>
      </c>
      <c r="DA6" s="39">
        <v>0</v>
      </c>
      <c r="DB6" s="39">
        <v>0</v>
      </c>
      <c r="DC6" s="39">
        <v>1</v>
      </c>
      <c r="DD6" s="39">
        <v>0</v>
      </c>
      <c r="DE6" s="39">
        <v>0</v>
      </c>
      <c r="DF6" s="39">
        <v>0</v>
      </c>
      <c r="DG6" s="39">
        <v>0</v>
      </c>
      <c r="DH6" s="39">
        <v>1</v>
      </c>
      <c r="DI6" s="3">
        <v>0</v>
      </c>
      <c r="DJ6" s="3">
        <v>0</v>
      </c>
      <c r="DK6" s="3">
        <v>0</v>
      </c>
      <c r="DL6" s="3">
        <v>0</v>
      </c>
      <c r="DM6" s="3">
        <v>1</v>
      </c>
      <c r="DN6" s="3">
        <v>0</v>
      </c>
      <c r="DO6" s="3">
        <v>0</v>
      </c>
      <c r="DP6" s="3">
        <v>1</v>
      </c>
      <c r="DQ6" s="3">
        <v>0</v>
      </c>
      <c r="DR6" s="3">
        <v>0</v>
      </c>
      <c r="DS6" s="3">
        <v>0</v>
      </c>
      <c r="DT6" s="3">
        <v>0</v>
      </c>
      <c r="DU6" s="3">
        <v>0</v>
      </c>
      <c r="DV6" s="3">
        <v>0</v>
      </c>
      <c r="DW6" s="3">
        <v>1</v>
      </c>
      <c r="DX6" s="3">
        <v>0</v>
      </c>
      <c r="DY6" s="3">
        <v>0</v>
      </c>
      <c r="DZ6" s="3">
        <v>1</v>
      </c>
      <c r="EA6" s="3">
        <v>0</v>
      </c>
      <c r="EB6" s="3">
        <v>0</v>
      </c>
      <c r="EC6" s="39">
        <v>0</v>
      </c>
      <c r="ED6" s="39">
        <v>0</v>
      </c>
      <c r="EE6" s="39">
        <v>0</v>
      </c>
      <c r="EF6" s="39">
        <v>0</v>
      </c>
      <c r="EG6" s="39">
        <v>1</v>
      </c>
      <c r="EH6" s="39">
        <v>0</v>
      </c>
      <c r="EI6" s="39">
        <v>0</v>
      </c>
      <c r="EJ6" s="39">
        <v>1</v>
      </c>
      <c r="EK6" s="39">
        <v>0</v>
      </c>
      <c r="EL6" s="39">
        <v>0</v>
      </c>
      <c r="EM6" s="39">
        <v>1</v>
      </c>
      <c r="EN6" s="39">
        <v>0</v>
      </c>
      <c r="EO6" s="39">
        <v>0</v>
      </c>
      <c r="EP6" s="39">
        <v>0</v>
      </c>
      <c r="EQ6" s="39">
        <v>0</v>
      </c>
      <c r="ER6" s="39">
        <v>0</v>
      </c>
      <c r="ES6" s="39">
        <v>0</v>
      </c>
      <c r="ET6" s="39">
        <v>1</v>
      </c>
      <c r="EU6" s="39">
        <v>0</v>
      </c>
      <c r="EV6" s="39">
        <v>0</v>
      </c>
      <c r="EW6" s="39">
        <v>1</v>
      </c>
      <c r="EX6" s="39">
        <v>0</v>
      </c>
      <c r="EY6" s="39">
        <v>0</v>
      </c>
      <c r="EZ6" s="39">
        <v>1</v>
      </c>
      <c r="FA6" s="39">
        <v>0</v>
      </c>
      <c r="FB6" s="3">
        <v>0</v>
      </c>
      <c r="FC6" s="3">
        <v>0</v>
      </c>
      <c r="FD6" s="3">
        <v>0</v>
      </c>
      <c r="FE6" s="3">
        <v>0</v>
      </c>
      <c r="FF6" s="3">
        <v>0</v>
      </c>
      <c r="FG6" s="3">
        <v>0</v>
      </c>
      <c r="FH6" s="3">
        <v>1</v>
      </c>
      <c r="FI6" s="3">
        <v>0</v>
      </c>
      <c r="FJ6" s="3">
        <v>0</v>
      </c>
      <c r="FK6" s="3">
        <v>0</v>
      </c>
      <c r="FL6" s="3">
        <v>0</v>
      </c>
      <c r="FM6" s="3">
        <v>0</v>
      </c>
      <c r="FN6" s="3">
        <v>0</v>
      </c>
      <c r="FO6" s="3">
        <v>0</v>
      </c>
      <c r="FP6" s="3">
        <v>0</v>
      </c>
    </row>
    <row r="7" spans="1:172" x14ac:dyDescent="0.25">
      <c r="A7" t="s">
        <v>35</v>
      </c>
      <c r="B7" t="s">
        <v>57</v>
      </c>
      <c r="C7" t="s">
        <v>29</v>
      </c>
      <c r="D7" s="2" t="s">
        <v>69</v>
      </c>
      <c r="E7" s="3">
        <v>0</v>
      </c>
      <c r="F7" s="3">
        <v>0</v>
      </c>
      <c r="G7" s="3">
        <v>1</v>
      </c>
      <c r="H7" s="3">
        <v>0</v>
      </c>
      <c r="I7" s="3">
        <v>0</v>
      </c>
      <c r="J7" s="3">
        <v>0</v>
      </c>
      <c r="K7" s="3">
        <v>1</v>
      </c>
      <c r="L7" s="3">
        <v>0</v>
      </c>
      <c r="M7" s="3">
        <v>0</v>
      </c>
      <c r="N7" s="3">
        <v>0</v>
      </c>
      <c r="O7" s="3">
        <v>0</v>
      </c>
      <c r="P7" s="3">
        <v>0</v>
      </c>
      <c r="Q7" s="3">
        <v>0</v>
      </c>
      <c r="R7" s="3">
        <v>0</v>
      </c>
      <c r="S7" s="3">
        <v>0</v>
      </c>
      <c r="T7" s="3">
        <v>1</v>
      </c>
      <c r="U7" s="3">
        <v>0</v>
      </c>
      <c r="V7" s="3">
        <v>0</v>
      </c>
      <c r="W7" s="3">
        <v>1</v>
      </c>
      <c r="X7" s="3">
        <v>0</v>
      </c>
      <c r="Y7" s="3">
        <v>1</v>
      </c>
      <c r="Z7" s="3">
        <v>0</v>
      </c>
      <c r="AA7" s="3">
        <v>0</v>
      </c>
      <c r="AB7" s="3">
        <v>0</v>
      </c>
      <c r="AC7" s="3">
        <v>0</v>
      </c>
      <c r="AD7" s="3">
        <v>0</v>
      </c>
      <c r="AE7" s="3">
        <v>1</v>
      </c>
      <c r="AF7" s="3">
        <v>0</v>
      </c>
      <c r="AG7" s="3">
        <v>0</v>
      </c>
      <c r="AH7" s="3">
        <v>1</v>
      </c>
      <c r="AI7" s="3">
        <v>1</v>
      </c>
      <c r="AJ7" s="3">
        <v>0</v>
      </c>
      <c r="AK7" s="3">
        <v>0</v>
      </c>
      <c r="AL7" s="3">
        <v>0</v>
      </c>
      <c r="AM7" s="3">
        <v>0</v>
      </c>
      <c r="AN7" s="3">
        <v>0</v>
      </c>
      <c r="AO7" s="3">
        <v>0</v>
      </c>
      <c r="AP7" s="3">
        <v>1</v>
      </c>
      <c r="AQ7" s="3">
        <v>0</v>
      </c>
      <c r="AR7" s="3">
        <v>0</v>
      </c>
      <c r="AS7" s="3">
        <v>1</v>
      </c>
      <c r="AT7" s="3">
        <v>0</v>
      </c>
      <c r="AU7" s="3">
        <v>0</v>
      </c>
      <c r="AV7" s="3">
        <v>0</v>
      </c>
      <c r="AW7" s="3">
        <v>0</v>
      </c>
      <c r="AX7" s="3">
        <v>0</v>
      </c>
      <c r="AY7" s="3">
        <v>1</v>
      </c>
      <c r="AZ7" s="3">
        <v>0</v>
      </c>
      <c r="BA7" s="3">
        <v>0</v>
      </c>
      <c r="BB7" s="3">
        <v>0</v>
      </c>
      <c r="BC7" s="3">
        <v>0</v>
      </c>
      <c r="BD7" s="3">
        <v>1</v>
      </c>
      <c r="BE7" s="3">
        <v>0</v>
      </c>
      <c r="BF7" s="3">
        <v>0</v>
      </c>
      <c r="BG7" s="3">
        <v>0</v>
      </c>
      <c r="BH7" s="3">
        <v>0</v>
      </c>
      <c r="BI7" s="3">
        <v>0</v>
      </c>
      <c r="BJ7" s="3">
        <v>0</v>
      </c>
      <c r="BK7" s="3">
        <v>0</v>
      </c>
      <c r="BL7" s="3">
        <v>1</v>
      </c>
      <c r="BM7" s="3">
        <v>0</v>
      </c>
      <c r="BN7" s="3">
        <v>0</v>
      </c>
      <c r="BO7" s="3">
        <v>1</v>
      </c>
      <c r="BP7" s="3">
        <v>0</v>
      </c>
      <c r="BQ7" s="3">
        <v>0</v>
      </c>
      <c r="BR7" s="3">
        <v>0</v>
      </c>
      <c r="BS7" s="3">
        <v>0</v>
      </c>
      <c r="BT7" s="3">
        <v>0</v>
      </c>
      <c r="BU7" s="3">
        <v>0</v>
      </c>
      <c r="BV7" s="3">
        <v>0</v>
      </c>
      <c r="BW7" s="3">
        <v>0</v>
      </c>
      <c r="BX7" s="3">
        <v>1</v>
      </c>
      <c r="BY7" s="3">
        <v>0</v>
      </c>
      <c r="BZ7" s="3">
        <v>0</v>
      </c>
      <c r="CA7" s="3">
        <v>0</v>
      </c>
      <c r="CB7" s="3">
        <v>0</v>
      </c>
      <c r="CC7" s="3">
        <v>1</v>
      </c>
      <c r="CD7" s="3">
        <v>0</v>
      </c>
      <c r="CE7" s="3">
        <v>0</v>
      </c>
      <c r="CF7" s="3">
        <v>0</v>
      </c>
      <c r="CG7" s="3">
        <v>0</v>
      </c>
      <c r="CH7" s="3">
        <v>1</v>
      </c>
      <c r="CI7" s="3">
        <v>0</v>
      </c>
      <c r="CJ7" s="3">
        <v>0</v>
      </c>
      <c r="CK7" s="3">
        <v>1</v>
      </c>
      <c r="CL7" s="3">
        <v>0</v>
      </c>
      <c r="CM7" s="3">
        <v>0</v>
      </c>
      <c r="CN7" s="39">
        <v>0</v>
      </c>
      <c r="CO7" s="39">
        <v>0</v>
      </c>
      <c r="CP7" s="39">
        <v>0</v>
      </c>
      <c r="CQ7" s="39">
        <v>0</v>
      </c>
      <c r="CR7" s="39">
        <v>1</v>
      </c>
      <c r="CS7" s="39">
        <v>0</v>
      </c>
      <c r="CT7" s="39">
        <v>0</v>
      </c>
      <c r="CU7" s="39">
        <v>1</v>
      </c>
      <c r="CV7" s="39">
        <v>0</v>
      </c>
      <c r="CW7" s="39">
        <v>1</v>
      </c>
      <c r="CX7" s="39">
        <v>0</v>
      </c>
      <c r="CY7" s="39">
        <v>0</v>
      </c>
      <c r="CZ7" s="39">
        <v>0</v>
      </c>
      <c r="DA7" s="39">
        <v>0</v>
      </c>
      <c r="DB7" s="39">
        <v>0</v>
      </c>
      <c r="DC7" s="39">
        <v>1</v>
      </c>
      <c r="DD7" s="39">
        <v>0</v>
      </c>
      <c r="DE7" s="39">
        <v>0</v>
      </c>
      <c r="DF7" s="39">
        <v>0</v>
      </c>
      <c r="DG7" s="39">
        <v>0</v>
      </c>
      <c r="DH7" s="39">
        <v>1</v>
      </c>
      <c r="DI7" s="3">
        <v>0</v>
      </c>
      <c r="DJ7" s="3">
        <v>0</v>
      </c>
      <c r="DK7" s="3">
        <v>0</v>
      </c>
      <c r="DL7" s="3">
        <v>0</v>
      </c>
      <c r="DM7" s="3">
        <v>1</v>
      </c>
      <c r="DN7" s="3">
        <v>1</v>
      </c>
      <c r="DO7" s="3">
        <v>0</v>
      </c>
      <c r="DP7" s="3">
        <v>0</v>
      </c>
      <c r="DQ7" s="3">
        <v>0</v>
      </c>
      <c r="DR7" s="3">
        <v>0</v>
      </c>
      <c r="DS7" s="3">
        <v>0</v>
      </c>
      <c r="DT7" s="3">
        <v>0</v>
      </c>
      <c r="DU7" s="3">
        <v>1</v>
      </c>
      <c r="DV7" s="3">
        <v>0</v>
      </c>
      <c r="DW7" s="3">
        <v>0</v>
      </c>
      <c r="DX7" s="3">
        <v>1</v>
      </c>
      <c r="DY7" s="3">
        <v>0</v>
      </c>
      <c r="DZ7" s="3">
        <v>0</v>
      </c>
      <c r="EA7" s="3">
        <v>0</v>
      </c>
      <c r="EB7" s="3">
        <v>0</v>
      </c>
      <c r="EC7" s="39">
        <v>0</v>
      </c>
      <c r="ED7" s="39">
        <v>0</v>
      </c>
      <c r="EE7" s="39">
        <v>1</v>
      </c>
      <c r="EF7" s="39">
        <v>0</v>
      </c>
      <c r="EG7" s="39">
        <v>0</v>
      </c>
      <c r="EH7" s="39">
        <v>0</v>
      </c>
      <c r="EI7" s="39">
        <v>0</v>
      </c>
      <c r="EJ7" s="39">
        <v>1</v>
      </c>
      <c r="EK7" s="39">
        <v>0</v>
      </c>
      <c r="EL7" s="39">
        <v>0</v>
      </c>
      <c r="EM7" s="39">
        <v>0</v>
      </c>
      <c r="EN7" s="39">
        <v>1</v>
      </c>
      <c r="EO7" s="39">
        <v>0</v>
      </c>
      <c r="EP7" s="39">
        <v>0</v>
      </c>
      <c r="EQ7" s="39">
        <v>0</v>
      </c>
      <c r="ER7" s="39">
        <v>0</v>
      </c>
      <c r="ES7" s="39">
        <v>0</v>
      </c>
      <c r="ET7" s="39">
        <v>1</v>
      </c>
      <c r="EU7" s="39">
        <v>0</v>
      </c>
      <c r="EV7" s="39">
        <v>0</v>
      </c>
      <c r="EW7" s="39">
        <v>1</v>
      </c>
      <c r="EX7" s="39">
        <v>0</v>
      </c>
      <c r="EY7" s="39">
        <v>0</v>
      </c>
      <c r="EZ7" s="39">
        <v>1</v>
      </c>
      <c r="FA7" s="39">
        <v>0</v>
      </c>
      <c r="FB7" s="3">
        <v>0</v>
      </c>
      <c r="FC7" s="3">
        <v>1</v>
      </c>
      <c r="FD7" s="3">
        <v>0</v>
      </c>
      <c r="FE7" s="3">
        <v>0</v>
      </c>
      <c r="FF7" s="3">
        <v>1</v>
      </c>
      <c r="FG7" s="3">
        <v>0</v>
      </c>
      <c r="FH7" s="3">
        <v>1</v>
      </c>
      <c r="FI7" s="3">
        <v>0</v>
      </c>
      <c r="FJ7" s="3">
        <v>0</v>
      </c>
      <c r="FK7" s="3">
        <v>1</v>
      </c>
      <c r="FL7" s="3">
        <v>1</v>
      </c>
      <c r="FM7" s="3">
        <v>1</v>
      </c>
      <c r="FN7" s="3">
        <v>0</v>
      </c>
      <c r="FO7" s="3">
        <v>0</v>
      </c>
      <c r="FP7" s="3">
        <v>0</v>
      </c>
    </row>
    <row r="8" spans="1:172" x14ac:dyDescent="0.25">
      <c r="A8" t="s">
        <v>31</v>
      </c>
      <c r="B8" t="s">
        <v>57</v>
      </c>
      <c r="C8" t="s">
        <v>32</v>
      </c>
      <c r="D8" s="2" t="s">
        <v>70</v>
      </c>
      <c r="E8" s="3">
        <v>0</v>
      </c>
      <c r="F8" s="3">
        <v>0</v>
      </c>
      <c r="G8" s="3">
        <v>0</v>
      </c>
      <c r="H8" s="3">
        <v>1</v>
      </c>
      <c r="I8" s="3">
        <v>0</v>
      </c>
      <c r="J8" s="3">
        <v>0</v>
      </c>
      <c r="K8" s="3">
        <v>1</v>
      </c>
      <c r="L8" s="3">
        <v>0</v>
      </c>
      <c r="M8" s="3">
        <v>0</v>
      </c>
      <c r="N8" s="3">
        <v>0</v>
      </c>
      <c r="O8" s="3">
        <v>0</v>
      </c>
      <c r="P8" s="3">
        <v>0</v>
      </c>
      <c r="Q8" s="3">
        <v>0</v>
      </c>
      <c r="R8" s="3">
        <v>0</v>
      </c>
      <c r="S8" s="3">
        <v>0</v>
      </c>
      <c r="T8" s="3">
        <v>1</v>
      </c>
      <c r="U8" s="3">
        <v>1</v>
      </c>
      <c r="V8" s="3">
        <v>0</v>
      </c>
      <c r="W8" s="3">
        <v>0</v>
      </c>
      <c r="X8" s="3">
        <v>1</v>
      </c>
      <c r="Y8" s="3">
        <v>1</v>
      </c>
      <c r="Z8" s="3">
        <v>0</v>
      </c>
      <c r="AA8" s="3">
        <v>1</v>
      </c>
      <c r="AB8" s="3">
        <v>0</v>
      </c>
      <c r="AC8" s="3">
        <v>0</v>
      </c>
      <c r="AD8" s="3">
        <v>1</v>
      </c>
      <c r="AE8" s="3">
        <v>0</v>
      </c>
      <c r="AF8" s="3">
        <v>0</v>
      </c>
      <c r="AG8" s="3">
        <v>0</v>
      </c>
      <c r="AH8" s="3">
        <v>1</v>
      </c>
      <c r="AI8" s="3">
        <v>0</v>
      </c>
      <c r="AJ8" s="3">
        <v>1</v>
      </c>
      <c r="AK8" s="3">
        <v>0</v>
      </c>
      <c r="AL8" s="3">
        <v>0</v>
      </c>
      <c r="AM8" s="3">
        <v>0</v>
      </c>
      <c r="AN8" s="3">
        <v>0</v>
      </c>
      <c r="AO8" s="3">
        <v>0</v>
      </c>
      <c r="AP8" s="3">
        <v>1</v>
      </c>
      <c r="AQ8" s="3">
        <v>0</v>
      </c>
      <c r="AR8" s="3">
        <v>0</v>
      </c>
      <c r="AS8" s="3">
        <v>1</v>
      </c>
      <c r="AT8" s="3">
        <v>0</v>
      </c>
      <c r="AU8" s="3">
        <v>0</v>
      </c>
      <c r="AV8" s="3">
        <v>0</v>
      </c>
      <c r="AW8" s="3">
        <v>0</v>
      </c>
      <c r="AX8" s="3">
        <v>0</v>
      </c>
      <c r="AY8" s="3">
        <v>0</v>
      </c>
      <c r="AZ8" s="3">
        <v>0</v>
      </c>
      <c r="BA8" s="3">
        <v>1</v>
      </c>
      <c r="BB8" s="3">
        <v>0</v>
      </c>
      <c r="BC8" s="3">
        <v>0</v>
      </c>
      <c r="BD8" s="3">
        <v>1</v>
      </c>
      <c r="BE8" s="3">
        <v>0</v>
      </c>
      <c r="BF8" s="3">
        <v>0</v>
      </c>
      <c r="BG8" s="3">
        <v>0</v>
      </c>
      <c r="BH8" s="3">
        <v>0</v>
      </c>
      <c r="BI8" s="3">
        <v>0</v>
      </c>
      <c r="BJ8" s="3">
        <v>0</v>
      </c>
      <c r="BK8" s="3">
        <v>0</v>
      </c>
      <c r="BL8" s="3">
        <v>1</v>
      </c>
      <c r="BM8" s="3">
        <v>0</v>
      </c>
      <c r="BN8" s="3">
        <v>0</v>
      </c>
      <c r="BO8" s="3">
        <v>1</v>
      </c>
      <c r="BP8" s="3">
        <v>0</v>
      </c>
      <c r="BQ8" s="3">
        <v>0</v>
      </c>
      <c r="BR8" s="3">
        <v>0</v>
      </c>
      <c r="BS8" s="3">
        <v>0</v>
      </c>
      <c r="BT8" s="3">
        <v>0</v>
      </c>
      <c r="BU8" s="3">
        <v>0</v>
      </c>
      <c r="BV8" s="3">
        <v>1</v>
      </c>
      <c r="BW8" s="3">
        <v>0</v>
      </c>
      <c r="BX8" s="3">
        <v>0</v>
      </c>
      <c r="BY8" s="3">
        <v>0</v>
      </c>
      <c r="BZ8" s="3">
        <v>0</v>
      </c>
      <c r="CA8" s="3">
        <v>1</v>
      </c>
      <c r="CB8" s="3">
        <v>0</v>
      </c>
      <c r="CC8" s="3">
        <v>0</v>
      </c>
      <c r="CD8" s="3">
        <v>0</v>
      </c>
      <c r="CE8" s="3">
        <v>0</v>
      </c>
      <c r="CF8" s="3">
        <v>0</v>
      </c>
      <c r="CG8" s="3">
        <v>0</v>
      </c>
      <c r="CH8" s="3">
        <v>1</v>
      </c>
      <c r="CI8" s="3">
        <v>0</v>
      </c>
      <c r="CJ8" s="3">
        <v>0</v>
      </c>
      <c r="CK8" s="3">
        <v>1</v>
      </c>
      <c r="CL8" s="3">
        <v>0</v>
      </c>
      <c r="CM8" s="3">
        <v>0</v>
      </c>
      <c r="CN8" s="39">
        <v>0</v>
      </c>
      <c r="CO8" s="39">
        <v>0</v>
      </c>
      <c r="CP8" s="39">
        <v>0</v>
      </c>
      <c r="CQ8" s="39">
        <v>0</v>
      </c>
      <c r="CR8" s="39">
        <v>1</v>
      </c>
      <c r="CS8" s="39">
        <v>0</v>
      </c>
      <c r="CT8" s="39">
        <v>0</v>
      </c>
      <c r="CU8" s="39">
        <v>1</v>
      </c>
      <c r="CV8" s="39">
        <v>0</v>
      </c>
      <c r="CW8" s="39">
        <v>1</v>
      </c>
      <c r="CX8" s="39">
        <v>0</v>
      </c>
      <c r="CY8" s="39">
        <v>0</v>
      </c>
      <c r="CZ8" s="39">
        <v>0</v>
      </c>
      <c r="DA8" s="39">
        <v>0</v>
      </c>
      <c r="DB8" s="39">
        <v>0</v>
      </c>
      <c r="DC8" s="39">
        <v>1</v>
      </c>
      <c r="DD8" s="39">
        <v>0</v>
      </c>
      <c r="DE8" s="39">
        <v>0</v>
      </c>
      <c r="DF8" s="39">
        <v>1</v>
      </c>
      <c r="DG8" s="39">
        <v>0</v>
      </c>
      <c r="DH8" s="39">
        <v>0</v>
      </c>
      <c r="DI8" s="3">
        <v>0</v>
      </c>
      <c r="DJ8" s="3">
        <v>0</v>
      </c>
      <c r="DK8" s="3">
        <v>0</v>
      </c>
      <c r="DL8" s="3">
        <v>0</v>
      </c>
      <c r="DM8" s="3">
        <v>1</v>
      </c>
      <c r="DN8" s="3">
        <v>0</v>
      </c>
      <c r="DO8" s="3">
        <v>0</v>
      </c>
      <c r="DP8" s="3">
        <v>1</v>
      </c>
      <c r="DQ8" s="3">
        <v>0</v>
      </c>
      <c r="DR8" s="3">
        <v>0</v>
      </c>
      <c r="DS8" s="3">
        <v>0</v>
      </c>
      <c r="DT8" s="3">
        <v>0</v>
      </c>
      <c r="DU8" s="3">
        <v>0</v>
      </c>
      <c r="DV8" s="3">
        <v>0</v>
      </c>
      <c r="DW8" s="3">
        <v>1</v>
      </c>
      <c r="DX8" s="3">
        <v>0</v>
      </c>
      <c r="DY8" s="3">
        <v>0</v>
      </c>
      <c r="DZ8" s="3">
        <v>1</v>
      </c>
      <c r="EA8" s="3">
        <v>0</v>
      </c>
      <c r="EB8" s="3">
        <v>0</v>
      </c>
      <c r="EC8" s="39">
        <v>0</v>
      </c>
      <c r="ED8" s="39">
        <v>0</v>
      </c>
      <c r="EE8" s="39">
        <v>0</v>
      </c>
      <c r="EF8" s="39">
        <v>0</v>
      </c>
      <c r="EG8" s="39">
        <v>1</v>
      </c>
      <c r="EH8" s="39">
        <v>0</v>
      </c>
      <c r="EI8" s="39">
        <v>0</v>
      </c>
      <c r="EJ8" s="39">
        <v>1</v>
      </c>
      <c r="EK8" s="39">
        <v>0</v>
      </c>
      <c r="EL8" s="39">
        <v>0</v>
      </c>
      <c r="EM8" s="39">
        <v>0</v>
      </c>
      <c r="EN8" s="39">
        <v>1</v>
      </c>
      <c r="EO8" s="39">
        <v>0</v>
      </c>
      <c r="EP8" s="39">
        <v>0</v>
      </c>
      <c r="EQ8" s="39">
        <v>0</v>
      </c>
      <c r="ER8" s="39">
        <v>0</v>
      </c>
      <c r="ES8" s="39">
        <v>0</v>
      </c>
      <c r="ET8" s="39">
        <v>1</v>
      </c>
      <c r="EU8" s="39">
        <v>0</v>
      </c>
      <c r="EV8" s="39">
        <v>0</v>
      </c>
      <c r="EW8" s="39">
        <v>1</v>
      </c>
      <c r="EX8" s="39">
        <v>0</v>
      </c>
      <c r="EY8" s="39">
        <v>0</v>
      </c>
      <c r="EZ8" s="39">
        <v>1</v>
      </c>
      <c r="FA8" s="39">
        <v>0</v>
      </c>
      <c r="FB8" s="3">
        <v>0</v>
      </c>
      <c r="FC8" s="3">
        <v>0</v>
      </c>
      <c r="FD8" s="3">
        <v>0</v>
      </c>
      <c r="FE8" s="3">
        <v>1</v>
      </c>
      <c r="FF8" s="3">
        <v>0</v>
      </c>
      <c r="FG8" s="3">
        <v>0</v>
      </c>
      <c r="FH8" s="3">
        <v>1</v>
      </c>
      <c r="FI8" s="3">
        <v>1</v>
      </c>
      <c r="FJ8" s="3">
        <v>0</v>
      </c>
      <c r="FK8" s="3">
        <v>1</v>
      </c>
      <c r="FL8" s="3">
        <v>0</v>
      </c>
      <c r="FM8" s="3">
        <v>0</v>
      </c>
      <c r="FN8" s="3">
        <v>0</v>
      </c>
      <c r="FO8" s="3">
        <v>1</v>
      </c>
      <c r="FP8" s="3">
        <v>0</v>
      </c>
    </row>
    <row r="9" spans="1:172" x14ac:dyDescent="0.25">
      <c r="A9" t="s">
        <v>48</v>
      </c>
      <c r="B9" t="s">
        <v>54</v>
      </c>
      <c r="C9" t="s">
        <v>0</v>
      </c>
      <c r="D9" s="2" t="s">
        <v>71</v>
      </c>
      <c r="E9" s="3">
        <v>0</v>
      </c>
      <c r="F9" s="3">
        <v>0</v>
      </c>
      <c r="G9" s="3">
        <v>1</v>
      </c>
      <c r="H9" s="3">
        <v>0</v>
      </c>
      <c r="I9" s="3">
        <v>0</v>
      </c>
      <c r="J9" s="3">
        <v>0</v>
      </c>
      <c r="K9" s="3">
        <v>1</v>
      </c>
      <c r="L9" s="3">
        <v>1</v>
      </c>
      <c r="M9" s="3">
        <v>0</v>
      </c>
      <c r="N9" s="3">
        <v>0</v>
      </c>
      <c r="O9" s="3">
        <v>0</v>
      </c>
      <c r="P9" s="3">
        <v>0</v>
      </c>
      <c r="Q9" s="3">
        <v>0</v>
      </c>
      <c r="R9" s="3">
        <v>0</v>
      </c>
      <c r="S9" s="3">
        <v>0</v>
      </c>
      <c r="T9" s="3">
        <v>1</v>
      </c>
      <c r="U9" s="3">
        <v>0</v>
      </c>
      <c r="V9" s="3">
        <v>0</v>
      </c>
      <c r="W9" s="3">
        <v>1</v>
      </c>
      <c r="X9" s="3">
        <v>0</v>
      </c>
      <c r="Y9" s="3">
        <v>0</v>
      </c>
      <c r="Z9" s="3">
        <v>0</v>
      </c>
      <c r="AA9" s="3">
        <v>0</v>
      </c>
      <c r="AB9" s="3">
        <v>0</v>
      </c>
      <c r="AC9" s="3">
        <v>0</v>
      </c>
      <c r="AD9" s="3">
        <v>0</v>
      </c>
      <c r="AE9" s="3">
        <v>1</v>
      </c>
      <c r="AF9" s="3">
        <v>0</v>
      </c>
      <c r="AG9" s="3">
        <v>0</v>
      </c>
      <c r="AH9" s="3">
        <v>1</v>
      </c>
      <c r="AI9" s="3">
        <v>0</v>
      </c>
      <c r="AJ9" s="3">
        <v>1</v>
      </c>
      <c r="AK9" s="3">
        <v>0</v>
      </c>
      <c r="AL9" s="3">
        <v>0</v>
      </c>
      <c r="AM9" s="3">
        <v>0</v>
      </c>
      <c r="AN9" s="3">
        <v>1</v>
      </c>
      <c r="AO9" s="3">
        <v>0</v>
      </c>
      <c r="AP9" s="3">
        <v>0</v>
      </c>
      <c r="AQ9" s="3">
        <v>1</v>
      </c>
      <c r="AR9" s="3">
        <v>0</v>
      </c>
      <c r="AS9" s="3">
        <v>0</v>
      </c>
      <c r="AT9" s="3">
        <v>0</v>
      </c>
      <c r="AU9" s="3">
        <v>1</v>
      </c>
      <c r="AV9" s="3">
        <v>0</v>
      </c>
      <c r="AW9" s="3">
        <v>0</v>
      </c>
      <c r="AX9" s="3">
        <v>0</v>
      </c>
      <c r="AY9" s="3">
        <v>0</v>
      </c>
      <c r="AZ9" s="3">
        <v>0</v>
      </c>
      <c r="BA9" s="3">
        <v>1</v>
      </c>
      <c r="BB9" s="3">
        <v>0</v>
      </c>
      <c r="BC9" s="3">
        <v>0</v>
      </c>
      <c r="BD9" s="3">
        <v>1</v>
      </c>
      <c r="BE9" s="3">
        <v>0</v>
      </c>
      <c r="BF9" s="3">
        <v>0</v>
      </c>
      <c r="BG9" s="3">
        <v>0</v>
      </c>
      <c r="BH9" s="3">
        <v>0</v>
      </c>
      <c r="BI9" s="3">
        <v>0</v>
      </c>
      <c r="BJ9" s="3">
        <v>0</v>
      </c>
      <c r="BK9" s="3">
        <v>0</v>
      </c>
      <c r="BL9" s="3">
        <v>1</v>
      </c>
      <c r="BM9" s="3">
        <v>0</v>
      </c>
      <c r="BN9" s="3">
        <v>0</v>
      </c>
      <c r="BO9" s="3">
        <v>1</v>
      </c>
      <c r="BP9" s="3">
        <v>0</v>
      </c>
      <c r="BQ9" s="3">
        <v>1</v>
      </c>
      <c r="BR9" s="3">
        <v>0</v>
      </c>
      <c r="BS9" s="3">
        <v>0</v>
      </c>
      <c r="BT9" s="3">
        <v>0</v>
      </c>
      <c r="BU9" s="3">
        <v>0</v>
      </c>
      <c r="BV9" s="3">
        <v>1</v>
      </c>
      <c r="BW9" s="3">
        <v>0</v>
      </c>
      <c r="BX9" s="3">
        <v>0</v>
      </c>
      <c r="BY9" s="3">
        <v>0</v>
      </c>
      <c r="BZ9" s="3">
        <v>0</v>
      </c>
      <c r="CA9" s="3">
        <v>1</v>
      </c>
      <c r="CB9" s="3">
        <v>0</v>
      </c>
      <c r="CC9" s="3">
        <v>0</v>
      </c>
      <c r="CD9" s="3">
        <v>0</v>
      </c>
      <c r="CE9" s="3">
        <v>0</v>
      </c>
      <c r="CF9" s="3">
        <v>0</v>
      </c>
      <c r="CG9" s="3">
        <v>0</v>
      </c>
      <c r="CH9" s="3">
        <v>1</v>
      </c>
      <c r="CI9" s="3">
        <v>0</v>
      </c>
      <c r="CJ9" s="3">
        <v>0</v>
      </c>
      <c r="CK9" s="3">
        <v>1</v>
      </c>
      <c r="CL9" s="3">
        <v>0</v>
      </c>
      <c r="CM9" s="3">
        <v>0</v>
      </c>
      <c r="CN9" s="39">
        <v>0</v>
      </c>
      <c r="CO9" s="39">
        <v>0</v>
      </c>
      <c r="CP9" s="39">
        <v>1</v>
      </c>
      <c r="CQ9" s="39">
        <v>0</v>
      </c>
      <c r="CR9" s="39">
        <v>0</v>
      </c>
      <c r="CS9" s="39">
        <v>1</v>
      </c>
      <c r="CT9" s="39">
        <v>0</v>
      </c>
      <c r="CU9" s="39">
        <v>0</v>
      </c>
      <c r="CV9" s="39">
        <v>0</v>
      </c>
      <c r="CW9" s="39">
        <v>0</v>
      </c>
      <c r="CX9" s="39">
        <v>0</v>
      </c>
      <c r="CY9" s="39">
        <v>0</v>
      </c>
      <c r="CZ9" s="39">
        <v>0</v>
      </c>
      <c r="DA9" s="39">
        <v>0</v>
      </c>
      <c r="DB9" s="39">
        <v>0</v>
      </c>
      <c r="DC9" s="39">
        <v>1</v>
      </c>
      <c r="DD9" s="39">
        <v>0</v>
      </c>
      <c r="DE9" s="39">
        <v>0</v>
      </c>
      <c r="DF9" s="39">
        <v>1</v>
      </c>
      <c r="DG9" s="39">
        <v>0</v>
      </c>
      <c r="DH9" s="39">
        <v>0</v>
      </c>
      <c r="DI9" s="3">
        <v>0</v>
      </c>
      <c r="DJ9" s="3">
        <v>0</v>
      </c>
      <c r="DK9" s="3">
        <v>1</v>
      </c>
      <c r="DL9" s="3">
        <v>0</v>
      </c>
      <c r="DM9" s="3">
        <v>0</v>
      </c>
      <c r="DN9" s="3">
        <v>0</v>
      </c>
      <c r="DO9" s="3">
        <v>0</v>
      </c>
      <c r="DP9" s="3">
        <v>1</v>
      </c>
      <c r="DQ9" s="3">
        <v>0</v>
      </c>
      <c r="DR9" s="3">
        <v>0</v>
      </c>
      <c r="DS9" s="3">
        <v>0</v>
      </c>
      <c r="DT9" s="3">
        <v>0</v>
      </c>
      <c r="DU9" s="3">
        <v>1</v>
      </c>
      <c r="DV9" s="3">
        <v>0</v>
      </c>
      <c r="DW9" s="3">
        <v>0</v>
      </c>
      <c r="DX9" s="3">
        <v>0</v>
      </c>
      <c r="DY9" s="3">
        <v>0</v>
      </c>
      <c r="DZ9" s="3">
        <v>1</v>
      </c>
      <c r="EA9" s="3">
        <v>0</v>
      </c>
      <c r="EB9" s="3">
        <v>0</v>
      </c>
      <c r="EC9" s="39">
        <v>0</v>
      </c>
      <c r="ED9" s="39">
        <v>0</v>
      </c>
      <c r="EE9" s="39">
        <v>0</v>
      </c>
      <c r="EF9" s="39">
        <v>0</v>
      </c>
      <c r="EG9" s="39">
        <v>1</v>
      </c>
      <c r="EH9" s="39">
        <v>1</v>
      </c>
      <c r="EI9" s="39">
        <v>0</v>
      </c>
      <c r="EJ9" s="39">
        <v>0</v>
      </c>
      <c r="EK9" s="39">
        <v>0</v>
      </c>
      <c r="EL9" s="39">
        <v>1</v>
      </c>
      <c r="EM9" s="39">
        <v>0</v>
      </c>
      <c r="EN9" s="39">
        <v>0</v>
      </c>
      <c r="EO9" s="39">
        <v>1</v>
      </c>
      <c r="EP9" s="39">
        <v>0</v>
      </c>
      <c r="EQ9" s="39">
        <v>0</v>
      </c>
      <c r="ER9" s="39">
        <v>0</v>
      </c>
      <c r="ES9" s="39">
        <v>0</v>
      </c>
      <c r="ET9" s="39">
        <v>1</v>
      </c>
      <c r="EU9" s="39">
        <v>0</v>
      </c>
      <c r="EV9" s="39">
        <v>0</v>
      </c>
      <c r="EW9" s="39">
        <v>1</v>
      </c>
      <c r="EX9" s="39">
        <v>0</v>
      </c>
      <c r="EY9" s="39">
        <v>0</v>
      </c>
      <c r="EZ9" s="39">
        <v>1</v>
      </c>
      <c r="FA9" s="39">
        <v>1</v>
      </c>
      <c r="FB9" s="3">
        <v>1</v>
      </c>
      <c r="FC9" s="3">
        <v>0</v>
      </c>
      <c r="FD9" s="3">
        <v>0</v>
      </c>
      <c r="FE9" s="3">
        <v>1</v>
      </c>
      <c r="FF9" s="3">
        <v>1</v>
      </c>
      <c r="FG9" s="3">
        <v>1</v>
      </c>
      <c r="FH9" s="3">
        <v>1</v>
      </c>
      <c r="FI9" s="3">
        <v>1</v>
      </c>
      <c r="FJ9" s="3">
        <v>1</v>
      </c>
      <c r="FK9" s="3">
        <v>1</v>
      </c>
      <c r="FL9" s="3">
        <v>1</v>
      </c>
      <c r="FM9" s="3">
        <v>1</v>
      </c>
      <c r="FN9" s="3">
        <v>1</v>
      </c>
      <c r="FO9" s="3">
        <v>0</v>
      </c>
      <c r="FP9" s="3">
        <v>0</v>
      </c>
    </row>
    <row r="10" spans="1:172" x14ac:dyDescent="0.25">
      <c r="A10" t="s">
        <v>13</v>
      </c>
      <c r="B10" t="s">
        <v>55</v>
      </c>
      <c r="C10" t="s">
        <v>7</v>
      </c>
      <c r="D10" s="2" t="s">
        <v>72</v>
      </c>
      <c r="E10" s="3">
        <v>0</v>
      </c>
      <c r="F10" s="3">
        <v>0</v>
      </c>
      <c r="G10" s="3">
        <v>0</v>
      </c>
      <c r="H10" s="3">
        <v>1</v>
      </c>
      <c r="I10" s="3">
        <v>0</v>
      </c>
      <c r="J10" s="3">
        <v>0</v>
      </c>
      <c r="K10" s="3">
        <v>1</v>
      </c>
      <c r="L10" s="3">
        <v>0</v>
      </c>
      <c r="M10" s="3">
        <v>0</v>
      </c>
      <c r="N10" s="3">
        <v>0</v>
      </c>
      <c r="O10" s="3">
        <v>0</v>
      </c>
      <c r="P10" s="3">
        <v>0</v>
      </c>
      <c r="Q10" s="3">
        <v>0</v>
      </c>
      <c r="R10" s="3">
        <v>0</v>
      </c>
      <c r="S10" s="3">
        <v>0</v>
      </c>
      <c r="T10" s="3">
        <v>1</v>
      </c>
      <c r="U10" s="3">
        <v>1</v>
      </c>
      <c r="V10" s="3">
        <v>0</v>
      </c>
      <c r="W10" s="3">
        <v>0</v>
      </c>
      <c r="X10" s="3">
        <v>0</v>
      </c>
      <c r="Y10" s="3">
        <v>0</v>
      </c>
      <c r="Z10" s="3">
        <v>0</v>
      </c>
      <c r="AA10" s="3">
        <v>0</v>
      </c>
      <c r="AB10" s="3">
        <v>0</v>
      </c>
      <c r="AC10" s="3">
        <v>0</v>
      </c>
      <c r="AD10" s="3">
        <v>0</v>
      </c>
      <c r="AE10" s="3">
        <v>1</v>
      </c>
      <c r="AF10" s="3">
        <v>1</v>
      </c>
      <c r="AG10" s="3">
        <v>0</v>
      </c>
      <c r="AH10" s="3">
        <v>0</v>
      </c>
      <c r="AI10" s="3">
        <v>0</v>
      </c>
      <c r="AJ10" s="3">
        <v>1</v>
      </c>
      <c r="AK10" s="3">
        <v>0</v>
      </c>
      <c r="AL10" s="3">
        <v>0</v>
      </c>
      <c r="AM10" s="3">
        <v>0</v>
      </c>
      <c r="AN10" s="3">
        <v>0</v>
      </c>
      <c r="AO10" s="3">
        <v>0</v>
      </c>
      <c r="AP10" s="3">
        <v>1</v>
      </c>
      <c r="AQ10" s="3">
        <v>0</v>
      </c>
      <c r="AR10" s="3">
        <v>0</v>
      </c>
      <c r="AS10" s="3">
        <v>1</v>
      </c>
      <c r="AT10" s="3">
        <v>0</v>
      </c>
      <c r="AU10" s="3">
        <v>0</v>
      </c>
      <c r="AV10" s="3">
        <v>0</v>
      </c>
      <c r="AW10" s="3">
        <v>0</v>
      </c>
      <c r="AX10" s="3">
        <v>0</v>
      </c>
      <c r="AY10" s="3">
        <v>0</v>
      </c>
      <c r="AZ10" s="3">
        <v>0</v>
      </c>
      <c r="BA10" s="3">
        <v>1</v>
      </c>
      <c r="BB10" s="3">
        <v>1</v>
      </c>
      <c r="BC10" s="3">
        <v>0</v>
      </c>
      <c r="BD10" s="3">
        <v>0</v>
      </c>
      <c r="BE10" s="3">
        <v>0</v>
      </c>
      <c r="BF10" s="3">
        <v>0</v>
      </c>
      <c r="BG10" s="3">
        <v>0</v>
      </c>
      <c r="BH10" s="3">
        <v>0</v>
      </c>
      <c r="BI10" s="3">
        <v>0</v>
      </c>
      <c r="BJ10" s="3">
        <v>0</v>
      </c>
      <c r="BK10" s="3">
        <v>0</v>
      </c>
      <c r="BL10" s="3">
        <v>1</v>
      </c>
      <c r="BM10" s="3">
        <v>1</v>
      </c>
      <c r="BN10" s="3">
        <v>0</v>
      </c>
      <c r="BO10" s="3">
        <v>0</v>
      </c>
      <c r="BP10" s="3">
        <v>0</v>
      </c>
      <c r="BQ10" s="3">
        <v>0</v>
      </c>
      <c r="BR10" s="3">
        <v>0</v>
      </c>
      <c r="BS10" s="3">
        <v>0</v>
      </c>
      <c r="BT10" s="3">
        <v>0</v>
      </c>
      <c r="BU10" s="3">
        <v>0</v>
      </c>
      <c r="BV10" s="3">
        <v>0</v>
      </c>
      <c r="BW10" s="3">
        <v>0</v>
      </c>
      <c r="BX10" s="3">
        <v>1</v>
      </c>
      <c r="BY10" s="3">
        <v>1</v>
      </c>
      <c r="BZ10" s="3">
        <v>0</v>
      </c>
      <c r="CA10" s="3">
        <v>0</v>
      </c>
      <c r="CB10" s="3">
        <v>0</v>
      </c>
      <c r="CC10" s="3">
        <v>0</v>
      </c>
      <c r="CD10" s="3">
        <v>0</v>
      </c>
      <c r="CE10" s="3">
        <v>0</v>
      </c>
      <c r="CF10" s="3">
        <v>0</v>
      </c>
      <c r="CG10" s="3">
        <v>0</v>
      </c>
      <c r="CH10" s="3">
        <v>1</v>
      </c>
      <c r="CI10" s="3">
        <v>1</v>
      </c>
      <c r="CJ10" s="3">
        <v>0</v>
      </c>
      <c r="CK10" s="3">
        <v>0</v>
      </c>
      <c r="CL10" s="3">
        <v>0</v>
      </c>
      <c r="CM10" s="3">
        <v>0</v>
      </c>
      <c r="CN10" s="39">
        <v>0</v>
      </c>
      <c r="CO10" s="39">
        <v>0</v>
      </c>
      <c r="CP10" s="39">
        <v>0</v>
      </c>
      <c r="CQ10" s="39">
        <v>0</v>
      </c>
      <c r="CR10" s="39">
        <v>1</v>
      </c>
      <c r="CS10" s="39">
        <v>1</v>
      </c>
      <c r="CT10" s="39">
        <v>0</v>
      </c>
      <c r="CU10" s="39">
        <v>0</v>
      </c>
      <c r="CV10" s="39">
        <v>0</v>
      </c>
      <c r="CW10" s="39">
        <v>0</v>
      </c>
      <c r="CX10" s="39">
        <v>0</v>
      </c>
      <c r="CY10" s="39">
        <v>0</v>
      </c>
      <c r="CZ10" s="39">
        <v>0</v>
      </c>
      <c r="DA10" s="39">
        <v>0</v>
      </c>
      <c r="DB10" s="39">
        <v>0</v>
      </c>
      <c r="DC10" s="39">
        <v>1</v>
      </c>
      <c r="DD10" s="39">
        <v>0</v>
      </c>
      <c r="DE10" s="39">
        <v>0</v>
      </c>
      <c r="DF10" s="39">
        <v>1</v>
      </c>
      <c r="DG10" s="39">
        <v>0</v>
      </c>
      <c r="DH10" s="39">
        <v>0</v>
      </c>
      <c r="DI10" s="3">
        <v>0</v>
      </c>
      <c r="DJ10" s="3">
        <v>0</v>
      </c>
      <c r="DK10" s="3">
        <v>0</v>
      </c>
      <c r="DL10" s="3">
        <v>0</v>
      </c>
      <c r="DM10" s="3">
        <v>1</v>
      </c>
      <c r="DN10" s="3">
        <v>1</v>
      </c>
      <c r="DO10" s="3">
        <v>0</v>
      </c>
      <c r="DP10" s="3">
        <v>0</v>
      </c>
      <c r="DQ10" s="3">
        <v>0</v>
      </c>
      <c r="DR10" s="3">
        <v>0</v>
      </c>
      <c r="DS10" s="3">
        <v>0</v>
      </c>
      <c r="DT10" s="3">
        <v>0</v>
      </c>
      <c r="DU10" s="3">
        <v>0</v>
      </c>
      <c r="DV10" s="3">
        <v>0</v>
      </c>
      <c r="DW10" s="3">
        <v>1</v>
      </c>
      <c r="DX10" s="3">
        <v>0</v>
      </c>
      <c r="DY10" s="3">
        <v>0</v>
      </c>
      <c r="DZ10" s="3">
        <v>1</v>
      </c>
      <c r="EA10" s="3">
        <v>0</v>
      </c>
      <c r="EB10" s="3">
        <v>0</v>
      </c>
      <c r="EC10" s="39">
        <v>0</v>
      </c>
      <c r="ED10" s="39">
        <v>0</v>
      </c>
      <c r="EE10" s="39">
        <v>0</v>
      </c>
      <c r="EF10" s="39">
        <v>0</v>
      </c>
      <c r="EG10" s="39">
        <v>1</v>
      </c>
      <c r="EH10" s="39">
        <v>0</v>
      </c>
      <c r="EI10" s="39">
        <v>1</v>
      </c>
      <c r="EJ10" s="39">
        <v>0</v>
      </c>
      <c r="EK10" s="39">
        <v>0</v>
      </c>
      <c r="EL10" s="39">
        <v>0</v>
      </c>
      <c r="EM10" s="39">
        <v>0</v>
      </c>
      <c r="EN10" s="39">
        <v>1</v>
      </c>
      <c r="EO10" s="39">
        <v>0</v>
      </c>
      <c r="EP10" s="39">
        <v>0</v>
      </c>
      <c r="EQ10" s="39">
        <v>0</v>
      </c>
      <c r="ER10" s="39">
        <v>0</v>
      </c>
      <c r="ES10" s="39">
        <v>0</v>
      </c>
      <c r="ET10" s="39">
        <v>1</v>
      </c>
      <c r="EU10" s="39">
        <v>0</v>
      </c>
      <c r="EV10" s="39">
        <v>0</v>
      </c>
      <c r="EW10" s="39">
        <v>1</v>
      </c>
      <c r="EX10" s="39">
        <v>0</v>
      </c>
      <c r="EY10" s="39">
        <v>0</v>
      </c>
      <c r="EZ10" s="39">
        <v>1</v>
      </c>
      <c r="FA10" s="39">
        <v>0</v>
      </c>
      <c r="FB10" s="3">
        <v>0</v>
      </c>
      <c r="FC10" s="3">
        <v>0</v>
      </c>
      <c r="FD10" s="3">
        <v>0</v>
      </c>
      <c r="FE10" s="3">
        <v>1</v>
      </c>
      <c r="FF10" s="3">
        <v>0</v>
      </c>
      <c r="FG10" s="3">
        <v>0</v>
      </c>
      <c r="FH10" s="3">
        <v>1</v>
      </c>
      <c r="FI10" s="3">
        <v>0</v>
      </c>
      <c r="FJ10" s="3">
        <v>1</v>
      </c>
      <c r="FK10" s="3">
        <v>1</v>
      </c>
      <c r="FL10" s="3">
        <v>1</v>
      </c>
      <c r="FM10" s="3">
        <v>0</v>
      </c>
      <c r="FN10" s="3">
        <v>0</v>
      </c>
      <c r="FO10" s="3">
        <v>1</v>
      </c>
      <c r="FP10" s="3">
        <v>1</v>
      </c>
    </row>
    <row r="11" spans="1:172" x14ac:dyDescent="0.25">
      <c r="A11" t="s">
        <v>2</v>
      </c>
      <c r="B11" t="s">
        <v>57</v>
      </c>
      <c r="C11" t="s">
        <v>27</v>
      </c>
      <c r="D11" s="2" t="s">
        <v>73</v>
      </c>
      <c r="E11" s="3">
        <v>0</v>
      </c>
      <c r="F11" s="3">
        <v>0</v>
      </c>
      <c r="G11" s="3">
        <v>0</v>
      </c>
      <c r="H11" s="3">
        <v>1</v>
      </c>
      <c r="I11" s="3">
        <v>1</v>
      </c>
      <c r="J11" s="3">
        <v>0</v>
      </c>
      <c r="K11" s="3">
        <v>0</v>
      </c>
      <c r="L11" s="3">
        <v>1</v>
      </c>
      <c r="M11" s="3">
        <v>0</v>
      </c>
      <c r="N11" s="3">
        <v>0</v>
      </c>
      <c r="O11" s="3">
        <v>0</v>
      </c>
      <c r="P11" s="3">
        <v>1</v>
      </c>
      <c r="Q11" s="3">
        <v>0</v>
      </c>
      <c r="R11" s="3">
        <v>0</v>
      </c>
      <c r="S11" s="3">
        <v>0</v>
      </c>
      <c r="T11" s="3">
        <v>0</v>
      </c>
      <c r="U11" s="3">
        <v>1</v>
      </c>
      <c r="V11" s="3">
        <v>0</v>
      </c>
      <c r="W11" s="3">
        <v>0</v>
      </c>
      <c r="X11" s="3">
        <v>0</v>
      </c>
      <c r="Y11" s="3">
        <v>0</v>
      </c>
      <c r="Z11" s="3">
        <v>0</v>
      </c>
      <c r="AA11" s="3">
        <v>1</v>
      </c>
      <c r="AB11" s="3">
        <v>0</v>
      </c>
      <c r="AC11" s="3">
        <v>0</v>
      </c>
      <c r="AD11" s="3">
        <v>0</v>
      </c>
      <c r="AE11" s="3">
        <v>0</v>
      </c>
      <c r="AF11" s="3">
        <v>1</v>
      </c>
      <c r="AG11" s="3">
        <v>0</v>
      </c>
      <c r="AH11" s="3">
        <v>0</v>
      </c>
      <c r="AI11" s="3">
        <v>1</v>
      </c>
      <c r="AJ11" s="3">
        <v>0</v>
      </c>
      <c r="AK11" s="3">
        <v>0</v>
      </c>
      <c r="AL11" s="3">
        <v>1</v>
      </c>
      <c r="AM11" s="3">
        <v>0</v>
      </c>
      <c r="AN11" s="3">
        <v>0</v>
      </c>
      <c r="AO11" s="3">
        <v>0</v>
      </c>
      <c r="AP11" s="3">
        <v>0</v>
      </c>
      <c r="AQ11" s="3">
        <v>1</v>
      </c>
      <c r="AR11" s="3">
        <v>0</v>
      </c>
      <c r="AS11" s="3">
        <v>0</v>
      </c>
      <c r="AT11" s="3">
        <v>0</v>
      </c>
      <c r="AU11" s="3">
        <v>0</v>
      </c>
      <c r="AV11" s="3">
        <v>0</v>
      </c>
      <c r="AW11" s="3">
        <v>1</v>
      </c>
      <c r="AX11" s="3">
        <v>0</v>
      </c>
      <c r="AY11" s="3">
        <v>0</v>
      </c>
      <c r="AZ11" s="3">
        <v>0</v>
      </c>
      <c r="BA11" s="3">
        <v>0</v>
      </c>
      <c r="BB11" s="3">
        <v>1</v>
      </c>
      <c r="BC11" s="3">
        <v>0</v>
      </c>
      <c r="BD11" s="3">
        <v>0</v>
      </c>
      <c r="BE11" s="3">
        <v>0</v>
      </c>
      <c r="BF11" s="3">
        <v>0</v>
      </c>
      <c r="BG11" s="3">
        <v>0</v>
      </c>
      <c r="BH11" s="3">
        <v>1</v>
      </c>
      <c r="BI11" s="3">
        <v>0</v>
      </c>
      <c r="BJ11" s="3">
        <v>0</v>
      </c>
      <c r="BK11" s="3">
        <v>0</v>
      </c>
      <c r="BL11" s="3">
        <v>0</v>
      </c>
      <c r="BM11" s="3">
        <v>1</v>
      </c>
      <c r="BN11" s="3">
        <v>0</v>
      </c>
      <c r="BO11" s="3">
        <v>0</v>
      </c>
      <c r="BP11" s="3">
        <v>0</v>
      </c>
      <c r="BQ11" s="3">
        <v>0</v>
      </c>
      <c r="BR11" s="3">
        <v>0</v>
      </c>
      <c r="BS11" s="3">
        <v>0</v>
      </c>
      <c r="BT11" s="3">
        <v>1</v>
      </c>
      <c r="BU11" s="3">
        <v>0</v>
      </c>
      <c r="BV11" s="3">
        <v>0</v>
      </c>
      <c r="BW11" s="3">
        <v>0</v>
      </c>
      <c r="BX11" s="3">
        <v>0</v>
      </c>
      <c r="BY11" s="3">
        <v>1</v>
      </c>
      <c r="BZ11" s="3">
        <v>0</v>
      </c>
      <c r="CA11" s="3">
        <v>0</v>
      </c>
      <c r="CB11" s="3">
        <v>1</v>
      </c>
      <c r="CC11" s="3">
        <v>0</v>
      </c>
      <c r="CD11" s="3">
        <v>1</v>
      </c>
      <c r="CE11" s="3">
        <v>0</v>
      </c>
      <c r="CF11" s="3">
        <v>0</v>
      </c>
      <c r="CG11" s="3">
        <v>0</v>
      </c>
      <c r="CH11" s="3">
        <v>0</v>
      </c>
      <c r="CI11" s="3">
        <v>1</v>
      </c>
      <c r="CJ11" s="3">
        <v>0</v>
      </c>
      <c r="CK11" s="3">
        <v>0</v>
      </c>
      <c r="CL11" s="3">
        <v>1</v>
      </c>
      <c r="CM11" s="3">
        <v>0</v>
      </c>
      <c r="CN11" s="39">
        <v>1</v>
      </c>
      <c r="CO11" s="39">
        <v>0</v>
      </c>
      <c r="CP11" s="39">
        <v>0</v>
      </c>
      <c r="CQ11" s="39">
        <v>0</v>
      </c>
      <c r="CR11" s="39">
        <v>0</v>
      </c>
      <c r="CS11" s="39">
        <v>1</v>
      </c>
      <c r="CT11" s="39">
        <v>0</v>
      </c>
      <c r="CU11" s="39">
        <v>0</v>
      </c>
      <c r="CV11" s="39">
        <v>0</v>
      </c>
      <c r="CW11" s="39">
        <v>0</v>
      </c>
      <c r="CX11" s="39">
        <v>0</v>
      </c>
      <c r="CY11" s="39">
        <v>1</v>
      </c>
      <c r="CZ11" s="39">
        <v>0</v>
      </c>
      <c r="DA11" s="39">
        <v>0</v>
      </c>
      <c r="DB11" s="39">
        <v>0</v>
      </c>
      <c r="DC11" s="39">
        <v>0</v>
      </c>
      <c r="DD11" s="39">
        <v>0</v>
      </c>
      <c r="DE11" s="39">
        <v>0</v>
      </c>
      <c r="DF11" s="39">
        <v>1</v>
      </c>
      <c r="DG11" s="39">
        <v>0</v>
      </c>
      <c r="DH11" s="39">
        <v>0</v>
      </c>
      <c r="DI11" s="3">
        <v>1</v>
      </c>
      <c r="DJ11" s="3">
        <v>0</v>
      </c>
      <c r="DK11" s="3">
        <v>0</v>
      </c>
      <c r="DL11" s="3">
        <v>0</v>
      </c>
      <c r="DM11" s="3">
        <v>0</v>
      </c>
      <c r="DN11" s="3">
        <v>1</v>
      </c>
      <c r="DO11" s="3">
        <v>0</v>
      </c>
      <c r="DP11" s="3">
        <v>0</v>
      </c>
      <c r="DQ11" s="3">
        <v>0</v>
      </c>
      <c r="DR11" s="3">
        <v>0</v>
      </c>
      <c r="DS11" s="3">
        <v>1</v>
      </c>
      <c r="DT11" s="3">
        <v>0</v>
      </c>
      <c r="DU11" s="3">
        <v>0</v>
      </c>
      <c r="DV11" s="3">
        <v>0</v>
      </c>
      <c r="DW11" s="3">
        <v>0</v>
      </c>
      <c r="DX11" s="3">
        <v>1</v>
      </c>
      <c r="DY11" s="3">
        <v>0</v>
      </c>
      <c r="DZ11" s="3">
        <v>0</v>
      </c>
      <c r="EA11" s="3">
        <v>0</v>
      </c>
      <c r="EB11" s="3">
        <v>0</v>
      </c>
      <c r="EC11" s="39">
        <v>1</v>
      </c>
      <c r="ED11" s="39">
        <v>0</v>
      </c>
      <c r="EE11" s="39">
        <v>0</v>
      </c>
      <c r="EF11" s="39">
        <v>0</v>
      </c>
      <c r="EG11" s="39">
        <v>0</v>
      </c>
      <c r="EH11" s="39">
        <v>0</v>
      </c>
      <c r="EI11" s="39">
        <v>0</v>
      </c>
      <c r="EJ11" s="39">
        <v>1</v>
      </c>
      <c r="EK11" s="39">
        <v>0</v>
      </c>
      <c r="EL11" s="39">
        <v>0</v>
      </c>
      <c r="EM11" s="39">
        <v>0</v>
      </c>
      <c r="EN11" s="39">
        <v>1</v>
      </c>
      <c r="EO11" s="39">
        <v>0</v>
      </c>
      <c r="EP11" s="39">
        <v>0</v>
      </c>
      <c r="EQ11" s="39">
        <v>0</v>
      </c>
      <c r="ER11" s="39">
        <v>0</v>
      </c>
      <c r="ES11" s="39">
        <v>0</v>
      </c>
      <c r="ET11" s="39">
        <v>1</v>
      </c>
      <c r="EU11" s="39">
        <v>0</v>
      </c>
      <c r="EV11" s="39">
        <v>0</v>
      </c>
      <c r="EW11" s="39">
        <v>1</v>
      </c>
      <c r="EX11" s="39">
        <v>0</v>
      </c>
      <c r="EY11" s="39">
        <v>0</v>
      </c>
      <c r="EZ11" s="39">
        <v>1</v>
      </c>
      <c r="FA11" s="39">
        <v>0</v>
      </c>
      <c r="FB11" s="3">
        <v>0</v>
      </c>
      <c r="FC11" s="3">
        <v>0</v>
      </c>
      <c r="FD11" s="3">
        <v>0</v>
      </c>
      <c r="FE11" s="3">
        <v>0</v>
      </c>
      <c r="FF11" s="3">
        <v>0</v>
      </c>
      <c r="FG11" s="3">
        <v>0</v>
      </c>
      <c r="FH11" s="3">
        <v>1</v>
      </c>
      <c r="FI11" s="3">
        <v>0</v>
      </c>
      <c r="FJ11" s="3">
        <v>0</v>
      </c>
      <c r="FK11" s="3">
        <v>0</v>
      </c>
      <c r="FL11" s="3">
        <v>0</v>
      </c>
      <c r="FM11" s="3">
        <v>0</v>
      </c>
      <c r="FN11" s="3">
        <v>0</v>
      </c>
      <c r="FO11" s="3">
        <v>0</v>
      </c>
      <c r="FP11" s="3">
        <v>0</v>
      </c>
    </row>
    <row r="12" spans="1:172" x14ac:dyDescent="0.25">
      <c r="A12" t="s">
        <v>33</v>
      </c>
      <c r="B12" t="s">
        <v>57</v>
      </c>
      <c r="C12" t="s">
        <v>0</v>
      </c>
      <c r="D12" s="2" t="s">
        <v>74</v>
      </c>
      <c r="E12" s="3">
        <v>0</v>
      </c>
      <c r="F12" s="3">
        <v>0</v>
      </c>
      <c r="G12" s="3">
        <v>0</v>
      </c>
      <c r="H12" s="3">
        <v>1</v>
      </c>
      <c r="I12" s="3">
        <v>0</v>
      </c>
      <c r="J12" s="3">
        <v>0</v>
      </c>
      <c r="K12" s="3">
        <v>0</v>
      </c>
      <c r="L12" s="3">
        <v>0</v>
      </c>
      <c r="M12" s="3">
        <v>0</v>
      </c>
      <c r="N12" s="3">
        <v>0</v>
      </c>
      <c r="O12" s="3">
        <v>1</v>
      </c>
      <c r="P12" s="3">
        <v>0</v>
      </c>
      <c r="Q12" s="3">
        <v>0</v>
      </c>
      <c r="R12" s="3">
        <v>0</v>
      </c>
      <c r="S12" s="3">
        <v>0</v>
      </c>
      <c r="T12" s="3">
        <v>1</v>
      </c>
      <c r="U12" s="3">
        <v>0</v>
      </c>
      <c r="V12" s="3">
        <v>0</v>
      </c>
      <c r="W12" s="3">
        <v>0</v>
      </c>
      <c r="X12" s="3">
        <v>0</v>
      </c>
      <c r="Y12" s="3">
        <v>0</v>
      </c>
      <c r="Z12" s="3">
        <v>1</v>
      </c>
      <c r="AA12" s="3">
        <v>0</v>
      </c>
      <c r="AB12" s="3">
        <v>0</v>
      </c>
      <c r="AC12" s="3">
        <v>0</v>
      </c>
      <c r="AD12" s="3">
        <v>0</v>
      </c>
      <c r="AE12" s="3">
        <v>1</v>
      </c>
      <c r="AF12" s="3">
        <v>0</v>
      </c>
      <c r="AG12" s="3">
        <v>0</v>
      </c>
      <c r="AH12" s="3">
        <v>0</v>
      </c>
      <c r="AI12" s="3">
        <v>0</v>
      </c>
      <c r="AJ12" s="3">
        <v>0</v>
      </c>
      <c r="AK12" s="3">
        <v>1</v>
      </c>
      <c r="AL12" s="3">
        <v>0</v>
      </c>
      <c r="AM12" s="3">
        <v>0</v>
      </c>
      <c r="AN12" s="3">
        <v>0</v>
      </c>
      <c r="AO12" s="3">
        <v>0</v>
      </c>
      <c r="AP12" s="3">
        <v>1</v>
      </c>
      <c r="AQ12" s="3">
        <v>0</v>
      </c>
      <c r="AR12" s="3">
        <v>0</v>
      </c>
      <c r="AS12" s="3">
        <v>0</v>
      </c>
      <c r="AT12" s="3">
        <v>0</v>
      </c>
      <c r="AU12" s="3">
        <v>0</v>
      </c>
      <c r="AV12" s="3">
        <v>1</v>
      </c>
      <c r="AW12" s="3">
        <v>0</v>
      </c>
      <c r="AX12" s="3">
        <v>0</v>
      </c>
      <c r="AY12" s="3">
        <v>0</v>
      </c>
      <c r="AZ12" s="3">
        <v>0</v>
      </c>
      <c r="BA12" s="3">
        <v>1</v>
      </c>
      <c r="BB12" s="3">
        <v>0</v>
      </c>
      <c r="BC12" s="3">
        <v>0</v>
      </c>
      <c r="BD12" s="3">
        <v>0</v>
      </c>
      <c r="BE12" s="3">
        <v>0</v>
      </c>
      <c r="BF12" s="3">
        <v>0</v>
      </c>
      <c r="BG12" s="3">
        <v>1</v>
      </c>
      <c r="BH12" s="3">
        <v>0</v>
      </c>
      <c r="BI12" s="3">
        <v>0</v>
      </c>
      <c r="BJ12" s="3">
        <v>0</v>
      </c>
      <c r="BK12" s="3">
        <v>0</v>
      </c>
      <c r="BL12" s="3">
        <v>1</v>
      </c>
      <c r="BM12" s="3">
        <v>0</v>
      </c>
      <c r="BN12" s="3">
        <v>0</v>
      </c>
      <c r="BO12" s="3">
        <v>0</v>
      </c>
      <c r="BP12" s="3">
        <v>0</v>
      </c>
      <c r="BQ12" s="3">
        <v>0</v>
      </c>
      <c r="BR12" s="3">
        <v>0</v>
      </c>
      <c r="BS12" s="3">
        <v>1</v>
      </c>
      <c r="BT12" s="3">
        <v>0</v>
      </c>
      <c r="BU12" s="3">
        <v>0</v>
      </c>
      <c r="BV12" s="3">
        <v>0</v>
      </c>
      <c r="BW12" s="3">
        <v>0</v>
      </c>
      <c r="BX12" s="3">
        <v>1</v>
      </c>
      <c r="BY12" s="3">
        <v>0</v>
      </c>
      <c r="BZ12" s="3">
        <v>0</v>
      </c>
      <c r="CA12" s="3">
        <v>0</v>
      </c>
      <c r="CB12" s="3">
        <v>0</v>
      </c>
      <c r="CC12" s="3">
        <v>1</v>
      </c>
      <c r="CD12" s="3">
        <v>0</v>
      </c>
      <c r="CE12" s="3">
        <v>0</v>
      </c>
      <c r="CF12" s="3">
        <v>0</v>
      </c>
      <c r="CG12" s="3">
        <v>0</v>
      </c>
      <c r="CH12" s="3">
        <v>1</v>
      </c>
      <c r="CI12" s="3">
        <v>0</v>
      </c>
      <c r="CJ12" s="3">
        <v>0</v>
      </c>
      <c r="CK12" s="3">
        <v>0</v>
      </c>
      <c r="CL12" s="3">
        <v>0</v>
      </c>
      <c r="CM12" s="3">
        <v>1</v>
      </c>
      <c r="CN12" s="39">
        <v>0</v>
      </c>
      <c r="CO12" s="39">
        <v>0</v>
      </c>
      <c r="CP12" s="39">
        <v>0</v>
      </c>
      <c r="CQ12" s="39">
        <v>0</v>
      </c>
      <c r="CR12" s="39">
        <v>1</v>
      </c>
      <c r="CS12" s="39">
        <v>0</v>
      </c>
      <c r="CT12" s="39">
        <v>0</v>
      </c>
      <c r="CU12" s="39">
        <v>0</v>
      </c>
      <c r="CV12" s="39">
        <v>0</v>
      </c>
      <c r="CW12" s="39">
        <v>0</v>
      </c>
      <c r="CX12" s="39">
        <v>1</v>
      </c>
      <c r="CY12" s="39">
        <v>0</v>
      </c>
      <c r="CZ12" s="39">
        <v>0</v>
      </c>
      <c r="DA12" s="39">
        <v>0</v>
      </c>
      <c r="DB12" s="39">
        <v>0</v>
      </c>
      <c r="DC12" s="39">
        <v>1</v>
      </c>
      <c r="DD12" s="39">
        <v>0</v>
      </c>
      <c r="DE12" s="39">
        <v>0</v>
      </c>
      <c r="DF12" s="39">
        <v>0</v>
      </c>
      <c r="DG12" s="39">
        <v>0</v>
      </c>
      <c r="DH12" s="39">
        <v>1</v>
      </c>
      <c r="DI12" s="3">
        <v>0</v>
      </c>
      <c r="DJ12" s="3">
        <v>0</v>
      </c>
      <c r="DK12" s="3">
        <v>0</v>
      </c>
      <c r="DL12" s="3">
        <v>0</v>
      </c>
      <c r="DM12" s="3">
        <v>1</v>
      </c>
      <c r="DN12" s="3">
        <v>0</v>
      </c>
      <c r="DO12" s="3">
        <v>0</v>
      </c>
      <c r="DP12" s="3">
        <v>0</v>
      </c>
      <c r="DQ12" s="3">
        <v>0</v>
      </c>
      <c r="DR12" s="3">
        <v>1</v>
      </c>
      <c r="DS12" s="3">
        <v>0</v>
      </c>
      <c r="DT12" s="3">
        <v>0</v>
      </c>
      <c r="DU12" s="3">
        <v>0</v>
      </c>
      <c r="DV12" s="3">
        <v>0</v>
      </c>
      <c r="DW12" s="3">
        <v>1</v>
      </c>
      <c r="DX12" s="3">
        <v>0</v>
      </c>
      <c r="DY12" s="3">
        <v>0</v>
      </c>
      <c r="DZ12" s="3">
        <v>0</v>
      </c>
      <c r="EA12" s="3">
        <v>0</v>
      </c>
      <c r="EB12" s="3">
        <v>1</v>
      </c>
      <c r="EC12" s="39">
        <v>0</v>
      </c>
      <c r="ED12" s="39">
        <v>0</v>
      </c>
      <c r="EE12" s="39">
        <v>0</v>
      </c>
      <c r="EF12" s="39">
        <v>0</v>
      </c>
      <c r="EG12" s="39">
        <v>1</v>
      </c>
      <c r="EH12" s="39">
        <v>0</v>
      </c>
      <c r="EI12" s="39">
        <v>0</v>
      </c>
      <c r="EJ12" s="39">
        <v>1</v>
      </c>
      <c r="EK12" s="39">
        <v>0</v>
      </c>
      <c r="EL12" s="39">
        <v>0</v>
      </c>
      <c r="EM12" s="39">
        <v>1</v>
      </c>
      <c r="EN12" s="39">
        <v>0</v>
      </c>
      <c r="EO12" s="39">
        <v>0</v>
      </c>
      <c r="EP12" s="39">
        <v>0</v>
      </c>
      <c r="EQ12" s="39">
        <v>0</v>
      </c>
      <c r="ER12" s="39">
        <v>0</v>
      </c>
      <c r="ES12" s="39">
        <v>0</v>
      </c>
      <c r="ET12" s="39">
        <v>1</v>
      </c>
      <c r="EU12" s="39">
        <v>0</v>
      </c>
      <c r="EV12" s="39">
        <v>0</v>
      </c>
      <c r="EW12" s="39">
        <v>1</v>
      </c>
      <c r="EX12" s="39">
        <v>0</v>
      </c>
      <c r="EY12" s="39">
        <v>0</v>
      </c>
      <c r="EZ12" s="39">
        <v>1</v>
      </c>
      <c r="FA12" s="39">
        <v>1</v>
      </c>
      <c r="FB12" s="3">
        <v>0</v>
      </c>
      <c r="FC12" s="3">
        <v>0</v>
      </c>
      <c r="FD12" s="3">
        <v>0</v>
      </c>
      <c r="FE12" s="3">
        <v>1</v>
      </c>
      <c r="FF12" s="3">
        <v>0</v>
      </c>
      <c r="FG12" s="3">
        <v>0</v>
      </c>
      <c r="FH12" s="3">
        <v>0</v>
      </c>
      <c r="FI12" s="3">
        <v>1</v>
      </c>
      <c r="FJ12" s="3">
        <v>0</v>
      </c>
      <c r="FK12" s="3">
        <v>0</v>
      </c>
      <c r="FL12" s="3">
        <v>0</v>
      </c>
      <c r="FM12" s="3">
        <v>0</v>
      </c>
      <c r="FN12" s="3">
        <v>0</v>
      </c>
      <c r="FO12" s="3">
        <v>0</v>
      </c>
      <c r="FP12" s="3">
        <v>0</v>
      </c>
    </row>
    <row r="13" spans="1:172" x14ac:dyDescent="0.25">
      <c r="A13" t="s">
        <v>1</v>
      </c>
      <c r="B13" t="s">
        <v>54</v>
      </c>
      <c r="C13" t="s">
        <v>29</v>
      </c>
      <c r="D13" s="2" t="s">
        <v>75</v>
      </c>
      <c r="E13" s="3">
        <v>0</v>
      </c>
      <c r="F13" s="3">
        <v>0</v>
      </c>
      <c r="G13" s="3">
        <v>1</v>
      </c>
      <c r="H13" s="3">
        <v>0</v>
      </c>
      <c r="I13" s="3">
        <v>0</v>
      </c>
      <c r="J13" s="3">
        <v>0</v>
      </c>
      <c r="K13" s="3">
        <v>1</v>
      </c>
      <c r="L13" s="3">
        <v>0</v>
      </c>
      <c r="M13" s="3">
        <v>0</v>
      </c>
      <c r="N13" s="3">
        <v>0</v>
      </c>
      <c r="O13" s="3">
        <v>0</v>
      </c>
      <c r="P13" s="3">
        <v>0</v>
      </c>
      <c r="Q13" s="3">
        <v>0</v>
      </c>
      <c r="R13" s="3">
        <v>0</v>
      </c>
      <c r="S13" s="3">
        <v>0</v>
      </c>
      <c r="T13" s="3">
        <v>1</v>
      </c>
      <c r="U13" s="3">
        <v>0</v>
      </c>
      <c r="V13" s="3">
        <v>0</v>
      </c>
      <c r="W13" s="3">
        <v>1</v>
      </c>
      <c r="X13" s="3">
        <v>0</v>
      </c>
      <c r="Y13" s="3">
        <v>1</v>
      </c>
      <c r="Z13" s="3">
        <v>0</v>
      </c>
      <c r="AA13" s="3">
        <v>0</v>
      </c>
      <c r="AB13" s="3">
        <v>0</v>
      </c>
      <c r="AC13" s="3">
        <v>1</v>
      </c>
      <c r="AD13" s="3">
        <v>0</v>
      </c>
      <c r="AE13" s="3">
        <v>0</v>
      </c>
      <c r="AF13" s="3">
        <v>0</v>
      </c>
      <c r="AG13" s="3">
        <v>0</v>
      </c>
      <c r="AH13" s="3">
        <v>1</v>
      </c>
      <c r="AI13" s="3">
        <v>0</v>
      </c>
      <c r="AJ13" s="3">
        <v>0</v>
      </c>
      <c r="AK13" s="3">
        <v>0</v>
      </c>
      <c r="AL13" s="3">
        <v>0</v>
      </c>
      <c r="AM13" s="3">
        <v>0</v>
      </c>
      <c r="AN13" s="3">
        <v>1</v>
      </c>
      <c r="AO13" s="3">
        <v>0</v>
      </c>
      <c r="AP13" s="3">
        <v>0</v>
      </c>
      <c r="AQ13" s="3">
        <v>0</v>
      </c>
      <c r="AR13" s="3">
        <v>0</v>
      </c>
      <c r="AS13" s="3">
        <v>1</v>
      </c>
      <c r="AT13" s="3">
        <v>0</v>
      </c>
      <c r="AU13" s="3">
        <v>0</v>
      </c>
      <c r="AV13" s="3">
        <v>0</v>
      </c>
      <c r="AW13" s="3">
        <v>0</v>
      </c>
      <c r="AX13" s="3">
        <v>0</v>
      </c>
      <c r="AY13" s="3">
        <v>1</v>
      </c>
      <c r="AZ13" s="3">
        <v>0</v>
      </c>
      <c r="BA13" s="3">
        <v>0</v>
      </c>
      <c r="BB13" s="3">
        <v>0</v>
      </c>
      <c r="BC13" s="3">
        <v>0</v>
      </c>
      <c r="BD13" s="3">
        <v>1</v>
      </c>
      <c r="BE13" s="3">
        <v>0</v>
      </c>
      <c r="BF13" s="3">
        <v>0</v>
      </c>
      <c r="BG13" s="3">
        <v>0</v>
      </c>
      <c r="BH13" s="3">
        <v>0</v>
      </c>
      <c r="BI13" s="3">
        <v>0</v>
      </c>
      <c r="BJ13" s="3">
        <v>0</v>
      </c>
      <c r="BK13" s="3">
        <v>0</v>
      </c>
      <c r="BL13" s="3">
        <v>1</v>
      </c>
      <c r="BM13" s="3">
        <v>0</v>
      </c>
      <c r="BN13" s="3">
        <v>0</v>
      </c>
      <c r="BO13" s="3">
        <v>1</v>
      </c>
      <c r="BP13" s="3">
        <v>0</v>
      </c>
      <c r="BQ13" s="3">
        <v>0</v>
      </c>
      <c r="BR13" s="3">
        <v>0</v>
      </c>
      <c r="BS13" s="3">
        <v>0</v>
      </c>
      <c r="BT13" s="3">
        <v>0</v>
      </c>
      <c r="BU13" s="3">
        <v>0</v>
      </c>
      <c r="BV13" s="3">
        <v>1</v>
      </c>
      <c r="BW13" s="3">
        <v>0</v>
      </c>
      <c r="BX13" s="3">
        <v>0</v>
      </c>
      <c r="BY13" s="3">
        <v>0</v>
      </c>
      <c r="BZ13" s="3">
        <v>0</v>
      </c>
      <c r="CA13" s="3">
        <v>1</v>
      </c>
      <c r="CB13" s="3">
        <v>0</v>
      </c>
      <c r="CC13" s="3">
        <v>0</v>
      </c>
      <c r="CD13" s="3">
        <v>0</v>
      </c>
      <c r="CE13" s="3">
        <v>0</v>
      </c>
      <c r="CF13" s="3">
        <v>1</v>
      </c>
      <c r="CG13" s="3">
        <v>0</v>
      </c>
      <c r="CH13" s="3">
        <v>0</v>
      </c>
      <c r="CI13" s="3">
        <v>0</v>
      </c>
      <c r="CJ13" s="3">
        <v>0</v>
      </c>
      <c r="CK13" s="3">
        <v>1</v>
      </c>
      <c r="CL13" s="3">
        <v>0</v>
      </c>
      <c r="CM13" s="3">
        <v>0</v>
      </c>
      <c r="CN13" s="39">
        <v>0</v>
      </c>
      <c r="CO13" s="39">
        <v>0</v>
      </c>
      <c r="CP13" s="39">
        <v>1</v>
      </c>
      <c r="CQ13" s="39">
        <v>0</v>
      </c>
      <c r="CR13" s="39">
        <v>0</v>
      </c>
      <c r="CS13" s="39">
        <v>0</v>
      </c>
      <c r="CT13" s="39">
        <v>0</v>
      </c>
      <c r="CU13" s="39">
        <v>1</v>
      </c>
      <c r="CV13" s="39">
        <v>0</v>
      </c>
      <c r="CW13" s="39">
        <v>1</v>
      </c>
      <c r="CX13" s="39">
        <v>0</v>
      </c>
      <c r="CY13" s="39">
        <v>0</v>
      </c>
      <c r="CZ13" s="39">
        <v>0</v>
      </c>
      <c r="DA13" s="39">
        <v>1</v>
      </c>
      <c r="DB13" s="39">
        <v>0</v>
      </c>
      <c r="DC13" s="39">
        <v>0</v>
      </c>
      <c r="DD13" s="39">
        <v>0</v>
      </c>
      <c r="DE13" s="39">
        <v>0</v>
      </c>
      <c r="DF13" s="39">
        <v>1</v>
      </c>
      <c r="DG13" s="39">
        <v>0</v>
      </c>
      <c r="DH13" s="39">
        <v>0</v>
      </c>
      <c r="DI13" s="3">
        <v>0</v>
      </c>
      <c r="DJ13" s="3">
        <v>0</v>
      </c>
      <c r="DK13" s="3">
        <v>1</v>
      </c>
      <c r="DL13" s="3">
        <v>0</v>
      </c>
      <c r="DM13" s="3">
        <v>0</v>
      </c>
      <c r="DN13" s="3">
        <v>0</v>
      </c>
      <c r="DO13" s="3">
        <v>0</v>
      </c>
      <c r="DP13" s="3">
        <v>1</v>
      </c>
      <c r="DQ13" s="3">
        <v>0</v>
      </c>
      <c r="DR13" s="3">
        <v>0</v>
      </c>
      <c r="DS13" s="3">
        <v>0</v>
      </c>
      <c r="DT13" s="3">
        <v>0</v>
      </c>
      <c r="DU13" s="3">
        <v>1</v>
      </c>
      <c r="DV13" s="3">
        <v>0</v>
      </c>
      <c r="DW13" s="3">
        <v>0</v>
      </c>
      <c r="DX13" s="3">
        <v>0</v>
      </c>
      <c r="DY13" s="3">
        <v>0</v>
      </c>
      <c r="DZ13" s="3">
        <v>1</v>
      </c>
      <c r="EA13" s="3">
        <v>0</v>
      </c>
      <c r="EB13" s="3">
        <v>0</v>
      </c>
      <c r="EC13" s="39">
        <v>0</v>
      </c>
      <c r="ED13" s="39">
        <v>0</v>
      </c>
      <c r="EE13" s="39">
        <v>1</v>
      </c>
      <c r="EF13" s="39">
        <v>0</v>
      </c>
      <c r="EG13" s="39">
        <v>0</v>
      </c>
      <c r="EH13" s="39">
        <v>0</v>
      </c>
      <c r="EI13" s="39">
        <v>1</v>
      </c>
      <c r="EJ13" s="39">
        <v>0</v>
      </c>
      <c r="EK13" s="39">
        <v>0</v>
      </c>
      <c r="EL13" s="39">
        <v>0</v>
      </c>
      <c r="EM13" s="39">
        <v>1</v>
      </c>
      <c r="EN13" s="39">
        <v>0</v>
      </c>
      <c r="EO13" s="39">
        <v>0</v>
      </c>
      <c r="EP13" s="39">
        <v>0</v>
      </c>
      <c r="EQ13" s="39">
        <v>0</v>
      </c>
      <c r="ER13" s="39">
        <v>0</v>
      </c>
      <c r="ES13" s="39">
        <v>1</v>
      </c>
      <c r="ET13" s="39">
        <v>0</v>
      </c>
      <c r="EU13" s="39">
        <v>0</v>
      </c>
      <c r="EV13" s="39">
        <v>0</v>
      </c>
      <c r="EW13" s="39">
        <v>1</v>
      </c>
      <c r="EX13" s="39">
        <v>0</v>
      </c>
      <c r="EY13" s="39">
        <v>0</v>
      </c>
      <c r="EZ13" s="39">
        <v>1</v>
      </c>
      <c r="FA13" s="39">
        <v>0</v>
      </c>
      <c r="FB13" s="3">
        <v>0</v>
      </c>
      <c r="FC13" s="3">
        <v>0</v>
      </c>
      <c r="FD13" s="3">
        <v>0</v>
      </c>
      <c r="FE13" s="3">
        <v>1</v>
      </c>
      <c r="FF13" s="3">
        <v>0</v>
      </c>
      <c r="FG13" s="3">
        <v>1</v>
      </c>
      <c r="FH13" s="3">
        <v>1</v>
      </c>
      <c r="FI13" s="3">
        <v>1</v>
      </c>
      <c r="FJ13" s="3">
        <v>0</v>
      </c>
      <c r="FK13" s="3">
        <v>1</v>
      </c>
      <c r="FL13" s="3">
        <v>0</v>
      </c>
      <c r="FM13" s="3">
        <v>1</v>
      </c>
      <c r="FN13" s="3">
        <v>1</v>
      </c>
      <c r="FO13" s="3">
        <v>0</v>
      </c>
      <c r="FP13" s="3">
        <v>0</v>
      </c>
    </row>
    <row r="14" spans="1:172" x14ac:dyDescent="0.25">
      <c r="A14" t="s">
        <v>45</v>
      </c>
      <c r="B14" t="s">
        <v>55</v>
      </c>
      <c r="C14" t="s">
        <v>7</v>
      </c>
      <c r="D14" s="2" t="s">
        <v>76</v>
      </c>
      <c r="E14" s="3">
        <v>0</v>
      </c>
      <c r="F14" s="3">
        <v>0</v>
      </c>
      <c r="G14" s="3">
        <v>0</v>
      </c>
      <c r="H14" s="3">
        <v>1</v>
      </c>
      <c r="I14" s="3">
        <v>1</v>
      </c>
      <c r="J14" s="3">
        <v>0</v>
      </c>
      <c r="K14" s="3">
        <v>0</v>
      </c>
      <c r="L14" s="3">
        <v>0</v>
      </c>
      <c r="M14" s="3">
        <v>0</v>
      </c>
      <c r="N14" s="3">
        <v>0</v>
      </c>
      <c r="O14" s="3">
        <v>0</v>
      </c>
      <c r="P14" s="3">
        <v>1</v>
      </c>
      <c r="Q14" s="3">
        <v>0</v>
      </c>
      <c r="R14" s="3">
        <v>0</v>
      </c>
      <c r="S14" s="3">
        <v>0</v>
      </c>
      <c r="T14" s="3">
        <v>0</v>
      </c>
      <c r="U14" s="3">
        <v>1</v>
      </c>
      <c r="V14" s="3">
        <v>0</v>
      </c>
      <c r="W14" s="3">
        <v>0</v>
      </c>
      <c r="X14" s="3">
        <v>0</v>
      </c>
      <c r="Y14" s="3">
        <v>0</v>
      </c>
      <c r="Z14" s="3">
        <v>0</v>
      </c>
      <c r="AA14" s="3">
        <v>1</v>
      </c>
      <c r="AB14" s="3">
        <v>0</v>
      </c>
      <c r="AC14" s="3">
        <v>0</v>
      </c>
      <c r="AD14" s="3">
        <v>0</v>
      </c>
      <c r="AE14" s="3">
        <v>0</v>
      </c>
      <c r="AF14" s="3">
        <v>1</v>
      </c>
      <c r="AG14" s="3">
        <v>0</v>
      </c>
      <c r="AH14" s="3">
        <v>0</v>
      </c>
      <c r="AI14" s="3">
        <v>0</v>
      </c>
      <c r="AJ14" s="3">
        <v>0</v>
      </c>
      <c r="AK14" s="3">
        <v>0</v>
      </c>
      <c r="AL14" s="3">
        <v>1</v>
      </c>
      <c r="AM14" s="3">
        <v>0</v>
      </c>
      <c r="AN14" s="3">
        <v>0</v>
      </c>
      <c r="AO14" s="3">
        <v>0</v>
      </c>
      <c r="AP14" s="3">
        <v>0</v>
      </c>
      <c r="AQ14" s="3">
        <v>1</v>
      </c>
      <c r="AR14" s="3">
        <v>0</v>
      </c>
      <c r="AS14" s="3">
        <v>0</v>
      </c>
      <c r="AT14" s="3">
        <v>0</v>
      </c>
      <c r="AU14" s="3">
        <v>0</v>
      </c>
      <c r="AV14" s="3">
        <v>0</v>
      </c>
      <c r="AW14" s="3">
        <v>1</v>
      </c>
      <c r="AX14" s="3">
        <v>0</v>
      </c>
      <c r="AY14" s="3">
        <v>0</v>
      </c>
      <c r="AZ14" s="3">
        <v>0</v>
      </c>
      <c r="BA14" s="3">
        <v>0</v>
      </c>
      <c r="BB14" s="3">
        <v>1</v>
      </c>
      <c r="BC14" s="3">
        <v>0</v>
      </c>
      <c r="BD14" s="3">
        <v>0</v>
      </c>
      <c r="BE14" s="3">
        <v>0</v>
      </c>
      <c r="BF14" s="3">
        <v>0</v>
      </c>
      <c r="BG14" s="3">
        <v>0</v>
      </c>
      <c r="BH14" s="3">
        <v>1</v>
      </c>
      <c r="BI14" s="3">
        <v>0</v>
      </c>
      <c r="BJ14" s="3">
        <v>0</v>
      </c>
      <c r="BK14" s="3">
        <v>0</v>
      </c>
      <c r="BL14" s="3">
        <v>0</v>
      </c>
      <c r="BM14" s="3">
        <v>1</v>
      </c>
      <c r="BN14" s="3">
        <v>0</v>
      </c>
      <c r="BO14" s="3">
        <v>0</v>
      </c>
      <c r="BP14" s="3">
        <v>0</v>
      </c>
      <c r="BQ14" s="3">
        <v>0</v>
      </c>
      <c r="BR14" s="3">
        <v>0</v>
      </c>
      <c r="BS14" s="3">
        <v>0</v>
      </c>
      <c r="BT14" s="3">
        <v>1</v>
      </c>
      <c r="BU14" s="3">
        <v>0</v>
      </c>
      <c r="BV14" s="3">
        <v>0</v>
      </c>
      <c r="BW14" s="3">
        <v>0</v>
      </c>
      <c r="BX14" s="3">
        <v>0</v>
      </c>
      <c r="BY14" s="3">
        <v>1</v>
      </c>
      <c r="BZ14" s="3">
        <v>0</v>
      </c>
      <c r="CA14" s="3">
        <v>0</v>
      </c>
      <c r="CB14" s="3">
        <v>0</v>
      </c>
      <c r="CC14" s="3">
        <v>0</v>
      </c>
      <c r="CD14" s="3">
        <v>1</v>
      </c>
      <c r="CE14" s="3">
        <v>0</v>
      </c>
      <c r="CF14" s="3">
        <v>0</v>
      </c>
      <c r="CG14" s="3">
        <v>0</v>
      </c>
      <c r="CH14" s="3">
        <v>0</v>
      </c>
      <c r="CI14" s="3">
        <v>1</v>
      </c>
      <c r="CJ14" s="3">
        <v>0</v>
      </c>
      <c r="CK14" s="3">
        <v>0</v>
      </c>
      <c r="CL14" s="3">
        <v>0</v>
      </c>
      <c r="CM14" s="3">
        <v>0</v>
      </c>
      <c r="CN14" s="39">
        <v>1</v>
      </c>
      <c r="CO14" s="39">
        <v>0</v>
      </c>
      <c r="CP14" s="39">
        <v>0</v>
      </c>
      <c r="CQ14" s="39">
        <v>0</v>
      </c>
      <c r="CR14" s="39">
        <v>0</v>
      </c>
      <c r="CS14" s="39">
        <v>1</v>
      </c>
      <c r="CT14" s="39">
        <v>0</v>
      </c>
      <c r="CU14" s="39">
        <v>0</v>
      </c>
      <c r="CV14" s="39">
        <v>0</v>
      </c>
      <c r="CW14" s="39">
        <v>0</v>
      </c>
      <c r="CX14" s="39">
        <v>0</v>
      </c>
      <c r="CY14" s="39">
        <v>1</v>
      </c>
      <c r="CZ14" s="39">
        <v>0</v>
      </c>
      <c r="DA14" s="39">
        <v>0</v>
      </c>
      <c r="DB14" s="39">
        <v>0</v>
      </c>
      <c r="DC14" s="39">
        <v>0</v>
      </c>
      <c r="DD14" s="39">
        <v>1</v>
      </c>
      <c r="DE14" s="39">
        <v>0</v>
      </c>
      <c r="DF14" s="39">
        <v>0</v>
      </c>
      <c r="DG14" s="39">
        <v>0</v>
      </c>
      <c r="DH14" s="39">
        <v>0</v>
      </c>
      <c r="DI14" s="3">
        <v>1</v>
      </c>
      <c r="DJ14" s="3">
        <v>0</v>
      </c>
      <c r="DK14" s="3">
        <v>0</v>
      </c>
      <c r="DL14" s="3">
        <v>0</v>
      </c>
      <c r="DM14" s="3">
        <v>0</v>
      </c>
      <c r="DN14" s="3">
        <v>1</v>
      </c>
      <c r="DO14" s="3">
        <v>0</v>
      </c>
      <c r="DP14" s="3">
        <v>0</v>
      </c>
      <c r="DQ14" s="3">
        <v>0</v>
      </c>
      <c r="DR14" s="3">
        <v>0</v>
      </c>
      <c r="DS14" s="3">
        <v>1</v>
      </c>
      <c r="DT14" s="3">
        <v>0</v>
      </c>
      <c r="DU14" s="3">
        <v>0</v>
      </c>
      <c r="DV14" s="3">
        <v>0</v>
      </c>
      <c r="DW14" s="3">
        <v>0</v>
      </c>
      <c r="DX14" s="3">
        <v>1</v>
      </c>
      <c r="DY14" s="3">
        <v>0</v>
      </c>
      <c r="DZ14" s="3">
        <v>0</v>
      </c>
      <c r="EA14" s="3">
        <v>0</v>
      </c>
      <c r="EB14" s="3">
        <v>0</v>
      </c>
      <c r="EC14" s="39">
        <v>1</v>
      </c>
      <c r="ED14" s="39">
        <v>0</v>
      </c>
      <c r="EE14" s="39">
        <v>0</v>
      </c>
      <c r="EF14" s="39">
        <v>0</v>
      </c>
      <c r="EG14" s="39">
        <v>0</v>
      </c>
      <c r="EH14" s="39">
        <v>0</v>
      </c>
      <c r="EI14" s="39">
        <v>0</v>
      </c>
      <c r="EJ14" s="39">
        <v>1</v>
      </c>
      <c r="EK14" s="39">
        <v>0</v>
      </c>
      <c r="EL14" s="39">
        <v>0</v>
      </c>
      <c r="EM14" s="39">
        <v>0</v>
      </c>
      <c r="EN14" s="39">
        <v>1</v>
      </c>
      <c r="EO14" s="39">
        <v>0</v>
      </c>
      <c r="EP14" s="39">
        <v>0</v>
      </c>
      <c r="EQ14" s="39">
        <v>0</v>
      </c>
      <c r="ER14" s="39">
        <v>0</v>
      </c>
      <c r="ES14" s="39">
        <v>0</v>
      </c>
      <c r="ET14" s="39">
        <v>1</v>
      </c>
      <c r="EU14" s="39">
        <v>0</v>
      </c>
      <c r="EV14" s="39">
        <v>0</v>
      </c>
      <c r="EW14" s="39">
        <v>1</v>
      </c>
      <c r="EX14" s="39">
        <v>0</v>
      </c>
      <c r="EY14" s="39">
        <v>0</v>
      </c>
      <c r="EZ14" s="39">
        <v>1</v>
      </c>
      <c r="FA14" s="39">
        <v>0</v>
      </c>
      <c r="FB14" s="3">
        <v>0</v>
      </c>
      <c r="FC14" s="3">
        <v>0</v>
      </c>
      <c r="FD14" s="3">
        <v>0</v>
      </c>
      <c r="FE14" s="3">
        <v>1</v>
      </c>
      <c r="FF14" s="3">
        <v>0</v>
      </c>
      <c r="FG14" s="3">
        <v>1</v>
      </c>
      <c r="FH14" s="3">
        <v>0</v>
      </c>
      <c r="FI14" s="3">
        <v>0</v>
      </c>
      <c r="FJ14" s="3">
        <v>0</v>
      </c>
      <c r="FK14" s="3">
        <v>1</v>
      </c>
      <c r="FL14" s="3">
        <v>0</v>
      </c>
      <c r="FM14" s="3">
        <v>0</v>
      </c>
      <c r="FN14" s="3">
        <v>0</v>
      </c>
      <c r="FO14" s="3">
        <v>0</v>
      </c>
      <c r="FP14" s="3">
        <v>0</v>
      </c>
    </row>
    <row r="15" spans="1:172" x14ac:dyDescent="0.25">
      <c r="A15" t="s">
        <v>38</v>
      </c>
      <c r="B15" t="s">
        <v>54</v>
      </c>
      <c r="C15" t="s">
        <v>32</v>
      </c>
      <c r="D15" s="2" t="s">
        <v>77</v>
      </c>
      <c r="E15" s="3">
        <v>0</v>
      </c>
      <c r="F15" s="3">
        <v>0</v>
      </c>
      <c r="G15" s="3">
        <v>0</v>
      </c>
      <c r="H15" s="3">
        <v>1</v>
      </c>
      <c r="I15" s="3">
        <v>0</v>
      </c>
      <c r="J15" s="3">
        <v>0</v>
      </c>
      <c r="K15" s="3">
        <v>1</v>
      </c>
      <c r="L15" s="3">
        <v>0</v>
      </c>
      <c r="M15" s="3">
        <v>0</v>
      </c>
      <c r="N15" s="3">
        <v>0</v>
      </c>
      <c r="O15" s="3">
        <v>0</v>
      </c>
      <c r="P15" s="3">
        <v>0</v>
      </c>
      <c r="Q15" s="3">
        <v>0</v>
      </c>
      <c r="R15" s="3">
        <v>0</v>
      </c>
      <c r="S15" s="3">
        <v>0</v>
      </c>
      <c r="T15" s="3">
        <v>1</v>
      </c>
      <c r="U15" s="3">
        <v>0</v>
      </c>
      <c r="V15" s="3">
        <v>0</v>
      </c>
      <c r="W15" s="3">
        <v>1</v>
      </c>
      <c r="X15" s="3">
        <v>0</v>
      </c>
      <c r="Y15" s="3">
        <v>1</v>
      </c>
      <c r="Z15" s="3">
        <v>0</v>
      </c>
      <c r="AA15" s="3">
        <v>0</v>
      </c>
      <c r="AB15" s="3">
        <v>0</v>
      </c>
      <c r="AC15" s="3">
        <v>0</v>
      </c>
      <c r="AD15" s="3">
        <v>0</v>
      </c>
      <c r="AE15" s="3">
        <v>1</v>
      </c>
      <c r="AF15" s="3">
        <v>1</v>
      </c>
      <c r="AG15" s="3">
        <v>0</v>
      </c>
      <c r="AH15" s="3">
        <v>0</v>
      </c>
      <c r="AI15" s="3">
        <v>0</v>
      </c>
      <c r="AJ15" s="3">
        <v>1</v>
      </c>
      <c r="AK15" s="3">
        <v>0</v>
      </c>
      <c r="AL15" s="3">
        <v>0</v>
      </c>
      <c r="AM15" s="3">
        <v>0</v>
      </c>
      <c r="AN15" s="3">
        <v>0</v>
      </c>
      <c r="AO15" s="3">
        <v>0</v>
      </c>
      <c r="AP15" s="3">
        <v>1</v>
      </c>
      <c r="AQ15" s="3">
        <v>0</v>
      </c>
      <c r="AR15" s="3">
        <v>0</v>
      </c>
      <c r="AS15" s="3">
        <v>1</v>
      </c>
      <c r="AT15" s="3">
        <v>0</v>
      </c>
      <c r="AU15" s="3">
        <v>0</v>
      </c>
      <c r="AV15" s="3">
        <v>0</v>
      </c>
      <c r="AW15" s="3">
        <v>0</v>
      </c>
      <c r="AX15" s="3">
        <v>0</v>
      </c>
      <c r="AY15" s="3">
        <v>1</v>
      </c>
      <c r="AZ15" s="3">
        <v>0</v>
      </c>
      <c r="BA15" s="3">
        <v>0</v>
      </c>
      <c r="BB15" s="3">
        <v>0</v>
      </c>
      <c r="BC15" s="3">
        <v>0</v>
      </c>
      <c r="BD15" s="3">
        <v>1</v>
      </c>
      <c r="BE15" s="3">
        <v>0</v>
      </c>
      <c r="BF15" s="3">
        <v>0</v>
      </c>
      <c r="BG15" s="3">
        <v>0</v>
      </c>
      <c r="BH15" s="3">
        <v>0</v>
      </c>
      <c r="BI15" s="3">
        <v>0</v>
      </c>
      <c r="BJ15" s="3">
        <v>1</v>
      </c>
      <c r="BK15" s="3">
        <v>0</v>
      </c>
      <c r="BL15" s="3">
        <v>0</v>
      </c>
      <c r="BM15" s="3">
        <v>0</v>
      </c>
      <c r="BN15" s="3">
        <v>0</v>
      </c>
      <c r="BO15" s="3">
        <v>1</v>
      </c>
      <c r="BP15" s="3">
        <v>0</v>
      </c>
      <c r="BQ15" s="3">
        <v>0</v>
      </c>
      <c r="BR15" s="3">
        <v>0</v>
      </c>
      <c r="BS15" s="3">
        <v>0</v>
      </c>
      <c r="BT15" s="3">
        <v>0</v>
      </c>
      <c r="BU15" s="3">
        <v>0</v>
      </c>
      <c r="BV15" s="3">
        <v>0</v>
      </c>
      <c r="BW15" s="3">
        <v>0</v>
      </c>
      <c r="BX15" s="3">
        <v>1</v>
      </c>
      <c r="BY15" s="3">
        <v>0</v>
      </c>
      <c r="BZ15" s="3">
        <v>0</v>
      </c>
      <c r="CA15" s="3">
        <v>1</v>
      </c>
      <c r="CB15" s="3">
        <v>0</v>
      </c>
      <c r="CC15" s="3">
        <v>0</v>
      </c>
      <c r="CD15" s="3">
        <v>0</v>
      </c>
      <c r="CE15" s="3">
        <v>0</v>
      </c>
      <c r="CF15" s="3">
        <v>0</v>
      </c>
      <c r="CG15" s="3">
        <v>0</v>
      </c>
      <c r="CH15" s="3">
        <v>1</v>
      </c>
      <c r="CI15" s="3">
        <v>0</v>
      </c>
      <c r="CJ15" s="3">
        <v>0</v>
      </c>
      <c r="CK15" s="3">
        <v>1</v>
      </c>
      <c r="CL15" s="3">
        <v>0</v>
      </c>
      <c r="CM15" s="3">
        <v>0</v>
      </c>
      <c r="CN15" s="39">
        <v>0</v>
      </c>
      <c r="CO15" s="39">
        <v>0</v>
      </c>
      <c r="CP15" s="39">
        <v>0</v>
      </c>
      <c r="CQ15" s="39">
        <v>0</v>
      </c>
      <c r="CR15" s="39">
        <v>1</v>
      </c>
      <c r="CS15" s="39">
        <v>0</v>
      </c>
      <c r="CT15" s="39">
        <v>0</v>
      </c>
      <c r="CU15" s="39">
        <v>1</v>
      </c>
      <c r="CV15" s="39">
        <v>0</v>
      </c>
      <c r="CW15" s="39">
        <v>0</v>
      </c>
      <c r="CX15" s="39">
        <v>0</v>
      </c>
      <c r="CY15" s="39">
        <v>0</v>
      </c>
      <c r="CZ15" s="39">
        <v>0</v>
      </c>
      <c r="DA15" s="39">
        <v>1</v>
      </c>
      <c r="DB15" s="39">
        <v>0</v>
      </c>
      <c r="DC15" s="39">
        <v>0</v>
      </c>
      <c r="DD15" s="39">
        <v>0</v>
      </c>
      <c r="DE15" s="39">
        <v>0</v>
      </c>
      <c r="DF15" s="39">
        <v>1</v>
      </c>
      <c r="DG15" s="39">
        <v>0</v>
      </c>
      <c r="DH15" s="39">
        <v>0</v>
      </c>
      <c r="DI15" s="3">
        <v>0</v>
      </c>
      <c r="DJ15" s="3">
        <v>0</v>
      </c>
      <c r="DK15" s="3">
        <v>1</v>
      </c>
      <c r="DL15" s="3">
        <v>0</v>
      </c>
      <c r="DM15" s="3">
        <v>0</v>
      </c>
      <c r="DN15" s="3">
        <v>1</v>
      </c>
      <c r="DO15" s="3">
        <v>0</v>
      </c>
      <c r="DP15" s="3">
        <v>0</v>
      </c>
      <c r="DQ15" s="3">
        <v>0</v>
      </c>
      <c r="DR15" s="3">
        <v>0</v>
      </c>
      <c r="DS15" s="3">
        <v>0</v>
      </c>
      <c r="DT15" s="3">
        <v>0</v>
      </c>
      <c r="DU15" s="3">
        <v>1</v>
      </c>
      <c r="DV15" s="3">
        <v>0</v>
      </c>
      <c r="DW15" s="3">
        <v>0</v>
      </c>
      <c r="DX15" s="3">
        <v>0</v>
      </c>
      <c r="DY15" s="3">
        <v>0</v>
      </c>
      <c r="DZ15" s="3">
        <v>1</v>
      </c>
      <c r="EA15" s="3">
        <v>0</v>
      </c>
      <c r="EB15" s="3">
        <v>0</v>
      </c>
      <c r="EC15" s="39">
        <v>0</v>
      </c>
      <c r="ED15" s="39">
        <v>0</v>
      </c>
      <c r="EE15" s="39">
        <v>0</v>
      </c>
      <c r="EF15" s="39">
        <v>0</v>
      </c>
      <c r="EG15" s="39">
        <v>1</v>
      </c>
      <c r="EH15" s="39">
        <v>0</v>
      </c>
      <c r="EI15" s="39">
        <v>1</v>
      </c>
      <c r="EJ15" s="39">
        <v>0</v>
      </c>
      <c r="EK15" s="39">
        <v>0</v>
      </c>
      <c r="EL15" s="39">
        <v>0</v>
      </c>
      <c r="EM15" s="39">
        <v>1</v>
      </c>
      <c r="EN15" s="39">
        <v>0</v>
      </c>
      <c r="EO15" s="39">
        <v>0</v>
      </c>
      <c r="EP15" s="39">
        <v>0</v>
      </c>
      <c r="EQ15" s="39">
        <v>0</v>
      </c>
      <c r="ER15" s="39">
        <v>0</v>
      </c>
      <c r="ES15" s="39">
        <v>0</v>
      </c>
      <c r="ET15" s="39">
        <v>1</v>
      </c>
      <c r="EU15" s="39">
        <v>0</v>
      </c>
      <c r="EV15" s="39">
        <v>0</v>
      </c>
      <c r="EW15" s="39">
        <v>1</v>
      </c>
      <c r="EX15" s="39">
        <v>0</v>
      </c>
      <c r="EY15" s="39">
        <v>0</v>
      </c>
      <c r="EZ15" s="39">
        <v>1</v>
      </c>
      <c r="FA15" s="39">
        <v>0</v>
      </c>
      <c r="FB15" s="3">
        <v>0</v>
      </c>
      <c r="FC15" s="3">
        <v>1</v>
      </c>
      <c r="FD15" s="3">
        <v>1</v>
      </c>
      <c r="FE15" s="3">
        <v>0</v>
      </c>
      <c r="FF15" s="3">
        <v>1</v>
      </c>
      <c r="FG15" s="3">
        <v>0</v>
      </c>
      <c r="FH15" s="3">
        <v>1</v>
      </c>
      <c r="FI15" s="3">
        <v>1</v>
      </c>
      <c r="FJ15" s="3">
        <v>1</v>
      </c>
      <c r="FK15" s="3">
        <v>0</v>
      </c>
      <c r="FL15" s="3">
        <v>1</v>
      </c>
      <c r="FM15" s="3">
        <v>0</v>
      </c>
      <c r="FN15" s="3">
        <v>0</v>
      </c>
      <c r="FO15" s="3">
        <v>1</v>
      </c>
      <c r="FP15" s="3">
        <v>0</v>
      </c>
    </row>
    <row r="16" spans="1:172" x14ac:dyDescent="0.25">
      <c r="A16" t="s">
        <v>49</v>
      </c>
      <c r="B16" t="s">
        <v>57</v>
      </c>
      <c r="C16" t="s">
        <v>0</v>
      </c>
      <c r="D16" s="2" t="s">
        <v>78</v>
      </c>
      <c r="E16" s="3">
        <v>0</v>
      </c>
      <c r="F16" s="3">
        <v>0</v>
      </c>
      <c r="G16" s="3">
        <v>1</v>
      </c>
      <c r="H16" s="3">
        <v>0</v>
      </c>
      <c r="I16" s="3">
        <v>0</v>
      </c>
      <c r="J16" s="3">
        <v>0</v>
      </c>
      <c r="K16" s="3">
        <v>0</v>
      </c>
      <c r="L16" s="3">
        <v>0</v>
      </c>
      <c r="M16" s="3">
        <v>0</v>
      </c>
      <c r="N16" s="3">
        <v>0</v>
      </c>
      <c r="O16" s="3">
        <v>1</v>
      </c>
      <c r="P16" s="3">
        <v>0</v>
      </c>
      <c r="Q16" s="3">
        <v>0</v>
      </c>
      <c r="R16" s="3">
        <v>0</v>
      </c>
      <c r="S16" s="3">
        <v>0</v>
      </c>
      <c r="T16" s="3">
        <v>1</v>
      </c>
      <c r="U16" s="3">
        <v>0</v>
      </c>
      <c r="V16" s="3">
        <v>0</v>
      </c>
      <c r="W16" s="3">
        <v>0</v>
      </c>
      <c r="X16" s="3">
        <v>0</v>
      </c>
      <c r="Y16" s="3">
        <v>0</v>
      </c>
      <c r="Z16" s="3">
        <v>1</v>
      </c>
      <c r="AA16" s="3">
        <v>0</v>
      </c>
      <c r="AB16" s="3">
        <v>0</v>
      </c>
      <c r="AC16" s="3">
        <v>0</v>
      </c>
      <c r="AD16" s="3">
        <v>0</v>
      </c>
      <c r="AE16" s="3">
        <v>1</v>
      </c>
      <c r="AF16" s="3">
        <v>0</v>
      </c>
      <c r="AG16" s="3">
        <v>0</v>
      </c>
      <c r="AH16" s="3">
        <v>1</v>
      </c>
      <c r="AI16" s="3">
        <v>0</v>
      </c>
      <c r="AJ16" s="3">
        <v>1</v>
      </c>
      <c r="AK16" s="3">
        <v>0</v>
      </c>
      <c r="AL16" s="3">
        <v>0</v>
      </c>
      <c r="AM16" s="3">
        <v>0</v>
      </c>
      <c r="AN16" s="3">
        <v>0</v>
      </c>
      <c r="AO16" s="3">
        <v>0</v>
      </c>
      <c r="AP16" s="3">
        <v>1</v>
      </c>
      <c r="AQ16" s="3">
        <v>0</v>
      </c>
      <c r="AR16" s="3">
        <v>0</v>
      </c>
      <c r="AS16" s="3">
        <v>1</v>
      </c>
      <c r="AT16" s="3">
        <v>0</v>
      </c>
      <c r="AU16" s="3">
        <v>0</v>
      </c>
      <c r="AV16" s="3">
        <v>0</v>
      </c>
      <c r="AW16" s="3">
        <v>0</v>
      </c>
      <c r="AX16" s="3">
        <v>0</v>
      </c>
      <c r="AY16" s="3">
        <v>0</v>
      </c>
      <c r="AZ16" s="3">
        <v>0</v>
      </c>
      <c r="BA16" s="3">
        <v>1</v>
      </c>
      <c r="BB16" s="3">
        <v>0</v>
      </c>
      <c r="BC16" s="3">
        <v>0</v>
      </c>
      <c r="BD16" s="3">
        <v>1</v>
      </c>
      <c r="BE16" s="3">
        <v>0</v>
      </c>
      <c r="BF16" s="3">
        <v>1</v>
      </c>
      <c r="BG16" s="3">
        <v>0</v>
      </c>
      <c r="BH16" s="3">
        <v>0</v>
      </c>
      <c r="BI16" s="3">
        <v>0</v>
      </c>
      <c r="BJ16" s="3">
        <v>0</v>
      </c>
      <c r="BK16" s="3">
        <v>0</v>
      </c>
      <c r="BL16" s="3">
        <v>1</v>
      </c>
      <c r="BM16" s="3">
        <v>0</v>
      </c>
      <c r="BN16" s="3">
        <v>0</v>
      </c>
      <c r="BO16" s="3">
        <v>1</v>
      </c>
      <c r="BP16" s="3">
        <v>0</v>
      </c>
      <c r="BQ16" s="3">
        <v>1</v>
      </c>
      <c r="BR16" s="3">
        <v>0</v>
      </c>
      <c r="BS16" s="3">
        <v>0</v>
      </c>
      <c r="BT16" s="3">
        <v>0</v>
      </c>
      <c r="BU16" s="3">
        <v>0</v>
      </c>
      <c r="BV16" s="3">
        <v>1</v>
      </c>
      <c r="BW16" s="3">
        <v>0</v>
      </c>
      <c r="BX16" s="3">
        <v>0</v>
      </c>
      <c r="BY16" s="3">
        <v>0</v>
      </c>
      <c r="BZ16" s="3">
        <v>0</v>
      </c>
      <c r="CA16" s="3">
        <v>1</v>
      </c>
      <c r="CB16" s="3">
        <v>0</v>
      </c>
      <c r="CC16" s="3">
        <v>0</v>
      </c>
      <c r="CD16" s="3">
        <v>0</v>
      </c>
      <c r="CE16" s="3">
        <v>0</v>
      </c>
      <c r="CF16" s="3">
        <v>0</v>
      </c>
      <c r="CG16" s="3">
        <v>0</v>
      </c>
      <c r="CH16" s="3">
        <v>1</v>
      </c>
      <c r="CI16" s="3">
        <v>0</v>
      </c>
      <c r="CJ16" s="3">
        <v>0</v>
      </c>
      <c r="CK16" s="3">
        <v>1</v>
      </c>
      <c r="CL16" s="3">
        <v>0</v>
      </c>
      <c r="CM16" s="3">
        <v>0</v>
      </c>
      <c r="CN16" s="39">
        <v>0</v>
      </c>
      <c r="CO16" s="39">
        <v>0</v>
      </c>
      <c r="CP16" s="39">
        <v>0</v>
      </c>
      <c r="CQ16" s="39">
        <v>0</v>
      </c>
      <c r="CR16" s="39">
        <v>1</v>
      </c>
      <c r="CS16" s="39">
        <v>0</v>
      </c>
      <c r="CT16" s="39">
        <v>0</v>
      </c>
      <c r="CU16" s="39">
        <v>0</v>
      </c>
      <c r="CV16" s="39">
        <v>0</v>
      </c>
      <c r="CW16" s="39">
        <v>0</v>
      </c>
      <c r="CX16" s="39">
        <v>1</v>
      </c>
      <c r="CY16" s="39">
        <v>0</v>
      </c>
      <c r="CZ16" s="39">
        <v>0</v>
      </c>
      <c r="DA16" s="39">
        <v>0</v>
      </c>
      <c r="DB16" s="39">
        <v>0</v>
      </c>
      <c r="DC16" s="39">
        <v>1</v>
      </c>
      <c r="DD16" s="39">
        <v>0</v>
      </c>
      <c r="DE16" s="39">
        <v>0</v>
      </c>
      <c r="DF16" s="39">
        <v>1</v>
      </c>
      <c r="DG16" s="39">
        <v>0</v>
      </c>
      <c r="DH16" s="39">
        <v>0</v>
      </c>
      <c r="DI16" s="3">
        <v>0</v>
      </c>
      <c r="DJ16" s="3">
        <v>0</v>
      </c>
      <c r="DK16" s="3">
        <v>0</v>
      </c>
      <c r="DL16" s="3">
        <v>0</v>
      </c>
      <c r="DM16" s="3">
        <v>1</v>
      </c>
      <c r="DN16" s="3">
        <v>0</v>
      </c>
      <c r="DO16" s="3">
        <v>0</v>
      </c>
      <c r="DP16" s="3">
        <v>1</v>
      </c>
      <c r="DQ16" s="3">
        <v>0</v>
      </c>
      <c r="DR16" s="3">
        <v>0</v>
      </c>
      <c r="DS16" s="3">
        <v>0</v>
      </c>
      <c r="DT16" s="3">
        <v>0</v>
      </c>
      <c r="DU16" s="3">
        <v>1</v>
      </c>
      <c r="DV16" s="3">
        <v>0</v>
      </c>
      <c r="DW16" s="3">
        <v>0</v>
      </c>
      <c r="DX16" s="3">
        <v>0</v>
      </c>
      <c r="DY16" s="3">
        <v>0</v>
      </c>
      <c r="DZ16" s="3">
        <v>1</v>
      </c>
      <c r="EA16" s="3">
        <v>0</v>
      </c>
      <c r="EB16" s="3">
        <v>0</v>
      </c>
      <c r="EC16" s="39">
        <v>0</v>
      </c>
      <c r="ED16" s="39">
        <v>0</v>
      </c>
      <c r="EE16" s="39">
        <v>1</v>
      </c>
      <c r="EF16" s="39">
        <v>0</v>
      </c>
      <c r="EG16" s="39">
        <v>0</v>
      </c>
      <c r="EH16" s="39">
        <v>1</v>
      </c>
      <c r="EI16" s="39">
        <v>0</v>
      </c>
      <c r="EJ16" s="39">
        <v>0</v>
      </c>
      <c r="EK16" s="39">
        <v>0</v>
      </c>
      <c r="EL16" s="39">
        <v>0</v>
      </c>
      <c r="EM16" s="39">
        <v>1</v>
      </c>
      <c r="EN16" s="39">
        <v>0</v>
      </c>
      <c r="EO16" s="39">
        <v>0</v>
      </c>
      <c r="EP16" s="39">
        <v>0</v>
      </c>
      <c r="EQ16" s="39">
        <v>0</v>
      </c>
      <c r="ER16" s="39">
        <v>0</v>
      </c>
      <c r="ES16" s="39">
        <v>0</v>
      </c>
      <c r="ET16" s="39">
        <v>1</v>
      </c>
      <c r="EU16" s="39">
        <v>0</v>
      </c>
      <c r="EV16" s="39">
        <v>0</v>
      </c>
      <c r="EW16" s="39">
        <v>1</v>
      </c>
      <c r="EX16" s="39">
        <v>0</v>
      </c>
      <c r="EY16" s="39">
        <v>0</v>
      </c>
      <c r="EZ16" s="39">
        <v>1</v>
      </c>
      <c r="FA16" s="39">
        <v>0</v>
      </c>
      <c r="FB16" s="3">
        <v>0</v>
      </c>
      <c r="FC16" s="3">
        <v>0</v>
      </c>
      <c r="FD16" s="3">
        <v>1</v>
      </c>
      <c r="FE16" s="3">
        <v>1</v>
      </c>
      <c r="FF16" s="3">
        <v>1</v>
      </c>
      <c r="FG16" s="3">
        <v>1</v>
      </c>
      <c r="FH16" s="3">
        <v>1</v>
      </c>
      <c r="FI16" s="3">
        <v>1</v>
      </c>
      <c r="FJ16" s="3">
        <v>0</v>
      </c>
      <c r="FK16" s="3">
        <v>1</v>
      </c>
      <c r="FL16" s="3">
        <v>0</v>
      </c>
      <c r="FM16" s="3">
        <v>1</v>
      </c>
      <c r="FN16" s="3">
        <v>1</v>
      </c>
      <c r="FO16" s="3">
        <v>0</v>
      </c>
      <c r="FP16" s="3">
        <v>0</v>
      </c>
    </row>
    <row r="17" spans="1:172" x14ac:dyDescent="0.25">
      <c r="A17" t="s">
        <v>40</v>
      </c>
      <c r="B17" t="s">
        <v>58</v>
      </c>
      <c r="C17" t="s">
        <v>0</v>
      </c>
      <c r="D17" s="2" t="s">
        <v>79</v>
      </c>
      <c r="E17" s="3">
        <v>0</v>
      </c>
      <c r="F17" s="3">
        <v>0</v>
      </c>
      <c r="G17" s="3">
        <v>0</v>
      </c>
      <c r="H17" s="3">
        <v>1</v>
      </c>
      <c r="I17" s="3">
        <v>0</v>
      </c>
      <c r="J17" s="3">
        <v>0</v>
      </c>
      <c r="K17" s="3">
        <v>0</v>
      </c>
      <c r="L17" s="3">
        <v>0</v>
      </c>
      <c r="M17" s="3">
        <v>0</v>
      </c>
      <c r="N17" s="3">
        <v>0</v>
      </c>
      <c r="O17" s="3">
        <v>1</v>
      </c>
      <c r="P17" s="3">
        <v>0</v>
      </c>
      <c r="Q17" s="3">
        <v>0</v>
      </c>
      <c r="R17" s="3">
        <v>0</v>
      </c>
      <c r="S17" s="3">
        <v>0</v>
      </c>
      <c r="T17" s="3">
        <v>1</v>
      </c>
      <c r="U17" s="3">
        <v>0</v>
      </c>
      <c r="V17" s="3">
        <v>0</v>
      </c>
      <c r="W17" s="3">
        <v>0</v>
      </c>
      <c r="X17" s="3">
        <v>0</v>
      </c>
      <c r="Y17" s="3">
        <v>0</v>
      </c>
      <c r="Z17" s="3">
        <v>1</v>
      </c>
      <c r="AA17" s="3">
        <v>0</v>
      </c>
      <c r="AB17" s="3">
        <v>0</v>
      </c>
      <c r="AC17" s="3">
        <v>0</v>
      </c>
      <c r="AD17" s="3">
        <v>0</v>
      </c>
      <c r="AE17" s="3">
        <v>1</v>
      </c>
      <c r="AF17" s="3">
        <v>0</v>
      </c>
      <c r="AG17" s="3">
        <v>0</v>
      </c>
      <c r="AH17" s="3">
        <v>0</v>
      </c>
      <c r="AI17" s="3">
        <v>0</v>
      </c>
      <c r="AJ17" s="3">
        <v>0</v>
      </c>
      <c r="AK17" s="3">
        <v>1</v>
      </c>
      <c r="AL17" s="3">
        <v>0</v>
      </c>
      <c r="AM17" s="3">
        <v>0</v>
      </c>
      <c r="AN17" s="3">
        <v>0</v>
      </c>
      <c r="AO17" s="3">
        <v>0</v>
      </c>
      <c r="AP17" s="3">
        <v>1</v>
      </c>
      <c r="AQ17" s="3">
        <v>0</v>
      </c>
      <c r="AR17" s="3">
        <v>0</v>
      </c>
      <c r="AS17" s="3">
        <v>0</v>
      </c>
      <c r="AT17" s="3">
        <v>0</v>
      </c>
      <c r="AU17" s="3">
        <v>0</v>
      </c>
      <c r="AV17" s="3">
        <v>1</v>
      </c>
      <c r="AW17" s="3">
        <v>0</v>
      </c>
      <c r="AX17" s="3">
        <v>0</v>
      </c>
      <c r="AY17" s="3">
        <v>0</v>
      </c>
      <c r="AZ17" s="3">
        <v>0</v>
      </c>
      <c r="BA17" s="3">
        <v>1</v>
      </c>
      <c r="BB17" s="3">
        <v>0</v>
      </c>
      <c r="BC17" s="3">
        <v>0</v>
      </c>
      <c r="BD17" s="3">
        <v>0</v>
      </c>
      <c r="BE17" s="3">
        <v>0</v>
      </c>
      <c r="BF17" s="3">
        <v>0</v>
      </c>
      <c r="BG17" s="3">
        <v>1</v>
      </c>
      <c r="BH17" s="3">
        <v>0</v>
      </c>
      <c r="BI17" s="3">
        <v>0</v>
      </c>
      <c r="BJ17" s="3">
        <v>0</v>
      </c>
      <c r="BK17" s="3">
        <v>0</v>
      </c>
      <c r="BL17" s="3">
        <v>1</v>
      </c>
      <c r="BM17" s="3">
        <v>0</v>
      </c>
      <c r="BN17" s="3">
        <v>0</v>
      </c>
      <c r="BO17" s="3">
        <v>0</v>
      </c>
      <c r="BP17" s="3">
        <v>0</v>
      </c>
      <c r="BQ17" s="3">
        <v>0</v>
      </c>
      <c r="BR17" s="3">
        <v>0</v>
      </c>
      <c r="BS17" s="3">
        <v>1</v>
      </c>
      <c r="BT17" s="3">
        <v>0</v>
      </c>
      <c r="BU17" s="3">
        <v>0</v>
      </c>
      <c r="BV17" s="3">
        <v>0</v>
      </c>
      <c r="BW17" s="3">
        <v>0</v>
      </c>
      <c r="BX17" s="3">
        <v>1</v>
      </c>
      <c r="BY17" s="3">
        <v>0</v>
      </c>
      <c r="BZ17" s="3">
        <v>0</v>
      </c>
      <c r="CA17" s="3">
        <v>0</v>
      </c>
      <c r="CB17" s="3">
        <v>0</v>
      </c>
      <c r="CC17" s="3">
        <v>1</v>
      </c>
      <c r="CD17" s="3">
        <v>0</v>
      </c>
      <c r="CE17" s="3">
        <v>0</v>
      </c>
      <c r="CF17" s="3">
        <v>0</v>
      </c>
      <c r="CG17" s="3">
        <v>0</v>
      </c>
      <c r="CH17" s="3">
        <v>1</v>
      </c>
      <c r="CI17" s="3">
        <v>0</v>
      </c>
      <c r="CJ17" s="3">
        <v>0</v>
      </c>
      <c r="CK17" s="3">
        <v>0</v>
      </c>
      <c r="CL17" s="3">
        <v>0</v>
      </c>
      <c r="CM17" s="3">
        <v>1</v>
      </c>
      <c r="CN17" s="39">
        <v>0</v>
      </c>
      <c r="CO17" s="39">
        <v>0</v>
      </c>
      <c r="CP17" s="39">
        <v>0</v>
      </c>
      <c r="CQ17" s="39">
        <v>0</v>
      </c>
      <c r="CR17" s="39">
        <v>1</v>
      </c>
      <c r="CS17" s="39">
        <v>0</v>
      </c>
      <c r="CT17" s="39">
        <v>0</v>
      </c>
      <c r="CU17" s="39">
        <v>0</v>
      </c>
      <c r="CV17" s="39">
        <v>0</v>
      </c>
      <c r="CW17" s="39">
        <v>0</v>
      </c>
      <c r="CX17" s="39">
        <v>1</v>
      </c>
      <c r="CY17" s="39">
        <v>0</v>
      </c>
      <c r="CZ17" s="39">
        <v>0</v>
      </c>
      <c r="DA17" s="39">
        <v>0</v>
      </c>
      <c r="DB17" s="39">
        <v>0</v>
      </c>
      <c r="DC17" s="39">
        <v>1</v>
      </c>
      <c r="DD17" s="39">
        <v>0</v>
      </c>
      <c r="DE17" s="39">
        <v>0</v>
      </c>
      <c r="DF17" s="39">
        <v>0</v>
      </c>
      <c r="DG17" s="39">
        <v>0</v>
      </c>
      <c r="DH17" s="39">
        <v>1</v>
      </c>
      <c r="DI17" s="3">
        <v>0</v>
      </c>
      <c r="DJ17" s="3">
        <v>0</v>
      </c>
      <c r="DK17" s="3">
        <v>0</v>
      </c>
      <c r="DL17" s="3">
        <v>0</v>
      </c>
      <c r="DM17" s="3">
        <v>1</v>
      </c>
      <c r="DN17" s="3">
        <v>0</v>
      </c>
      <c r="DO17" s="3">
        <v>0</v>
      </c>
      <c r="DP17" s="3">
        <v>1</v>
      </c>
      <c r="DQ17" s="3">
        <v>0</v>
      </c>
      <c r="DR17" s="3">
        <v>0</v>
      </c>
      <c r="DS17" s="3">
        <v>0</v>
      </c>
      <c r="DT17" s="3">
        <v>0</v>
      </c>
      <c r="DU17" s="3">
        <v>0</v>
      </c>
      <c r="DV17" s="3">
        <v>0</v>
      </c>
      <c r="DW17" s="3">
        <v>1</v>
      </c>
      <c r="DX17" s="3">
        <v>0</v>
      </c>
      <c r="DY17" s="3">
        <v>0</v>
      </c>
      <c r="DZ17" s="3">
        <v>0</v>
      </c>
      <c r="EA17" s="3">
        <v>0</v>
      </c>
      <c r="EB17" s="3">
        <v>1</v>
      </c>
      <c r="EC17" s="39">
        <v>0</v>
      </c>
      <c r="ED17" s="39">
        <v>0</v>
      </c>
      <c r="EE17" s="39">
        <v>0</v>
      </c>
      <c r="EF17" s="39">
        <v>0</v>
      </c>
      <c r="EG17" s="39">
        <v>1</v>
      </c>
      <c r="EH17" s="39">
        <v>0</v>
      </c>
      <c r="EI17" s="39">
        <v>0</v>
      </c>
      <c r="EJ17" s="39">
        <v>1</v>
      </c>
      <c r="EK17" s="39">
        <v>0</v>
      </c>
      <c r="EL17" s="39">
        <v>0</v>
      </c>
      <c r="EM17" s="39">
        <v>1</v>
      </c>
      <c r="EN17" s="39">
        <v>0</v>
      </c>
      <c r="EO17" s="39">
        <v>0</v>
      </c>
      <c r="EP17" s="39">
        <v>0</v>
      </c>
      <c r="EQ17" s="39">
        <v>0</v>
      </c>
      <c r="ER17" s="39">
        <v>0</v>
      </c>
      <c r="ES17" s="39">
        <v>0</v>
      </c>
      <c r="ET17" s="39">
        <v>1</v>
      </c>
      <c r="EU17" s="39">
        <v>0</v>
      </c>
      <c r="EV17" s="39">
        <v>0</v>
      </c>
      <c r="EW17" s="39">
        <v>1</v>
      </c>
      <c r="EX17" s="39">
        <v>0</v>
      </c>
      <c r="EY17" s="39">
        <v>0</v>
      </c>
      <c r="EZ17" s="39">
        <v>1</v>
      </c>
      <c r="FA17" s="39">
        <v>1</v>
      </c>
      <c r="FB17" s="3">
        <v>0</v>
      </c>
      <c r="FC17" s="3">
        <v>0</v>
      </c>
      <c r="FD17" s="3">
        <v>0</v>
      </c>
      <c r="FE17" s="3">
        <v>1</v>
      </c>
      <c r="FF17" s="3">
        <v>1</v>
      </c>
      <c r="FG17" s="3">
        <v>0</v>
      </c>
      <c r="FH17" s="3">
        <v>1</v>
      </c>
      <c r="FI17" s="3">
        <v>1</v>
      </c>
      <c r="FJ17" s="3">
        <v>0</v>
      </c>
      <c r="FK17" s="3">
        <v>0</v>
      </c>
      <c r="FL17" s="3">
        <v>0</v>
      </c>
      <c r="FM17" s="3">
        <v>0</v>
      </c>
      <c r="FN17" s="3">
        <v>0</v>
      </c>
      <c r="FO17" s="3">
        <v>0</v>
      </c>
      <c r="FP17" s="3">
        <v>0</v>
      </c>
    </row>
    <row r="18" spans="1:172" x14ac:dyDescent="0.25">
      <c r="A18" t="s">
        <v>10</v>
      </c>
      <c r="B18" t="s">
        <v>55</v>
      </c>
      <c r="C18" t="s">
        <v>7</v>
      </c>
      <c r="D18" s="2" t="s">
        <v>80</v>
      </c>
      <c r="E18" s="3">
        <v>0</v>
      </c>
      <c r="F18" s="3">
        <v>0</v>
      </c>
      <c r="G18" s="3">
        <v>0</v>
      </c>
      <c r="H18" s="3">
        <v>1</v>
      </c>
      <c r="I18" s="3">
        <v>0</v>
      </c>
      <c r="J18" s="3">
        <v>0</v>
      </c>
      <c r="K18" s="3">
        <v>1</v>
      </c>
      <c r="L18" s="3">
        <v>0</v>
      </c>
      <c r="M18" s="3">
        <v>0</v>
      </c>
      <c r="N18" s="3">
        <v>0</v>
      </c>
      <c r="O18" s="3">
        <v>0</v>
      </c>
      <c r="P18" s="3">
        <v>0</v>
      </c>
      <c r="Q18" s="3">
        <v>0</v>
      </c>
      <c r="R18" s="3">
        <v>0</v>
      </c>
      <c r="S18" s="3">
        <v>0</v>
      </c>
      <c r="T18" s="3">
        <v>1</v>
      </c>
      <c r="U18" s="3">
        <v>0</v>
      </c>
      <c r="V18" s="3">
        <v>0</v>
      </c>
      <c r="W18" s="3">
        <v>1</v>
      </c>
      <c r="X18" s="3">
        <v>0</v>
      </c>
      <c r="Y18" s="3">
        <v>0</v>
      </c>
      <c r="Z18" s="3">
        <v>0</v>
      </c>
      <c r="AA18" s="3">
        <v>0</v>
      </c>
      <c r="AB18" s="3">
        <v>0</v>
      </c>
      <c r="AC18" s="3">
        <v>0</v>
      </c>
      <c r="AD18" s="3">
        <v>0</v>
      </c>
      <c r="AE18" s="3">
        <v>1</v>
      </c>
      <c r="AF18" s="3">
        <v>0</v>
      </c>
      <c r="AG18" s="3">
        <v>0</v>
      </c>
      <c r="AH18" s="3">
        <v>1</v>
      </c>
      <c r="AI18" s="3">
        <v>0</v>
      </c>
      <c r="AJ18" s="3">
        <v>0</v>
      </c>
      <c r="AK18" s="3">
        <v>0</v>
      </c>
      <c r="AL18" s="3">
        <v>0</v>
      </c>
      <c r="AM18" s="3">
        <v>0</v>
      </c>
      <c r="AN18" s="3">
        <v>1</v>
      </c>
      <c r="AO18" s="3">
        <v>0</v>
      </c>
      <c r="AP18" s="3">
        <v>0</v>
      </c>
      <c r="AQ18" s="3">
        <v>0</v>
      </c>
      <c r="AR18" s="3">
        <v>0</v>
      </c>
      <c r="AS18" s="3">
        <v>1</v>
      </c>
      <c r="AT18" s="3">
        <v>0</v>
      </c>
      <c r="AU18" s="3">
        <v>0</v>
      </c>
      <c r="AV18" s="3">
        <v>0</v>
      </c>
      <c r="AW18" s="3">
        <v>0</v>
      </c>
      <c r="AX18" s="3">
        <v>0</v>
      </c>
      <c r="AY18" s="3">
        <v>1</v>
      </c>
      <c r="AZ18" s="3">
        <v>0</v>
      </c>
      <c r="BA18" s="3">
        <v>0</v>
      </c>
      <c r="BB18" s="3">
        <v>0</v>
      </c>
      <c r="BC18" s="3">
        <v>0</v>
      </c>
      <c r="BD18" s="3">
        <v>1</v>
      </c>
      <c r="BE18" s="3">
        <v>0</v>
      </c>
      <c r="BF18" s="3">
        <v>0</v>
      </c>
      <c r="BG18" s="3">
        <v>0</v>
      </c>
      <c r="BH18" s="3">
        <v>0</v>
      </c>
      <c r="BI18" s="3">
        <v>0</v>
      </c>
      <c r="BJ18" s="3">
        <v>1</v>
      </c>
      <c r="BK18" s="3">
        <v>0</v>
      </c>
      <c r="BL18" s="3">
        <v>0</v>
      </c>
      <c r="BM18" s="3">
        <v>0</v>
      </c>
      <c r="BN18" s="3">
        <v>0</v>
      </c>
      <c r="BO18" s="3">
        <v>1</v>
      </c>
      <c r="BP18" s="3">
        <v>0</v>
      </c>
      <c r="BQ18" s="3">
        <v>0</v>
      </c>
      <c r="BR18" s="3">
        <v>0</v>
      </c>
      <c r="BS18" s="3">
        <v>0</v>
      </c>
      <c r="BT18" s="3">
        <v>0</v>
      </c>
      <c r="BU18" s="3">
        <v>0</v>
      </c>
      <c r="BV18" s="3">
        <v>0</v>
      </c>
      <c r="BW18" s="3">
        <v>0</v>
      </c>
      <c r="BX18" s="3">
        <v>1</v>
      </c>
      <c r="BY18" s="3">
        <v>0</v>
      </c>
      <c r="BZ18" s="3">
        <v>0</v>
      </c>
      <c r="CA18" s="3">
        <v>1</v>
      </c>
      <c r="CB18" s="3">
        <v>0</v>
      </c>
      <c r="CC18" s="3">
        <v>0</v>
      </c>
      <c r="CD18" s="3">
        <v>0</v>
      </c>
      <c r="CE18" s="3">
        <v>0</v>
      </c>
      <c r="CF18" s="3">
        <v>0</v>
      </c>
      <c r="CG18" s="3">
        <v>0</v>
      </c>
      <c r="CH18" s="3">
        <v>1</v>
      </c>
      <c r="CI18" s="3">
        <v>0</v>
      </c>
      <c r="CJ18" s="3">
        <v>0</v>
      </c>
      <c r="CK18" s="3">
        <v>1</v>
      </c>
      <c r="CL18" s="3">
        <v>0</v>
      </c>
      <c r="CM18" s="3">
        <v>0</v>
      </c>
      <c r="CN18" s="39">
        <v>0</v>
      </c>
      <c r="CO18" s="39">
        <v>0</v>
      </c>
      <c r="CP18" s="39">
        <v>1</v>
      </c>
      <c r="CQ18" s="39">
        <v>0</v>
      </c>
      <c r="CR18" s="39">
        <v>0</v>
      </c>
      <c r="CS18" s="39">
        <v>0</v>
      </c>
      <c r="CT18" s="39">
        <v>0</v>
      </c>
      <c r="CU18" s="39">
        <v>1</v>
      </c>
      <c r="CV18" s="39">
        <v>0</v>
      </c>
      <c r="CW18" s="39">
        <v>1</v>
      </c>
      <c r="CX18" s="39">
        <v>0</v>
      </c>
      <c r="CY18" s="39">
        <v>0</v>
      </c>
      <c r="CZ18" s="39">
        <v>0</v>
      </c>
      <c r="DA18" s="39">
        <v>0</v>
      </c>
      <c r="DB18" s="39">
        <v>0</v>
      </c>
      <c r="DC18" s="39">
        <v>1</v>
      </c>
      <c r="DD18" s="39">
        <v>0</v>
      </c>
      <c r="DE18" s="39">
        <v>0</v>
      </c>
      <c r="DF18" s="39">
        <v>1</v>
      </c>
      <c r="DG18" s="39">
        <v>0</v>
      </c>
      <c r="DH18" s="39">
        <v>0</v>
      </c>
      <c r="DI18" s="3">
        <v>0</v>
      </c>
      <c r="DJ18" s="3">
        <v>0</v>
      </c>
      <c r="DK18" s="3">
        <v>0</v>
      </c>
      <c r="DL18" s="3">
        <v>0</v>
      </c>
      <c r="DM18" s="3">
        <v>1</v>
      </c>
      <c r="DN18" s="3">
        <v>0</v>
      </c>
      <c r="DO18" s="3">
        <v>0</v>
      </c>
      <c r="DP18" s="3">
        <v>1</v>
      </c>
      <c r="DQ18" s="3">
        <v>0</v>
      </c>
      <c r="DR18" s="3">
        <v>0</v>
      </c>
      <c r="DS18" s="3">
        <v>0</v>
      </c>
      <c r="DT18" s="3">
        <v>0</v>
      </c>
      <c r="DU18" s="3">
        <v>1</v>
      </c>
      <c r="DV18" s="3">
        <v>0</v>
      </c>
      <c r="DW18" s="3">
        <v>0</v>
      </c>
      <c r="DX18" s="3">
        <v>1</v>
      </c>
      <c r="DY18" s="3">
        <v>0</v>
      </c>
      <c r="DZ18" s="3">
        <v>0</v>
      </c>
      <c r="EA18" s="3">
        <v>1</v>
      </c>
      <c r="EB18" s="3">
        <v>0</v>
      </c>
      <c r="EC18" s="39">
        <v>0</v>
      </c>
      <c r="ED18" s="39">
        <v>0</v>
      </c>
      <c r="EE18" s="39">
        <v>0</v>
      </c>
      <c r="EF18" s="39">
        <v>0</v>
      </c>
      <c r="EG18" s="39">
        <v>1</v>
      </c>
      <c r="EH18" s="39">
        <v>0</v>
      </c>
      <c r="EI18" s="39">
        <v>1</v>
      </c>
      <c r="EJ18" s="39">
        <v>0</v>
      </c>
      <c r="EK18" s="39">
        <v>0</v>
      </c>
      <c r="EL18" s="39">
        <v>0</v>
      </c>
      <c r="EM18" s="39">
        <v>1</v>
      </c>
      <c r="EN18" s="39">
        <v>0</v>
      </c>
      <c r="EO18" s="39">
        <v>0</v>
      </c>
      <c r="EP18" s="39">
        <v>0</v>
      </c>
      <c r="EQ18" s="39">
        <v>0</v>
      </c>
      <c r="ER18" s="39">
        <v>0</v>
      </c>
      <c r="ES18" s="39">
        <v>0</v>
      </c>
      <c r="ET18" s="39">
        <v>1</v>
      </c>
      <c r="EU18" s="39">
        <v>0</v>
      </c>
      <c r="EV18" s="39">
        <v>0</v>
      </c>
      <c r="EW18" s="39">
        <v>1</v>
      </c>
      <c r="EX18" s="39">
        <v>0</v>
      </c>
      <c r="EY18" s="39">
        <v>0</v>
      </c>
      <c r="EZ18" s="39">
        <v>1</v>
      </c>
      <c r="FA18" s="39">
        <v>0</v>
      </c>
      <c r="FB18" s="3">
        <v>0</v>
      </c>
      <c r="FC18" s="3">
        <v>0</v>
      </c>
      <c r="FD18" s="3">
        <v>0</v>
      </c>
      <c r="FE18" s="3">
        <v>1</v>
      </c>
      <c r="FF18" s="3">
        <v>0</v>
      </c>
      <c r="FG18" s="3">
        <v>0</v>
      </c>
      <c r="FH18" s="3">
        <v>1</v>
      </c>
      <c r="FI18" s="3">
        <v>1</v>
      </c>
      <c r="FJ18" s="3">
        <v>0</v>
      </c>
      <c r="FK18" s="3">
        <v>1</v>
      </c>
      <c r="FL18" s="3">
        <v>1</v>
      </c>
      <c r="FM18" s="3">
        <v>1</v>
      </c>
      <c r="FN18" s="3">
        <v>1</v>
      </c>
      <c r="FO18" s="3">
        <v>0</v>
      </c>
      <c r="FP18" s="3">
        <v>1</v>
      </c>
    </row>
    <row r="19" spans="1:172" x14ac:dyDescent="0.25">
      <c r="A19" t="s">
        <v>8</v>
      </c>
      <c r="B19" t="s">
        <v>55</v>
      </c>
      <c r="C19" t="s">
        <v>7</v>
      </c>
      <c r="D19" s="2" t="s">
        <v>81</v>
      </c>
      <c r="E19" s="3">
        <v>0</v>
      </c>
      <c r="F19" s="3">
        <v>0</v>
      </c>
      <c r="G19" s="3">
        <v>1</v>
      </c>
      <c r="H19" s="3">
        <v>0</v>
      </c>
      <c r="I19" s="3">
        <v>0</v>
      </c>
      <c r="J19" s="3">
        <v>0</v>
      </c>
      <c r="K19" s="3">
        <v>1</v>
      </c>
      <c r="L19" s="3">
        <v>0</v>
      </c>
      <c r="M19" s="3">
        <v>0</v>
      </c>
      <c r="N19" s="3">
        <v>0</v>
      </c>
      <c r="O19" s="3">
        <v>0</v>
      </c>
      <c r="P19" s="3">
        <v>1</v>
      </c>
      <c r="Q19" s="3">
        <v>0</v>
      </c>
      <c r="R19" s="3">
        <v>0</v>
      </c>
      <c r="S19" s="3">
        <v>0</v>
      </c>
      <c r="T19" s="3">
        <v>0</v>
      </c>
      <c r="U19" s="3">
        <v>1</v>
      </c>
      <c r="V19" s="3">
        <v>0</v>
      </c>
      <c r="W19" s="3">
        <v>0</v>
      </c>
      <c r="X19" s="3">
        <v>0</v>
      </c>
      <c r="Y19" s="3">
        <v>0</v>
      </c>
      <c r="Z19" s="3">
        <v>0</v>
      </c>
      <c r="AA19" s="3">
        <v>1</v>
      </c>
      <c r="AB19" s="3">
        <v>0</v>
      </c>
      <c r="AC19" s="3">
        <v>0</v>
      </c>
      <c r="AD19" s="3">
        <v>0</v>
      </c>
      <c r="AE19" s="3">
        <v>0</v>
      </c>
      <c r="AF19" s="3">
        <v>0</v>
      </c>
      <c r="AG19" s="3">
        <v>0</v>
      </c>
      <c r="AH19" s="3">
        <v>1</v>
      </c>
      <c r="AI19" s="3">
        <v>0</v>
      </c>
      <c r="AJ19" s="3">
        <v>0</v>
      </c>
      <c r="AK19" s="3">
        <v>0</v>
      </c>
      <c r="AL19" s="3">
        <v>1</v>
      </c>
      <c r="AM19" s="3">
        <v>0</v>
      </c>
      <c r="AN19" s="3">
        <v>0</v>
      </c>
      <c r="AO19" s="3">
        <v>0</v>
      </c>
      <c r="AP19" s="3">
        <v>0</v>
      </c>
      <c r="AQ19" s="3">
        <v>0</v>
      </c>
      <c r="AR19" s="3">
        <v>0</v>
      </c>
      <c r="AS19" s="3">
        <v>1</v>
      </c>
      <c r="AT19" s="3">
        <v>0</v>
      </c>
      <c r="AU19" s="3">
        <v>0</v>
      </c>
      <c r="AV19" s="3">
        <v>0</v>
      </c>
      <c r="AW19" s="3">
        <v>1</v>
      </c>
      <c r="AX19" s="3">
        <v>0</v>
      </c>
      <c r="AY19" s="3">
        <v>0</v>
      </c>
      <c r="AZ19" s="3">
        <v>0</v>
      </c>
      <c r="BA19" s="3">
        <v>0</v>
      </c>
      <c r="BB19" s="3">
        <v>0</v>
      </c>
      <c r="BC19" s="3">
        <v>0</v>
      </c>
      <c r="BD19" s="3">
        <v>1</v>
      </c>
      <c r="BE19" s="3">
        <v>0</v>
      </c>
      <c r="BF19" s="3">
        <v>0</v>
      </c>
      <c r="BG19" s="3">
        <v>0</v>
      </c>
      <c r="BH19" s="3">
        <v>1</v>
      </c>
      <c r="BI19" s="3">
        <v>0</v>
      </c>
      <c r="BJ19" s="3">
        <v>0</v>
      </c>
      <c r="BK19" s="3">
        <v>0</v>
      </c>
      <c r="BL19" s="3">
        <v>0</v>
      </c>
      <c r="BM19" s="3">
        <v>1</v>
      </c>
      <c r="BN19" s="3">
        <v>0</v>
      </c>
      <c r="BO19" s="3">
        <v>0</v>
      </c>
      <c r="BP19" s="3">
        <v>1</v>
      </c>
      <c r="BQ19" s="3">
        <v>0</v>
      </c>
      <c r="BR19" s="3">
        <v>0</v>
      </c>
      <c r="BS19" s="3">
        <v>0</v>
      </c>
      <c r="BT19" s="3">
        <v>1</v>
      </c>
      <c r="BU19" s="3">
        <v>0</v>
      </c>
      <c r="BV19" s="3">
        <v>0</v>
      </c>
      <c r="BW19" s="3">
        <v>0</v>
      </c>
      <c r="BX19" s="3">
        <v>0</v>
      </c>
      <c r="BY19" s="3">
        <v>1</v>
      </c>
      <c r="BZ19" s="3">
        <v>0</v>
      </c>
      <c r="CA19" s="3">
        <v>0</v>
      </c>
      <c r="CB19" s="3">
        <v>0</v>
      </c>
      <c r="CC19" s="3">
        <v>0</v>
      </c>
      <c r="CD19" s="3">
        <v>1</v>
      </c>
      <c r="CE19" s="3">
        <v>0</v>
      </c>
      <c r="CF19" s="3">
        <v>0</v>
      </c>
      <c r="CG19" s="3">
        <v>0</v>
      </c>
      <c r="CH19" s="3">
        <v>0</v>
      </c>
      <c r="CI19" s="3">
        <v>1</v>
      </c>
      <c r="CJ19" s="3">
        <v>0</v>
      </c>
      <c r="CK19" s="3">
        <v>0</v>
      </c>
      <c r="CL19" s="3">
        <v>0</v>
      </c>
      <c r="CM19" s="3">
        <v>0</v>
      </c>
      <c r="CN19" s="39">
        <v>1</v>
      </c>
      <c r="CO19" s="39">
        <v>0</v>
      </c>
      <c r="CP19" s="39">
        <v>0</v>
      </c>
      <c r="CQ19" s="39">
        <v>0</v>
      </c>
      <c r="CR19" s="39">
        <v>0</v>
      </c>
      <c r="CS19" s="39">
        <v>0</v>
      </c>
      <c r="CT19" s="39">
        <v>0</v>
      </c>
      <c r="CU19" s="39">
        <v>1</v>
      </c>
      <c r="CV19" s="39">
        <v>0</v>
      </c>
      <c r="CW19" s="39">
        <v>0</v>
      </c>
      <c r="CX19" s="39">
        <v>0</v>
      </c>
      <c r="CY19" s="39">
        <v>1</v>
      </c>
      <c r="CZ19" s="39">
        <v>0</v>
      </c>
      <c r="DA19" s="39">
        <v>0</v>
      </c>
      <c r="DB19" s="39">
        <v>0</v>
      </c>
      <c r="DC19" s="39">
        <v>0</v>
      </c>
      <c r="DD19" s="39">
        <v>0</v>
      </c>
      <c r="DE19" s="39">
        <v>0</v>
      </c>
      <c r="DF19" s="39">
        <v>1</v>
      </c>
      <c r="DG19" s="39">
        <v>0</v>
      </c>
      <c r="DH19" s="39">
        <v>0</v>
      </c>
      <c r="DI19" s="3">
        <v>1</v>
      </c>
      <c r="DJ19" s="3">
        <v>0</v>
      </c>
      <c r="DK19" s="3">
        <v>0</v>
      </c>
      <c r="DL19" s="3">
        <v>0</v>
      </c>
      <c r="DM19" s="3">
        <v>0</v>
      </c>
      <c r="DN19" s="3">
        <v>0</v>
      </c>
      <c r="DO19" s="3">
        <v>0</v>
      </c>
      <c r="DP19" s="3">
        <v>1</v>
      </c>
      <c r="DQ19" s="3">
        <v>1</v>
      </c>
      <c r="DR19" s="3">
        <v>0</v>
      </c>
      <c r="DS19" s="3">
        <v>1</v>
      </c>
      <c r="DT19" s="3">
        <v>0</v>
      </c>
      <c r="DU19" s="3">
        <v>0</v>
      </c>
      <c r="DV19" s="3">
        <v>0</v>
      </c>
      <c r="DW19" s="3">
        <v>0</v>
      </c>
      <c r="DX19" s="3">
        <v>1</v>
      </c>
      <c r="DY19" s="3">
        <v>0</v>
      </c>
      <c r="DZ19" s="3">
        <v>0</v>
      </c>
      <c r="EA19" s="3">
        <v>0</v>
      </c>
      <c r="EB19" s="3">
        <v>0</v>
      </c>
      <c r="EC19" s="39">
        <v>1</v>
      </c>
      <c r="ED19" s="39">
        <v>0</v>
      </c>
      <c r="EE19" s="39">
        <v>0</v>
      </c>
      <c r="EF19" s="39">
        <v>0</v>
      </c>
      <c r="EG19" s="39">
        <v>0</v>
      </c>
      <c r="EH19" s="39">
        <v>0</v>
      </c>
      <c r="EI19" s="39">
        <v>1</v>
      </c>
      <c r="EJ19" s="39">
        <v>0</v>
      </c>
      <c r="EK19" s="39">
        <v>0</v>
      </c>
      <c r="EL19" s="39">
        <v>1</v>
      </c>
      <c r="EM19" s="39">
        <v>0</v>
      </c>
      <c r="EN19" s="39">
        <v>0</v>
      </c>
      <c r="EO19" s="39">
        <v>0</v>
      </c>
      <c r="EP19" s="39">
        <v>0</v>
      </c>
      <c r="EQ19" s="39">
        <v>0</v>
      </c>
      <c r="ER19" s="39">
        <v>0</v>
      </c>
      <c r="ES19" s="39">
        <v>0</v>
      </c>
      <c r="ET19" s="39">
        <v>1</v>
      </c>
      <c r="EU19" s="39">
        <v>0</v>
      </c>
      <c r="EV19" s="39">
        <v>0</v>
      </c>
      <c r="EW19" s="39">
        <v>1</v>
      </c>
      <c r="EX19" s="39">
        <v>0</v>
      </c>
      <c r="EY19" s="39">
        <v>0</v>
      </c>
      <c r="EZ19" s="39">
        <v>1</v>
      </c>
      <c r="FA19" s="39">
        <v>0</v>
      </c>
      <c r="FB19" s="3">
        <v>0</v>
      </c>
      <c r="FC19" s="3">
        <v>1</v>
      </c>
      <c r="FD19" s="3">
        <v>1</v>
      </c>
      <c r="FE19" s="3">
        <v>1</v>
      </c>
      <c r="FF19" s="3">
        <v>0</v>
      </c>
      <c r="FG19" s="3">
        <v>0</v>
      </c>
      <c r="FH19" s="3">
        <v>1</v>
      </c>
      <c r="FI19" s="3">
        <v>1</v>
      </c>
      <c r="FJ19" s="3">
        <v>0</v>
      </c>
      <c r="FK19" s="3">
        <v>1</v>
      </c>
      <c r="FL19" s="3">
        <v>1</v>
      </c>
      <c r="FM19" s="3">
        <v>1</v>
      </c>
      <c r="FN19" s="3">
        <v>1</v>
      </c>
      <c r="FO19" s="3">
        <v>0</v>
      </c>
      <c r="FP19" s="3">
        <v>0</v>
      </c>
    </row>
    <row r="20" spans="1:172" x14ac:dyDescent="0.25">
      <c r="A20" t="s">
        <v>22</v>
      </c>
      <c r="B20" t="s">
        <v>57</v>
      </c>
      <c r="C20" t="s">
        <v>14</v>
      </c>
      <c r="D20" s="2" t="s">
        <v>82</v>
      </c>
      <c r="E20" s="3">
        <v>0</v>
      </c>
      <c r="F20" s="3">
        <v>0</v>
      </c>
      <c r="G20" s="3">
        <v>0</v>
      </c>
      <c r="H20" s="3">
        <v>1</v>
      </c>
      <c r="I20" s="3">
        <v>0</v>
      </c>
      <c r="J20" s="3">
        <v>0</v>
      </c>
      <c r="K20" s="3">
        <v>1</v>
      </c>
      <c r="L20" s="3">
        <v>0</v>
      </c>
      <c r="M20" s="3">
        <v>0</v>
      </c>
      <c r="N20" s="3">
        <v>0</v>
      </c>
      <c r="O20" s="3">
        <v>0</v>
      </c>
      <c r="P20" s="3">
        <v>1</v>
      </c>
      <c r="Q20" s="3">
        <v>0</v>
      </c>
      <c r="R20" s="3">
        <v>0</v>
      </c>
      <c r="S20" s="3">
        <v>0</v>
      </c>
      <c r="T20" s="3">
        <v>0</v>
      </c>
      <c r="U20" s="3">
        <v>0</v>
      </c>
      <c r="V20" s="3">
        <v>0</v>
      </c>
      <c r="W20" s="3">
        <v>0</v>
      </c>
      <c r="X20" s="3">
        <v>0</v>
      </c>
      <c r="Y20" s="3">
        <v>0</v>
      </c>
      <c r="Z20" s="3">
        <v>1</v>
      </c>
      <c r="AA20" s="3">
        <v>1</v>
      </c>
      <c r="AB20" s="3">
        <v>0</v>
      </c>
      <c r="AC20" s="3">
        <v>0</v>
      </c>
      <c r="AD20" s="3">
        <v>0</v>
      </c>
      <c r="AE20" s="3">
        <v>0</v>
      </c>
      <c r="AF20" s="3">
        <v>0</v>
      </c>
      <c r="AG20" s="3">
        <v>0</v>
      </c>
      <c r="AH20" s="3">
        <v>0</v>
      </c>
      <c r="AI20" s="3">
        <v>0</v>
      </c>
      <c r="AJ20" s="3">
        <v>0</v>
      </c>
      <c r="AK20" s="3">
        <v>1</v>
      </c>
      <c r="AL20" s="3">
        <v>1</v>
      </c>
      <c r="AM20" s="3">
        <v>0</v>
      </c>
      <c r="AN20" s="3">
        <v>0</v>
      </c>
      <c r="AO20" s="3">
        <v>0</v>
      </c>
      <c r="AP20" s="3">
        <v>0</v>
      </c>
      <c r="AQ20" s="3">
        <v>0</v>
      </c>
      <c r="AR20" s="3">
        <v>0</v>
      </c>
      <c r="AS20" s="3">
        <v>0</v>
      </c>
      <c r="AT20" s="3">
        <v>0</v>
      </c>
      <c r="AU20" s="3">
        <v>0</v>
      </c>
      <c r="AV20" s="3">
        <v>1</v>
      </c>
      <c r="AW20" s="3">
        <v>1</v>
      </c>
      <c r="AX20" s="3">
        <v>0</v>
      </c>
      <c r="AY20" s="3">
        <v>0</v>
      </c>
      <c r="AZ20" s="3">
        <v>0</v>
      </c>
      <c r="BA20" s="3">
        <v>0</v>
      </c>
      <c r="BB20" s="3">
        <v>0</v>
      </c>
      <c r="BC20" s="3">
        <v>0</v>
      </c>
      <c r="BD20" s="3">
        <v>0</v>
      </c>
      <c r="BE20" s="3">
        <v>0</v>
      </c>
      <c r="BF20" s="3">
        <v>0</v>
      </c>
      <c r="BG20" s="3">
        <v>1</v>
      </c>
      <c r="BH20" s="3">
        <v>1</v>
      </c>
      <c r="BI20" s="3">
        <v>0</v>
      </c>
      <c r="BJ20" s="3">
        <v>0</v>
      </c>
      <c r="BK20" s="3">
        <v>0</v>
      </c>
      <c r="BL20" s="3">
        <v>0</v>
      </c>
      <c r="BM20" s="3">
        <v>0</v>
      </c>
      <c r="BN20" s="3">
        <v>0</v>
      </c>
      <c r="BO20" s="3">
        <v>0</v>
      </c>
      <c r="BP20" s="3">
        <v>0</v>
      </c>
      <c r="BQ20" s="3">
        <v>0</v>
      </c>
      <c r="BR20" s="3">
        <v>0</v>
      </c>
      <c r="BS20" s="3">
        <v>1</v>
      </c>
      <c r="BT20" s="3">
        <v>1</v>
      </c>
      <c r="BU20" s="3">
        <v>0</v>
      </c>
      <c r="BV20" s="3">
        <v>0</v>
      </c>
      <c r="BW20" s="3">
        <v>0</v>
      </c>
      <c r="BX20" s="3">
        <v>0</v>
      </c>
      <c r="BY20" s="3">
        <v>0</v>
      </c>
      <c r="BZ20" s="3">
        <v>0</v>
      </c>
      <c r="CA20" s="3">
        <v>0</v>
      </c>
      <c r="CB20" s="3">
        <v>0</v>
      </c>
      <c r="CC20" s="3">
        <v>1</v>
      </c>
      <c r="CD20" s="3">
        <v>1</v>
      </c>
      <c r="CE20" s="3">
        <v>0</v>
      </c>
      <c r="CF20" s="3">
        <v>0</v>
      </c>
      <c r="CG20" s="3">
        <v>0</v>
      </c>
      <c r="CH20" s="3">
        <v>0</v>
      </c>
      <c r="CI20" s="3">
        <v>0</v>
      </c>
      <c r="CJ20" s="3">
        <v>0</v>
      </c>
      <c r="CK20" s="3">
        <v>0</v>
      </c>
      <c r="CL20" s="3">
        <v>0</v>
      </c>
      <c r="CM20" s="3">
        <v>1</v>
      </c>
      <c r="CN20" s="39">
        <v>1</v>
      </c>
      <c r="CO20" s="39">
        <v>0</v>
      </c>
      <c r="CP20" s="39">
        <v>0</v>
      </c>
      <c r="CQ20" s="39">
        <v>0</v>
      </c>
      <c r="CR20" s="39">
        <v>0</v>
      </c>
      <c r="CS20" s="39">
        <v>0</v>
      </c>
      <c r="CT20" s="39">
        <v>0</v>
      </c>
      <c r="CU20" s="39">
        <v>1</v>
      </c>
      <c r="CV20" s="39">
        <v>0</v>
      </c>
      <c r="CW20" s="39">
        <v>0</v>
      </c>
      <c r="CX20" s="39">
        <v>0</v>
      </c>
      <c r="CY20" s="39">
        <v>1</v>
      </c>
      <c r="CZ20" s="39">
        <v>0</v>
      </c>
      <c r="DA20" s="39">
        <v>0</v>
      </c>
      <c r="DB20" s="39">
        <v>0</v>
      </c>
      <c r="DC20" s="39">
        <v>0</v>
      </c>
      <c r="DD20" s="39">
        <v>0</v>
      </c>
      <c r="DE20" s="39">
        <v>0</v>
      </c>
      <c r="DF20" s="39">
        <v>1</v>
      </c>
      <c r="DG20" s="39">
        <v>0</v>
      </c>
      <c r="DH20" s="39">
        <v>0</v>
      </c>
      <c r="DI20" s="3">
        <v>1</v>
      </c>
      <c r="DJ20" s="3">
        <v>0</v>
      </c>
      <c r="DK20" s="3">
        <v>0</v>
      </c>
      <c r="DL20" s="3">
        <v>0</v>
      </c>
      <c r="DM20" s="3">
        <v>0</v>
      </c>
      <c r="DN20" s="3">
        <v>0</v>
      </c>
      <c r="DO20" s="3">
        <v>0</v>
      </c>
      <c r="DP20" s="3">
        <v>0</v>
      </c>
      <c r="DQ20" s="3">
        <v>0</v>
      </c>
      <c r="DR20" s="3">
        <v>1</v>
      </c>
      <c r="DS20" s="3">
        <v>1</v>
      </c>
      <c r="DT20" s="3">
        <v>0</v>
      </c>
      <c r="DU20" s="3">
        <v>0</v>
      </c>
      <c r="DV20" s="3">
        <v>0</v>
      </c>
      <c r="DW20" s="3">
        <v>0</v>
      </c>
      <c r="DX20" s="3">
        <v>0</v>
      </c>
      <c r="DY20" s="3">
        <v>0</v>
      </c>
      <c r="DZ20" s="3">
        <v>0</v>
      </c>
      <c r="EA20" s="3">
        <v>0</v>
      </c>
      <c r="EB20" s="3">
        <v>1</v>
      </c>
      <c r="EC20" s="39">
        <v>1</v>
      </c>
      <c r="ED20" s="39">
        <v>0</v>
      </c>
      <c r="EE20" s="39">
        <v>0</v>
      </c>
      <c r="EF20" s="39">
        <v>0</v>
      </c>
      <c r="EG20" s="39">
        <v>0</v>
      </c>
      <c r="EH20" s="39">
        <v>0</v>
      </c>
      <c r="EI20" s="39">
        <v>0</v>
      </c>
      <c r="EJ20" s="39">
        <v>1</v>
      </c>
      <c r="EK20" s="39">
        <v>0</v>
      </c>
      <c r="EL20" s="39">
        <v>0</v>
      </c>
      <c r="EM20" s="39">
        <v>0</v>
      </c>
      <c r="EN20" s="39">
        <v>1</v>
      </c>
      <c r="EO20" s="39">
        <v>0</v>
      </c>
      <c r="EP20" s="39">
        <v>0</v>
      </c>
      <c r="EQ20" s="39">
        <v>0</v>
      </c>
      <c r="ER20" s="39">
        <v>0</v>
      </c>
      <c r="ES20" s="39">
        <v>0</v>
      </c>
      <c r="ET20" s="39">
        <v>1</v>
      </c>
      <c r="EU20" s="39">
        <v>0</v>
      </c>
      <c r="EV20" s="39">
        <v>0</v>
      </c>
      <c r="EW20" s="39">
        <v>1</v>
      </c>
      <c r="EX20" s="39">
        <v>0</v>
      </c>
      <c r="EY20" s="39">
        <v>0</v>
      </c>
      <c r="EZ20" s="39">
        <v>1</v>
      </c>
      <c r="FA20" s="39">
        <v>0</v>
      </c>
      <c r="FB20" s="3">
        <v>0</v>
      </c>
      <c r="FC20" s="3">
        <v>0</v>
      </c>
      <c r="FD20" s="3">
        <v>0</v>
      </c>
      <c r="FE20" s="3">
        <v>0</v>
      </c>
      <c r="FF20" s="3">
        <v>0</v>
      </c>
      <c r="FG20" s="3">
        <v>0</v>
      </c>
      <c r="FH20" s="3">
        <v>1</v>
      </c>
      <c r="FI20" s="3">
        <v>0</v>
      </c>
      <c r="FJ20" s="3">
        <v>0</v>
      </c>
      <c r="FK20" s="3">
        <v>1</v>
      </c>
      <c r="FL20" s="3">
        <v>0</v>
      </c>
      <c r="FM20" s="3">
        <v>0</v>
      </c>
      <c r="FN20" s="3">
        <v>0</v>
      </c>
      <c r="FO20" s="3">
        <v>0</v>
      </c>
      <c r="FP20" s="3">
        <v>0</v>
      </c>
    </row>
    <row r="21" spans="1:172" x14ac:dyDescent="0.25">
      <c r="A21" t="s">
        <v>17</v>
      </c>
      <c r="B21" t="s">
        <v>57</v>
      </c>
      <c r="C21" t="s">
        <v>15</v>
      </c>
      <c r="D21" s="2" t="s">
        <v>83</v>
      </c>
      <c r="E21" s="3">
        <v>0</v>
      </c>
      <c r="F21" s="3">
        <v>0</v>
      </c>
      <c r="G21" s="3">
        <v>0</v>
      </c>
      <c r="H21" s="3">
        <v>1</v>
      </c>
      <c r="I21" s="3">
        <v>0</v>
      </c>
      <c r="J21" s="3">
        <v>0</v>
      </c>
      <c r="K21" s="3">
        <v>1</v>
      </c>
      <c r="L21" s="3">
        <v>0</v>
      </c>
      <c r="M21" s="3">
        <v>0</v>
      </c>
      <c r="N21" s="3">
        <v>0</v>
      </c>
      <c r="O21" s="3">
        <v>0</v>
      </c>
      <c r="P21" s="3">
        <v>0</v>
      </c>
      <c r="Q21" s="3">
        <v>0</v>
      </c>
      <c r="R21" s="3">
        <v>0</v>
      </c>
      <c r="S21" s="3">
        <v>0</v>
      </c>
      <c r="T21" s="3">
        <v>1</v>
      </c>
      <c r="U21" s="3">
        <v>0</v>
      </c>
      <c r="V21" s="3">
        <v>0</v>
      </c>
      <c r="W21" s="3">
        <v>0</v>
      </c>
      <c r="X21" s="3">
        <v>0</v>
      </c>
      <c r="Y21" s="3">
        <v>0</v>
      </c>
      <c r="Z21" s="3">
        <v>1</v>
      </c>
      <c r="AA21" s="3">
        <v>0</v>
      </c>
      <c r="AB21" s="3">
        <v>0</v>
      </c>
      <c r="AC21" s="3">
        <v>0</v>
      </c>
      <c r="AD21" s="3">
        <v>0</v>
      </c>
      <c r="AE21" s="3">
        <v>1</v>
      </c>
      <c r="AF21" s="3">
        <v>0</v>
      </c>
      <c r="AG21" s="3">
        <v>0</v>
      </c>
      <c r="AH21" s="3">
        <v>0</v>
      </c>
      <c r="AI21" s="3">
        <v>0</v>
      </c>
      <c r="AJ21" s="3">
        <v>0</v>
      </c>
      <c r="AK21" s="3">
        <v>1</v>
      </c>
      <c r="AL21" s="3">
        <v>0</v>
      </c>
      <c r="AM21" s="3">
        <v>0</v>
      </c>
      <c r="AN21" s="3">
        <v>0</v>
      </c>
      <c r="AO21" s="3">
        <v>0</v>
      </c>
      <c r="AP21" s="3">
        <v>1</v>
      </c>
      <c r="AQ21" s="3">
        <v>0</v>
      </c>
      <c r="AR21" s="3">
        <v>0</v>
      </c>
      <c r="AS21" s="3">
        <v>1</v>
      </c>
      <c r="AT21" s="3">
        <v>0</v>
      </c>
      <c r="AU21" s="3">
        <v>0</v>
      </c>
      <c r="AV21" s="3">
        <v>0</v>
      </c>
      <c r="AW21" s="3">
        <v>0</v>
      </c>
      <c r="AX21" s="3">
        <v>0</v>
      </c>
      <c r="AY21" s="3">
        <v>0</v>
      </c>
      <c r="AZ21" s="3">
        <v>0</v>
      </c>
      <c r="BA21" s="3">
        <v>1</v>
      </c>
      <c r="BB21" s="3">
        <v>0</v>
      </c>
      <c r="BC21" s="3">
        <v>0</v>
      </c>
      <c r="BD21" s="3">
        <v>0</v>
      </c>
      <c r="BE21" s="3">
        <v>0</v>
      </c>
      <c r="BF21" s="3">
        <v>0</v>
      </c>
      <c r="BG21" s="3">
        <v>1</v>
      </c>
      <c r="BH21" s="3">
        <v>0</v>
      </c>
      <c r="BI21" s="3">
        <v>0</v>
      </c>
      <c r="BJ21" s="3">
        <v>0</v>
      </c>
      <c r="BK21" s="3">
        <v>0</v>
      </c>
      <c r="BL21" s="3">
        <v>1</v>
      </c>
      <c r="BM21" s="3">
        <v>0</v>
      </c>
      <c r="BN21" s="3">
        <v>0</v>
      </c>
      <c r="BO21" s="3">
        <v>1</v>
      </c>
      <c r="BP21" s="3">
        <v>0</v>
      </c>
      <c r="BQ21" s="3">
        <v>0</v>
      </c>
      <c r="BR21" s="3">
        <v>0</v>
      </c>
      <c r="BS21" s="3">
        <v>0</v>
      </c>
      <c r="BT21" s="3">
        <v>0</v>
      </c>
      <c r="BU21" s="3">
        <v>0</v>
      </c>
      <c r="BV21" s="3">
        <v>0</v>
      </c>
      <c r="BW21" s="3">
        <v>0</v>
      </c>
      <c r="BX21" s="3">
        <v>1</v>
      </c>
      <c r="BY21" s="3">
        <v>0</v>
      </c>
      <c r="BZ21" s="3">
        <v>0</v>
      </c>
      <c r="CA21" s="3">
        <v>1</v>
      </c>
      <c r="CB21" s="3">
        <v>0</v>
      </c>
      <c r="CC21" s="3">
        <v>0</v>
      </c>
      <c r="CD21" s="3">
        <v>0</v>
      </c>
      <c r="CE21" s="3">
        <v>0</v>
      </c>
      <c r="CF21" s="3">
        <v>0</v>
      </c>
      <c r="CG21" s="3">
        <v>0</v>
      </c>
      <c r="CH21" s="3">
        <v>1</v>
      </c>
      <c r="CI21" s="3">
        <v>0</v>
      </c>
      <c r="CJ21" s="3">
        <v>0</v>
      </c>
      <c r="CK21" s="3">
        <v>1</v>
      </c>
      <c r="CL21" s="3">
        <v>0</v>
      </c>
      <c r="CM21" s="3">
        <v>0</v>
      </c>
      <c r="CN21" s="39">
        <v>0</v>
      </c>
      <c r="CO21" s="39">
        <v>0</v>
      </c>
      <c r="CP21" s="39">
        <v>0</v>
      </c>
      <c r="CQ21" s="39">
        <v>0</v>
      </c>
      <c r="CR21" s="39">
        <v>1</v>
      </c>
      <c r="CS21" s="39">
        <v>0</v>
      </c>
      <c r="CT21" s="39">
        <v>0</v>
      </c>
      <c r="CU21" s="39">
        <v>1</v>
      </c>
      <c r="CV21" s="39">
        <v>0</v>
      </c>
      <c r="CW21" s="39">
        <v>0</v>
      </c>
      <c r="CX21" s="39">
        <v>0</v>
      </c>
      <c r="CY21" s="39">
        <v>0</v>
      </c>
      <c r="CZ21" s="39">
        <v>0</v>
      </c>
      <c r="DA21" s="39">
        <v>0</v>
      </c>
      <c r="DB21" s="39">
        <v>0</v>
      </c>
      <c r="DC21" s="39">
        <v>1</v>
      </c>
      <c r="DD21" s="39">
        <v>0</v>
      </c>
      <c r="DE21" s="39">
        <v>0</v>
      </c>
      <c r="DF21" s="39">
        <v>1</v>
      </c>
      <c r="DG21" s="39">
        <v>0</v>
      </c>
      <c r="DH21" s="39">
        <v>0</v>
      </c>
      <c r="DI21" s="3">
        <v>0</v>
      </c>
      <c r="DJ21" s="3">
        <v>0</v>
      </c>
      <c r="DK21" s="3">
        <v>0</v>
      </c>
      <c r="DL21" s="3">
        <v>0</v>
      </c>
      <c r="DM21" s="3">
        <v>1</v>
      </c>
      <c r="DN21" s="3">
        <v>0</v>
      </c>
      <c r="DO21" s="3">
        <v>0</v>
      </c>
      <c r="DP21" s="3">
        <v>1</v>
      </c>
      <c r="DQ21" s="3">
        <v>0</v>
      </c>
      <c r="DR21" s="3">
        <v>0</v>
      </c>
      <c r="DS21" s="3">
        <v>0</v>
      </c>
      <c r="DT21" s="3">
        <v>0</v>
      </c>
      <c r="DU21" s="3">
        <v>0</v>
      </c>
      <c r="DV21" s="3">
        <v>0</v>
      </c>
      <c r="DW21" s="3">
        <v>1</v>
      </c>
      <c r="DX21" s="3">
        <v>0</v>
      </c>
      <c r="DY21" s="3">
        <v>0</v>
      </c>
      <c r="DZ21" s="3">
        <v>0</v>
      </c>
      <c r="EA21" s="3">
        <v>0</v>
      </c>
      <c r="EB21" s="3">
        <v>1</v>
      </c>
      <c r="EC21" s="39">
        <v>0</v>
      </c>
      <c r="ED21" s="39">
        <v>0</v>
      </c>
      <c r="EE21" s="39">
        <v>0</v>
      </c>
      <c r="EF21" s="39">
        <v>0</v>
      </c>
      <c r="EG21" s="39">
        <v>1</v>
      </c>
      <c r="EH21" s="39">
        <v>0</v>
      </c>
      <c r="EI21" s="39">
        <v>0</v>
      </c>
      <c r="EJ21" s="39">
        <v>1</v>
      </c>
      <c r="EK21" s="39">
        <v>0</v>
      </c>
      <c r="EL21" s="39">
        <v>0</v>
      </c>
      <c r="EM21" s="39">
        <v>0</v>
      </c>
      <c r="EN21" s="39">
        <v>1</v>
      </c>
      <c r="EO21" s="39">
        <v>0</v>
      </c>
      <c r="EP21" s="39">
        <v>0</v>
      </c>
      <c r="EQ21" s="39">
        <v>0</v>
      </c>
      <c r="ER21" s="39">
        <v>0</v>
      </c>
      <c r="ES21" s="39">
        <v>0</v>
      </c>
      <c r="ET21" s="39">
        <v>1</v>
      </c>
      <c r="EU21" s="39">
        <v>0</v>
      </c>
      <c r="EV21" s="39">
        <v>0</v>
      </c>
      <c r="EW21" s="39">
        <v>1</v>
      </c>
      <c r="EX21" s="39">
        <v>0</v>
      </c>
      <c r="EY21" s="39">
        <v>0</v>
      </c>
      <c r="EZ21" s="39">
        <v>1</v>
      </c>
      <c r="FA21" s="39">
        <v>0</v>
      </c>
      <c r="FB21" s="3">
        <v>0</v>
      </c>
      <c r="FC21" s="3">
        <v>0</v>
      </c>
      <c r="FD21" s="3">
        <v>0</v>
      </c>
      <c r="FE21" s="3">
        <v>0</v>
      </c>
      <c r="FF21" s="3">
        <v>0</v>
      </c>
      <c r="FG21" s="3">
        <v>0</v>
      </c>
      <c r="FH21" s="3">
        <v>0</v>
      </c>
      <c r="FI21" s="3">
        <v>1</v>
      </c>
      <c r="FJ21" s="3">
        <v>0</v>
      </c>
      <c r="FK21" s="3">
        <v>1</v>
      </c>
      <c r="FL21" s="3">
        <v>0</v>
      </c>
      <c r="FM21" s="3">
        <v>0</v>
      </c>
      <c r="FN21" s="3">
        <v>0</v>
      </c>
      <c r="FO21" s="3">
        <v>0</v>
      </c>
      <c r="FP21" s="3">
        <v>0</v>
      </c>
    </row>
    <row r="22" spans="1:172" x14ac:dyDescent="0.25">
      <c r="A22" t="s">
        <v>26</v>
      </c>
      <c r="B22" t="s">
        <v>56</v>
      </c>
      <c r="C22" t="s">
        <v>29</v>
      </c>
      <c r="D22" s="2" t="s">
        <v>84</v>
      </c>
      <c r="E22" s="3">
        <v>0</v>
      </c>
      <c r="F22" s="3">
        <v>0</v>
      </c>
      <c r="G22" s="3">
        <v>0</v>
      </c>
      <c r="H22" s="3">
        <v>1</v>
      </c>
      <c r="I22" s="3">
        <v>1</v>
      </c>
      <c r="J22" s="3">
        <v>0</v>
      </c>
      <c r="K22" s="3">
        <v>0</v>
      </c>
      <c r="L22" s="3">
        <v>0</v>
      </c>
      <c r="M22" s="3">
        <v>0</v>
      </c>
      <c r="N22" s="3">
        <v>0</v>
      </c>
      <c r="O22" s="3">
        <v>0</v>
      </c>
      <c r="P22" s="3">
        <v>0</v>
      </c>
      <c r="Q22" s="3">
        <v>0</v>
      </c>
      <c r="R22" s="3">
        <v>1</v>
      </c>
      <c r="S22" s="3">
        <v>0</v>
      </c>
      <c r="T22" s="3">
        <v>0</v>
      </c>
      <c r="U22" s="3">
        <v>1</v>
      </c>
      <c r="V22" s="3">
        <v>0</v>
      </c>
      <c r="W22" s="3">
        <v>0</v>
      </c>
      <c r="X22" s="3">
        <v>0</v>
      </c>
      <c r="Y22" s="3">
        <v>0</v>
      </c>
      <c r="Z22" s="3">
        <v>0</v>
      </c>
      <c r="AA22" s="3">
        <v>0</v>
      </c>
      <c r="AB22" s="3">
        <v>0</v>
      </c>
      <c r="AC22" s="3">
        <v>0</v>
      </c>
      <c r="AD22" s="3">
        <v>0</v>
      </c>
      <c r="AE22" s="3">
        <v>1</v>
      </c>
      <c r="AF22" s="3">
        <v>1</v>
      </c>
      <c r="AG22" s="3">
        <v>0</v>
      </c>
      <c r="AH22" s="3">
        <v>0</v>
      </c>
      <c r="AI22" s="3">
        <v>0</v>
      </c>
      <c r="AJ22" s="3">
        <v>0</v>
      </c>
      <c r="AK22" s="3">
        <v>0</v>
      </c>
      <c r="AL22" s="3">
        <v>0</v>
      </c>
      <c r="AM22" s="3">
        <v>0</v>
      </c>
      <c r="AN22" s="3">
        <v>1</v>
      </c>
      <c r="AO22" s="3">
        <v>0</v>
      </c>
      <c r="AP22" s="3">
        <v>0</v>
      </c>
      <c r="AQ22" s="3">
        <v>1</v>
      </c>
      <c r="AR22" s="3">
        <v>0</v>
      </c>
      <c r="AS22" s="3">
        <v>0</v>
      </c>
      <c r="AT22" s="3">
        <v>0</v>
      </c>
      <c r="AU22" s="3">
        <v>0</v>
      </c>
      <c r="AV22" s="3">
        <v>0</v>
      </c>
      <c r="AW22" s="3">
        <v>0</v>
      </c>
      <c r="AX22" s="3">
        <v>0</v>
      </c>
      <c r="AY22" s="3">
        <v>0</v>
      </c>
      <c r="AZ22" s="3">
        <v>0</v>
      </c>
      <c r="BA22" s="3">
        <v>1</v>
      </c>
      <c r="BB22" s="3">
        <v>0</v>
      </c>
      <c r="BC22" s="3">
        <v>0</v>
      </c>
      <c r="BD22" s="3">
        <v>1</v>
      </c>
      <c r="BE22" s="3">
        <v>0</v>
      </c>
      <c r="BF22" s="3">
        <v>0</v>
      </c>
      <c r="BG22" s="3">
        <v>0</v>
      </c>
      <c r="BH22" s="3">
        <v>0</v>
      </c>
      <c r="BI22" s="3">
        <v>0</v>
      </c>
      <c r="BJ22" s="3">
        <v>0</v>
      </c>
      <c r="BK22" s="3">
        <v>0</v>
      </c>
      <c r="BL22" s="3">
        <v>1</v>
      </c>
      <c r="BM22" s="3">
        <v>1</v>
      </c>
      <c r="BN22" s="3">
        <v>0</v>
      </c>
      <c r="BO22" s="3">
        <v>0</v>
      </c>
      <c r="BP22" s="3">
        <v>0</v>
      </c>
      <c r="BQ22" s="3">
        <v>0</v>
      </c>
      <c r="BR22" s="3">
        <v>0</v>
      </c>
      <c r="BS22" s="3">
        <v>0</v>
      </c>
      <c r="BT22" s="3">
        <v>0</v>
      </c>
      <c r="BU22" s="3">
        <v>0</v>
      </c>
      <c r="BV22" s="3">
        <v>0</v>
      </c>
      <c r="BW22" s="3">
        <v>0</v>
      </c>
      <c r="BX22" s="3">
        <v>1</v>
      </c>
      <c r="BY22" s="3">
        <v>1</v>
      </c>
      <c r="BZ22" s="3">
        <v>0</v>
      </c>
      <c r="CA22" s="3">
        <v>0</v>
      </c>
      <c r="CB22" s="3">
        <v>0</v>
      </c>
      <c r="CC22" s="3">
        <v>0</v>
      </c>
      <c r="CD22" s="3">
        <v>0</v>
      </c>
      <c r="CE22" s="3">
        <v>0</v>
      </c>
      <c r="CF22" s="3">
        <v>0</v>
      </c>
      <c r="CG22" s="3">
        <v>0</v>
      </c>
      <c r="CH22" s="3">
        <v>1</v>
      </c>
      <c r="CI22" s="3">
        <v>1</v>
      </c>
      <c r="CJ22" s="3">
        <v>0</v>
      </c>
      <c r="CK22" s="3">
        <v>0</v>
      </c>
      <c r="CL22" s="3">
        <v>0</v>
      </c>
      <c r="CM22" s="3">
        <v>0</v>
      </c>
      <c r="CN22" s="39">
        <v>0</v>
      </c>
      <c r="CO22" s="39">
        <v>0</v>
      </c>
      <c r="CP22" s="39">
        <v>0</v>
      </c>
      <c r="CQ22" s="39">
        <v>0</v>
      </c>
      <c r="CR22" s="39">
        <v>1</v>
      </c>
      <c r="CS22" s="39">
        <v>1</v>
      </c>
      <c r="CT22" s="39">
        <v>0</v>
      </c>
      <c r="CU22" s="39">
        <v>0</v>
      </c>
      <c r="CV22" s="39">
        <v>0</v>
      </c>
      <c r="CW22" s="39">
        <v>0</v>
      </c>
      <c r="CX22" s="39">
        <v>0</v>
      </c>
      <c r="CY22" s="39">
        <v>0</v>
      </c>
      <c r="CZ22" s="39">
        <v>0</v>
      </c>
      <c r="DA22" s="39">
        <v>0</v>
      </c>
      <c r="DB22" s="39">
        <v>0</v>
      </c>
      <c r="DC22" s="39">
        <v>1</v>
      </c>
      <c r="DD22" s="39">
        <v>1</v>
      </c>
      <c r="DE22" s="39">
        <v>0</v>
      </c>
      <c r="DF22" s="39">
        <v>0</v>
      </c>
      <c r="DG22" s="39">
        <v>0</v>
      </c>
      <c r="DH22" s="39">
        <v>0</v>
      </c>
      <c r="DI22" s="3">
        <v>0</v>
      </c>
      <c r="DJ22" s="3">
        <v>0</v>
      </c>
      <c r="DK22" s="3">
        <v>0</v>
      </c>
      <c r="DL22" s="3">
        <v>0</v>
      </c>
      <c r="DM22" s="3">
        <v>1</v>
      </c>
      <c r="DN22" s="3">
        <v>1</v>
      </c>
      <c r="DO22" s="3">
        <v>0</v>
      </c>
      <c r="DP22" s="3">
        <v>0</v>
      </c>
      <c r="DQ22" s="3">
        <v>0</v>
      </c>
      <c r="DR22" s="3">
        <v>0</v>
      </c>
      <c r="DS22" s="3">
        <v>0</v>
      </c>
      <c r="DT22" s="3">
        <v>0</v>
      </c>
      <c r="DU22" s="3">
        <v>0</v>
      </c>
      <c r="DV22" s="3">
        <v>0</v>
      </c>
      <c r="DW22" s="3">
        <v>1</v>
      </c>
      <c r="DX22" s="3">
        <v>1</v>
      </c>
      <c r="DY22" s="3">
        <v>0</v>
      </c>
      <c r="DZ22" s="3">
        <v>0</v>
      </c>
      <c r="EA22" s="3">
        <v>0</v>
      </c>
      <c r="EB22" s="3">
        <v>0</v>
      </c>
      <c r="EC22" s="39">
        <v>0</v>
      </c>
      <c r="ED22" s="39">
        <v>0</v>
      </c>
      <c r="EE22" s="39">
        <v>0</v>
      </c>
      <c r="EF22" s="39">
        <v>0</v>
      </c>
      <c r="EG22" s="39">
        <v>1</v>
      </c>
      <c r="EH22" s="39">
        <v>0</v>
      </c>
      <c r="EI22" s="39">
        <v>0</v>
      </c>
      <c r="EJ22" s="39">
        <v>1</v>
      </c>
      <c r="EK22" s="39">
        <v>0</v>
      </c>
      <c r="EL22" s="39">
        <v>0</v>
      </c>
      <c r="EM22" s="39">
        <v>0</v>
      </c>
      <c r="EN22" s="39">
        <v>1</v>
      </c>
      <c r="EO22" s="39">
        <v>0</v>
      </c>
      <c r="EP22" s="39">
        <v>0</v>
      </c>
      <c r="EQ22" s="39">
        <v>0</v>
      </c>
      <c r="ER22" s="39">
        <v>0</v>
      </c>
      <c r="ES22" s="39">
        <v>0</v>
      </c>
      <c r="ET22" s="39">
        <v>1</v>
      </c>
      <c r="EU22" s="39">
        <v>0</v>
      </c>
      <c r="EV22" s="39">
        <v>0</v>
      </c>
      <c r="EW22" s="39">
        <v>1</v>
      </c>
      <c r="EX22" s="39">
        <v>0</v>
      </c>
      <c r="EY22" s="39">
        <v>0</v>
      </c>
      <c r="EZ22" s="39">
        <v>1</v>
      </c>
      <c r="FA22" s="39">
        <v>0</v>
      </c>
      <c r="FB22" s="3">
        <v>0</v>
      </c>
      <c r="FC22" s="3">
        <v>0</v>
      </c>
      <c r="FD22" s="3">
        <v>0</v>
      </c>
      <c r="FE22" s="3">
        <v>0</v>
      </c>
      <c r="FF22" s="3">
        <v>0</v>
      </c>
      <c r="FG22" s="3">
        <v>0</v>
      </c>
      <c r="FH22" s="3">
        <v>1</v>
      </c>
      <c r="FI22" s="3">
        <v>0</v>
      </c>
      <c r="FJ22" s="3">
        <v>1</v>
      </c>
      <c r="FK22" s="3">
        <v>0</v>
      </c>
      <c r="FL22" s="3">
        <v>0</v>
      </c>
      <c r="FM22" s="3">
        <v>0</v>
      </c>
      <c r="FN22" s="3">
        <v>0</v>
      </c>
      <c r="FO22" s="3">
        <v>1</v>
      </c>
      <c r="FP22" s="3">
        <v>0</v>
      </c>
    </row>
    <row r="23" spans="1:172" x14ac:dyDescent="0.25">
      <c r="A23" t="s">
        <v>16</v>
      </c>
      <c r="B23" t="s">
        <v>57</v>
      </c>
      <c r="C23" t="s">
        <v>7</v>
      </c>
      <c r="D23" s="2" t="s">
        <v>85</v>
      </c>
      <c r="E23" s="3">
        <v>0</v>
      </c>
      <c r="F23" s="3">
        <v>0</v>
      </c>
      <c r="G23" s="3">
        <v>0</v>
      </c>
      <c r="H23" s="3">
        <v>1</v>
      </c>
      <c r="I23" s="3">
        <v>1</v>
      </c>
      <c r="J23" s="3">
        <v>0</v>
      </c>
      <c r="K23" s="3">
        <v>0</v>
      </c>
      <c r="L23" s="3">
        <v>0</v>
      </c>
      <c r="M23" s="3">
        <v>0</v>
      </c>
      <c r="N23" s="3">
        <v>0</v>
      </c>
      <c r="O23" s="3">
        <v>0</v>
      </c>
      <c r="P23" s="3">
        <v>1</v>
      </c>
      <c r="Q23" s="3">
        <v>0</v>
      </c>
      <c r="R23" s="3">
        <v>0</v>
      </c>
      <c r="S23" s="3">
        <v>0</v>
      </c>
      <c r="T23" s="3">
        <v>0</v>
      </c>
      <c r="U23" s="3">
        <v>1</v>
      </c>
      <c r="V23" s="3">
        <v>0</v>
      </c>
      <c r="W23" s="3">
        <v>0</v>
      </c>
      <c r="X23" s="3">
        <v>0</v>
      </c>
      <c r="Y23" s="3">
        <v>0</v>
      </c>
      <c r="Z23" s="3">
        <v>0</v>
      </c>
      <c r="AA23" s="3">
        <v>1</v>
      </c>
      <c r="AB23" s="3">
        <v>0</v>
      </c>
      <c r="AC23" s="3">
        <v>0</v>
      </c>
      <c r="AD23" s="3">
        <v>1</v>
      </c>
      <c r="AE23" s="3">
        <v>0</v>
      </c>
      <c r="AF23" s="3">
        <v>1</v>
      </c>
      <c r="AG23" s="3">
        <v>0</v>
      </c>
      <c r="AH23" s="3">
        <v>0</v>
      </c>
      <c r="AI23" s="3">
        <v>0</v>
      </c>
      <c r="AJ23" s="3">
        <v>0</v>
      </c>
      <c r="AK23" s="3">
        <v>0</v>
      </c>
      <c r="AL23" s="3">
        <v>1</v>
      </c>
      <c r="AM23" s="3">
        <v>0</v>
      </c>
      <c r="AN23" s="3">
        <v>0</v>
      </c>
      <c r="AO23" s="3">
        <v>0</v>
      </c>
      <c r="AP23" s="3">
        <v>0</v>
      </c>
      <c r="AQ23" s="3">
        <v>1</v>
      </c>
      <c r="AR23" s="3">
        <v>0</v>
      </c>
      <c r="AS23" s="3">
        <v>0</v>
      </c>
      <c r="AT23" s="3">
        <v>0</v>
      </c>
      <c r="AU23" s="3">
        <v>0</v>
      </c>
      <c r="AV23" s="3">
        <v>0</v>
      </c>
      <c r="AW23" s="3">
        <v>1</v>
      </c>
      <c r="AX23" s="3">
        <v>0</v>
      </c>
      <c r="AY23" s="3">
        <v>0</v>
      </c>
      <c r="AZ23" s="3">
        <v>0</v>
      </c>
      <c r="BA23" s="3">
        <v>0</v>
      </c>
      <c r="BB23" s="3">
        <v>1</v>
      </c>
      <c r="BC23" s="3">
        <v>0</v>
      </c>
      <c r="BD23" s="3">
        <v>0</v>
      </c>
      <c r="BE23" s="3">
        <v>0</v>
      </c>
      <c r="BF23" s="3">
        <v>0</v>
      </c>
      <c r="BG23" s="3">
        <v>0</v>
      </c>
      <c r="BH23" s="3">
        <v>1</v>
      </c>
      <c r="BI23" s="3">
        <v>0</v>
      </c>
      <c r="BJ23" s="3">
        <v>0</v>
      </c>
      <c r="BK23" s="3">
        <v>0</v>
      </c>
      <c r="BL23" s="3">
        <v>0</v>
      </c>
      <c r="BM23" s="3">
        <v>1</v>
      </c>
      <c r="BN23" s="3">
        <v>0</v>
      </c>
      <c r="BO23" s="3">
        <v>0</v>
      </c>
      <c r="BP23" s="3">
        <v>0</v>
      </c>
      <c r="BQ23" s="3">
        <v>0</v>
      </c>
      <c r="BR23" s="3">
        <v>0</v>
      </c>
      <c r="BS23" s="3">
        <v>0</v>
      </c>
      <c r="BT23" s="3">
        <v>1</v>
      </c>
      <c r="BU23" s="3">
        <v>0</v>
      </c>
      <c r="BV23" s="3">
        <v>0</v>
      </c>
      <c r="BW23" s="3">
        <v>0</v>
      </c>
      <c r="BX23" s="3">
        <v>0</v>
      </c>
      <c r="BY23" s="3">
        <v>1</v>
      </c>
      <c r="BZ23" s="3">
        <v>0</v>
      </c>
      <c r="CA23" s="3">
        <v>0</v>
      </c>
      <c r="CB23" s="3">
        <v>0</v>
      </c>
      <c r="CC23" s="3">
        <v>0</v>
      </c>
      <c r="CD23" s="3">
        <v>1</v>
      </c>
      <c r="CE23" s="3">
        <v>0</v>
      </c>
      <c r="CF23" s="3">
        <v>0</v>
      </c>
      <c r="CG23" s="3">
        <v>0</v>
      </c>
      <c r="CH23" s="3">
        <v>0</v>
      </c>
      <c r="CI23" s="3">
        <v>1</v>
      </c>
      <c r="CJ23" s="3">
        <v>0</v>
      </c>
      <c r="CK23" s="3">
        <v>0</v>
      </c>
      <c r="CL23" s="3">
        <v>0</v>
      </c>
      <c r="CM23" s="3">
        <v>0</v>
      </c>
      <c r="CN23" s="39">
        <v>1</v>
      </c>
      <c r="CO23" s="39">
        <v>0</v>
      </c>
      <c r="CP23" s="39">
        <v>0</v>
      </c>
      <c r="CQ23" s="39">
        <v>0</v>
      </c>
      <c r="CR23" s="39">
        <v>0</v>
      </c>
      <c r="CS23" s="39">
        <v>1</v>
      </c>
      <c r="CT23" s="39">
        <v>0</v>
      </c>
      <c r="CU23" s="39">
        <v>0</v>
      </c>
      <c r="CV23" s="39">
        <v>0</v>
      </c>
      <c r="CW23" s="39">
        <v>0</v>
      </c>
      <c r="CX23" s="39">
        <v>0</v>
      </c>
      <c r="CY23" s="39">
        <v>1</v>
      </c>
      <c r="CZ23" s="39">
        <v>0</v>
      </c>
      <c r="DA23" s="39">
        <v>0</v>
      </c>
      <c r="DB23" s="39">
        <v>0</v>
      </c>
      <c r="DC23" s="39">
        <v>0</v>
      </c>
      <c r="DD23" s="39">
        <v>1</v>
      </c>
      <c r="DE23" s="39">
        <v>0</v>
      </c>
      <c r="DF23" s="39">
        <v>0</v>
      </c>
      <c r="DG23" s="39">
        <v>0</v>
      </c>
      <c r="DH23" s="39">
        <v>0</v>
      </c>
      <c r="DI23" s="3">
        <v>1</v>
      </c>
      <c r="DJ23" s="3">
        <v>0</v>
      </c>
      <c r="DK23" s="3">
        <v>0</v>
      </c>
      <c r="DL23" s="3">
        <v>0</v>
      </c>
      <c r="DM23" s="3">
        <v>0</v>
      </c>
      <c r="DN23" s="3">
        <v>1</v>
      </c>
      <c r="DO23" s="3">
        <v>0</v>
      </c>
      <c r="DP23" s="3">
        <v>0</v>
      </c>
      <c r="DQ23" s="3">
        <v>0</v>
      </c>
      <c r="DR23" s="3">
        <v>0</v>
      </c>
      <c r="DS23" s="3">
        <v>1</v>
      </c>
      <c r="DT23" s="3">
        <v>0</v>
      </c>
      <c r="DU23" s="3">
        <v>0</v>
      </c>
      <c r="DV23" s="3">
        <v>0</v>
      </c>
      <c r="DW23" s="3">
        <v>0</v>
      </c>
      <c r="DX23" s="3">
        <v>1</v>
      </c>
      <c r="DY23" s="3">
        <v>0</v>
      </c>
      <c r="DZ23" s="3">
        <v>0</v>
      </c>
      <c r="EA23" s="3">
        <v>0</v>
      </c>
      <c r="EB23" s="3">
        <v>0</v>
      </c>
      <c r="EC23" s="39">
        <v>1</v>
      </c>
      <c r="ED23" s="39">
        <v>0</v>
      </c>
      <c r="EE23" s="39">
        <v>0</v>
      </c>
      <c r="EF23" s="39">
        <v>0</v>
      </c>
      <c r="EG23" s="39">
        <v>0</v>
      </c>
      <c r="EH23" s="39">
        <v>1</v>
      </c>
      <c r="EI23" s="39">
        <v>0</v>
      </c>
      <c r="EJ23" s="39">
        <v>0</v>
      </c>
      <c r="EK23" s="39">
        <v>0</v>
      </c>
      <c r="EL23" s="39">
        <v>1</v>
      </c>
      <c r="EM23" s="39">
        <v>0</v>
      </c>
      <c r="EN23" s="39">
        <v>0</v>
      </c>
      <c r="EO23" s="39">
        <v>0</v>
      </c>
      <c r="EP23" s="39">
        <v>0</v>
      </c>
      <c r="EQ23" s="39">
        <v>0</v>
      </c>
      <c r="ER23" s="39">
        <v>0</v>
      </c>
      <c r="ES23" s="39">
        <v>0</v>
      </c>
      <c r="ET23" s="39">
        <v>1</v>
      </c>
      <c r="EU23" s="39">
        <v>0</v>
      </c>
      <c r="EV23" s="39">
        <v>0</v>
      </c>
      <c r="EW23" s="39">
        <v>1</v>
      </c>
      <c r="EX23" s="39">
        <v>0</v>
      </c>
      <c r="EY23" s="39">
        <v>0</v>
      </c>
      <c r="EZ23" s="39">
        <v>1</v>
      </c>
      <c r="FA23" s="39">
        <v>1</v>
      </c>
      <c r="FB23" s="3">
        <v>0</v>
      </c>
      <c r="FC23" s="3">
        <v>0</v>
      </c>
      <c r="FD23" s="3">
        <v>0</v>
      </c>
      <c r="FE23" s="3">
        <v>1</v>
      </c>
      <c r="FF23" s="3">
        <v>0</v>
      </c>
      <c r="FG23" s="3">
        <v>0</v>
      </c>
      <c r="FH23" s="3">
        <v>1</v>
      </c>
      <c r="FI23" s="3">
        <v>0</v>
      </c>
      <c r="FJ23" s="3">
        <v>1</v>
      </c>
      <c r="FK23" s="3">
        <v>1</v>
      </c>
      <c r="FL23" s="3">
        <v>1</v>
      </c>
      <c r="FM23" s="3">
        <v>0</v>
      </c>
      <c r="FN23" s="3">
        <v>0</v>
      </c>
      <c r="FO23" s="3">
        <v>0</v>
      </c>
      <c r="FP23" s="3">
        <v>0</v>
      </c>
    </row>
    <row r="24" spans="1:172" x14ac:dyDescent="0.25">
      <c r="A24" t="s">
        <v>44</v>
      </c>
      <c r="B24" t="s">
        <v>55</v>
      </c>
      <c r="C24" t="s">
        <v>7</v>
      </c>
      <c r="D24" s="2" t="s">
        <v>86</v>
      </c>
      <c r="E24" s="3">
        <v>1</v>
      </c>
      <c r="F24" s="3">
        <v>0</v>
      </c>
      <c r="G24" s="3">
        <v>0</v>
      </c>
      <c r="H24" s="3">
        <v>0</v>
      </c>
      <c r="I24" s="3">
        <v>0</v>
      </c>
      <c r="J24" s="3">
        <v>0</v>
      </c>
      <c r="K24" s="3">
        <v>1</v>
      </c>
      <c r="L24" s="3">
        <v>0</v>
      </c>
      <c r="M24" s="3">
        <v>0</v>
      </c>
      <c r="N24" s="3">
        <v>0</v>
      </c>
      <c r="O24" s="3">
        <v>0</v>
      </c>
      <c r="P24" s="3">
        <v>1</v>
      </c>
      <c r="Q24" s="3">
        <v>0</v>
      </c>
      <c r="R24" s="3">
        <v>0</v>
      </c>
      <c r="S24" s="3">
        <v>0</v>
      </c>
      <c r="T24" s="3">
        <v>0</v>
      </c>
      <c r="U24" s="3">
        <v>0</v>
      </c>
      <c r="V24" s="3">
        <v>0</v>
      </c>
      <c r="W24" s="3">
        <v>1</v>
      </c>
      <c r="X24" s="3">
        <v>0</v>
      </c>
      <c r="Y24" s="3">
        <v>0</v>
      </c>
      <c r="Z24" s="3">
        <v>0</v>
      </c>
      <c r="AA24" s="3">
        <v>1</v>
      </c>
      <c r="AB24" s="3">
        <v>0</v>
      </c>
      <c r="AC24" s="3">
        <v>0</v>
      </c>
      <c r="AD24" s="3">
        <v>0</v>
      </c>
      <c r="AE24" s="3">
        <v>0</v>
      </c>
      <c r="AF24" s="3">
        <v>0</v>
      </c>
      <c r="AG24" s="3">
        <v>0</v>
      </c>
      <c r="AH24" s="3">
        <v>1</v>
      </c>
      <c r="AI24" s="3">
        <v>0</v>
      </c>
      <c r="AJ24" s="3">
        <v>1</v>
      </c>
      <c r="AK24" s="3">
        <v>0</v>
      </c>
      <c r="AL24" s="3">
        <v>1</v>
      </c>
      <c r="AM24" s="3">
        <v>0</v>
      </c>
      <c r="AN24" s="3">
        <v>0</v>
      </c>
      <c r="AO24" s="3">
        <v>0</v>
      </c>
      <c r="AP24" s="3">
        <v>0</v>
      </c>
      <c r="AQ24" s="3">
        <v>0</v>
      </c>
      <c r="AR24" s="3">
        <v>0</v>
      </c>
      <c r="AS24" s="3">
        <v>1</v>
      </c>
      <c r="AT24" s="3">
        <v>0</v>
      </c>
      <c r="AU24" s="3">
        <v>0</v>
      </c>
      <c r="AV24" s="3">
        <v>0</v>
      </c>
      <c r="AW24" s="3">
        <v>1</v>
      </c>
      <c r="AX24" s="3">
        <v>0</v>
      </c>
      <c r="AY24" s="3">
        <v>0</v>
      </c>
      <c r="AZ24" s="3">
        <v>0</v>
      </c>
      <c r="BA24" s="3">
        <v>0</v>
      </c>
      <c r="BB24" s="3">
        <v>0</v>
      </c>
      <c r="BC24" s="3">
        <v>0</v>
      </c>
      <c r="BD24" s="3">
        <v>1</v>
      </c>
      <c r="BE24" s="3">
        <v>0</v>
      </c>
      <c r="BF24" s="3">
        <v>0</v>
      </c>
      <c r="BG24" s="3">
        <v>0</v>
      </c>
      <c r="BH24" s="3">
        <v>1</v>
      </c>
      <c r="BI24" s="3">
        <v>0</v>
      </c>
      <c r="BJ24" s="3">
        <v>0</v>
      </c>
      <c r="BK24" s="3">
        <v>0</v>
      </c>
      <c r="BL24" s="3">
        <v>0</v>
      </c>
      <c r="BM24" s="3">
        <v>0</v>
      </c>
      <c r="BN24" s="3">
        <v>0</v>
      </c>
      <c r="BO24" s="3">
        <v>1</v>
      </c>
      <c r="BP24" s="3">
        <v>0</v>
      </c>
      <c r="BQ24" s="3">
        <v>1</v>
      </c>
      <c r="BR24" s="3">
        <v>0</v>
      </c>
      <c r="BS24" s="3">
        <v>0</v>
      </c>
      <c r="BT24" s="3">
        <v>0</v>
      </c>
      <c r="BU24" s="3">
        <v>0</v>
      </c>
      <c r="BV24" s="3">
        <v>1</v>
      </c>
      <c r="BW24" s="3">
        <v>0</v>
      </c>
      <c r="BX24" s="3">
        <v>0</v>
      </c>
      <c r="BY24" s="3">
        <v>0</v>
      </c>
      <c r="BZ24" s="3">
        <v>0</v>
      </c>
      <c r="CA24" s="3">
        <v>1</v>
      </c>
      <c r="CB24" s="3">
        <v>0</v>
      </c>
      <c r="CC24" s="3">
        <v>0</v>
      </c>
      <c r="CD24" s="3">
        <v>1</v>
      </c>
      <c r="CE24" s="3">
        <v>0</v>
      </c>
      <c r="CF24" s="3">
        <v>0</v>
      </c>
      <c r="CG24" s="3">
        <v>0</v>
      </c>
      <c r="CH24" s="3">
        <v>0</v>
      </c>
      <c r="CI24" s="3">
        <v>0</v>
      </c>
      <c r="CJ24" s="3">
        <v>0</v>
      </c>
      <c r="CK24" s="3">
        <v>1</v>
      </c>
      <c r="CL24" s="3">
        <v>0</v>
      </c>
      <c r="CM24" s="3">
        <v>0</v>
      </c>
      <c r="CN24" s="39">
        <v>1</v>
      </c>
      <c r="CO24" s="39">
        <v>0</v>
      </c>
      <c r="CP24" s="39">
        <v>0</v>
      </c>
      <c r="CQ24" s="39">
        <v>0</v>
      </c>
      <c r="CR24" s="39">
        <v>0</v>
      </c>
      <c r="CS24" s="39">
        <v>0</v>
      </c>
      <c r="CT24" s="39">
        <v>0</v>
      </c>
      <c r="CU24" s="39">
        <v>1</v>
      </c>
      <c r="CV24" s="39">
        <v>0</v>
      </c>
      <c r="CW24" s="39">
        <v>0</v>
      </c>
      <c r="CX24" s="39">
        <v>0</v>
      </c>
      <c r="CY24" s="39">
        <v>1</v>
      </c>
      <c r="CZ24" s="39">
        <v>0</v>
      </c>
      <c r="DA24" s="39">
        <v>0</v>
      </c>
      <c r="DB24" s="39">
        <v>0</v>
      </c>
      <c r="DC24" s="39">
        <v>0</v>
      </c>
      <c r="DD24" s="39">
        <v>1</v>
      </c>
      <c r="DE24" s="39">
        <v>0</v>
      </c>
      <c r="DF24" s="39">
        <v>0</v>
      </c>
      <c r="DG24" s="39">
        <v>0</v>
      </c>
      <c r="DH24" s="39">
        <v>0</v>
      </c>
      <c r="DI24" s="3">
        <v>1</v>
      </c>
      <c r="DJ24" s="3">
        <v>0</v>
      </c>
      <c r="DK24" s="3">
        <v>0</v>
      </c>
      <c r="DL24" s="3">
        <v>0</v>
      </c>
      <c r="DM24" s="3">
        <v>0</v>
      </c>
      <c r="DN24" s="3">
        <v>0</v>
      </c>
      <c r="DO24" s="3">
        <v>0</v>
      </c>
      <c r="DP24" s="3">
        <v>1</v>
      </c>
      <c r="DQ24" s="3">
        <v>0</v>
      </c>
      <c r="DR24" s="3">
        <v>0</v>
      </c>
      <c r="DS24" s="3">
        <v>1</v>
      </c>
      <c r="DT24" s="3">
        <v>0</v>
      </c>
      <c r="DU24" s="3">
        <v>0</v>
      </c>
      <c r="DV24" s="3">
        <v>0</v>
      </c>
      <c r="DW24" s="3">
        <v>0</v>
      </c>
      <c r="DX24" s="3">
        <v>0</v>
      </c>
      <c r="DY24" s="3">
        <v>0</v>
      </c>
      <c r="DZ24" s="3">
        <v>1</v>
      </c>
      <c r="EA24" s="3">
        <v>0</v>
      </c>
      <c r="EB24" s="3">
        <v>0</v>
      </c>
      <c r="EC24" s="39">
        <v>1</v>
      </c>
      <c r="ED24" s="39">
        <v>0</v>
      </c>
      <c r="EE24" s="39">
        <v>0</v>
      </c>
      <c r="EF24" s="39">
        <v>0</v>
      </c>
      <c r="EG24" s="39">
        <v>0</v>
      </c>
      <c r="EH24" s="39">
        <v>1</v>
      </c>
      <c r="EI24" s="39">
        <v>0</v>
      </c>
      <c r="EJ24" s="39">
        <v>0</v>
      </c>
      <c r="EK24" s="39">
        <v>0</v>
      </c>
      <c r="EL24" s="39">
        <v>1</v>
      </c>
      <c r="EM24" s="39">
        <v>0</v>
      </c>
      <c r="EN24" s="39">
        <v>0</v>
      </c>
      <c r="EO24" s="39">
        <v>0</v>
      </c>
      <c r="EP24" s="39">
        <v>0</v>
      </c>
      <c r="EQ24" s="39">
        <v>0</v>
      </c>
      <c r="ER24" s="39">
        <v>0</v>
      </c>
      <c r="ES24" s="39">
        <v>0</v>
      </c>
      <c r="ET24" s="39">
        <v>1</v>
      </c>
      <c r="EU24" s="39">
        <v>0</v>
      </c>
      <c r="EV24" s="39">
        <v>0</v>
      </c>
      <c r="EW24" s="39">
        <v>1</v>
      </c>
      <c r="EX24" s="39">
        <v>0</v>
      </c>
      <c r="EY24" s="39">
        <v>1</v>
      </c>
      <c r="EZ24" s="39">
        <v>0</v>
      </c>
      <c r="FA24" s="39">
        <v>0</v>
      </c>
      <c r="FB24" s="3">
        <v>0</v>
      </c>
      <c r="FC24" s="3">
        <v>0</v>
      </c>
      <c r="FD24" s="3">
        <v>0</v>
      </c>
      <c r="FE24" s="3">
        <v>1</v>
      </c>
      <c r="FF24" s="3">
        <v>0</v>
      </c>
      <c r="FG24" s="3">
        <v>1</v>
      </c>
      <c r="FH24" s="3">
        <v>1</v>
      </c>
      <c r="FI24" s="3">
        <v>1</v>
      </c>
      <c r="FJ24" s="3">
        <v>0</v>
      </c>
      <c r="FK24" s="3">
        <v>1</v>
      </c>
      <c r="FL24" s="3">
        <v>1</v>
      </c>
      <c r="FM24" s="3">
        <v>0</v>
      </c>
      <c r="FN24" s="3">
        <v>0</v>
      </c>
      <c r="FO24" s="3">
        <v>1</v>
      </c>
      <c r="FP24" s="3">
        <v>0</v>
      </c>
    </row>
    <row r="25" spans="1:172" x14ac:dyDescent="0.25">
      <c r="A25" t="s">
        <v>52</v>
      </c>
      <c r="B25" t="s">
        <v>54</v>
      </c>
      <c r="C25" t="s">
        <v>0</v>
      </c>
      <c r="D25" s="2" t="s">
        <v>87</v>
      </c>
      <c r="E25" s="3">
        <v>0</v>
      </c>
      <c r="F25" s="3">
        <v>0</v>
      </c>
      <c r="G25" s="3">
        <v>0</v>
      </c>
      <c r="H25" s="3">
        <v>1</v>
      </c>
      <c r="I25" s="3">
        <v>0</v>
      </c>
      <c r="J25" s="3">
        <v>0</v>
      </c>
      <c r="K25" s="3">
        <v>1</v>
      </c>
      <c r="L25" s="3">
        <v>0</v>
      </c>
      <c r="M25" s="3">
        <v>0</v>
      </c>
      <c r="N25" s="3">
        <v>0</v>
      </c>
      <c r="O25" s="3">
        <v>0</v>
      </c>
      <c r="P25" s="3">
        <v>0</v>
      </c>
      <c r="Q25" s="3">
        <v>0</v>
      </c>
      <c r="R25" s="3">
        <v>0</v>
      </c>
      <c r="S25" s="3">
        <v>0</v>
      </c>
      <c r="T25" s="3">
        <v>1</v>
      </c>
      <c r="U25" s="3">
        <v>0</v>
      </c>
      <c r="V25" s="3">
        <v>0</v>
      </c>
      <c r="W25" s="3">
        <v>0</v>
      </c>
      <c r="X25" s="3">
        <v>0</v>
      </c>
      <c r="Y25" s="3">
        <v>0</v>
      </c>
      <c r="Z25" s="3">
        <v>1</v>
      </c>
      <c r="AA25" s="3">
        <v>0</v>
      </c>
      <c r="AB25" s="3">
        <v>0</v>
      </c>
      <c r="AC25" s="3">
        <v>0</v>
      </c>
      <c r="AD25" s="3">
        <v>0</v>
      </c>
      <c r="AE25" s="3">
        <v>1</v>
      </c>
      <c r="AF25" s="3">
        <v>0</v>
      </c>
      <c r="AG25" s="3">
        <v>0</v>
      </c>
      <c r="AH25" s="3">
        <v>0</v>
      </c>
      <c r="AI25" s="3">
        <v>0</v>
      </c>
      <c r="AJ25" s="3">
        <v>0</v>
      </c>
      <c r="AK25" s="3">
        <v>1</v>
      </c>
      <c r="AL25" s="3">
        <v>0</v>
      </c>
      <c r="AM25" s="3">
        <v>0</v>
      </c>
      <c r="AN25" s="3">
        <v>0</v>
      </c>
      <c r="AO25" s="3">
        <v>0</v>
      </c>
      <c r="AP25" s="3">
        <v>1</v>
      </c>
      <c r="AQ25" s="3">
        <v>0</v>
      </c>
      <c r="AR25" s="3">
        <v>0</v>
      </c>
      <c r="AS25" s="3">
        <v>0</v>
      </c>
      <c r="AT25" s="3">
        <v>0</v>
      </c>
      <c r="AU25" s="3">
        <v>0</v>
      </c>
      <c r="AV25" s="3">
        <v>1</v>
      </c>
      <c r="AW25" s="3">
        <v>0</v>
      </c>
      <c r="AX25" s="3">
        <v>0</v>
      </c>
      <c r="AY25" s="3">
        <v>0</v>
      </c>
      <c r="AZ25" s="3">
        <v>0</v>
      </c>
      <c r="BA25" s="3">
        <v>1</v>
      </c>
      <c r="BB25" s="3">
        <v>0</v>
      </c>
      <c r="BC25" s="3">
        <v>0</v>
      </c>
      <c r="BD25" s="3">
        <v>0</v>
      </c>
      <c r="BE25" s="3">
        <v>0</v>
      </c>
      <c r="BF25" s="3">
        <v>0</v>
      </c>
      <c r="BG25" s="3">
        <v>1</v>
      </c>
      <c r="BH25" s="3">
        <v>0</v>
      </c>
      <c r="BI25" s="3">
        <v>0</v>
      </c>
      <c r="BJ25" s="3">
        <v>0</v>
      </c>
      <c r="BK25" s="3">
        <v>0</v>
      </c>
      <c r="BL25" s="3">
        <v>1</v>
      </c>
      <c r="BM25" s="3">
        <v>0</v>
      </c>
      <c r="BN25" s="3">
        <v>0</v>
      </c>
      <c r="BO25" s="3">
        <v>0</v>
      </c>
      <c r="BP25" s="3">
        <v>0</v>
      </c>
      <c r="BQ25" s="3">
        <v>0</v>
      </c>
      <c r="BR25" s="3">
        <v>0</v>
      </c>
      <c r="BS25" s="3">
        <v>1</v>
      </c>
      <c r="BT25" s="3">
        <v>0</v>
      </c>
      <c r="BU25" s="3">
        <v>0</v>
      </c>
      <c r="BV25" s="3">
        <v>0</v>
      </c>
      <c r="BW25" s="3">
        <v>0</v>
      </c>
      <c r="BX25" s="3">
        <v>1</v>
      </c>
      <c r="BY25" s="3">
        <v>0</v>
      </c>
      <c r="BZ25" s="3">
        <v>0</v>
      </c>
      <c r="CA25" s="3">
        <v>0</v>
      </c>
      <c r="CB25" s="3">
        <v>0</v>
      </c>
      <c r="CC25" s="3">
        <v>1</v>
      </c>
      <c r="CD25" s="3">
        <v>0</v>
      </c>
      <c r="CE25" s="3">
        <v>0</v>
      </c>
      <c r="CF25" s="3">
        <v>0</v>
      </c>
      <c r="CG25" s="3">
        <v>0</v>
      </c>
      <c r="CH25" s="3">
        <v>1</v>
      </c>
      <c r="CI25" s="3">
        <v>0</v>
      </c>
      <c r="CJ25" s="3">
        <v>0</v>
      </c>
      <c r="CK25" s="3">
        <v>1</v>
      </c>
      <c r="CL25" s="3">
        <v>0</v>
      </c>
      <c r="CM25" s="3">
        <v>0</v>
      </c>
      <c r="CN25" s="39">
        <v>0</v>
      </c>
      <c r="CO25" s="39">
        <v>0</v>
      </c>
      <c r="CP25" s="39">
        <v>0</v>
      </c>
      <c r="CQ25" s="39">
        <v>0</v>
      </c>
      <c r="CR25" s="39">
        <v>1</v>
      </c>
      <c r="CS25" s="39">
        <v>0</v>
      </c>
      <c r="CT25" s="39">
        <v>0</v>
      </c>
      <c r="CU25" s="39">
        <v>0</v>
      </c>
      <c r="CV25" s="39">
        <v>0</v>
      </c>
      <c r="CW25" s="39">
        <v>0</v>
      </c>
      <c r="CX25" s="39">
        <v>1</v>
      </c>
      <c r="CY25" s="39">
        <v>0</v>
      </c>
      <c r="CZ25" s="39">
        <v>0</v>
      </c>
      <c r="DA25" s="39">
        <v>0</v>
      </c>
      <c r="DB25" s="39">
        <v>0</v>
      </c>
      <c r="DC25" s="39">
        <v>1</v>
      </c>
      <c r="DD25" s="39">
        <v>0</v>
      </c>
      <c r="DE25" s="39">
        <v>0</v>
      </c>
      <c r="DF25" s="39">
        <v>1</v>
      </c>
      <c r="DG25" s="39">
        <v>0</v>
      </c>
      <c r="DH25" s="39">
        <v>0</v>
      </c>
      <c r="DI25" s="3">
        <v>0</v>
      </c>
      <c r="DJ25" s="3">
        <v>0</v>
      </c>
      <c r="DK25" s="3">
        <v>0</v>
      </c>
      <c r="DL25" s="3">
        <v>0</v>
      </c>
      <c r="DM25" s="3">
        <v>1</v>
      </c>
      <c r="DN25" s="3">
        <v>0</v>
      </c>
      <c r="DO25" s="3">
        <v>0</v>
      </c>
      <c r="DP25" s="3">
        <v>0</v>
      </c>
      <c r="DQ25" s="3">
        <v>0</v>
      </c>
      <c r="DR25" s="3">
        <v>1</v>
      </c>
      <c r="DS25" s="3">
        <v>0</v>
      </c>
      <c r="DT25" s="3">
        <v>0</v>
      </c>
      <c r="DU25" s="3">
        <v>0</v>
      </c>
      <c r="DV25" s="3">
        <v>0</v>
      </c>
      <c r="DW25" s="3">
        <v>1</v>
      </c>
      <c r="DX25" s="3">
        <v>0</v>
      </c>
      <c r="DY25" s="3">
        <v>0</v>
      </c>
      <c r="DZ25" s="3">
        <v>0</v>
      </c>
      <c r="EA25" s="3">
        <v>0</v>
      </c>
      <c r="EB25" s="3">
        <v>1</v>
      </c>
      <c r="EC25" s="39">
        <v>0</v>
      </c>
      <c r="ED25" s="39">
        <v>0</v>
      </c>
      <c r="EE25" s="39">
        <v>0</v>
      </c>
      <c r="EF25" s="39">
        <v>0</v>
      </c>
      <c r="EG25" s="39">
        <v>1</v>
      </c>
      <c r="EH25" s="39">
        <v>0</v>
      </c>
      <c r="EI25" s="39">
        <v>0</v>
      </c>
      <c r="EJ25" s="39">
        <v>1</v>
      </c>
      <c r="EK25" s="39">
        <v>0</v>
      </c>
      <c r="EL25" s="39">
        <v>0</v>
      </c>
      <c r="EM25" s="39">
        <v>0</v>
      </c>
      <c r="EN25" s="39">
        <v>1</v>
      </c>
      <c r="EO25" s="39">
        <v>0</v>
      </c>
      <c r="EP25" s="39">
        <v>0</v>
      </c>
      <c r="EQ25" s="39">
        <v>0</v>
      </c>
      <c r="ER25" s="39">
        <v>0</v>
      </c>
      <c r="ES25" s="39">
        <v>0</v>
      </c>
      <c r="ET25" s="39">
        <v>1</v>
      </c>
      <c r="EU25" s="39">
        <v>0</v>
      </c>
      <c r="EV25" s="39">
        <v>0</v>
      </c>
      <c r="EW25" s="39">
        <v>1</v>
      </c>
      <c r="EX25" s="39">
        <v>0</v>
      </c>
      <c r="EY25" s="39">
        <v>0</v>
      </c>
      <c r="EZ25" s="39">
        <v>1</v>
      </c>
      <c r="FA25" s="39">
        <v>0</v>
      </c>
      <c r="FB25" s="3">
        <v>0</v>
      </c>
      <c r="FC25" s="3">
        <v>0</v>
      </c>
      <c r="FD25" s="3">
        <v>0</v>
      </c>
      <c r="FE25" s="3">
        <v>1</v>
      </c>
      <c r="FF25" s="3">
        <v>0</v>
      </c>
      <c r="FG25" s="3">
        <v>0</v>
      </c>
      <c r="FH25" s="3">
        <v>0</v>
      </c>
      <c r="FI25" s="3">
        <v>0</v>
      </c>
      <c r="FJ25" s="3">
        <v>0</v>
      </c>
      <c r="FK25" s="3">
        <v>0</v>
      </c>
      <c r="FL25" s="3">
        <v>0</v>
      </c>
      <c r="FM25" s="3">
        <v>0</v>
      </c>
      <c r="FN25" s="3">
        <v>0</v>
      </c>
      <c r="FO25" s="3">
        <v>0</v>
      </c>
      <c r="FP25" s="3">
        <v>0</v>
      </c>
    </row>
    <row r="26" spans="1:172" x14ac:dyDescent="0.25">
      <c r="A26" t="s">
        <v>25</v>
      </c>
      <c r="B26" t="s">
        <v>57</v>
      </c>
      <c r="C26" t="s">
        <v>14</v>
      </c>
      <c r="D26" s="2" t="s">
        <v>88</v>
      </c>
      <c r="E26" s="3">
        <v>0</v>
      </c>
      <c r="F26" s="3">
        <v>0</v>
      </c>
      <c r="G26" s="3">
        <v>0</v>
      </c>
      <c r="H26" s="3">
        <v>1</v>
      </c>
      <c r="I26" s="3">
        <v>1</v>
      </c>
      <c r="J26" s="3">
        <v>0</v>
      </c>
      <c r="K26" s="3">
        <v>0</v>
      </c>
      <c r="L26" s="3">
        <v>0</v>
      </c>
      <c r="M26" s="3">
        <v>0</v>
      </c>
      <c r="N26" s="3">
        <v>0</v>
      </c>
      <c r="O26" s="3">
        <v>0</v>
      </c>
      <c r="P26" s="3">
        <v>1</v>
      </c>
      <c r="Q26" s="3">
        <v>0</v>
      </c>
      <c r="R26" s="3">
        <v>0</v>
      </c>
      <c r="S26" s="3">
        <v>0</v>
      </c>
      <c r="T26" s="3">
        <v>0</v>
      </c>
      <c r="U26" s="3">
        <v>1</v>
      </c>
      <c r="V26" s="3">
        <v>0</v>
      </c>
      <c r="W26" s="3">
        <v>0</v>
      </c>
      <c r="X26" s="3">
        <v>0</v>
      </c>
      <c r="Y26" s="3">
        <v>0</v>
      </c>
      <c r="Z26" s="3">
        <v>0</v>
      </c>
      <c r="AA26" s="3">
        <v>1</v>
      </c>
      <c r="AB26" s="3">
        <v>0</v>
      </c>
      <c r="AC26" s="3">
        <v>0</v>
      </c>
      <c r="AD26" s="3">
        <v>0</v>
      </c>
      <c r="AE26" s="3">
        <v>0</v>
      </c>
      <c r="AF26" s="3">
        <v>1</v>
      </c>
      <c r="AG26" s="3">
        <v>0</v>
      </c>
      <c r="AH26" s="3">
        <v>0</v>
      </c>
      <c r="AI26" s="3">
        <v>0</v>
      </c>
      <c r="AJ26" s="3">
        <v>0</v>
      </c>
      <c r="AK26" s="3">
        <v>0</v>
      </c>
      <c r="AL26" s="3">
        <v>1</v>
      </c>
      <c r="AM26" s="3">
        <v>0</v>
      </c>
      <c r="AN26" s="3">
        <v>0</v>
      </c>
      <c r="AO26" s="3">
        <v>0</v>
      </c>
      <c r="AP26" s="3">
        <v>0</v>
      </c>
      <c r="AQ26" s="3">
        <v>1</v>
      </c>
      <c r="AR26" s="3">
        <v>0</v>
      </c>
      <c r="AS26" s="3">
        <v>0</v>
      </c>
      <c r="AT26" s="3">
        <v>0</v>
      </c>
      <c r="AU26" s="3">
        <v>0</v>
      </c>
      <c r="AV26" s="3">
        <v>0</v>
      </c>
      <c r="AW26" s="3">
        <v>1</v>
      </c>
      <c r="AX26" s="3">
        <v>0</v>
      </c>
      <c r="AY26" s="3">
        <v>0</v>
      </c>
      <c r="AZ26" s="3">
        <v>0</v>
      </c>
      <c r="BA26" s="3">
        <v>0</v>
      </c>
      <c r="BB26" s="3">
        <v>1</v>
      </c>
      <c r="BC26" s="3">
        <v>0</v>
      </c>
      <c r="BD26" s="3">
        <v>0</v>
      </c>
      <c r="BE26" s="3">
        <v>0</v>
      </c>
      <c r="BF26" s="3">
        <v>0</v>
      </c>
      <c r="BG26" s="3">
        <v>0</v>
      </c>
      <c r="BH26" s="3">
        <v>1</v>
      </c>
      <c r="BI26" s="3">
        <v>0</v>
      </c>
      <c r="BJ26" s="3">
        <v>0</v>
      </c>
      <c r="BK26" s="3">
        <v>0</v>
      </c>
      <c r="BL26" s="3">
        <v>0</v>
      </c>
      <c r="BM26" s="3">
        <v>1</v>
      </c>
      <c r="BN26" s="3">
        <v>0</v>
      </c>
      <c r="BO26" s="3">
        <v>0</v>
      </c>
      <c r="BP26" s="3">
        <v>0</v>
      </c>
      <c r="BQ26" s="3">
        <v>0</v>
      </c>
      <c r="BR26" s="3">
        <v>0</v>
      </c>
      <c r="BS26" s="3">
        <v>0</v>
      </c>
      <c r="BT26" s="3">
        <v>1</v>
      </c>
      <c r="BU26" s="3">
        <v>0</v>
      </c>
      <c r="BV26" s="3">
        <v>0</v>
      </c>
      <c r="BW26" s="3">
        <v>0</v>
      </c>
      <c r="BX26" s="3">
        <v>0</v>
      </c>
      <c r="BY26" s="3">
        <v>1</v>
      </c>
      <c r="BZ26" s="3">
        <v>0</v>
      </c>
      <c r="CA26" s="3">
        <v>0</v>
      </c>
      <c r="CB26" s="3">
        <v>0</v>
      </c>
      <c r="CC26" s="3">
        <v>0</v>
      </c>
      <c r="CD26" s="3">
        <v>1</v>
      </c>
      <c r="CE26" s="3">
        <v>0</v>
      </c>
      <c r="CF26" s="3">
        <v>0</v>
      </c>
      <c r="CG26" s="3">
        <v>0</v>
      </c>
      <c r="CH26" s="3">
        <v>0</v>
      </c>
      <c r="CI26" s="3">
        <v>1</v>
      </c>
      <c r="CJ26" s="3">
        <v>0</v>
      </c>
      <c r="CK26" s="3">
        <v>0</v>
      </c>
      <c r="CL26" s="3">
        <v>0</v>
      </c>
      <c r="CM26" s="3">
        <v>0</v>
      </c>
      <c r="CN26" s="39">
        <v>1</v>
      </c>
      <c r="CO26" s="39">
        <v>0</v>
      </c>
      <c r="CP26" s="39">
        <v>0</v>
      </c>
      <c r="CQ26" s="39">
        <v>0</v>
      </c>
      <c r="CR26" s="39">
        <v>0</v>
      </c>
      <c r="CS26" s="39">
        <v>1</v>
      </c>
      <c r="CT26" s="39">
        <v>0</v>
      </c>
      <c r="CU26" s="39">
        <v>0</v>
      </c>
      <c r="CV26" s="39">
        <v>0</v>
      </c>
      <c r="CW26" s="39">
        <v>0</v>
      </c>
      <c r="CX26" s="39">
        <v>0</v>
      </c>
      <c r="CY26" s="39">
        <v>1</v>
      </c>
      <c r="CZ26" s="39">
        <v>0</v>
      </c>
      <c r="DA26" s="39">
        <v>0</v>
      </c>
      <c r="DB26" s="39">
        <v>0</v>
      </c>
      <c r="DC26" s="39">
        <v>0</v>
      </c>
      <c r="DD26" s="39">
        <v>1</v>
      </c>
      <c r="DE26" s="39">
        <v>0</v>
      </c>
      <c r="DF26" s="39">
        <v>0</v>
      </c>
      <c r="DG26" s="39">
        <v>0</v>
      </c>
      <c r="DH26" s="39">
        <v>0</v>
      </c>
      <c r="DI26" s="3">
        <v>1</v>
      </c>
      <c r="DJ26" s="3">
        <v>0</v>
      </c>
      <c r="DK26" s="3">
        <v>0</v>
      </c>
      <c r="DL26" s="3">
        <v>0</v>
      </c>
      <c r="DM26" s="3">
        <v>0</v>
      </c>
      <c r="DN26" s="3">
        <v>1</v>
      </c>
      <c r="DO26" s="3">
        <v>0</v>
      </c>
      <c r="DP26" s="3">
        <v>0</v>
      </c>
      <c r="DQ26" s="3">
        <v>0</v>
      </c>
      <c r="DR26" s="3">
        <v>0</v>
      </c>
      <c r="DS26" s="3">
        <v>1</v>
      </c>
      <c r="DT26" s="3">
        <v>0</v>
      </c>
      <c r="DU26" s="3">
        <v>0</v>
      </c>
      <c r="DV26" s="3">
        <v>0</v>
      </c>
      <c r="DW26" s="3">
        <v>0</v>
      </c>
      <c r="DX26" s="3">
        <v>1</v>
      </c>
      <c r="DY26" s="3">
        <v>0</v>
      </c>
      <c r="DZ26" s="3">
        <v>0</v>
      </c>
      <c r="EA26" s="3">
        <v>0</v>
      </c>
      <c r="EB26" s="3">
        <v>0</v>
      </c>
      <c r="EC26" s="39">
        <v>1</v>
      </c>
      <c r="ED26" s="39">
        <v>0</v>
      </c>
      <c r="EE26" s="39">
        <v>0</v>
      </c>
      <c r="EF26" s="39">
        <v>0</v>
      </c>
      <c r="EG26" s="39">
        <v>0</v>
      </c>
      <c r="EH26" s="39">
        <v>0</v>
      </c>
      <c r="EI26" s="39">
        <v>0</v>
      </c>
      <c r="EJ26" s="39">
        <v>1</v>
      </c>
      <c r="EK26" s="39">
        <v>0</v>
      </c>
      <c r="EL26" s="39">
        <v>0</v>
      </c>
      <c r="EM26" s="39">
        <v>0</v>
      </c>
      <c r="EN26" s="39">
        <v>1</v>
      </c>
      <c r="EO26" s="39">
        <v>0</v>
      </c>
      <c r="EP26" s="39">
        <v>0</v>
      </c>
      <c r="EQ26" s="39">
        <v>0</v>
      </c>
      <c r="ER26" s="39">
        <v>0</v>
      </c>
      <c r="ES26" s="39">
        <v>1</v>
      </c>
      <c r="ET26" s="39">
        <v>0</v>
      </c>
      <c r="EU26" s="39">
        <v>1</v>
      </c>
      <c r="EV26" s="39">
        <v>0</v>
      </c>
      <c r="EW26" s="39">
        <v>0</v>
      </c>
      <c r="EX26" s="39">
        <v>1</v>
      </c>
      <c r="EY26" s="39">
        <v>0</v>
      </c>
      <c r="EZ26" s="39">
        <v>0</v>
      </c>
      <c r="FA26" s="39">
        <v>0</v>
      </c>
      <c r="FB26" s="3">
        <v>0</v>
      </c>
      <c r="FC26" s="3">
        <v>0</v>
      </c>
      <c r="FD26" s="3">
        <v>0</v>
      </c>
      <c r="FE26" s="3">
        <v>1</v>
      </c>
      <c r="FF26" s="3">
        <v>0</v>
      </c>
      <c r="FG26" s="3">
        <v>0</v>
      </c>
      <c r="FH26" s="3">
        <v>1</v>
      </c>
      <c r="FI26" s="3">
        <v>0</v>
      </c>
      <c r="FJ26" s="3">
        <v>0</v>
      </c>
      <c r="FK26" s="3">
        <v>0</v>
      </c>
      <c r="FL26" s="3">
        <v>0</v>
      </c>
      <c r="FM26" s="3">
        <v>0</v>
      </c>
      <c r="FN26" s="3">
        <v>0</v>
      </c>
      <c r="FO26" s="3">
        <v>0</v>
      </c>
      <c r="FP26" s="3">
        <v>0</v>
      </c>
    </row>
    <row r="27" spans="1:172" x14ac:dyDescent="0.25">
      <c r="A27" t="s">
        <v>51</v>
      </c>
      <c r="B27" t="s">
        <v>57</v>
      </c>
      <c r="C27" t="s">
        <v>32</v>
      </c>
      <c r="D27" s="2" t="s">
        <v>89</v>
      </c>
      <c r="E27" s="3">
        <v>0</v>
      </c>
      <c r="F27" s="3">
        <v>0</v>
      </c>
      <c r="G27" s="3">
        <v>0</v>
      </c>
      <c r="H27" s="3">
        <v>1</v>
      </c>
      <c r="I27" s="3">
        <v>0</v>
      </c>
      <c r="J27" s="3">
        <v>0</v>
      </c>
      <c r="K27" s="3">
        <v>0</v>
      </c>
      <c r="L27" s="3">
        <v>0</v>
      </c>
      <c r="M27" s="3">
        <v>0</v>
      </c>
      <c r="N27" s="3">
        <v>0</v>
      </c>
      <c r="O27" s="3">
        <v>1</v>
      </c>
      <c r="P27" s="3">
        <v>0</v>
      </c>
      <c r="Q27" s="3">
        <v>0</v>
      </c>
      <c r="R27" s="3">
        <v>0</v>
      </c>
      <c r="S27" s="3">
        <v>0</v>
      </c>
      <c r="T27" s="3">
        <v>1</v>
      </c>
      <c r="U27" s="3">
        <v>0</v>
      </c>
      <c r="V27" s="3">
        <v>0</v>
      </c>
      <c r="W27" s="3">
        <v>0</v>
      </c>
      <c r="X27" s="3">
        <v>0</v>
      </c>
      <c r="Y27" s="3">
        <v>0</v>
      </c>
      <c r="Z27" s="3">
        <v>1</v>
      </c>
      <c r="AA27" s="3">
        <v>0</v>
      </c>
      <c r="AB27" s="3">
        <v>0</v>
      </c>
      <c r="AC27" s="3">
        <v>0</v>
      </c>
      <c r="AD27" s="3">
        <v>0</v>
      </c>
      <c r="AE27" s="3">
        <v>1</v>
      </c>
      <c r="AF27" s="3">
        <v>0</v>
      </c>
      <c r="AG27" s="3">
        <v>0</v>
      </c>
      <c r="AH27" s="3">
        <v>0</v>
      </c>
      <c r="AI27" s="3">
        <v>0</v>
      </c>
      <c r="AJ27" s="3">
        <v>0</v>
      </c>
      <c r="AK27" s="3">
        <v>1</v>
      </c>
      <c r="AL27" s="3">
        <v>0</v>
      </c>
      <c r="AM27" s="3">
        <v>0</v>
      </c>
      <c r="AN27" s="3">
        <v>0</v>
      </c>
      <c r="AO27" s="3">
        <v>0</v>
      </c>
      <c r="AP27" s="3">
        <v>1</v>
      </c>
      <c r="AQ27" s="3">
        <v>0</v>
      </c>
      <c r="AR27" s="3">
        <v>0</v>
      </c>
      <c r="AS27" s="3">
        <v>0</v>
      </c>
      <c r="AT27" s="3">
        <v>0</v>
      </c>
      <c r="AU27" s="3">
        <v>0</v>
      </c>
      <c r="AV27" s="3">
        <v>1</v>
      </c>
      <c r="AW27" s="3">
        <v>0</v>
      </c>
      <c r="AX27" s="3">
        <v>0</v>
      </c>
      <c r="AY27" s="3">
        <v>0</v>
      </c>
      <c r="AZ27" s="3">
        <v>0</v>
      </c>
      <c r="BA27" s="3">
        <v>1</v>
      </c>
      <c r="BB27" s="3">
        <v>0</v>
      </c>
      <c r="BC27" s="3">
        <v>0</v>
      </c>
      <c r="BD27" s="3">
        <v>1</v>
      </c>
      <c r="BE27" s="3">
        <v>0</v>
      </c>
      <c r="BF27" s="3">
        <v>0</v>
      </c>
      <c r="BG27" s="3">
        <v>0</v>
      </c>
      <c r="BH27" s="3">
        <v>0</v>
      </c>
      <c r="BI27" s="3">
        <v>0</v>
      </c>
      <c r="BJ27" s="3">
        <v>0</v>
      </c>
      <c r="BK27" s="3">
        <v>0</v>
      </c>
      <c r="BL27" s="3">
        <v>1</v>
      </c>
      <c r="BM27" s="3">
        <v>0</v>
      </c>
      <c r="BN27" s="3">
        <v>0</v>
      </c>
      <c r="BO27" s="3">
        <v>0</v>
      </c>
      <c r="BP27" s="3">
        <v>0</v>
      </c>
      <c r="BQ27" s="3">
        <v>0</v>
      </c>
      <c r="BR27" s="3">
        <v>0</v>
      </c>
      <c r="BS27" s="3">
        <v>1</v>
      </c>
      <c r="BT27" s="3">
        <v>0</v>
      </c>
      <c r="BU27" s="3">
        <v>0</v>
      </c>
      <c r="BV27" s="3">
        <v>0</v>
      </c>
      <c r="BW27" s="3">
        <v>0</v>
      </c>
      <c r="BX27" s="3">
        <v>1</v>
      </c>
      <c r="BY27" s="3">
        <v>0</v>
      </c>
      <c r="BZ27" s="3">
        <v>0</v>
      </c>
      <c r="CA27" s="3">
        <v>0</v>
      </c>
      <c r="CB27" s="3">
        <v>0</v>
      </c>
      <c r="CC27" s="3">
        <v>1</v>
      </c>
      <c r="CD27" s="3">
        <v>0</v>
      </c>
      <c r="CE27" s="3">
        <v>0</v>
      </c>
      <c r="CF27" s="3">
        <v>0</v>
      </c>
      <c r="CG27" s="3">
        <v>0</v>
      </c>
      <c r="CH27" s="3">
        <v>1</v>
      </c>
      <c r="CI27" s="3">
        <v>0</v>
      </c>
      <c r="CJ27" s="3">
        <v>0</v>
      </c>
      <c r="CK27" s="3">
        <v>0</v>
      </c>
      <c r="CL27" s="3">
        <v>0</v>
      </c>
      <c r="CM27" s="3">
        <v>1</v>
      </c>
      <c r="CN27" s="39">
        <v>0</v>
      </c>
      <c r="CO27" s="39">
        <v>0</v>
      </c>
      <c r="CP27" s="39">
        <v>0</v>
      </c>
      <c r="CQ27" s="39">
        <v>0</v>
      </c>
      <c r="CR27" s="39">
        <v>1</v>
      </c>
      <c r="CS27" s="39">
        <v>0</v>
      </c>
      <c r="CT27" s="39">
        <v>0</v>
      </c>
      <c r="CU27" s="39">
        <v>0</v>
      </c>
      <c r="CV27" s="39">
        <v>0</v>
      </c>
      <c r="CW27" s="39">
        <v>0</v>
      </c>
      <c r="CX27" s="39">
        <v>1</v>
      </c>
      <c r="CY27" s="39">
        <v>0</v>
      </c>
      <c r="CZ27" s="39">
        <v>0</v>
      </c>
      <c r="DA27" s="39">
        <v>0</v>
      </c>
      <c r="DB27" s="39">
        <v>0</v>
      </c>
      <c r="DC27" s="39">
        <v>1</v>
      </c>
      <c r="DD27" s="39">
        <v>0</v>
      </c>
      <c r="DE27" s="39">
        <v>0</v>
      </c>
      <c r="DF27" s="39">
        <v>0</v>
      </c>
      <c r="DG27" s="39">
        <v>0</v>
      </c>
      <c r="DH27" s="39">
        <v>1</v>
      </c>
      <c r="DI27" s="3">
        <v>0</v>
      </c>
      <c r="DJ27" s="3">
        <v>0</v>
      </c>
      <c r="DK27" s="3">
        <v>0</v>
      </c>
      <c r="DL27" s="3">
        <v>0</v>
      </c>
      <c r="DM27" s="3">
        <v>1</v>
      </c>
      <c r="DN27" s="3">
        <v>0</v>
      </c>
      <c r="DO27" s="3">
        <v>0</v>
      </c>
      <c r="DP27" s="3">
        <v>0</v>
      </c>
      <c r="DQ27" s="3">
        <v>0</v>
      </c>
      <c r="DR27" s="3">
        <v>1</v>
      </c>
      <c r="DS27" s="3">
        <v>0</v>
      </c>
      <c r="DT27" s="3">
        <v>0</v>
      </c>
      <c r="DU27" s="3">
        <v>0</v>
      </c>
      <c r="DV27" s="3">
        <v>0</v>
      </c>
      <c r="DW27" s="3">
        <v>1</v>
      </c>
      <c r="DX27" s="3">
        <v>0</v>
      </c>
      <c r="DY27" s="3">
        <v>0</v>
      </c>
      <c r="DZ27" s="3">
        <v>0</v>
      </c>
      <c r="EA27" s="3">
        <v>0</v>
      </c>
      <c r="EB27" s="3">
        <v>1</v>
      </c>
      <c r="EC27" s="39">
        <v>0</v>
      </c>
      <c r="ED27" s="39">
        <v>0</v>
      </c>
      <c r="EE27" s="39">
        <v>0</v>
      </c>
      <c r="EF27" s="39">
        <v>0</v>
      </c>
      <c r="EG27" s="39">
        <v>1</v>
      </c>
      <c r="EH27" s="39">
        <v>0</v>
      </c>
      <c r="EI27" s="39">
        <v>0</v>
      </c>
      <c r="EJ27" s="39">
        <v>1</v>
      </c>
      <c r="EK27" s="39">
        <v>0</v>
      </c>
      <c r="EL27" s="39">
        <v>1</v>
      </c>
      <c r="EM27" s="39">
        <v>0</v>
      </c>
      <c r="EN27" s="39">
        <v>0</v>
      </c>
      <c r="EO27" s="39">
        <v>0</v>
      </c>
      <c r="EP27" s="39">
        <v>0</v>
      </c>
      <c r="EQ27" s="39">
        <v>0</v>
      </c>
      <c r="ER27" s="39">
        <v>0</v>
      </c>
      <c r="ES27" s="39">
        <v>0</v>
      </c>
      <c r="ET27" s="39">
        <v>1</v>
      </c>
      <c r="EU27" s="39">
        <v>0</v>
      </c>
      <c r="EV27" s="39">
        <v>0</v>
      </c>
      <c r="EW27" s="39">
        <v>1</v>
      </c>
      <c r="EX27" s="39">
        <v>0</v>
      </c>
      <c r="EY27" s="39">
        <v>0</v>
      </c>
      <c r="EZ27" s="39">
        <v>1</v>
      </c>
      <c r="FA27" s="39">
        <v>0</v>
      </c>
      <c r="FB27" s="3">
        <v>0</v>
      </c>
      <c r="FC27" s="3">
        <v>0</v>
      </c>
      <c r="FD27" s="3">
        <v>0</v>
      </c>
      <c r="FE27" s="3">
        <v>1</v>
      </c>
      <c r="FF27" s="3">
        <v>0</v>
      </c>
      <c r="FG27" s="3">
        <v>0</v>
      </c>
      <c r="FH27" s="3">
        <v>0</v>
      </c>
      <c r="FI27" s="3">
        <v>0</v>
      </c>
      <c r="FJ27" s="3">
        <v>0</v>
      </c>
      <c r="FK27" s="3">
        <v>0</v>
      </c>
      <c r="FL27" s="3">
        <v>1</v>
      </c>
      <c r="FM27" s="3">
        <v>0</v>
      </c>
      <c r="FN27" s="3">
        <v>1</v>
      </c>
      <c r="FO27" s="3">
        <v>0</v>
      </c>
      <c r="FP27" s="3">
        <v>0</v>
      </c>
    </row>
    <row r="28" spans="1:172" x14ac:dyDescent="0.25">
      <c r="A28" t="s">
        <v>46</v>
      </c>
      <c r="B28" t="s">
        <v>53</v>
      </c>
      <c r="C28" t="s">
        <v>7</v>
      </c>
      <c r="D28" s="2" t="s">
        <v>90</v>
      </c>
      <c r="E28" s="3">
        <v>0</v>
      </c>
      <c r="F28" s="3">
        <v>0</v>
      </c>
      <c r="G28" s="3">
        <v>0</v>
      </c>
      <c r="H28" s="3">
        <v>1</v>
      </c>
      <c r="I28" s="3">
        <v>0</v>
      </c>
      <c r="J28" s="3">
        <v>0</v>
      </c>
      <c r="K28" s="3">
        <v>1</v>
      </c>
      <c r="L28" s="3">
        <v>0</v>
      </c>
      <c r="M28" s="3">
        <v>0</v>
      </c>
      <c r="N28" s="3">
        <v>0</v>
      </c>
      <c r="O28" s="3">
        <v>0</v>
      </c>
      <c r="P28" s="3">
        <v>0</v>
      </c>
      <c r="Q28" s="3">
        <v>0</v>
      </c>
      <c r="R28" s="3">
        <v>1</v>
      </c>
      <c r="S28" s="3">
        <v>0</v>
      </c>
      <c r="T28" s="3">
        <v>0</v>
      </c>
      <c r="U28" s="3">
        <v>1</v>
      </c>
      <c r="V28" s="3">
        <v>0</v>
      </c>
      <c r="W28" s="3">
        <v>0</v>
      </c>
      <c r="X28" s="3">
        <v>0</v>
      </c>
      <c r="Y28" s="3">
        <v>0</v>
      </c>
      <c r="Z28" s="3">
        <v>0</v>
      </c>
      <c r="AA28" s="3">
        <v>0</v>
      </c>
      <c r="AB28" s="3">
        <v>0</v>
      </c>
      <c r="AC28" s="3">
        <v>1</v>
      </c>
      <c r="AD28" s="3">
        <v>0</v>
      </c>
      <c r="AE28" s="3">
        <v>0</v>
      </c>
      <c r="AF28" s="3">
        <v>0</v>
      </c>
      <c r="AG28" s="3">
        <v>0</v>
      </c>
      <c r="AH28" s="3">
        <v>1</v>
      </c>
      <c r="AI28" s="3">
        <v>0</v>
      </c>
      <c r="AJ28" s="3">
        <v>0</v>
      </c>
      <c r="AK28" s="3">
        <v>0</v>
      </c>
      <c r="AL28" s="3">
        <v>0</v>
      </c>
      <c r="AM28" s="3">
        <v>0</v>
      </c>
      <c r="AN28" s="3">
        <v>1</v>
      </c>
      <c r="AO28" s="3">
        <v>0</v>
      </c>
      <c r="AP28" s="3">
        <v>0</v>
      </c>
      <c r="AQ28" s="3">
        <v>1</v>
      </c>
      <c r="AR28" s="3">
        <v>0</v>
      </c>
      <c r="AS28" s="3">
        <v>0</v>
      </c>
      <c r="AT28" s="3">
        <v>0</v>
      </c>
      <c r="AU28" s="3">
        <v>0</v>
      </c>
      <c r="AV28" s="3">
        <v>0</v>
      </c>
      <c r="AW28" s="3">
        <v>0</v>
      </c>
      <c r="AX28" s="3">
        <v>0</v>
      </c>
      <c r="AY28" s="3">
        <v>1</v>
      </c>
      <c r="AZ28" s="3">
        <v>0</v>
      </c>
      <c r="BA28" s="3">
        <v>0</v>
      </c>
      <c r="BB28" s="3">
        <v>0</v>
      </c>
      <c r="BC28" s="3">
        <v>0</v>
      </c>
      <c r="BD28" s="3">
        <v>1</v>
      </c>
      <c r="BE28" s="3">
        <v>0</v>
      </c>
      <c r="BF28" s="3">
        <v>0</v>
      </c>
      <c r="BG28" s="3">
        <v>0</v>
      </c>
      <c r="BH28" s="3">
        <v>0</v>
      </c>
      <c r="BI28" s="3">
        <v>0</v>
      </c>
      <c r="BJ28" s="3">
        <v>1</v>
      </c>
      <c r="BK28" s="3">
        <v>0</v>
      </c>
      <c r="BL28" s="3">
        <v>0</v>
      </c>
      <c r="BM28" s="3">
        <v>1</v>
      </c>
      <c r="BN28" s="3">
        <v>0</v>
      </c>
      <c r="BO28" s="3">
        <v>0</v>
      </c>
      <c r="BP28" s="3">
        <v>0</v>
      </c>
      <c r="BQ28" s="3">
        <v>0</v>
      </c>
      <c r="BR28" s="3">
        <v>0</v>
      </c>
      <c r="BS28" s="3">
        <v>0</v>
      </c>
      <c r="BT28" s="3">
        <v>0</v>
      </c>
      <c r="BU28" s="3">
        <v>0</v>
      </c>
      <c r="BV28" s="3">
        <v>1</v>
      </c>
      <c r="BW28" s="3">
        <v>0</v>
      </c>
      <c r="BX28" s="3">
        <v>0</v>
      </c>
      <c r="BY28" s="3">
        <v>1</v>
      </c>
      <c r="BZ28" s="3">
        <v>0</v>
      </c>
      <c r="CA28" s="3">
        <v>0</v>
      </c>
      <c r="CB28" s="3">
        <v>0</v>
      </c>
      <c r="CC28" s="3">
        <v>0</v>
      </c>
      <c r="CD28" s="3">
        <v>0</v>
      </c>
      <c r="CE28" s="3">
        <v>0</v>
      </c>
      <c r="CF28" s="3">
        <v>1</v>
      </c>
      <c r="CG28" s="3">
        <v>0</v>
      </c>
      <c r="CH28" s="3">
        <v>0</v>
      </c>
      <c r="CI28" s="3">
        <v>1</v>
      </c>
      <c r="CJ28" s="3">
        <v>0</v>
      </c>
      <c r="CK28" s="3">
        <v>0</v>
      </c>
      <c r="CL28" s="3">
        <v>0</v>
      </c>
      <c r="CM28" s="3">
        <v>0</v>
      </c>
      <c r="CN28" s="39">
        <v>0</v>
      </c>
      <c r="CO28" s="39">
        <v>0</v>
      </c>
      <c r="CP28" s="39">
        <v>1</v>
      </c>
      <c r="CQ28" s="39">
        <v>0</v>
      </c>
      <c r="CR28" s="39">
        <v>0</v>
      </c>
      <c r="CS28" s="39">
        <v>0</v>
      </c>
      <c r="CT28" s="39">
        <v>0</v>
      </c>
      <c r="CU28" s="39">
        <v>1</v>
      </c>
      <c r="CV28" s="39">
        <v>0</v>
      </c>
      <c r="CW28" s="39">
        <v>0</v>
      </c>
      <c r="CX28" s="39">
        <v>0</v>
      </c>
      <c r="CY28" s="39">
        <v>0</v>
      </c>
      <c r="CZ28" s="39">
        <v>0</v>
      </c>
      <c r="DA28" s="39">
        <v>1</v>
      </c>
      <c r="DB28" s="39">
        <v>0</v>
      </c>
      <c r="DC28" s="39">
        <v>0</v>
      </c>
      <c r="DD28" s="39">
        <v>1</v>
      </c>
      <c r="DE28" s="39">
        <v>0</v>
      </c>
      <c r="DF28" s="39">
        <v>0</v>
      </c>
      <c r="DG28" s="39">
        <v>0</v>
      </c>
      <c r="DH28" s="39">
        <v>0</v>
      </c>
      <c r="DI28" s="3">
        <v>0</v>
      </c>
      <c r="DJ28" s="3">
        <v>0</v>
      </c>
      <c r="DK28" s="3">
        <v>1</v>
      </c>
      <c r="DL28" s="3">
        <v>0</v>
      </c>
      <c r="DM28" s="3">
        <v>0</v>
      </c>
      <c r="DN28" s="3">
        <v>0</v>
      </c>
      <c r="DO28" s="3">
        <v>0</v>
      </c>
      <c r="DP28" s="3">
        <v>1</v>
      </c>
      <c r="DQ28" s="3">
        <v>0</v>
      </c>
      <c r="DR28" s="3">
        <v>0</v>
      </c>
      <c r="DS28" s="3">
        <v>0</v>
      </c>
      <c r="DT28" s="3">
        <v>0</v>
      </c>
      <c r="DU28" s="3">
        <v>0</v>
      </c>
      <c r="DV28" s="3">
        <v>0</v>
      </c>
      <c r="DW28" s="3">
        <v>1</v>
      </c>
      <c r="DX28" s="3">
        <v>1</v>
      </c>
      <c r="DY28" s="3">
        <v>0</v>
      </c>
      <c r="DZ28" s="3">
        <v>0</v>
      </c>
      <c r="EA28" s="3">
        <v>0</v>
      </c>
      <c r="EB28" s="3">
        <v>0</v>
      </c>
      <c r="EC28" s="39">
        <v>0</v>
      </c>
      <c r="ED28" s="39">
        <v>0</v>
      </c>
      <c r="EE28" s="39">
        <v>0</v>
      </c>
      <c r="EF28" s="39">
        <v>0</v>
      </c>
      <c r="EG28" s="39">
        <v>1</v>
      </c>
      <c r="EH28" s="39">
        <v>1</v>
      </c>
      <c r="EI28" s="39">
        <v>0</v>
      </c>
      <c r="EJ28" s="39">
        <v>0</v>
      </c>
      <c r="EK28" s="39">
        <v>0</v>
      </c>
      <c r="EL28" s="39">
        <v>0</v>
      </c>
      <c r="EM28" s="39">
        <v>0</v>
      </c>
      <c r="EN28" s="39">
        <v>1</v>
      </c>
      <c r="EO28" s="39">
        <v>0</v>
      </c>
      <c r="EP28" s="39">
        <v>0</v>
      </c>
      <c r="EQ28" s="39">
        <v>0</v>
      </c>
      <c r="ER28" s="39">
        <v>0</v>
      </c>
      <c r="ES28" s="39">
        <v>0</v>
      </c>
      <c r="ET28" s="39">
        <v>1</v>
      </c>
      <c r="EU28" s="39">
        <v>0</v>
      </c>
      <c r="EV28" s="39">
        <v>0</v>
      </c>
      <c r="EW28" s="39">
        <v>1</v>
      </c>
      <c r="EX28" s="39">
        <v>0</v>
      </c>
      <c r="EY28" s="39">
        <v>0</v>
      </c>
      <c r="EZ28" s="39">
        <v>1</v>
      </c>
      <c r="FA28" s="39">
        <v>0</v>
      </c>
      <c r="FB28" s="3">
        <v>0</v>
      </c>
      <c r="FC28" s="3">
        <v>1</v>
      </c>
      <c r="FD28" s="3">
        <v>0</v>
      </c>
      <c r="FE28" s="3">
        <v>1</v>
      </c>
      <c r="FF28" s="3">
        <v>0</v>
      </c>
      <c r="FG28" s="3">
        <v>0</v>
      </c>
      <c r="FH28" s="3">
        <v>1</v>
      </c>
      <c r="FI28" s="3">
        <v>0</v>
      </c>
      <c r="FJ28" s="3">
        <v>0</v>
      </c>
      <c r="FK28" s="3">
        <v>0</v>
      </c>
      <c r="FL28" s="3">
        <v>1</v>
      </c>
      <c r="FM28" s="3">
        <v>1</v>
      </c>
      <c r="FN28" s="3">
        <v>0</v>
      </c>
      <c r="FO28" s="3">
        <v>0</v>
      </c>
      <c r="FP28" s="3">
        <v>0</v>
      </c>
    </row>
    <row r="29" spans="1:172" x14ac:dyDescent="0.25">
      <c r="A29" t="s">
        <v>5</v>
      </c>
      <c r="B29" t="s">
        <v>57</v>
      </c>
      <c r="C29" t="s">
        <v>27</v>
      </c>
      <c r="D29" s="2" t="s">
        <v>91</v>
      </c>
      <c r="E29" s="3">
        <v>0</v>
      </c>
      <c r="F29" s="3">
        <v>0</v>
      </c>
      <c r="G29" s="3">
        <v>0</v>
      </c>
      <c r="H29" s="3">
        <v>1</v>
      </c>
      <c r="I29" s="3">
        <v>1</v>
      </c>
      <c r="J29" s="3">
        <v>0</v>
      </c>
      <c r="K29" s="3">
        <v>0</v>
      </c>
      <c r="L29" s="3">
        <v>0</v>
      </c>
      <c r="M29" s="3">
        <v>0</v>
      </c>
      <c r="N29" s="3">
        <v>0</v>
      </c>
      <c r="O29" s="3">
        <v>0</v>
      </c>
      <c r="P29" s="3">
        <v>1</v>
      </c>
      <c r="Q29" s="3">
        <v>0</v>
      </c>
      <c r="R29" s="3">
        <v>0</v>
      </c>
      <c r="S29" s="3">
        <v>0</v>
      </c>
      <c r="T29" s="3">
        <v>0</v>
      </c>
      <c r="U29" s="3">
        <v>1</v>
      </c>
      <c r="V29" s="3">
        <v>0</v>
      </c>
      <c r="W29" s="3">
        <v>0</v>
      </c>
      <c r="X29" s="3">
        <v>0</v>
      </c>
      <c r="Y29" s="3">
        <v>0</v>
      </c>
      <c r="Z29" s="3">
        <v>0</v>
      </c>
      <c r="AA29" s="3">
        <v>1</v>
      </c>
      <c r="AB29" s="3">
        <v>0</v>
      </c>
      <c r="AC29" s="3">
        <v>0</v>
      </c>
      <c r="AD29" s="3">
        <v>0</v>
      </c>
      <c r="AE29" s="3">
        <v>0</v>
      </c>
      <c r="AF29" s="3">
        <v>1</v>
      </c>
      <c r="AG29" s="3">
        <v>0</v>
      </c>
      <c r="AH29" s="3">
        <v>0</v>
      </c>
      <c r="AI29" s="3">
        <v>0</v>
      </c>
      <c r="AJ29" s="3">
        <v>0</v>
      </c>
      <c r="AK29" s="3">
        <v>0</v>
      </c>
      <c r="AL29" s="3">
        <v>1</v>
      </c>
      <c r="AM29" s="3">
        <v>0</v>
      </c>
      <c r="AN29" s="3">
        <v>0</v>
      </c>
      <c r="AO29" s="3">
        <v>0</v>
      </c>
      <c r="AP29" s="3">
        <v>0</v>
      </c>
      <c r="AQ29" s="3">
        <v>1</v>
      </c>
      <c r="AR29" s="3">
        <v>0</v>
      </c>
      <c r="AS29" s="3">
        <v>0</v>
      </c>
      <c r="AT29" s="3">
        <v>0</v>
      </c>
      <c r="AU29" s="3">
        <v>0</v>
      </c>
      <c r="AV29" s="3">
        <v>0</v>
      </c>
      <c r="AW29" s="3">
        <v>1</v>
      </c>
      <c r="AX29" s="3">
        <v>0</v>
      </c>
      <c r="AY29" s="3">
        <v>0</v>
      </c>
      <c r="AZ29" s="3">
        <v>0</v>
      </c>
      <c r="BA29" s="3">
        <v>0</v>
      </c>
      <c r="BB29" s="3">
        <v>1</v>
      </c>
      <c r="BC29" s="3">
        <v>0</v>
      </c>
      <c r="BD29" s="3">
        <v>0</v>
      </c>
      <c r="BE29" s="3">
        <v>0</v>
      </c>
      <c r="BF29" s="3">
        <v>0</v>
      </c>
      <c r="BG29" s="3">
        <v>0</v>
      </c>
      <c r="BH29" s="3">
        <v>1</v>
      </c>
      <c r="BI29" s="3">
        <v>0</v>
      </c>
      <c r="BJ29" s="3">
        <v>0</v>
      </c>
      <c r="BK29" s="3">
        <v>0</v>
      </c>
      <c r="BL29" s="3">
        <v>0</v>
      </c>
      <c r="BM29" s="3">
        <v>1</v>
      </c>
      <c r="BN29" s="3">
        <v>0</v>
      </c>
      <c r="BO29" s="3">
        <v>0</v>
      </c>
      <c r="BP29" s="3">
        <v>0</v>
      </c>
      <c r="BQ29" s="3">
        <v>0</v>
      </c>
      <c r="BR29" s="3">
        <v>0</v>
      </c>
      <c r="BS29" s="3">
        <v>0</v>
      </c>
      <c r="BT29" s="3">
        <v>1</v>
      </c>
      <c r="BU29" s="3">
        <v>0</v>
      </c>
      <c r="BV29" s="3">
        <v>0</v>
      </c>
      <c r="BW29" s="3">
        <v>0</v>
      </c>
      <c r="BX29" s="3">
        <v>0</v>
      </c>
      <c r="BY29" s="3">
        <v>1</v>
      </c>
      <c r="BZ29" s="3">
        <v>0</v>
      </c>
      <c r="CA29" s="3">
        <v>0</v>
      </c>
      <c r="CB29" s="3">
        <v>0</v>
      </c>
      <c r="CC29" s="3">
        <v>0</v>
      </c>
      <c r="CD29" s="3">
        <v>1</v>
      </c>
      <c r="CE29" s="3">
        <v>0</v>
      </c>
      <c r="CF29" s="3">
        <v>0</v>
      </c>
      <c r="CG29" s="3">
        <v>0</v>
      </c>
      <c r="CH29" s="3">
        <v>0</v>
      </c>
      <c r="CI29" s="3">
        <v>1</v>
      </c>
      <c r="CJ29" s="3">
        <v>0</v>
      </c>
      <c r="CK29" s="3">
        <v>0</v>
      </c>
      <c r="CL29" s="3">
        <v>0</v>
      </c>
      <c r="CM29" s="3">
        <v>0</v>
      </c>
      <c r="CN29" s="39">
        <v>1</v>
      </c>
      <c r="CO29" s="39">
        <v>0</v>
      </c>
      <c r="CP29" s="39">
        <v>0</v>
      </c>
      <c r="CQ29" s="39">
        <v>0</v>
      </c>
      <c r="CR29" s="39">
        <v>0</v>
      </c>
      <c r="CS29" s="39">
        <v>1</v>
      </c>
      <c r="CT29" s="39">
        <v>0</v>
      </c>
      <c r="CU29" s="39">
        <v>0</v>
      </c>
      <c r="CV29" s="39">
        <v>0</v>
      </c>
      <c r="CW29" s="39">
        <v>0</v>
      </c>
      <c r="CX29" s="39">
        <v>0</v>
      </c>
      <c r="CY29" s="39">
        <v>1</v>
      </c>
      <c r="CZ29" s="39">
        <v>0</v>
      </c>
      <c r="DA29" s="39">
        <v>0</v>
      </c>
      <c r="DB29" s="39">
        <v>0</v>
      </c>
      <c r="DC29" s="39">
        <v>0</v>
      </c>
      <c r="DD29" s="39">
        <v>1</v>
      </c>
      <c r="DE29" s="39">
        <v>0</v>
      </c>
      <c r="DF29" s="39">
        <v>0</v>
      </c>
      <c r="DG29" s="39">
        <v>0</v>
      </c>
      <c r="DH29" s="39">
        <v>0</v>
      </c>
      <c r="DI29" s="3">
        <v>1</v>
      </c>
      <c r="DJ29" s="3">
        <v>0</v>
      </c>
      <c r="DK29" s="3">
        <v>0</v>
      </c>
      <c r="DL29" s="3">
        <v>0</v>
      </c>
      <c r="DM29" s="3">
        <v>0</v>
      </c>
      <c r="DN29" s="3">
        <v>1</v>
      </c>
      <c r="DO29" s="3">
        <v>0</v>
      </c>
      <c r="DP29" s="3">
        <v>0</v>
      </c>
      <c r="DQ29" s="3">
        <v>0</v>
      </c>
      <c r="DR29" s="3">
        <v>0</v>
      </c>
      <c r="DS29" s="3">
        <v>1</v>
      </c>
      <c r="DT29" s="3">
        <v>0</v>
      </c>
      <c r="DU29" s="3">
        <v>0</v>
      </c>
      <c r="DV29" s="3">
        <v>0</v>
      </c>
      <c r="DW29" s="3">
        <v>0</v>
      </c>
      <c r="DX29" s="3">
        <v>1</v>
      </c>
      <c r="DY29" s="3">
        <v>0</v>
      </c>
      <c r="DZ29" s="3">
        <v>0</v>
      </c>
      <c r="EA29" s="3">
        <v>0</v>
      </c>
      <c r="EB29" s="3">
        <v>0</v>
      </c>
      <c r="EC29" s="39">
        <v>1</v>
      </c>
      <c r="ED29" s="39">
        <v>0</v>
      </c>
      <c r="EE29" s="39">
        <v>0</v>
      </c>
      <c r="EF29" s="39">
        <v>0</v>
      </c>
      <c r="EG29" s="39">
        <v>0</v>
      </c>
      <c r="EH29" s="39">
        <v>0</v>
      </c>
      <c r="EI29" s="39">
        <v>0</v>
      </c>
      <c r="EJ29" s="39">
        <v>1</v>
      </c>
      <c r="EK29" s="39">
        <v>0</v>
      </c>
      <c r="EL29" s="39">
        <v>0</v>
      </c>
      <c r="EM29" s="39">
        <v>0</v>
      </c>
      <c r="EN29" s="39">
        <v>1</v>
      </c>
      <c r="EO29" s="39">
        <v>0</v>
      </c>
      <c r="EP29" s="39">
        <v>0</v>
      </c>
      <c r="EQ29" s="39">
        <v>0</v>
      </c>
      <c r="ER29" s="39">
        <v>0</v>
      </c>
      <c r="ES29" s="39">
        <v>1</v>
      </c>
      <c r="ET29" s="39">
        <v>0</v>
      </c>
      <c r="EU29" s="39">
        <v>0</v>
      </c>
      <c r="EV29" s="39">
        <v>1</v>
      </c>
      <c r="EW29" s="39">
        <v>0</v>
      </c>
      <c r="EX29" s="39">
        <v>0</v>
      </c>
      <c r="EY29" s="39">
        <v>1</v>
      </c>
      <c r="EZ29" s="39">
        <v>0</v>
      </c>
      <c r="FA29" s="39">
        <v>0</v>
      </c>
      <c r="FB29" s="3">
        <v>0</v>
      </c>
      <c r="FC29" s="3">
        <v>0</v>
      </c>
      <c r="FD29" s="3">
        <v>0</v>
      </c>
      <c r="FE29" s="3">
        <v>0</v>
      </c>
      <c r="FF29" s="3">
        <v>0</v>
      </c>
      <c r="FG29" s="3">
        <v>0</v>
      </c>
      <c r="FH29" s="3">
        <v>1</v>
      </c>
      <c r="FI29" s="3">
        <v>0</v>
      </c>
      <c r="FJ29" s="3">
        <v>0</v>
      </c>
      <c r="FK29" s="3">
        <v>0</v>
      </c>
      <c r="FL29" s="3">
        <v>0</v>
      </c>
      <c r="FM29" s="3">
        <v>0</v>
      </c>
      <c r="FN29" s="3">
        <v>0</v>
      </c>
      <c r="FO29" s="3">
        <v>0</v>
      </c>
      <c r="FP29" s="3">
        <v>0</v>
      </c>
    </row>
    <row r="30" spans="1:172" x14ac:dyDescent="0.25">
      <c r="A30" t="s">
        <v>43</v>
      </c>
      <c r="B30" t="s">
        <v>57</v>
      </c>
      <c r="C30" t="s">
        <v>27</v>
      </c>
      <c r="D30" s="2" t="s">
        <v>92</v>
      </c>
      <c r="E30" s="3">
        <v>0</v>
      </c>
      <c r="F30" s="3">
        <v>0</v>
      </c>
      <c r="G30" s="3">
        <v>0</v>
      </c>
      <c r="H30" s="3">
        <v>1</v>
      </c>
      <c r="I30" s="3">
        <v>1</v>
      </c>
      <c r="J30" s="3">
        <v>0</v>
      </c>
      <c r="K30" s="3">
        <v>0</v>
      </c>
      <c r="L30" s="3">
        <v>0</v>
      </c>
      <c r="M30" s="3">
        <v>0</v>
      </c>
      <c r="N30" s="3">
        <v>0</v>
      </c>
      <c r="O30" s="3">
        <v>0</v>
      </c>
      <c r="P30" s="3">
        <v>1</v>
      </c>
      <c r="Q30" s="3">
        <v>0</v>
      </c>
      <c r="R30" s="3">
        <v>0</v>
      </c>
      <c r="S30" s="3">
        <v>0</v>
      </c>
      <c r="T30" s="3">
        <v>0</v>
      </c>
      <c r="U30" s="3">
        <v>1</v>
      </c>
      <c r="V30" s="3">
        <v>0</v>
      </c>
      <c r="W30" s="3">
        <v>0</v>
      </c>
      <c r="X30" s="3">
        <v>0</v>
      </c>
      <c r="Y30" s="3">
        <v>0</v>
      </c>
      <c r="Z30" s="3">
        <v>0</v>
      </c>
      <c r="AA30" s="3">
        <v>1</v>
      </c>
      <c r="AB30" s="3">
        <v>0</v>
      </c>
      <c r="AC30" s="3">
        <v>0</v>
      </c>
      <c r="AD30" s="3">
        <v>0</v>
      </c>
      <c r="AE30" s="3">
        <v>0</v>
      </c>
      <c r="AF30" s="3">
        <v>1</v>
      </c>
      <c r="AG30" s="3">
        <v>0</v>
      </c>
      <c r="AH30" s="3">
        <v>0</v>
      </c>
      <c r="AI30" s="3">
        <v>0</v>
      </c>
      <c r="AJ30" s="3">
        <v>0</v>
      </c>
      <c r="AK30" s="3">
        <v>0</v>
      </c>
      <c r="AL30" s="3">
        <v>1</v>
      </c>
      <c r="AM30" s="3">
        <v>0</v>
      </c>
      <c r="AN30" s="3">
        <v>0</v>
      </c>
      <c r="AO30" s="3">
        <v>0</v>
      </c>
      <c r="AP30" s="3">
        <v>0</v>
      </c>
      <c r="AQ30" s="3">
        <v>1</v>
      </c>
      <c r="AR30" s="3">
        <v>0</v>
      </c>
      <c r="AS30" s="3">
        <v>0</v>
      </c>
      <c r="AT30" s="3">
        <v>0</v>
      </c>
      <c r="AU30" s="3">
        <v>0</v>
      </c>
      <c r="AV30" s="3">
        <v>0</v>
      </c>
      <c r="AW30" s="3">
        <v>1</v>
      </c>
      <c r="AX30" s="3">
        <v>0</v>
      </c>
      <c r="AY30" s="3">
        <v>0</v>
      </c>
      <c r="AZ30" s="3">
        <v>0</v>
      </c>
      <c r="BA30" s="3">
        <v>0</v>
      </c>
      <c r="BB30" s="3">
        <v>1</v>
      </c>
      <c r="BC30" s="3">
        <v>0</v>
      </c>
      <c r="BD30" s="3">
        <v>0</v>
      </c>
      <c r="BE30" s="3">
        <v>0</v>
      </c>
      <c r="BF30" s="3">
        <v>0</v>
      </c>
      <c r="BG30" s="3">
        <v>0</v>
      </c>
      <c r="BH30" s="3">
        <v>1</v>
      </c>
      <c r="BI30" s="3">
        <v>0</v>
      </c>
      <c r="BJ30" s="3">
        <v>0</v>
      </c>
      <c r="BK30" s="3">
        <v>0</v>
      </c>
      <c r="BL30" s="3">
        <v>0</v>
      </c>
      <c r="BM30" s="3">
        <v>1</v>
      </c>
      <c r="BN30" s="3">
        <v>0</v>
      </c>
      <c r="BO30" s="3">
        <v>0</v>
      </c>
      <c r="BP30" s="3">
        <v>0</v>
      </c>
      <c r="BQ30" s="3">
        <v>0</v>
      </c>
      <c r="BR30" s="3">
        <v>0</v>
      </c>
      <c r="BS30" s="3">
        <v>0</v>
      </c>
      <c r="BT30" s="3">
        <v>1</v>
      </c>
      <c r="BU30" s="3">
        <v>0</v>
      </c>
      <c r="BV30" s="3">
        <v>0</v>
      </c>
      <c r="BW30" s="3">
        <v>0</v>
      </c>
      <c r="BX30" s="3">
        <v>0</v>
      </c>
      <c r="BY30" s="3">
        <v>1</v>
      </c>
      <c r="BZ30" s="3">
        <v>0</v>
      </c>
      <c r="CA30" s="3">
        <v>0</v>
      </c>
      <c r="CB30" s="3">
        <v>0</v>
      </c>
      <c r="CC30" s="3">
        <v>0</v>
      </c>
      <c r="CD30" s="3">
        <v>1</v>
      </c>
      <c r="CE30" s="3">
        <v>0</v>
      </c>
      <c r="CF30" s="3">
        <v>0</v>
      </c>
      <c r="CG30" s="3">
        <v>0</v>
      </c>
      <c r="CH30" s="3">
        <v>0</v>
      </c>
      <c r="CI30" s="3">
        <v>1</v>
      </c>
      <c r="CJ30" s="3">
        <v>0</v>
      </c>
      <c r="CK30" s="3">
        <v>0</v>
      </c>
      <c r="CL30" s="3">
        <v>0</v>
      </c>
      <c r="CM30" s="3">
        <v>0</v>
      </c>
      <c r="CN30" s="39">
        <v>1</v>
      </c>
      <c r="CO30" s="39">
        <v>0</v>
      </c>
      <c r="CP30" s="39">
        <v>0</v>
      </c>
      <c r="CQ30" s="39">
        <v>0</v>
      </c>
      <c r="CR30" s="39">
        <v>0</v>
      </c>
      <c r="CS30" s="39">
        <v>1</v>
      </c>
      <c r="CT30" s="39">
        <v>0</v>
      </c>
      <c r="CU30" s="39">
        <v>0</v>
      </c>
      <c r="CV30" s="39">
        <v>0</v>
      </c>
      <c r="CW30" s="39">
        <v>0</v>
      </c>
      <c r="CX30" s="39">
        <v>0</v>
      </c>
      <c r="CY30" s="39">
        <v>1</v>
      </c>
      <c r="CZ30" s="39">
        <v>0</v>
      </c>
      <c r="DA30" s="39">
        <v>0</v>
      </c>
      <c r="DB30" s="39">
        <v>0</v>
      </c>
      <c r="DC30" s="39">
        <v>0</v>
      </c>
      <c r="DD30" s="39">
        <v>1</v>
      </c>
      <c r="DE30" s="39">
        <v>0</v>
      </c>
      <c r="DF30" s="39">
        <v>0</v>
      </c>
      <c r="DG30" s="39">
        <v>0</v>
      </c>
      <c r="DH30" s="39">
        <v>0</v>
      </c>
      <c r="DI30" s="3">
        <v>1</v>
      </c>
      <c r="DJ30" s="3">
        <v>0</v>
      </c>
      <c r="DK30" s="3">
        <v>0</v>
      </c>
      <c r="DL30" s="3">
        <v>0</v>
      </c>
      <c r="DM30" s="3">
        <v>0</v>
      </c>
      <c r="DN30" s="3">
        <v>1</v>
      </c>
      <c r="DO30" s="3">
        <v>0</v>
      </c>
      <c r="DP30" s="3">
        <v>0</v>
      </c>
      <c r="DQ30" s="3">
        <v>0</v>
      </c>
      <c r="DR30" s="3">
        <v>0</v>
      </c>
      <c r="DS30" s="3">
        <v>1</v>
      </c>
      <c r="DT30" s="3">
        <v>0</v>
      </c>
      <c r="DU30" s="3">
        <v>0</v>
      </c>
      <c r="DV30" s="3">
        <v>0</v>
      </c>
      <c r="DW30" s="3">
        <v>0</v>
      </c>
      <c r="DX30" s="3">
        <v>1</v>
      </c>
      <c r="DY30" s="3">
        <v>0</v>
      </c>
      <c r="DZ30" s="3">
        <v>0</v>
      </c>
      <c r="EA30" s="3">
        <v>0</v>
      </c>
      <c r="EB30" s="3">
        <v>0</v>
      </c>
      <c r="EC30" s="39">
        <v>1</v>
      </c>
      <c r="ED30" s="39">
        <v>0</v>
      </c>
      <c r="EE30" s="39">
        <v>0</v>
      </c>
      <c r="EF30" s="39">
        <v>0</v>
      </c>
      <c r="EG30" s="39">
        <v>0</v>
      </c>
      <c r="EH30" s="39">
        <v>0</v>
      </c>
      <c r="EI30" s="39">
        <v>0</v>
      </c>
      <c r="EJ30" s="39">
        <v>1</v>
      </c>
      <c r="EK30" s="39">
        <v>0</v>
      </c>
      <c r="EL30" s="39">
        <v>0</v>
      </c>
      <c r="EM30" s="39">
        <v>0</v>
      </c>
      <c r="EN30" s="39">
        <v>1</v>
      </c>
      <c r="EO30" s="39">
        <v>0</v>
      </c>
      <c r="EP30" s="39">
        <v>0</v>
      </c>
      <c r="EQ30" s="39">
        <v>0</v>
      </c>
      <c r="ER30" s="39">
        <v>0</v>
      </c>
      <c r="ES30" s="39">
        <v>0</v>
      </c>
      <c r="ET30" s="39">
        <v>1</v>
      </c>
      <c r="EU30" s="39">
        <v>0</v>
      </c>
      <c r="EV30" s="39">
        <v>0</v>
      </c>
      <c r="EW30" s="39">
        <v>1</v>
      </c>
      <c r="EX30" s="39">
        <v>0</v>
      </c>
      <c r="EY30" s="39">
        <v>0</v>
      </c>
      <c r="EZ30" s="39">
        <v>1</v>
      </c>
      <c r="FA30" s="39">
        <v>0</v>
      </c>
      <c r="FB30" s="3">
        <v>0</v>
      </c>
      <c r="FC30" s="3">
        <v>0</v>
      </c>
      <c r="FD30" s="3">
        <v>0</v>
      </c>
      <c r="FE30" s="3">
        <v>0</v>
      </c>
      <c r="FF30" s="3">
        <v>0</v>
      </c>
      <c r="FG30" s="3">
        <v>0</v>
      </c>
      <c r="FH30" s="3">
        <v>1</v>
      </c>
      <c r="FI30" s="3">
        <v>0</v>
      </c>
      <c r="FJ30" s="3">
        <v>0</v>
      </c>
      <c r="FK30" s="3">
        <v>0</v>
      </c>
      <c r="FL30" s="3">
        <v>0</v>
      </c>
      <c r="FM30" s="3">
        <v>0</v>
      </c>
      <c r="FN30" s="3">
        <v>0</v>
      </c>
      <c r="FO30" s="3">
        <v>0</v>
      </c>
      <c r="FP30" s="3">
        <v>0</v>
      </c>
    </row>
    <row r="31" spans="1:172" x14ac:dyDescent="0.25">
      <c r="A31" t="s">
        <v>30</v>
      </c>
      <c r="B31" t="s">
        <v>54</v>
      </c>
      <c r="C31" t="s">
        <v>32</v>
      </c>
      <c r="D31" s="2" t="s">
        <v>93</v>
      </c>
      <c r="E31" s="3">
        <v>0</v>
      </c>
      <c r="F31" s="3">
        <v>0</v>
      </c>
      <c r="G31" s="3">
        <v>1</v>
      </c>
      <c r="H31" s="3">
        <v>0</v>
      </c>
      <c r="I31" s="3">
        <v>0</v>
      </c>
      <c r="J31" s="3">
        <v>0</v>
      </c>
      <c r="K31" s="3">
        <v>1</v>
      </c>
      <c r="L31" s="3">
        <v>0</v>
      </c>
      <c r="M31" s="3">
        <v>0</v>
      </c>
      <c r="N31" s="3">
        <v>0</v>
      </c>
      <c r="O31" s="3">
        <v>0</v>
      </c>
      <c r="P31" s="3">
        <v>1</v>
      </c>
      <c r="Q31" s="3">
        <v>0</v>
      </c>
      <c r="R31" s="3">
        <v>0</v>
      </c>
      <c r="S31" s="3">
        <v>0</v>
      </c>
      <c r="T31" s="3">
        <v>0</v>
      </c>
      <c r="U31" s="3">
        <v>0</v>
      </c>
      <c r="V31" s="3">
        <v>0</v>
      </c>
      <c r="W31" s="3">
        <v>1</v>
      </c>
      <c r="X31" s="3">
        <v>0</v>
      </c>
      <c r="Y31" s="3">
        <v>0</v>
      </c>
      <c r="Z31" s="3">
        <v>0</v>
      </c>
      <c r="AA31" s="3">
        <v>1</v>
      </c>
      <c r="AB31" s="3">
        <v>0</v>
      </c>
      <c r="AC31" s="3">
        <v>0</v>
      </c>
      <c r="AD31" s="3">
        <v>0</v>
      </c>
      <c r="AE31" s="3">
        <v>0</v>
      </c>
      <c r="AF31" s="3">
        <v>0</v>
      </c>
      <c r="AG31" s="3">
        <v>0</v>
      </c>
      <c r="AH31" s="3">
        <v>1</v>
      </c>
      <c r="AI31" s="3">
        <v>0</v>
      </c>
      <c r="AJ31" s="3">
        <v>0</v>
      </c>
      <c r="AK31" s="3">
        <v>0</v>
      </c>
      <c r="AL31" s="3">
        <v>1</v>
      </c>
      <c r="AM31" s="3">
        <v>0</v>
      </c>
      <c r="AN31" s="3">
        <v>0</v>
      </c>
      <c r="AO31" s="3">
        <v>0</v>
      </c>
      <c r="AP31" s="3">
        <v>0</v>
      </c>
      <c r="AQ31" s="3">
        <v>0</v>
      </c>
      <c r="AR31" s="3">
        <v>0</v>
      </c>
      <c r="AS31" s="3">
        <v>1</v>
      </c>
      <c r="AT31" s="3">
        <v>0</v>
      </c>
      <c r="AU31" s="3">
        <v>0</v>
      </c>
      <c r="AV31" s="3">
        <v>0</v>
      </c>
      <c r="AW31" s="3">
        <v>1</v>
      </c>
      <c r="AX31" s="3">
        <v>0</v>
      </c>
      <c r="AY31" s="3">
        <v>0</v>
      </c>
      <c r="AZ31" s="3">
        <v>0</v>
      </c>
      <c r="BA31" s="3">
        <v>0</v>
      </c>
      <c r="BB31" s="3">
        <v>0</v>
      </c>
      <c r="BC31" s="3">
        <v>0</v>
      </c>
      <c r="BD31" s="3">
        <v>1</v>
      </c>
      <c r="BE31" s="3">
        <v>0</v>
      </c>
      <c r="BF31" s="3">
        <v>0</v>
      </c>
      <c r="BG31" s="3">
        <v>0</v>
      </c>
      <c r="BH31" s="3">
        <v>0</v>
      </c>
      <c r="BI31" s="3">
        <v>0</v>
      </c>
      <c r="BJ31" s="3">
        <v>1</v>
      </c>
      <c r="BK31" s="3">
        <v>0</v>
      </c>
      <c r="BL31" s="3">
        <v>0</v>
      </c>
      <c r="BM31" s="3">
        <v>0</v>
      </c>
      <c r="BN31" s="3">
        <v>0</v>
      </c>
      <c r="BO31" s="3">
        <v>1</v>
      </c>
      <c r="BP31" s="3">
        <v>0</v>
      </c>
      <c r="BQ31" s="3">
        <v>0</v>
      </c>
      <c r="BR31" s="3">
        <v>0</v>
      </c>
      <c r="BS31" s="3">
        <v>0</v>
      </c>
      <c r="BT31" s="3">
        <v>1</v>
      </c>
      <c r="BU31" s="3">
        <v>0</v>
      </c>
      <c r="BV31" s="3">
        <v>0</v>
      </c>
      <c r="BW31" s="3">
        <v>0</v>
      </c>
      <c r="BX31" s="3">
        <v>0</v>
      </c>
      <c r="BY31" s="3">
        <v>0</v>
      </c>
      <c r="BZ31" s="3">
        <v>0</v>
      </c>
      <c r="CA31" s="3">
        <v>1</v>
      </c>
      <c r="CB31" s="3">
        <v>0</v>
      </c>
      <c r="CC31" s="3">
        <v>0</v>
      </c>
      <c r="CD31" s="3">
        <v>1</v>
      </c>
      <c r="CE31" s="3">
        <v>0</v>
      </c>
      <c r="CF31" s="3">
        <v>0</v>
      </c>
      <c r="CG31" s="3">
        <v>0</v>
      </c>
      <c r="CH31" s="3">
        <v>0</v>
      </c>
      <c r="CI31" s="3">
        <v>0</v>
      </c>
      <c r="CJ31" s="3">
        <v>0</v>
      </c>
      <c r="CK31" s="3">
        <v>1</v>
      </c>
      <c r="CL31" s="3">
        <v>0</v>
      </c>
      <c r="CM31" s="3">
        <v>0</v>
      </c>
      <c r="CN31" s="39">
        <v>1</v>
      </c>
      <c r="CO31" s="39">
        <v>0</v>
      </c>
      <c r="CP31" s="39">
        <v>0</v>
      </c>
      <c r="CQ31" s="39">
        <v>0</v>
      </c>
      <c r="CR31" s="39">
        <v>0</v>
      </c>
      <c r="CS31" s="39">
        <v>0</v>
      </c>
      <c r="CT31" s="39">
        <v>0</v>
      </c>
      <c r="CU31" s="39">
        <v>1</v>
      </c>
      <c r="CV31" s="39">
        <v>0</v>
      </c>
      <c r="CW31" s="39">
        <v>0</v>
      </c>
      <c r="CX31" s="39">
        <v>0</v>
      </c>
      <c r="CY31" s="39">
        <v>1</v>
      </c>
      <c r="CZ31" s="39">
        <v>0</v>
      </c>
      <c r="DA31" s="39">
        <v>0</v>
      </c>
      <c r="DB31" s="39">
        <v>0</v>
      </c>
      <c r="DC31" s="39">
        <v>0</v>
      </c>
      <c r="DD31" s="39">
        <v>0</v>
      </c>
      <c r="DE31" s="39">
        <v>0</v>
      </c>
      <c r="DF31" s="39">
        <v>1</v>
      </c>
      <c r="DG31" s="39">
        <v>0</v>
      </c>
      <c r="DH31" s="39">
        <v>0</v>
      </c>
      <c r="DI31" s="3">
        <v>1</v>
      </c>
      <c r="DJ31" s="3">
        <v>0</v>
      </c>
      <c r="DK31" s="3">
        <v>0</v>
      </c>
      <c r="DL31" s="3">
        <v>0</v>
      </c>
      <c r="DM31" s="3">
        <v>0</v>
      </c>
      <c r="DN31" s="3">
        <v>0</v>
      </c>
      <c r="DO31" s="3">
        <v>0</v>
      </c>
      <c r="DP31" s="3">
        <v>1</v>
      </c>
      <c r="DQ31" s="3">
        <v>0</v>
      </c>
      <c r="DR31" s="3">
        <v>0</v>
      </c>
      <c r="DS31" s="3">
        <v>1</v>
      </c>
      <c r="DT31" s="3">
        <v>0</v>
      </c>
      <c r="DU31" s="3">
        <v>0</v>
      </c>
      <c r="DV31" s="3">
        <v>0</v>
      </c>
      <c r="DW31" s="3">
        <v>0</v>
      </c>
      <c r="DX31" s="3">
        <v>0</v>
      </c>
      <c r="DY31" s="3">
        <v>0</v>
      </c>
      <c r="DZ31" s="3">
        <v>1</v>
      </c>
      <c r="EA31" s="3">
        <v>0</v>
      </c>
      <c r="EB31" s="3">
        <v>0</v>
      </c>
      <c r="EC31" s="39">
        <v>1</v>
      </c>
      <c r="ED31" s="39">
        <v>0</v>
      </c>
      <c r="EE31" s="39">
        <v>0</v>
      </c>
      <c r="EF31" s="39">
        <v>0</v>
      </c>
      <c r="EG31" s="39">
        <v>0</v>
      </c>
      <c r="EH31" s="39">
        <v>0</v>
      </c>
      <c r="EI31" s="39">
        <v>0</v>
      </c>
      <c r="EJ31" s="39">
        <v>0</v>
      </c>
      <c r="EK31" s="39">
        <v>1</v>
      </c>
      <c r="EL31" s="39">
        <v>0</v>
      </c>
      <c r="EM31" s="39">
        <v>1</v>
      </c>
      <c r="EN31" s="39">
        <v>0</v>
      </c>
      <c r="EO31" s="39">
        <v>0</v>
      </c>
      <c r="EP31" s="39">
        <v>0</v>
      </c>
      <c r="EQ31" s="39">
        <v>0</v>
      </c>
      <c r="ER31" s="39">
        <v>0</v>
      </c>
      <c r="ES31" s="39">
        <v>0</v>
      </c>
      <c r="ET31" s="39">
        <v>1</v>
      </c>
      <c r="EU31" s="39">
        <v>0</v>
      </c>
      <c r="EV31" s="39">
        <v>0</v>
      </c>
      <c r="EW31" s="39">
        <v>1</v>
      </c>
      <c r="EX31" s="39">
        <v>0</v>
      </c>
      <c r="EY31" s="39">
        <v>0</v>
      </c>
      <c r="EZ31" s="39">
        <v>1</v>
      </c>
      <c r="FA31" s="39">
        <v>0</v>
      </c>
      <c r="FB31" s="3">
        <v>0</v>
      </c>
      <c r="FC31" s="3">
        <v>0</v>
      </c>
      <c r="FD31" s="3">
        <v>1</v>
      </c>
      <c r="FE31" s="3">
        <v>0</v>
      </c>
      <c r="FF31" s="3">
        <v>0</v>
      </c>
      <c r="FG31" s="3">
        <v>0</v>
      </c>
      <c r="FH31" s="3">
        <v>1</v>
      </c>
      <c r="FI31" s="3">
        <v>0</v>
      </c>
      <c r="FJ31" s="3">
        <v>0</v>
      </c>
      <c r="FK31" s="3">
        <v>1</v>
      </c>
      <c r="FL31" s="3">
        <v>1</v>
      </c>
      <c r="FM31" s="3">
        <v>0</v>
      </c>
      <c r="FN31" s="3">
        <v>0</v>
      </c>
      <c r="FO31" s="3">
        <v>0</v>
      </c>
      <c r="FP31" s="3">
        <v>0</v>
      </c>
    </row>
    <row r="32" spans="1:172" x14ac:dyDescent="0.25">
      <c r="A32" t="s">
        <v>6</v>
      </c>
      <c r="B32" t="s">
        <v>57</v>
      </c>
      <c r="C32" t="s">
        <v>7</v>
      </c>
      <c r="D32" s="2" t="s">
        <v>94</v>
      </c>
      <c r="E32" s="3">
        <v>0</v>
      </c>
      <c r="F32" s="3">
        <v>0</v>
      </c>
      <c r="G32" s="3">
        <v>0</v>
      </c>
      <c r="H32" s="3">
        <v>1</v>
      </c>
      <c r="I32" s="3">
        <v>0</v>
      </c>
      <c r="J32" s="3">
        <v>0</v>
      </c>
      <c r="K32" s="3">
        <v>1</v>
      </c>
      <c r="L32" s="3">
        <v>0</v>
      </c>
      <c r="M32" s="3">
        <v>0</v>
      </c>
      <c r="N32" s="3">
        <v>0</v>
      </c>
      <c r="O32" s="3">
        <v>0</v>
      </c>
      <c r="P32" s="3">
        <v>0</v>
      </c>
      <c r="Q32" s="3">
        <v>0</v>
      </c>
      <c r="R32" s="3">
        <v>0</v>
      </c>
      <c r="S32" s="3">
        <v>0</v>
      </c>
      <c r="T32" s="3">
        <v>1</v>
      </c>
      <c r="U32" s="3">
        <v>0</v>
      </c>
      <c r="V32" s="3">
        <v>0</v>
      </c>
      <c r="W32" s="3">
        <v>0</v>
      </c>
      <c r="X32" s="3">
        <v>0</v>
      </c>
      <c r="Y32" s="3">
        <v>0</v>
      </c>
      <c r="Z32" s="3">
        <v>1</v>
      </c>
      <c r="AA32" s="3">
        <v>0</v>
      </c>
      <c r="AB32" s="3">
        <v>0</v>
      </c>
      <c r="AC32" s="3">
        <v>0</v>
      </c>
      <c r="AD32" s="3">
        <v>0</v>
      </c>
      <c r="AE32" s="3">
        <v>1</v>
      </c>
      <c r="AF32" s="3">
        <v>0</v>
      </c>
      <c r="AG32" s="3">
        <v>0</v>
      </c>
      <c r="AH32" s="3">
        <v>0</v>
      </c>
      <c r="AI32" s="3">
        <v>0</v>
      </c>
      <c r="AJ32" s="3">
        <v>0</v>
      </c>
      <c r="AK32" s="3">
        <v>1</v>
      </c>
      <c r="AL32" s="3">
        <v>0</v>
      </c>
      <c r="AM32" s="3">
        <v>0</v>
      </c>
      <c r="AN32" s="3">
        <v>0</v>
      </c>
      <c r="AO32" s="3">
        <v>0</v>
      </c>
      <c r="AP32" s="3">
        <v>1</v>
      </c>
      <c r="AQ32" s="3">
        <v>0</v>
      </c>
      <c r="AR32" s="3">
        <v>0</v>
      </c>
      <c r="AS32" s="3">
        <v>0</v>
      </c>
      <c r="AT32" s="3">
        <v>0</v>
      </c>
      <c r="AU32" s="3">
        <v>0</v>
      </c>
      <c r="AV32" s="3">
        <v>1</v>
      </c>
      <c r="AW32" s="3">
        <v>0</v>
      </c>
      <c r="AX32" s="3">
        <v>0</v>
      </c>
      <c r="AY32" s="3">
        <v>0</v>
      </c>
      <c r="AZ32" s="3">
        <v>0</v>
      </c>
      <c r="BA32" s="3">
        <v>1</v>
      </c>
      <c r="BB32" s="3">
        <v>0</v>
      </c>
      <c r="BC32" s="3">
        <v>0</v>
      </c>
      <c r="BD32" s="3">
        <v>0</v>
      </c>
      <c r="BE32" s="3">
        <v>0</v>
      </c>
      <c r="BF32" s="3">
        <v>0</v>
      </c>
      <c r="BG32" s="3">
        <v>1</v>
      </c>
      <c r="BH32" s="3">
        <v>0</v>
      </c>
      <c r="BI32" s="3">
        <v>0</v>
      </c>
      <c r="BJ32" s="3">
        <v>0</v>
      </c>
      <c r="BK32" s="3">
        <v>0</v>
      </c>
      <c r="BL32" s="3">
        <v>1</v>
      </c>
      <c r="BM32" s="3">
        <v>0</v>
      </c>
      <c r="BN32" s="3">
        <v>0</v>
      </c>
      <c r="BO32" s="3">
        <v>0</v>
      </c>
      <c r="BP32" s="3">
        <v>0</v>
      </c>
      <c r="BQ32" s="3">
        <v>0</v>
      </c>
      <c r="BR32" s="3">
        <v>0</v>
      </c>
      <c r="BS32" s="3">
        <v>1</v>
      </c>
      <c r="BT32" s="3">
        <v>0</v>
      </c>
      <c r="BU32" s="3">
        <v>0</v>
      </c>
      <c r="BV32" s="3">
        <v>0</v>
      </c>
      <c r="BW32" s="3">
        <v>0</v>
      </c>
      <c r="BX32" s="3">
        <v>1</v>
      </c>
      <c r="BY32" s="3">
        <v>0</v>
      </c>
      <c r="BZ32" s="3">
        <v>0</v>
      </c>
      <c r="CA32" s="3">
        <v>0</v>
      </c>
      <c r="CB32" s="3">
        <v>0</v>
      </c>
      <c r="CC32" s="3">
        <v>1</v>
      </c>
      <c r="CD32" s="3">
        <v>0</v>
      </c>
      <c r="CE32" s="3">
        <v>0</v>
      </c>
      <c r="CF32" s="3">
        <v>0</v>
      </c>
      <c r="CG32" s="3">
        <v>0</v>
      </c>
      <c r="CH32" s="3">
        <v>1</v>
      </c>
      <c r="CI32" s="3">
        <v>0</v>
      </c>
      <c r="CJ32" s="3">
        <v>0</v>
      </c>
      <c r="CK32" s="3">
        <v>0</v>
      </c>
      <c r="CL32" s="3">
        <v>0</v>
      </c>
      <c r="CM32" s="3">
        <v>1</v>
      </c>
      <c r="CN32" s="39">
        <v>0</v>
      </c>
      <c r="CO32" s="39">
        <v>0</v>
      </c>
      <c r="CP32" s="39">
        <v>0</v>
      </c>
      <c r="CQ32" s="39">
        <v>0</v>
      </c>
      <c r="CR32" s="39">
        <v>1</v>
      </c>
      <c r="CS32" s="39">
        <v>0</v>
      </c>
      <c r="CT32" s="39">
        <v>0</v>
      </c>
      <c r="CU32" s="39">
        <v>0</v>
      </c>
      <c r="CV32" s="39">
        <v>0</v>
      </c>
      <c r="CW32" s="39">
        <v>0</v>
      </c>
      <c r="CX32" s="39">
        <v>1</v>
      </c>
      <c r="CY32" s="39">
        <v>0</v>
      </c>
      <c r="CZ32" s="39">
        <v>0</v>
      </c>
      <c r="DA32" s="39">
        <v>0</v>
      </c>
      <c r="DB32" s="39">
        <v>0</v>
      </c>
      <c r="DC32" s="39">
        <v>1</v>
      </c>
      <c r="DD32" s="39">
        <v>0</v>
      </c>
      <c r="DE32" s="39">
        <v>0</v>
      </c>
      <c r="DF32" s="39">
        <v>0</v>
      </c>
      <c r="DG32" s="39">
        <v>0</v>
      </c>
      <c r="DH32" s="39">
        <v>1</v>
      </c>
      <c r="DI32" s="3">
        <v>0</v>
      </c>
      <c r="DJ32" s="3">
        <v>0</v>
      </c>
      <c r="DK32" s="3">
        <v>0</v>
      </c>
      <c r="DL32" s="3">
        <v>0</v>
      </c>
      <c r="DM32" s="3">
        <v>1</v>
      </c>
      <c r="DN32" s="3">
        <v>0</v>
      </c>
      <c r="DO32" s="3">
        <v>0</v>
      </c>
      <c r="DP32" s="3">
        <v>0</v>
      </c>
      <c r="DQ32" s="3">
        <v>0</v>
      </c>
      <c r="DR32" s="3">
        <v>1</v>
      </c>
      <c r="DS32" s="3">
        <v>0</v>
      </c>
      <c r="DT32" s="3">
        <v>0</v>
      </c>
      <c r="DU32" s="3">
        <v>0</v>
      </c>
      <c r="DV32" s="3">
        <v>0</v>
      </c>
      <c r="DW32" s="3">
        <v>1</v>
      </c>
      <c r="DX32" s="3">
        <v>0</v>
      </c>
      <c r="DY32" s="3">
        <v>0</v>
      </c>
      <c r="DZ32" s="3">
        <v>0</v>
      </c>
      <c r="EA32" s="3">
        <v>0</v>
      </c>
      <c r="EB32" s="3">
        <v>1</v>
      </c>
      <c r="EC32" s="39">
        <v>0</v>
      </c>
      <c r="ED32" s="39">
        <v>0</v>
      </c>
      <c r="EE32" s="39">
        <v>0</v>
      </c>
      <c r="EF32" s="39">
        <v>0</v>
      </c>
      <c r="EG32" s="39">
        <v>1</v>
      </c>
      <c r="EH32" s="39">
        <v>0</v>
      </c>
      <c r="EI32" s="39">
        <v>0</v>
      </c>
      <c r="EJ32" s="39">
        <v>1</v>
      </c>
      <c r="EK32" s="39">
        <v>0</v>
      </c>
      <c r="EL32" s="39">
        <v>0</v>
      </c>
      <c r="EM32" s="39">
        <v>0</v>
      </c>
      <c r="EN32" s="39">
        <v>1</v>
      </c>
      <c r="EO32" s="39">
        <v>0</v>
      </c>
      <c r="EP32" s="39">
        <v>0</v>
      </c>
      <c r="EQ32" s="39">
        <v>0</v>
      </c>
      <c r="ER32" s="39">
        <v>0</v>
      </c>
      <c r="ES32" s="39">
        <v>0</v>
      </c>
      <c r="ET32" s="39">
        <v>1</v>
      </c>
      <c r="EU32" s="39">
        <v>0</v>
      </c>
      <c r="EV32" s="39">
        <v>0</v>
      </c>
      <c r="EW32" s="39">
        <v>1</v>
      </c>
      <c r="EX32" s="39">
        <v>0</v>
      </c>
      <c r="EY32" s="39">
        <v>0</v>
      </c>
      <c r="EZ32" s="39">
        <v>1</v>
      </c>
      <c r="FA32" s="39">
        <v>0</v>
      </c>
      <c r="FB32" s="3">
        <v>0</v>
      </c>
      <c r="FC32" s="3">
        <v>0</v>
      </c>
      <c r="FD32" s="3">
        <v>0</v>
      </c>
      <c r="FE32" s="3">
        <v>0</v>
      </c>
      <c r="FF32" s="3">
        <v>0</v>
      </c>
      <c r="FG32" s="3">
        <v>0</v>
      </c>
      <c r="FH32" s="3">
        <v>1</v>
      </c>
      <c r="FI32" s="3">
        <v>0</v>
      </c>
      <c r="FJ32" s="3">
        <v>0</v>
      </c>
      <c r="FK32" s="3">
        <v>0</v>
      </c>
      <c r="FL32" s="3">
        <v>0</v>
      </c>
      <c r="FM32" s="3">
        <v>0</v>
      </c>
      <c r="FN32" s="3">
        <v>0</v>
      </c>
      <c r="FO32" s="3">
        <v>0</v>
      </c>
      <c r="FP32" s="3">
        <v>0</v>
      </c>
    </row>
    <row r="33" spans="1:172" x14ac:dyDescent="0.25">
      <c r="A33" t="s">
        <v>24</v>
      </c>
      <c r="B33" t="s">
        <v>57</v>
      </c>
      <c r="C33" t="s">
        <v>7</v>
      </c>
      <c r="D33" s="2" t="s">
        <v>95</v>
      </c>
      <c r="E33" s="3">
        <v>0</v>
      </c>
      <c r="F33" s="3">
        <v>0</v>
      </c>
      <c r="G33" s="3">
        <v>0</v>
      </c>
      <c r="H33" s="3">
        <v>1</v>
      </c>
      <c r="I33" s="3">
        <v>0</v>
      </c>
      <c r="J33" s="3">
        <v>0</v>
      </c>
      <c r="K33" s="3">
        <v>0</v>
      </c>
      <c r="L33" s="3">
        <v>0</v>
      </c>
      <c r="M33" s="3">
        <v>0</v>
      </c>
      <c r="N33" s="3">
        <v>0</v>
      </c>
      <c r="O33" s="3">
        <v>1</v>
      </c>
      <c r="P33" s="3">
        <v>0</v>
      </c>
      <c r="Q33" s="3">
        <v>0</v>
      </c>
      <c r="R33" s="3">
        <v>0</v>
      </c>
      <c r="S33" s="3">
        <v>0</v>
      </c>
      <c r="T33" s="3">
        <v>1</v>
      </c>
      <c r="U33" s="3">
        <v>0</v>
      </c>
      <c r="V33" s="3">
        <v>0</v>
      </c>
      <c r="W33" s="3">
        <v>0</v>
      </c>
      <c r="X33" s="3">
        <v>0</v>
      </c>
      <c r="Y33" s="3">
        <v>0</v>
      </c>
      <c r="Z33" s="3">
        <v>1</v>
      </c>
      <c r="AA33" s="3">
        <v>0</v>
      </c>
      <c r="AB33" s="3">
        <v>0</v>
      </c>
      <c r="AC33" s="3">
        <v>0</v>
      </c>
      <c r="AD33" s="3">
        <v>0</v>
      </c>
      <c r="AE33" s="3">
        <v>1</v>
      </c>
      <c r="AF33" s="3">
        <v>0</v>
      </c>
      <c r="AG33" s="3">
        <v>0</v>
      </c>
      <c r="AH33" s="3">
        <v>0</v>
      </c>
      <c r="AI33" s="3">
        <v>0</v>
      </c>
      <c r="AJ33" s="3">
        <v>0</v>
      </c>
      <c r="AK33" s="3">
        <v>1</v>
      </c>
      <c r="AL33" s="3">
        <v>0</v>
      </c>
      <c r="AM33" s="3">
        <v>0</v>
      </c>
      <c r="AN33" s="3">
        <v>0</v>
      </c>
      <c r="AO33" s="3">
        <v>0</v>
      </c>
      <c r="AP33" s="3">
        <v>1</v>
      </c>
      <c r="AQ33" s="3">
        <v>0</v>
      </c>
      <c r="AR33" s="3">
        <v>0</v>
      </c>
      <c r="AS33" s="3">
        <v>0</v>
      </c>
      <c r="AT33" s="3">
        <v>0</v>
      </c>
      <c r="AU33" s="3">
        <v>0</v>
      </c>
      <c r="AV33" s="3">
        <v>1</v>
      </c>
      <c r="AW33" s="3">
        <v>0</v>
      </c>
      <c r="AX33" s="3">
        <v>0</v>
      </c>
      <c r="AY33" s="3">
        <v>0</v>
      </c>
      <c r="AZ33" s="3">
        <v>0</v>
      </c>
      <c r="BA33" s="3">
        <v>1</v>
      </c>
      <c r="BB33" s="3">
        <v>0</v>
      </c>
      <c r="BC33" s="3">
        <v>0</v>
      </c>
      <c r="BD33" s="3">
        <v>0</v>
      </c>
      <c r="BE33" s="3">
        <v>0</v>
      </c>
      <c r="BF33" s="3">
        <v>0</v>
      </c>
      <c r="BG33" s="3">
        <v>1</v>
      </c>
      <c r="BH33" s="3">
        <v>0</v>
      </c>
      <c r="BI33" s="3">
        <v>0</v>
      </c>
      <c r="BJ33" s="3">
        <v>0</v>
      </c>
      <c r="BK33" s="3">
        <v>0</v>
      </c>
      <c r="BL33" s="3">
        <v>1</v>
      </c>
      <c r="BM33" s="3">
        <v>0</v>
      </c>
      <c r="BN33" s="3">
        <v>0</v>
      </c>
      <c r="BO33" s="3">
        <v>0</v>
      </c>
      <c r="BP33" s="3">
        <v>0</v>
      </c>
      <c r="BQ33" s="3">
        <v>0</v>
      </c>
      <c r="BR33" s="3">
        <v>0</v>
      </c>
      <c r="BS33" s="3">
        <v>1</v>
      </c>
      <c r="BT33" s="3">
        <v>0</v>
      </c>
      <c r="BU33" s="3">
        <v>0</v>
      </c>
      <c r="BV33" s="3">
        <v>0</v>
      </c>
      <c r="BW33" s="3">
        <v>0</v>
      </c>
      <c r="BX33" s="3">
        <v>1</v>
      </c>
      <c r="BY33" s="3">
        <v>0</v>
      </c>
      <c r="BZ33" s="3">
        <v>0</v>
      </c>
      <c r="CA33" s="3">
        <v>0</v>
      </c>
      <c r="CB33" s="3">
        <v>0</v>
      </c>
      <c r="CC33" s="3">
        <v>1</v>
      </c>
      <c r="CD33" s="3">
        <v>0</v>
      </c>
      <c r="CE33" s="3">
        <v>0</v>
      </c>
      <c r="CF33" s="3">
        <v>0</v>
      </c>
      <c r="CG33" s="3">
        <v>0</v>
      </c>
      <c r="CH33" s="3">
        <v>1</v>
      </c>
      <c r="CI33" s="3">
        <v>0</v>
      </c>
      <c r="CJ33" s="3">
        <v>0</v>
      </c>
      <c r="CK33" s="3">
        <v>0</v>
      </c>
      <c r="CL33" s="3">
        <v>0</v>
      </c>
      <c r="CM33" s="3">
        <v>1</v>
      </c>
      <c r="CN33" s="39">
        <v>0</v>
      </c>
      <c r="CO33" s="39">
        <v>0</v>
      </c>
      <c r="CP33" s="39">
        <v>0</v>
      </c>
      <c r="CQ33" s="39">
        <v>0</v>
      </c>
      <c r="CR33" s="39">
        <v>1</v>
      </c>
      <c r="CS33" s="39">
        <v>0</v>
      </c>
      <c r="CT33" s="39">
        <v>0</v>
      </c>
      <c r="CU33" s="39">
        <v>0</v>
      </c>
      <c r="CV33" s="39">
        <v>0</v>
      </c>
      <c r="CW33" s="39">
        <v>0</v>
      </c>
      <c r="CX33" s="39">
        <v>1</v>
      </c>
      <c r="CY33" s="39">
        <v>0</v>
      </c>
      <c r="CZ33" s="39">
        <v>0</v>
      </c>
      <c r="DA33" s="39">
        <v>0</v>
      </c>
      <c r="DB33" s="39">
        <v>0</v>
      </c>
      <c r="DC33" s="39">
        <v>1</v>
      </c>
      <c r="DD33" s="39">
        <v>0</v>
      </c>
      <c r="DE33" s="39">
        <v>0</v>
      </c>
      <c r="DF33" s="39">
        <v>0</v>
      </c>
      <c r="DG33" s="39">
        <v>0</v>
      </c>
      <c r="DH33" s="39">
        <v>1</v>
      </c>
      <c r="DI33" s="3">
        <v>0</v>
      </c>
      <c r="DJ33" s="3">
        <v>0</v>
      </c>
      <c r="DK33" s="3">
        <v>0</v>
      </c>
      <c r="DL33" s="3">
        <v>0</v>
      </c>
      <c r="DM33" s="3">
        <v>1</v>
      </c>
      <c r="DN33" s="3">
        <v>0</v>
      </c>
      <c r="DO33" s="3">
        <v>0</v>
      </c>
      <c r="DP33" s="3">
        <v>1</v>
      </c>
      <c r="DQ33" s="3">
        <v>0</v>
      </c>
      <c r="DR33" s="3">
        <v>0</v>
      </c>
      <c r="DS33" s="3">
        <v>0</v>
      </c>
      <c r="DT33" s="3">
        <v>0</v>
      </c>
      <c r="DU33" s="3">
        <v>0</v>
      </c>
      <c r="DV33" s="3">
        <v>0</v>
      </c>
      <c r="DW33" s="3">
        <v>1</v>
      </c>
      <c r="DX33" s="3">
        <v>0</v>
      </c>
      <c r="DY33" s="3">
        <v>0</v>
      </c>
      <c r="DZ33" s="3">
        <v>0</v>
      </c>
      <c r="EA33" s="3">
        <v>0</v>
      </c>
      <c r="EB33" s="3">
        <v>1</v>
      </c>
      <c r="EC33" s="39">
        <v>0</v>
      </c>
      <c r="ED33" s="39">
        <v>0</v>
      </c>
      <c r="EE33" s="39">
        <v>0</v>
      </c>
      <c r="EF33" s="39">
        <v>0</v>
      </c>
      <c r="EG33" s="39">
        <v>1</v>
      </c>
      <c r="EH33" s="39">
        <v>0</v>
      </c>
      <c r="EI33" s="39">
        <v>0</v>
      </c>
      <c r="EJ33" s="39">
        <v>1</v>
      </c>
      <c r="EK33" s="39">
        <v>0</v>
      </c>
      <c r="EL33" s="39">
        <v>0</v>
      </c>
      <c r="EM33" s="39">
        <v>1</v>
      </c>
      <c r="EN33" s="39">
        <v>0</v>
      </c>
      <c r="EO33" s="39">
        <v>0</v>
      </c>
      <c r="EP33" s="39">
        <v>0</v>
      </c>
      <c r="EQ33" s="39">
        <v>0</v>
      </c>
      <c r="ER33" s="39">
        <v>0</v>
      </c>
      <c r="ES33" s="39">
        <v>0</v>
      </c>
      <c r="ET33" s="39">
        <v>1</v>
      </c>
      <c r="EU33" s="39">
        <v>0</v>
      </c>
      <c r="EV33" s="39">
        <v>0</v>
      </c>
      <c r="EW33" s="39">
        <v>1</v>
      </c>
      <c r="EX33" s="39">
        <v>0</v>
      </c>
      <c r="EY33" s="39">
        <v>0</v>
      </c>
      <c r="EZ33" s="39">
        <v>1</v>
      </c>
      <c r="FA33" s="39">
        <v>1</v>
      </c>
      <c r="FB33" s="3">
        <v>0</v>
      </c>
      <c r="FC33" s="3">
        <v>0</v>
      </c>
      <c r="FD33" s="3">
        <v>0</v>
      </c>
      <c r="FE33" s="3">
        <v>1</v>
      </c>
      <c r="FF33" s="3">
        <v>0</v>
      </c>
      <c r="FG33" s="3">
        <v>0</v>
      </c>
      <c r="FH33" s="3">
        <v>1</v>
      </c>
      <c r="FI33" s="3">
        <v>1</v>
      </c>
      <c r="FJ33" s="3">
        <v>0</v>
      </c>
      <c r="FK33" s="3">
        <v>0</v>
      </c>
      <c r="FL33" s="3">
        <v>0</v>
      </c>
      <c r="FM33" s="3">
        <v>0</v>
      </c>
      <c r="FN33" s="3">
        <v>0</v>
      </c>
      <c r="FO33" s="3">
        <v>0</v>
      </c>
      <c r="FP33" s="3">
        <v>0</v>
      </c>
    </row>
    <row r="34" spans="1:172" x14ac:dyDescent="0.25">
      <c r="A34" t="s">
        <v>12</v>
      </c>
      <c r="B34" t="s">
        <v>57</v>
      </c>
      <c r="C34" t="s">
        <v>0</v>
      </c>
      <c r="D34" s="2" t="s">
        <v>96</v>
      </c>
      <c r="E34" s="3">
        <v>0</v>
      </c>
      <c r="F34" s="3">
        <v>0</v>
      </c>
      <c r="G34" s="3">
        <v>0</v>
      </c>
      <c r="H34" s="3">
        <v>1</v>
      </c>
      <c r="I34" s="3">
        <v>1</v>
      </c>
      <c r="J34" s="3">
        <v>0</v>
      </c>
      <c r="K34" s="3">
        <v>0</v>
      </c>
      <c r="L34" s="3">
        <v>0</v>
      </c>
      <c r="M34" s="3">
        <v>1</v>
      </c>
      <c r="N34" s="3">
        <v>0</v>
      </c>
      <c r="O34" s="3">
        <v>0</v>
      </c>
      <c r="P34" s="3">
        <v>0</v>
      </c>
      <c r="Q34" s="3">
        <v>0</v>
      </c>
      <c r="R34" s="3">
        <v>0</v>
      </c>
      <c r="S34" s="3">
        <v>0</v>
      </c>
      <c r="T34" s="3">
        <v>1</v>
      </c>
      <c r="U34" s="3">
        <v>0</v>
      </c>
      <c r="V34" s="3">
        <v>0</v>
      </c>
      <c r="W34" s="3">
        <v>1</v>
      </c>
      <c r="X34" s="3">
        <v>0</v>
      </c>
      <c r="Y34" s="3">
        <v>1</v>
      </c>
      <c r="Z34" s="3">
        <v>0</v>
      </c>
      <c r="AA34" s="3">
        <v>0</v>
      </c>
      <c r="AB34" s="3">
        <v>0</v>
      </c>
      <c r="AC34" s="3">
        <v>0</v>
      </c>
      <c r="AD34" s="3">
        <v>0</v>
      </c>
      <c r="AE34" s="3">
        <v>1</v>
      </c>
      <c r="AF34" s="3">
        <v>0</v>
      </c>
      <c r="AG34" s="3">
        <v>0</v>
      </c>
      <c r="AH34" s="3">
        <v>1</v>
      </c>
      <c r="AI34" s="3">
        <v>0</v>
      </c>
      <c r="AJ34" s="3">
        <v>0</v>
      </c>
      <c r="AK34" s="3">
        <v>0</v>
      </c>
      <c r="AL34" s="3">
        <v>0</v>
      </c>
      <c r="AM34" s="3">
        <v>0</v>
      </c>
      <c r="AN34" s="3">
        <v>0</v>
      </c>
      <c r="AO34" s="3">
        <v>0</v>
      </c>
      <c r="AP34" s="3">
        <v>1</v>
      </c>
      <c r="AQ34" s="3">
        <v>1</v>
      </c>
      <c r="AR34" s="3">
        <v>0</v>
      </c>
      <c r="AS34" s="3">
        <v>0</v>
      </c>
      <c r="AT34" s="3">
        <v>0</v>
      </c>
      <c r="AU34" s="3">
        <v>1</v>
      </c>
      <c r="AV34" s="3">
        <v>0</v>
      </c>
      <c r="AW34" s="3">
        <v>0</v>
      </c>
      <c r="AX34" s="3">
        <v>0</v>
      </c>
      <c r="AY34" s="3">
        <v>0</v>
      </c>
      <c r="AZ34" s="3">
        <v>0</v>
      </c>
      <c r="BA34" s="3">
        <v>1</v>
      </c>
      <c r="BB34" s="3">
        <v>0</v>
      </c>
      <c r="BC34" s="3">
        <v>0</v>
      </c>
      <c r="BD34" s="3">
        <v>1</v>
      </c>
      <c r="BE34" s="3">
        <v>0</v>
      </c>
      <c r="BF34" s="3">
        <v>1</v>
      </c>
      <c r="BG34" s="3">
        <v>0</v>
      </c>
      <c r="BH34" s="3">
        <v>0</v>
      </c>
      <c r="BI34" s="3">
        <v>0</v>
      </c>
      <c r="BJ34" s="3">
        <v>0</v>
      </c>
      <c r="BK34" s="3">
        <v>0</v>
      </c>
      <c r="BL34" s="3">
        <v>1</v>
      </c>
      <c r="BM34" s="3">
        <v>0</v>
      </c>
      <c r="BN34" s="3">
        <v>0</v>
      </c>
      <c r="BO34" s="3">
        <v>0</v>
      </c>
      <c r="BP34" s="3">
        <v>0</v>
      </c>
      <c r="BQ34" s="3">
        <v>0</v>
      </c>
      <c r="BR34" s="3">
        <v>0</v>
      </c>
      <c r="BS34" s="3">
        <v>1</v>
      </c>
      <c r="BT34" s="3">
        <v>0</v>
      </c>
      <c r="BU34" s="3">
        <v>0</v>
      </c>
      <c r="BV34" s="3">
        <v>0</v>
      </c>
      <c r="BW34" s="3">
        <v>0</v>
      </c>
      <c r="BX34" s="3">
        <v>1</v>
      </c>
      <c r="BY34" s="3">
        <v>0</v>
      </c>
      <c r="BZ34" s="3">
        <v>0</v>
      </c>
      <c r="CA34" s="3">
        <v>0</v>
      </c>
      <c r="CB34" s="3">
        <v>0</v>
      </c>
      <c r="CC34" s="3">
        <v>1</v>
      </c>
      <c r="CD34" s="3">
        <v>0</v>
      </c>
      <c r="CE34" s="3">
        <v>0</v>
      </c>
      <c r="CF34" s="3">
        <v>0</v>
      </c>
      <c r="CG34" s="3">
        <v>0</v>
      </c>
      <c r="CH34" s="3">
        <v>1</v>
      </c>
      <c r="CI34" s="3">
        <v>0</v>
      </c>
      <c r="CJ34" s="3">
        <v>0</v>
      </c>
      <c r="CK34" s="3">
        <v>1</v>
      </c>
      <c r="CL34" s="3">
        <v>0</v>
      </c>
      <c r="CM34" s="3">
        <v>0</v>
      </c>
      <c r="CN34" s="39">
        <v>0</v>
      </c>
      <c r="CO34" s="39">
        <v>0</v>
      </c>
      <c r="CP34" s="39">
        <v>0</v>
      </c>
      <c r="CQ34" s="39">
        <v>0</v>
      </c>
      <c r="CR34" s="39">
        <v>1</v>
      </c>
      <c r="CS34" s="39">
        <v>0</v>
      </c>
      <c r="CT34" s="39">
        <v>0</v>
      </c>
      <c r="CU34" s="39">
        <v>0</v>
      </c>
      <c r="CV34" s="39">
        <v>0</v>
      </c>
      <c r="CW34" s="39">
        <v>0</v>
      </c>
      <c r="CX34" s="39">
        <v>1</v>
      </c>
      <c r="CY34" s="39">
        <v>0</v>
      </c>
      <c r="CZ34" s="39">
        <v>0</v>
      </c>
      <c r="DA34" s="39">
        <v>0</v>
      </c>
      <c r="DB34" s="39">
        <v>0</v>
      </c>
      <c r="DC34" s="39">
        <v>1</v>
      </c>
      <c r="DD34" s="39">
        <v>0</v>
      </c>
      <c r="DE34" s="39">
        <v>0</v>
      </c>
      <c r="DF34" s="39">
        <v>1</v>
      </c>
      <c r="DG34" s="39">
        <v>0</v>
      </c>
      <c r="DH34" s="39">
        <v>0</v>
      </c>
      <c r="DI34" s="3">
        <v>0</v>
      </c>
      <c r="DJ34" s="3">
        <v>0</v>
      </c>
      <c r="DK34" s="3">
        <v>0</v>
      </c>
      <c r="DL34" s="3">
        <v>0</v>
      </c>
      <c r="DM34" s="3">
        <v>1</v>
      </c>
      <c r="DN34" s="3">
        <v>0</v>
      </c>
      <c r="DO34" s="3">
        <v>0</v>
      </c>
      <c r="DP34" s="3">
        <v>1</v>
      </c>
      <c r="DQ34" s="3">
        <v>0</v>
      </c>
      <c r="DR34" s="3">
        <v>0</v>
      </c>
      <c r="DS34" s="3">
        <v>0</v>
      </c>
      <c r="DT34" s="3">
        <v>0</v>
      </c>
      <c r="DU34" s="3">
        <v>0</v>
      </c>
      <c r="DV34" s="3">
        <v>0</v>
      </c>
      <c r="DW34" s="3">
        <v>1</v>
      </c>
      <c r="DX34" s="3">
        <v>0</v>
      </c>
      <c r="DY34" s="3">
        <v>0</v>
      </c>
      <c r="DZ34" s="3">
        <v>0</v>
      </c>
      <c r="EA34" s="3">
        <v>0</v>
      </c>
      <c r="EB34" s="3">
        <v>1</v>
      </c>
      <c r="EC34" s="39">
        <v>0</v>
      </c>
      <c r="ED34" s="39">
        <v>0</v>
      </c>
      <c r="EE34" s="39">
        <v>0</v>
      </c>
      <c r="EF34" s="39">
        <v>0</v>
      </c>
      <c r="EG34" s="39">
        <v>1</v>
      </c>
      <c r="EH34" s="39">
        <v>0</v>
      </c>
      <c r="EI34" s="39">
        <v>1</v>
      </c>
      <c r="EJ34" s="39">
        <v>0</v>
      </c>
      <c r="EK34" s="39">
        <v>0</v>
      </c>
      <c r="EL34" s="39">
        <v>0</v>
      </c>
      <c r="EM34" s="39">
        <v>1</v>
      </c>
      <c r="EN34" s="39">
        <v>0</v>
      </c>
      <c r="EO34" s="39">
        <v>1</v>
      </c>
      <c r="EP34" s="39">
        <v>0</v>
      </c>
      <c r="EQ34" s="39">
        <v>0</v>
      </c>
      <c r="ER34" s="39">
        <v>0</v>
      </c>
      <c r="ES34" s="39">
        <v>0</v>
      </c>
      <c r="ET34" s="39">
        <v>1</v>
      </c>
      <c r="EU34" s="39">
        <v>0</v>
      </c>
      <c r="EV34" s="39">
        <v>0</v>
      </c>
      <c r="EW34" s="39">
        <v>1</v>
      </c>
      <c r="EX34" s="39">
        <v>0</v>
      </c>
      <c r="EY34" s="39">
        <v>0</v>
      </c>
      <c r="EZ34" s="39">
        <v>1</v>
      </c>
      <c r="FA34" s="39">
        <v>0</v>
      </c>
      <c r="FB34" s="3">
        <v>0</v>
      </c>
      <c r="FC34" s="3">
        <v>0</v>
      </c>
      <c r="FD34" s="3">
        <v>0</v>
      </c>
      <c r="FE34" s="3">
        <v>1</v>
      </c>
      <c r="FF34" s="3">
        <v>0</v>
      </c>
      <c r="FG34" s="3">
        <v>0</v>
      </c>
      <c r="FH34" s="3">
        <v>1</v>
      </c>
      <c r="FI34" s="3">
        <v>1</v>
      </c>
      <c r="FJ34" s="3">
        <v>0</v>
      </c>
      <c r="FK34" s="3">
        <v>1</v>
      </c>
      <c r="FL34" s="3">
        <v>1</v>
      </c>
      <c r="FM34" s="3">
        <v>0</v>
      </c>
      <c r="FN34" s="3">
        <v>0</v>
      </c>
      <c r="FO34" s="3">
        <v>0</v>
      </c>
      <c r="FP34" s="3">
        <v>0</v>
      </c>
    </row>
    <row r="35" spans="1:172" x14ac:dyDescent="0.25">
      <c r="A35" t="s">
        <v>9</v>
      </c>
      <c r="B35" t="s">
        <v>54</v>
      </c>
      <c r="C35" t="s">
        <v>0</v>
      </c>
      <c r="D35" s="2" t="s">
        <v>97</v>
      </c>
      <c r="E35" s="3">
        <v>0</v>
      </c>
      <c r="F35" s="3">
        <v>0</v>
      </c>
      <c r="G35" s="3">
        <v>0</v>
      </c>
      <c r="H35" s="3">
        <v>1</v>
      </c>
      <c r="I35" s="3">
        <v>0</v>
      </c>
      <c r="J35" s="3">
        <v>0</v>
      </c>
      <c r="K35" s="3">
        <v>0</v>
      </c>
      <c r="L35" s="3">
        <v>0</v>
      </c>
      <c r="M35" s="3">
        <v>0</v>
      </c>
      <c r="N35" s="3">
        <v>0</v>
      </c>
      <c r="O35" s="3">
        <v>1</v>
      </c>
      <c r="P35" s="3">
        <v>0</v>
      </c>
      <c r="Q35" s="3">
        <v>0</v>
      </c>
      <c r="R35" s="3">
        <v>0</v>
      </c>
      <c r="S35" s="3">
        <v>0</v>
      </c>
      <c r="T35" s="3">
        <v>1</v>
      </c>
      <c r="U35" s="3">
        <v>0</v>
      </c>
      <c r="V35" s="3">
        <v>0</v>
      </c>
      <c r="W35" s="3">
        <v>0</v>
      </c>
      <c r="X35" s="3">
        <v>0</v>
      </c>
      <c r="Y35" s="3">
        <v>0</v>
      </c>
      <c r="Z35" s="3">
        <v>1</v>
      </c>
      <c r="AA35" s="3">
        <v>0</v>
      </c>
      <c r="AB35" s="3">
        <v>0</v>
      </c>
      <c r="AC35" s="3">
        <v>0</v>
      </c>
      <c r="AD35" s="3">
        <v>0</v>
      </c>
      <c r="AE35" s="3">
        <v>1</v>
      </c>
      <c r="AF35" s="3">
        <v>0</v>
      </c>
      <c r="AG35" s="3">
        <v>0</v>
      </c>
      <c r="AH35" s="3">
        <v>1</v>
      </c>
      <c r="AI35" s="3">
        <v>0</v>
      </c>
      <c r="AJ35" s="3">
        <v>0</v>
      </c>
      <c r="AK35" s="3">
        <v>0</v>
      </c>
      <c r="AL35" s="3">
        <v>0</v>
      </c>
      <c r="AM35" s="3">
        <v>0</v>
      </c>
      <c r="AN35" s="3">
        <v>0</v>
      </c>
      <c r="AO35" s="3">
        <v>0</v>
      </c>
      <c r="AP35" s="3">
        <v>1</v>
      </c>
      <c r="AQ35" s="3">
        <v>0</v>
      </c>
      <c r="AR35" s="3">
        <v>0</v>
      </c>
      <c r="AS35" s="3">
        <v>0</v>
      </c>
      <c r="AT35" s="3">
        <v>0</v>
      </c>
      <c r="AU35" s="3">
        <v>0</v>
      </c>
      <c r="AV35" s="3">
        <v>1</v>
      </c>
      <c r="AW35" s="3">
        <v>0</v>
      </c>
      <c r="AX35" s="3">
        <v>0</v>
      </c>
      <c r="AY35" s="3">
        <v>0</v>
      </c>
      <c r="AZ35" s="3">
        <v>0</v>
      </c>
      <c r="BA35" s="3">
        <v>1</v>
      </c>
      <c r="BB35" s="3">
        <v>0</v>
      </c>
      <c r="BC35" s="3">
        <v>0</v>
      </c>
      <c r="BD35" s="3">
        <v>0</v>
      </c>
      <c r="BE35" s="3">
        <v>0</v>
      </c>
      <c r="BF35" s="3">
        <v>0</v>
      </c>
      <c r="BG35" s="3">
        <v>1</v>
      </c>
      <c r="BH35" s="3">
        <v>0</v>
      </c>
      <c r="BI35" s="3">
        <v>0</v>
      </c>
      <c r="BJ35" s="3">
        <v>0</v>
      </c>
      <c r="BK35" s="3">
        <v>0</v>
      </c>
      <c r="BL35" s="3">
        <v>1</v>
      </c>
      <c r="BM35" s="3">
        <v>0</v>
      </c>
      <c r="BN35" s="3">
        <v>0</v>
      </c>
      <c r="BO35" s="3">
        <v>0</v>
      </c>
      <c r="BP35" s="3">
        <v>0</v>
      </c>
      <c r="BQ35" s="3">
        <v>0</v>
      </c>
      <c r="BR35" s="3">
        <v>0</v>
      </c>
      <c r="BS35" s="3">
        <v>1</v>
      </c>
      <c r="BT35" s="3">
        <v>0</v>
      </c>
      <c r="BU35" s="3">
        <v>0</v>
      </c>
      <c r="BV35" s="3">
        <v>0</v>
      </c>
      <c r="BW35" s="3">
        <v>0</v>
      </c>
      <c r="BX35" s="3">
        <v>1</v>
      </c>
      <c r="BY35" s="3">
        <v>0</v>
      </c>
      <c r="BZ35" s="3">
        <v>0</v>
      </c>
      <c r="CA35" s="3">
        <v>0</v>
      </c>
      <c r="CB35" s="3">
        <v>0</v>
      </c>
      <c r="CC35" s="3">
        <v>1</v>
      </c>
      <c r="CD35" s="3">
        <v>0</v>
      </c>
      <c r="CE35" s="3">
        <v>0</v>
      </c>
      <c r="CF35" s="3">
        <v>0</v>
      </c>
      <c r="CG35" s="3">
        <v>0</v>
      </c>
      <c r="CH35" s="3">
        <v>1</v>
      </c>
      <c r="CI35" s="3">
        <v>0</v>
      </c>
      <c r="CJ35" s="3">
        <v>0</v>
      </c>
      <c r="CK35" s="3">
        <v>0</v>
      </c>
      <c r="CL35" s="3">
        <v>0</v>
      </c>
      <c r="CM35" s="3">
        <v>1</v>
      </c>
      <c r="CN35" s="39">
        <v>0</v>
      </c>
      <c r="CO35" s="39">
        <v>0</v>
      </c>
      <c r="CP35" s="39">
        <v>0</v>
      </c>
      <c r="CQ35" s="39">
        <v>0</v>
      </c>
      <c r="CR35" s="39">
        <v>1</v>
      </c>
      <c r="CS35" s="39">
        <v>0</v>
      </c>
      <c r="CT35" s="39">
        <v>0</v>
      </c>
      <c r="CU35" s="39">
        <v>1</v>
      </c>
      <c r="CV35" s="39">
        <v>0</v>
      </c>
      <c r="CW35" s="39">
        <v>0</v>
      </c>
      <c r="CX35" s="39">
        <v>0</v>
      </c>
      <c r="CY35" s="39">
        <v>0</v>
      </c>
      <c r="CZ35" s="39">
        <v>0</v>
      </c>
      <c r="DA35" s="39">
        <v>0</v>
      </c>
      <c r="DB35" s="39">
        <v>0</v>
      </c>
      <c r="DC35" s="39">
        <v>1</v>
      </c>
      <c r="DD35" s="39">
        <v>0</v>
      </c>
      <c r="DE35" s="39">
        <v>0</v>
      </c>
      <c r="DF35" s="39">
        <v>1</v>
      </c>
      <c r="DG35" s="39">
        <v>0</v>
      </c>
      <c r="DH35" s="39">
        <v>0</v>
      </c>
      <c r="DI35" s="3">
        <v>0</v>
      </c>
      <c r="DJ35" s="3">
        <v>0</v>
      </c>
      <c r="DK35" s="3">
        <v>0</v>
      </c>
      <c r="DL35" s="3">
        <v>0</v>
      </c>
      <c r="DM35" s="3">
        <v>1</v>
      </c>
      <c r="DN35" s="3">
        <v>0</v>
      </c>
      <c r="DO35" s="3">
        <v>0</v>
      </c>
      <c r="DP35" s="3">
        <v>1</v>
      </c>
      <c r="DQ35" s="3">
        <v>0</v>
      </c>
      <c r="DR35" s="3">
        <v>0</v>
      </c>
      <c r="DS35" s="3">
        <v>0</v>
      </c>
      <c r="DT35" s="3">
        <v>0</v>
      </c>
      <c r="DU35" s="3">
        <v>0</v>
      </c>
      <c r="DV35" s="3">
        <v>0</v>
      </c>
      <c r="DW35" s="3">
        <v>1</v>
      </c>
      <c r="DX35" s="3">
        <v>0</v>
      </c>
      <c r="DY35" s="3">
        <v>0</v>
      </c>
      <c r="DZ35" s="3">
        <v>1</v>
      </c>
      <c r="EA35" s="3">
        <v>0</v>
      </c>
      <c r="EB35" s="3">
        <v>0</v>
      </c>
      <c r="EC35" s="39">
        <v>0</v>
      </c>
      <c r="ED35" s="39">
        <v>0</v>
      </c>
      <c r="EE35" s="39">
        <v>0</v>
      </c>
      <c r="EF35" s="39">
        <v>0</v>
      </c>
      <c r="EG35" s="39">
        <v>1</v>
      </c>
      <c r="EH35" s="39">
        <v>0</v>
      </c>
      <c r="EI35" s="39">
        <v>1</v>
      </c>
      <c r="EJ35" s="39">
        <v>0</v>
      </c>
      <c r="EK35" s="39">
        <v>0</v>
      </c>
      <c r="EL35" s="39">
        <v>0</v>
      </c>
      <c r="EM35" s="39">
        <v>1</v>
      </c>
      <c r="EN35" s="39">
        <v>0</v>
      </c>
      <c r="EO35" s="39">
        <v>0</v>
      </c>
      <c r="EP35" s="39">
        <v>0</v>
      </c>
      <c r="EQ35" s="39">
        <v>0</v>
      </c>
      <c r="ER35" s="39">
        <v>0</v>
      </c>
      <c r="ES35" s="39">
        <v>0</v>
      </c>
      <c r="ET35" s="39">
        <v>1</v>
      </c>
      <c r="EU35" s="39">
        <v>0</v>
      </c>
      <c r="EV35" s="39">
        <v>0</v>
      </c>
      <c r="EW35" s="39">
        <v>1</v>
      </c>
      <c r="EX35" s="39">
        <v>0</v>
      </c>
      <c r="EY35" s="39">
        <v>0</v>
      </c>
      <c r="EZ35" s="39">
        <v>1</v>
      </c>
      <c r="FA35" s="39">
        <v>0</v>
      </c>
      <c r="FB35" s="3">
        <v>0</v>
      </c>
      <c r="FC35" s="3">
        <v>0</v>
      </c>
      <c r="FD35" s="3">
        <v>0</v>
      </c>
      <c r="FE35" s="3">
        <v>0</v>
      </c>
      <c r="FF35" s="3">
        <v>0</v>
      </c>
      <c r="FG35" s="3">
        <v>0</v>
      </c>
      <c r="FH35" s="3">
        <v>1</v>
      </c>
      <c r="FI35" s="3">
        <v>0</v>
      </c>
      <c r="FJ35" s="3">
        <v>0</v>
      </c>
      <c r="FK35" s="3">
        <v>0</v>
      </c>
      <c r="FL35" s="3">
        <v>0</v>
      </c>
      <c r="FM35" s="3">
        <v>0</v>
      </c>
      <c r="FN35" s="3">
        <v>0</v>
      </c>
      <c r="FO35" s="3">
        <v>0</v>
      </c>
      <c r="FP35" s="3">
        <v>0</v>
      </c>
    </row>
    <row r="36" spans="1:172" x14ac:dyDescent="0.25">
      <c r="A36" t="s">
        <v>18</v>
      </c>
      <c r="B36" t="s">
        <v>55</v>
      </c>
      <c r="C36" t="s">
        <v>7</v>
      </c>
      <c r="D36" s="2" t="s">
        <v>98</v>
      </c>
      <c r="E36" s="3">
        <v>0</v>
      </c>
      <c r="F36" s="3">
        <v>0</v>
      </c>
      <c r="G36" s="3">
        <v>0</v>
      </c>
      <c r="H36" s="3">
        <v>1</v>
      </c>
      <c r="I36" s="3">
        <v>0</v>
      </c>
      <c r="J36" s="3">
        <v>0</v>
      </c>
      <c r="K36" s="3">
        <v>0</v>
      </c>
      <c r="L36" s="3">
        <v>0</v>
      </c>
      <c r="M36" s="3">
        <v>0</v>
      </c>
      <c r="N36" s="3">
        <v>0</v>
      </c>
      <c r="O36" s="3">
        <v>1</v>
      </c>
      <c r="P36" s="3">
        <v>1</v>
      </c>
      <c r="Q36" s="3">
        <v>0</v>
      </c>
      <c r="R36" s="3">
        <v>0</v>
      </c>
      <c r="S36" s="3">
        <v>0</v>
      </c>
      <c r="T36" s="3">
        <v>0</v>
      </c>
      <c r="U36" s="3">
        <v>0</v>
      </c>
      <c r="V36" s="3">
        <v>0</v>
      </c>
      <c r="W36" s="3">
        <v>0</v>
      </c>
      <c r="X36" s="3">
        <v>0</v>
      </c>
      <c r="Y36" s="3">
        <v>0</v>
      </c>
      <c r="Z36" s="3">
        <v>1</v>
      </c>
      <c r="AA36" s="3">
        <v>1</v>
      </c>
      <c r="AB36" s="3">
        <v>0</v>
      </c>
      <c r="AC36" s="3">
        <v>0</v>
      </c>
      <c r="AD36" s="3">
        <v>0</v>
      </c>
      <c r="AE36" s="3">
        <v>0</v>
      </c>
      <c r="AF36" s="3">
        <v>0</v>
      </c>
      <c r="AG36" s="3">
        <v>0</v>
      </c>
      <c r="AH36" s="3">
        <v>1</v>
      </c>
      <c r="AI36" s="3">
        <v>0</v>
      </c>
      <c r="AJ36" s="3">
        <v>0</v>
      </c>
      <c r="AK36" s="3">
        <v>0</v>
      </c>
      <c r="AL36" s="3">
        <v>1</v>
      </c>
      <c r="AM36" s="3">
        <v>0</v>
      </c>
      <c r="AN36" s="3">
        <v>0</v>
      </c>
      <c r="AO36" s="3">
        <v>0</v>
      </c>
      <c r="AP36" s="3">
        <v>0</v>
      </c>
      <c r="AQ36" s="3">
        <v>0</v>
      </c>
      <c r="AR36" s="3">
        <v>0</v>
      </c>
      <c r="AS36" s="3">
        <v>1</v>
      </c>
      <c r="AT36" s="3">
        <v>0</v>
      </c>
      <c r="AU36" s="3">
        <v>0</v>
      </c>
      <c r="AV36" s="3">
        <v>0</v>
      </c>
      <c r="AW36" s="3">
        <v>1</v>
      </c>
      <c r="AX36" s="3">
        <v>0</v>
      </c>
      <c r="AY36" s="3">
        <v>0</v>
      </c>
      <c r="AZ36" s="3">
        <v>0</v>
      </c>
      <c r="BA36" s="3">
        <v>0</v>
      </c>
      <c r="BB36" s="3">
        <v>0</v>
      </c>
      <c r="BC36" s="3">
        <v>0</v>
      </c>
      <c r="BD36" s="3">
        <v>0</v>
      </c>
      <c r="BE36" s="3">
        <v>0</v>
      </c>
      <c r="BF36" s="3">
        <v>0</v>
      </c>
      <c r="BG36" s="3">
        <v>1</v>
      </c>
      <c r="BH36" s="3">
        <v>1</v>
      </c>
      <c r="BI36" s="3">
        <v>0</v>
      </c>
      <c r="BJ36" s="3">
        <v>0</v>
      </c>
      <c r="BK36" s="3">
        <v>0</v>
      </c>
      <c r="BL36" s="3">
        <v>0</v>
      </c>
      <c r="BM36" s="3">
        <v>0</v>
      </c>
      <c r="BN36" s="3">
        <v>0</v>
      </c>
      <c r="BO36" s="3">
        <v>0</v>
      </c>
      <c r="BP36" s="3">
        <v>0</v>
      </c>
      <c r="BQ36" s="3">
        <v>0</v>
      </c>
      <c r="BR36" s="3">
        <v>0</v>
      </c>
      <c r="BS36" s="3">
        <v>1</v>
      </c>
      <c r="BT36" s="3">
        <v>1</v>
      </c>
      <c r="BU36" s="3">
        <v>0</v>
      </c>
      <c r="BV36" s="3">
        <v>0</v>
      </c>
      <c r="BW36" s="3">
        <v>0</v>
      </c>
      <c r="BX36" s="3">
        <v>0</v>
      </c>
      <c r="BY36" s="3">
        <v>0</v>
      </c>
      <c r="BZ36" s="3">
        <v>0</v>
      </c>
      <c r="CA36" s="3">
        <v>0</v>
      </c>
      <c r="CB36" s="3">
        <v>0</v>
      </c>
      <c r="CC36" s="3">
        <v>1</v>
      </c>
      <c r="CD36" s="3">
        <v>1</v>
      </c>
      <c r="CE36" s="3">
        <v>0</v>
      </c>
      <c r="CF36" s="3">
        <v>0</v>
      </c>
      <c r="CG36" s="3">
        <v>0</v>
      </c>
      <c r="CH36" s="3">
        <v>0</v>
      </c>
      <c r="CI36" s="3">
        <v>0</v>
      </c>
      <c r="CJ36" s="3">
        <v>0</v>
      </c>
      <c r="CK36" s="3">
        <v>0</v>
      </c>
      <c r="CL36" s="3">
        <v>0</v>
      </c>
      <c r="CM36" s="3">
        <v>1</v>
      </c>
      <c r="CN36" s="39">
        <v>1</v>
      </c>
      <c r="CO36" s="39">
        <v>0</v>
      </c>
      <c r="CP36" s="39">
        <v>0</v>
      </c>
      <c r="CQ36" s="39">
        <v>0</v>
      </c>
      <c r="CR36" s="39">
        <v>0</v>
      </c>
      <c r="CS36" s="39">
        <v>0</v>
      </c>
      <c r="CT36" s="39">
        <v>0</v>
      </c>
      <c r="CU36" s="39">
        <v>1</v>
      </c>
      <c r="CV36" s="39">
        <v>0</v>
      </c>
      <c r="CW36" s="39">
        <v>0</v>
      </c>
      <c r="CX36" s="39">
        <v>0</v>
      </c>
      <c r="CY36" s="39">
        <v>1</v>
      </c>
      <c r="CZ36" s="39">
        <v>0</v>
      </c>
      <c r="DA36" s="39">
        <v>0</v>
      </c>
      <c r="DB36" s="39">
        <v>0</v>
      </c>
      <c r="DC36" s="39">
        <v>0</v>
      </c>
      <c r="DD36" s="39">
        <v>0</v>
      </c>
      <c r="DE36" s="39">
        <v>0</v>
      </c>
      <c r="DF36" s="39">
        <v>1</v>
      </c>
      <c r="DG36" s="39">
        <v>0</v>
      </c>
      <c r="DH36" s="39">
        <v>0</v>
      </c>
      <c r="DI36" s="3">
        <v>1</v>
      </c>
      <c r="DJ36" s="3">
        <v>0</v>
      </c>
      <c r="DK36" s="3">
        <v>0</v>
      </c>
      <c r="DL36" s="3">
        <v>0</v>
      </c>
      <c r="DM36" s="3">
        <v>0</v>
      </c>
      <c r="DN36" s="3">
        <v>0</v>
      </c>
      <c r="DO36" s="3">
        <v>0</v>
      </c>
      <c r="DP36" s="3">
        <v>0</v>
      </c>
      <c r="DQ36" s="3">
        <v>0</v>
      </c>
      <c r="DR36" s="3">
        <v>1</v>
      </c>
      <c r="DS36" s="3">
        <v>1</v>
      </c>
      <c r="DT36" s="3">
        <v>0</v>
      </c>
      <c r="DU36" s="3">
        <v>0</v>
      </c>
      <c r="DV36" s="3">
        <v>0</v>
      </c>
      <c r="DW36" s="3">
        <v>0</v>
      </c>
      <c r="DX36" s="3">
        <v>0</v>
      </c>
      <c r="DY36" s="3">
        <v>0</v>
      </c>
      <c r="DZ36" s="3">
        <v>0</v>
      </c>
      <c r="EA36" s="3">
        <v>0</v>
      </c>
      <c r="EB36" s="3">
        <v>1</v>
      </c>
      <c r="EC36" s="39">
        <v>1</v>
      </c>
      <c r="ED36" s="39">
        <v>0</v>
      </c>
      <c r="EE36" s="39">
        <v>0</v>
      </c>
      <c r="EF36" s="39">
        <v>0</v>
      </c>
      <c r="EG36" s="39">
        <v>0</v>
      </c>
      <c r="EH36" s="39">
        <v>1</v>
      </c>
      <c r="EI36" s="39">
        <v>0</v>
      </c>
      <c r="EJ36" s="39">
        <v>0</v>
      </c>
      <c r="EK36" s="39">
        <v>0</v>
      </c>
      <c r="EL36" s="39">
        <v>1</v>
      </c>
      <c r="EM36" s="39">
        <v>0</v>
      </c>
      <c r="EN36" s="39">
        <v>0</v>
      </c>
      <c r="EO36" s="39">
        <v>0</v>
      </c>
      <c r="EP36" s="39">
        <v>0</v>
      </c>
      <c r="EQ36" s="39">
        <v>0</v>
      </c>
      <c r="ER36" s="39">
        <v>0</v>
      </c>
      <c r="ES36" s="39">
        <v>0</v>
      </c>
      <c r="ET36" s="39">
        <v>1</v>
      </c>
      <c r="EU36" s="39">
        <v>0</v>
      </c>
      <c r="EV36" s="39">
        <v>0</v>
      </c>
      <c r="EW36" s="39">
        <v>1</v>
      </c>
      <c r="EX36" s="39">
        <v>0</v>
      </c>
      <c r="EY36" s="39">
        <v>0</v>
      </c>
      <c r="EZ36" s="39">
        <v>1</v>
      </c>
      <c r="FA36" s="39">
        <v>1</v>
      </c>
      <c r="FB36" s="3">
        <v>0</v>
      </c>
      <c r="FC36" s="3">
        <v>0</v>
      </c>
      <c r="FD36" s="3">
        <v>0</v>
      </c>
      <c r="FE36" s="3">
        <v>1</v>
      </c>
      <c r="FF36" s="3">
        <v>0</v>
      </c>
      <c r="FG36" s="3">
        <v>0</v>
      </c>
      <c r="FH36" s="3">
        <v>1</v>
      </c>
      <c r="FI36" s="3">
        <v>1</v>
      </c>
      <c r="FJ36" s="3">
        <v>0</v>
      </c>
      <c r="FK36" s="3">
        <v>1</v>
      </c>
      <c r="FL36" s="3">
        <v>0</v>
      </c>
      <c r="FM36" s="3">
        <v>1</v>
      </c>
      <c r="FN36" s="3">
        <v>1</v>
      </c>
      <c r="FO36" s="3">
        <v>1</v>
      </c>
      <c r="FP36" s="3">
        <v>1</v>
      </c>
    </row>
    <row r="37" spans="1:172" x14ac:dyDescent="0.25">
      <c r="A37" t="s">
        <v>19</v>
      </c>
      <c r="B37" t="s">
        <v>57</v>
      </c>
      <c r="C37" t="s">
        <v>0</v>
      </c>
      <c r="D37" s="2" t="s">
        <v>99</v>
      </c>
      <c r="E37" s="3">
        <v>0</v>
      </c>
      <c r="F37" s="3">
        <v>0</v>
      </c>
      <c r="G37" s="3">
        <v>0</v>
      </c>
      <c r="H37" s="3">
        <v>1</v>
      </c>
      <c r="I37" s="3">
        <v>0</v>
      </c>
      <c r="J37" s="3">
        <v>0</v>
      </c>
      <c r="K37" s="3">
        <v>1</v>
      </c>
      <c r="L37" s="3">
        <v>0</v>
      </c>
      <c r="M37" s="3">
        <v>0</v>
      </c>
      <c r="N37" s="3">
        <v>0</v>
      </c>
      <c r="O37" s="3">
        <v>0</v>
      </c>
      <c r="P37" s="3">
        <v>0</v>
      </c>
      <c r="Q37" s="3">
        <v>0</v>
      </c>
      <c r="R37" s="3">
        <v>0</v>
      </c>
      <c r="S37" s="3">
        <v>0</v>
      </c>
      <c r="T37" s="3">
        <v>1</v>
      </c>
      <c r="U37" s="3">
        <v>0</v>
      </c>
      <c r="V37" s="3">
        <v>0</v>
      </c>
      <c r="W37" s="3">
        <v>1</v>
      </c>
      <c r="X37" s="3">
        <v>0</v>
      </c>
      <c r="Y37" s="3">
        <v>0</v>
      </c>
      <c r="Z37" s="3">
        <v>0</v>
      </c>
      <c r="AA37" s="3">
        <v>0</v>
      </c>
      <c r="AB37" s="3">
        <v>0</v>
      </c>
      <c r="AC37" s="3">
        <v>0</v>
      </c>
      <c r="AD37" s="3">
        <v>0</v>
      </c>
      <c r="AE37" s="3">
        <v>1</v>
      </c>
      <c r="AF37" s="3">
        <v>0</v>
      </c>
      <c r="AG37" s="3">
        <v>0</v>
      </c>
      <c r="AH37" s="3">
        <v>1</v>
      </c>
      <c r="AI37" s="3">
        <v>0</v>
      </c>
      <c r="AJ37" s="3">
        <v>0</v>
      </c>
      <c r="AK37" s="3">
        <v>0</v>
      </c>
      <c r="AL37" s="3">
        <v>0</v>
      </c>
      <c r="AM37" s="3">
        <v>0</v>
      </c>
      <c r="AN37" s="3">
        <v>0</v>
      </c>
      <c r="AO37" s="3">
        <v>0</v>
      </c>
      <c r="AP37" s="3">
        <v>1</v>
      </c>
      <c r="AQ37" s="3">
        <v>0</v>
      </c>
      <c r="AR37" s="3">
        <v>0</v>
      </c>
      <c r="AS37" s="3">
        <v>1</v>
      </c>
      <c r="AT37" s="3">
        <v>0</v>
      </c>
      <c r="AU37" s="3">
        <v>0</v>
      </c>
      <c r="AV37" s="3">
        <v>0</v>
      </c>
      <c r="AW37" s="3">
        <v>0</v>
      </c>
      <c r="AX37" s="3">
        <v>0</v>
      </c>
      <c r="AY37" s="3">
        <v>0</v>
      </c>
      <c r="AZ37" s="3">
        <v>0</v>
      </c>
      <c r="BA37" s="3">
        <v>1</v>
      </c>
      <c r="BB37" s="3">
        <v>0</v>
      </c>
      <c r="BC37" s="3">
        <v>0</v>
      </c>
      <c r="BD37" s="3">
        <v>1</v>
      </c>
      <c r="BE37" s="3">
        <v>0</v>
      </c>
      <c r="BF37" s="3">
        <v>1</v>
      </c>
      <c r="BG37" s="3">
        <v>0</v>
      </c>
      <c r="BH37" s="3">
        <v>0</v>
      </c>
      <c r="BI37" s="3">
        <v>0</v>
      </c>
      <c r="BJ37" s="3">
        <v>0</v>
      </c>
      <c r="BK37" s="3">
        <v>0</v>
      </c>
      <c r="BL37" s="3">
        <v>1</v>
      </c>
      <c r="BM37" s="3">
        <v>0</v>
      </c>
      <c r="BN37" s="3">
        <v>0</v>
      </c>
      <c r="BO37" s="3">
        <v>1</v>
      </c>
      <c r="BP37" s="3">
        <v>0</v>
      </c>
      <c r="BQ37" s="3">
        <v>0</v>
      </c>
      <c r="BR37" s="3">
        <v>0</v>
      </c>
      <c r="BS37" s="3">
        <v>0</v>
      </c>
      <c r="BT37" s="3">
        <v>0</v>
      </c>
      <c r="BU37" s="3">
        <v>0</v>
      </c>
      <c r="BV37" s="3">
        <v>0</v>
      </c>
      <c r="BW37" s="3">
        <v>0</v>
      </c>
      <c r="BX37" s="3">
        <v>1</v>
      </c>
      <c r="BY37" s="3">
        <v>0</v>
      </c>
      <c r="BZ37" s="3">
        <v>0</v>
      </c>
      <c r="CA37" s="3">
        <v>1</v>
      </c>
      <c r="CB37" s="3">
        <v>0</v>
      </c>
      <c r="CC37" s="3">
        <v>0</v>
      </c>
      <c r="CD37" s="3">
        <v>0</v>
      </c>
      <c r="CE37" s="3">
        <v>0</v>
      </c>
      <c r="CF37" s="3">
        <v>0</v>
      </c>
      <c r="CG37" s="3">
        <v>0</v>
      </c>
      <c r="CH37" s="3">
        <v>1</v>
      </c>
      <c r="CI37" s="3">
        <v>0</v>
      </c>
      <c r="CJ37" s="3">
        <v>0</v>
      </c>
      <c r="CK37" s="3">
        <v>0</v>
      </c>
      <c r="CL37" s="3">
        <v>0</v>
      </c>
      <c r="CM37" s="3">
        <v>1</v>
      </c>
      <c r="CN37" s="39">
        <v>0</v>
      </c>
      <c r="CO37" s="39">
        <v>0</v>
      </c>
      <c r="CP37" s="39">
        <v>0</v>
      </c>
      <c r="CQ37" s="39">
        <v>0</v>
      </c>
      <c r="CR37" s="39">
        <v>1</v>
      </c>
      <c r="CS37" s="39">
        <v>0</v>
      </c>
      <c r="CT37" s="39">
        <v>0</v>
      </c>
      <c r="CU37" s="39">
        <v>1</v>
      </c>
      <c r="CV37" s="39">
        <v>0</v>
      </c>
      <c r="CW37" s="39">
        <v>0</v>
      </c>
      <c r="CX37" s="39">
        <v>0</v>
      </c>
      <c r="CY37" s="39">
        <v>0</v>
      </c>
      <c r="CZ37" s="39">
        <v>0</v>
      </c>
      <c r="DA37" s="39">
        <v>0</v>
      </c>
      <c r="DB37" s="39">
        <v>0</v>
      </c>
      <c r="DC37" s="39">
        <v>1</v>
      </c>
      <c r="DD37" s="39">
        <v>0</v>
      </c>
      <c r="DE37" s="39">
        <v>0</v>
      </c>
      <c r="DF37" s="39">
        <v>1</v>
      </c>
      <c r="DG37" s="39">
        <v>0</v>
      </c>
      <c r="DH37" s="39">
        <v>0</v>
      </c>
      <c r="DI37" s="3">
        <v>0</v>
      </c>
      <c r="DJ37" s="3">
        <v>0</v>
      </c>
      <c r="DK37" s="3">
        <v>0</v>
      </c>
      <c r="DL37" s="3">
        <v>0</v>
      </c>
      <c r="DM37" s="3">
        <v>1</v>
      </c>
      <c r="DN37" s="3">
        <v>0</v>
      </c>
      <c r="DO37" s="3">
        <v>0</v>
      </c>
      <c r="DP37" s="3">
        <v>1</v>
      </c>
      <c r="DQ37" s="3">
        <v>0</v>
      </c>
      <c r="DR37" s="3">
        <v>0</v>
      </c>
      <c r="DS37" s="3">
        <v>0</v>
      </c>
      <c r="DT37" s="3">
        <v>0</v>
      </c>
      <c r="DU37" s="3">
        <v>0</v>
      </c>
      <c r="DV37" s="3">
        <v>0</v>
      </c>
      <c r="DW37" s="3">
        <v>1</v>
      </c>
      <c r="DX37" s="3">
        <v>0</v>
      </c>
      <c r="DY37" s="3">
        <v>0</v>
      </c>
      <c r="DZ37" s="3">
        <v>1</v>
      </c>
      <c r="EA37" s="3">
        <v>0</v>
      </c>
      <c r="EB37" s="3">
        <v>0</v>
      </c>
      <c r="EC37" s="39">
        <v>0</v>
      </c>
      <c r="ED37" s="39">
        <v>0</v>
      </c>
      <c r="EE37" s="39">
        <v>0</v>
      </c>
      <c r="EF37" s="39">
        <v>0</v>
      </c>
      <c r="EG37" s="39">
        <v>1</v>
      </c>
      <c r="EH37" s="39">
        <v>0</v>
      </c>
      <c r="EI37" s="39">
        <v>0</v>
      </c>
      <c r="EJ37" s="39">
        <v>1</v>
      </c>
      <c r="EK37" s="39">
        <v>0</v>
      </c>
      <c r="EL37" s="39">
        <v>0</v>
      </c>
      <c r="EM37" s="39">
        <v>0</v>
      </c>
      <c r="EN37" s="39">
        <v>1</v>
      </c>
      <c r="EO37" s="39">
        <v>0</v>
      </c>
      <c r="EP37" s="39">
        <v>0</v>
      </c>
      <c r="EQ37" s="39">
        <v>0</v>
      </c>
      <c r="ER37" s="39">
        <v>0</v>
      </c>
      <c r="ES37" s="39">
        <v>0</v>
      </c>
      <c r="ET37" s="39">
        <v>1</v>
      </c>
      <c r="EU37" s="39">
        <v>0</v>
      </c>
      <c r="EV37" s="39">
        <v>0</v>
      </c>
      <c r="EW37" s="39">
        <v>1</v>
      </c>
      <c r="EX37" s="39">
        <v>0</v>
      </c>
      <c r="EY37" s="39">
        <v>0</v>
      </c>
      <c r="EZ37" s="39">
        <v>1</v>
      </c>
      <c r="FA37" s="39">
        <v>0</v>
      </c>
      <c r="FB37" s="3">
        <v>0</v>
      </c>
      <c r="FC37" s="3">
        <v>0</v>
      </c>
      <c r="FD37" s="3">
        <v>0</v>
      </c>
      <c r="FE37" s="3">
        <v>0</v>
      </c>
      <c r="FF37" s="3">
        <v>0</v>
      </c>
      <c r="FG37" s="3">
        <v>0</v>
      </c>
      <c r="FH37" s="3">
        <v>1</v>
      </c>
      <c r="FI37" s="3">
        <v>0</v>
      </c>
      <c r="FJ37" s="3">
        <v>0</v>
      </c>
      <c r="FK37" s="3">
        <v>0</v>
      </c>
      <c r="FL37" s="3">
        <v>1</v>
      </c>
      <c r="FM37" s="3">
        <v>0</v>
      </c>
      <c r="FN37" s="3">
        <v>0</v>
      </c>
      <c r="FO37" s="3">
        <v>0</v>
      </c>
      <c r="FP37" s="3">
        <v>0</v>
      </c>
    </row>
    <row r="38" spans="1:172" x14ac:dyDescent="0.25">
      <c r="A38" t="s">
        <v>39</v>
      </c>
      <c r="B38" t="s">
        <v>57</v>
      </c>
      <c r="C38" t="s">
        <v>0</v>
      </c>
      <c r="D38" s="2" t="s">
        <v>100</v>
      </c>
      <c r="E38" s="3">
        <v>0</v>
      </c>
      <c r="F38" s="3">
        <v>0</v>
      </c>
      <c r="G38" s="3">
        <v>0</v>
      </c>
      <c r="H38" s="3">
        <v>1</v>
      </c>
      <c r="I38" s="3">
        <v>0</v>
      </c>
      <c r="J38" s="3">
        <v>0</v>
      </c>
      <c r="K38" s="3">
        <v>0</v>
      </c>
      <c r="L38" s="3">
        <v>0</v>
      </c>
      <c r="M38" s="3">
        <v>0</v>
      </c>
      <c r="N38" s="3">
        <v>0</v>
      </c>
      <c r="O38" s="3">
        <v>1</v>
      </c>
      <c r="P38" s="3">
        <v>1</v>
      </c>
      <c r="Q38" s="3">
        <v>0</v>
      </c>
      <c r="R38" s="3">
        <v>0</v>
      </c>
      <c r="S38" s="3">
        <v>1</v>
      </c>
      <c r="T38" s="3">
        <v>0</v>
      </c>
      <c r="U38" s="3">
        <v>0</v>
      </c>
      <c r="V38" s="3">
        <v>0</v>
      </c>
      <c r="W38" s="3">
        <v>0</v>
      </c>
      <c r="X38" s="3">
        <v>0</v>
      </c>
      <c r="Y38" s="3">
        <v>0</v>
      </c>
      <c r="Z38" s="3">
        <v>1</v>
      </c>
      <c r="AA38" s="3">
        <v>1</v>
      </c>
      <c r="AB38" s="3">
        <v>0</v>
      </c>
      <c r="AC38" s="3">
        <v>0</v>
      </c>
      <c r="AD38" s="3">
        <v>0</v>
      </c>
      <c r="AE38" s="3">
        <v>0</v>
      </c>
      <c r="AF38" s="3">
        <v>0</v>
      </c>
      <c r="AG38" s="3">
        <v>0</v>
      </c>
      <c r="AH38" s="3">
        <v>0</v>
      </c>
      <c r="AI38" s="3">
        <v>0</v>
      </c>
      <c r="AJ38" s="3">
        <v>0</v>
      </c>
      <c r="AK38" s="3">
        <v>1</v>
      </c>
      <c r="AL38" s="3">
        <v>1</v>
      </c>
      <c r="AM38" s="3">
        <v>0</v>
      </c>
      <c r="AN38" s="3">
        <v>0</v>
      </c>
      <c r="AO38" s="3">
        <v>0</v>
      </c>
      <c r="AP38" s="3">
        <v>0</v>
      </c>
      <c r="AQ38" s="3">
        <v>0</v>
      </c>
      <c r="AR38" s="3">
        <v>0</v>
      </c>
      <c r="AS38" s="3">
        <v>0</v>
      </c>
      <c r="AT38" s="3">
        <v>0</v>
      </c>
      <c r="AU38" s="3">
        <v>0</v>
      </c>
      <c r="AV38" s="3">
        <v>1</v>
      </c>
      <c r="AW38" s="3">
        <v>1</v>
      </c>
      <c r="AX38" s="3">
        <v>0</v>
      </c>
      <c r="AY38" s="3">
        <v>0</v>
      </c>
      <c r="AZ38" s="3">
        <v>0</v>
      </c>
      <c r="BA38" s="3">
        <v>0</v>
      </c>
      <c r="BB38" s="3">
        <v>0</v>
      </c>
      <c r="BC38" s="3">
        <v>0</v>
      </c>
      <c r="BD38" s="3">
        <v>0</v>
      </c>
      <c r="BE38" s="3">
        <v>0</v>
      </c>
      <c r="BF38" s="3">
        <v>0</v>
      </c>
      <c r="BG38" s="3">
        <v>1</v>
      </c>
      <c r="BH38" s="3">
        <v>1</v>
      </c>
      <c r="BI38" s="3">
        <v>0</v>
      </c>
      <c r="BJ38" s="3">
        <v>0</v>
      </c>
      <c r="BK38" s="3">
        <v>0</v>
      </c>
      <c r="BL38" s="3">
        <v>0</v>
      </c>
      <c r="BM38" s="3">
        <v>0</v>
      </c>
      <c r="BN38" s="3">
        <v>0</v>
      </c>
      <c r="BO38" s="3">
        <v>0</v>
      </c>
      <c r="BP38" s="3">
        <v>0</v>
      </c>
      <c r="BQ38" s="3">
        <v>0</v>
      </c>
      <c r="BR38" s="3">
        <v>0</v>
      </c>
      <c r="BS38" s="3">
        <v>1</v>
      </c>
      <c r="BT38" s="3">
        <v>1</v>
      </c>
      <c r="BU38" s="3">
        <v>0</v>
      </c>
      <c r="BV38" s="3">
        <v>0</v>
      </c>
      <c r="BW38" s="3">
        <v>0</v>
      </c>
      <c r="BX38" s="3">
        <v>0</v>
      </c>
      <c r="BY38" s="3">
        <v>0</v>
      </c>
      <c r="BZ38" s="3">
        <v>0</v>
      </c>
      <c r="CA38" s="3">
        <v>0</v>
      </c>
      <c r="CB38" s="3">
        <v>0</v>
      </c>
      <c r="CC38" s="3">
        <v>1</v>
      </c>
      <c r="CD38" s="3">
        <v>1</v>
      </c>
      <c r="CE38" s="3">
        <v>0</v>
      </c>
      <c r="CF38" s="3">
        <v>0</v>
      </c>
      <c r="CG38" s="3">
        <v>0</v>
      </c>
      <c r="CH38" s="3">
        <v>0</v>
      </c>
      <c r="CI38" s="3">
        <v>0</v>
      </c>
      <c r="CJ38" s="3">
        <v>0</v>
      </c>
      <c r="CK38" s="3">
        <v>0</v>
      </c>
      <c r="CL38" s="3">
        <v>0</v>
      </c>
      <c r="CM38" s="3">
        <v>1</v>
      </c>
      <c r="CN38" s="39">
        <v>1</v>
      </c>
      <c r="CO38" s="39">
        <v>0</v>
      </c>
      <c r="CP38" s="39">
        <v>0</v>
      </c>
      <c r="CQ38" s="39">
        <v>0</v>
      </c>
      <c r="CR38" s="39">
        <v>0</v>
      </c>
      <c r="CS38" s="39">
        <v>0</v>
      </c>
      <c r="CT38" s="39">
        <v>0</v>
      </c>
      <c r="CU38" s="39">
        <v>1</v>
      </c>
      <c r="CV38" s="39">
        <v>0</v>
      </c>
      <c r="CW38" s="39">
        <v>0</v>
      </c>
      <c r="CX38" s="39">
        <v>0</v>
      </c>
      <c r="CY38" s="39">
        <v>1</v>
      </c>
      <c r="CZ38" s="39">
        <v>0</v>
      </c>
      <c r="DA38" s="39">
        <v>0</v>
      </c>
      <c r="DB38" s="39">
        <v>0</v>
      </c>
      <c r="DC38" s="39">
        <v>0</v>
      </c>
      <c r="DD38" s="39">
        <v>0</v>
      </c>
      <c r="DE38" s="39">
        <v>0</v>
      </c>
      <c r="DF38" s="39">
        <v>0</v>
      </c>
      <c r="DG38" s="39">
        <v>0</v>
      </c>
      <c r="DH38" s="39">
        <v>1</v>
      </c>
      <c r="DI38" s="3">
        <v>1</v>
      </c>
      <c r="DJ38" s="3">
        <v>0</v>
      </c>
      <c r="DK38" s="3">
        <v>0</v>
      </c>
      <c r="DL38" s="3">
        <v>0</v>
      </c>
      <c r="DM38" s="3">
        <v>0</v>
      </c>
      <c r="DN38" s="3">
        <v>0</v>
      </c>
      <c r="DO38" s="3">
        <v>0</v>
      </c>
      <c r="DP38" s="3">
        <v>0</v>
      </c>
      <c r="DQ38" s="3">
        <v>0</v>
      </c>
      <c r="DR38" s="3">
        <v>1</v>
      </c>
      <c r="DS38" s="3">
        <v>1</v>
      </c>
      <c r="DT38" s="3">
        <v>0</v>
      </c>
      <c r="DU38" s="3">
        <v>0</v>
      </c>
      <c r="DV38" s="3">
        <v>0</v>
      </c>
      <c r="DW38" s="3">
        <v>0</v>
      </c>
      <c r="DX38" s="3">
        <v>0</v>
      </c>
      <c r="DY38" s="3">
        <v>0</v>
      </c>
      <c r="DZ38" s="3">
        <v>0</v>
      </c>
      <c r="EA38" s="3">
        <v>0</v>
      </c>
      <c r="EB38" s="3">
        <v>1</v>
      </c>
      <c r="EC38" s="39">
        <v>1</v>
      </c>
      <c r="ED38" s="39">
        <v>0</v>
      </c>
      <c r="EE38" s="39">
        <v>0</v>
      </c>
      <c r="EF38" s="39">
        <v>0</v>
      </c>
      <c r="EG38" s="39">
        <v>0</v>
      </c>
      <c r="EH38" s="39">
        <v>0</v>
      </c>
      <c r="EI38" s="39">
        <v>0</v>
      </c>
      <c r="EJ38" s="39">
        <v>1</v>
      </c>
      <c r="EK38" s="39">
        <v>0</v>
      </c>
      <c r="EL38" s="39">
        <v>0</v>
      </c>
      <c r="EM38" s="39">
        <v>0</v>
      </c>
      <c r="EN38" s="39">
        <v>1</v>
      </c>
      <c r="EO38" s="39">
        <v>0</v>
      </c>
      <c r="EP38" s="39">
        <v>0</v>
      </c>
      <c r="EQ38" s="39">
        <v>0</v>
      </c>
      <c r="ER38" s="39">
        <v>0</v>
      </c>
      <c r="ES38" s="39">
        <v>0</v>
      </c>
      <c r="ET38" s="39">
        <v>1</v>
      </c>
      <c r="EU38" s="39">
        <v>0</v>
      </c>
      <c r="EV38" s="39">
        <v>0</v>
      </c>
      <c r="EW38" s="39">
        <v>1</v>
      </c>
      <c r="EX38" s="39">
        <v>0</v>
      </c>
      <c r="EY38" s="39">
        <v>0</v>
      </c>
      <c r="EZ38" s="39">
        <v>1</v>
      </c>
      <c r="FA38" s="39">
        <v>0</v>
      </c>
      <c r="FB38" s="3">
        <v>0</v>
      </c>
      <c r="FC38" s="3">
        <v>0</v>
      </c>
      <c r="FD38" s="3">
        <v>0</v>
      </c>
      <c r="FE38" s="3">
        <v>1</v>
      </c>
      <c r="FF38" s="3">
        <v>0</v>
      </c>
      <c r="FG38" s="3">
        <v>0</v>
      </c>
      <c r="FH38" s="3">
        <v>0</v>
      </c>
      <c r="FI38" s="3">
        <v>0</v>
      </c>
      <c r="FJ38" s="3">
        <v>0</v>
      </c>
      <c r="FK38" s="3">
        <v>0</v>
      </c>
      <c r="FL38" s="3">
        <v>0</v>
      </c>
      <c r="FM38" s="3">
        <v>0</v>
      </c>
      <c r="FN38" s="3">
        <v>0</v>
      </c>
      <c r="FO38" s="3">
        <v>1</v>
      </c>
      <c r="FP38" s="3">
        <v>0</v>
      </c>
    </row>
    <row r="39" spans="1:172" x14ac:dyDescent="0.25">
      <c r="A39" t="s">
        <v>36</v>
      </c>
      <c r="B39" t="s">
        <v>54</v>
      </c>
      <c r="C39" t="s">
        <v>0</v>
      </c>
      <c r="D39" s="2" t="s">
        <v>101</v>
      </c>
      <c r="E39" s="3">
        <v>0</v>
      </c>
      <c r="F39" s="3">
        <v>0</v>
      </c>
      <c r="G39" s="3">
        <v>1</v>
      </c>
      <c r="H39" s="3">
        <v>0</v>
      </c>
      <c r="I39" s="3">
        <v>0</v>
      </c>
      <c r="J39" s="3">
        <v>0</v>
      </c>
      <c r="K39" s="3">
        <v>1</v>
      </c>
      <c r="L39" s="3">
        <v>0</v>
      </c>
      <c r="M39" s="3">
        <v>1</v>
      </c>
      <c r="N39" s="3">
        <v>0</v>
      </c>
      <c r="O39" s="3">
        <v>0</v>
      </c>
      <c r="P39" s="3">
        <v>0</v>
      </c>
      <c r="Q39" s="3">
        <v>0</v>
      </c>
      <c r="R39" s="3">
        <v>1</v>
      </c>
      <c r="S39" s="3">
        <v>0</v>
      </c>
      <c r="T39" s="3">
        <v>0</v>
      </c>
      <c r="U39" s="3">
        <v>0</v>
      </c>
      <c r="V39" s="3">
        <v>0</v>
      </c>
      <c r="W39" s="3">
        <v>1</v>
      </c>
      <c r="X39" s="3">
        <v>0</v>
      </c>
      <c r="Y39" s="3">
        <v>1</v>
      </c>
      <c r="Z39" s="3">
        <v>0</v>
      </c>
      <c r="AA39" s="3">
        <v>0</v>
      </c>
      <c r="AB39" s="3">
        <v>0</v>
      </c>
      <c r="AC39" s="3">
        <v>1</v>
      </c>
      <c r="AD39" s="3">
        <v>0</v>
      </c>
      <c r="AE39" s="3">
        <v>0</v>
      </c>
      <c r="AF39" s="3">
        <v>0</v>
      </c>
      <c r="AG39" s="3">
        <v>0</v>
      </c>
      <c r="AH39" s="3">
        <v>1</v>
      </c>
      <c r="AI39" s="3">
        <v>0</v>
      </c>
      <c r="AJ39" s="3">
        <v>1</v>
      </c>
      <c r="AK39" s="3">
        <v>0</v>
      </c>
      <c r="AL39" s="3">
        <v>0</v>
      </c>
      <c r="AM39" s="3">
        <v>0</v>
      </c>
      <c r="AN39" s="3">
        <v>1</v>
      </c>
      <c r="AO39" s="3">
        <v>0</v>
      </c>
      <c r="AP39" s="3">
        <v>0</v>
      </c>
      <c r="AQ39" s="3">
        <v>0</v>
      </c>
      <c r="AR39" s="3">
        <v>0</v>
      </c>
      <c r="AS39" s="3">
        <v>1</v>
      </c>
      <c r="AT39" s="3">
        <v>0</v>
      </c>
      <c r="AU39" s="3">
        <v>1</v>
      </c>
      <c r="AV39" s="3">
        <v>0</v>
      </c>
      <c r="AW39" s="3">
        <v>0</v>
      </c>
      <c r="AX39" s="3">
        <v>0</v>
      </c>
      <c r="AY39" s="3">
        <v>1</v>
      </c>
      <c r="AZ39" s="3">
        <v>0</v>
      </c>
      <c r="BA39" s="3">
        <v>0</v>
      </c>
      <c r="BB39" s="3">
        <v>0</v>
      </c>
      <c r="BC39" s="3">
        <v>0</v>
      </c>
      <c r="BD39" s="3">
        <v>1</v>
      </c>
      <c r="BE39" s="3">
        <v>0</v>
      </c>
      <c r="BF39" s="3">
        <v>1</v>
      </c>
      <c r="BG39" s="3">
        <v>0</v>
      </c>
      <c r="BH39" s="3">
        <v>0</v>
      </c>
      <c r="BI39" s="3">
        <v>0</v>
      </c>
      <c r="BJ39" s="3">
        <v>1</v>
      </c>
      <c r="BK39" s="3">
        <v>0</v>
      </c>
      <c r="BL39" s="3">
        <v>0</v>
      </c>
      <c r="BM39" s="3">
        <v>0</v>
      </c>
      <c r="BN39" s="3">
        <v>0</v>
      </c>
      <c r="BO39" s="3">
        <v>1</v>
      </c>
      <c r="BP39" s="3">
        <v>0</v>
      </c>
      <c r="BQ39" s="3">
        <v>1</v>
      </c>
      <c r="BR39" s="3">
        <v>0</v>
      </c>
      <c r="BS39" s="3">
        <v>0</v>
      </c>
      <c r="BT39" s="3">
        <v>0</v>
      </c>
      <c r="BU39" s="3">
        <v>0</v>
      </c>
      <c r="BV39" s="3">
        <v>1</v>
      </c>
      <c r="BW39" s="3">
        <v>0</v>
      </c>
      <c r="BX39" s="3">
        <v>0</v>
      </c>
      <c r="BY39" s="3">
        <v>0</v>
      </c>
      <c r="BZ39" s="3">
        <v>0</v>
      </c>
      <c r="CA39" s="3">
        <v>1</v>
      </c>
      <c r="CB39" s="3">
        <v>0</v>
      </c>
      <c r="CC39" s="3">
        <v>0</v>
      </c>
      <c r="CD39" s="3">
        <v>0</v>
      </c>
      <c r="CE39" s="3">
        <v>0</v>
      </c>
      <c r="CF39" s="3">
        <v>0</v>
      </c>
      <c r="CG39" s="3">
        <v>0</v>
      </c>
      <c r="CH39" s="3">
        <v>1</v>
      </c>
      <c r="CI39" s="3">
        <v>0</v>
      </c>
      <c r="CJ39" s="3">
        <v>0</v>
      </c>
      <c r="CK39" s="3">
        <v>1</v>
      </c>
      <c r="CL39" s="3">
        <v>0</v>
      </c>
      <c r="CM39" s="3">
        <v>0</v>
      </c>
      <c r="CN39" s="39">
        <v>0</v>
      </c>
      <c r="CO39" s="39">
        <v>0</v>
      </c>
      <c r="CP39" s="39">
        <v>1</v>
      </c>
      <c r="CQ39" s="39">
        <v>0</v>
      </c>
      <c r="CR39" s="39">
        <v>0</v>
      </c>
      <c r="CS39" s="39">
        <v>0</v>
      </c>
      <c r="CT39" s="39">
        <v>0</v>
      </c>
      <c r="CU39" s="39">
        <v>1</v>
      </c>
      <c r="CV39" s="39">
        <v>0</v>
      </c>
      <c r="CW39" s="39">
        <v>1</v>
      </c>
      <c r="CX39" s="39">
        <v>0</v>
      </c>
      <c r="CY39" s="39">
        <v>0</v>
      </c>
      <c r="CZ39" s="39">
        <v>0</v>
      </c>
      <c r="DA39" s="39">
        <v>1</v>
      </c>
      <c r="DB39" s="39">
        <v>0</v>
      </c>
      <c r="DC39" s="39">
        <v>0</v>
      </c>
      <c r="DD39" s="39">
        <v>0</v>
      </c>
      <c r="DE39" s="39">
        <v>0</v>
      </c>
      <c r="DF39" s="39">
        <v>1</v>
      </c>
      <c r="DG39" s="39">
        <v>0</v>
      </c>
      <c r="DH39" s="39">
        <v>0</v>
      </c>
      <c r="DI39" s="3">
        <v>0</v>
      </c>
      <c r="DJ39" s="3">
        <v>0</v>
      </c>
      <c r="DK39" s="3">
        <v>0</v>
      </c>
      <c r="DL39" s="3">
        <v>0</v>
      </c>
      <c r="DM39" s="3">
        <v>1</v>
      </c>
      <c r="DN39" s="3">
        <v>0</v>
      </c>
      <c r="DO39" s="3">
        <v>0</v>
      </c>
      <c r="DP39" s="3">
        <v>1</v>
      </c>
      <c r="DQ39" s="3">
        <v>0</v>
      </c>
      <c r="DR39" s="3">
        <v>0</v>
      </c>
      <c r="DS39" s="3">
        <v>0</v>
      </c>
      <c r="DT39" s="3">
        <v>0</v>
      </c>
      <c r="DU39" s="3">
        <v>1</v>
      </c>
      <c r="DV39" s="3">
        <v>0</v>
      </c>
      <c r="DW39" s="3">
        <v>0</v>
      </c>
      <c r="DX39" s="3">
        <v>0</v>
      </c>
      <c r="DY39" s="3">
        <v>0</v>
      </c>
      <c r="DZ39" s="3">
        <v>1</v>
      </c>
      <c r="EA39" s="3">
        <v>0</v>
      </c>
      <c r="EB39" s="3">
        <v>0</v>
      </c>
      <c r="EC39" s="39">
        <v>0</v>
      </c>
      <c r="ED39" s="39">
        <v>0</v>
      </c>
      <c r="EE39" s="39">
        <v>1</v>
      </c>
      <c r="EF39" s="39">
        <v>0</v>
      </c>
      <c r="EG39" s="39">
        <v>0</v>
      </c>
      <c r="EH39" s="39">
        <v>0</v>
      </c>
      <c r="EI39" s="39">
        <v>1</v>
      </c>
      <c r="EJ39" s="39">
        <v>0</v>
      </c>
      <c r="EK39" s="39">
        <v>0</v>
      </c>
      <c r="EL39" s="39">
        <v>1</v>
      </c>
      <c r="EM39" s="39">
        <v>0</v>
      </c>
      <c r="EN39" s="39">
        <v>0</v>
      </c>
      <c r="EO39" s="39">
        <v>1</v>
      </c>
      <c r="EP39" s="39">
        <v>0</v>
      </c>
      <c r="EQ39" s="39">
        <v>0</v>
      </c>
      <c r="ER39" s="39">
        <v>0</v>
      </c>
      <c r="ES39" s="39">
        <v>0</v>
      </c>
      <c r="ET39" s="39">
        <v>1</v>
      </c>
      <c r="EU39" s="39">
        <v>0</v>
      </c>
      <c r="EV39" s="39">
        <v>0</v>
      </c>
      <c r="EW39" s="39">
        <v>1</v>
      </c>
      <c r="EX39" s="39">
        <v>0</v>
      </c>
      <c r="EY39" s="39">
        <v>0</v>
      </c>
      <c r="EZ39" s="39">
        <v>1</v>
      </c>
      <c r="FA39" s="39">
        <v>1</v>
      </c>
      <c r="FB39" s="3">
        <v>0</v>
      </c>
      <c r="FC39" s="3">
        <v>0</v>
      </c>
      <c r="FD39" s="3">
        <v>0</v>
      </c>
      <c r="FE39" s="3">
        <v>1</v>
      </c>
      <c r="FF39" s="3">
        <v>1</v>
      </c>
      <c r="FG39" s="3">
        <v>1</v>
      </c>
      <c r="FH39" s="3">
        <v>1</v>
      </c>
      <c r="FI39" s="3">
        <v>1</v>
      </c>
      <c r="FJ39" s="3">
        <v>0</v>
      </c>
      <c r="FK39" s="3">
        <v>1</v>
      </c>
      <c r="FL39" s="3">
        <v>1</v>
      </c>
      <c r="FM39" s="3">
        <v>1</v>
      </c>
      <c r="FN39" s="3">
        <v>0</v>
      </c>
      <c r="FO39" s="3">
        <v>0</v>
      </c>
      <c r="FP39" s="3">
        <v>0</v>
      </c>
    </row>
    <row r="40" spans="1:172" x14ac:dyDescent="0.25">
      <c r="A40" t="s">
        <v>20</v>
      </c>
      <c r="B40" t="s">
        <v>55</v>
      </c>
      <c r="C40" t="s">
        <v>7</v>
      </c>
      <c r="D40" s="2" t="s">
        <v>102</v>
      </c>
      <c r="E40" s="3">
        <v>0</v>
      </c>
      <c r="F40" s="3">
        <v>0</v>
      </c>
      <c r="G40" s="3">
        <v>0</v>
      </c>
      <c r="H40" s="3">
        <v>1</v>
      </c>
      <c r="I40" s="3">
        <v>0</v>
      </c>
      <c r="J40" s="3">
        <v>0</v>
      </c>
      <c r="K40" s="3">
        <v>1</v>
      </c>
      <c r="L40" s="3">
        <v>0</v>
      </c>
      <c r="M40" s="3">
        <v>0</v>
      </c>
      <c r="N40" s="3">
        <v>0</v>
      </c>
      <c r="O40" s="3">
        <v>0</v>
      </c>
      <c r="P40" s="3">
        <v>1</v>
      </c>
      <c r="Q40" s="3">
        <v>0</v>
      </c>
      <c r="R40" s="3">
        <v>0</v>
      </c>
      <c r="S40" s="3">
        <v>0</v>
      </c>
      <c r="T40" s="3">
        <v>0</v>
      </c>
      <c r="U40" s="3">
        <v>0</v>
      </c>
      <c r="V40" s="3">
        <v>0</v>
      </c>
      <c r="W40" s="3">
        <v>1</v>
      </c>
      <c r="X40" s="3">
        <v>0</v>
      </c>
      <c r="Y40" s="3">
        <v>0</v>
      </c>
      <c r="Z40" s="3">
        <v>0</v>
      </c>
      <c r="AA40" s="3">
        <v>0</v>
      </c>
      <c r="AB40" s="3">
        <v>0</v>
      </c>
      <c r="AC40" s="3">
        <v>1</v>
      </c>
      <c r="AD40" s="3">
        <v>0</v>
      </c>
      <c r="AE40" s="3">
        <v>0</v>
      </c>
      <c r="AF40" s="3">
        <v>0</v>
      </c>
      <c r="AG40" s="3">
        <v>0</v>
      </c>
      <c r="AH40" s="3">
        <v>1</v>
      </c>
      <c r="AI40" s="3">
        <v>0</v>
      </c>
      <c r="AJ40" s="3">
        <v>1</v>
      </c>
      <c r="AK40" s="3">
        <v>0</v>
      </c>
      <c r="AL40" s="3">
        <v>0</v>
      </c>
      <c r="AM40" s="3">
        <v>0</v>
      </c>
      <c r="AN40" s="3">
        <v>1</v>
      </c>
      <c r="AO40" s="3">
        <v>0</v>
      </c>
      <c r="AP40" s="3">
        <v>0</v>
      </c>
      <c r="AQ40" s="3">
        <v>1</v>
      </c>
      <c r="AR40" s="3">
        <v>0</v>
      </c>
      <c r="AS40" s="3">
        <v>0</v>
      </c>
      <c r="AT40" s="3">
        <v>0</v>
      </c>
      <c r="AU40" s="3">
        <v>0</v>
      </c>
      <c r="AV40" s="3">
        <v>0</v>
      </c>
      <c r="AW40" s="3">
        <v>1</v>
      </c>
      <c r="AX40" s="3">
        <v>0</v>
      </c>
      <c r="AY40" s="3">
        <v>0</v>
      </c>
      <c r="AZ40" s="3">
        <v>0</v>
      </c>
      <c r="BA40" s="3">
        <v>0</v>
      </c>
      <c r="BB40" s="3">
        <v>0</v>
      </c>
      <c r="BC40" s="3">
        <v>0</v>
      </c>
      <c r="BD40" s="3">
        <v>1</v>
      </c>
      <c r="BE40" s="3">
        <v>0</v>
      </c>
      <c r="BF40" s="3">
        <v>0</v>
      </c>
      <c r="BG40" s="3">
        <v>0</v>
      </c>
      <c r="BH40" s="3">
        <v>1</v>
      </c>
      <c r="BI40" s="3">
        <v>0</v>
      </c>
      <c r="BJ40" s="3">
        <v>0</v>
      </c>
      <c r="BK40" s="3">
        <v>0</v>
      </c>
      <c r="BL40" s="3">
        <v>0</v>
      </c>
      <c r="BM40" s="3">
        <v>0</v>
      </c>
      <c r="BN40" s="3">
        <v>0</v>
      </c>
      <c r="BO40" s="3">
        <v>1</v>
      </c>
      <c r="BP40" s="3">
        <v>0</v>
      </c>
      <c r="BQ40" s="3">
        <v>0</v>
      </c>
      <c r="BR40" s="3">
        <v>0</v>
      </c>
      <c r="BS40" s="3">
        <v>0</v>
      </c>
      <c r="BT40" s="3">
        <v>0</v>
      </c>
      <c r="BU40" s="3">
        <v>0</v>
      </c>
      <c r="BV40" s="3">
        <v>1</v>
      </c>
      <c r="BW40" s="3">
        <v>0</v>
      </c>
      <c r="BX40" s="3">
        <v>0</v>
      </c>
      <c r="BY40" s="3">
        <v>0</v>
      </c>
      <c r="BZ40" s="3">
        <v>0</v>
      </c>
      <c r="CA40" s="3">
        <v>1</v>
      </c>
      <c r="CB40" s="3">
        <v>0</v>
      </c>
      <c r="CC40" s="3">
        <v>0</v>
      </c>
      <c r="CD40" s="3">
        <v>1</v>
      </c>
      <c r="CE40" s="3">
        <v>0</v>
      </c>
      <c r="CF40" s="3">
        <v>0</v>
      </c>
      <c r="CG40" s="3">
        <v>0</v>
      </c>
      <c r="CH40" s="3">
        <v>0</v>
      </c>
      <c r="CI40" s="3">
        <v>1</v>
      </c>
      <c r="CJ40" s="3">
        <v>0</v>
      </c>
      <c r="CK40" s="3">
        <v>0</v>
      </c>
      <c r="CL40" s="3">
        <v>0</v>
      </c>
      <c r="CM40" s="3">
        <v>0</v>
      </c>
      <c r="CN40" s="39">
        <v>0</v>
      </c>
      <c r="CO40" s="39">
        <v>0</v>
      </c>
      <c r="CP40" s="39">
        <v>1</v>
      </c>
      <c r="CQ40" s="39">
        <v>0</v>
      </c>
      <c r="CR40" s="39">
        <v>0</v>
      </c>
      <c r="CS40" s="39">
        <v>0</v>
      </c>
      <c r="CT40" s="39">
        <v>0</v>
      </c>
      <c r="CU40" s="39">
        <v>1</v>
      </c>
      <c r="CV40" s="39">
        <v>0</v>
      </c>
      <c r="CW40" s="39">
        <v>0</v>
      </c>
      <c r="CX40" s="39">
        <v>0</v>
      </c>
      <c r="CY40" s="39">
        <v>1</v>
      </c>
      <c r="CZ40" s="39">
        <v>0</v>
      </c>
      <c r="DA40" s="39">
        <v>0</v>
      </c>
      <c r="DB40" s="39">
        <v>0</v>
      </c>
      <c r="DC40" s="39">
        <v>0</v>
      </c>
      <c r="DD40" s="39">
        <v>1</v>
      </c>
      <c r="DE40" s="39">
        <v>0</v>
      </c>
      <c r="DF40" s="39">
        <v>0</v>
      </c>
      <c r="DG40" s="39">
        <v>0</v>
      </c>
      <c r="DH40" s="39">
        <v>0</v>
      </c>
      <c r="DI40" s="3">
        <v>1</v>
      </c>
      <c r="DJ40" s="3">
        <v>0</v>
      </c>
      <c r="DK40" s="3">
        <v>0</v>
      </c>
      <c r="DL40" s="3">
        <v>0</v>
      </c>
      <c r="DM40" s="3">
        <v>0</v>
      </c>
      <c r="DN40" s="3">
        <v>0</v>
      </c>
      <c r="DO40" s="3">
        <v>0</v>
      </c>
      <c r="DP40" s="3">
        <v>1</v>
      </c>
      <c r="DQ40" s="3">
        <v>0</v>
      </c>
      <c r="DR40" s="3">
        <v>0</v>
      </c>
      <c r="DS40" s="3">
        <v>1</v>
      </c>
      <c r="DT40" s="3">
        <v>0</v>
      </c>
      <c r="DU40" s="3">
        <v>0</v>
      </c>
      <c r="DV40" s="3">
        <v>0</v>
      </c>
      <c r="DW40" s="3">
        <v>0</v>
      </c>
      <c r="DX40" s="3">
        <v>0</v>
      </c>
      <c r="DY40" s="3">
        <v>0</v>
      </c>
      <c r="DZ40" s="3">
        <v>1</v>
      </c>
      <c r="EA40" s="3">
        <v>0</v>
      </c>
      <c r="EB40" s="3">
        <v>0</v>
      </c>
      <c r="EC40" s="39">
        <v>1</v>
      </c>
      <c r="ED40" s="39">
        <v>0</v>
      </c>
      <c r="EE40" s="39">
        <v>0</v>
      </c>
      <c r="EF40" s="39">
        <v>0</v>
      </c>
      <c r="EG40" s="39">
        <v>0</v>
      </c>
      <c r="EH40" s="39">
        <v>0</v>
      </c>
      <c r="EI40" s="39">
        <v>1</v>
      </c>
      <c r="EJ40" s="39">
        <v>0</v>
      </c>
      <c r="EK40" s="39">
        <v>0</v>
      </c>
      <c r="EL40" s="39">
        <v>1</v>
      </c>
      <c r="EM40" s="39">
        <v>0</v>
      </c>
      <c r="EN40" s="39">
        <v>0</v>
      </c>
      <c r="EO40" s="39">
        <v>0</v>
      </c>
      <c r="EP40" s="39">
        <v>0</v>
      </c>
      <c r="EQ40" s="39">
        <v>0</v>
      </c>
      <c r="ER40" s="39">
        <v>0</v>
      </c>
      <c r="ES40" s="39">
        <v>0</v>
      </c>
      <c r="ET40" s="39">
        <v>1</v>
      </c>
      <c r="EU40" s="39">
        <v>0</v>
      </c>
      <c r="EV40" s="39">
        <v>0</v>
      </c>
      <c r="EW40" s="39">
        <v>1</v>
      </c>
      <c r="EX40" s="39">
        <v>0</v>
      </c>
      <c r="EY40" s="39">
        <v>0</v>
      </c>
      <c r="EZ40" s="39">
        <v>1</v>
      </c>
      <c r="FA40" s="39">
        <v>0</v>
      </c>
      <c r="FB40" s="3">
        <v>0</v>
      </c>
      <c r="FC40" s="3">
        <v>0</v>
      </c>
      <c r="FD40" s="3">
        <v>0</v>
      </c>
      <c r="FE40" s="3">
        <v>1</v>
      </c>
      <c r="FF40" s="3">
        <v>0</v>
      </c>
      <c r="FG40" s="3">
        <v>0</v>
      </c>
      <c r="FH40" s="3">
        <v>1</v>
      </c>
      <c r="FI40" s="3">
        <v>0</v>
      </c>
      <c r="FJ40" s="3">
        <v>1</v>
      </c>
      <c r="FK40" s="3">
        <v>1</v>
      </c>
      <c r="FL40" s="3">
        <v>1</v>
      </c>
      <c r="FM40" s="3">
        <v>0</v>
      </c>
      <c r="FN40" s="3">
        <v>0</v>
      </c>
      <c r="FO40" s="3">
        <v>0</v>
      </c>
      <c r="FP40" s="3">
        <v>0</v>
      </c>
    </row>
    <row r="41" spans="1:172" x14ac:dyDescent="0.25">
      <c r="A41" t="s">
        <v>11</v>
      </c>
      <c r="B41" t="s">
        <v>55</v>
      </c>
      <c r="C41" t="s">
        <v>7</v>
      </c>
      <c r="D41" s="2" t="s">
        <v>103</v>
      </c>
      <c r="E41" s="3">
        <v>0</v>
      </c>
      <c r="F41" s="3">
        <v>0</v>
      </c>
      <c r="G41" s="3">
        <v>0</v>
      </c>
      <c r="H41" s="3">
        <v>1</v>
      </c>
      <c r="I41" s="3">
        <v>1</v>
      </c>
      <c r="J41" s="3">
        <v>0</v>
      </c>
      <c r="K41" s="3">
        <v>0</v>
      </c>
      <c r="L41" s="3">
        <v>0</v>
      </c>
      <c r="M41" s="3">
        <v>0</v>
      </c>
      <c r="N41" s="3">
        <v>0</v>
      </c>
      <c r="O41" s="3">
        <v>0</v>
      </c>
      <c r="P41" s="3">
        <v>1</v>
      </c>
      <c r="Q41" s="3">
        <v>0</v>
      </c>
      <c r="R41" s="3">
        <v>0</v>
      </c>
      <c r="S41" s="3">
        <v>0</v>
      </c>
      <c r="T41" s="3">
        <v>0</v>
      </c>
      <c r="U41" s="3">
        <v>0</v>
      </c>
      <c r="V41" s="3">
        <v>0</v>
      </c>
      <c r="W41" s="3">
        <v>1</v>
      </c>
      <c r="X41" s="3">
        <v>0</v>
      </c>
      <c r="Y41" s="3">
        <v>1</v>
      </c>
      <c r="Z41" s="3">
        <v>0</v>
      </c>
      <c r="AA41" s="3">
        <v>1</v>
      </c>
      <c r="AB41" s="3">
        <v>0</v>
      </c>
      <c r="AC41" s="3">
        <v>0</v>
      </c>
      <c r="AD41" s="3">
        <v>0</v>
      </c>
      <c r="AE41" s="3">
        <v>0</v>
      </c>
      <c r="AF41" s="3">
        <v>0</v>
      </c>
      <c r="AG41" s="3">
        <v>0</v>
      </c>
      <c r="AH41" s="3">
        <v>1</v>
      </c>
      <c r="AI41" s="3">
        <v>0</v>
      </c>
      <c r="AJ41" s="3">
        <v>1</v>
      </c>
      <c r="AK41" s="3">
        <v>0</v>
      </c>
      <c r="AL41" s="3">
        <v>1</v>
      </c>
      <c r="AM41" s="3">
        <v>0</v>
      </c>
      <c r="AN41" s="3">
        <v>0</v>
      </c>
      <c r="AO41" s="3">
        <v>0</v>
      </c>
      <c r="AP41" s="3">
        <v>0</v>
      </c>
      <c r="AQ41" s="3">
        <v>0</v>
      </c>
      <c r="AR41" s="3">
        <v>0</v>
      </c>
      <c r="AS41" s="3">
        <v>1</v>
      </c>
      <c r="AT41" s="3">
        <v>0</v>
      </c>
      <c r="AU41" s="3">
        <v>1</v>
      </c>
      <c r="AV41" s="3">
        <v>0</v>
      </c>
      <c r="AW41" s="3">
        <v>1</v>
      </c>
      <c r="AX41" s="3">
        <v>0</v>
      </c>
      <c r="AY41" s="3">
        <v>0</v>
      </c>
      <c r="AZ41" s="3">
        <v>0</v>
      </c>
      <c r="BA41" s="3">
        <v>0</v>
      </c>
      <c r="BB41" s="3">
        <v>1</v>
      </c>
      <c r="BC41" s="3">
        <v>0</v>
      </c>
      <c r="BD41" s="3">
        <v>0</v>
      </c>
      <c r="BE41" s="3">
        <v>1</v>
      </c>
      <c r="BF41" s="3">
        <v>0</v>
      </c>
      <c r="BG41" s="3">
        <v>0</v>
      </c>
      <c r="BH41" s="3">
        <v>1</v>
      </c>
      <c r="BI41" s="3">
        <v>0</v>
      </c>
      <c r="BJ41" s="3">
        <v>0</v>
      </c>
      <c r="BK41" s="3">
        <v>0</v>
      </c>
      <c r="BL41" s="3">
        <v>0</v>
      </c>
      <c r="BM41" s="3">
        <v>1</v>
      </c>
      <c r="BN41" s="3">
        <v>0</v>
      </c>
      <c r="BO41" s="3">
        <v>0</v>
      </c>
      <c r="BP41" s="3">
        <v>0</v>
      </c>
      <c r="BQ41" s="3">
        <v>1</v>
      </c>
      <c r="BR41" s="3">
        <v>1</v>
      </c>
      <c r="BS41" s="3">
        <v>0</v>
      </c>
      <c r="BT41" s="3">
        <v>1</v>
      </c>
      <c r="BU41" s="3">
        <v>0</v>
      </c>
      <c r="BV41" s="3">
        <v>0</v>
      </c>
      <c r="BW41" s="3">
        <v>0</v>
      </c>
      <c r="BX41" s="3">
        <v>0</v>
      </c>
      <c r="BY41" s="3">
        <v>1</v>
      </c>
      <c r="BZ41" s="3">
        <v>0</v>
      </c>
      <c r="CA41" s="3">
        <v>0</v>
      </c>
      <c r="CB41" s="3">
        <v>0</v>
      </c>
      <c r="CC41" s="3">
        <v>0</v>
      </c>
      <c r="CD41" s="3">
        <v>1</v>
      </c>
      <c r="CE41" s="3">
        <v>0</v>
      </c>
      <c r="CF41" s="3">
        <v>0</v>
      </c>
      <c r="CG41" s="3">
        <v>0</v>
      </c>
      <c r="CH41" s="3">
        <v>0</v>
      </c>
      <c r="CI41" s="3">
        <v>1</v>
      </c>
      <c r="CJ41" s="3">
        <v>0</v>
      </c>
      <c r="CK41" s="3">
        <v>0</v>
      </c>
      <c r="CL41" s="3">
        <v>1</v>
      </c>
      <c r="CM41" s="3">
        <v>0</v>
      </c>
      <c r="CN41" s="39">
        <v>1</v>
      </c>
      <c r="CO41" s="39">
        <v>0</v>
      </c>
      <c r="CP41" s="39">
        <v>0</v>
      </c>
      <c r="CQ41" s="39">
        <v>0</v>
      </c>
      <c r="CR41" s="39">
        <v>0</v>
      </c>
      <c r="CS41" s="39">
        <v>0</v>
      </c>
      <c r="CT41" s="39">
        <v>0</v>
      </c>
      <c r="CU41" s="39">
        <v>1</v>
      </c>
      <c r="CV41" s="39">
        <v>0</v>
      </c>
      <c r="CW41" s="39">
        <v>1</v>
      </c>
      <c r="CX41" s="39">
        <v>0</v>
      </c>
      <c r="CY41" s="39">
        <v>1</v>
      </c>
      <c r="CZ41" s="39">
        <v>0</v>
      </c>
      <c r="DA41" s="39">
        <v>0</v>
      </c>
      <c r="DB41" s="39">
        <v>0</v>
      </c>
      <c r="DC41" s="39">
        <v>0</v>
      </c>
      <c r="DD41" s="39">
        <v>1</v>
      </c>
      <c r="DE41" s="39">
        <v>0</v>
      </c>
      <c r="DF41" s="39">
        <v>0</v>
      </c>
      <c r="DG41" s="39">
        <v>0</v>
      </c>
      <c r="DH41" s="39">
        <v>0</v>
      </c>
      <c r="DI41" s="3">
        <v>1</v>
      </c>
      <c r="DJ41" s="3">
        <v>0</v>
      </c>
      <c r="DK41" s="3">
        <v>0</v>
      </c>
      <c r="DL41" s="3">
        <v>0</v>
      </c>
      <c r="DM41" s="3">
        <v>0</v>
      </c>
      <c r="DN41" s="3">
        <v>0</v>
      </c>
      <c r="DO41" s="3">
        <v>0</v>
      </c>
      <c r="DP41" s="3">
        <v>1</v>
      </c>
      <c r="DQ41" s="3">
        <v>0</v>
      </c>
      <c r="DR41" s="3">
        <v>0</v>
      </c>
      <c r="DS41" s="3">
        <v>1</v>
      </c>
      <c r="DT41" s="3">
        <v>0</v>
      </c>
      <c r="DU41" s="3">
        <v>0</v>
      </c>
      <c r="DV41" s="3">
        <v>0</v>
      </c>
      <c r="DW41" s="3">
        <v>0</v>
      </c>
      <c r="DX41" s="3">
        <v>0</v>
      </c>
      <c r="DY41" s="3">
        <v>0</v>
      </c>
      <c r="DZ41" s="3">
        <v>0</v>
      </c>
      <c r="EA41" s="3">
        <v>0</v>
      </c>
      <c r="EB41" s="3">
        <v>1</v>
      </c>
      <c r="EC41" s="39">
        <v>1</v>
      </c>
      <c r="ED41" s="39">
        <v>0</v>
      </c>
      <c r="EE41" s="39">
        <v>0</v>
      </c>
      <c r="EF41" s="39">
        <v>0</v>
      </c>
      <c r="EG41" s="39">
        <v>0</v>
      </c>
      <c r="EH41" s="39">
        <v>0</v>
      </c>
      <c r="EI41" s="39">
        <v>0</v>
      </c>
      <c r="EJ41" s="39">
        <v>1</v>
      </c>
      <c r="EK41" s="39">
        <v>0</v>
      </c>
      <c r="EL41" s="39">
        <v>0</v>
      </c>
      <c r="EM41" s="39">
        <v>1</v>
      </c>
      <c r="EN41" s="39">
        <v>0</v>
      </c>
      <c r="EO41" s="39">
        <v>0</v>
      </c>
      <c r="EP41" s="39">
        <v>0</v>
      </c>
      <c r="EQ41" s="39">
        <v>0</v>
      </c>
      <c r="ER41" s="39">
        <v>0</v>
      </c>
      <c r="ES41" s="39">
        <v>0</v>
      </c>
      <c r="ET41" s="39">
        <v>1</v>
      </c>
      <c r="EU41" s="39">
        <v>0</v>
      </c>
      <c r="EV41" s="39">
        <v>0</v>
      </c>
      <c r="EW41" s="39">
        <v>1</v>
      </c>
      <c r="EX41" s="39">
        <v>1</v>
      </c>
      <c r="EY41" s="39">
        <v>0</v>
      </c>
      <c r="EZ41" s="39">
        <v>0</v>
      </c>
      <c r="FA41" s="39">
        <v>0</v>
      </c>
      <c r="FB41" s="3">
        <v>0</v>
      </c>
      <c r="FC41" s="3">
        <v>0</v>
      </c>
      <c r="FD41" s="3">
        <v>0</v>
      </c>
      <c r="FE41" s="3">
        <v>1</v>
      </c>
      <c r="FF41" s="3">
        <v>0</v>
      </c>
      <c r="FG41" s="3">
        <v>0</v>
      </c>
      <c r="FH41" s="3">
        <v>0</v>
      </c>
      <c r="FI41" s="3">
        <v>0</v>
      </c>
      <c r="FJ41" s="3">
        <v>0</v>
      </c>
      <c r="FK41" s="3">
        <v>1</v>
      </c>
      <c r="FL41" s="3">
        <v>1</v>
      </c>
      <c r="FM41" s="3">
        <v>0</v>
      </c>
      <c r="FN41" s="3">
        <v>0</v>
      </c>
      <c r="FO41" s="3">
        <v>1</v>
      </c>
      <c r="FP41" s="3">
        <v>0</v>
      </c>
    </row>
    <row r="42" spans="1:172" x14ac:dyDescent="0.25">
      <c r="A42" t="s">
        <v>42</v>
      </c>
      <c r="B42" t="s">
        <v>57</v>
      </c>
      <c r="C42" t="s">
        <v>27</v>
      </c>
      <c r="D42" s="2" t="s">
        <v>104</v>
      </c>
      <c r="E42" s="3">
        <v>1</v>
      </c>
      <c r="F42" s="3">
        <v>0</v>
      </c>
      <c r="G42" s="3">
        <v>0</v>
      </c>
      <c r="H42" s="3">
        <v>0</v>
      </c>
      <c r="I42" s="3">
        <v>1</v>
      </c>
      <c r="J42" s="3">
        <v>0</v>
      </c>
      <c r="K42" s="3">
        <v>0</v>
      </c>
      <c r="L42" s="3">
        <v>1</v>
      </c>
      <c r="M42" s="3">
        <v>0</v>
      </c>
      <c r="N42" s="3">
        <v>0</v>
      </c>
      <c r="O42" s="3">
        <v>0</v>
      </c>
      <c r="P42" s="3">
        <v>1</v>
      </c>
      <c r="Q42" s="3">
        <v>0</v>
      </c>
      <c r="R42" s="3">
        <v>0</v>
      </c>
      <c r="S42" s="3">
        <v>0</v>
      </c>
      <c r="T42" s="3">
        <v>0</v>
      </c>
      <c r="U42" s="3">
        <v>1</v>
      </c>
      <c r="V42" s="3">
        <v>0</v>
      </c>
      <c r="W42" s="3">
        <v>0</v>
      </c>
      <c r="X42" s="3">
        <v>0</v>
      </c>
      <c r="Y42" s="3">
        <v>0</v>
      </c>
      <c r="Z42" s="3">
        <v>0</v>
      </c>
      <c r="AA42" s="3">
        <v>1</v>
      </c>
      <c r="AB42" s="3">
        <v>0</v>
      </c>
      <c r="AC42" s="3">
        <v>0</v>
      </c>
      <c r="AD42" s="3">
        <v>0</v>
      </c>
      <c r="AE42" s="3">
        <v>0</v>
      </c>
      <c r="AF42" s="3">
        <v>1</v>
      </c>
      <c r="AG42" s="3">
        <v>0</v>
      </c>
      <c r="AH42" s="3">
        <v>0</v>
      </c>
      <c r="AI42" s="3">
        <v>1</v>
      </c>
      <c r="AJ42" s="3">
        <v>1</v>
      </c>
      <c r="AK42" s="3">
        <v>0</v>
      </c>
      <c r="AL42" s="3">
        <v>1</v>
      </c>
      <c r="AM42" s="3">
        <v>0</v>
      </c>
      <c r="AN42" s="3">
        <v>0</v>
      </c>
      <c r="AO42" s="3">
        <v>0</v>
      </c>
      <c r="AP42" s="3">
        <v>0</v>
      </c>
      <c r="AQ42" s="3">
        <v>1</v>
      </c>
      <c r="AR42" s="3">
        <v>0</v>
      </c>
      <c r="AS42" s="3">
        <v>0</v>
      </c>
      <c r="AT42" s="3">
        <v>0</v>
      </c>
      <c r="AU42" s="3">
        <v>0</v>
      </c>
      <c r="AV42" s="3">
        <v>0</v>
      </c>
      <c r="AW42" s="3">
        <v>1</v>
      </c>
      <c r="AX42" s="3">
        <v>0</v>
      </c>
      <c r="AY42" s="3">
        <v>0</v>
      </c>
      <c r="AZ42" s="3">
        <v>0</v>
      </c>
      <c r="BA42" s="3">
        <v>0</v>
      </c>
      <c r="BB42" s="3">
        <v>1</v>
      </c>
      <c r="BC42" s="3">
        <v>0</v>
      </c>
      <c r="BD42" s="3">
        <v>0</v>
      </c>
      <c r="BE42" s="3">
        <v>0</v>
      </c>
      <c r="BF42" s="3">
        <v>0</v>
      </c>
      <c r="BG42" s="3">
        <v>0</v>
      </c>
      <c r="BH42" s="3">
        <v>1</v>
      </c>
      <c r="BI42" s="3">
        <v>0</v>
      </c>
      <c r="BJ42" s="3">
        <v>0</v>
      </c>
      <c r="BK42" s="3">
        <v>0</v>
      </c>
      <c r="BL42" s="3">
        <v>0</v>
      </c>
      <c r="BM42" s="3">
        <v>1</v>
      </c>
      <c r="BN42" s="3">
        <v>0</v>
      </c>
      <c r="BO42" s="3">
        <v>0</v>
      </c>
      <c r="BP42" s="3">
        <v>0</v>
      </c>
      <c r="BQ42" s="3">
        <v>0</v>
      </c>
      <c r="BR42" s="3">
        <v>0</v>
      </c>
      <c r="BS42" s="3">
        <v>0</v>
      </c>
      <c r="BT42" s="3">
        <v>1</v>
      </c>
      <c r="BU42" s="3">
        <v>0</v>
      </c>
      <c r="BV42" s="3">
        <v>0</v>
      </c>
      <c r="BW42" s="3">
        <v>0</v>
      </c>
      <c r="BX42" s="3">
        <v>0</v>
      </c>
      <c r="BY42" s="3">
        <v>0</v>
      </c>
      <c r="BZ42" s="3">
        <v>0</v>
      </c>
      <c r="CA42" s="3">
        <v>1</v>
      </c>
      <c r="CB42" s="3">
        <v>1</v>
      </c>
      <c r="CC42" s="3">
        <v>0</v>
      </c>
      <c r="CD42" s="3">
        <v>1</v>
      </c>
      <c r="CE42" s="3">
        <v>0</v>
      </c>
      <c r="CF42" s="3">
        <v>0</v>
      </c>
      <c r="CG42" s="3">
        <v>0</v>
      </c>
      <c r="CH42" s="3">
        <v>0</v>
      </c>
      <c r="CI42" s="3">
        <v>1</v>
      </c>
      <c r="CJ42" s="3">
        <v>0</v>
      </c>
      <c r="CK42" s="3">
        <v>0</v>
      </c>
      <c r="CL42" s="3">
        <v>1</v>
      </c>
      <c r="CM42" s="3">
        <v>0</v>
      </c>
      <c r="CN42" s="39">
        <v>0</v>
      </c>
      <c r="CO42" s="39">
        <v>0</v>
      </c>
      <c r="CP42" s="39">
        <v>1</v>
      </c>
      <c r="CQ42" s="39">
        <v>0</v>
      </c>
      <c r="CR42" s="39">
        <v>0</v>
      </c>
      <c r="CS42" s="39">
        <v>1</v>
      </c>
      <c r="CT42" s="39">
        <v>0</v>
      </c>
      <c r="CU42" s="39">
        <v>0</v>
      </c>
      <c r="CV42" s="39">
        <v>1</v>
      </c>
      <c r="CW42" s="39">
        <v>0</v>
      </c>
      <c r="CX42" s="39">
        <v>0</v>
      </c>
      <c r="CY42" s="39">
        <v>0</v>
      </c>
      <c r="CZ42" s="39">
        <v>0</v>
      </c>
      <c r="DA42" s="39">
        <v>1</v>
      </c>
      <c r="DB42" s="39">
        <v>0</v>
      </c>
      <c r="DC42" s="39">
        <v>0</v>
      </c>
      <c r="DD42" s="39">
        <v>1</v>
      </c>
      <c r="DE42" s="39">
        <v>0</v>
      </c>
      <c r="DF42" s="39">
        <v>0</v>
      </c>
      <c r="DG42" s="39">
        <v>1</v>
      </c>
      <c r="DH42" s="39">
        <v>0</v>
      </c>
      <c r="DI42" s="3">
        <v>1</v>
      </c>
      <c r="DJ42" s="3">
        <v>0</v>
      </c>
      <c r="DK42" s="3">
        <v>0</v>
      </c>
      <c r="DL42" s="3">
        <v>0</v>
      </c>
      <c r="DM42" s="3">
        <v>0</v>
      </c>
      <c r="DN42" s="3">
        <v>1</v>
      </c>
      <c r="DO42" s="3">
        <v>0</v>
      </c>
      <c r="DP42" s="3">
        <v>0</v>
      </c>
      <c r="DQ42" s="3">
        <v>0</v>
      </c>
      <c r="DR42" s="3">
        <v>0</v>
      </c>
      <c r="DS42" s="3">
        <v>1</v>
      </c>
      <c r="DT42" s="3">
        <v>0</v>
      </c>
      <c r="DU42" s="3">
        <v>0</v>
      </c>
      <c r="DV42" s="3">
        <v>0</v>
      </c>
      <c r="DW42" s="3">
        <v>0</v>
      </c>
      <c r="DX42" s="3">
        <v>1</v>
      </c>
      <c r="DY42" s="3">
        <v>0</v>
      </c>
      <c r="DZ42" s="3">
        <v>0</v>
      </c>
      <c r="EA42" s="3">
        <v>0</v>
      </c>
      <c r="EB42" s="3">
        <v>0</v>
      </c>
      <c r="EC42" s="39">
        <v>1</v>
      </c>
      <c r="ED42" s="39">
        <v>0</v>
      </c>
      <c r="EE42" s="39">
        <v>0</v>
      </c>
      <c r="EF42" s="39">
        <v>0</v>
      </c>
      <c r="EG42" s="39">
        <v>0</v>
      </c>
      <c r="EH42" s="39">
        <v>1</v>
      </c>
      <c r="EI42" s="39">
        <v>0</v>
      </c>
      <c r="EJ42" s="39">
        <v>0</v>
      </c>
      <c r="EK42" s="39">
        <v>0</v>
      </c>
      <c r="EL42" s="39">
        <v>0</v>
      </c>
      <c r="EM42" s="39">
        <v>1</v>
      </c>
      <c r="EN42" s="39">
        <v>0</v>
      </c>
      <c r="EO42" s="39">
        <v>0</v>
      </c>
      <c r="EP42" s="39">
        <v>0</v>
      </c>
      <c r="EQ42" s="39">
        <v>0</v>
      </c>
      <c r="ER42" s="39">
        <v>0</v>
      </c>
      <c r="ES42" s="39">
        <v>1</v>
      </c>
      <c r="ET42" s="39">
        <v>0</v>
      </c>
      <c r="EU42" s="39">
        <v>0</v>
      </c>
      <c r="EV42" s="39">
        <v>0</v>
      </c>
      <c r="EW42" s="39">
        <v>1</v>
      </c>
      <c r="EX42" s="39">
        <v>0</v>
      </c>
      <c r="EY42" s="39">
        <v>0</v>
      </c>
      <c r="EZ42" s="39">
        <v>1</v>
      </c>
      <c r="FA42" s="39">
        <v>0</v>
      </c>
      <c r="FB42" s="3">
        <v>0</v>
      </c>
      <c r="FC42" s="3">
        <v>0</v>
      </c>
      <c r="FD42" s="3">
        <v>0</v>
      </c>
      <c r="FE42" s="3">
        <v>1</v>
      </c>
      <c r="FF42" s="3">
        <v>0</v>
      </c>
      <c r="FG42" s="3">
        <v>0</v>
      </c>
      <c r="FH42" s="3">
        <v>1</v>
      </c>
      <c r="FI42" s="3">
        <v>0</v>
      </c>
      <c r="FJ42" s="3">
        <v>0</v>
      </c>
      <c r="FK42" s="3">
        <v>1</v>
      </c>
      <c r="FL42" s="3">
        <v>0</v>
      </c>
      <c r="FM42" s="3">
        <v>1</v>
      </c>
      <c r="FN42" s="3">
        <v>0</v>
      </c>
      <c r="FO42" s="3">
        <v>1</v>
      </c>
      <c r="FP42" s="3">
        <v>0</v>
      </c>
    </row>
    <row r="43" spans="1:172" x14ac:dyDescent="0.25">
      <c r="A43" t="s">
        <v>37</v>
      </c>
      <c r="B43" t="s">
        <v>57</v>
      </c>
      <c r="C43" t="s">
        <v>7</v>
      </c>
      <c r="D43" s="2" t="s">
        <v>105</v>
      </c>
      <c r="E43" s="3">
        <v>0</v>
      </c>
      <c r="F43" s="3">
        <v>0</v>
      </c>
      <c r="G43" s="3">
        <v>0</v>
      </c>
      <c r="H43" s="3">
        <v>1</v>
      </c>
      <c r="I43" s="3">
        <v>0</v>
      </c>
      <c r="J43" s="3">
        <v>0</v>
      </c>
      <c r="K43" s="3">
        <v>0</v>
      </c>
      <c r="L43" s="3">
        <v>0</v>
      </c>
      <c r="M43" s="3">
        <v>0</v>
      </c>
      <c r="N43" s="3">
        <v>0</v>
      </c>
      <c r="O43" s="3">
        <v>1</v>
      </c>
      <c r="P43" s="3">
        <v>0</v>
      </c>
      <c r="Q43" s="3">
        <v>0</v>
      </c>
      <c r="R43" s="3">
        <v>0</v>
      </c>
      <c r="S43" s="3">
        <v>0</v>
      </c>
      <c r="T43" s="3">
        <v>1</v>
      </c>
      <c r="U43" s="3">
        <v>0</v>
      </c>
      <c r="V43" s="3">
        <v>0</v>
      </c>
      <c r="W43" s="3">
        <v>0</v>
      </c>
      <c r="X43" s="3">
        <v>0</v>
      </c>
      <c r="Y43" s="3">
        <v>0</v>
      </c>
      <c r="Z43" s="3">
        <v>1</v>
      </c>
      <c r="AA43" s="3">
        <v>0</v>
      </c>
      <c r="AB43" s="3">
        <v>0</v>
      </c>
      <c r="AC43" s="3">
        <v>0</v>
      </c>
      <c r="AD43" s="3">
        <v>0</v>
      </c>
      <c r="AE43" s="3">
        <v>1</v>
      </c>
      <c r="AF43" s="3">
        <v>0</v>
      </c>
      <c r="AG43" s="3">
        <v>0</v>
      </c>
      <c r="AH43" s="3">
        <v>0</v>
      </c>
      <c r="AI43" s="3">
        <v>0</v>
      </c>
      <c r="AJ43" s="3">
        <v>0</v>
      </c>
      <c r="AK43" s="3">
        <v>1</v>
      </c>
      <c r="AL43" s="3">
        <v>0</v>
      </c>
      <c r="AM43" s="3">
        <v>0</v>
      </c>
      <c r="AN43" s="3">
        <v>0</v>
      </c>
      <c r="AO43" s="3">
        <v>0</v>
      </c>
      <c r="AP43" s="3">
        <v>1</v>
      </c>
      <c r="AQ43" s="3">
        <v>0</v>
      </c>
      <c r="AR43" s="3">
        <v>0</v>
      </c>
      <c r="AS43" s="3">
        <v>0</v>
      </c>
      <c r="AT43" s="3">
        <v>0</v>
      </c>
      <c r="AU43" s="3">
        <v>0</v>
      </c>
      <c r="AV43" s="3">
        <v>1</v>
      </c>
      <c r="AW43" s="3">
        <v>0</v>
      </c>
      <c r="AX43" s="3">
        <v>0</v>
      </c>
      <c r="AY43" s="3">
        <v>0</v>
      </c>
      <c r="AZ43" s="3">
        <v>0</v>
      </c>
      <c r="BA43" s="3">
        <v>1</v>
      </c>
      <c r="BB43" s="3">
        <v>0</v>
      </c>
      <c r="BC43" s="3">
        <v>0</v>
      </c>
      <c r="BD43" s="3">
        <v>0</v>
      </c>
      <c r="BE43" s="3">
        <v>0</v>
      </c>
      <c r="BF43" s="3">
        <v>0</v>
      </c>
      <c r="BG43" s="3">
        <v>1</v>
      </c>
      <c r="BH43" s="3">
        <v>0</v>
      </c>
      <c r="BI43" s="3">
        <v>0</v>
      </c>
      <c r="BJ43" s="3">
        <v>0</v>
      </c>
      <c r="BK43" s="3">
        <v>0</v>
      </c>
      <c r="BL43" s="3">
        <v>1</v>
      </c>
      <c r="BM43" s="3">
        <v>0</v>
      </c>
      <c r="BN43" s="3">
        <v>0</v>
      </c>
      <c r="BO43" s="3">
        <v>1</v>
      </c>
      <c r="BP43" s="3">
        <v>0</v>
      </c>
      <c r="BQ43" s="3">
        <v>0</v>
      </c>
      <c r="BR43" s="3">
        <v>0</v>
      </c>
      <c r="BS43" s="3">
        <v>0</v>
      </c>
      <c r="BT43" s="3">
        <v>0</v>
      </c>
      <c r="BU43" s="3">
        <v>0</v>
      </c>
      <c r="BV43" s="3">
        <v>0</v>
      </c>
      <c r="BW43" s="3">
        <v>0</v>
      </c>
      <c r="BX43" s="3">
        <v>1</v>
      </c>
      <c r="BY43" s="3">
        <v>0</v>
      </c>
      <c r="BZ43" s="3">
        <v>0</v>
      </c>
      <c r="CA43" s="3">
        <v>0</v>
      </c>
      <c r="CB43" s="3">
        <v>0</v>
      </c>
      <c r="CC43" s="3">
        <v>1</v>
      </c>
      <c r="CD43" s="3">
        <v>0</v>
      </c>
      <c r="CE43" s="3">
        <v>0</v>
      </c>
      <c r="CF43" s="3">
        <v>0</v>
      </c>
      <c r="CG43" s="3">
        <v>0</v>
      </c>
      <c r="CH43" s="3">
        <v>1</v>
      </c>
      <c r="CI43" s="3">
        <v>0</v>
      </c>
      <c r="CJ43" s="3">
        <v>0</v>
      </c>
      <c r="CK43" s="3">
        <v>0</v>
      </c>
      <c r="CL43" s="3">
        <v>0</v>
      </c>
      <c r="CM43" s="3">
        <v>1</v>
      </c>
      <c r="CN43" s="39">
        <v>0</v>
      </c>
      <c r="CO43" s="39">
        <v>0</v>
      </c>
      <c r="CP43" s="39">
        <v>0</v>
      </c>
      <c r="CQ43" s="39">
        <v>0</v>
      </c>
      <c r="CR43" s="39">
        <v>1</v>
      </c>
      <c r="CS43" s="39">
        <v>0</v>
      </c>
      <c r="CT43" s="39">
        <v>0</v>
      </c>
      <c r="CU43" s="39">
        <v>0</v>
      </c>
      <c r="CV43" s="39">
        <v>0</v>
      </c>
      <c r="CW43" s="39">
        <v>0</v>
      </c>
      <c r="CX43" s="39">
        <v>1</v>
      </c>
      <c r="CY43" s="39">
        <v>0</v>
      </c>
      <c r="CZ43" s="39">
        <v>0</v>
      </c>
      <c r="DA43" s="39">
        <v>0</v>
      </c>
      <c r="DB43" s="39">
        <v>0</v>
      </c>
      <c r="DC43" s="39">
        <v>1</v>
      </c>
      <c r="DD43" s="39">
        <v>0</v>
      </c>
      <c r="DE43" s="39">
        <v>0</v>
      </c>
      <c r="DF43" s="39">
        <v>0</v>
      </c>
      <c r="DG43" s="39">
        <v>0</v>
      </c>
      <c r="DH43" s="39">
        <v>1</v>
      </c>
      <c r="DI43" s="3">
        <v>0</v>
      </c>
      <c r="DJ43" s="3">
        <v>0</v>
      </c>
      <c r="DK43" s="3">
        <v>0</v>
      </c>
      <c r="DL43" s="3">
        <v>0</v>
      </c>
      <c r="DM43" s="3">
        <v>1</v>
      </c>
      <c r="DN43" s="3">
        <v>0</v>
      </c>
      <c r="DO43" s="3">
        <v>0</v>
      </c>
      <c r="DP43" s="3">
        <v>0</v>
      </c>
      <c r="DQ43" s="3">
        <v>0</v>
      </c>
      <c r="DR43" s="3">
        <v>1</v>
      </c>
      <c r="DS43" s="3">
        <v>0</v>
      </c>
      <c r="DT43" s="3">
        <v>0</v>
      </c>
      <c r="DU43" s="3">
        <v>0</v>
      </c>
      <c r="DV43" s="3">
        <v>0</v>
      </c>
      <c r="DW43" s="3">
        <v>1</v>
      </c>
      <c r="DX43" s="3">
        <v>0</v>
      </c>
      <c r="DY43" s="3">
        <v>0</v>
      </c>
      <c r="DZ43" s="3">
        <v>0</v>
      </c>
      <c r="EA43" s="3">
        <v>0</v>
      </c>
      <c r="EB43" s="3">
        <v>1</v>
      </c>
      <c r="EC43" s="39">
        <v>0</v>
      </c>
      <c r="ED43" s="39">
        <v>0</v>
      </c>
      <c r="EE43" s="39">
        <v>0</v>
      </c>
      <c r="EF43" s="39">
        <v>0</v>
      </c>
      <c r="EG43" s="39">
        <v>1</v>
      </c>
      <c r="EH43" s="39">
        <v>0</v>
      </c>
      <c r="EI43" s="39">
        <v>0</v>
      </c>
      <c r="EJ43" s="39">
        <v>1</v>
      </c>
      <c r="EK43" s="39">
        <v>0</v>
      </c>
      <c r="EL43" s="39">
        <v>0</v>
      </c>
      <c r="EM43" s="39">
        <v>1</v>
      </c>
      <c r="EN43" s="39">
        <v>0</v>
      </c>
      <c r="EO43" s="39">
        <v>0</v>
      </c>
      <c r="EP43" s="39">
        <v>0</v>
      </c>
      <c r="EQ43" s="39">
        <v>0</v>
      </c>
      <c r="ER43" s="39">
        <v>0</v>
      </c>
      <c r="ES43" s="39">
        <v>0</v>
      </c>
      <c r="ET43" s="39">
        <v>1</v>
      </c>
      <c r="EU43" s="39">
        <v>0</v>
      </c>
      <c r="EV43" s="39">
        <v>0</v>
      </c>
      <c r="EW43" s="39">
        <v>1</v>
      </c>
      <c r="EX43" s="39">
        <v>0</v>
      </c>
      <c r="EY43" s="39">
        <v>0</v>
      </c>
      <c r="EZ43" s="39">
        <v>1</v>
      </c>
      <c r="FA43" s="39">
        <v>0</v>
      </c>
      <c r="FB43" s="3">
        <v>0</v>
      </c>
      <c r="FC43" s="3">
        <v>0</v>
      </c>
      <c r="FD43" s="3">
        <v>0</v>
      </c>
      <c r="FE43" s="3">
        <v>0</v>
      </c>
      <c r="FF43" s="3">
        <v>0</v>
      </c>
      <c r="FG43" s="3">
        <v>0</v>
      </c>
      <c r="FH43" s="3">
        <v>1</v>
      </c>
      <c r="FI43" s="3">
        <v>0</v>
      </c>
      <c r="FJ43" s="3">
        <v>0</v>
      </c>
      <c r="FK43" s="3">
        <v>0</v>
      </c>
      <c r="FL43" s="3">
        <v>0</v>
      </c>
      <c r="FM43" s="3">
        <v>0</v>
      </c>
      <c r="FN43" s="3">
        <v>0</v>
      </c>
      <c r="FO43" s="3">
        <v>0</v>
      </c>
      <c r="FP43" s="3">
        <v>0</v>
      </c>
    </row>
    <row r="44" spans="1:172" x14ac:dyDescent="0.25">
      <c r="A44" t="s">
        <v>3</v>
      </c>
      <c r="B44" t="s">
        <v>57</v>
      </c>
      <c r="C44" t="s">
        <v>7</v>
      </c>
      <c r="D44" s="2" t="s">
        <v>106</v>
      </c>
      <c r="E44" s="3">
        <v>0</v>
      </c>
      <c r="F44" s="3">
        <v>0</v>
      </c>
      <c r="G44" s="3">
        <v>0</v>
      </c>
      <c r="H44" s="3">
        <v>1</v>
      </c>
      <c r="I44" s="3">
        <v>1</v>
      </c>
      <c r="J44" s="3">
        <v>0</v>
      </c>
      <c r="K44" s="3">
        <v>0</v>
      </c>
      <c r="L44" s="3">
        <v>0</v>
      </c>
      <c r="M44" s="3">
        <v>0</v>
      </c>
      <c r="N44" s="3">
        <v>0</v>
      </c>
      <c r="O44" s="3">
        <v>0</v>
      </c>
      <c r="P44" s="3">
        <v>1</v>
      </c>
      <c r="Q44" s="3">
        <v>0</v>
      </c>
      <c r="R44" s="3">
        <v>0</v>
      </c>
      <c r="S44" s="3">
        <v>0</v>
      </c>
      <c r="T44" s="3">
        <v>0</v>
      </c>
      <c r="U44" s="3">
        <v>1</v>
      </c>
      <c r="V44" s="3">
        <v>0</v>
      </c>
      <c r="W44" s="3">
        <v>0</v>
      </c>
      <c r="X44" s="3">
        <v>0</v>
      </c>
      <c r="Y44" s="3">
        <v>0</v>
      </c>
      <c r="Z44" s="3">
        <v>0</v>
      </c>
      <c r="AA44" s="3">
        <v>1</v>
      </c>
      <c r="AB44" s="3">
        <v>0</v>
      </c>
      <c r="AC44" s="3">
        <v>0</v>
      </c>
      <c r="AD44" s="3">
        <v>0</v>
      </c>
      <c r="AE44" s="3">
        <v>0</v>
      </c>
      <c r="AF44" s="3">
        <v>1</v>
      </c>
      <c r="AG44" s="3">
        <v>0</v>
      </c>
      <c r="AH44" s="3">
        <v>0</v>
      </c>
      <c r="AI44" s="3">
        <v>0</v>
      </c>
      <c r="AJ44" s="3">
        <v>0</v>
      </c>
      <c r="AK44" s="3">
        <v>0</v>
      </c>
      <c r="AL44" s="3">
        <v>1</v>
      </c>
      <c r="AM44" s="3">
        <v>0</v>
      </c>
      <c r="AN44" s="3">
        <v>0</v>
      </c>
      <c r="AO44" s="3">
        <v>0</v>
      </c>
      <c r="AP44" s="3">
        <v>0</v>
      </c>
      <c r="AQ44" s="3">
        <v>1</v>
      </c>
      <c r="AR44" s="3">
        <v>0</v>
      </c>
      <c r="AS44" s="3">
        <v>0</v>
      </c>
      <c r="AT44" s="3">
        <v>0</v>
      </c>
      <c r="AU44" s="3">
        <v>0</v>
      </c>
      <c r="AV44" s="3">
        <v>0</v>
      </c>
      <c r="AW44" s="3">
        <v>1</v>
      </c>
      <c r="AX44" s="3">
        <v>0</v>
      </c>
      <c r="AY44" s="3">
        <v>0</v>
      </c>
      <c r="AZ44" s="3">
        <v>0</v>
      </c>
      <c r="BA44" s="3">
        <v>0</v>
      </c>
      <c r="BB44" s="3">
        <v>1</v>
      </c>
      <c r="BC44" s="3">
        <v>0</v>
      </c>
      <c r="BD44" s="3">
        <v>0</v>
      </c>
      <c r="BE44" s="3">
        <v>0</v>
      </c>
      <c r="BF44" s="3">
        <v>0</v>
      </c>
      <c r="BG44" s="3">
        <v>0</v>
      </c>
      <c r="BH44" s="3">
        <v>1</v>
      </c>
      <c r="BI44" s="3">
        <v>0</v>
      </c>
      <c r="BJ44" s="3">
        <v>0</v>
      </c>
      <c r="BK44" s="3">
        <v>0</v>
      </c>
      <c r="BL44" s="3">
        <v>0</v>
      </c>
      <c r="BM44" s="3">
        <v>0</v>
      </c>
      <c r="BN44" s="3">
        <v>0</v>
      </c>
      <c r="BO44" s="3">
        <v>1</v>
      </c>
      <c r="BP44" s="3">
        <v>0</v>
      </c>
      <c r="BQ44" s="3">
        <v>0</v>
      </c>
      <c r="BR44" s="3">
        <v>0</v>
      </c>
      <c r="BS44" s="3">
        <v>0</v>
      </c>
      <c r="BT44" s="3">
        <v>1</v>
      </c>
      <c r="BU44" s="3">
        <v>0</v>
      </c>
      <c r="BV44" s="3">
        <v>0</v>
      </c>
      <c r="BW44" s="3">
        <v>0</v>
      </c>
      <c r="BX44" s="3">
        <v>0</v>
      </c>
      <c r="BY44" s="3">
        <v>1</v>
      </c>
      <c r="BZ44" s="3">
        <v>0</v>
      </c>
      <c r="CA44" s="3">
        <v>0</v>
      </c>
      <c r="CB44" s="3">
        <v>0</v>
      </c>
      <c r="CC44" s="3">
        <v>0</v>
      </c>
      <c r="CD44" s="3">
        <v>1</v>
      </c>
      <c r="CE44" s="3">
        <v>0</v>
      </c>
      <c r="CF44" s="3">
        <v>0</v>
      </c>
      <c r="CG44" s="3">
        <v>0</v>
      </c>
      <c r="CH44" s="3">
        <v>0</v>
      </c>
      <c r="CI44" s="3">
        <v>1</v>
      </c>
      <c r="CJ44" s="3">
        <v>0</v>
      </c>
      <c r="CK44" s="3">
        <v>0</v>
      </c>
      <c r="CL44" s="3">
        <v>0</v>
      </c>
      <c r="CM44" s="3">
        <v>0</v>
      </c>
      <c r="CN44" s="39">
        <v>1</v>
      </c>
      <c r="CO44" s="39">
        <v>0</v>
      </c>
      <c r="CP44" s="39">
        <v>0</v>
      </c>
      <c r="CQ44" s="39">
        <v>0</v>
      </c>
      <c r="CR44" s="39">
        <v>0</v>
      </c>
      <c r="CS44" s="39">
        <v>1</v>
      </c>
      <c r="CT44" s="39">
        <v>0</v>
      </c>
      <c r="CU44" s="39">
        <v>0</v>
      </c>
      <c r="CV44" s="39">
        <v>0</v>
      </c>
      <c r="CW44" s="39">
        <v>0</v>
      </c>
      <c r="CX44" s="39">
        <v>0</v>
      </c>
      <c r="CY44" s="39">
        <v>1</v>
      </c>
      <c r="CZ44" s="39">
        <v>0</v>
      </c>
      <c r="DA44" s="39">
        <v>0</v>
      </c>
      <c r="DB44" s="39">
        <v>0</v>
      </c>
      <c r="DC44" s="39">
        <v>0</v>
      </c>
      <c r="DD44" s="39">
        <v>1</v>
      </c>
      <c r="DE44" s="39">
        <v>0</v>
      </c>
      <c r="DF44" s="39">
        <v>0</v>
      </c>
      <c r="DG44" s="39">
        <v>0</v>
      </c>
      <c r="DH44" s="39">
        <v>0</v>
      </c>
      <c r="DI44" s="3">
        <v>1</v>
      </c>
      <c r="DJ44" s="3">
        <v>0</v>
      </c>
      <c r="DK44" s="3">
        <v>0</v>
      </c>
      <c r="DL44" s="3">
        <v>0</v>
      </c>
      <c r="DM44" s="3">
        <v>0</v>
      </c>
      <c r="DN44" s="3">
        <v>1</v>
      </c>
      <c r="DO44" s="3">
        <v>0</v>
      </c>
      <c r="DP44" s="3">
        <v>0</v>
      </c>
      <c r="DQ44" s="3">
        <v>0</v>
      </c>
      <c r="DR44" s="3">
        <v>0</v>
      </c>
      <c r="DS44" s="3">
        <v>1</v>
      </c>
      <c r="DT44" s="3">
        <v>0</v>
      </c>
      <c r="DU44" s="3">
        <v>0</v>
      </c>
      <c r="DV44" s="3">
        <v>0</v>
      </c>
      <c r="DW44" s="3">
        <v>0</v>
      </c>
      <c r="DX44" s="3">
        <v>1</v>
      </c>
      <c r="DY44" s="3">
        <v>0</v>
      </c>
      <c r="DZ44" s="3">
        <v>0</v>
      </c>
      <c r="EA44" s="3">
        <v>0</v>
      </c>
      <c r="EB44" s="3">
        <v>0</v>
      </c>
      <c r="EC44" s="39">
        <v>1</v>
      </c>
      <c r="ED44" s="39">
        <v>0</v>
      </c>
      <c r="EE44" s="39">
        <v>0</v>
      </c>
      <c r="EF44" s="39">
        <v>0</v>
      </c>
      <c r="EG44" s="39">
        <v>0</v>
      </c>
      <c r="EH44" s="39">
        <v>0</v>
      </c>
      <c r="EI44" s="39">
        <v>0</v>
      </c>
      <c r="EJ44" s="39">
        <v>1</v>
      </c>
      <c r="EK44" s="39">
        <v>0</v>
      </c>
      <c r="EL44" s="39">
        <v>0</v>
      </c>
      <c r="EM44" s="39">
        <v>0</v>
      </c>
      <c r="EN44" s="39">
        <v>1</v>
      </c>
      <c r="EO44" s="39">
        <v>0</v>
      </c>
      <c r="EP44" s="39">
        <v>0</v>
      </c>
      <c r="EQ44" s="39">
        <v>0</v>
      </c>
      <c r="ER44" s="39">
        <v>0</v>
      </c>
      <c r="ES44" s="39">
        <v>0</v>
      </c>
      <c r="ET44" s="39">
        <v>1</v>
      </c>
      <c r="EU44" s="39">
        <v>0</v>
      </c>
      <c r="EV44" s="39">
        <v>0</v>
      </c>
      <c r="EW44" s="39">
        <v>1</v>
      </c>
      <c r="EX44" s="39">
        <v>0</v>
      </c>
      <c r="EY44" s="39">
        <v>0</v>
      </c>
      <c r="EZ44" s="39">
        <v>1</v>
      </c>
      <c r="FA44" s="39">
        <v>0</v>
      </c>
      <c r="FB44" s="3">
        <v>0</v>
      </c>
      <c r="FC44" s="3">
        <v>0</v>
      </c>
      <c r="FD44" s="3">
        <v>0</v>
      </c>
      <c r="FE44" s="3">
        <v>0</v>
      </c>
      <c r="FF44" s="3">
        <v>0</v>
      </c>
      <c r="FG44" s="3">
        <v>0</v>
      </c>
      <c r="FH44" s="3">
        <v>1</v>
      </c>
      <c r="FI44" s="3">
        <v>0</v>
      </c>
      <c r="FJ44" s="3">
        <v>0</v>
      </c>
      <c r="FK44" s="3">
        <v>0</v>
      </c>
      <c r="FL44" s="3">
        <v>0</v>
      </c>
      <c r="FM44" s="3">
        <v>0</v>
      </c>
      <c r="FN44" s="3">
        <v>0</v>
      </c>
      <c r="FO44" s="3">
        <v>0</v>
      </c>
      <c r="FP44" s="3">
        <v>0</v>
      </c>
    </row>
  </sheetData>
  <autoFilter ref="A1:GF44" xr:uid="{DE1F62F5-1B77-490B-9820-3D23E1FDA3B8}"/>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16</vt:i4>
      </vt:variant>
    </vt:vector>
  </HeadingPairs>
  <TitlesOfParts>
    <vt:vector size="33" baseType="lpstr">
      <vt:lpstr>5-C.1</vt:lpstr>
      <vt:lpstr>5-C.2</vt:lpstr>
      <vt:lpstr>5-C.3</vt:lpstr>
      <vt:lpstr>5-C.4</vt:lpstr>
      <vt:lpstr>5-C.5</vt:lpstr>
      <vt:lpstr>5-C.6</vt:lpstr>
      <vt:lpstr>5-C.7</vt:lpstr>
      <vt:lpstr>5-C.8</vt:lpstr>
      <vt:lpstr>5-C.9</vt:lpstr>
      <vt:lpstr>5-C.10</vt:lpstr>
      <vt:lpstr>5-C.11</vt:lpstr>
      <vt:lpstr>5-C.12</vt:lpstr>
      <vt:lpstr>5-C.13</vt:lpstr>
      <vt:lpstr>5-C.14</vt:lpstr>
      <vt:lpstr>5-C.15</vt:lpstr>
      <vt:lpstr>5-C.16</vt:lpstr>
      <vt:lpstr>Respondent Data</vt:lpstr>
      <vt:lpstr>'5-C.1'!Print_Area</vt:lpstr>
      <vt:lpstr>'5-C.10'!Print_Area</vt:lpstr>
      <vt:lpstr>'5-C.11'!Print_Area</vt:lpstr>
      <vt:lpstr>'5-C.12'!Print_Area</vt:lpstr>
      <vt:lpstr>'5-C.13'!Print_Area</vt:lpstr>
      <vt:lpstr>'5-C.14'!Print_Area</vt:lpstr>
      <vt:lpstr>'5-C.15'!Print_Area</vt:lpstr>
      <vt:lpstr>'5-C.16'!Print_Area</vt:lpstr>
      <vt:lpstr>'5-C.2'!Print_Area</vt:lpstr>
      <vt:lpstr>'5-C.3'!Print_Area</vt:lpstr>
      <vt:lpstr>'5-C.4'!Print_Area</vt:lpstr>
      <vt:lpstr>'5-C.5'!Print_Area</vt:lpstr>
      <vt:lpstr>'5-C.6'!Print_Area</vt:lpstr>
      <vt:lpstr>'5-C.7'!Print_Area</vt:lpstr>
      <vt:lpstr>'5-C.8'!Print_Area</vt:lpstr>
      <vt:lpstr>'5-C.9'!Print_Area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Armand Kotze</cp:lastModifiedBy>
  <dcterms:created xsi:type="dcterms:W3CDTF">2020-08-26T03:34:52Z</dcterms:created>
  <dcterms:modified xsi:type="dcterms:W3CDTF">2020-08-28T20:45:51Z</dcterms:modified>
</cp:coreProperties>
</file>