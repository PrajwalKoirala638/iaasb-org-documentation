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hidePivotFieldList="1"/>
  <mc:AlternateContent xmlns:mc="http://schemas.openxmlformats.org/markup-compatibility/2006">
    <mc:Choice Requires="x15">
      <x15ac:absPath xmlns:x15ac="http://schemas.microsoft.com/office/spreadsheetml/2010/11/ac" url="C:\Users\jtalatala\Desktop\IFAC\Brett\"/>
    </mc:Choice>
  </mc:AlternateContent>
  <xr:revisionPtr revIDLastSave="0" documentId="13_ncr:1_{CE822192-B600-454E-9E8D-B998BD87FA69}" xr6:coauthVersionLast="41" xr6:coauthVersionMax="41" xr10:uidLastSave="{00000000-0000-0000-0000-000000000000}"/>
  <bookViews>
    <workbookView xWindow="-108" yWindow="-108" windowWidth="23256" windowHeight="12600" xr2:uid="{00000000-000D-0000-FFFF-FFFF00000000}"/>
  </bookViews>
  <sheets>
    <sheet name="Agenda Item 5-A.1 Category" sheetId="3" r:id="rId1"/>
    <sheet name="Agenda Item 5-A.2 Alternatives" sheetId="2" r:id="rId2"/>
    <sheet name="Respondent" sheetId="1" state="hidden" r:id="rId3"/>
  </sheets>
  <calcPr calcId="191029"/>
  <pivotCaches>
    <pivotCache cacheId="0" r:id="rId4"/>
  </pivotCache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15" i="3" l="1"/>
  <c r="E16" i="3"/>
  <c r="E17" i="3"/>
  <c r="E18" i="3"/>
  <c r="E19" i="3"/>
  <c r="E20" i="3"/>
  <c r="E14" i="3"/>
  <c r="D11" i="3"/>
  <c r="C11" i="3"/>
  <c r="B11" i="3"/>
  <c r="E21" i="3" l="1"/>
  <c r="E11" i="3" l="1"/>
</calcChain>
</file>

<file path=xl/sharedStrings.xml><?xml version="1.0" encoding="utf-8"?>
<sst xmlns="http://schemas.openxmlformats.org/spreadsheetml/2006/main" count="337" uniqueCount="190">
  <si>
    <t>Respondent</t>
  </si>
  <si>
    <t>Cases\\41. ICPAS</t>
  </si>
  <si>
    <t>Cases\\65. NASBA</t>
  </si>
  <si>
    <t>Category</t>
  </si>
  <si>
    <t>Cases\\64. CNCC-CSOEC</t>
  </si>
  <si>
    <t>Cases\\14. NZAASB</t>
  </si>
  <si>
    <t>Cases\\66. ETY</t>
  </si>
  <si>
    <t>Cases\\07. OAGA</t>
  </si>
  <si>
    <t>Cases\\30. MSI</t>
  </si>
  <si>
    <t>Cases\\62. BCBS</t>
  </si>
  <si>
    <t>Cases\\15. MAASB</t>
  </si>
  <si>
    <t>Cases\\53. CHI</t>
  </si>
  <si>
    <t>Cases\\26. BDO</t>
  </si>
  <si>
    <t>Cases\\08. AICPA</t>
  </si>
  <si>
    <t>Cases\\47. ICGN</t>
  </si>
  <si>
    <t>Cases\\10. ICAS</t>
  </si>
  <si>
    <t>Cases\\42. KI</t>
  </si>
  <si>
    <t>Cases\\31. RSMI</t>
  </si>
  <si>
    <t>Cases\\55. CASI</t>
  </si>
  <si>
    <t>Cases\\11. NSW</t>
  </si>
  <si>
    <t>Cases\\21. PKFI</t>
  </si>
  <si>
    <t>Cases\\04. HKICPA</t>
  </si>
  <si>
    <t>Cases\\57. AGSA</t>
  </si>
  <si>
    <t>Cases\\69. GAO</t>
  </si>
  <si>
    <t>Cases\\38. IAASA</t>
  </si>
  <si>
    <t>Cases\\25. MZRSUS</t>
  </si>
  <si>
    <t>Cases\\72. KPMG</t>
  </si>
  <si>
    <t>Cases\\24. BTVK</t>
  </si>
  <si>
    <t>Cases\\33. AUASB</t>
  </si>
  <si>
    <t>Cases\\63. BTI</t>
  </si>
  <si>
    <t>MEA</t>
  </si>
  <si>
    <t>Cases\\49. AE</t>
  </si>
  <si>
    <t>Cases\\44. SMPC</t>
  </si>
  <si>
    <t>Cases\\56. SRA</t>
  </si>
  <si>
    <t>Cases\\51. IBR-IRE</t>
  </si>
  <si>
    <t>Cases\\19. ICPAU</t>
  </si>
  <si>
    <t>Cases\\40. ICAEW</t>
  </si>
  <si>
    <t>Cases\\50. NI</t>
  </si>
  <si>
    <t>Cases\\23. MICPA</t>
  </si>
  <si>
    <t>Cases\\32. NRF</t>
  </si>
  <si>
    <t>Cases\\20. JICPA</t>
  </si>
  <si>
    <t>Cases\\36. KSW</t>
  </si>
  <si>
    <t>Cases\\05. CAI</t>
  </si>
  <si>
    <t>Cases\\16. WPK</t>
  </si>
  <si>
    <t>6. Member Bodies and Other Professional Organizations</t>
  </si>
  <si>
    <t>Cases\\70. PwC</t>
  </si>
  <si>
    <t>2. Regulators and Oversight Authorities</t>
  </si>
  <si>
    <t>Cases\\59. UKFRC</t>
  </si>
  <si>
    <t>Cases\\45. CalCPA</t>
  </si>
  <si>
    <t>4. Investors and Analysts</t>
  </si>
  <si>
    <t>Cases\\29. CAQ</t>
  </si>
  <si>
    <t>Cases\\54. APESB</t>
  </si>
  <si>
    <t>Cases\\61. FAAPA</t>
  </si>
  <si>
    <t>Cases\\06. CPAA</t>
  </si>
  <si>
    <t>Cases\\13. CAASB</t>
  </si>
  <si>
    <t>5. Accounting Firms</t>
  </si>
  <si>
    <t>NA</t>
  </si>
  <si>
    <t>Cases\\18. NAOM</t>
  </si>
  <si>
    <t>AP</t>
  </si>
  <si>
    <t>Cases\\22. DTTL</t>
  </si>
  <si>
    <t>Cases\\02. PAS</t>
  </si>
  <si>
    <t>Cases\\46. EFAA</t>
  </si>
  <si>
    <t>Cases\\28. HM</t>
  </si>
  <si>
    <t>Cases\\12. EYG</t>
  </si>
  <si>
    <t>Cases\\58. IAIS</t>
  </si>
  <si>
    <t>Cases\\03. MNP</t>
  </si>
  <si>
    <t>7. Public Sector Organizations</t>
  </si>
  <si>
    <t>Cases\\09. KICPA</t>
  </si>
  <si>
    <t>GLOBAL</t>
  </si>
  <si>
    <t>Cases\\01. DTL</t>
  </si>
  <si>
    <t>Cases\\37. IRBA</t>
  </si>
  <si>
    <t>Cases\\48. FSR</t>
  </si>
  <si>
    <t>Cases\\60. IFIAR</t>
  </si>
  <si>
    <t>Cases\\34. FAR</t>
  </si>
  <si>
    <t>Cases\\27. CNDCEC</t>
  </si>
  <si>
    <t>Cases\\68. SAICA</t>
  </si>
  <si>
    <t>Cases\\35. GTIL</t>
  </si>
  <si>
    <t>Region</t>
  </si>
  <si>
    <t>Cases\\43. IEC-IAB</t>
  </si>
  <si>
    <t>Cases\\71. MZRS</t>
  </si>
  <si>
    <t>Cases\\39. OAGNZ</t>
  </si>
  <si>
    <t>3. National Auditing Standard Setters</t>
  </si>
  <si>
    <t>1. Monitoring Group</t>
  </si>
  <si>
    <t>Cases\\17. IMCP</t>
  </si>
  <si>
    <t>EU</t>
  </si>
  <si>
    <t>Cases\\52. NBA</t>
  </si>
  <si>
    <t>Cases\\67. CPAB</t>
  </si>
  <si>
    <t>Perspondent Abr</t>
  </si>
  <si>
    <t>2. Q1 - Support</t>
  </si>
  <si>
    <t>3. Q1 - Not support</t>
  </si>
  <si>
    <t>4. Q1 - Support with suggestions</t>
  </si>
  <si>
    <t>01. DTL</t>
  </si>
  <si>
    <t>02. PAS</t>
  </si>
  <si>
    <t>03. MNP</t>
  </si>
  <si>
    <t>04. HKICPA</t>
  </si>
  <si>
    <t>05. CAI</t>
  </si>
  <si>
    <t>06. CPAA</t>
  </si>
  <si>
    <t>07. OAGA</t>
  </si>
  <si>
    <t>08. AICPA</t>
  </si>
  <si>
    <t>09. KICPA</t>
  </si>
  <si>
    <t>10. ICAS</t>
  </si>
  <si>
    <t>11. NSW</t>
  </si>
  <si>
    <t>12. EYG</t>
  </si>
  <si>
    <t>13. CAASB</t>
  </si>
  <si>
    <t>14. NZAASB</t>
  </si>
  <si>
    <t>15. MAASB</t>
  </si>
  <si>
    <t>16. WPK</t>
  </si>
  <si>
    <t>17. IMCP</t>
  </si>
  <si>
    <t>18. NAOM</t>
  </si>
  <si>
    <t>19. ICPAU</t>
  </si>
  <si>
    <t>20. JICPA</t>
  </si>
  <si>
    <t>21. PKFI</t>
  </si>
  <si>
    <t>22. DTTL</t>
  </si>
  <si>
    <t>23. MICPA</t>
  </si>
  <si>
    <t>24. BTVK</t>
  </si>
  <si>
    <t>25. MZRSUS</t>
  </si>
  <si>
    <t>26. BDO</t>
  </si>
  <si>
    <t>27. CNDCEC</t>
  </si>
  <si>
    <t>28. HM</t>
  </si>
  <si>
    <t>29. CAQ</t>
  </si>
  <si>
    <t>30. MSI</t>
  </si>
  <si>
    <t>31. RSMI</t>
  </si>
  <si>
    <t>32. NRF</t>
  </si>
  <si>
    <t>33. AUASB</t>
  </si>
  <si>
    <t>34. FAR</t>
  </si>
  <si>
    <t>35. GTIL</t>
  </si>
  <si>
    <t>36. KSW</t>
  </si>
  <si>
    <t>37. IRBA</t>
  </si>
  <si>
    <t>38. IAASA</t>
  </si>
  <si>
    <t>39. OAGNZ</t>
  </si>
  <si>
    <t>40. ICAEW</t>
  </si>
  <si>
    <t>41. ICPAS</t>
  </si>
  <si>
    <t>42. KI</t>
  </si>
  <si>
    <t>43. IEC-IAB</t>
  </si>
  <si>
    <t>44. SMPC</t>
  </si>
  <si>
    <t>45. CalCPA</t>
  </si>
  <si>
    <t>46. EFAA</t>
  </si>
  <si>
    <t>47. ICGN</t>
  </si>
  <si>
    <t>48. FSR</t>
  </si>
  <si>
    <t>49. AE</t>
  </si>
  <si>
    <t>50. NI</t>
  </si>
  <si>
    <t>51. IBR-IRE</t>
  </si>
  <si>
    <t>52. NBA</t>
  </si>
  <si>
    <t>53. CHI</t>
  </si>
  <si>
    <t>54. APESB</t>
  </si>
  <si>
    <t>55. CASI</t>
  </si>
  <si>
    <t>56. SRA</t>
  </si>
  <si>
    <t>57. AGSA</t>
  </si>
  <si>
    <t>58. IAIS</t>
  </si>
  <si>
    <t>59. UKFRC</t>
  </si>
  <si>
    <t>60. IFIAR</t>
  </si>
  <si>
    <t>61. FAAPA</t>
  </si>
  <si>
    <t>62. BCBS</t>
  </si>
  <si>
    <t>63. BTI</t>
  </si>
  <si>
    <t>64. CNCC-CSOEC</t>
  </si>
  <si>
    <t>65. NASBA</t>
  </si>
  <si>
    <t>66. ETY</t>
  </si>
  <si>
    <t>67. CPAB</t>
  </si>
  <si>
    <t>68. SAICA</t>
  </si>
  <si>
    <t>69. GAO</t>
  </si>
  <si>
    <t>70. PwC</t>
  </si>
  <si>
    <t>71. MZRS</t>
  </si>
  <si>
    <t>72. KPMG</t>
  </si>
  <si>
    <t>3A - 24 months</t>
  </si>
  <si>
    <t>3B - 30 months</t>
  </si>
  <si>
    <t>3C - 36 months</t>
  </si>
  <si>
    <t>3D - Staged approach</t>
  </si>
  <si>
    <t>Grand Total</t>
  </si>
  <si>
    <t>Legend:</t>
  </si>
  <si>
    <t>Agree</t>
  </si>
  <si>
    <t>Disagree</t>
  </si>
  <si>
    <t>Unclear or no specific response or refer to another respondent's views</t>
  </si>
  <si>
    <t xml:space="preserve">Percentage </t>
  </si>
  <si>
    <t xml:space="preserve">Total </t>
  </si>
  <si>
    <r>
      <rPr>
        <b/>
        <sz val="10"/>
        <color theme="1"/>
        <rFont val="Arial"/>
        <family val="2"/>
      </rPr>
      <t>Quality Management Covering Explanatory Memorandum Q1</t>
    </r>
    <r>
      <rPr>
        <sz val="10"/>
        <color theme="1"/>
        <rFont val="Arial"/>
        <family val="2"/>
      </rPr>
      <t xml:space="preserve"> - Do you support the approach and rationale for the proposed implementation period of approximately 18 months after the approval of the three standards by the Public Interest Oversight Board? If not, what is an appropriate implementation period? </t>
    </r>
  </si>
  <si>
    <t>Agenda Item 5-A.2</t>
  </si>
  <si>
    <t>Agenda Item 
5-A.1</t>
  </si>
  <si>
    <t>Agree but with further commentary</t>
  </si>
  <si>
    <t>Quality Management: Effective Date 
NVivo MS Excel Report by Category – Question 1
IAASB Main Agenda (September 2019)</t>
  </si>
  <si>
    <t>1. Monitoring Group Members</t>
  </si>
  <si>
    <t>Quality Management: Effective Date 
NVivo MS Excel Report by Theme – Question 1
IAASB Main Agenda (September 2019)</t>
  </si>
  <si>
    <t>Stakeholder Group</t>
  </si>
  <si>
    <t>1. Monitoring Group Member</t>
  </si>
  <si>
    <t>Q1 - Agree</t>
  </si>
  <si>
    <t>Q1 - Disagree</t>
  </si>
  <si>
    <t>Q1 - Agree but with further commentary</t>
  </si>
  <si>
    <t>24 months</t>
  </si>
  <si>
    <t>30 months</t>
  </si>
  <si>
    <t>36 months</t>
  </si>
  <si>
    <t>Staged approach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</si>
</sst>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b/>
      <sz val="11"/>
      <color theme="1"/>
      <name val="Calibri"/>
      <family val="2"/>
      <scheme val="minor"/>
    </font>
    <font>
      <b/>
      <sz val="8"/>
      <color rgb="FF000000"/>
      <name val="Microsoft Sans Serif"/>
      <family val="2"/>
    </font>
    <font>
      <sz val="8"/>
      <name val="Microsoft Sans Serif"/>
      <family val="2"/>
    </font>
    <font>
      <sz val="10"/>
      <color theme="1"/>
      <name val="Arial"/>
      <family val="2"/>
    </font>
    <font>
      <b/>
      <sz val="10"/>
      <color theme="1"/>
      <name val="Arial"/>
      <family val="2"/>
    </font>
    <font>
      <sz val="10"/>
      <color theme="1"/>
      <name val="Arial"/>
    </font>
    <font>
      <b/>
      <sz val="16"/>
      <color theme="1"/>
      <name val="Arial"/>
      <family val="2"/>
    </font>
    <font>
      <b/>
      <sz val="14"/>
      <color theme="1"/>
      <name val="Arial"/>
      <family val="2"/>
    </font>
    <font>
      <sz val="8"/>
      <color theme="1"/>
      <name val="Arial"/>
      <family val="2"/>
    </font>
    <font>
      <b/>
      <sz val="18"/>
      <color theme="1"/>
      <name val="Arial"/>
      <family val="2"/>
    </font>
  </fonts>
  <fills count="9">
    <fill>
      <patternFill patternType="none"/>
    </fill>
    <fill>
      <patternFill patternType="gray125"/>
    </fill>
    <fill>
      <patternFill patternType="solid">
        <fgColor rgb="FFF0F0F0"/>
        <bgColor indexed="64"/>
      </patternFill>
    </fill>
    <fill>
      <patternFill patternType="solid">
        <fgColor indexed="67"/>
        <bgColor indexed="9"/>
      </patternFill>
    </fill>
    <fill>
      <patternFill patternType="solid">
        <fgColor theme="4" tint="0.79998168889431442"/>
        <bgColor theme="4" tint="0.79998168889431442"/>
      </patternFill>
    </fill>
    <fill>
      <patternFill patternType="solid">
        <fgColor rgb="FF00B050"/>
        <bgColor indexed="64"/>
      </patternFill>
    </fill>
    <fill>
      <patternFill patternType="solid">
        <fgColor rgb="FFFF0000"/>
        <bgColor indexed="64"/>
      </patternFill>
    </fill>
    <fill>
      <patternFill patternType="solid">
        <fgColor theme="0" tint="-0.499984740745262"/>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2">
    <xf numFmtId="0" fontId="0" fillId="0" borderId="0" xfId="0"/>
    <xf numFmtId="0" fontId="3" fillId="2" borderId="1" xfId="0" applyFont="1" applyFill="1" applyBorder="1" applyAlignment="1">
      <alignment horizontal="center" vertical="center"/>
    </xf>
    <xf numFmtId="0" fontId="4" fillId="0" borderId="1" xfId="0" applyFont="1" applyBorder="1" applyAlignment="1">
      <alignment horizontal="right" vertical="top"/>
    </xf>
    <xf numFmtId="0" fontId="2" fillId="0" borderId="1" xfId="0" applyFont="1" applyBorder="1"/>
    <xf numFmtId="0" fontId="0" fillId="0" borderId="1" xfId="0" applyBorder="1"/>
    <xf numFmtId="0" fontId="0" fillId="3" borderId="1" xfId="0" applyFill="1" applyBorder="1"/>
    <xf numFmtId="0" fontId="5" fillId="0" borderId="0" xfId="0" applyFont="1"/>
    <xf numFmtId="0" fontId="5" fillId="5" borderId="0" xfId="0" applyFont="1" applyFill="1" applyAlignment="1">
      <alignment wrapText="1"/>
    </xf>
    <xf numFmtId="0" fontId="5" fillId="6" borderId="0" xfId="0" applyFont="1" applyFill="1" applyAlignment="1">
      <alignment wrapText="1"/>
    </xf>
    <xf numFmtId="0" fontId="5" fillId="0" borderId="0" xfId="0" applyFont="1" applyAlignment="1">
      <alignment wrapText="1"/>
    </xf>
    <xf numFmtId="0" fontId="6" fillId="0" borderId="0" xfId="0" applyFont="1"/>
    <xf numFmtId="0" fontId="5" fillId="7" borderId="0" xfId="0" applyFont="1" applyFill="1" applyAlignment="1">
      <alignment wrapText="1"/>
    </xf>
    <xf numFmtId="9" fontId="6" fillId="0" borderId="0" xfId="1" applyFont="1"/>
    <xf numFmtId="0" fontId="8" fillId="0" borderId="0" xfId="0" applyFont="1" applyAlignment="1">
      <alignment horizontal="right"/>
    </xf>
    <xf numFmtId="0" fontId="5" fillId="0" borderId="0" xfId="0" applyFont="1" applyAlignment="1">
      <alignment horizontal="center" vertical="center"/>
    </xf>
    <xf numFmtId="0" fontId="9" fillId="0" borderId="0" xfId="0" applyFont="1" applyAlignment="1">
      <alignment horizontal="right" vertical="center" wrapText="1"/>
    </xf>
    <xf numFmtId="0" fontId="5" fillId="0" borderId="0" xfId="0" applyFont="1" applyAlignment="1">
      <alignment horizontal="left" wrapText="1"/>
    </xf>
    <xf numFmtId="0" fontId="5" fillId="8" borderId="0" xfId="0" applyFont="1" applyFill="1" applyAlignment="1">
      <alignment wrapText="1"/>
    </xf>
    <xf numFmtId="0" fontId="7" fillId="0" borderId="1" xfId="0" pivotButton="1" applyFont="1" applyBorder="1" applyAlignment="1">
      <alignment wrapText="1"/>
    </xf>
    <xf numFmtId="0" fontId="7"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6" fillId="4" borderId="1" xfId="0" pivotButton="1" applyFont="1" applyFill="1" applyBorder="1" applyAlignment="1">
      <alignment horizontal="center" vertical="center" wrapText="1"/>
    </xf>
    <xf numFmtId="0" fontId="7" fillId="0" borderId="1" xfId="0" applyFont="1" applyBorder="1" applyAlignment="1">
      <alignment horizontal="left"/>
    </xf>
    <xf numFmtId="0" fontId="7" fillId="0" borderId="1" xfId="0" applyNumberFormat="1" applyFont="1" applyBorder="1"/>
    <xf numFmtId="0" fontId="5" fillId="0" borderId="1" xfId="0" applyFont="1" applyBorder="1" applyAlignment="1">
      <alignment horizontal="right"/>
    </xf>
    <xf numFmtId="0" fontId="6" fillId="4" borderId="1" xfId="0" applyFont="1" applyFill="1" applyBorder="1" applyAlignment="1">
      <alignment horizontal="right"/>
    </xf>
    <xf numFmtId="0" fontId="10" fillId="0" borderId="0" xfId="0" applyFont="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wrapText="1"/>
    </xf>
    <xf numFmtId="0" fontId="7" fillId="0" borderId="1" xfId="0" applyFont="1" applyFill="1" applyBorder="1" applyAlignment="1">
      <alignment horizontal="center" vertical="center" wrapText="1"/>
    </xf>
    <xf numFmtId="0" fontId="11" fillId="0" borderId="0" xfId="0" applyFont="1" applyAlignment="1">
      <alignment horizontal="right" wrapText="1"/>
    </xf>
  </cellXfs>
  <cellStyles count="2">
    <cellStyle name="Normal" xfId="0" builtinId="0"/>
    <cellStyle name="Percent" xfId="1" builtinId="5"/>
  </cellStyles>
  <dxfs count="330">
    <dxf>
      <fill>
        <patternFill patternType="solid">
          <bgColor rgb="FFFF0000"/>
        </patternFill>
      </fill>
    </dxf>
    <dxf>
      <alignment wrapText="1"/>
    </dxf>
    <dxf>
      <alignment wrapText="1"/>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alignment vertical="center"/>
    </dxf>
    <dxf>
      <alignment horizontal="center"/>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00"/>
        </patternFill>
      </fill>
    </dxf>
    <dxf>
      <alignment wrapText="1"/>
    </dxf>
    <dxf>
      <alignment wrapText="1"/>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alignment vertical="center"/>
    </dxf>
    <dxf>
      <alignment horizontal="center"/>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00"/>
        </patternFill>
      </fill>
    </dxf>
    <dxf>
      <alignment wrapText="1"/>
    </dxf>
    <dxf>
      <alignment wrapText="1"/>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alignment vertical="center"/>
    </dxf>
    <dxf>
      <alignment horizontal="center"/>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00"/>
        </patternFill>
      </fill>
    </dxf>
    <dxf>
      <alignment wrapText="1"/>
    </dxf>
    <dxf>
      <alignment wrapText="1"/>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alignment vertical="center"/>
    </dxf>
    <dxf>
      <alignment horizontal="center"/>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ill>
        <patternFill patternType="solid">
          <bgColor rgb="FFFF0000"/>
        </patternFill>
      </fill>
    </dxf>
    <dxf>
      <fill>
        <patternFill patternType="solid">
          <bgColor rgb="FFFFFF00"/>
        </patternFill>
      </fill>
    </dxf>
    <dxf>
      <alignment wrapText="1"/>
    </dxf>
    <dxf>
      <alignment wrapText="1"/>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alignment vertical="center"/>
    </dxf>
    <dxf>
      <alignment horizontal="center"/>
    </dxf>
    <dxf>
      <fill>
        <patternFill>
          <bgColor rgb="FFFFC0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ill>
        <patternFill patternType="solid">
          <bgColor rgb="FFFF0000"/>
        </patternFill>
      </fill>
    </dxf>
    <dxf>
      <fill>
        <patternFill patternType="solid">
          <bgColor rgb="FFFFFF00"/>
        </patternFill>
      </fill>
    </dxf>
    <dxf>
      <alignment wrapText="1"/>
    </dxf>
    <dxf>
      <alignment wrapText="1"/>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alignment vertical="center"/>
    </dxf>
    <dxf>
      <alignment horizontal="center"/>
    </dxf>
    <dxf>
      <fill>
        <patternFill>
          <bgColor rgb="FFFFC0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ill>
        <patternFill patternType="solid">
          <bgColor rgb="FFFF0000"/>
        </patternFill>
      </fill>
    </dxf>
    <dxf>
      <fill>
        <patternFill patternType="solid">
          <bgColor rgb="FFFFFF00"/>
        </patternFill>
      </fill>
    </dxf>
    <dxf>
      <alignment wrapText="1"/>
    </dxf>
    <dxf>
      <alignment wrapText="1"/>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alignment vertical="center"/>
    </dxf>
    <dxf>
      <alignment horizontal="center"/>
    </dxf>
    <dxf>
      <fill>
        <patternFill>
          <bgColor rgb="FFFFC0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00"/>
        </patternFill>
      </fill>
    </dxf>
    <dxf>
      <alignment wrapText="1"/>
    </dxf>
    <dxf>
      <alignment wrapText="1"/>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alignment vertical="center"/>
    </dxf>
    <dxf>
      <alignment horizontal="center"/>
    </dxf>
    <dxf>
      <fill>
        <patternFill patternType="none">
          <bgColor auto="1"/>
        </patternFill>
      </fill>
    </dxf>
    <dxf>
      <fill>
        <patternFill patternType="solid">
          <bgColor rgb="FFFF0000"/>
        </patternFill>
      </fill>
    </dxf>
    <dxf>
      <alignment wrapText="1"/>
    </dxf>
    <dxf>
      <alignment wrapText="1"/>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alignment vertical="center"/>
    </dxf>
    <dxf>
      <alignment horizontal="center"/>
    </dxf>
    <dxf>
      <fill>
        <patternFill patternType="none">
          <bgColor auto="1"/>
        </patternFill>
      </fill>
    </dxf>
    <dxf>
      <fill>
        <patternFill patternType="solid">
          <bgColor rgb="FF00B050"/>
        </patternFill>
      </fill>
    </dxf>
    <dxf>
      <fill>
        <patternFill patternType="solid">
          <bgColor rgb="FFFF0000"/>
        </patternFill>
      </fill>
    </dxf>
    <dxf>
      <fill>
        <patternFill patternType="solid">
          <bgColor rgb="FFFFFF00"/>
        </patternFill>
      </fill>
    </dxf>
    <dxf>
      <alignment wrapText="1"/>
    </dxf>
    <dxf>
      <alignment wrapText="1"/>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alignment vertical="center"/>
    </dxf>
    <dxf>
      <alignment horizontal="center"/>
    </dxf>
    <dxf>
      <fill>
        <patternFill>
          <bgColor rgb="FFFFC0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00"/>
        </patternFill>
      </fill>
    </dxf>
    <dxf>
      <alignment wrapText="1"/>
    </dxf>
    <dxf>
      <alignment wrapText="1"/>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alignment vertical="center"/>
    </dxf>
    <dxf>
      <alignment horizontal="center"/>
    </dxf>
    <dxf>
      <fill>
        <patternFill patternType="none">
          <bgColor auto="1"/>
        </patternFill>
      </fill>
    </dxf>
    <dxf>
      <fill>
        <patternFill patternType="solid">
          <bgColor rgb="FF00B050"/>
        </patternFill>
      </fill>
    </dxf>
    <dxf>
      <fill>
        <patternFill patternType="solid">
          <bgColor rgb="FFFF0000"/>
        </patternFill>
      </fill>
    </dxf>
    <dxf>
      <fill>
        <patternFill patternType="solid">
          <bgColor rgb="FFFFFF00"/>
        </patternFill>
      </fill>
    </dxf>
    <dxf>
      <alignment wrapText="1"/>
    </dxf>
    <dxf>
      <alignment wrapText="1"/>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alignment vertical="center"/>
    </dxf>
    <dxf>
      <alignment horizontal="center"/>
    </dxf>
    <dxf>
      <fill>
        <patternFill>
          <bgColor rgb="FFFFC0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C000"/>
        </patternFill>
      </fill>
    </dxf>
    <dxf>
      <fill>
        <patternFill patternType="none">
          <bgColor auto="1"/>
        </patternFill>
      </fill>
    </dxf>
    <dxf>
      <alignment horizontal="center"/>
    </dxf>
    <dxf>
      <alignment vertical="center"/>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wrapText="1"/>
    </dxf>
    <dxf>
      <alignment wrapText="1"/>
    </dxf>
    <dxf>
      <fill>
        <patternFill patternType="solid">
          <bgColor rgb="FFFF0000"/>
        </patternFill>
      </fill>
    </dxf>
    <dxf>
      <alignment horizontal="center"/>
    </dxf>
    <dxf>
      <alignment vertical="center"/>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wrapText="1"/>
    </dxf>
    <dxf>
      <alignment wrapText="1"/>
    </dxf>
    <dxf>
      <fill>
        <patternFill patternType="solid">
          <bgColor rgb="FFFFFF00"/>
        </patternFill>
      </fill>
    </dxf>
    <dxf>
      <fill>
        <patternFill patternType="solid">
          <bgColor rgb="FFFF0000"/>
        </patternFill>
      </fill>
    </dxf>
    <dxf>
      <fill>
        <patternFill patternType="solid">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J" refreshedDate="43717.807643518521" createdVersion="6" refreshedVersion="6" minRefreshableVersion="3" recordCount="72" xr:uid="{B35489DB-E5BE-42D2-9BCA-1DCA2D4622C6}">
  <cacheSource type="worksheet">
    <worksheetSource ref="A1:K73" sheet="Respondent"/>
  </cacheSource>
  <cacheFields count="11">
    <cacheField name="Respondent" numFmtId="0">
      <sharedItems count="72">
        <s v="Cases\\01. DTL"/>
        <s v="Cases\\02. PAS"/>
        <s v="Cases\\03. MNP"/>
        <s v="Cases\\04. HKICPA"/>
        <s v="Cases\\05. CAI"/>
        <s v="Cases\\06. CPAA"/>
        <s v="Cases\\07. OAGA"/>
        <s v="Cases\\08. AICPA"/>
        <s v="Cases\\09. KICPA"/>
        <s v="Cases\\10. ICAS"/>
        <s v="Cases\\11. NSW"/>
        <s v="Cases\\12. EYG"/>
        <s v="Cases\\13. CAASB"/>
        <s v="Cases\\14. NZAASB"/>
        <s v="Cases\\15. MAASB"/>
        <s v="Cases\\16. WPK"/>
        <s v="Cases\\17. IMCP"/>
        <s v="Cases\\18. NAOM"/>
        <s v="Cases\\19. ICPAU"/>
        <s v="Cases\\20. JICPA"/>
        <s v="Cases\\21. PKFI"/>
        <s v="Cases\\22. DTTL"/>
        <s v="Cases\\23. MICPA"/>
        <s v="Cases\\24. BTVK"/>
        <s v="Cases\\25. MZRSUS"/>
        <s v="Cases\\26. BDO"/>
        <s v="Cases\\27. CNDCEC"/>
        <s v="Cases\\28. HM"/>
        <s v="Cases\\29. CAQ"/>
        <s v="Cases\\30. MSI"/>
        <s v="Cases\\31. RSMI"/>
        <s v="Cases\\32. NRF"/>
        <s v="Cases\\33. AUASB"/>
        <s v="Cases\\34. FAR"/>
        <s v="Cases\\35. GTIL"/>
        <s v="Cases\\36. KSW"/>
        <s v="Cases\\37. IRBA"/>
        <s v="Cases\\38. IAASA"/>
        <s v="Cases\\39. OAGNZ"/>
        <s v="Cases\\40. ICAEW"/>
        <s v="Cases\\41. ICPAS"/>
        <s v="Cases\\42. KI"/>
        <s v="Cases\\43. IEC-IAB"/>
        <s v="Cases\\44. SMPC"/>
        <s v="Cases\\45. CalCPA"/>
        <s v="Cases\\46. EFAA"/>
        <s v="Cases\\47. ICGN"/>
        <s v="Cases\\48. FSR"/>
        <s v="Cases\\49. AE"/>
        <s v="Cases\\50. NI"/>
        <s v="Cases\\51. IBR-IRE"/>
        <s v="Cases\\52. NBA"/>
        <s v="Cases\\53. CHI"/>
        <s v="Cases\\54. APESB"/>
        <s v="Cases\\55. CASI"/>
        <s v="Cases\\56. SRA"/>
        <s v="Cases\\57. AGSA"/>
        <s v="Cases\\58. IAIS"/>
        <s v="Cases\\59. UKFRC"/>
        <s v="Cases\\60. IFIAR"/>
        <s v="Cases\\61. FAAPA"/>
        <s v="Cases\\62. BCBS"/>
        <s v="Cases\\63. BTI"/>
        <s v="Cases\\64. CNCC-CSOEC"/>
        <s v="Cases\\65. NASBA"/>
        <s v="Cases\\66. ETY"/>
        <s v="Cases\\67. CPAB"/>
        <s v="Cases\\68. SAICA"/>
        <s v="Cases\\69. GAO"/>
        <s v="Cases\\70. PwC"/>
        <s v="Cases\\71. MZRS"/>
        <s v="Cases\\72. KPMG"/>
      </sharedItems>
    </cacheField>
    <cacheField name="Perspondent Abr" numFmtId="0">
      <sharedItems/>
    </cacheField>
    <cacheField name="Category" numFmtId="0">
      <sharedItems count="7">
        <s v="5. Accounting Firms"/>
        <s v="7. Public Sector Organizations"/>
        <s v="3. National Auditing Standard Setters"/>
        <s v="6. Member Bodies and Other Professional Organizations"/>
        <s v="2. Regulators and Oversight Authorities"/>
        <s v="4. Investors and Analysts"/>
        <s v="1. Monitoring Group"/>
      </sharedItems>
    </cacheField>
    <cacheField name="Region" numFmtId="0">
      <sharedItems/>
    </cacheField>
    <cacheField name="2. Q1 - Support" numFmtId="0">
      <sharedItems containsSemiMixedTypes="0" containsString="0" containsNumber="1" containsInteger="1" minValue="0" maxValue="1"/>
    </cacheField>
    <cacheField name="3. Q1 - Not support" numFmtId="0">
      <sharedItems containsSemiMixedTypes="0" containsString="0" containsNumber="1" containsInteger="1" minValue="0" maxValue="1"/>
    </cacheField>
    <cacheField name="4. Q1 - Support with suggestions" numFmtId="0">
      <sharedItems containsSemiMixedTypes="0" containsString="0" containsNumber="1" containsInteger="1" minValue="0" maxValue="1"/>
    </cacheField>
    <cacheField name="3A - 24 months" numFmtId="0">
      <sharedItems containsSemiMixedTypes="0" containsString="0" containsNumber="1" containsInteger="1" minValue="0" maxValue="1"/>
    </cacheField>
    <cacheField name="3B - 30 months" numFmtId="0">
      <sharedItems containsSemiMixedTypes="0" containsString="0" containsNumber="1" containsInteger="1" minValue="0" maxValue="1"/>
    </cacheField>
    <cacheField name="3C - 36 months" numFmtId="0">
      <sharedItems containsSemiMixedTypes="0" containsString="0" containsNumber="1" containsInteger="1" minValue="0" maxValue="1"/>
    </cacheField>
    <cacheField name="3D - Staged approach"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
  <r>
    <x v="0"/>
    <s v="01. DTL"/>
    <x v="0"/>
    <s v="EU"/>
    <n v="1"/>
    <n v="0"/>
    <n v="0"/>
    <n v="0"/>
    <n v="0"/>
    <n v="0"/>
    <n v="0"/>
  </r>
  <r>
    <x v="1"/>
    <s v="02. PAS"/>
    <x v="1"/>
    <s v="NA"/>
    <n v="1"/>
    <n v="0"/>
    <n v="0"/>
    <n v="0"/>
    <n v="0"/>
    <n v="0"/>
    <n v="0"/>
  </r>
  <r>
    <x v="2"/>
    <s v="03. MNP"/>
    <x v="0"/>
    <s v="NA"/>
    <n v="1"/>
    <n v="0"/>
    <n v="0"/>
    <n v="0"/>
    <n v="0"/>
    <n v="0"/>
    <n v="0"/>
  </r>
  <r>
    <x v="3"/>
    <s v="04. HKICPA"/>
    <x v="2"/>
    <s v="AP"/>
    <n v="0"/>
    <n v="0"/>
    <n v="1"/>
    <n v="0"/>
    <n v="0"/>
    <n v="0"/>
    <n v="0"/>
  </r>
  <r>
    <x v="4"/>
    <s v="05. CAI"/>
    <x v="3"/>
    <s v="EU"/>
    <n v="0"/>
    <n v="1"/>
    <n v="0"/>
    <n v="0"/>
    <n v="0"/>
    <n v="1"/>
    <n v="0"/>
  </r>
  <r>
    <x v="5"/>
    <s v="06. CPAA"/>
    <x v="3"/>
    <s v="AP"/>
    <n v="0"/>
    <n v="1"/>
    <n v="0"/>
    <n v="0"/>
    <n v="0"/>
    <n v="0"/>
    <n v="1"/>
  </r>
  <r>
    <x v="6"/>
    <s v="07. OAGA"/>
    <x v="1"/>
    <s v="NA"/>
    <n v="1"/>
    <n v="0"/>
    <n v="0"/>
    <n v="0"/>
    <n v="0"/>
    <n v="0"/>
    <n v="0"/>
  </r>
  <r>
    <x v="7"/>
    <s v="08. AICPA"/>
    <x v="2"/>
    <s v="NA"/>
    <n v="0"/>
    <n v="1"/>
    <n v="0"/>
    <n v="1"/>
    <n v="0"/>
    <n v="0"/>
    <n v="0"/>
  </r>
  <r>
    <x v="8"/>
    <s v="09. KICPA"/>
    <x v="3"/>
    <s v="AP"/>
    <n v="0"/>
    <n v="1"/>
    <n v="0"/>
    <n v="0"/>
    <n v="0"/>
    <n v="1"/>
    <n v="0"/>
  </r>
  <r>
    <x v="9"/>
    <s v="10. ICAS"/>
    <x v="3"/>
    <s v="EU"/>
    <n v="0"/>
    <n v="1"/>
    <n v="0"/>
    <n v="0"/>
    <n v="0"/>
    <n v="0"/>
    <n v="0"/>
  </r>
  <r>
    <x v="10"/>
    <s v="11. NSW"/>
    <x v="0"/>
    <s v="EU"/>
    <n v="1"/>
    <n v="0"/>
    <n v="0"/>
    <n v="0"/>
    <n v="0"/>
    <n v="0"/>
    <n v="0"/>
  </r>
  <r>
    <x v="11"/>
    <s v="12. EYG"/>
    <x v="0"/>
    <s v="GLOBAL"/>
    <n v="0"/>
    <n v="1"/>
    <n v="0"/>
    <n v="1"/>
    <n v="0"/>
    <n v="0"/>
    <n v="0"/>
  </r>
  <r>
    <x v="12"/>
    <s v="13. CAASB"/>
    <x v="2"/>
    <s v="NA"/>
    <n v="0"/>
    <n v="1"/>
    <n v="0"/>
    <n v="1"/>
    <n v="0"/>
    <n v="0"/>
    <n v="0"/>
  </r>
  <r>
    <x v="13"/>
    <s v="14. NZAASB"/>
    <x v="2"/>
    <s v="AP"/>
    <n v="1"/>
    <n v="0"/>
    <n v="0"/>
    <n v="0"/>
    <n v="0"/>
    <n v="0"/>
    <n v="0"/>
  </r>
  <r>
    <x v="14"/>
    <s v="15. MAASB"/>
    <x v="3"/>
    <s v="AP"/>
    <n v="0"/>
    <n v="0"/>
    <n v="1"/>
    <n v="0"/>
    <n v="0"/>
    <n v="0"/>
    <n v="0"/>
  </r>
  <r>
    <x v="15"/>
    <s v="16. WPK"/>
    <x v="3"/>
    <s v="EU"/>
    <n v="0"/>
    <n v="1"/>
    <n v="0"/>
    <n v="0"/>
    <n v="1"/>
    <n v="0"/>
    <n v="0"/>
  </r>
  <r>
    <x v="16"/>
    <s v="17. IMCP"/>
    <x v="3"/>
    <s v="NA"/>
    <n v="0"/>
    <n v="1"/>
    <n v="0"/>
    <n v="1"/>
    <n v="0"/>
    <n v="0"/>
    <n v="0"/>
  </r>
  <r>
    <x v="17"/>
    <s v="18. NAOM"/>
    <x v="1"/>
    <s v="NA"/>
    <n v="1"/>
    <n v="0"/>
    <n v="0"/>
    <n v="0"/>
    <n v="0"/>
    <n v="0"/>
    <n v="0"/>
  </r>
  <r>
    <x v="18"/>
    <s v="19. ICPAU"/>
    <x v="3"/>
    <s v="MEA"/>
    <n v="0"/>
    <n v="0"/>
    <n v="0"/>
    <n v="0"/>
    <n v="0"/>
    <n v="0"/>
    <n v="0"/>
  </r>
  <r>
    <x v="19"/>
    <s v="20. JICPA"/>
    <x v="2"/>
    <s v="AP"/>
    <n v="1"/>
    <n v="0"/>
    <n v="0"/>
    <n v="0"/>
    <n v="0"/>
    <n v="0"/>
    <n v="0"/>
  </r>
  <r>
    <x v="20"/>
    <s v="21. PKFI"/>
    <x v="0"/>
    <s v="GLOBAL"/>
    <n v="1"/>
    <n v="0"/>
    <n v="0"/>
    <n v="0"/>
    <n v="0"/>
    <n v="0"/>
    <n v="0"/>
  </r>
  <r>
    <x v="21"/>
    <s v="22. DTTL"/>
    <x v="0"/>
    <s v="GLOBAL"/>
    <n v="0"/>
    <n v="1"/>
    <n v="0"/>
    <n v="1"/>
    <n v="0"/>
    <n v="0"/>
    <n v="0"/>
  </r>
  <r>
    <x v="22"/>
    <s v="23. MICPA"/>
    <x v="3"/>
    <s v="AP"/>
    <n v="0"/>
    <n v="1"/>
    <n v="0"/>
    <n v="1"/>
    <n v="0"/>
    <n v="0"/>
    <n v="0"/>
  </r>
  <r>
    <x v="23"/>
    <s v="24. BTVK"/>
    <x v="0"/>
    <s v="NA"/>
    <n v="0"/>
    <n v="1"/>
    <n v="0"/>
    <n v="1"/>
    <n v="0"/>
    <n v="0"/>
    <n v="0"/>
  </r>
  <r>
    <x v="24"/>
    <s v="25. MZRSUS"/>
    <x v="0"/>
    <s v="NA"/>
    <n v="0"/>
    <n v="1"/>
    <n v="0"/>
    <n v="1"/>
    <n v="0"/>
    <n v="0"/>
    <n v="0"/>
  </r>
  <r>
    <x v="25"/>
    <s v="26. BDO"/>
    <x v="0"/>
    <s v="GLOBAL"/>
    <n v="0"/>
    <n v="1"/>
    <n v="0"/>
    <n v="0"/>
    <n v="0"/>
    <n v="0"/>
    <n v="0"/>
  </r>
  <r>
    <x v="26"/>
    <s v="27. CNDCEC"/>
    <x v="3"/>
    <s v="NA"/>
    <n v="1"/>
    <n v="0"/>
    <n v="0"/>
    <n v="0"/>
    <n v="0"/>
    <n v="0"/>
    <n v="0"/>
  </r>
  <r>
    <x v="27"/>
    <s v="28. HM"/>
    <x v="0"/>
    <s v="EU"/>
    <n v="1"/>
    <n v="0"/>
    <n v="0"/>
    <n v="0"/>
    <n v="0"/>
    <n v="0"/>
    <n v="0"/>
  </r>
  <r>
    <x v="28"/>
    <s v="29. CAQ"/>
    <x v="3"/>
    <s v="NA"/>
    <n v="0"/>
    <n v="1"/>
    <n v="0"/>
    <n v="1"/>
    <n v="0"/>
    <n v="0"/>
    <n v="0"/>
  </r>
  <r>
    <x v="29"/>
    <s v="30. MSI"/>
    <x v="0"/>
    <s v="EU"/>
    <n v="0"/>
    <n v="1"/>
    <n v="0"/>
    <n v="0"/>
    <n v="0"/>
    <n v="0"/>
    <n v="0"/>
  </r>
  <r>
    <x v="30"/>
    <s v="31. RSMI"/>
    <x v="0"/>
    <s v="GLOBAL"/>
    <n v="1"/>
    <n v="0"/>
    <n v="0"/>
    <n v="0"/>
    <n v="0"/>
    <n v="0"/>
    <n v="0"/>
  </r>
  <r>
    <x v="31"/>
    <s v="32. NRF"/>
    <x v="3"/>
    <s v="EU"/>
    <n v="0"/>
    <n v="1"/>
    <n v="0"/>
    <n v="1"/>
    <n v="0"/>
    <n v="0"/>
    <n v="0"/>
  </r>
  <r>
    <x v="32"/>
    <s v="33. AUASB"/>
    <x v="2"/>
    <s v="AP"/>
    <n v="0"/>
    <n v="1"/>
    <n v="0"/>
    <n v="0"/>
    <n v="0"/>
    <n v="0"/>
    <n v="0"/>
  </r>
  <r>
    <x v="33"/>
    <s v="34. FAR"/>
    <x v="3"/>
    <s v="EU"/>
    <n v="0"/>
    <n v="0"/>
    <n v="0"/>
    <n v="0"/>
    <n v="0"/>
    <n v="0"/>
    <n v="0"/>
  </r>
  <r>
    <x v="34"/>
    <s v="35. GTIL"/>
    <x v="0"/>
    <s v="GLOBAL"/>
    <n v="0"/>
    <n v="1"/>
    <n v="0"/>
    <n v="1"/>
    <n v="0"/>
    <n v="0"/>
    <n v="0"/>
  </r>
  <r>
    <x v="35"/>
    <s v="36. KSW"/>
    <x v="2"/>
    <s v="EU"/>
    <n v="1"/>
    <n v="0"/>
    <n v="0"/>
    <n v="0"/>
    <n v="0"/>
    <n v="0"/>
    <n v="0"/>
  </r>
  <r>
    <x v="36"/>
    <s v="37. IRBA"/>
    <x v="4"/>
    <s v="MEA"/>
    <n v="0"/>
    <n v="1"/>
    <n v="0"/>
    <n v="1"/>
    <n v="0"/>
    <n v="0"/>
    <n v="0"/>
  </r>
  <r>
    <x v="37"/>
    <s v="38. IAASA"/>
    <x v="4"/>
    <s v="EU"/>
    <n v="1"/>
    <n v="0"/>
    <n v="0"/>
    <n v="0"/>
    <n v="0"/>
    <n v="0"/>
    <n v="0"/>
  </r>
  <r>
    <x v="38"/>
    <s v="39. OAGNZ"/>
    <x v="1"/>
    <s v="AP"/>
    <n v="0"/>
    <n v="1"/>
    <n v="0"/>
    <n v="1"/>
    <n v="0"/>
    <n v="0"/>
    <n v="0"/>
  </r>
  <r>
    <x v="39"/>
    <s v="40. ICAEW"/>
    <x v="3"/>
    <s v="EU"/>
    <n v="0"/>
    <n v="1"/>
    <n v="0"/>
    <n v="0"/>
    <n v="0"/>
    <n v="0"/>
    <n v="1"/>
  </r>
  <r>
    <x v="40"/>
    <s v="41. ICPAS"/>
    <x v="3"/>
    <s v="NA"/>
    <n v="0"/>
    <n v="1"/>
    <n v="0"/>
    <n v="1"/>
    <n v="0"/>
    <n v="0"/>
    <n v="0"/>
  </r>
  <r>
    <x v="41"/>
    <s v="42. KI"/>
    <x v="0"/>
    <s v="GLOBAL"/>
    <n v="0"/>
    <n v="0"/>
    <n v="1"/>
    <n v="0"/>
    <n v="0"/>
    <n v="0"/>
    <n v="0"/>
  </r>
  <r>
    <x v="42"/>
    <s v="43. IEC-IAB"/>
    <x v="3"/>
    <s v="EU"/>
    <n v="0"/>
    <n v="1"/>
    <n v="0"/>
    <n v="1"/>
    <n v="0"/>
    <n v="0"/>
    <n v="0"/>
  </r>
  <r>
    <x v="43"/>
    <s v="44. SMPC"/>
    <x v="3"/>
    <s v="GLOBAL"/>
    <n v="0"/>
    <n v="1"/>
    <n v="0"/>
    <n v="1"/>
    <n v="0"/>
    <n v="0"/>
    <n v="0"/>
  </r>
  <r>
    <x v="44"/>
    <s v="45. CalCPA"/>
    <x v="3"/>
    <s v="NA"/>
    <n v="0"/>
    <n v="1"/>
    <n v="0"/>
    <n v="1"/>
    <n v="0"/>
    <n v="0"/>
    <n v="0"/>
  </r>
  <r>
    <x v="45"/>
    <s v="46. EFAA"/>
    <x v="3"/>
    <s v="EU"/>
    <n v="0"/>
    <n v="1"/>
    <n v="0"/>
    <n v="0"/>
    <n v="0"/>
    <n v="0"/>
    <n v="0"/>
  </r>
  <r>
    <x v="46"/>
    <s v="47. ICGN"/>
    <x v="5"/>
    <s v="GLOBAL"/>
    <n v="0"/>
    <n v="0"/>
    <n v="0"/>
    <n v="0"/>
    <n v="0"/>
    <n v="0"/>
    <n v="0"/>
  </r>
  <r>
    <x v="47"/>
    <s v="48. FSR"/>
    <x v="3"/>
    <s v="EU"/>
    <n v="0"/>
    <n v="1"/>
    <n v="0"/>
    <n v="0"/>
    <n v="1"/>
    <n v="0"/>
    <n v="0"/>
  </r>
  <r>
    <x v="48"/>
    <s v="49. AE"/>
    <x v="3"/>
    <s v="EU"/>
    <n v="0"/>
    <n v="1"/>
    <n v="0"/>
    <n v="0"/>
    <n v="1"/>
    <n v="0"/>
    <n v="0"/>
  </r>
  <r>
    <x v="49"/>
    <s v="50. NI"/>
    <x v="0"/>
    <s v="GLOBAL"/>
    <n v="0"/>
    <n v="1"/>
    <n v="0"/>
    <n v="0"/>
    <n v="0"/>
    <n v="0"/>
    <n v="0"/>
  </r>
  <r>
    <x v="50"/>
    <s v="51. IBR-IRE"/>
    <x v="3"/>
    <s v="EU"/>
    <n v="0"/>
    <n v="1"/>
    <n v="0"/>
    <n v="0"/>
    <n v="0"/>
    <n v="0"/>
    <n v="1"/>
  </r>
  <r>
    <x v="51"/>
    <s v="52. NBA"/>
    <x v="2"/>
    <s v="EU"/>
    <n v="0"/>
    <n v="1"/>
    <n v="0"/>
    <n v="0"/>
    <n v="0"/>
    <n v="0"/>
    <n v="0"/>
  </r>
  <r>
    <x v="52"/>
    <s v="53. CHI"/>
    <x v="0"/>
    <s v="GLOBAL"/>
    <n v="0"/>
    <n v="0"/>
    <n v="1"/>
    <n v="0"/>
    <n v="0"/>
    <n v="0"/>
    <n v="0"/>
  </r>
  <r>
    <x v="53"/>
    <s v="54. APESB"/>
    <x v="2"/>
    <s v="AP"/>
    <n v="0"/>
    <n v="1"/>
    <n v="0"/>
    <n v="0"/>
    <n v="0"/>
    <n v="0"/>
    <n v="0"/>
  </r>
  <r>
    <x v="54"/>
    <s v="55. CASI"/>
    <x v="0"/>
    <s v="AP"/>
    <n v="0"/>
    <n v="0"/>
    <n v="1"/>
    <n v="0"/>
    <n v="0"/>
    <n v="0"/>
    <n v="0"/>
  </r>
  <r>
    <x v="55"/>
    <s v="56. SRA"/>
    <x v="0"/>
    <s v="EU"/>
    <n v="0"/>
    <n v="1"/>
    <n v="0"/>
    <n v="0"/>
    <n v="1"/>
    <n v="0"/>
    <n v="0"/>
  </r>
  <r>
    <x v="56"/>
    <s v="57. AGSA"/>
    <x v="1"/>
    <s v="MEA"/>
    <n v="1"/>
    <n v="0"/>
    <n v="0"/>
    <n v="0"/>
    <n v="0"/>
    <n v="0"/>
    <n v="0"/>
  </r>
  <r>
    <x v="57"/>
    <s v="58. IAIS"/>
    <x v="6"/>
    <s v="GLOBAL"/>
    <n v="0"/>
    <n v="0"/>
    <n v="0"/>
    <n v="0"/>
    <n v="0"/>
    <n v="0"/>
    <n v="0"/>
  </r>
  <r>
    <x v="58"/>
    <s v="59. UKFRC"/>
    <x v="4"/>
    <s v="EU"/>
    <n v="1"/>
    <n v="0"/>
    <n v="0"/>
    <n v="0"/>
    <n v="0"/>
    <n v="0"/>
    <n v="0"/>
  </r>
  <r>
    <x v="59"/>
    <s v="60. IFIAR"/>
    <x v="6"/>
    <s v="GLOBAL"/>
    <n v="0"/>
    <n v="0"/>
    <n v="0"/>
    <n v="0"/>
    <n v="0"/>
    <n v="0"/>
    <n v="0"/>
  </r>
  <r>
    <x v="60"/>
    <s v="61. FAAPA"/>
    <x v="3"/>
    <s v="EU"/>
    <n v="0"/>
    <n v="0"/>
    <n v="0"/>
    <n v="0"/>
    <n v="0"/>
    <n v="0"/>
    <n v="0"/>
  </r>
  <r>
    <x v="61"/>
    <s v="62. BCBS"/>
    <x v="6"/>
    <s v="GLOBAL"/>
    <n v="0"/>
    <n v="0"/>
    <n v="0"/>
    <n v="0"/>
    <n v="0"/>
    <n v="0"/>
    <n v="0"/>
  </r>
  <r>
    <x v="62"/>
    <s v="63. BTI"/>
    <x v="0"/>
    <s v="GLOBAL"/>
    <n v="0"/>
    <n v="1"/>
    <n v="0"/>
    <n v="1"/>
    <n v="0"/>
    <n v="0"/>
    <n v="0"/>
  </r>
  <r>
    <x v="63"/>
    <s v="64. CNCC-CSOEC"/>
    <x v="2"/>
    <s v="EU"/>
    <n v="0"/>
    <n v="1"/>
    <n v="0"/>
    <n v="1"/>
    <n v="0"/>
    <n v="0"/>
    <n v="0"/>
  </r>
  <r>
    <x v="64"/>
    <s v="65. NASBA"/>
    <x v="4"/>
    <s v="NA"/>
    <n v="0"/>
    <n v="1"/>
    <n v="0"/>
    <n v="0"/>
    <n v="0"/>
    <n v="0"/>
    <n v="0"/>
  </r>
  <r>
    <x v="65"/>
    <s v="66. ETY"/>
    <x v="0"/>
    <s v="MEA"/>
    <n v="1"/>
    <n v="0"/>
    <n v="0"/>
    <n v="0"/>
    <n v="0"/>
    <n v="0"/>
    <n v="0"/>
  </r>
  <r>
    <x v="66"/>
    <s v="67. CPAB"/>
    <x v="4"/>
    <s v="NA"/>
    <n v="0"/>
    <n v="0"/>
    <n v="0"/>
    <n v="0"/>
    <n v="0"/>
    <n v="0"/>
    <n v="0"/>
  </r>
  <r>
    <x v="67"/>
    <s v="68. SAICA"/>
    <x v="3"/>
    <s v="MEA"/>
    <n v="0"/>
    <n v="1"/>
    <n v="0"/>
    <n v="0"/>
    <n v="0"/>
    <n v="0"/>
    <n v="0"/>
  </r>
  <r>
    <x v="68"/>
    <s v="69. GAO"/>
    <x v="1"/>
    <s v="NA"/>
    <n v="0"/>
    <n v="1"/>
    <n v="0"/>
    <n v="1"/>
    <n v="0"/>
    <n v="0"/>
    <n v="0"/>
  </r>
  <r>
    <x v="69"/>
    <s v="70. PwC"/>
    <x v="0"/>
    <s v="GLOBAL"/>
    <n v="0"/>
    <n v="1"/>
    <n v="0"/>
    <n v="1"/>
    <n v="0"/>
    <n v="0"/>
    <n v="0"/>
  </r>
  <r>
    <x v="70"/>
    <s v="71. MZRS"/>
    <x v="0"/>
    <s v="NA"/>
    <n v="0"/>
    <n v="1"/>
    <n v="0"/>
    <n v="1"/>
    <n v="0"/>
    <n v="0"/>
    <n v="0"/>
  </r>
  <r>
    <x v="71"/>
    <s v="72. KPMG"/>
    <x v="0"/>
    <s v="GLOBAL"/>
    <n v="0"/>
    <n v="1"/>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02DAE4-A70A-43EE-8152-33A178F0D6B6}"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takeholder Group">
  <location ref="A13:D21" firstHeaderRow="0" firstDataRow="1" firstDataCol="1"/>
  <pivotFields count="11">
    <pivotField showAll="0">
      <items count="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t="default"/>
      </items>
    </pivotField>
    <pivotField showAll="0"/>
    <pivotField axis="axisRow" showAll="0">
      <items count="8">
        <item n="1. Monitoring Group Members" sd="0" x="6"/>
        <item sd="0" x="4"/>
        <item sd="0" x="2"/>
        <item sd="0" x="5"/>
        <item sd="0" x="0"/>
        <item sd="0" x="3"/>
        <item sd="0" x="1"/>
        <item t="default"/>
      </items>
    </pivotField>
    <pivotField showAll="0"/>
    <pivotField dataField="1" showAll="0"/>
    <pivotField dataField="1" showAll="0"/>
    <pivotField dataField="1" showAll="0"/>
    <pivotField showAll="0"/>
    <pivotField showAll="0"/>
    <pivotField showAll="0"/>
    <pivotField showAll="0"/>
  </pivotFields>
  <rowFields count="1">
    <field x="2"/>
  </rowFields>
  <rowItems count="8">
    <i>
      <x/>
    </i>
    <i>
      <x v="1"/>
    </i>
    <i>
      <x v="2"/>
    </i>
    <i>
      <x v="3"/>
    </i>
    <i>
      <x v="4"/>
    </i>
    <i>
      <x v="5"/>
    </i>
    <i>
      <x v="6"/>
    </i>
    <i t="grand">
      <x/>
    </i>
  </rowItems>
  <colFields count="1">
    <field x="-2"/>
  </colFields>
  <colItems count="3">
    <i>
      <x/>
    </i>
    <i i="1">
      <x v="1"/>
    </i>
    <i i="2">
      <x v="2"/>
    </i>
  </colItems>
  <dataFields count="3">
    <dataField name="Q1 - Agree" fld="4" baseField="0" baseItem="0"/>
    <dataField name="Q1 - Disagree" fld="5" baseField="0" baseItem="0"/>
    <dataField name="Q1 - Agree but with further commentary" fld="6" baseField="0" baseItem="0"/>
  </dataFields>
  <formats count="26">
    <format dxfId="329">
      <pivotArea dataOnly="0" labelOnly="1" outline="0" fieldPosition="0">
        <references count="1">
          <reference field="4294967294" count="1">
            <x v="0"/>
          </reference>
        </references>
      </pivotArea>
    </format>
    <format dxfId="328">
      <pivotArea dataOnly="0" labelOnly="1" outline="0" fieldPosition="0">
        <references count="1">
          <reference field="4294967294" count="1">
            <x v="1"/>
          </reference>
        </references>
      </pivotArea>
    </format>
    <format dxfId="327">
      <pivotArea dataOnly="0" labelOnly="1" outline="0" fieldPosition="0">
        <references count="1">
          <reference field="4294967294" count="1">
            <x v="2"/>
          </reference>
        </references>
      </pivotArea>
    </format>
    <format dxfId="326">
      <pivotArea field="2" type="button" dataOnly="0" labelOnly="1" outline="0" axis="axisRow" fieldPosition="0"/>
    </format>
    <format dxfId="325">
      <pivotArea dataOnly="0" labelOnly="1" outline="0" fieldPosition="0">
        <references count="1">
          <reference field="4294967294" count="3">
            <x v="0"/>
            <x v="1"/>
            <x v="2"/>
          </reference>
        </references>
      </pivotArea>
    </format>
    <format dxfId="324">
      <pivotArea type="all" dataOnly="0" outline="0" fieldPosition="0"/>
    </format>
    <format dxfId="323">
      <pivotArea outline="0" collapsedLevelsAreSubtotals="1" fieldPosition="0"/>
    </format>
    <format dxfId="322">
      <pivotArea field="2" type="button" dataOnly="0" labelOnly="1" outline="0" axis="axisRow" fieldPosition="0"/>
    </format>
    <format dxfId="321">
      <pivotArea dataOnly="0" labelOnly="1" fieldPosition="0">
        <references count="1">
          <reference field="2" count="0"/>
        </references>
      </pivotArea>
    </format>
    <format dxfId="320">
      <pivotArea dataOnly="0" labelOnly="1" grandRow="1" outline="0" fieldPosition="0"/>
    </format>
    <format dxfId="319">
      <pivotArea dataOnly="0" labelOnly="1" outline="0" fieldPosition="0">
        <references count="1">
          <reference field="4294967294" count="3">
            <x v="0"/>
            <x v="1"/>
            <x v="2"/>
          </reference>
        </references>
      </pivotArea>
    </format>
    <format dxfId="318">
      <pivotArea type="all" dataOnly="0" outline="0" fieldPosition="0"/>
    </format>
    <format dxfId="317">
      <pivotArea outline="0" collapsedLevelsAreSubtotals="1" fieldPosition="0"/>
    </format>
    <format dxfId="316">
      <pivotArea field="2" type="button" dataOnly="0" labelOnly="1" outline="0" axis="axisRow" fieldPosition="0"/>
    </format>
    <format dxfId="315">
      <pivotArea dataOnly="0" labelOnly="1" fieldPosition="0">
        <references count="1">
          <reference field="2" count="0"/>
        </references>
      </pivotArea>
    </format>
    <format dxfId="314">
      <pivotArea dataOnly="0" labelOnly="1" grandRow="1" outline="0" fieldPosition="0"/>
    </format>
    <format dxfId="313">
      <pivotArea dataOnly="0" labelOnly="1" outline="0" fieldPosition="0">
        <references count="1">
          <reference field="4294967294" count="3">
            <x v="0"/>
            <x v="1"/>
            <x v="2"/>
          </reference>
        </references>
      </pivotArea>
    </format>
    <format dxfId="312">
      <pivotArea dataOnly="0" labelOnly="1" outline="0" fieldPosition="0">
        <references count="1">
          <reference field="4294967294" count="3">
            <x v="0"/>
            <x v="1"/>
            <x v="2"/>
          </reference>
        </references>
      </pivotArea>
    </format>
    <format dxfId="311">
      <pivotArea dataOnly="0" labelOnly="1" outline="0" fieldPosition="0">
        <references count="1">
          <reference field="4294967294" count="3">
            <x v="0"/>
            <x v="1"/>
            <x v="2"/>
          </reference>
        </references>
      </pivotArea>
    </format>
    <format dxfId="292">
      <pivotArea dataOnly="0" labelOnly="1" outline="0" fieldPosition="0">
        <references count="1">
          <reference field="4294967294" count="1">
            <x v="2"/>
          </reference>
        </references>
      </pivotArea>
    </format>
    <format dxfId="291">
      <pivotArea type="all" dataOnly="0" outline="0" fieldPosition="0"/>
    </format>
    <format dxfId="290">
      <pivotArea outline="0" collapsedLevelsAreSubtotals="1" fieldPosition="0"/>
    </format>
    <format dxfId="289">
      <pivotArea field="2" type="button" dataOnly="0" labelOnly="1" outline="0" axis="axisRow" fieldPosition="0"/>
    </format>
    <format dxfId="288">
      <pivotArea dataOnly="0" labelOnly="1" fieldPosition="0">
        <references count="1">
          <reference field="2" count="0"/>
        </references>
      </pivotArea>
    </format>
    <format dxfId="287">
      <pivotArea dataOnly="0" labelOnly="1" grandRow="1" outline="0" fieldPosition="0"/>
    </format>
    <format dxfId="286">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1B19FF-F673-417F-AAD8-402FD9BF5F3D}"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takeholder Group">
  <location ref="A8:E16" firstHeaderRow="0" firstDataRow="1" firstDataCol="1"/>
  <pivotFields count="11">
    <pivotField showAll="0"/>
    <pivotField showAll="0"/>
    <pivotField axis="axisRow" showAll="0">
      <items count="8">
        <item n="1. Monitoring Group Member" x="6"/>
        <item x="4"/>
        <item x="2"/>
        <item x="5"/>
        <item x="0"/>
        <item x="3"/>
        <item x="1"/>
        <item t="default"/>
      </items>
    </pivotField>
    <pivotField showAll="0"/>
    <pivotField showAll="0"/>
    <pivotField showAll="0"/>
    <pivotField showAll="0"/>
    <pivotField dataField="1" showAll="0"/>
    <pivotField dataField="1" showAll="0"/>
    <pivotField dataField="1" showAll="0"/>
    <pivotField dataField="1" showAll="0"/>
  </pivotFields>
  <rowFields count="1">
    <field x="2"/>
  </rowFields>
  <rowItems count="8">
    <i>
      <x/>
    </i>
    <i>
      <x v="1"/>
    </i>
    <i>
      <x v="2"/>
    </i>
    <i>
      <x v="3"/>
    </i>
    <i>
      <x v="4"/>
    </i>
    <i>
      <x v="5"/>
    </i>
    <i>
      <x v="6"/>
    </i>
    <i t="grand">
      <x/>
    </i>
  </rowItems>
  <colFields count="1">
    <field x="-2"/>
  </colFields>
  <colItems count="4">
    <i>
      <x/>
    </i>
    <i i="1">
      <x v="1"/>
    </i>
    <i i="2">
      <x v="2"/>
    </i>
    <i i="3">
      <x v="3"/>
    </i>
  </colItems>
  <dataFields count="4">
    <dataField name="24 months" fld="7" baseField="0" baseItem="0"/>
    <dataField name="30 months" fld="8" baseField="0" baseItem="0"/>
    <dataField name="36 months" fld="9" baseField="0" baseItem="0"/>
    <dataField name="Staged approach" fld="10" baseField="0" baseItem="0"/>
  </dataFields>
  <formats count="24">
    <format dxfId="310">
      <pivotArea dataOnly="0" labelOnly="1" outline="0" fieldPosition="0">
        <references count="1">
          <reference field="4294967294" count="4">
            <x v="0"/>
            <x v="1"/>
            <x v="2"/>
            <x v="3"/>
          </reference>
        </references>
      </pivotArea>
    </format>
    <format dxfId="309">
      <pivotArea field="2" type="button" dataOnly="0" labelOnly="1" outline="0" axis="axisRow" fieldPosition="0"/>
    </format>
    <format dxfId="308">
      <pivotArea dataOnly="0" labelOnly="1" outline="0" fieldPosition="0">
        <references count="1">
          <reference field="4294967294" count="4">
            <x v="0"/>
            <x v="1"/>
            <x v="2"/>
            <x v="3"/>
          </reference>
        </references>
      </pivotArea>
    </format>
    <format dxfId="307">
      <pivotArea type="all" dataOnly="0" outline="0" fieldPosition="0"/>
    </format>
    <format dxfId="306">
      <pivotArea outline="0" collapsedLevelsAreSubtotals="1" fieldPosition="0"/>
    </format>
    <format dxfId="305">
      <pivotArea field="2" type="button" dataOnly="0" labelOnly="1" outline="0" axis="axisRow" fieldPosition="0"/>
    </format>
    <format dxfId="304">
      <pivotArea dataOnly="0" labelOnly="1" fieldPosition="0">
        <references count="1">
          <reference field="2" count="0"/>
        </references>
      </pivotArea>
    </format>
    <format dxfId="303">
      <pivotArea dataOnly="0" labelOnly="1" grandRow="1" outline="0" fieldPosition="0"/>
    </format>
    <format dxfId="302">
      <pivotArea dataOnly="0" labelOnly="1" outline="0" fieldPosition="0">
        <references count="1">
          <reference field="4294967294" count="4">
            <x v="0"/>
            <x v="1"/>
            <x v="2"/>
            <x v="3"/>
          </reference>
        </references>
      </pivotArea>
    </format>
    <format dxfId="301">
      <pivotArea type="all" dataOnly="0" outline="0" fieldPosition="0"/>
    </format>
    <format dxfId="300">
      <pivotArea outline="0" collapsedLevelsAreSubtotals="1" fieldPosition="0"/>
    </format>
    <format dxfId="299">
      <pivotArea field="2" type="button" dataOnly="0" labelOnly="1" outline="0" axis="axisRow" fieldPosition="0"/>
    </format>
    <format dxfId="298">
      <pivotArea dataOnly="0" labelOnly="1" fieldPosition="0">
        <references count="1">
          <reference field="2" count="0"/>
        </references>
      </pivotArea>
    </format>
    <format dxfId="297">
      <pivotArea dataOnly="0" labelOnly="1" grandRow="1" outline="0" fieldPosition="0"/>
    </format>
    <format dxfId="296">
      <pivotArea dataOnly="0" labelOnly="1" outline="0" fieldPosition="0">
        <references count="1">
          <reference field="4294967294" count="4">
            <x v="0"/>
            <x v="1"/>
            <x v="2"/>
            <x v="3"/>
          </reference>
        </references>
      </pivotArea>
    </format>
    <format dxfId="295">
      <pivotArea dataOnly="0" labelOnly="1" outline="0" fieldPosition="0">
        <references count="1">
          <reference field="4294967294" count="4">
            <x v="0"/>
            <x v="1"/>
            <x v="2"/>
            <x v="3"/>
          </reference>
        </references>
      </pivotArea>
    </format>
    <format dxfId="294">
      <pivotArea dataOnly="0" labelOnly="1" outline="0" fieldPosition="0">
        <references count="1">
          <reference field="4294967294" count="4">
            <x v="0"/>
            <x v="1"/>
            <x v="2"/>
            <x v="3"/>
          </reference>
        </references>
      </pivotArea>
    </format>
    <format dxfId="293">
      <pivotArea dataOnly="0" labelOnly="1" outline="0" fieldPosition="0">
        <references count="1">
          <reference field="4294967294" count="4">
            <x v="0"/>
            <x v="1"/>
            <x v="2"/>
            <x v="3"/>
          </reference>
        </references>
      </pivotArea>
    </format>
    <format dxfId="179">
      <pivotArea type="all" dataOnly="0" outline="0" fieldPosition="0"/>
    </format>
    <format dxfId="178">
      <pivotArea outline="0" collapsedLevelsAreSubtotals="1" fieldPosition="0"/>
    </format>
    <format dxfId="177">
      <pivotArea field="2" type="button" dataOnly="0" labelOnly="1" outline="0" axis="axisRow" fieldPosition="0"/>
    </format>
    <format dxfId="176">
      <pivotArea dataOnly="0" labelOnly="1" fieldPosition="0">
        <references count="1">
          <reference field="2" count="0"/>
        </references>
      </pivotArea>
    </format>
    <format dxfId="175">
      <pivotArea dataOnly="0" labelOnly="1" grandRow="1" outline="0" fieldPosition="0"/>
    </format>
    <format dxfId="17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2242D-1799-47D4-9FF8-3E2FF7FF1BC0}">
  <dimension ref="A1:E21"/>
  <sheetViews>
    <sheetView tabSelected="1" view="pageBreakPreview" zoomScale="80" zoomScaleNormal="80" zoomScaleSheetLayoutView="80" workbookViewId="0">
      <selection activeCell="D11" sqref="D11"/>
    </sheetView>
  </sheetViews>
  <sheetFormatPr defaultRowHeight="14.4" x14ac:dyDescent="0.3"/>
  <cols>
    <col min="1" max="1" width="47.5546875" bestFit="1" customWidth="1"/>
    <col min="2" max="4" width="16.5546875" customWidth="1"/>
    <col min="5" max="5" width="21.44140625" customWidth="1"/>
  </cols>
  <sheetData>
    <row r="1" spans="1:5" ht="60.6" customHeight="1" x14ac:dyDescent="0.3">
      <c r="A1" s="27" t="s">
        <v>178</v>
      </c>
      <c r="B1" s="28"/>
      <c r="C1" s="28"/>
      <c r="D1" s="28"/>
      <c r="E1" s="29" t="s">
        <v>176</v>
      </c>
    </row>
    <row r="2" spans="1:5" ht="17.399999999999999" x14ac:dyDescent="0.3">
      <c r="A2" s="14"/>
      <c r="B2" s="14"/>
      <c r="C2" s="14"/>
      <c r="D2" s="14"/>
      <c r="E2" s="15"/>
    </row>
    <row r="3" spans="1:5" ht="48" customHeight="1" x14ac:dyDescent="0.3">
      <c r="A3" s="16" t="s">
        <v>174</v>
      </c>
      <c r="B3" s="16"/>
      <c r="C3" s="16"/>
      <c r="D3" s="16"/>
      <c r="E3" s="16"/>
    </row>
    <row r="4" spans="1:5" x14ac:dyDescent="0.3">
      <c r="A4" s="6"/>
      <c r="B4" s="6"/>
      <c r="C4" s="6"/>
      <c r="D4" s="6"/>
      <c r="E4" s="6"/>
    </row>
    <row r="5" spans="1:5" x14ac:dyDescent="0.3">
      <c r="A5" s="10" t="s">
        <v>168</v>
      </c>
      <c r="B5" s="6"/>
      <c r="C5" s="6"/>
      <c r="D5" s="6"/>
      <c r="E5" s="6"/>
    </row>
    <row r="6" spans="1:5" x14ac:dyDescent="0.3">
      <c r="A6" s="7" t="s">
        <v>169</v>
      </c>
      <c r="B6" s="6"/>
      <c r="C6" s="6"/>
      <c r="D6" s="6"/>
      <c r="E6" s="6"/>
    </row>
    <row r="7" spans="1:5" x14ac:dyDescent="0.3">
      <c r="A7" s="17" t="s">
        <v>177</v>
      </c>
      <c r="B7" s="6"/>
      <c r="C7" s="6"/>
      <c r="D7" s="6"/>
      <c r="E7" s="6"/>
    </row>
    <row r="8" spans="1:5" x14ac:dyDescent="0.3">
      <c r="A8" s="8" t="s">
        <v>170</v>
      </c>
      <c r="B8" s="6"/>
      <c r="C8" s="6"/>
      <c r="D8" s="6"/>
      <c r="E8" s="6"/>
    </row>
    <row r="9" spans="1:5" ht="27" x14ac:dyDescent="0.3">
      <c r="A9" s="11" t="s">
        <v>171</v>
      </c>
      <c r="B9" s="6"/>
      <c r="C9" s="6"/>
      <c r="D9" s="6"/>
      <c r="E9" s="6"/>
    </row>
    <row r="10" spans="1:5" x14ac:dyDescent="0.3">
      <c r="A10" s="6"/>
      <c r="B10" s="6"/>
      <c r="C10" s="6"/>
      <c r="D10" s="6"/>
      <c r="E10" s="6"/>
    </row>
    <row r="11" spans="1:5" x14ac:dyDescent="0.3">
      <c r="A11" s="10" t="s">
        <v>172</v>
      </c>
      <c r="B11" s="12">
        <f>GETPIVOTDATA("Q1 - Agree",$A$13)/E21</f>
        <v>0.265625</v>
      </c>
      <c r="C11" s="12">
        <f>GETPIVOTDATA("Q1 - Disagree",$A$13)/E21</f>
        <v>0.65625</v>
      </c>
      <c r="D11" s="12">
        <f>GETPIVOTDATA("Q1 - Agree but with further commentary",$A$13)/E21</f>
        <v>7.8125E-2</v>
      </c>
      <c r="E11" s="12">
        <f>E21/E21</f>
        <v>1</v>
      </c>
    </row>
    <row r="12" spans="1:5" x14ac:dyDescent="0.3">
      <c r="A12" s="6"/>
      <c r="B12" s="6"/>
      <c r="C12" s="6"/>
      <c r="D12" s="6"/>
      <c r="E12" s="6"/>
    </row>
    <row r="13" spans="1:5" ht="62.4" customHeight="1" x14ac:dyDescent="0.3">
      <c r="A13" s="18" t="s">
        <v>181</v>
      </c>
      <c r="B13" s="19" t="s">
        <v>183</v>
      </c>
      <c r="C13" s="20" t="s">
        <v>184</v>
      </c>
      <c r="D13" s="21" t="s">
        <v>185</v>
      </c>
      <c r="E13" s="22" t="s">
        <v>173</v>
      </c>
    </row>
    <row r="14" spans="1:5" x14ac:dyDescent="0.3">
      <c r="A14" s="23" t="s">
        <v>179</v>
      </c>
      <c r="B14" s="24">
        <v>0</v>
      </c>
      <c r="C14" s="24">
        <v>0</v>
      </c>
      <c r="D14" s="24">
        <v>0</v>
      </c>
      <c r="E14" s="25">
        <f>SUM(B14:D14)</f>
        <v>0</v>
      </c>
    </row>
    <row r="15" spans="1:5" x14ac:dyDescent="0.3">
      <c r="A15" s="23" t="s">
        <v>46</v>
      </c>
      <c r="B15" s="24">
        <v>2</v>
      </c>
      <c r="C15" s="24">
        <v>2</v>
      </c>
      <c r="D15" s="24">
        <v>0</v>
      </c>
      <c r="E15" s="25">
        <f t="shared" ref="E15:E20" si="0">SUM(B15:D15)</f>
        <v>4</v>
      </c>
    </row>
    <row r="16" spans="1:5" x14ac:dyDescent="0.3">
      <c r="A16" s="23" t="s">
        <v>81</v>
      </c>
      <c r="B16" s="24">
        <v>3</v>
      </c>
      <c r="C16" s="24">
        <v>6</v>
      </c>
      <c r="D16" s="24">
        <v>1</v>
      </c>
      <c r="E16" s="25">
        <f t="shared" si="0"/>
        <v>10</v>
      </c>
    </row>
    <row r="17" spans="1:5" x14ac:dyDescent="0.3">
      <c r="A17" s="23" t="s">
        <v>49</v>
      </c>
      <c r="B17" s="24">
        <v>0</v>
      </c>
      <c r="C17" s="24">
        <v>0</v>
      </c>
      <c r="D17" s="24">
        <v>0</v>
      </c>
      <c r="E17" s="25">
        <f t="shared" si="0"/>
        <v>0</v>
      </c>
    </row>
    <row r="18" spans="1:5" x14ac:dyDescent="0.3">
      <c r="A18" s="23" t="s">
        <v>55</v>
      </c>
      <c r="B18" s="24">
        <v>7</v>
      </c>
      <c r="C18" s="24">
        <v>13</v>
      </c>
      <c r="D18" s="24">
        <v>3</v>
      </c>
      <c r="E18" s="25">
        <f t="shared" si="0"/>
        <v>23</v>
      </c>
    </row>
    <row r="19" spans="1:5" x14ac:dyDescent="0.3">
      <c r="A19" s="23" t="s">
        <v>44</v>
      </c>
      <c r="B19" s="24">
        <v>1</v>
      </c>
      <c r="C19" s="24">
        <v>19</v>
      </c>
      <c r="D19" s="24">
        <v>1</v>
      </c>
      <c r="E19" s="25">
        <f t="shared" si="0"/>
        <v>21</v>
      </c>
    </row>
    <row r="20" spans="1:5" x14ac:dyDescent="0.3">
      <c r="A20" s="23" t="s">
        <v>66</v>
      </c>
      <c r="B20" s="24">
        <v>4</v>
      </c>
      <c r="C20" s="24">
        <v>2</v>
      </c>
      <c r="D20" s="24">
        <v>0</v>
      </c>
      <c r="E20" s="25">
        <f t="shared" si="0"/>
        <v>6</v>
      </c>
    </row>
    <row r="21" spans="1:5" x14ac:dyDescent="0.3">
      <c r="A21" s="23" t="s">
        <v>167</v>
      </c>
      <c r="B21" s="24">
        <v>17</v>
      </c>
      <c r="C21" s="24">
        <v>42</v>
      </c>
      <c r="D21" s="24">
        <v>5</v>
      </c>
      <c r="E21" s="26">
        <f>SUM(E14:E20)</f>
        <v>64</v>
      </c>
    </row>
  </sheetData>
  <mergeCells count="2">
    <mergeCell ref="A1:D1"/>
    <mergeCell ref="A3:E3"/>
  </mergeCells>
  <pageMargins left="0.7" right="0.7" top="0.75" bottom="0.75" header="0.3" footer="0.3"/>
  <pageSetup orientation="landscape" verticalDpi="0" r:id="rId2"/>
  <headerFooter>
    <oddFooter>&amp;R&amp;P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62374-94C2-4076-85A1-E4B091B10A62}">
  <dimension ref="A1:H16"/>
  <sheetViews>
    <sheetView view="pageBreakPreview" zoomScale="80" zoomScaleNormal="80" zoomScaleSheetLayoutView="80" workbookViewId="0">
      <selection activeCell="E9" sqref="E9"/>
    </sheetView>
  </sheetViews>
  <sheetFormatPr defaultColWidth="9.109375" defaultRowHeight="13.2" x14ac:dyDescent="0.25"/>
  <cols>
    <col min="1" max="1" width="47.5546875" style="6" bestFit="1" customWidth="1"/>
    <col min="2" max="4" width="19.5546875" style="6" customWidth="1"/>
    <col min="5" max="5" width="22.44140625" style="6" customWidth="1"/>
    <col min="6" max="8" width="21.33203125" style="6" bestFit="1" customWidth="1"/>
    <col min="9" max="16384" width="9.109375" style="6"/>
  </cols>
  <sheetData>
    <row r="1" spans="1:8" ht="45.6" x14ac:dyDescent="0.4">
      <c r="A1" s="27" t="s">
        <v>180</v>
      </c>
      <c r="B1" s="28"/>
      <c r="C1" s="28"/>
      <c r="D1" s="28"/>
      <c r="E1" s="31" t="s">
        <v>175</v>
      </c>
    </row>
    <row r="2" spans="1:8" ht="21" x14ac:dyDescent="0.4">
      <c r="A2" s="14"/>
      <c r="B2" s="14"/>
      <c r="C2" s="14"/>
      <c r="D2" s="14"/>
      <c r="E2" s="13"/>
    </row>
    <row r="3" spans="1:8" ht="12.75" customHeight="1" x14ac:dyDescent="0.25">
      <c r="A3" s="16" t="s">
        <v>174</v>
      </c>
      <c r="B3" s="16"/>
      <c r="C3" s="16"/>
      <c r="D3" s="16"/>
      <c r="E3" s="16"/>
    </row>
    <row r="4" spans="1:8" ht="12.75" customHeight="1" x14ac:dyDescent="0.25">
      <c r="A4" s="16"/>
      <c r="B4" s="16"/>
      <c r="C4" s="16"/>
      <c r="D4" s="16"/>
      <c r="E4" s="16"/>
    </row>
    <row r="5" spans="1:8" x14ac:dyDescent="0.25">
      <c r="A5" s="16"/>
      <c r="B5" s="16"/>
      <c r="C5" s="16"/>
      <c r="D5" s="16"/>
      <c r="E5" s="16"/>
    </row>
    <row r="8" spans="1:8" s="9" customFormat="1" ht="26.4" x14ac:dyDescent="0.3">
      <c r="A8" s="18" t="s">
        <v>181</v>
      </c>
      <c r="B8" s="30" t="s">
        <v>186</v>
      </c>
      <c r="C8" s="30" t="s">
        <v>187</v>
      </c>
      <c r="D8" s="30" t="s">
        <v>188</v>
      </c>
      <c r="E8" s="30" t="s">
        <v>189</v>
      </c>
      <c r="F8"/>
      <c r="G8"/>
      <c r="H8"/>
    </row>
    <row r="9" spans="1:8" ht="14.4" x14ac:dyDescent="0.3">
      <c r="A9" s="23" t="s">
        <v>182</v>
      </c>
      <c r="B9" s="24">
        <v>0</v>
      </c>
      <c r="C9" s="24">
        <v>0</v>
      </c>
      <c r="D9" s="24">
        <v>0</v>
      </c>
      <c r="E9" s="24">
        <v>0</v>
      </c>
      <c r="F9"/>
      <c r="G9"/>
      <c r="H9"/>
    </row>
    <row r="10" spans="1:8" ht="14.4" x14ac:dyDescent="0.3">
      <c r="A10" s="23" t="s">
        <v>46</v>
      </c>
      <c r="B10" s="24">
        <v>1</v>
      </c>
      <c r="C10" s="24">
        <v>0</v>
      </c>
      <c r="D10" s="24">
        <v>0</v>
      </c>
      <c r="E10" s="24">
        <v>0</v>
      </c>
      <c r="F10"/>
      <c r="G10"/>
      <c r="H10"/>
    </row>
    <row r="11" spans="1:8" ht="14.4" x14ac:dyDescent="0.3">
      <c r="A11" s="23" t="s">
        <v>81</v>
      </c>
      <c r="B11" s="24">
        <v>3</v>
      </c>
      <c r="C11" s="24">
        <v>0</v>
      </c>
      <c r="D11" s="24">
        <v>0</v>
      </c>
      <c r="E11" s="24">
        <v>0</v>
      </c>
      <c r="F11"/>
      <c r="G11"/>
      <c r="H11"/>
    </row>
    <row r="12" spans="1:8" ht="14.4" x14ac:dyDescent="0.3">
      <c r="A12" s="23" t="s">
        <v>49</v>
      </c>
      <c r="B12" s="24">
        <v>0</v>
      </c>
      <c r="C12" s="24">
        <v>0</v>
      </c>
      <c r="D12" s="24">
        <v>0</v>
      </c>
      <c r="E12" s="24">
        <v>0</v>
      </c>
      <c r="F12"/>
      <c r="G12"/>
      <c r="H12"/>
    </row>
    <row r="13" spans="1:8" ht="14.4" x14ac:dyDescent="0.3">
      <c r="A13" s="23" t="s">
        <v>55</v>
      </c>
      <c r="B13" s="24">
        <v>8</v>
      </c>
      <c r="C13" s="24">
        <v>1</v>
      </c>
      <c r="D13" s="24">
        <v>0</v>
      </c>
      <c r="E13" s="24">
        <v>0</v>
      </c>
      <c r="F13"/>
      <c r="G13"/>
      <c r="H13"/>
    </row>
    <row r="14" spans="1:8" ht="14.4" x14ac:dyDescent="0.3">
      <c r="A14" s="23" t="s">
        <v>44</v>
      </c>
      <c r="B14" s="24">
        <v>8</v>
      </c>
      <c r="C14" s="24">
        <v>3</v>
      </c>
      <c r="D14" s="24">
        <v>2</v>
      </c>
      <c r="E14" s="24">
        <v>3</v>
      </c>
      <c r="F14"/>
      <c r="G14"/>
      <c r="H14"/>
    </row>
    <row r="15" spans="1:8" ht="14.4" x14ac:dyDescent="0.3">
      <c r="A15" s="23" t="s">
        <v>66</v>
      </c>
      <c r="B15" s="24">
        <v>2</v>
      </c>
      <c r="C15" s="24">
        <v>0</v>
      </c>
      <c r="D15" s="24">
        <v>0</v>
      </c>
      <c r="E15" s="24">
        <v>0</v>
      </c>
      <c r="F15"/>
      <c r="G15"/>
      <c r="H15"/>
    </row>
    <row r="16" spans="1:8" ht="14.4" x14ac:dyDescent="0.3">
      <c r="A16" s="23" t="s">
        <v>167</v>
      </c>
      <c r="B16" s="24">
        <v>22</v>
      </c>
      <c r="C16" s="24">
        <v>4</v>
      </c>
      <c r="D16" s="24">
        <v>2</v>
      </c>
      <c r="E16" s="24">
        <v>3</v>
      </c>
      <c r="F16"/>
      <c r="G16"/>
      <c r="H16"/>
    </row>
  </sheetData>
  <mergeCells count="2">
    <mergeCell ref="A3:E5"/>
    <mergeCell ref="A1:D1"/>
  </mergeCells>
  <pageMargins left="0.7" right="0.7" top="0.75" bottom="0.75" header="0.3" footer="0.3"/>
  <pageSetup scale="95" orientation="landscape" verticalDpi="0" r:id="rId2"/>
  <headerFooter>
    <oddFooter>&amp;R&amp;P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K73"/>
  <sheetViews>
    <sheetView zoomScaleNormal="100" workbookViewId="0">
      <pane xSplit="2" ySplit="1" topLeftCell="C62" activePane="bottomRight" state="frozen"/>
      <selection pane="topRight" activeCell="C1" sqref="C1"/>
      <selection pane="bottomLeft" activeCell="A2" sqref="A2"/>
      <selection pane="bottomRight" activeCell="E74" sqref="E74"/>
    </sheetView>
  </sheetViews>
  <sheetFormatPr defaultColWidth="9.109375" defaultRowHeight="14.4" x14ac:dyDescent="0.3"/>
  <cols>
    <col min="1" max="1" width="22.44140625" bestFit="1" customWidth="1"/>
    <col min="2" max="2" width="22.44140625" customWidth="1"/>
    <col min="3" max="3" width="51.6640625" bestFit="1" customWidth="1"/>
    <col min="4" max="4" width="7.88671875" bestFit="1" customWidth="1"/>
    <col min="5" max="5" width="13.5546875" bestFit="1" customWidth="1"/>
    <col min="6" max="6" width="16.6640625" bestFit="1" customWidth="1"/>
    <col min="7" max="7" width="28" bestFit="1" customWidth="1"/>
    <col min="8" max="10" width="13.33203125" bestFit="1" customWidth="1"/>
    <col min="11" max="11" width="19.109375" bestFit="1" customWidth="1"/>
  </cols>
  <sheetData>
    <row r="1" spans="1:11" x14ac:dyDescent="0.3">
      <c r="A1" s="3" t="s">
        <v>0</v>
      </c>
      <c r="B1" s="3" t="s">
        <v>87</v>
      </c>
      <c r="C1" s="3" t="s">
        <v>3</v>
      </c>
      <c r="D1" s="3" t="s">
        <v>77</v>
      </c>
      <c r="E1" s="1" t="s">
        <v>88</v>
      </c>
      <c r="F1" s="1" t="s">
        <v>89</v>
      </c>
      <c r="G1" s="1" t="s">
        <v>90</v>
      </c>
      <c r="H1" s="1" t="s">
        <v>163</v>
      </c>
      <c r="I1" s="1" t="s">
        <v>164</v>
      </c>
      <c r="J1" s="1" t="s">
        <v>165</v>
      </c>
      <c r="K1" s="1" t="s">
        <v>166</v>
      </c>
    </row>
    <row r="2" spans="1:11" x14ac:dyDescent="0.3">
      <c r="A2" s="4" t="s">
        <v>69</v>
      </c>
      <c r="B2" s="5" t="s">
        <v>91</v>
      </c>
      <c r="C2" s="4" t="s">
        <v>55</v>
      </c>
      <c r="D2" s="4" t="s">
        <v>84</v>
      </c>
      <c r="E2" s="2">
        <v>1</v>
      </c>
      <c r="F2" s="2">
        <v>0</v>
      </c>
      <c r="G2" s="2">
        <v>0</v>
      </c>
      <c r="H2" s="2">
        <v>0</v>
      </c>
      <c r="I2" s="2">
        <v>0</v>
      </c>
      <c r="J2" s="2">
        <v>0</v>
      </c>
      <c r="K2" s="2">
        <v>0</v>
      </c>
    </row>
    <row r="3" spans="1:11" x14ac:dyDescent="0.3">
      <c r="A3" s="4" t="s">
        <v>60</v>
      </c>
      <c r="B3" s="5" t="s">
        <v>92</v>
      </c>
      <c r="C3" s="4" t="s">
        <v>66</v>
      </c>
      <c r="D3" s="4" t="s">
        <v>56</v>
      </c>
      <c r="E3" s="2">
        <v>1</v>
      </c>
      <c r="F3" s="2">
        <v>0</v>
      </c>
      <c r="G3" s="2">
        <v>0</v>
      </c>
      <c r="H3" s="2">
        <v>0</v>
      </c>
      <c r="I3" s="2">
        <v>0</v>
      </c>
      <c r="J3" s="2">
        <v>0</v>
      </c>
      <c r="K3" s="2">
        <v>0</v>
      </c>
    </row>
    <row r="4" spans="1:11" x14ac:dyDescent="0.3">
      <c r="A4" s="4" t="s">
        <v>65</v>
      </c>
      <c r="B4" s="5" t="s">
        <v>93</v>
      </c>
      <c r="C4" s="4" t="s">
        <v>55</v>
      </c>
      <c r="D4" s="4" t="s">
        <v>56</v>
      </c>
      <c r="E4" s="2">
        <v>1</v>
      </c>
      <c r="F4" s="2">
        <v>0</v>
      </c>
      <c r="G4" s="2">
        <v>0</v>
      </c>
      <c r="H4" s="2">
        <v>0</v>
      </c>
      <c r="I4" s="2">
        <v>0</v>
      </c>
      <c r="J4" s="2">
        <v>0</v>
      </c>
      <c r="K4" s="2">
        <v>0</v>
      </c>
    </row>
    <row r="5" spans="1:11" x14ac:dyDescent="0.3">
      <c r="A5" s="4" t="s">
        <v>21</v>
      </c>
      <c r="B5" s="5" t="s">
        <v>94</v>
      </c>
      <c r="C5" s="4" t="s">
        <v>81</v>
      </c>
      <c r="D5" s="4" t="s">
        <v>58</v>
      </c>
      <c r="E5" s="2">
        <v>0</v>
      </c>
      <c r="F5" s="2">
        <v>0</v>
      </c>
      <c r="G5" s="2">
        <v>1</v>
      </c>
      <c r="H5" s="2">
        <v>0</v>
      </c>
      <c r="I5" s="2">
        <v>0</v>
      </c>
      <c r="J5" s="2">
        <v>0</v>
      </c>
      <c r="K5" s="2">
        <v>0</v>
      </c>
    </row>
    <row r="6" spans="1:11" x14ac:dyDescent="0.3">
      <c r="A6" s="4" t="s">
        <v>42</v>
      </c>
      <c r="B6" s="5" t="s">
        <v>95</v>
      </c>
      <c r="C6" s="4" t="s">
        <v>44</v>
      </c>
      <c r="D6" s="4" t="s">
        <v>84</v>
      </c>
      <c r="E6" s="2">
        <v>0</v>
      </c>
      <c r="F6" s="2">
        <v>1</v>
      </c>
      <c r="G6" s="2">
        <v>0</v>
      </c>
      <c r="H6" s="2">
        <v>0</v>
      </c>
      <c r="I6" s="2">
        <v>0</v>
      </c>
      <c r="J6" s="2">
        <v>1</v>
      </c>
      <c r="K6" s="2">
        <v>0</v>
      </c>
    </row>
    <row r="7" spans="1:11" x14ac:dyDescent="0.3">
      <c r="A7" s="4" t="s">
        <v>53</v>
      </c>
      <c r="B7" s="5" t="s">
        <v>96</v>
      </c>
      <c r="C7" s="4" t="s">
        <v>44</v>
      </c>
      <c r="D7" s="4" t="s">
        <v>58</v>
      </c>
      <c r="E7" s="2">
        <v>0</v>
      </c>
      <c r="F7" s="2">
        <v>1</v>
      </c>
      <c r="G7" s="2">
        <v>0</v>
      </c>
      <c r="H7" s="2">
        <v>0</v>
      </c>
      <c r="I7" s="2">
        <v>0</v>
      </c>
      <c r="J7" s="2">
        <v>0</v>
      </c>
      <c r="K7" s="2">
        <v>1</v>
      </c>
    </row>
    <row r="8" spans="1:11" x14ac:dyDescent="0.3">
      <c r="A8" s="4" t="s">
        <v>7</v>
      </c>
      <c r="B8" s="5" t="s">
        <v>97</v>
      </c>
      <c r="C8" s="4" t="s">
        <v>66</v>
      </c>
      <c r="D8" s="4" t="s">
        <v>56</v>
      </c>
      <c r="E8" s="2">
        <v>1</v>
      </c>
      <c r="F8" s="2">
        <v>0</v>
      </c>
      <c r="G8" s="2">
        <v>0</v>
      </c>
      <c r="H8" s="2">
        <v>0</v>
      </c>
      <c r="I8" s="2">
        <v>0</v>
      </c>
      <c r="J8" s="2">
        <v>0</v>
      </c>
      <c r="K8" s="2">
        <v>0</v>
      </c>
    </row>
    <row r="9" spans="1:11" x14ac:dyDescent="0.3">
      <c r="A9" s="4" t="s">
        <v>13</v>
      </c>
      <c r="B9" s="5" t="s">
        <v>98</v>
      </c>
      <c r="C9" s="4" t="s">
        <v>81</v>
      </c>
      <c r="D9" s="4" t="s">
        <v>56</v>
      </c>
      <c r="E9" s="2">
        <v>0</v>
      </c>
      <c r="F9" s="2">
        <v>1</v>
      </c>
      <c r="G9" s="2">
        <v>0</v>
      </c>
      <c r="H9" s="2">
        <v>1</v>
      </c>
      <c r="I9" s="2">
        <v>0</v>
      </c>
      <c r="J9" s="2">
        <v>0</v>
      </c>
      <c r="K9" s="2">
        <v>0</v>
      </c>
    </row>
    <row r="10" spans="1:11" x14ac:dyDescent="0.3">
      <c r="A10" s="4" t="s">
        <v>67</v>
      </c>
      <c r="B10" s="5" t="s">
        <v>99</v>
      </c>
      <c r="C10" s="4" t="s">
        <v>44</v>
      </c>
      <c r="D10" s="4" t="s">
        <v>58</v>
      </c>
      <c r="E10" s="2">
        <v>0</v>
      </c>
      <c r="F10" s="2">
        <v>1</v>
      </c>
      <c r="G10" s="2">
        <v>0</v>
      </c>
      <c r="H10" s="2">
        <v>0</v>
      </c>
      <c r="I10" s="2">
        <v>0</v>
      </c>
      <c r="J10" s="2">
        <v>1</v>
      </c>
      <c r="K10" s="2">
        <v>0</v>
      </c>
    </row>
    <row r="11" spans="1:11" x14ac:dyDescent="0.3">
      <c r="A11" s="4" t="s">
        <v>15</v>
      </c>
      <c r="B11" s="5" t="s">
        <v>100</v>
      </c>
      <c r="C11" s="4" t="s">
        <v>44</v>
      </c>
      <c r="D11" s="4" t="s">
        <v>84</v>
      </c>
      <c r="E11" s="2">
        <v>0</v>
      </c>
      <c r="F11" s="2">
        <v>1</v>
      </c>
      <c r="G11" s="2">
        <v>0</v>
      </c>
      <c r="H11" s="2">
        <v>0</v>
      </c>
      <c r="I11" s="2">
        <v>0</v>
      </c>
      <c r="J11" s="2">
        <v>0</v>
      </c>
      <c r="K11" s="2">
        <v>0</v>
      </c>
    </row>
    <row r="12" spans="1:11" x14ac:dyDescent="0.3">
      <c r="A12" s="4" t="s">
        <v>19</v>
      </c>
      <c r="B12" s="5" t="s">
        <v>101</v>
      </c>
      <c r="C12" s="4" t="s">
        <v>55</v>
      </c>
      <c r="D12" s="4" t="s">
        <v>84</v>
      </c>
      <c r="E12" s="2">
        <v>1</v>
      </c>
      <c r="F12" s="2">
        <v>0</v>
      </c>
      <c r="G12" s="2">
        <v>0</v>
      </c>
      <c r="H12" s="2">
        <v>0</v>
      </c>
      <c r="I12" s="2">
        <v>0</v>
      </c>
      <c r="J12" s="2">
        <v>0</v>
      </c>
      <c r="K12" s="2">
        <v>0</v>
      </c>
    </row>
    <row r="13" spans="1:11" x14ac:dyDescent="0.3">
      <c r="A13" s="4" t="s">
        <v>63</v>
      </c>
      <c r="B13" s="5" t="s">
        <v>102</v>
      </c>
      <c r="C13" s="4" t="s">
        <v>55</v>
      </c>
      <c r="D13" s="4" t="s">
        <v>68</v>
      </c>
      <c r="E13" s="2">
        <v>0</v>
      </c>
      <c r="F13" s="2">
        <v>1</v>
      </c>
      <c r="G13" s="2">
        <v>0</v>
      </c>
      <c r="H13" s="2">
        <v>1</v>
      </c>
      <c r="I13" s="2">
        <v>0</v>
      </c>
      <c r="J13" s="2">
        <v>0</v>
      </c>
      <c r="K13" s="2">
        <v>0</v>
      </c>
    </row>
    <row r="14" spans="1:11" x14ac:dyDescent="0.3">
      <c r="A14" s="4" t="s">
        <v>54</v>
      </c>
      <c r="B14" s="5" t="s">
        <v>103</v>
      </c>
      <c r="C14" s="4" t="s">
        <v>81</v>
      </c>
      <c r="D14" s="4" t="s">
        <v>56</v>
      </c>
      <c r="E14" s="2">
        <v>0</v>
      </c>
      <c r="F14" s="2">
        <v>1</v>
      </c>
      <c r="G14" s="2">
        <v>0</v>
      </c>
      <c r="H14" s="2">
        <v>1</v>
      </c>
      <c r="I14" s="2">
        <v>0</v>
      </c>
      <c r="J14" s="2">
        <v>0</v>
      </c>
      <c r="K14" s="2">
        <v>0</v>
      </c>
    </row>
    <row r="15" spans="1:11" x14ac:dyDescent="0.3">
      <c r="A15" s="4" t="s">
        <v>5</v>
      </c>
      <c r="B15" s="5" t="s">
        <v>104</v>
      </c>
      <c r="C15" s="4" t="s">
        <v>81</v>
      </c>
      <c r="D15" s="4" t="s">
        <v>58</v>
      </c>
      <c r="E15" s="2">
        <v>1</v>
      </c>
      <c r="F15" s="2">
        <v>0</v>
      </c>
      <c r="G15" s="2">
        <v>0</v>
      </c>
      <c r="H15" s="2">
        <v>0</v>
      </c>
      <c r="I15" s="2">
        <v>0</v>
      </c>
      <c r="J15" s="2">
        <v>0</v>
      </c>
      <c r="K15" s="2">
        <v>0</v>
      </c>
    </row>
    <row r="16" spans="1:11" x14ac:dyDescent="0.3">
      <c r="A16" s="4" t="s">
        <v>10</v>
      </c>
      <c r="B16" s="5" t="s">
        <v>105</v>
      </c>
      <c r="C16" s="4" t="s">
        <v>44</v>
      </c>
      <c r="D16" s="4" t="s">
        <v>58</v>
      </c>
      <c r="E16" s="2">
        <v>0</v>
      </c>
      <c r="F16" s="2">
        <v>0</v>
      </c>
      <c r="G16" s="2">
        <v>1</v>
      </c>
      <c r="H16" s="2">
        <v>0</v>
      </c>
      <c r="I16" s="2">
        <v>0</v>
      </c>
      <c r="J16" s="2">
        <v>0</v>
      </c>
      <c r="K16" s="2">
        <v>0</v>
      </c>
    </row>
    <row r="17" spans="1:11" x14ac:dyDescent="0.3">
      <c r="A17" s="4" t="s">
        <v>43</v>
      </c>
      <c r="B17" s="5" t="s">
        <v>106</v>
      </c>
      <c r="C17" s="4" t="s">
        <v>44</v>
      </c>
      <c r="D17" s="4" t="s">
        <v>84</v>
      </c>
      <c r="E17" s="2">
        <v>0</v>
      </c>
      <c r="F17" s="2">
        <v>1</v>
      </c>
      <c r="G17" s="2">
        <v>0</v>
      </c>
      <c r="H17" s="2">
        <v>0</v>
      </c>
      <c r="I17" s="2">
        <v>1</v>
      </c>
      <c r="J17" s="2">
        <v>0</v>
      </c>
      <c r="K17" s="2">
        <v>0</v>
      </c>
    </row>
    <row r="18" spans="1:11" x14ac:dyDescent="0.3">
      <c r="A18" s="4" t="s">
        <v>83</v>
      </c>
      <c r="B18" s="5" t="s">
        <v>107</v>
      </c>
      <c r="C18" s="4" t="s">
        <v>44</v>
      </c>
      <c r="D18" s="4" t="s">
        <v>56</v>
      </c>
      <c r="E18" s="2">
        <v>0</v>
      </c>
      <c r="F18" s="2">
        <v>1</v>
      </c>
      <c r="G18" s="2">
        <v>0</v>
      </c>
      <c r="H18" s="2">
        <v>1</v>
      </c>
      <c r="I18" s="2">
        <v>0</v>
      </c>
      <c r="J18" s="2">
        <v>0</v>
      </c>
      <c r="K18" s="2">
        <v>0</v>
      </c>
    </row>
    <row r="19" spans="1:11" x14ac:dyDescent="0.3">
      <c r="A19" s="4" t="s">
        <v>57</v>
      </c>
      <c r="B19" s="5" t="s">
        <v>108</v>
      </c>
      <c r="C19" s="4" t="s">
        <v>66</v>
      </c>
      <c r="D19" s="4" t="s">
        <v>56</v>
      </c>
      <c r="E19" s="2">
        <v>1</v>
      </c>
      <c r="F19" s="2">
        <v>0</v>
      </c>
      <c r="G19" s="2">
        <v>0</v>
      </c>
      <c r="H19" s="2">
        <v>0</v>
      </c>
      <c r="I19" s="2">
        <v>0</v>
      </c>
      <c r="J19" s="2">
        <v>0</v>
      </c>
      <c r="K19" s="2">
        <v>0</v>
      </c>
    </row>
    <row r="20" spans="1:11" x14ac:dyDescent="0.3">
      <c r="A20" s="4" t="s">
        <v>35</v>
      </c>
      <c r="B20" s="5" t="s">
        <v>109</v>
      </c>
      <c r="C20" s="4" t="s">
        <v>44</v>
      </c>
      <c r="D20" s="4" t="s">
        <v>30</v>
      </c>
      <c r="E20" s="2">
        <v>0</v>
      </c>
      <c r="F20" s="2">
        <v>0</v>
      </c>
      <c r="G20" s="2">
        <v>0</v>
      </c>
      <c r="H20" s="2">
        <v>0</v>
      </c>
      <c r="I20" s="2">
        <v>0</v>
      </c>
      <c r="J20" s="2">
        <v>0</v>
      </c>
      <c r="K20" s="2">
        <v>0</v>
      </c>
    </row>
    <row r="21" spans="1:11" x14ac:dyDescent="0.3">
      <c r="A21" s="4" t="s">
        <v>40</v>
      </c>
      <c r="B21" s="5" t="s">
        <v>110</v>
      </c>
      <c r="C21" s="4" t="s">
        <v>81</v>
      </c>
      <c r="D21" s="4" t="s">
        <v>58</v>
      </c>
      <c r="E21" s="2">
        <v>1</v>
      </c>
      <c r="F21" s="2">
        <v>0</v>
      </c>
      <c r="G21" s="2">
        <v>0</v>
      </c>
      <c r="H21" s="2">
        <v>0</v>
      </c>
      <c r="I21" s="2">
        <v>0</v>
      </c>
      <c r="J21" s="2">
        <v>0</v>
      </c>
      <c r="K21" s="2">
        <v>0</v>
      </c>
    </row>
    <row r="22" spans="1:11" x14ac:dyDescent="0.3">
      <c r="A22" s="4" t="s">
        <v>20</v>
      </c>
      <c r="B22" s="5" t="s">
        <v>111</v>
      </c>
      <c r="C22" s="4" t="s">
        <v>55</v>
      </c>
      <c r="D22" s="4" t="s">
        <v>68</v>
      </c>
      <c r="E22" s="2">
        <v>1</v>
      </c>
      <c r="F22" s="2">
        <v>0</v>
      </c>
      <c r="G22" s="2">
        <v>0</v>
      </c>
      <c r="H22" s="2">
        <v>0</v>
      </c>
      <c r="I22" s="2">
        <v>0</v>
      </c>
      <c r="J22" s="2">
        <v>0</v>
      </c>
      <c r="K22" s="2">
        <v>0</v>
      </c>
    </row>
    <row r="23" spans="1:11" x14ac:dyDescent="0.3">
      <c r="A23" s="4" t="s">
        <v>59</v>
      </c>
      <c r="B23" s="5" t="s">
        <v>112</v>
      </c>
      <c r="C23" s="4" t="s">
        <v>55</v>
      </c>
      <c r="D23" s="4" t="s">
        <v>68</v>
      </c>
      <c r="E23" s="2">
        <v>0</v>
      </c>
      <c r="F23" s="2">
        <v>1</v>
      </c>
      <c r="G23" s="2">
        <v>0</v>
      </c>
      <c r="H23" s="2">
        <v>1</v>
      </c>
      <c r="I23" s="2">
        <v>0</v>
      </c>
      <c r="J23" s="2">
        <v>0</v>
      </c>
      <c r="K23" s="2">
        <v>0</v>
      </c>
    </row>
    <row r="24" spans="1:11" x14ac:dyDescent="0.3">
      <c r="A24" s="4" t="s">
        <v>38</v>
      </c>
      <c r="B24" s="5" t="s">
        <v>113</v>
      </c>
      <c r="C24" s="4" t="s">
        <v>44</v>
      </c>
      <c r="D24" s="4" t="s">
        <v>58</v>
      </c>
      <c r="E24" s="2">
        <v>0</v>
      </c>
      <c r="F24" s="2">
        <v>1</v>
      </c>
      <c r="G24" s="2">
        <v>0</v>
      </c>
      <c r="H24" s="2">
        <v>1</v>
      </c>
      <c r="I24" s="2">
        <v>0</v>
      </c>
      <c r="J24" s="2">
        <v>0</v>
      </c>
      <c r="K24" s="2">
        <v>0</v>
      </c>
    </row>
    <row r="25" spans="1:11" x14ac:dyDescent="0.3">
      <c r="A25" s="4" t="s">
        <v>27</v>
      </c>
      <c r="B25" s="5" t="s">
        <v>114</v>
      </c>
      <c r="C25" s="4" t="s">
        <v>55</v>
      </c>
      <c r="D25" s="4" t="s">
        <v>56</v>
      </c>
      <c r="E25" s="2">
        <v>0</v>
      </c>
      <c r="F25" s="2">
        <v>1</v>
      </c>
      <c r="G25" s="2">
        <v>0</v>
      </c>
      <c r="H25" s="2">
        <v>1</v>
      </c>
      <c r="I25" s="2">
        <v>0</v>
      </c>
      <c r="J25" s="2">
        <v>0</v>
      </c>
      <c r="K25" s="2">
        <v>0</v>
      </c>
    </row>
    <row r="26" spans="1:11" x14ac:dyDescent="0.3">
      <c r="A26" s="4" t="s">
        <v>25</v>
      </c>
      <c r="B26" s="5" t="s">
        <v>115</v>
      </c>
      <c r="C26" s="4" t="s">
        <v>55</v>
      </c>
      <c r="D26" s="4" t="s">
        <v>56</v>
      </c>
      <c r="E26" s="2">
        <v>0</v>
      </c>
      <c r="F26" s="2">
        <v>1</v>
      </c>
      <c r="G26" s="2">
        <v>0</v>
      </c>
      <c r="H26" s="2">
        <v>1</v>
      </c>
      <c r="I26" s="2">
        <v>0</v>
      </c>
      <c r="J26" s="2">
        <v>0</v>
      </c>
      <c r="K26" s="2">
        <v>0</v>
      </c>
    </row>
    <row r="27" spans="1:11" x14ac:dyDescent="0.3">
      <c r="A27" s="4" t="s">
        <v>12</v>
      </c>
      <c r="B27" s="5" t="s">
        <v>116</v>
      </c>
      <c r="C27" s="4" t="s">
        <v>55</v>
      </c>
      <c r="D27" s="4" t="s">
        <v>68</v>
      </c>
      <c r="E27" s="2">
        <v>0</v>
      </c>
      <c r="F27" s="2">
        <v>1</v>
      </c>
      <c r="G27" s="2">
        <v>0</v>
      </c>
      <c r="H27" s="2">
        <v>0</v>
      </c>
      <c r="I27" s="2">
        <v>0</v>
      </c>
      <c r="J27" s="2">
        <v>0</v>
      </c>
      <c r="K27" s="2">
        <v>0</v>
      </c>
    </row>
    <row r="28" spans="1:11" x14ac:dyDescent="0.3">
      <c r="A28" s="4" t="s">
        <v>74</v>
      </c>
      <c r="B28" s="5" t="s">
        <v>117</v>
      </c>
      <c r="C28" s="4" t="s">
        <v>44</v>
      </c>
      <c r="D28" s="4" t="s">
        <v>56</v>
      </c>
      <c r="E28" s="2">
        <v>1</v>
      </c>
      <c r="F28" s="2">
        <v>0</v>
      </c>
      <c r="G28" s="2">
        <v>0</v>
      </c>
      <c r="H28" s="2">
        <v>0</v>
      </c>
      <c r="I28" s="2">
        <v>0</v>
      </c>
      <c r="J28" s="2">
        <v>0</v>
      </c>
      <c r="K28" s="2">
        <v>0</v>
      </c>
    </row>
    <row r="29" spans="1:11" x14ac:dyDescent="0.3">
      <c r="A29" s="4" t="s">
        <v>62</v>
      </c>
      <c r="B29" s="5" t="s">
        <v>118</v>
      </c>
      <c r="C29" s="4" t="s">
        <v>55</v>
      </c>
      <c r="D29" s="4" t="s">
        <v>84</v>
      </c>
      <c r="E29" s="2">
        <v>1</v>
      </c>
      <c r="F29" s="2">
        <v>0</v>
      </c>
      <c r="G29" s="2">
        <v>0</v>
      </c>
      <c r="H29" s="2">
        <v>0</v>
      </c>
      <c r="I29" s="2">
        <v>0</v>
      </c>
      <c r="J29" s="2">
        <v>0</v>
      </c>
      <c r="K29" s="2">
        <v>0</v>
      </c>
    </row>
    <row r="30" spans="1:11" x14ac:dyDescent="0.3">
      <c r="A30" s="4" t="s">
        <v>50</v>
      </c>
      <c r="B30" s="5" t="s">
        <v>119</v>
      </c>
      <c r="C30" s="4" t="s">
        <v>44</v>
      </c>
      <c r="D30" s="4" t="s">
        <v>56</v>
      </c>
      <c r="E30" s="2">
        <v>0</v>
      </c>
      <c r="F30" s="2">
        <v>1</v>
      </c>
      <c r="G30" s="2">
        <v>0</v>
      </c>
      <c r="H30" s="2">
        <v>1</v>
      </c>
      <c r="I30" s="2">
        <v>0</v>
      </c>
      <c r="J30" s="2">
        <v>0</v>
      </c>
      <c r="K30" s="2">
        <v>0</v>
      </c>
    </row>
    <row r="31" spans="1:11" x14ac:dyDescent="0.3">
      <c r="A31" s="4" t="s">
        <v>8</v>
      </c>
      <c r="B31" s="5" t="s">
        <v>120</v>
      </c>
      <c r="C31" s="4" t="s">
        <v>55</v>
      </c>
      <c r="D31" s="4" t="s">
        <v>84</v>
      </c>
      <c r="E31" s="2">
        <v>0</v>
      </c>
      <c r="F31" s="2">
        <v>1</v>
      </c>
      <c r="G31" s="2">
        <v>0</v>
      </c>
      <c r="H31" s="2">
        <v>0</v>
      </c>
      <c r="I31" s="2">
        <v>0</v>
      </c>
      <c r="J31" s="2">
        <v>0</v>
      </c>
      <c r="K31" s="2">
        <v>0</v>
      </c>
    </row>
    <row r="32" spans="1:11" x14ac:dyDescent="0.3">
      <c r="A32" s="4" t="s">
        <v>17</v>
      </c>
      <c r="B32" s="5" t="s">
        <v>121</v>
      </c>
      <c r="C32" s="4" t="s">
        <v>55</v>
      </c>
      <c r="D32" s="4" t="s">
        <v>68</v>
      </c>
      <c r="E32" s="2">
        <v>1</v>
      </c>
      <c r="F32" s="2">
        <v>0</v>
      </c>
      <c r="G32" s="2">
        <v>0</v>
      </c>
      <c r="H32" s="2">
        <v>0</v>
      </c>
      <c r="I32" s="2">
        <v>0</v>
      </c>
      <c r="J32" s="2">
        <v>0</v>
      </c>
      <c r="K32" s="2">
        <v>0</v>
      </c>
    </row>
    <row r="33" spans="1:11" x14ac:dyDescent="0.3">
      <c r="A33" s="4" t="s">
        <v>39</v>
      </c>
      <c r="B33" s="5" t="s">
        <v>122</v>
      </c>
      <c r="C33" s="4" t="s">
        <v>44</v>
      </c>
      <c r="D33" s="4" t="s">
        <v>84</v>
      </c>
      <c r="E33" s="2">
        <v>0</v>
      </c>
      <c r="F33" s="2">
        <v>1</v>
      </c>
      <c r="G33" s="2">
        <v>0</v>
      </c>
      <c r="H33" s="2">
        <v>1</v>
      </c>
      <c r="I33" s="2">
        <v>0</v>
      </c>
      <c r="J33" s="2">
        <v>0</v>
      </c>
      <c r="K33" s="2">
        <v>0</v>
      </c>
    </row>
    <row r="34" spans="1:11" x14ac:dyDescent="0.3">
      <c r="A34" s="4" t="s">
        <v>28</v>
      </c>
      <c r="B34" s="5" t="s">
        <v>123</v>
      </c>
      <c r="C34" s="4" t="s">
        <v>81</v>
      </c>
      <c r="D34" s="4" t="s">
        <v>58</v>
      </c>
      <c r="E34" s="2">
        <v>0</v>
      </c>
      <c r="F34" s="2">
        <v>1</v>
      </c>
      <c r="G34" s="2">
        <v>0</v>
      </c>
      <c r="H34" s="2">
        <v>0</v>
      </c>
      <c r="I34" s="2">
        <v>0</v>
      </c>
      <c r="J34" s="2">
        <v>0</v>
      </c>
      <c r="K34" s="2">
        <v>0</v>
      </c>
    </row>
    <row r="35" spans="1:11" x14ac:dyDescent="0.3">
      <c r="A35" s="4" t="s">
        <v>73</v>
      </c>
      <c r="B35" s="5" t="s">
        <v>124</v>
      </c>
      <c r="C35" s="4" t="s">
        <v>44</v>
      </c>
      <c r="D35" s="4" t="s">
        <v>84</v>
      </c>
      <c r="E35" s="2">
        <v>0</v>
      </c>
      <c r="F35" s="2">
        <v>0</v>
      </c>
      <c r="G35" s="2">
        <v>0</v>
      </c>
      <c r="H35" s="2">
        <v>0</v>
      </c>
      <c r="I35" s="2">
        <v>0</v>
      </c>
      <c r="J35" s="2">
        <v>0</v>
      </c>
      <c r="K35" s="2">
        <v>0</v>
      </c>
    </row>
    <row r="36" spans="1:11" x14ac:dyDescent="0.3">
      <c r="A36" s="4" t="s">
        <v>76</v>
      </c>
      <c r="B36" s="5" t="s">
        <v>125</v>
      </c>
      <c r="C36" s="4" t="s">
        <v>55</v>
      </c>
      <c r="D36" s="4" t="s">
        <v>68</v>
      </c>
      <c r="E36" s="2">
        <v>0</v>
      </c>
      <c r="F36" s="2">
        <v>1</v>
      </c>
      <c r="G36" s="2">
        <v>0</v>
      </c>
      <c r="H36" s="2">
        <v>1</v>
      </c>
      <c r="I36" s="2">
        <v>0</v>
      </c>
      <c r="J36" s="2">
        <v>0</v>
      </c>
      <c r="K36" s="2">
        <v>0</v>
      </c>
    </row>
    <row r="37" spans="1:11" x14ac:dyDescent="0.3">
      <c r="A37" s="4" t="s">
        <v>41</v>
      </c>
      <c r="B37" s="5" t="s">
        <v>126</v>
      </c>
      <c r="C37" s="4" t="s">
        <v>81</v>
      </c>
      <c r="D37" s="4" t="s">
        <v>84</v>
      </c>
      <c r="E37" s="2">
        <v>1</v>
      </c>
      <c r="F37" s="2">
        <v>0</v>
      </c>
      <c r="G37" s="2">
        <v>0</v>
      </c>
      <c r="H37" s="2">
        <v>0</v>
      </c>
      <c r="I37" s="2">
        <v>0</v>
      </c>
      <c r="J37" s="2">
        <v>0</v>
      </c>
      <c r="K37" s="2">
        <v>0</v>
      </c>
    </row>
    <row r="38" spans="1:11" x14ac:dyDescent="0.3">
      <c r="A38" s="4" t="s">
        <v>70</v>
      </c>
      <c r="B38" s="5" t="s">
        <v>127</v>
      </c>
      <c r="C38" s="4" t="s">
        <v>46</v>
      </c>
      <c r="D38" s="4" t="s">
        <v>30</v>
      </c>
      <c r="E38" s="2">
        <v>0</v>
      </c>
      <c r="F38" s="2">
        <v>1</v>
      </c>
      <c r="G38" s="2">
        <v>0</v>
      </c>
      <c r="H38" s="2">
        <v>1</v>
      </c>
      <c r="I38" s="2">
        <v>0</v>
      </c>
      <c r="J38" s="2">
        <v>0</v>
      </c>
      <c r="K38" s="2">
        <v>0</v>
      </c>
    </row>
    <row r="39" spans="1:11" x14ac:dyDescent="0.3">
      <c r="A39" s="4" t="s">
        <v>24</v>
      </c>
      <c r="B39" s="5" t="s">
        <v>128</v>
      </c>
      <c r="C39" s="4" t="s">
        <v>46</v>
      </c>
      <c r="D39" s="4" t="s">
        <v>84</v>
      </c>
      <c r="E39" s="2">
        <v>1</v>
      </c>
      <c r="F39" s="2">
        <v>0</v>
      </c>
      <c r="G39" s="2">
        <v>0</v>
      </c>
      <c r="H39" s="2">
        <v>0</v>
      </c>
      <c r="I39" s="2">
        <v>0</v>
      </c>
      <c r="J39" s="2">
        <v>0</v>
      </c>
      <c r="K39" s="2">
        <v>0</v>
      </c>
    </row>
    <row r="40" spans="1:11" x14ac:dyDescent="0.3">
      <c r="A40" s="4" t="s">
        <v>80</v>
      </c>
      <c r="B40" s="5" t="s">
        <v>129</v>
      </c>
      <c r="C40" s="4" t="s">
        <v>66</v>
      </c>
      <c r="D40" s="4" t="s">
        <v>58</v>
      </c>
      <c r="E40" s="2">
        <v>0</v>
      </c>
      <c r="F40" s="2">
        <v>1</v>
      </c>
      <c r="G40" s="2">
        <v>0</v>
      </c>
      <c r="H40" s="2">
        <v>1</v>
      </c>
      <c r="I40" s="2">
        <v>0</v>
      </c>
      <c r="J40" s="2">
        <v>0</v>
      </c>
      <c r="K40" s="2">
        <v>0</v>
      </c>
    </row>
    <row r="41" spans="1:11" x14ac:dyDescent="0.3">
      <c r="A41" s="4" t="s">
        <v>36</v>
      </c>
      <c r="B41" s="5" t="s">
        <v>130</v>
      </c>
      <c r="C41" s="4" t="s">
        <v>44</v>
      </c>
      <c r="D41" s="4" t="s">
        <v>84</v>
      </c>
      <c r="E41" s="2">
        <v>0</v>
      </c>
      <c r="F41" s="2">
        <v>1</v>
      </c>
      <c r="G41" s="2">
        <v>0</v>
      </c>
      <c r="H41" s="2">
        <v>0</v>
      </c>
      <c r="I41" s="2">
        <v>0</v>
      </c>
      <c r="J41" s="2">
        <v>0</v>
      </c>
      <c r="K41" s="2">
        <v>1</v>
      </c>
    </row>
    <row r="42" spans="1:11" x14ac:dyDescent="0.3">
      <c r="A42" s="4" t="s">
        <v>1</v>
      </c>
      <c r="B42" s="5" t="s">
        <v>131</v>
      </c>
      <c r="C42" s="4" t="s">
        <v>44</v>
      </c>
      <c r="D42" s="4" t="s">
        <v>56</v>
      </c>
      <c r="E42" s="2">
        <v>0</v>
      </c>
      <c r="F42" s="2">
        <v>1</v>
      </c>
      <c r="G42" s="2">
        <v>0</v>
      </c>
      <c r="H42" s="2">
        <v>1</v>
      </c>
      <c r="I42" s="2">
        <v>0</v>
      </c>
      <c r="J42" s="2">
        <v>0</v>
      </c>
      <c r="K42" s="2">
        <v>0</v>
      </c>
    </row>
    <row r="43" spans="1:11" x14ac:dyDescent="0.3">
      <c r="A43" s="4" t="s">
        <v>16</v>
      </c>
      <c r="B43" s="5" t="s">
        <v>132</v>
      </c>
      <c r="C43" s="4" t="s">
        <v>55</v>
      </c>
      <c r="D43" s="4" t="s">
        <v>68</v>
      </c>
      <c r="E43" s="2">
        <v>0</v>
      </c>
      <c r="F43" s="2">
        <v>0</v>
      </c>
      <c r="G43" s="2">
        <v>1</v>
      </c>
      <c r="H43" s="2">
        <v>0</v>
      </c>
      <c r="I43" s="2">
        <v>0</v>
      </c>
      <c r="J43" s="2">
        <v>0</v>
      </c>
      <c r="K43" s="2">
        <v>0</v>
      </c>
    </row>
    <row r="44" spans="1:11" x14ac:dyDescent="0.3">
      <c r="A44" s="4" t="s">
        <v>78</v>
      </c>
      <c r="B44" s="5" t="s">
        <v>133</v>
      </c>
      <c r="C44" s="4" t="s">
        <v>44</v>
      </c>
      <c r="D44" s="4" t="s">
        <v>84</v>
      </c>
      <c r="E44" s="2">
        <v>0</v>
      </c>
      <c r="F44" s="2">
        <v>1</v>
      </c>
      <c r="G44" s="2">
        <v>0</v>
      </c>
      <c r="H44" s="2">
        <v>1</v>
      </c>
      <c r="I44" s="2">
        <v>0</v>
      </c>
      <c r="J44" s="2">
        <v>0</v>
      </c>
      <c r="K44" s="2">
        <v>0</v>
      </c>
    </row>
    <row r="45" spans="1:11" x14ac:dyDescent="0.3">
      <c r="A45" s="4" t="s">
        <v>32</v>
      </c>
      <c r="B45" s="5" t="s">
        <v>134</v>
      </c>
      <c r="C45" s="4" t="s">
        <v>44</v>
      </c>
      <c r="D45" s="4" t="s">
        <v>68</v>
      </c>
      <c r="E45" s="2">
        <v>0</v>
      </c>
      <c r="F45" s="2">
        <v>1</v>
      </c>
      <c r="G45" s="2">
        <v>0</v>
      </c>
      <c r="H45" s="2">
        <v>1</v>
      </c>
      <c r="I45" s="2">
        <v>0</v>
      </c>
      <c r="J45" s="2">
        <v>0</v>
      </c>
      <c r="K45" s="2">
        <v>0</v>
      </c>
    </row>
    <row r="46" spans="1:11" x14ac:dyDescent="0.3">
      <c r="A46" s="4" t="s">
        <v>48</v>
      </c>
      <c r="B46" s="5" t="s">
        <v>135</v>
      </c>
      <c r="C46" s="4" t="s">
        <v>44</v>
      </c>
      <c r="D46" s="4" t="s">
        <v>56</v>
      </c>
      <c r="E46" s="2">
        <v>0</v>
      </c>
      <c r="F46" s="2">
        <v>1</v>
      </c>
      <c r="G46" s="2">
        <v>0</v>
      </c>
      <c r="H46" s="2">
        <v>1</v>
      </c>
      <c r="I46" s="2">
        <v>0</v>
      </c>
      <c r="J46" s="2">
        <v>0</v>
      </c>
      <c r="K46" s="2">
        <v>0</v>
      </c>
    </row>
    <row r="47" spans="1:11" x14ac:dyDescent="0.3">
      <c r="A47" s="4" t="s">
        <v>61</v>
      </c>
      <c r="B47" s="5" t="s">
        <v>136</v>
      </c>
      <c r="C47" s="4" t="s">
        <v>44</v>
      </c>
      <c r="D47" s="4" t="s">
        <v>84</v>
      </c>
      <c r="E47" s="2">
        <v>0</v>
      </c>
      <c r="F47" s="2">
        <v>1</v>
      </c>
      <c r="G47" s="2">
        <v>0</v>
      </c>
      <c r="H47" s="2">
        <v>0</v>
      </c>
      <c r="I47" s="2">
        <v>0</v>
      </c>
      <c r="J47" s="2">
        <v>0</v>
      </c>
      <c r="K47" s="2">
        <v>0</v>
      </c>
    </row>
    <row r="48" spans="1:11" x14ac:dyDescent="0.3">
      <c r="A48" s="4" t="s">
        <v>14</v>
      </c>
      <c r="B48" s="5" t="s">
        <v>137</v>
      </c>
      <c r="C48" s="4" t="s">
        <v>49</v>
      </c>
      <c r="D48" s="4" t="s">
        <v>68</v>
      </c>
      <c r="E48" s="2">
        <v>0</v>
      </c>
      <c r="F48" s="2">
        <v>0</v>
      </c>
      <c r="G48" s="2">
        <v>0</v>
      </c>
      <c r="H48" s="2">
        <v>0</v>
      </c>
      <c r="I48" s="2">
        <v>0</v>
      </c>
      <c r="J48" s="2">
        <v>0</v>
      </c>
      <c r="K48" s="2">
        <v>0</v>
      </c>
    </row>
    <row r="49" spans="1:11" x14ac:dyDescent="0.3">
      <c r="A49" s="4" t="s">
        <v>71</v>
      </c>
      <c r="B49" s="5" t="s">
        <v>138</v>
      </c>
      <c r="C49" s="4" t="s">
        <v>44</v>
      </c>
      <c r="D49" s="4" t="s">
        <v>84</v>
      </c>
      <c r="E49" s="2">
        <v>0</v>
      </c>
      <c r="F49" s="2">
        <v>1</v>
      </c>
      <c r="G49" s="2">
        <v>0</v>
      </c>
      <c r="H49" s="2">
        <v>0</v>
      </c>
      <c r="I49" s="2">
        <v>1</v>
      </c>
      <c r="J49" s="2">
        <v>0</v>
      </c>
      <c r="K49" s="2">
        <v>0</v>
      </c>
    </row>
    <row r="50" spans="1:11" x14ac:dyDescent="0.3">
      <c r="A50" s="4" t="s">
        <v>31</v>
      </c>
      <c r="B50" s="5" t="s">
        <v>139</v>
      </c>
      <c r="C50" s="4" t="s">
        <v>44</v>
      </c>
      <c r="D50" s="4" t="s">
        <v>84</v>
      </c>
      <c r="E50" s="2">
        <v>0</v>
      </c>
      <c r="F50" s="2">
        <v>1</v>
      </c>
      <c r="G50" s="2">
        <v>0</v>
      </c>
      <c r="H50" s="2">
        <v>0</v>
      </c>
      <c r="I50" s="2">
        <v>1</v>
      </c>
      <c r="J50" s="2">
        <v>0</v>
      </c>
      <c r="K50" s="2">
        <v>0</v>
      </c>
    </row>
    <row r="51" spans="1:11" x14ac:dyDescent="0.3">
      <c r="A51" s="4" t="s">
        <v>37</v>
      </c>
      <c r="B51" s="5" t="s">
        <v>140</v>
      </c>
      <c r="C51" s="4" t="s">
        <v>55</v>
      </c>
      <c r="D51" s="4" t="s">
        <v>68</v>
      </c>
      <c r="E51" s="2">
        <v>0</v>
      </c>
      <c r="F51" s="2">
        <v>1</v>
      </c>
      <c r="G51" s="2">
        <v>0</v>
      </c>
      <c r="H51" s="2">
        <v>0</v>
      </c>
      <c r="I51" s="2">
        <v>0</v>
      </c>
      <c r="J51" s="2">
        <v>0</v>
      </c>
      <c r="K51" s="2">
        <v>0</v>
      </c>
    </row>
    <row r="52" spans="1:11" x14ac:dyDescent="0.3">
      <c r="A52" s="4" t="s">
        <v>34</v>
      </c>
      <c r="B52" s="5" t="s">
        <v>141</v>
      </c>
      <c r="C52" s="4" t="s">
        <v>44</v>
      </c>
      <c r="D52" s="4" t="s">
        <v>84</v>
      </c>
      <c r="E52" s="2">
        <v>0</v>
      </c>
      <c r="F52" s="2">
        <v>1</v>
      </c>
      <c r="G52" s="2">
        <v>0</v>
      </c>
      <c r="H52" s="2">
        <v>0</v>
      </c>
      <c r="I52" s="2">
        <v>0</v>
      </c>
      <c r="J52" s="2">
        <v>0</v>
      </c>
      <c r="K52" s="2">
        <v>1</v>
      </c>
    </row>
    <row r="53" spans="1:11" x14ac:dyDescent="0.3">
      <c r="A53" s="4" t="s">
        <v>85</v>
      </c>
      <c r="B53" s="5" t="s">
        <v>142</v>
      </c>
      <c r="C53" s="4" t="s">
        <v>81</v>
      </c>
      <c r="D53" s="4" t="s">
        <v>84</v>
      </c>
      <c r="E53" s="2">
        <v>0</v>
      </c>
      <c r="F53" s="2">
        <v>1</v>
      </c>
      <c r="G53" s="2">
        <v>0</v>
      </c>
      <c r="H53" s="2">
        <v>0</v>
      </c>
      <c r="I53" s="2">
        <v>0</v>
      </c>
      <c r="J53" s="2">
        <v>0</v>
      </c>
      <c r="K53" s="2">
        <v>0</v>
      </c>
    </row>
    <row r="54" spans="1:11" x14ac:dyDescent="0.3">
      <c r="A54" s="4" t="s">
        <v>11</v>
      </c>
      <c r="B54" s="5" t="s">
        <v>143</v>
      </c>
      <c r="C54" s="4" t="s">
        <v>55</v>
      </c>
      <c r="D54" s="4" t="s">
        <v>68</v>
      </c>
      <c r="E54" s="2">
        <v>0</v>
      </c>
      <c r="F54" s="2">
        <v>0</v>
      </c>
      <c r="G54" s="2">
        <v>1</v>
      </c>
      <c r="H54" s="2">
        <v>0</v>
      </c>
      <c r="I54" s="2">
        <v>0</v>
      </c>
      <c r="J54" s="2">
        <v>0</v>
      </c>
      <c r="K54" s="2">
        <v>0</v>
      </c>
    </row>
    <row r="55" spans="1:11" x14ac:dyDescent="0.3">
      <c r="A55" s="4" t="s">
        <v>51</v>
      </c>
      <c r="B55" s="5" t="s">
        <v>144</v>
      </c>
      <c r="C55" s="4" t="s">
        <v>81</v>
      </c>
      <c r="D55" s="4" t="s">
        <v>58</v>
      </c>
      <c r="E55" s="2">
        <v>0</v>
      </c>
      <c r="F55" s="2">
        <v>1</v>
      </c>
      <c r="G55" s="2">
        <v>0</v>
      </c>
      <c r="H55" s="2">
        <v>0</v>
      </c>
      <c r="I55" s="2">
        <v>0</v>
      </c>
      <c r="J55" s="2">
        <v>0</v>
      </c>
      <c r="K55" s="2">
        <v>0</v>
      </c>
    </row>
    <row r="56" spans="1:11" x14ac:dyDescent="0.3">
      <c r="A56" s="4" t="s">
        <v>18</v>
      </c>
      <c r="B56" s="5" t="s">
        <v>145</v>
      </c>
      <c r="C56" s="4" t="s">
        <v>55</v>
      </c>
      <c r="D56" s="4" t="s">
        <v>58</v>
      </c>
      <c r="E56" s="2">
        <v>0</v>
      </c>
      <c r="F56" s="2">
        <v>0</v>
      </c>
      <c r="G56" s="2">
        <v>1</v>
      </c>
      <c r="H56" s="2">
        <v>0</v>
      </c>
      <c r="I56" s="2">
        <v>0</v>
      </c>
      <c r="J56" s="2">
        <v>0</v>
      </c>
      <c r="K56" s="2">
        <v>0</v>
      </c>
    </row>
    <row r="57" spans="1:11" x14ac:dyDescent="0.3">
      <c r="A57" s="4" t="s">
        <v>33</v>
      </c>
      <c r="B57" s="5" t="s">
        <v>146</v>
      </c>
      <c r="C57" s="4" t="s">
        <v>55</v>
      </c>
      <c r="D57" s="4" t="s">
        <v>84</v>
      </c>
      <c r="E57" s="2">
        <v>0</v>
      </c>
      <c r="F57" s="2">
        <v>1</v>
      </c>
      <c r="G57" s="2">
        <v>0</v>
      </c>
      <c r="H57" s="2">
        <v>0</v>
      </c>
      <c r="I57" s="2">
        <v>1</v>
      </c>
      <c r="J57" s="2">
        <v>0</v>
      </c>
      <c r="K57" s="2">
        <v>0</v>
      </c>
    </row>
    <row r="58" spans="1:11" x14ac:dyDescent="0.3">
      <c r="A58" s="4" t="s">
        <v>22</v>
      </c>
      <c r="B58" s="5" t="s">
        <v>147</v>
      </c>
      <c r="C58" s="4" t="s">
        <v>66</v>
      </c>
      <c r="D58" s="4" t="s">
        <v>30</v>
      </c>
      <c r="E58" s="2">
        <v>1</v>
      </c>
      <c r="F58" s="2">
        <v>0</v>
      </c>
      <c r="G58" s="2">
        <v>0</v>
      </c>
      <c r="H58" s="2">
        <v>0</v>
      </c>
      <c r="I58" s="2">
        <v>0</v>
      </c>
      <c r="J58" s="2">
        <v>0</v>
      </c>
      <c r="K58" s="2">
        <v>0</v>
      </c>
    </row>
    <row r="59" spans="1:11" x14ac:dyDescent="0.3">
      <c r="A59" s="4" t="s">
        <v>64</v>
      </c>
      <c r="B59" s="5" t="s">
        <v>148</v>
      </c>
      <c r="C59" s="4" t="s">
        <v>82</v>
      </c>
      <c r="D59" s="4" t="s">
        <v>68</v>
      </c>
      <c r="E59" s="2">
        <v>0</v>
      </c>
      <c r="F59" s="2">
        <v>0</v>
      </c>
      <c r="G59" s="2">
        <v>0</v>
      </c>
      <c r="H59" s="2">
        <v>0</v>
      </c>
      <c r="I59" s="2">
        <v>0</v>
      </c>
      <c r="J59" s="2">
        <v>0</v>
      </c>
      <c r="K59" s="2">
        <v>0</v>
      </c>
    </row>
    <row r="60" spans="1:11" x14ac:dyDescent="0.3">
      <c r="A60" s="4" t="s">
        <v>47</v>
      </c>
      <c r="B60" s="5" t="s">
        <v>149</v>
      </c>
      <c r="C60" s="4" t="s">
        <v>46</v>
      </c>
      <c r="D60" s="4" t="s">
        <v>84</v>
      </c>
      <c r="E60" s="2">
        <v>1</v>
      </c>
      <c r="F60" s="2">
        <v>0</v>
      </c>
      <c r="G60" s="2">
        <v>0</v>
      </c>
      <c r="H60" s="2">
        <v>0</v>
      </c>
      <c r="I60" s="2">
        <v>0</v>
      </c>
      <c r="J60" s="2">
        <v>0</v>
      </c>
      <c r="K60" s="2">
        <v>0</v>
      </c>
    </row>
    <row r="61" spans="1:11" x14ac:dyDescent="0.3">
      <c r="A61" s="4" t="s">
        <v>72</v>
      </c>
      <c r="B61" s="5" t="s">
        <v>150</v>
      </c>
      <c r="C61" s="4" t="s">
        <v>82</v>
      </c>
      <c r="D61" s="4" t="s">
        <v>68</v>
      </c>
      <c r="E61" s="2">
        <v>0</v>
      </c>
      <c r="F61" s="2">
        <v>0</v>
      </c>
      <c r="G61" s="2">
        <v>0</v>
      </c>
      <c r="H61" s="2">
        <v>0</v>
      </c>
      <c r="I61" s="2">
        <v>0</v>
      </c>
      <c r="J61" s="2">
        <v>0</v>
      </c>
      <c r="K61" s="2">
        <v>0</v>
      </c>
    </row>
    <row r="62" spans="1:11" x14ac:dyDescent="0.3">
      <c r="A62" s="4" t="s">
        <v>52</v>
      </c>
      <c r="B62" s="5" t="s">
        <v>151</v>
      </c>
      <c r="C62" s="4" t="s">
        <v>44</v>
      </c>
      <c r="D62" s="4" t="s">
        <v>84</v>
      </c>
      <c r="E62" s="2">
        <v>0</v>
      </c>
      <c r="F62" s="2">
        <v>0</v>
      </c>
      <c r="G62" s="2">
        <v>0</v>
      </c>
      <c r="H62" s="2">
        <v>0</v>
      </c>
      <c r="I62" s="2">
        <v>0</v>
      </c>
      <c r="J62" s="2">
        <v>0</v>
      </c>
      <c r="K62" s="2">
        <v>0</v>
      </c>
    </row>
    <row r="63" spans="1:11" x14ac:dyDescent="0.3">
      <c r="A63" s="4" t="s">
        <v>9</v>
      </c>
      <c r="B63" s="5" t="s">
        <v>152</v>
      </c>
      <c r="C63" s="4" t="s">
        <v>82</v>
      </c>
      <c r="D63" s="4" t="s">
        <v>68</v>
      </c>
      <c r="E63" s="2">
        <v>0</v>
      </c>
      <c r="F63" s="2">
        <v>0</v>
      </c>
      <c r="G63" s="2">
        <v>0</v>
      </c>
      <c r="H63" s="2">
        <v>0</v>
      </c>
      <c r="I63" s="2">
        <v>0</v>
      </c>
      <c r="J63" s="2">
        <v>0</v>
      </c>
      <c r="K63" s="2">
        <v>0</v>
      </c>
    </row>
    <row r="64" spans="1:11" x14ac:dyDescent="0.3">
      <c r="A64" s="4" t="s">
        <v>29</v>
      </c>
      <c r="B64" s="5" t="s">
        <v>153</v>
      </c>
      <c r="C64" s="4" t="s">
        <v>55</v>
      </c>
      <c r="D64" s="4" t="s">
        <v>68</v>
      </c>
      <c r="E64" s="2">
        <v>0</v>
      </c>
      <c r="F64" s="2">
        <v>1</v>
      </c>
      <c r="G64" s="2">
        <v>0</v>
      </c>
      <c r="H64" s="2">
        <v>1</v>
      </c>
      <c r="I64" s="2">
        <v>0</v>
      </c>
      <c r="J64" s="2">
        <v>0</v>
      </c>
      <c r="K64" s="2">
        <v>0</v>
      </c>
    </row>
    <row r="65" spans="1:11" x14ac:dyDescent="0.3">
      <c r="A65" s="4" t="s">
        <v>4</v>
      </c>
      <c r="B65" s="5" t="s">
        <v>154</v>
      </c>
      <c r="C65" s="4" t="s">
        <v>81</v>
      </c>
      <c r="D65" s="4" t="s">
        <v>84</v>
      </c>
      <c r="E65" s="2">
        <v>0</v>
      </c>
      <c r="F65" s="2">
        <v>1</v>
      </c>
      <c r="G65" s="2">
        <v>0</v>
      </c>
      <c r="H65" s="2">
        <v>1</v>
      </c>
      <c r="I65" s="2">
        <v>0</v>
      </c>
      <c r="J65" s="2">
        <v>0</v>
      </c>
      <c r="K65" s="2">
        <v>0</v>
      </c>
    </row>
    <row r="66" spans="1:11" x14ac:dyDescent="0.3">
      <c r="A66" s="4" t="s">
        <v>2</v>
      </c>
      <c r="B66" s="5" t="s">
        <v>155</v>
      </c>
      <c r="C66" s="4" t="s">
        <v>46</v>
      </c>
      <c r="D66" s="4" t="s">
        <v>56</v>
      </c>
      <c r="E66" s="2">
        <v>0</v>
      </c>
      <c r="F66" s="2">
        <v>1</v>
      </c>
      <c r="G66" s="2">
        <v>0</v>
      </c>
      <c r="H66" s="2">
        <v>0</v>
      </c>
      <c r="I66" s="2">
        <v>0</v>
      </c>
      <c r="J66" s="2">
        <v>0</v>
      </c>
      <c r="K66" s="2">
        <v>0</v>
      </c>
    </row>
    <row r="67" spans="1:11" x14ac:dyDescent="0.3">
      <c r="A67" s="4" t="s">
        <v>6</v>
      </c>
      <c r="B67" s="5" t="s">
        <v>156</v>
      </c>
      <c r="C67" s="4" t="s">
        <v>55</v>
      </c>
      <c r="D67" s="4" t="s">
        <v>30</v>
      </c>
      <c r="E67" s="2">
        <v>1</v>
      </c>
      <c r="F67" s="2">
        <v>0</v>
      </c>
      <c r="G67" s="2">
        <v>0</v>
      </c>
      <c r="H67" s="2">
        <v>0</v>
      </c>
      <c r="I67" s="2">
        <v>0</v>
      </c>
      <c r="J67" s="2">
        <v>0</v>
      </c>
      <c r="K67" s="2">
        <v>0</v>
      </c>
    </row>
    <row r="68" spans="1:11" x14ac:dyDescent="0.3">
      <c r="A68" s="4" t="s">
        <v>86</v>
      </c>
      <c r="B68" s="5" t="s">
        <v>157</v>
      </c>
      <c r="C68" s="4" t="s">
        <v>46</v>
      </c>
      <c r="D68" s="4" t="s">
        <v>56</v>
      </c>
      <c r="E68" s="2">
        <v>0</v>
      </c>
      <c r="F68" s="2">
        <v>0</v>
      </c>
      <c r="G68" s="2">
        <v>0</v>
      </c>
      <c r="H68" s="2">
        <v>0</v>
      </c>
      <c r="I68" s="2">
        <v>0</v>
      </c>
      <c r="J68" s="2">
        <v>0</v>
      </c>
      <c r="K68" s="2">
        <v>0</v>
      </c>
    </row>
    <row r="69" spans="1:11" x14ac:dyDescent="0.3">
      <c r="A69" s="4" t="s">
        <v>75</v>
      </c>
      <c r="B69" s="5" t="s">
        <v>158</v>
      </c>
      <c r="C69" s="4" t="s">
        <v>44</v>
      </c>
      <c r="D69" s="4" t="s">
        <v>30</v>
      </c>
      <c r="E69" s="2">
        <v>0</v>
      </c>
      <c r="F69" s="2">
        <v>1</v>
      </c>
      <c r="G69" s="2">
        <v>0</v>
      </c>
      <c r="H69" s="2">
        <v>0</v>
      </c>
      <c r="I69" s="2">
        <v>0</v>
      </c>
      <c r="J69" s="2">
        <v>0</v>
      </c>
      <c r="K69" s="2">
        <v>0</v>
      </c>
    </row>
    <row r="70" spans="1:11" x14ac:dyDescent="0.3">
      <c r="A70" s="4" t="s">
        <v>23</v>
      </c>
      <c r="B70" s="5" t="s">
        <v>159</v>
      </c>
      <c r="C70" s="4" t="s">
        <v>66</v>
      </c>
      <c r="D70" s="4" t="s">
        <v>56</v>
      </c>
      <c r="E70" s="2">
        <v>0</v>
      </c>
      <c r="F70" s="2">
        <v>1</v>
      </c>
      <c r="G70" s="2">
        <v>0</v>
      </c>
      <c r="H70" s="2">
        <v>1</v>
      </c>
      <c r="I70" s="2">
        <v>0</v>
      </c>
      <c r="J70" s="2">
        <v>0</v>
      </c>
      <c r="K70" s="2">
        <v>0</v>
      </c>
    </row>
    <row r="71" spans="1:11" x14ac:dyDescent="0.3">
      <c r="A71" s="4" t="s">
        <v>45</v>
      </c>
      <c r="B71" s="5" t="s">
        <v>160</v>
      </c>
      <c r="C71" s="4" t="s">
        <v>55</v>
      </c>
      <c r="D71" s="4" t="s">
        <v>68</v>
      </c>
      <c r="E71" s="2">
        <v>0</v>
      </c>
      <c r="F71" s="2">
        <v>1</v>
      </c>
      <c r="G71" s="2">
        <v>0</v>
      </c>
      <c r="H71" s="2">
        <v>1</v>
      </c>
      <c r="I71" s="2">
        <v>0</v>
      </c>
      <c r="J71" s="2">
        <v>0</v>
      </c>
      <c r="K71" s="2">
        <v>0</v>
      </c>
    </row>
    <row r="72" spans="1:11" x14ac:dyDescent="0.3">
      <c r="A72" s="4" t="s">
        <v>79</v>
      </c>
      <c r="B72" s="5" t="s">
        <v>161</v>
      </c>
      <c r="C72" s="4" t="s">
        <v>55</v>
      </c>
      <c r="D72" s="4" t="s">
        <v>56</v>
      </c>
      <c r="E72" s="2">
        <v>0</v>
      </c>
      <c r="F72" s="2">
        <v>1</v>
      </c>
      <c r="G72" s="2">
        <v>0</v>
      </c>
      <c r="H72" s="2">
        <v>1</v>
      </c>
      <c r="I72" s="2">
        <v>0</v>
      </c>
      <c r="J72" s="2">
        <v>0</v>
      </c>
      <c r="K72" s="2">
        <v>0</v>
      </c>
    </row>
    <row r="73" spans="1:11" x14ac:dyDescent="0.3">
      <c r="A73" s="4" t="s">
        <v>26</v>
      </c>
      <c r="B73" s="5" t="s">
        <v>162</v>
      </c>
      <c r="C73" s="4" t="s">
        <v>55</v>
      </c>
      <c r="D73" s="4" t="s">
        <v>68</v>
      </c>
      <c r="E73" s="2">
        <v>0</v>
      </c>
      <c r="F73" s="2">
        <v>1</v>
      </c>
      <c r="G73" s="2">
        <v>0</v>
      </c>
      <c r="H73" s="2">
        <v>0</v>
      </c>
      <c r="I73" s="2">
        <v>0</v>
      </c>
      <c r="J73" s="2">
        <v>0</v>
      </c>
      <c r="K73"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Agenda Item 5-A.1 Category</vt:lpstr>
      <vt:lpstr>Agenda Item 5-A.2 Alternatives</vt:lpstr>
      <vt:lpstr>Respondent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Jane Talatala</cp:lastModifiedBy>
  <cp:lastPrinted>2019-09-10T14:09:41Z</cp:lastPrinted>
  <dcterms:created xsi:type="dcterms:W3CDTF">2019-09-06T16:00:24Z</dcterms:created>
  <dcterms:modified xsi:type="dcterms:W3CDTF">2019-09-10T14:10:02Z</dcterms:modified>
</cp:coreProperties>
</file>