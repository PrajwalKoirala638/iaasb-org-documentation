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C:\Users\jtalatala\Desktop\IFAC\ISQM 2 NVivo Analysis\Board Papers\"/>
    </mc:Choice>
  </mc:AlternateContent>
  <xr:revisionPtr revIDLastSave="0" documentId="13_ncr:1_{5380F3E6-F496-4B39-9F92-D28798E9683F}" xr6:coauthVersionLast="41" xr6:coauthVersionMax="41" xr10:uidLastSave="{00000000-0000-0000-0000-000000000000}"/>
  <bookViews>
    <workbookView xWindow="-108" yWindow="-108" windowWidth="19416" windowHeight="10440" firstSheet="6" activeTab="8" xr2:uid="{00000000-000D-0000-FFFF-FFFF00000000}"/>
  </bookViews>
  <sheets>
    <sheet name="Agenda Item 7-A.1_Q11-Category" sheetId="6" r:id="rId1"/>
    <sheet name="Q11-Respondent by Category" sheetId="2" state="hidden" r:id="rId2"/>
    <sheet name="Agenda Item 7-A.2_Q11 Theme" sheetId="7" r:id="rId3"/>
    <sheet name="Q11-Respondent by Theme" sheetId="4" state="hidden" r:id="rId4"/>
    <sheet name="Agenda Item 7-A.3_Q4(a)Category" sheetId="9" r:id="rId5"/>
    <sheet name="Q4(a)-Respondent by Category" sheetId="8" state="hidden" r:id="rId6"/>
    <sheet name="Agenda Item 7-A.4_Q4(a)Theme" sheetId="16" r:id="rId7"/>
    <sheet name="Q4(a)-Respondent by Theme" sheetId="10" state="hidden" r:id="rId8"/>
    <sheet name="Agenda Item 7-A.5_Q4(b)Category" sheetId="13" r:id="rId9"/>
    <sheet name="Q4(b)-Respondent by Category" sheetId="12" state="hidden" r:id="rId10"/>
    <sheet name="Agenda Item 7-A.6_Q4(b)Theme" sheetId="15" r:id="rId11"/>
    <sheet name="Q4(b)-Respondent by Theme" sheetId="14" state="hidden" r:id="rId12"/>
  </sheets>
  <definedNames>
    <definedName name="_xlnm._FilterDatabase" localSheetId="1" hidden="1">'Q11-Respondent by Category'!$A$1:$I$1</definedName>
    <definedName name="_xlnm._FilterDatabase" localSheetId="3" hidden="1">'Q11-Respondent by Theme'!$A$1:$S$1</definedName>
    <definedName name="_xlnm._FilterDatabase" localSheetId="5" hidden="1">'Q4(a)-Respondent by Category'!$A$1:$I$92</definedName>
    <definedName name="_xlnm._FilterDatabase" localSheetId="7" hidden="1">'Q4(a)-Respondent by Theme'!$A$1:$AJ$1</definedName>
    <definedName name="_xlnm._FilterDatabase" localSheetId="9" hidden="1">'Q4(b)-Respondent by Category'!$A$1:$I$92</definedName>
    <definedName name="_xlnm.Print_Titles" localSheetId="0">'Agenda Item 7-A.1_Q11-Category'!$A:$A,'Agenda Item 7-A.1_Q11-Category'!$11:$12</definedName>
    <definedName name="_xlnm.Print_Titles" localSheetId="2">'Agenda Item 7-A.2_Q11 Theme'!$A:$A,'Agenda Item 7-A.2_Q11 Theme'!$9:$9</definedName>
    <definedName name="_xlnm.Print_Titles" localSheetId="4">'Agenda Item 7-A.3_Q4(a)Category'!$A:$A,'Agenda Item 7-A.3_Q4(a)Category'!$11:$12</definedName>
    <definedName name="_xlnm.Print_Titles" localSheetId="6">'Agenda Item 7-A.4_Q4(a)Theme'!$A:$A,'Agenda Item 7-A.4_Q4(a)Theme'!$9:$9</definedName>
    <definedName name="_xlnm.Print_Titles" localSheetId="8">'Agenda Item 7-A.5_Q4(b)Category'!$A:$A,'Agenda Item 7-A.5_Q4(b)Category'!$11:$12</definedName>
    <definedName name="_xlnm.Print_Titles" localSheetId="10">'Agenda Item 7-A.6_Q4(b)Theme'!$A:$A,'Agenda Item 7-A.6_Q4(b)Theme'!$9:$9</definedName>
    <definedName name="_xlnm.Print_Titles" localSheetId="1">'Q11-Respondent by Category'!$B:$B,'Q11-Respondent by Category'!$1:$1</definedName>
    <definedName name="_xlnm.Print_Titles" localSheetId="3">'Q11-Respondent by Theme'!$B:$B,'Q11-Respondent by Theme'!$1:$1</definedName>
    <definedName name="_xlnm.Print_Titles" localSheetId="5">'Q4(a)-Respondent by Category'!$B:$B,'Q4(a)-Respondent by Category'!$1:$1</definedName>
    <definedName name="_xlnm.Print_Titles" localSheetId="7">'Q4(a)-Respondent by Theme'!$B:$B,'Q4(a)-Respondent by Theme'!$1:$1</definedName>
    <definedName name="_xlnm.Print_Titles" localSheetId="9">'Q4(b)-Respondent by Category'!$B:$B,'Q4(b)-Respondent by Category'!$1:$1</definedName>
    <definedName name="_xlnm.Print_Titles" localSheetId="11">'Q4(b)-Respondent by Theme'!$B:$B,'Q4(b)-Respondent by Theme'!$1:$1</definedName>
  </definedNames>
  <calcPr calcId="191029"/>
  <pivotCaches>
    <pivotCache cacheId="9" r:id="rId13"/>
    <pivotCache cacheId="13" r:id="rId14"/>
    <pivotCache cacheId="17" r:id="rId15"/>
    <pivotCache cacheId="21" r:id="rId16"/>
    <pivotCache cacheId="25" r:id="rId17"/>
    <pivotCache cacheId="29" r:id="rId18"/>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92" i="8" l="1"/>
  <c r="I91" i="8"/>
  <c r="I90" i="8"/>
  <c r="I89" i="8"/>
  <c r="I88" i="8"/>
  <c r="I87" i="8"/>
  <c r="I86" i="8"/>
  <c r="I85" i="8"/>
  <c r="I84" i="8"/>
  <c r="I83" i="8"/>
  <c r="I82" i="8"/>
  <c r="I81" i="8"/>
  <c r="I80" i="8"/>
  <c r="I79" i="8"/>
  <c r="I78" i="8"/>
  <c r="I77" i="8"/>
  <c r="I76" i="8"/>
  <c r="I75" i="8"/>
  <c r="I74" i="8"/>
  <c r="I73" i="8"/>
  <c r="I72" i="8"/>
  <c r="I71" i="8"/>
  <c r="I70" i="8"/>
  <c r="I69" i="8"/>
  <c r="I68" i="8"/>
  <c r="I67" i="8"/>
  <c r="I66" i="8"/>
  <c r="I65" i="8"/>
  <c r="I64" i="8"/>
  <c r="I63" i="8"/>
  <c r="I62" i="8"/>
  <c r="I61" i="8"/>
  <c r="I60" i="8"/>
  <c r="I59" i="8"/>
  <c r="I58" i="8"/>
  <c r="I57" i="8"/>
  <c r="I56" i="8"/>
  <c r="I55" i="8"/>
  <c r="I54" i="8"/>
  <c r="I53" i="8"/>
  <c r="I52" i="8"/>
  <c r="I51" i="8"/>
  <c r="I50" i="8"/>
  <c r="I49" i="8"/>
  <c r="I48" i="8"/>
  <c r="I47" i="8"/>
  <c r="I46" i="8"/>
  <c r="I45" i="8"/>
  <c r="I44" i="8"/>
  <c r="I43" i="8"/>
  <c r="I42" i="8"/>
  <c r="I41" i="8"/>
  <c r="I40" i="8"/>
  <c r="I39" i="8"/>
  <c r="I38" i="8"/>
  <c r="I37" i="8"/>
  <c r="I36" i="8"/>
  <c r="I35" i="8"/>
  <c r="I34"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I2" i="8"/>
  <c r="I92" i="12" l="1"/>
  <c r="I91" i="12"/>
  <c r="I90" i="12"/>
  <c r="I89" i="12"/>
  <c r="I88" i="12"/>
  <c r="I87" i="12"/>
  <c r="I86"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56" i="12"/>
  <c r="I55" i="12"/>
  <c r="I54" i="12"/>
  <c r="I53" i="12"/>
  <c r="I52" i="12"/>
  <c r="I51" i="12"/>
  <c r="I50" i="12"/>
  <c r="I49" i="12"/>
  <c r="I48" i="12"/>
  <c r="I47" i="12"/>
  <c r="I46" i="12"/>
  <c r="I45" i="12"/>
  <c r="I44" i="12"/>
  <c r="I43" i="12"/>
  <c r="I42" i="12"/>
  <c r="I41" i="12"/>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I7" i="12"/>
  <c r="I6" i="12"/>
  <c r="I5" i="12"/>
  <c r="I4" i="12"/>
  <c r="I3" i="12"/>
  <c r="I2" i="12"/>
  <c r="E9" i="6"/>
  <c r="C9" i="13"/>
  <c r="D9" i="6"/>
  <c r="C9" i="6"/>
  <c r="B9" i="13"/>
  <c r="D9" i="13"/>
  <c r="E9" i="13"/>
  <c r="B9" i="9"/>
  <c r="C9" i="9"/>
  <c r="D9" i="9"/>
  <c r="B9" i="6"/>
  <c r="E9" i="9"/>
  <c r="F9" i="13" l="1"/>
  <c r="F9" i="9"/>
  <c r="F9" i="6"/>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alcChain>
</file>

<file path=xl/sharedStrings.xml><?xml version="1.0" encoding="utf-8"?>
<sst xmlns="http://schemas.openxmlformats.org/spreadsheetml/2006/main" count="2529" uniqueCount="486">
  <si>
    <t>49_SRA</t>
  </si>
  <si>
    <t>90_NYSSCPA</t>
  </si>
  <si>
    <t>47_PwC</t>
  </si>
  <si>
    <t>13_CAASB</t>
  </si>
  <si>
    <t>66_CAANZ-ACCA</t>
  </si>
  <si>
    <t>40_MGI</t>
  </si>
  <si>
    <t>16_CFC</t>
  </si>
  <si>
    <t>64_CalCPA</t>
  </si>
  <si>
    <t>54_OAGNZ</t>
  </si>
  <si>
    <t>86_IMCP</t>
  </si>
  <si>
    <t>18_IDW</t>
  </si>
  <si>
    <t>07_CPAB</t>
  </si>
  <si>
    <t>57_PAS</t>
  </si>
  <si>
    <t>89_NASBA</t>
  </si>
  <si>
    <t>36_KPMG</t>
  </si>
  <si>
    <t>42_MSI</t>
  </si>
  <si>
    <t>74_FSR</t>
  </si>
  <si>
    <t>46_PKFSA</t>
  </si>
  <si>
    <t>35_HM</t>
  </si>
  <si>
    <t>96_WPK</t>
  </si>
  <si>
    <t>45_PKFI</t>
  </si>
  <si>
    <t>83_IBRACON</t>
  </si>
  <si>
    <t>06_ICGN</t>
  </si>
  <si>
    <t>65_CAQ</t>
  </si>
  <si>
    <t>29_CHI</t>
  </si>
  <si>
    <t>19_JICPA</t>
  </si>
  <si>
    <t>41_MNP</t>
  </si>
  <si>
    <t>62_IBR-IRE</t>
  </si>
  <si>
    <t>99_VM</t>
  </si>
  <si>
    <t>33_EYG</t>
  </si>
  <si>
    <t>77_IEC-IAB</t>
  </si>
  <si>
    <t>78_ICAEW</t>
  </si>
  <si>
    <t>37_KI</t>
  </si>
  <si>
    <t>04_IOSCO</t>
  </si>
  <si>
    <t>84_ISCA</t>
  </si>
  <si>
    <t>11_AICPA</t>
  </si>
  <si>
    <t>97_UNSW</t>
  </si>
  <si>
    <t>71_EFAA</t>
  </si>
  <si>
    <t>28_CASI</t>
  </si>
  <si>
    <t>53_NAOM</t>
  </si>
  <si>
    <t>73_FAR</t>
  </si>
  <si>
    <t>31_DTL</t>
  </si>
  <si>
    <t>92_RICS</t>
  </si>
  <si>
    <t>02_IAIS</t>
  </si>
  <si>
    <t>30_DTTL</t>
  </si>
  <si>
    <t>95_FAAPA</t>
  </si>
  <si>
    <t>60_AE</t>
  </si>
  <si>
    <t>03_IFIAR</t>
  </si>
  <si>
    <t>51_ACAG</t>
  </si>
  <si>
    <t>91_NRF</t>
  </si>
  <si>
    <t>20_KSW</t>
  </si>
  <si>
    <t>80_ICAS</t>
  </si>
  <si>
    <t>15_CNCC-CSOEC</t>
  </si>
  <si>
    <t>94_SAICA</t>
  </si>
  <si>
    <t>48_RSMI</t>
  </si>
  <si>
    <t>87_KICPA</t>
  </si>
  <si>
    <t>70_CPAA</t>
  </si>
  <si>
    <t>22_NZAASB</t>
  </si>
  <si>
    <t>12_AUASB</t>
  </si>
  <si>
    <t>58_SNAO</t>
  </si>
  <si>
    <t>67_CICC-AIC</t>
  </si>
  <si>
    <t>21_MAASB</t>
  </si>
  <si>
    <t>88_MICPA</t>
  </si>
  <si>
    <t>Total</t>
  </si>
  <si>
    <t>93_SRO-AAS</t>
  </si>
  <si>
    <t>52_INTOSAI</t>
  </si>
  <si>
    <t>61_APESB</t>
  </si>
  <si>
    <t>59_GAO</t>
  </si>
  <si>
    <t>01_BCBS</t>
  </si>
  <si>
    <t>27_BDO</t>
  </si>
  <si>
    <t>09_IRBA</t>
  </si>
  <si>
    <t>85_ICJCE</t>
  </si>
  <si>
    <t>43_NI</t>
  </si>
  <si>
    <t>32_ETY</t>
  </si>
  <si>
    <t>39_MZRSUS</t>
  </si>
  <si>
    <t>63_CAI</t>
  </si>
  <si>
    <t>14_CICPA</t>
  </si>
  <si>
    <t>34_GTIL</t>
  </si>
  <si>
    <t>38_MZRS</t>
  </si>
  <si>
    <t>50_AGSA</t>
  </si>
  <si>
    <t>55_OAGA</t>
  </si>
  <si>
    <t>23_NBA</t>
  </si>
  <si>
    <t>72_EXPERT</t>
  </si>
  <si>
    <t>98_TAS-CAA</t>
  </si>
  <si>
    <t>44_NSW</t>
  </si>
  <si>
    <t>26_BTVK</t>
  </si>
  <si>
    <t>68_CCC-ICPARD</t>
  </si>
  <si>
    <t>81_ICASL</t>
  </si>
  <si>
    <t>76_ICPAS</t>
  </si>
  <si>
    <t>75_SMPC</t>
  </si>
  <si>
    <t>17_HKICPA</t>
  </si>
  <si>
    <t>24_SOCPA</t>
  </si>
  <si>
    <t>56_OAGC</t>
  </si>
  <si>
    <t>82_ICPAU</t>
  </si>
  <si>
    <t>05_CRUF</t>
  </si>
  <si>
    <t>69_CNDCEC</t>
  </si>
  <si>
    <t>10_IAASA</t>
  </si>
  <si>
    <t>08_FRC</t>
  </si>
  <si>
    <t>25_BTI</t>
  </si>
  <si>
    <t>79_ICAP</t>
  </si>
  <si>
    <t>Respondent</t>
  </si>
  <si>
    <t>Function</t>
  </si>
  <si>
    <t>Region</t>
  </si>
  <si>
    <t>Cases\\1 Monitoring Group\\01_BCBS</t>
  </si>
  <si>
    <t>1 Monitoring Group</t>
  </si>
  <si>
    <t>Global</t>
  </si>
  <si>
    <t>Cases\\1 Monitoring Group\\02_IAIS</t>
  </si>
  <si>
    <t>Cases\\1 Monitoring Group\\03_IFIAR</t>
  </si>
  <si>
    <t>Cases\\1 Monitoring Group\\04_IOSCO</t>
  </si>
  <si>
    <t>Cases\\2 Investors and Analysts\\05_CRUF</t>
  </si>
  <si>
    <t>2 Investors and Analysts</t>
  </si>
  <si>
    <t>Cases\\2 Investors and Analysts\\06_ICGN</t>
  </si>
  <si>
    <t>Cases\\3 Regulators and Oversight Authorities\\07_CPAB</t>
  </si>
  <si>
    <t>3 Regulators and Audit Oversight Authorities</t>
  </si>
  <si>
    <t>North America</t>
  </si>
  <si>
    <t>Cases\\3 Regulators and Oversight Authorities\\08_FRC</t>
  </si>
  <si>
    <t>Europe</t>
  </si>
  <si>
    <t>Cases\\3 Regulators and Oversight Authorities\\09_IRBA</t>
  </si>
  <si>
    <t>Middle East and Africa</t>
  </si>
  <si>
    <t>Cases\\3 Regulators and Oversight Authorities\\10_IAASA</t>
  </si>
  <si>
    <t>Cases\\4 National Auditing Standard Setters\\11_AICPA</t>
  </si>
  <si>
    <t>4 National Auditing Standard Setters</t>
  </si>
  <si>
    <t>Cases\\4 National Auditing Standard Setters\\12_AUASB</t>
  </si>
  <si>
    <t>Asia Pacific</t>
  </si>
  <si>
    <t>Cases\\4 National Auditing Standard Setters\\13_CAASB</t>
  </si>
  <si>
    <t>Cases\\4 National Auditing Standard Setters\\14_CICPA</t>
  </si>
  <si>
    <t>Cases\\4 National Auditing Standard Setters\\15_CNCC-CSOEC</t>
  </si>
  <si>
    <t>Cases\\4 National Auditing Standard Setters\\16_CFC</t>
  </si>
  <si>
    <t>South America</t>
  </si>
  <si>
    <t>Cases\\4 National Auditing Standard Setters\\17_HKICPA</t>
  </si>
  <si>
    <t>Cases\\4 National Auditing Standard Setters\\18_IDW</t>
  </si>
  <si>
    <t>Cases\\4 National Auditing Standard Setters\\19_JICPA</t>
  </si>
  <si>
    <t>Cases\\4 National Auditing Standard Setters\\20_KSW</t>
  </si>
  <si>
    <t>Cases\\4 National Auditing Standard Setters\\21_MAASB</t>
  </si>
  <si>
    <t>Cases\\4 National Auditing Standard Setters\\22_NZAASB</t>
  </si>
  <si>
    <t>Cases\\4 National Auditing Standard Setters\\23_NBA</t>
  </si>
  <si>
    <t>Cases\\4 National Auditing Standard Setters\\24_SOCPA</t>
  </si>
  <si>
    <t>Cases\\5 Accounting Firms\\25_BTI</t>
  </si>
  <si>
    <t>5 Accounting Firms</t>
  </si>
  <si>
    <t>Cases\\5 Accounting Firms\\26_BTVK</t>
  </si>
  <si>
    <t>Cases\\5 Accounting Firms\\27_BDO</t>
  </si>
  <si>
    <t>Cases\\5 Accounting Firms\\28_CASI</t>
  </si>
  <si>
    <t>Cases\\5 Accounting Firms\\29_CHI</t>
  </si>
  <si>
    <t>Cases\\5 Accounting Firms\\30_DTTL</t>
  </si>
  <si>
    <t>Cases\\5 Accounting Firms\\31_DTL</t>
  </si>
  <si>
    <t>Cases\\5 Accounting Firms\\32_ETY</t>
  </si>
  <si>
    <t>Cases\\5 Accounting Firms\\33_EYG</t>
  </si>
  <si>
    <t>Cases\\5 Accounting Firms\\34_GTIL</t>
  </si>
  <si>
    <t>Cases\\5 Accounting Firms\\35_HM</t>
  </si>
  <si>
    <t>Cases\\5 Accounting Firms\\36_KPMG</t>
  </si>
  <si>
    <t>Cases\\5 Accounting Firms\\37_KI</t>
  </si>
  <si>
    <t>Cases\\5 Accounting Firms\\38_MZRS</t>
  </si>
  <si>
    <t>Cases\\5 Accounting Firms\\39_MZRSUS</t>
  </si>
  <si>
    <t>Cases\\5 Accounting Firms\\40_MGI</t>
  </si>
  <si>
    <t>Cases\\5 Accounting Firms\\41_MNP</t>
  </si>
  <si>
    <t>Cases\\5 Accounting Firms\\42_MSI</t>
  </si>
  <si>
    <t>Cases\\5 Accounting Firms\\43_NI</t>
  </si>
  <si>
    <t>Cases\\5 Accounting Firms\\44_NSW</t>
  </si>
  <si>
    <t>Cases\\5 Accounting Firms\\45_PKFI</t>
  </si>
  <si>
    <t>Cases\\5 Accounting Firms\\46_PKFSA</t>
  </si>
  <si>
    <t>Cases\\5 Accounting Firms\\47_PwC</t>
  </si>
  <si>
    <t>Cases\\5 Accounting Firms\\48_RSMI</t>
  </si>
  <si>
    <t>Cases\\5 Accounting Firms\\49_SRA</t>
  </si>
  <si>
    <t>Cases\\6 Public Sector Organizations\\50_AGSA</t>
  </si>
  <si>
    <t>6 Public Sector Organizations</t>
  </si>
  <si>
    <t>Cases\\6 Public Sector Organizations\\51_ACAG</t>
  </si>
  <si>
    <t>Cases\\6 Public Sector Organizations\\52_INTOSAI</t>
  </si>
  <si>
    <t>Cases\\6 Public Sector Organizations\\53_NAOM</t>
  </si>
  <si>
    <t>Cases\\6 Public Sector Organizations\\54_OAGNZ</t>
  </si>
  <si>
    <t>Cases\\6 Public Sector Organizations\\55_OAGA</t>
  </si>
  <si>
    <t>Cases\\6 Public Sector Organizations\\56_OAGC</t>
  </si>
  <si>
    <t>Cases\\6 Public Sector Organizations\\57_PAS</t>
  </si>
  <si>
    <t>Cases\\6 Public Sector Organizations\\58_SNAO</t>
  </si>
  <si>
    <t>Cases\\6 Public Sector Organizations\\59_GAO</t>
  </si>
  <si>
    <t>Cases\\7 Member Bodies and Other Professional Organizations\\60_AE</t>
  </si>
  <si>
    <t>7 Member Bodies and Other Professional Organizations</t>
  </si>
  <si>
    <t>Cases\\7 Member Bodies and Other Professional Organizations\\61_APESB</t>
  </si>
  <si>
    <t>Cases\\7 Member Bodies and Other Professional Organizations\\62_IBR-IRE</t>
  </si>
  <si>
    <t>Cases\\7 Member Bodies and Other Professional Organizations\\63_CAI</t>
  </si>
  <si>
    <t>Cases\\7 Member Bodies and Other Professional Organizations\\64_CalCPA</t>
  </si>
  <si>
    <t>Cases\\7 Member Bodies and Other Professional Organizations\\65_CAQ</t>
  </si>
  <si>
    <t>Cases\\7 Member Bodies and Other Professional Organizations\\66_CAANZ-ACCA</t>
  </si>
  <si>
    <t>Cases\\7 Member Bodies and Other Professional Organizations\\67_CICC-AIC</t>
  </si>
  <si>
    <t>Cases\\7 Member Bodies and Other Professional Organizations\\68_CCC-ICPARD</t>
  </si>
  <si>
    <t>Cases\\7 Member Bodies and Other Professional Organizations\\69_CNDCEC</t>
  </si>
  <si>
    <t>Cases\\7 Member Bodies and Other Professional Organizations\\70_CPAA</t>
  </si>
  <si>
    <t>Cases\\7 Member Bodies and Other Professional Organizations\\71_EFAA</t>
  </si>
  <si>
    <t>Cases\\7 Member Bodies and Other Professional Organizations\\72_EXPERT</t>
  </si>
  <si>
    <t>Cases\\7 Member Bodies and Other Professional Organizations\\73_FAR</t>
  </si>
  <si>
    <t>Cases\\7 Member Bodies and Other Professional Organizations\\74_FSR</t>
  </si>
  <si>
    <t>Cases\\7 Member Bodies and Other Professional Organizations\\75_SMPC</t>
  </si>
  <si>
    <t>Cases\\7 Member Bodies and Other Professional Organizations\\76_ICPAS</t>
  </si>
  <si>
    <t>Cases\\7 Member Bodies and Other Professional Organizations\\77_IEC-IAB</t>
  </si>
  <si>
    <t>Cases\\7 Member Bodies and Other Professional Organizations\\78_ICAEW</t>
  </si>
  <si>
    <t>Cases\\7 Member Bodies and Other Professional Organizations\\79_ICAP</t>
  </si>
  <si>
    <t>Cases\\7 Member Bodies and Other Professional Organizations\\80_ICAS</t>
  </si>
  <si>
    <t>Cases\\7 Member Bodies and Other Professional Organizations\\81_ICASL</t>
  </si>
  <si>
    <t>Cases\\7 Member Bodies and Other Professional Organizations\\82_ICPAU</t>
  </si>
  <si>
    <t>Cases\\7 Member Bodies and Other Professional Organizations\\83_IBRACON</t>
  </si>
  <si>
    <t>Cases\\7 Member Bodies and Other Professional Organizations\\84_ISCA</t>
  </si>
  <si>
    <t>Cases\\7 Member Bodies and Other Professional Organizations\\85_ICJCE</t>
  </si>
  <si>
    <t>Cases\\7 Member Bodies and Other Professional Organizations\\86_IMCP</t>
  </si>
  <si>
    <t>Cases\\7 Member Bodies and Other Professional Organizations\\87_KICPA</t>
  </si>
  <si>
    <t>Cases\\7 Member Bodies and Other Professional Organizations\\88_MICPA</t>
  </si>
  <si>
    <t>Cases\\7 Member Bodies and Other Professional Organizations\\89_NASBA</t>
  </si>
  <si>
    <t>Cases\\7 Member Bodies and Other Professional Organizations\\90_NYSSCPA</t>
  </si>
  <si>
    <t>Cases\\7 Member Bodies and Other Professional Organizations\\91_NRF</t>
  </si>
  <si>
    <t>Cases\\7 Member Bodies and Other Professional Organizations\\92_RICS</t>
  </si>
  <si>
    <t>Cases\\7 Member Bodies and Other Professional Organizations\\93_SRO-AAS</t>
  </si>
  <si>
    <t>Cases\\7 Member Bodies and Other Professional Organizations\\94_SAICA</t>
  </si>
  <si>
    <t>Cases\\7 Member Bodies and Other Professional Organizations\\95_FAAPA</t>
  </si>
  <si>
    <t>Cases\\7 Member Bodies and Other Professional Organizations\\96_WPK</t>
  </si>
  <si>
    <t>Cases\\8 Academics\\97_UNSW</t>
  </si>
  <si>
    <t>8 Academics</t>
  </si>
  <si>
    <t>Cases\\9 Individuals and Others\\98_TAS-CAA</t>
  </si>
  <si>
    <t>9 Individuals and Others</t>
  </si>
  <si>
    <t>Cases\\9 Individuals and Others\\99_VM</t>
  </si>
  <si>
    <t>Case No._Respondent Acronym</t>
  </si>
  <si>
    <t>Agree</t>
  </si>
  <si>
    <t>Agree but with further comments</t>
  </si>
  <si>
    <t>Disagree</t>
  </si>
  <si>
    <t>Unclear or no specific response or refer to other respondent's views</t>
  </si>
  <si>
    <t>Legend:</t>
  </si>
  <si>
    <t>Sum of Agree</t>
  </si>
  <si>
    <t>Grand Total</t>
  </si>
  <si>
    <t>Sum of Agree but with further comments</t>
  </si>
  <si>
    <t>Sum of Disagree</t>
  </si>
  <si>
    <t>Sum of Unclear or no specific response or refer to other respondent's views</t>
  </si>
  <si>
    <t>NVivo MS Word Report Reference:</t>
  </si>
  <si>
    <r>
      <rPr>
        <b/>
        <sz val="10"/>
        <color theme="1"/>
        <rFont val="Arial"/>
        <family val="2"/>
      </rPr>
      <t>ISQM 1_Q11:</t>
    </r>
    <r>
      <rPr>
        <sz val="10"/>
        <color theme="1"/>
        <rFont val="Arial"/>
        <family val="2"/>
      </rPr>
      <t xml:space="preserve"> Do you agree with the proposals addressing the scope of engagements that should be subject to an engagement quality review? In your view, will the requirements result in the proper identification of engagements to be subject an engagement quality review?</t>
    </r>
  </si>
  <si>
    <t>01 EQ reviews should be mandated for internationally active banks or insurers, particularly those with significant scale</t>
  </si>
  <si>
    <t>02 Concerns over inconsistency in application of SPI versus PIE concept, including lack of definition of SPI</t>
  </si>
  <si>
    <t>03 Clarification in application material or additional guidance on SPI</t>
  </si>
  <si>
    <t>04 Guidance in para. A102 of ED-ISQM 1 is unclear whether the concept includes all or only certain types of entities</t>
  </si>
  <si>
    <t>05 Need to describe how SPI relates to PIE in the IESBA Code</t>
  </si>
  <si>
    <t>06 Need to consider jurisdictional requirements that may already address SPI</t>
  </si>
  <si>
    <t>07 Implementation challenges for the public sector</t>
  </si>
  <si>
    <t>01 ED-ISQM 1 already requires a risk-based approach to determining engagements subject to an EQ review</t>
  </si>
  <si>
    <t>02 EQ reviews should be mandatory only for listed entities and when prescribed by law or regulation</t>
  </si>
  <si>
    <t>03 Will not result in a proper identification of engagements in the public sector</t>
  </si>
  <si>
    <t>04 Certain respondents seemed to misunderstand the concept of SPI (e.g., read it to mean PIE or would be translated as such)</t>
  </si>
  <si>
    <t>N/A</t>
  </si>
  <si>
    <t>Sum of Total</t>
  </si>
  <si>
    <t>Sum of 01 EQ reviews should be mandated for internationally active banks or insurers, particularly those with significant scale</t>
  </si>
  <si>
    <t>Sum of 02 Concerns over inconsistency in application of SPI versus PIE concept, including lack of definition of SPI</t>
  </si>
  <si>
    <t>Sum of 04 Guidance in para. A102 of ED-ISQM 1 is unclear whether the concept includes all or only certain types of entities</t>
  </si>
  <si>
    <t>Sum of 05 Need to describe how SPI relates to PIE in the IESBA Code</t>
  </si>
  <si>
    <t>Sum of 06 Need to consider jurisdictional requirements that may already address SPI</t>
  </si>
  <si>
    <t>Sum of 07 Implementation challenges for the public sector</t>
  </si>
  <si>
    <t>Sum of 01 ED-ISQM 1 already requires a risk-based approach to determining engagements subject to an EQ review</t>
  </si>
  <si>
    <t>Sum of 02 EQ reviews should be mandatory only for listed entities and when prescribed by law or regulation</t>
  </si>
  <si>
    <t>Sum of 03 Will not result in a proper identification of engagements in the public sector</t>
  </si>
  <si>
    <t>Sum of 04 Certain respondents seemed to misunderstand the concept of SPI (e.g., read it to mean PIE or would be translated as such)</t>
  </si>
  <si>
    <t>Cases\\1 Monitoring Group\\01_ISQM 2_BCBS</t>
  </si>
  <si>
    <t>Cases\\1 Monitoring Group\\02_ISQM 2_IAIS</t>
  </si>
  <si>
    <t>Cases\\1 Monitoring Group\\03_ISQM 2_IFIAR</t>
  </si>
  <si>
    <t>Cases\\1 Monitoring Group\\04_ISQM 2_IOSCO</t>
  </si>
  <si>
    <t>Cases\\2 Investors and Analysts\\05_ISQM 2_ICGN</t>
  </si>
  <si>
    <t>Cases\\3 Regulators and Oversight Authorities\\06_ISQM 2_CPAB</t>
  </si>
  <si>
    <t>Cases\\3 Regulators and Oversight Authorities\\07_ISQM 2_FRC</t>
  </si>
  <si>
    <t>Cases\\3 Regulators and Oversight Authorities\\08_ISQM 2_IRBA</t>
  </si>
  <si>
    <t>Cases\\3 Regulators and Oversight Authorities\\09_ISQM 2_IAASA</t>
  </si>
  <si>
    <t>Cases\\4 National Auditing Standard Setters\\10_ISQM 2_AICPA</t>
  </si>
  <si>
    <t>Cases\\4 National Auditing Standard Setters\\11_ISQM 2_AUASB</t>
  </si>
  <si>
    <t>Cases\\4 National Auditing Standard Setters\\12_ISQM 2_CAASB</t>
  </si>
  <si>
    <t>Cases\\4 National Auditing Standard Setters\\13_ISQM 2_CICPA</t>
  </si>
  <si>
    <t>Cases\\4 National Auditing Standard Setters\\14_ISQM 2_CNCC-CSOEC</t>
  </si>
  <si>
    <t>Cases\\4 National Auditing Standard Setters\\15_ISQM 2_CFC</t>
  </si>
  <si>
    <t>Cases\\4 National Auditing Standard Setters\\16_ISQM 2_HKICPA</t>
  </si>
  <si>
    <t>Cases\\4 National Auditing Standard Setters\\17_ISQM 2_IDW</t>
  </si>
  <si>
    <t>Cases\\4 National Auditing Standard Setters\\18_ISQM 2_JICPA</t>
  </si>
  <si>
    <t>Cases\\4 National Auditing Standard Setters\\19_ISQM 2_KSW</t>
  </si>
  <si>
    <t>Cases\\4 National Auditing Standard Setters\\20_ISQM 2_MAASB</t>
  </si>
  <si>
    <t>Cases\\4 National Auditing Standard Setters\\21_ISQM 2_NZAASB</t>
  </si>
  <si>
    <t>Cases\\4 National Auditing Standard Setters\\22_ISQM 2_NBA</t>
  </si>
  <si>
    <t>Cases\\5 Accounting Firms\\23_ISQM 2_BTI</t>
  </si>
  <si>
    <t>Cases\\5 Accounting Firms\\24_ISQM 2_BTVK</t>
  </si>
  <si>
    <t>Cases\\5 Accounting Firms\\25_ISQM 2_BDO</t>
  </si>
  <si>
    <t>Cases\\5 Accounting Firms\\26_ISQM 2_CASI</t>
  </si>
  <si>
    <t>Cases\\5 Accounting Firms\\27_ISQM 2_CHI</t>
  </si>
  <si>
    <t>Cases\\5 Accounting Firms\\28_ISQM 2_DTTL</t>
  </si>
  <si>
    <t>Cases\\5 Accounting Firms\\29_ISQM 2_DTL</t>
  </si>
  <si>
    <t>Cases\\5 Accounting Firms\\30_ISQM 2_ETY</t>
  </si>
  <si>
    <t>Cases\\5 Accounting Firms\\31_ISQM 2_EYG</t>
  </si>
  <si>
    <t>Cases\\5 Accounting Firms\\32_ISQM 2_GTIL</t>
  </si>
  <si>
    <t>Cases\\5 Accounting Firms\\33_ISQM 2_HM</t>
  </si>
  <si>
    <t>Cases\\5 Accounting Firms\\34_ISQM 2_KPMG</t>
  </si>
  <si>
    <t>Cases\\5 Accounting Firms\\35_ISQM 2_KI</t>
  </si>
  <si>
    <t>Cases\\5 Accounting Firms\\36_ISQM 2_MZRS</t>
  </si>
  <si>
    <t>Cases\\5 Accounting Firms\\37_ISQM 2_MZRSUS</t>
  </si>
  <si>
    <t>Cases\\5 Accounting Firms\\38_ISQM 2_MNP</t>
  </si>
  <si>
    <t>Cases\\5 Accounting Firms\\39_ISQM 2_MSI</t>
  </si>
  <si>
    <t>Cases\\5 Accounting Firms\\40_ISQM 2_NI</t>
  </si>
  <si>
    <t>Cases\\5 Accounting Firms\\41_ISQM 2_NSW</t>
  </si>
  <si>
    <t>Cases\\5 Accounting Firms\\42_ISQM 2_PKFI</t>
  </si>
  <si>
    <t>Cases\\5 Accounting Firms\\43_ISQM2_PKFSA</t>
  </si>
  <si>
    <t>Cases\\5 Accounting Firms\\44_ISQM 2_PwC</t>
  </si>
  <si>
    <t>Cases\\5 Accounting Firms\\45_ISQM 2_RSMI</t>
  </si>
  <si>
    <t>Cases\\6 Public Sector Organizations\\46_ISQM 2_AGSA</t>
  </si>
  <si>
    <t>Cases\\6 Public Sector Organizations\\47_ISQM 2_ACAG</t>
  </si>
  <si>
    <t>Cases\\6 Public Sector Organizations\\48_ISQM 2_INTOSAI</t>
  </si>
  <si>
    <t>Cases\\6 Public Sector Organizations\\49_ISQM 2_NAOM</t>
  </si>
  <si>
    <t>Cases\\6 Public Sector Organizations\\50_ISQM 2_OAGNZ</t>
  </si>
  <si>
    <t>Cases\\6 Public Sector Organizations\\51_ISQM 2_OAGA</t>
  </si>
  <si>
    <t>Cases\\6 Public Sector Organizations\\52_ISQM 2_OAGC</t>
  </si>
  <si>
    <t>Cases\\6 Public Sector Organizations\\53_ISQM 2_PAS</t>
  </si>
  <si>
    <t>Cases\\6 Public Sector Organizations\\54_ISQM 2_SNAO</t>
  </si>
  <si>
    <t>Cases\\6 Public Sector Organizations\\55_ISQM 2_GAO</t>
  </si>
  <si>
    <t>Cases\\7 Member Bodies and Other Professional Organizations\\56_ISQM 2_AE</t>
  </si>
  <si>
    <t>Cases\\7 Member Bodies and Other Professional Organizations\\57_ISQM 2_APESB</t>
  </si>
  <si>
    <t>Cases\\7 Member Bodies and Other Professional Organizations\\58_ISQM 2_IBR-IRE</t>
  </si>
  <si>
    <t>Cases\\7 Member Bodies and Other Professional Organizations\\59_ISQM 2_BICA</t>
  </si>
  <si>
    <t>Cases\\7 Member Bodies and Other Professional Organizations\\60_ISQM 2_CAI</t>
  </si>
  <si>
    <t>Cases\\7 Member Bodies and Other Professional Organizations\\61_ISQM 2_CalCPA</t>
  </si>
  <si>
    <t>Cases\\7 Member Bodies and Other Professional Organizations\\62_ISQM 2_CAQ</t>
  </si>
  <si>
    <t>Cases\\7 Member Bodies and Other Professional Organizations\\63_ISQM 2_CAANZ-ACCA</t>
  </si>
  <si>
    <t>Cases\\7 Member Bodies and Other Professional Organizations\\64_ISQM 2_CICC-AIC</t>
  </si>
  <si>
    <t>Cases\\7 Member Bodies and Other Professional Organizations\\65_ISQM 2_CCC-ICPARD</t>
  </si>
  <si>
    <t>Cases\\7 Member Bodies and Other Professional Organizations\\66_ISQM 2_CPAA</t>
  </si>
  <si>
    <t>Cases\\7 Member Bodies and Other Professional Organizations\\67_ISQM 2_EXPERT</t>
  </si>
  <si>
    <t>Cases\\7 Member Bodies and Other Professional Organizations\\68_ISQM 2_FAR</t>
  </si>
  <si>
    <t>Cases\\7 Member Bodies and Other Professional Organizations\\69_ISQM 2_FACPCE</t>
  </si>
  <si>
    <t>Cases\\7 Member Bodies and Other Professional Organizations\\70_ISQM 2_FSR</t>
  </si>
  <si>
    <t>Cases\\7 Member Bodies and Other Professional Organizations\\71_ISQM 2_SMPC</t>
  </si>
  <si>
    <t>Cases\\7 Member Bodies and Other Professional Organizations\\72_ISQM 2_ICPAS</t>
  </si>
  <si>
    <t>Cases\\7 Member Bodies and Other Professional Organizations\\73_ISQM 2_IEC-IAB</t>
  </si>
  <si>
    <t>Cases\\7 Member Bodies and Other Professional Organizations\\74_ISQM 2_ICAEW</t>
  </si>
  <si>
    <t>Cases\\7 Member Bodies and Other Professional Organizations\\75_ISQM 2_ICAP</t>
  </si>
  <si>
    <t>Cases\\7 Member Bodies and Other Professional Organizations\\76_ISQM 2_ICAS</t>
  </si>
  <si>
    <t>Cases\\7 Member Bodies and Other Professional Organizations\\77_ISQM 2_ICPAU</t>
  </si>
  <si>
    <t>Cases\\7 Member Bodies and Other Professional Organizations\\78_ISQM 2_IBRACON</t>
  </si>
  <si>
    <t>Cases\\7 Member Bodies and Other Professional Organizations\\79_ISQM 2_ISCA</t>
  </si>
  <si>
    <t>Cases\\7 Member Bodies and Other Professional Organizations\\80_ISQM 2_ICJCE</t>
  </si>
  <si>
    <t>Cases\\7 Member Bodies and Other Professional Organizations\\81_ISQM 2_IMCP</t>
  </si>
  <si>
    <t>Cases\\7 Member Bodies and Other Professional Organizations\\82_ISQM 2_KICPA</t>
  </si>
  <si>
    <t>Cases\\7 Member Bodies and Other Professional Organizations\\83_ISQM 2_MICPA</t>
  </si>
  <si>
    <t>Cases\\7 Member Bodies and Other Professional Organizations\\84_ISQM 2_NASBA</t>
  </si>
  <si>
    <t>Cases\\7 Member Bodies and Other Professional Organizations\\85_ISQM 2_ NYSSCPA</t>
  </si>
  <si>
    <t>Cases\\7 Member Bodies and Other Professional Organizations\\86_ISQM 2_NRF</t>
  </si>
  <si>
    <t>Cases\\7 Member Bodies and Other Professional Organizations\\87_ISQM 2_SRO-AAS</t>
  </si>
  <si>
    <t>Cases\\7 Member Bodies and Other Professional Organizations\\88_ISQM 2_SAICA</t>
  </si>
  <si>
    <t>Cases\\7 Member Bodies and Other Professional Organizations\\89_ISQM 2_WPK</t>
  </si>
  <si>
    <t>Cases\\8 Individuals and Others\\90_ISQM 2_TAS-CAA</t>
  </si>
  <si>
    <t>8 Individuals and Others</t>
  </si>
  <si>
    <t>Cases\\8 Individuals and Others\\91_ISQM 2_VM</t>
  </si>
  <si>
    <t>01_ISQM 2_BCBS</t>
  </si>
  <si>
    <t>02_ISQM 2_IAIS</t>
  </si>
  <si>
    <t>03_ISQM 2_IFIAR</t>
  </si>
  <si>
    <t>04_ISQM 2_IOSCO</t>
  </si>
  <si>
    <t>05_ISQM 2_ICGN</t>
  </si>
  <si>
    <t>06_ISQM 2_CPAB</t>
  </si>
  <si>
    <t>07_ISQM 2_FRC</t>
  </si>
  <si>
    <t>08_ISQM 2_IRBA</t>
  </si>
  <si>
    <t>09_ISQM 2_IAASA</t>
  </si>
  <si>
    <t>10_ISQM 2_AICPA</t>
  </si>
  <si>
    <t>11_ISQM 2_AUASB</t>
  </si>
  <si>
    <t>12_ISQM 2_CAASB</t>
  </si>
  <si>
    <t>13_ISQM 2_CICPA</t>
  </si>
  <si>
    <t>14_ISQM 2_CNCC-CSOEC</t>
  </si>
  <si>
    <t>15_ISQM 2_CFC</t>
  </si>
  <si>
    <t>16_ISQM 2_HKICPA</t>
  </si>
  <si>
    <t>17_ISQM 2_IDW</t>
  </si>
  <si>
    <t>18_ISQM 2_JICPA</t>
  </si>
  <si>
    <t>19_ISQM 2_KSW</t>
  </si>
  <si>
    <t>20_ISQM 2_MAASB</t>
  </si>
  <si>
    <t>21_ISQM 2_NZAASB</t>
  </si>
  <si>
    <t>22_ISQM 2_NBA</t>
  </si>
  <si>
    <t>23_ISQM 2_BTI</t>
  </si>
  <si>
    <t>24_ISQM 2_BTVK</t>
  </si>
  <si>
    <t>25_ISQM 2_BDO</t>
  </si>
  <si>
    <t>26_ISQM 2_CASI</t>
  </si>
  <si>
    <t>27_ISQM 2_CHI</t>
  </si>
  <si>
    <t>28_ISQM 2_DTTL</t>
  </si>
  <si>
    <t>29_ISQM 2_DTL</t>
  </si>
  <si>
    <t>30_ISQM 2_ETY</t>
  </si>
  <si>
    <t>31_ISQM 2_EYG</t>
  </si>
  <si>
    <t>32_ISQM 2_GTIL</t>
  </si>
  <si>
    <t>33_ISQM 2_HM</t>
  </si>
  <si>
    <t>34_ISQM 2_KPMG</t>
  </si>
  <si>
    <t>35_ISQM 2_KI</t>
  </si>
  <si>
    <t>36_ISQM 2_MZRS</t>
  </si>
  <si>
    <t>37_ISQM 2_MZRSUS</t>
  </si>
  <si>
    <t>38_ISQM 2_MNP</t>
  </si>
  <si>
    <t>39_ISQM 2_MSI</t>
  </si>
  <si>
    <t>40_ISQM 2_NI</t>
  </si>
  <si>
    <t>41_ISQM 2_NSW</t>
  </si>
  <si>
    <t>42_ISQM 2_PKFI</t>
  </si>
  <si>
    <t>43_ISQM2_PKFSA</t>
  </si>
  <si>
    <t>44_ISQM 2_PwC</t>
  </si>
  <si>
    <t>45_ISQM 2_RSMI</t>
  </si>
  <si>
    <t>46_ISQM 2_AGSA</t>
  </si>
  <si>
    <t>47_ISQM 2_ACAG</t>
  </si>
  <si>
    <t>48_ISQM 2_INTOSAI</t>
  </si>
  <si>
    <t>49_ISQM 2_NAOM</t>
  </si>
  <si>
    <t>50_ISQM 2_OAGNZ</t>
  </si>
  <si>
    <t>51_ISQM 2_OAGA</t>
  </si>
  <si>
    <t>52_ISQM 2_OAGC</t>
  </si>
  <si>
    <t>53_ISQM 2_PAS</t>
  </si>
  <si>
    <t>54_ISQM 2_SNAO</t>
  </si>
  <si>
    <t>55_ISQM 2_GAO</t>
  </si>
  <si>
    <t>56_ISQM 2_AE</t>
  </si>
  <si>
    <t>57_ISQM 2_APESB</t>
  </si>
  <si>
    <t>58_ISQM 2_IBR-IRE</t>
  </si>
  <si>
    <t>59_ISQM 2_BICA</t>
  </si>
  <si>
    <t>60_ISQM 2_CAI</t>
  </si>
  <si>
    <t>61_ISQM 2_CalCPA</t>
  </si>
  <si>
    <t>62_ISQM 2_CAQ</t>
  </si>
  <si>
    <t>63_ISQM 2_CAANZ-ACCA</t>
  </si>
  <si>
    <t>64_ISQM 2_CICC-AIC</t>
  </si>
  <si>
    <t>65_ISQM 2_CCC-ICPARD</t>
  </si>
  <si>
    <t>66_ISQM 2_CPAA</t>
  </si>
  <si>
    <t>67_ISQM 2_EXPERT</t>
  </si>
  <si>
    <t>68_ISQM 2_FAR</t>
  </si>
  <si>
    <t>69_ISQM 2_FACPCE</t>
  </si>
  <si>
    <t>70_ISQM 2_FSR</t>
  </si>
  <si>
    <t>71_ISQM 2_SMPC</t>
  </si>
  <si>
    <t>72_ISQM 2_ICPAS</t>
  </si>
  <si>
    <t>73_ISQM 2_IEC-IAB</t>
  </si>
  <si>
    <t>74_ISQM 2_ICAEW</t>
  </si>
  <si>
    <t>75_ISQM 2_ICAP</t>
  </si>
  <si>
    <t>76_ISQM 2_ICAS</t>
  </si>
  <si>
    <t>77_ISQM 2_ICPAU</t>
  </si>
  <si>
    <t>78_ISQM 2_IBRACON</t>
  </si>
  <si>
    <t>79_ISQM 2_ISCA</t>
  </si>
  <si>
    <t>80_ISQM 2_ICJCE</t>
  </si>
  <si>
    <t>81_ISQM 2_IMCP</t>
  </si>
  <si>
    <t>82_ISQM 2_KICPA</t>
  </si>
  <si>
    <t>83_ISQM 2_MICPA</t>
  </si>
  <si>
    <t>84_ISQM 2_NASBA</t>
  </si>
  <si>
    <t>85_ISQM 2_ NYSSCPA</t>
  </si>
  <si>
    <t>86_ISQM 2_NRF</t>
  </si>
  <si>
    <t>87_ISQM 2_SRO-AAS</t>
  </si>
  <si>
    <t>88_ISQM 2_SAICA</t>
  </si>
  <si>
    <t>89_ISQM 2_WPK</t>
  </si>
  <si>
    <t>90_ISQM 2_TAS-CAA</t>
  </si>
  <si>
    <t>91_ISQM 2_VM</t>
  </si>
  <si>
    <t>Case No._ISQM 2_Respondent Acronym</t>
  </si>
  <si>
    <r>
      <rPr>
        <b/>
        <sz val="10"/>
        <color theme="1"/>
        <rFont val="Arial"/>
        <family val="2"/>
      </rPr>
      <t>ISQM 2_Q4(a):</t>
    </r>
    <r>
      <rPr>
        <sz val="10"/>
        <color theme="1"/>
        <rFont val="Arial"/>
        <family val="2"/>
      </rPr>
      <t xml:space="preserve"> What are your views on the need for the guidance in proposed ISQM 2 regarding a “cooling-off” period for that individual before being able to act as the engagement quality reviewer?</t>
    </r>
  </si>
  <si>
    <t>01 Cooling-off period as requirement in ISQM 2 or in the IESBA Code</t>
  </si>
  <si>
    <t>02 Flexibility of cooling-off period depending on the nature and circumstances of the engagement</t>
  </si>
  <si>
    <t>03 Guidance on cooling-off period in para. A5 would become a de facto requirement</t>
  </si>
  <si>
    <t>04 Difficult to envision a situation where threats to objectivity can be reduced to an acceptable level</t>
  </si>
  <si>
    <t>05 More guidance on determining suitable cooling-off period will be needed to drive consistent application</t>
  </si>
  <si>
    <t>06 Guidance should also address other key audit partners or other individuals stepping into the EQ reviewer role</t>
  </si>
  <si>
    <t>07 Length of cooling-off period (e.g., firm policy, 2 yrs. or 3 yrs.)</t>
  </si>
  <si>
    <t>01 Not convinced that the EQ review would be less effective because the EQ reviewer previously served on the engagement</t>
  </si>
  <si>
    <t>02 Appear to be overemphasizing objectivity compared to competence of EQ reviewers</t>
  </si>
  <si>
    <t>03 Provisions in the IESBA Code already sufficiently deal with cooling-off periods</t>
  </si>
  <si>
    <t>04 Para. 16 and A5 are inconsistent with, or go beyond, the provisions of the IESBA Code</t>
  </si>
  <si>
    <t>Sum of 01 Cooling-off period as requirement in ISQM 2 or in the IESBA Code</t>
  </si>
  <si>
    <t>Sum of 02 Flexibility of cooling-off period depending on the nature and circumstances of the engagement</t>
  </si>
  <si>
    <t>Sum of 03 Guidance on cooling-off period in para. A5 would become a de facto requirement</t>
  </si>
  <si>
    <t>Sum of 04 Difficult to envision a situation where threats to objectivity can be reduced to an acceptable level</t>
  </si>
  <si>
    <t>Sum of 05 More guidance on determining suitable cooling-off period will be needed to drive consistent application</t>
  </si>
  <si>
    <t>Sum of 06 Guidance should also address other key audit partners or other individuals stepping into the EQ reviewer role</t>
  </si>
  <si>
    <t>Sum of 07 Length of cooling-off period (e.g., firm policy, 2 yrs. or 3 yrs.)</t>
  </si>
  <si>
    <t>Sum of 01 Not convinced that the EQ review would be less effective because the EQ reviewer previously served on the engagement</t>
  </si>
  <si>
    <t>Sum of 02 Appear to be overemphasizing objectivity compared to competence of EQ reviewers</t>
  </si>
  <si>
    <t>Sum of 03 Provisions in the IESBA Code already sufficiently deal with cooling-off periods</t>
  </si>
  <si>
    <t>Sum of 04 Para. 16 and A5 are inconsistent with, or go beyond, the provisions of the IESBA Code</t>
  </si>
  <si>
    <r>
      <rPr>
        <b/>
        <sz val="10"/>
        <color theme="1"/>
        <rFont val="Arial"/>
        <family val="2"/>
      </rPr>
      <t>ISQM 2_Q4(b):</t>
    </r>
    <r>
      <rPr>
        <sz val="10"/>
        <color theme="1"/>
        <rFont val="Arial"/>
        <family val="2"/>
      </rPr>
      <t xml:space="preserve"> If you support such guidance, do you agree that it should be located in proposed ISQM 2 as opposed to the IESBA Code?</t>
    </r>
  </si>
  <si>
    <t>01 Address in ISQM 2 as guidance or requirement</t>
  </si>
  <si>
    <t>02 Address in both ISQM 2 and the IESBA Code, or align with, or include reference to, the IESBA Code</t>
  </si>
  <si>
    <t>01 Address or already addressed in IESBA Code as guidance</t>
  </si>
  <si>
    <t>02 Address or already addressed in IESBA Code as requirement</t>
  </si>
  <si>
    <t>03 Address in IESBA Code as requirement and guidance</t>
  </si>
  <si>
    <t>Sum of 01 Address in ISQM 2 as guidance or requirement</t>
  </si>
  <si>
    <t>Sum of 02 Address in both ISQM 2 and the IESBA Code, or align with, or include reference to, the IESBA Code</t>
  </si>
  <si>
    <t>Sum of 01 Address or already addressed in IESBA Code as guidance</t>
  </si>
  <si>
    <t>Sum of 02 Address or already addressed in IESBA Code as requirement</t>
  </si>
  <si>
    <t>Sum of 03 Address in IESBA Code as requirement and guidance</t>
  </si>
  <si>
    <t>Percentage:</t>
  </si>
  <si>
    <t>Sum of 03 Clarification in application material, or additional guidance, on SPI</t>
  </si>
  <si>
    <t>Unclear or no specific response or refer to another respondent's views</t>
  </si>
  <si>
    <t>Agenda Item 7–B.1</t>
  </si>
  <si>
    <t>Agenda Item 7–B.2</t>
  </si>
  <si>
    <t>Agenda Item 7–B.3</t>
  </si>
  <si>
    <t>Agenda Item 7–B.4</t>
  </si>
  <si>
    <t>Agenda Item 7–B.5</t>
  </si>
  <si>
    <t>Agenda Item 7–B.6</t>
  </si>
  <si>
    <t>Agenda Item 7–B.7</t>
  </si>
  <si>
    <t>Agenda Item 7–B.8</t>
  </si>
  <si>
    <t>Agenda Item 7–B.9</t>
  </si>
  <si>
    <t>Agenda Item 7–B.10</t>
  </si>
  <si>
    <t>Agenda Item 7–B.11</t>
  </si>
  <si>
    <t>Agenda Item 7–B.12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</si>
</sst>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theme="1"/>
      <name val="Arial"/>
      <family val="2"/>
    </font>
    <font>
      <sz val="10"/>
      <color theme="1"/>
      <name val="Arial"/>
      <family val="2"/>
    </font>
    <font>
      <b/>
      <sz val="10"/>
      <color rgb="FF000000"/>
      <name val="Arial"/>
      <family val="2"/>
    </font>
    <font>
      <sz val="10"/>
      <name val="Arial"/>
      <family val="2"/>
    </font>
    <font>
      <sz val="10"/>
      <color rgb="FF3C5073"/>
      <name val="Arial"/>
      <family val="2"/>
    </font>
    <font>
      <i/>
      <sz val="10"/>
      <color theme="1"/>
      <name val="Arial"/>
      <family val="2"/>
    </font>
    <font>
      <sz val="11"/>
      <color theme="1"/>
      <name val="Calibri"/>
      <family val="2"/>
      <scheme val="minor"/>
    </font>
    <font>
      <sz val="10"/>
      <color theme="1"/>
      <name val="Arial"/>
    </font>
    <font>
      <i/>
      <sz val="10"/>
      <color theme="1"/>
      <name val="Arial"/>
    </font>
  </fonts>
  <fills count="9">
    <fill>
      <patternFill patternType="none"/>
    </fill>
    <fill>
      <patternFill patternType="gray125"/>
    </fill>
    <fill>
      <patternFill patternType="solid">
        <fgColor indexed="67"/>
        <bgColor indexed="9"/>
      </patternFill>
    </fill>
    <fill>
      <patternFill patternType="solid">
        <fgColor rgb="FFF0F0F0"/>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0" tint="-0.49998474074526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7" fillId="0" borderId="0" applyFont="0" applyFill="0" applyBorder="0" applyAlignment="0" applyProtection="0"/>
  </cellStyleXfs>
  <cellXfs count="65">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xf numFmtId="0" fontId="4" fillId="0" borderId="1" xfId="0" applyFont="1" applyBorder="1" applyAlignment="1">
      <alignment horizontal="right" vertical="top"/>
    </xf>
    <xf numFmtId="0" fontId="1" fillId="0" borderId="1" xfId="0" applyFont="1" applyBorder="1" applyAlignment="1">
      <alignment wrapText="1"/>
    </xf>
    <xf numFmtId="0" fontId="2" fillId="0" borderId="1" xfId="0" applyFont="1" applyBorder="1" applyAlignment="1">
      <alignment wrapText="1"/>
    </xf>
    <xf numFmtId="0" fontId="2" fillId="2" borderId="1" xfId="0" applyFont="1" applyFill="1" applyBorder="1"/>
    <xf numFmtId="0" fontId="1" fillId="0" borderId="0" xfId="0" applyFont="1"/>
    <xf numFmtId="0" fontId="2" fillId="4" borderId="0" xfId="0" applyFont="1" applyFill="1" applyAlignment="1">
      <alignment wrapText="1"/>
    </xf>
    <xf numFmtId="0" fontId="2" fillId="5" borderId="0" xfId="0" applyFont="1" applyFill="1" applyAlignment="1">
      <alignment wrapText="1"/>
    </xf>
    <xf numFmtId="0" fontId="2" fillId="6" borderId="0" xfId="0" applyFont="1" applyFill="1" applyAlignment="1">
      <alignment wrapText="1"/>
    </xf>
    <xf numFmtId="0" fontId="2" fillId="7" borderId="0" xfId="0" applyFont="1" applyFill="1" applyAlignment="1">
      <alignment wrapText="1"/>
    </xf>
    <xf numFmtId="0" fontId="1" fillId="0" borderId="1" xfId="0" applyFont="1" applyBorder="1" applyAlignment="1">
      <alignment horizontal="left" wrapText="1"/>
    </xf>
    <xf numFmtId="0" fontId="1" fillId="0" borderId="0" xfId="0" applyFont="1" applyAlignment="1">
      <alignment horizontal="left" wrapText="1"/>
    </xf>
    <xf numFmtId="0" fontId="6" fillId="0" borderId="1" xfId="0" applyFont="1" applyBorder="1" applyAlignment="1">
      <alignment horizontal="left" wrapText="1"/>
    </xf>
    <xf numFmtId="0" fontId="6" fillId="0" borderId="1" xfId="0" applyFont="1" applyBorder="1"/>
    <xf numFmtId="0" fontId="3" fillId="4" borderId="1" xfId="0" applyFont="1" applyFill="1" applyBorder="1" applyAlignment="1">
      <alignment wrapText="1"/>
    </xf>
    <xf numFmtId="0" fontId="3" fillId="5" borderId="1" xfId="0" applyFont="1" applyFill="1" applyBorder="1" applyAlignment="1">
      <alignment wrapText="1"/>
    </xf>
    <xf numFmtId="0" fontId="3" fillId="6" borderId="1" xfId="0" applyFont="1" applyFill="1" applyBorder="1" applyAlignment="1">
      <alignment wrapText="1"/>
    </xf>
    <xf numFmtId="0" fontId="3" fillId="7" borderId="1" xfId="0" applyFont="1" applyFill="1" applyBorder="1" applyAlignment="1">
      <alignment wrapText="1"/>
    </xf>
    <xf numFmtId="0" fontId="3" fillId="4" borderId="1" xfId="0" applyFont="1" applyFill="1" applyBorder="1" applyAlignment="1">
      <alignment horizontal="left" wrapText="1"/>
    </xf>
    <xf numFmtId="0" fontId="3" fillId="5" borderId="1" xfId="0" applyFont="1" applyFill="1" applyBorder="1" applyAlignment="1">
      <alignment horizontal="left" wrapText="1"/>
    </xf>
    <xf numFmtId="0" fontId="3" fillId="6" borderId="1" xfId="0" applyFont="1" applyFill="1" applyBorder="1" applyAlignment="1">
      <alignment horizontal="left" wrapText="1"/>
    </xf>
    <xf numFmtId="0" fontId="3" fillId="7" borderId="1" xfId="0" applyFont="1" applyFill="1" applyBorder="1" applyAlignment="1">
      <alignment horizontal="left" wrapText="1"/>
    </xf>
    <xf numFmtId="0" fontId="3" fillId="3" borderId="1" xfId="0" applyFont="1" applyFill="1" applyBorder="1" applyAlignment="1">
      <alignment horizontal="left" wrapText="1"/>
    </xf>
    <xf numFmtId="0" fontId="5" fillId="3" borderId="1" xfId="0" applyFont="1" applyFill="1" applyBorder="1" applyAlignment="1">
      <alignment horizontal="right" vertical="top"/>
    </xf>
    <xf numFmtId="0" fontId="2" fillId="0" borderId="0" xfId="0" applyFont="1" applyAlignment="1">
      <alignment horizontal="left" wrapText="1"/>
    </xf>
    <xf numFmtId="9" fontId="1" fillId="0" borderId="0" xfId="1" applyFont="1" applyAlignment="1">
      <alignment horizontal="center"/>
    </xf>
    <xf numFmtId="0" fontId="2" fillId="0" borderId="0" xfId="0" applyFont="1" applyBorder="1" applyAlignment="1">
      <alignment wrapText="1"/>
    </xf>
    <xf numFmtId="0" fontId="2" fillId="2" borderId="0" xfId="0" applyFont="1" applyFill="1" applyBorder="1"/>
    <xf numFmtId="0" fontId="4" fillId="0" borderId="0" xfId="0" applyFont="1" applyBorder="1" applyAlignment="1">
      <alignment horizontal="right" vertical="top"/>
    </xf>
    <xf numFmtId="0" fontId="8" fillId="0" borderId="1" xfId="0" applyFont="1" applyBorder="1" applyAlignment="1">
      <alignment horizontal="left"/>
    </xf>
    <xf numFmtId="0" fontId="8" fillId="0" borderId="1" xfId="0" applyNumberFormat="1" applyFont="1" applyBorder="1"/>
    <xf numFmtId="0" fontId="8" fillId="0" borderId="1" xfId="0" pivotButton="1" applyFont="1" applyBorder="1" applyAlignment="1">
      <alignment wrapText="1"/>
    </xf>
    <xf numFmtId="0" fontId="8" fillId="4" borderId="1" xfId="0" applyFont="1" applyFill="1" applyBorder="1" applyAlignment="1">
      <alignment wrapText="1"/>
    </xf>
    <xf numFmtId="0" fontId="8" fillId="6" borderId="1" xfId="0" applyFont="1" applyFill="1" applyBorder="1" applyAlignment="1">
      <alignment wrapText="1"/>
    </xf>
    <xf numFmtId="0" fontId="8" fillId="7" borderId="1" xfId="0" applyFont="1" applyFill="1" applyBorder="1" applyAlignment="1">
      <alignment wrapText="1"/>
    </xf>
    <xf numFmtId="0" fontId="8" fillId="0" borderId="1" xfId="0" applyFont="1" applyBorder="1" applyAlignment="1">
      <alignment wrapText="1"/>
    </xf>
    <xf numFmtId="0" fontId="6" fillId="6" borderId="1" xfId="0" applyFont="1" applyFill="1" applyBorder="1" applyAlignment="1">
      <alignment wrapText="1"/>
    </xf>
    <xf numFmtId="0" fontId="8" fillId="0" borderId="1" xfId="0" pivotButton="1" applyFont="1" applyBorder="1" applyAlignment="1">
      <alignment horizontal="left" wrapText="1"/>
    </xf>
    <xf numFmtId="0" fontId="8" fillId="4" borderId="1" xfId="0" applyFont="1" applyFill="1" applyBorder="1" applyAlignment="1">
      <alignment horizontal="left" wrapText="1"/>
    </xf>
    <xf numFmtId="0" fontId="8" fillId="6" borderId="1" xfId="0" applyFont="1" applyFill="1" applyBorder="1" applyAlignment="1">
      <alignment horizontal="left" wrapText="1"/>
    </xf>
    <xf numFmtId="0" fontId="8" fillId="7" borderId="1" xfId="0" applyFont="1" applyFill="1" applyBorder="1" applyAlignment="1">
      <alignment horizontal="left" wrapText="1"/>
    </xf>
    <xf numFmtId="0" fontId="6" fillId="0" borderId="1" xfId="0" applyFont="1" applyBorder="1" applyAlignment="1">
      <alignment wrapText="1"/>
    </xf>
    <xf numFmtId="0" fontId="2" fillId="8" borderId="0" xfId="0" applyFont="1" applyFill="1" applyAlignment="1">
      <alignment wrapText="1"/>
    </xf>
    <xf numFmtId="0" fontId="8" fillId="8" borderId="1" xfId="0" applyFont="1" applyFill="1" applyBorder="1" applyAlignment="1">
      <alignment wrapText="1"/>
    </xf>
    <xf numFmtId="0" fontId="6" fillId="8" borderId="1" xfId="0" applyFont="1" applyFill="1" applyBorder="1" applyAlignment="1">
      <alignment wrapText="1"/>
    </xf>
    <xf numFmtId="0" fontId="8" fillId="8" borderId="1" xfId="0" applyFont="1" applyFill="1" applyBorder="1" applyAlignment="1">
      <alignment horizontal="left" wrapText="1"/>
    </xf>
    <xf numFmtId="0" fontId="9" fillId="6" borderId="1" xfId="0" applyFont="1" applyFill="1" applyBorder="1" applyAlignment="1">
      <alignment horizontal="left" wrapText="1"/>
    </xf>
    <xf numFmtId="0" fontId="9" fillId="8" borderId="1" xfId="0" applyFont="1" applyFill="1" applyBorder="1" applyAlignment="1">
      <alignment horizontal="left" wrapText="1"/>
    </xf>
    <xf numFmtId="0" fontId="2" fillId="0" borderId="2" xfId="0" pivotButton="1" applyFont="1" applyBorder="1" applyAlignment="1">
      <alignment wrapText="1"/>
    </xf>
    <xf numFmtId="0" fontId="2" fillId="4" borderId="5" xfId="0" applyFont="1" applyFill="1" applyBorder="1" applyAlignment="1">
      <alignment wrapText="1"/>
    </xf>
    <xf numFmtId="0" fontId="2" fillId="8" borderId="6" xfId="0" applyFont="1" applyFill="1" applyBorder="1" applyAlignment="1">
      <alignment wrapText="1"/>
    </xf>
    <xf numFmtId="0" fontId="2" fillId="6" borderId="6" xfId="0" applyFont="1" applyFill="1" applyBorder="1" applyAlignment="1">
      <alignment wrapText="1"/>
    </xf>
    <xf numFmtId="0" fontId="2" fillId="7" borderId="6" xfId="0" applyFont="1" applyFill="1" applyBorder="1" applyAlignment="1">
      <alignment wrapText="1"/>
    </xf>
    <xf numFmtId="0" fontId="2" fillId="0" borderId="7" xfId="0" applyFont="1" applyBorder="1" applyAlignment="1">
      <alignment wrapText="1"/>
    </xf>
    <xf numFmtId="0" fontId="2" fillId="0" borderId="8" xfId="0" applyFont="1" applyBorder="1" applyAlignment="1">
      <alignment horizontal="left"/>
    </xf>
    <xf numFmtId="0" fontId="2" fillId="0" borderId="3" xfId="0" applyNumberFormat="1" applyFont="1" applyBorder="1"/>
    <xf numFmtId="0" fontId="2" fillId="0" borderId="0" xfId="0" applyNumberFormat="1" applyFont="1" applyBorder="1"/>
    <xf numFmtId="0" fontId="2" fillId="0" borderId="4" xfId="0" applyNumberFormat="1" applyFont="1" applyBorder="1"/>
    <xf numFmtId="0" fontId="2" fillId="0" borderId="2" xfId="0" applyFont="1" applyBorder="1" applyAlignment="1">
      <alignment horizontal="left"/>
    </xf>
    <xf numFmtId="0" fontId="2" fillId="0" borderId="5" xfId="0" applyNumberFormat="1" applyFont="1" applyBorder="1"/>
    <xf numFmtId="0" fontId="2" fillId="0" borderId="6" xfId="0" applyNumberFormat="1" applyFont="1" applyBorder="1"/>
    <xf numFmtId="0" fontId="2" fillId="0" borderId="7" xfId="0" applyNumberFormat="1" applyFont="1" applyBorder="1"/>
  </cellXfs>
  <cellStyles count="2">
    <cellStyle name="Normal" xfId="0" builtinId="0"/>
    <cellStyle name="Percent" xfId="1" builtinId="5"/>
  </cellStyles>
  <dxfs count="352">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rgb="FF00B050"/>
        </patternFill>
      </fill>
    </dxf>
    <dxf>
      <fill>
        <patternFill patternType="solid">
          <bgColor rgb="FFFFFF00"/>
        </patternFill>
      </fill>
    </dxf>
    <dxf>
      <fill>
        <patternFill patternType="solid">
          <bgColor rgb="FFFF0000"/>
        </patternFill>
      </fill>
    </dxf>
    <dxf>
      <fill>
        <patternFill patternType="solid">
          <bgColor theme="0" tint="-0.499984740745262"/>
        </patternFill>
      </fill>
    </dxf>
    <dxf>
      <fill>
        <patternFill>
          <bgColor rgb="FFFFC000"/>
        </patternFill>
      </fill>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fill>
        <patternFill patternType="solid">
          <bgColor rgb="FF00B050"/>
        </patternFill>
      </fill>
    </dxf>
    <dxf>
      <fill>
        <patternFill patternType="solid">
          <bgColor rgb="FFFFFF00"/>
        </patternFill>
      </fill>
    </dxf>
    <dxf>
      <fill>
        <patternFill patternType="solid">
          <bgColor rgb="FFFF0000"/>
        </patternFill>
      </fill>
    </dxf>
    <dxf>
      <fill>
        <patternFill patternType="solid">
          <bgColor theme="0" tint="-0.499984740745262"/>
        </patternFill>
      </fill>
    </dxf>
    <dxf>
      <font>
        <i/>
        <family val="2"/>
      </font>
    </dxf>
    <dxf>
      <font>
        <i/>
        <family val="2"/>
      </font>
    </dxf>
    <dxf>
      <fill>
        <patternFill>
          <bgColor rgb="FFFFC000"/>
        </patternFill>
      </fill>
    </dxf>
    <dxf>
      <alignment wrapText="1"/>
    </dxf>
    <dxf>
      <alignment wrapText="1"/>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FFFF00"/>
        </patternFill>
      </fill>
    </dxf>
    <dxf>
      <fill>
        <patternFill patternType="solid">
          <bgColor rgb="FFFF0000"/>
        </patternFill>
      </fill>
    </dxf>
    <dxf>
      <fill>
        <patternFill patternType="solid">
          <bgColor theme="0" tint="-0.499984740745262"/>
        </patternFill>
      </fill>
    </dxf>
    <dxf>
      <font>
        <i/>
        <family val="2"/>
      </font>
    </dxf>
    <dxf>
      <font>
        <b val="0"/>
      </font>
    </dxf>
    <dxf>
      <font>
        <i/>
        <family val="2"/>
      </font>
    </dxf>
    <dxf>
      <fill>
        <patternFill>
          <bgColor rgb="FFFFC000"/>
        </patternFill>
      </fill>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FFFF00"/>
        </patternFill>
      </fill>
    </dxf>
    <dxf>
      <fill>
        <patternFill patternType="solid">
          <bgColor rgb="FFFF0000"/>
        </patternFill>
      </fill>
    </dxf>
    <dxf>
      <fill>
        <patternFill patternType="solid">
          <bgColor theme="0" tint="-0.499984740745262"/>
        </patternFill>
      </fill>
    </dxf>
    <dxf>
      <alignment wrapText="1"/>
    </dxf>
    <dxf>
      <alignment wrapText="1"/>
    </dxf>
    <dxf>
      <fill>
        <patternFill>
          <bgColor rgb="FFFFC000"/>
        </patternFill>
      </fill>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left"/>
    </dxf>
    <dxf>
      <alignment horizontal="left"/>
    </dxf>
    <dxf>
      <fill>
        <patternFill patternType="solid">
          <bgColor rgb="FF00B050"/>
        </patternFill>
      </fill>
    </dxf>
    <dxf>
      <fill>
        <patternFill patternType="solid">
          <bgColor rgb="FFFFFF00"/>
        </patternFill>
      </fill>
    </dxf>
    <dxf>
      <fill>
        <patternFill patternType="solid">
          <bgColor rgb="FFFF0000"/>
        </patternFill>
      </fill>
    </dxf>
    <dxf>
      <fill>
        <patternFill patternType="solid">
          <bgColor theme="0" tint="-0.499984740745262"/>
        </patternFill>
      </fill>
    </dxf>
    <dxf>
      <font>
        <i/>
      </font>
    </dxf>
    <dxf>
      <font>
        <i/>
      </font>
    </dxf>
    <dxf>
      <font>
        <b val="0"/>
      </font>
    </dxf>
    <dxf>
      <font>
        <b val="0"/>
      </font>
    </dxf>
    <dxf>
      <fill>
        <patternFill>
          <bgColor rgb="FFFFC000"/>
        </patternFill>
      </fill>
    </dxf>
    <dxf>
      <alignment wrapText="1"/>
    </dxf>
    <dxf>
      <alignment wrapText="1"/>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FFFF00"/>
        </patternFill>
      </fill>
    </dxf>
    <dxf>
      <fill>
        <patternFill patternType="solid">
          <bgColor rgb="FFFF0000"/>
        </patternFill>
      </fill>
    </dxf>
    <dxf>
      <fill>
        <patternFill patternType="solid">
          <bgColor theme="0" tint="-0.499984740745262"/>
        </patternFill>
      </fill>
    </dxf>
    <dxf>
      <fill>
        <patternFill>
          <bgColor rgb="FFFFC000"/>
        </patternFill>
      </fill>
    </dxf>
    <dxf>
      <alignment wrapText="1"/>
    </dxf>
    <dxf>
      <alignment wrapText="1"/>
    </dxf>
    <dxf>
      <alignment wrapText="1"/>
    </dxf>
    <dxf>
      <alignment wrapText="1"/>
    </dxf>
    <dxf>
      <fill>
        <patternFill>
          <bgColor rgb="FFFFC000"/>
        </patternFill>
      </fill>
    </dxf>
    <dxf>
      <font>
        <b val="0"/>
      </font>
    </dxf>
    <dxf>
      <font>
        <b val="0"/>
      </font>
    </dxf>
    <dxf>
      <font>
        <i/>
      </font>
    </dxf>
    <dxf>
      <font>
        <i/>
      </font>
    </dxf>
    <dxf>
      <fill>
        <patternFill patternType="solid">
          <bgColor theme="0" tint="-0.499984740745262"/>
        </patternFill>
      </fill>
    </dxf>
    <dxf>
      <fill>
        <patternFill patternType="solid">
          <bgColor rgb="FFFF0000"/>
        </patternFill>
      </fill>
    </dxf>
    <dxf>
      <fill>
        <patternFill patternType="solid">
          <bgColor rgb="FFFFFF00"/>
        </patternFill>
      </fill>
    </dxf>
    <dxf>
      <fill>
        <patternFill patternType="solid">
          <bgColor rgb="FF00B050"/>
        </patternFill>
      </fill>
    </dxf>
    <dxf>
      <alignment horizontal="left"/>
    </dxf>
    <dxf>
      <alignment horizontal="lef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wrapText="1"/>
    </dxf>
    <dxf>
      <alignment wrapText="1"/>
    </dxf>
    <dxf>
      <fill>
        <patternFill>
          <bgColor rgb="FFFFC000"/>
        </patternFill>
      </fill>
    </dxf>
    <dxf>
      <fill>
        <patternFill patternType="solid">
          <bgColor theme="0" tint="-0.499984740745262"/>
        </patternFill>
      </fill>
    </dxf>
    <dxf>
      <fill>
        <patternFill patternType="solid">
          <bgColor rgb="FFFF0000"/>
        </patternFill>
      </fill>
    </dxf>
    <dxf>
      <fill>
        <patternFill patternType="solid">
          <bgColor rgb="FFFFFF00"/>
        </patternFill>
      </fill>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ill>
        <patternFill>
          <bgColor rgb="FFFFC000"/>
        </patternFill>
      </fill>
    </dxf>
    <dxf>
      <font>
        <i/>
        <family val="2"/>
      </font>
    </dxf>
    <dxf>
      <font>
        <i/>
        <family val="2"/>
      </font>
    </dxf>
    <dxf>
      <fill>
        <patternFill patternType="solid">
          <bgColor theme="0" tint="-0.499984740745262"/>
        </patternFill>
      </fill>
    </dxf>
    <dxf>
      <fill>
        <patternFill patternType="solid">
          <bgColor rgb="FFFF0000"/>
        </patternFill>
      </fill>
    </dxf>
    <dxf>
      <fill>
        <patternFill patternType="solid">
          <bgColor rgb="FFFFFF00"/>
        </patternFill>
      </fill>
    </dxf>
    <dxf>
      <fill>
        <patternFill patternType="solid">
          <bgColor rgb="FF00B050"/>
        </patternFill>
      </fill>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ill>
        <patternFill>
          <bgColor rgb="FFFFC000"/>
        </patternFill>
      </fill>
    </dxf>
    <dxf>
      <alignment wrapText="1"/>
    </dxf>
    <dxf>
      <alignment wrapText="1"/>
    </dxf>
    <dxf>
      <fill>
        <patternFill patternType="solid">
          <bgColor theme="0" tint="-0.499984740745262"/>
        </patternFill>
      </fill>
    </dxf>
    <dxf>
      <fill>
        <patternFill patternType="solid">
          <bgColor rgb="FFFF0000"/>
        </patternFill>
      </fill>
    </dxf>
    <dxf>
      <fill>
        <patternFill patternType="solid">
          <bgColor rgb="FFFFFF00"/>
        </patternFill>
      </fill>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ill>
        <patternFill>
          <bgColor rgb="FFFFC000"/>
        </patternFill>
      </fill>
    </dxf>
    <dxf>
      <font>
        <i/>
        <family val="2"/>
      </font>
    </dxf>
    <dxf>
      <font>
        <b val="0"/>
      </font>
    </dxf>
    <dxf>
      <font>
        <i/>
        <family val="2"/>
      </font>
    </dxf>
    <dxf>
      <fill>
        <patternFill patternType="solid">
          <bgColor theme="0" tint="-0.499984740745262"/>
        </patternFill>
      </fill>
    </dxf>
    <dxf>
      <fill>
        <patternFill patternType="solid">
          <bgColor rgb="FFFF0000"/>
        </patternFill>
      </fill>
    </dxf>
    <dxf>
      <fill>
        <patternFill patternType="solid">
          <bgColor rgb="FFFFFF00"/>
        </patternFill>
      </fill>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wrapText="1"/>
    </dxf>
    <dxf>
      <alignment wrapText="1"/>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ill>
        <patternFill>
          <bgColor rgb="FFFFC000"/>
        </patternFill>
      </fill>
    </dxf>
    <dxf>
      <fill>
        <patternFill patternType="solid">
          <bgColor theme="0" tint="-0.499984740745262"/>
        </patternFill>
      </fill>
    </dxf>
    <dxf>
      <fill>
        <patternFill patternType="solid">
          <bgColor rgb="FFFF0000"/>
        </patternFill>
      </fill>
    </dxf>
    <dxf>
      <fill>
        <patternFill patternType="solid">
          <bgColor rgb="FFFFFF00"/>
        </patternFill>
      </fill>
    </dxf>
    <dxf>
      <fill>
        <patternFill patternType="solid">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ane Talatala" refreshedDate="43706.59060625" createdVersion="6" refreshedVersion="6" minRefreshableVersion="3" recordCount="91" xr:uid="{5347CF87-BCB0-44CB-BD47-586F30FC67D0}">
  <cacheSource type="worksheet">
    <worksheetSource ref="A1:I92" sheet="Q4(b)-Respondent by Category"/>
  </cacheSource>
  <cacheFields count="9">
    <cacheField name="Respondent" numFmtId="0">
      <sharedItems/>
    </cacheField>
    <cacheField name="Case No._ISQM 2_Respondent Acronym" numFmtId="0">
      <sharedItems count="91">
        <s v="01_ISQM 2_BCBS"/>
        <s v="02_ISQM 2_IAIS"/>
        <s v="03_ISQM 2_IFIAR"/>
        <s v="04_ISQM 2_IOSCO"/>
        <s v="05_ISQM 2_ICGN"/>
        <s v="06_ISQM 2_CPAB"/>
        <s v="07_ISQM 2_FRC"/>
        <s v="08_ISQM 2_IRBA"/>
        <s v="09_ISQM 2_IAASA"/>
        <s v="10_ISQM 2_AICPA"/>
        <s v="11_ISQM 2_AUASB"/>
        <s v="12_ISQM 2_CAASB"/>
        <s v="13_ISQM 2_CICPA"/>
        <s v="14_ISQM 2_CNCC-CSOEC"/>
        <s v="15_ISQM 2_CFC"/>
        <s v="16_ISQM 2_HKICPA"/>
        <s v="17_ISQM 2_IDW"/>
        <s v="18_ISQM 2_JICPA"/>
        <s v="19_ISQM 2_KSW"/>
        <s v="20_ISQM 2_MAASB"/>
        <s v="21_ISQM 2_NZAASB"/>
        <s v="22_ISQM 2_NBA"/>
        <s v="23_ISQM 2_BTI"/>
        <s v="24_ISQM 2_BTVK"/>
        <s v="25_ISQM 2_BDO"/>
        <s v="26_ISQM 2_CASI"/>
        <s v="27_ISQM 2_CHI"/>
        <s v="28_ISQM 2_DTTL"/>
        <s v="29_ISQM 2_DTL"/>
        <s v="30_ISQM 2_ETY"/>
        <s v="31_ISQM 2_EYG"/>
        <s v="32_ISQM 2_GTIL"/>
        <s v="33_ISQM 2_HM"/>
        <s v="34_ISQM 2_KPMG"/>
        <s v="35_ISQM 2_KI"/>
        <s v="36_ISQM 2_MZRS"/>
        <s v="37_ISQM 2_MZRSUS"/>
        <s v="38_ISQM 2_MNP"/>
        <s v="39_ISQM 2_MSI"/>
        <s v="40_ISQM 2_NI"/>
        <s v="41_ISQM 2_NSW"/>
        <s v="42_ISQM 2_PKFI"/>
        <s v="43_ISQM2_PKFSA"/>
        <s v="44_ISQM 2_PwC"/>
        <s v="45_ISQM 2_RSMI"/>
        <s v="46_ISQM 2_AGSA"/>
        <s v="47_ISQM 2_ACAG"/>
        <s v="48_ISQM 2_INTOSAI"/>
        <s v="49_ISQM 2_NAOM"/>
        <s v="50_ISQM 2_OAGNZ"/>
        <s v="51_ISQM 2_OAGA"/>
        <s v="52_ISQM 2_OAGC"/>
        <s v="53_ISQM 2_PAS"/>
        <s v="54_ISQM 2_SNAO"/>
        <s v="55_ISQM 2_GAO"/>
        <s v="56_ISQM 2_AE"/>
        <s v="57_ISQM 2_APESB"/>
        <s v="58_ISQM 2_IBR-IRE"/>
        <s v="59_ISQM 2_BICA"/>
        <s v="60_ISQM 2_CAI"/>
        <s v="61_ISQM 2_CalCPA"/>
        <s v="62_ISQM 2_CAQ"/>
        <s v="63_ISQM 2_CAANZ-ACCA"/>
        <s v="64_ISQM 2_CICC-AIC"/>
        <s v="65_ISQM 2_CCC-ICPARD"/>
        <s v="66_ISQM 2_CPAA"/>
        <s v="67_ISQM 2_EXPERT"/>
        <s v="68_ISQM 2_FAR"/>
        <s v="69_ISQM 2_FACPCE"/>
        <s v="70_ISQM 2_FSR"/>
        <s v="71_ISQM 2_SMPC"/>
        <s v="72_ISQM 2_ICPAS"/>
        <s v="73_ISQM 2_IEC-IAB"/>
        <s v="74_ISQM 2_ICAEW"/>
        <s v="75_ISQM 2_ICAP"/>
        <s v="76_ISQM 2_ICAS"/>
        <s v="77_ISQM 2_ICPAU"/>
        <s v="78_ISQM 2_IBRACON"/>
        <s v="79_ISQM 2_ISCA"/>
        <s v="80_ISQM 2_ICJCE"/>
        <s v="81_ISQM 2_IMCP"/>
        <s v="82_ISQM 2_KICPA"/>
        <s v="83_ISQM 2_MICPA"/>
        <s v="84_ISQM 2_NASBA"/>
        <s v="85_ISQM 2_ NYSSCPA"/>
        <s v="86_ISQM 2_NRF"/>
        <s v="87_ISQM 2_SRO-AAS"/>
        <s v="88_ISQM 2_SAICA"/>
        <s v="89_ISQM 2_WPK"/>
        <s v="90_ISQM 2_TAS-CAA"/>
        <s v="91_ISQM 2_VM"/>
      </sharedItems>
    </cacheField>
    <cacheField name="Function" numFmtId="0">
      <sharedItems count="8">
        <s v="1 Monitoring Group"/>
        <s v="2 Investors and Analysts"/>
        <s v="3 Regulators and Audit Oversight Authorities"/>
        <s v="4 National Auditing Standard Setters"/>
        <s v="5 Accounting Firms"/>
        <s v="6 Public Sector Organizations"/>
        <s v="7 Member Bodies and Other Professional Organizations"/>
        <s v="8 Individuals and Others"/>
      </sharedItems>
    </cacheField>
    <cacheField name="Region" numFmtId="0">
      <sharedItems/>
    </cacheField>
    <cacheField name="Agree" numFmtId="0">
      <sharedItems containsSemiMixedTypes="0" containsString="0" containsNumber="1" containsInteger="1" minValue="0" maxValue="1"/>
    </cacheField>
    <cacheField name="Agree but with further comments" numFmtId="0">
      <sharedItems containsSemiMixedTypes="0" containsString="0" containsNumber="1" containsInteger="1" minValue="0" maxValue="1"/>
    </cacheField>
    <cacheField name="Disagree" numFmtId="0">
      <sharedItems containsSemiMixedTypes="0" containsString="0" containsNumber="1" containsInteger="1" minValue="0" maxValue="1"/>
    </cacheField>
    <cacheField name="Unclear or no specific response or refer to other respondent's views" numFmtId="0">
      <sharedItems containsSemiMixedTypes="0" containsString="0" containsNumber="1" containsInteger="1" minValue="0" maxValue="1"/>
    </cacheField>
    <cacheField name="Total"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ane Talatala" refreshedDate="43706.590607523147" createdVersion="6" refreshedVersion="6" minRefreshableVersion="3" recordCount="91" xr:uid="{B4866459-4B21-4780-A79A-C87FBEADA626}">
  <cacheSource type="worksheet">
    <worksheetSource ref="A1:M92" sheet="Q4(b)-Respondent by Theme"/>
  </cacheSource>
  <cacheFields count="13">
    <cacheField name="Respondent" numFmtId="0">
      <sharedItems/>
    </cacheField>
    <cacheField name="Case No._ISQM 2_Respondent Acronym" numFmtId="0">
      <sharedItems count="91">
        <s v="01_ISQM 2_BCBS"/>
        <s v="02_ISQM 2_IAIS"/>
        <s v="03_ISQM 2_IFIAR"/>
        <s v="04_ISQM 2_IOSCO"/>
        <s v="05_ISQM 2_ICGN"/>
        <s v="06_ISQM 2_CPAB"/>
        <s v="07_ISQM 2_FRC"/>
        <s v="08_ISQM 2_IRBA"/>
        <s v="09_ISQM 2_IAASA"/>
        <s v="10_ISQM 2_AICPA"/>
        <s v="11_ISQM 2_AUASB"/>
        <s v="12_ISQM 2_CAASB"/>
        <s v="13_ISQM 2_CICPA"/>
        <s v="14_ISQM 2_CNCC-CSOEC"/>
        <s v="15_ISQM 2_CFC"/>
        <s v="16_ISQM 2_HKICPA"/>
        <s v="17_ISQM 2_IDW"/>
        <s v="18_ISQM 2_JICPA"/>
        <s v="19_ISQM 2_KSW"/>
        <s v="20_ISQM 2_MAASB"/>
        <s v="21_ISQM 2_NZAASB"/>
        <s v="22_ISQM 2_NBA"/>
        <s v="23_ISQM 2_BTI"/>
        <s v="24_ISQM 2_BTVK"/>
        <s v="25_ISQM 2_BDO"/>
        <s v="26_ISQM 2_CASI"/>
        <s v="27_ISQM 2_CHI"/>
        <s v="28_ISQM 2_DTTL"/>
        <s v="29_ISQM 2_DTL"/>
        <s v="30_ISQM 2_ETY"/>
        <s v="31_ISQM 2_EYG"/>
        <s v="32_ISQM 2_GTIL"/>
        <s v="33_ISQM 2_HM"/>
        <s v="34_ISQM 2_KPMG"/>
        <s v="35_ISQM 2_KI"/>
        <s v="36_ISQM 2_MZRS"/>
        <s v="37_ISQM 2_MZRSUS"/>
        <s v="38_ISQM 2_MNP"/>
        <s v="39_ISQM 2_MSI"/>
        <s v="40_ISQM 2_NI"/>
        <s v="41_ISQM 2_NSW"/>
        <s v="42_ISQM 2_PKFI"/>
        <s v="43_ISQM2_PKFSA"/>
        <s v="44_ISQM 2_PwC"/>
        <s v="45_ISQM 2_RSMI"/>
        <s v="46_ISQM 2_AGSA"/>
        <s v="47_ISQM 2_ACAG"/>
        <s v="48_ISQM 2_INTOSAI"/>
        <s v="49_ISQM 2_NAOM"/>
        <s v="50_ISQM 2_OAGNZ"/>
        <s v="51_ISQM 2_OAGA"/>
        <s v="52_ISQM 2_OAGC"/>
        <s v="53_ISQM 2_PAS"/>
        <s v="54_ISQM 2_SNAO"/>
        <s v="55_ISQM 2_GAO"/>
        <s v="56_ISQM 2_AE"/>
        <s v="57_ISQM 2_APESB"/>
        <s v="58_ISQM 2_IBR-IRE"/>
        <s v="59_ISQM 2_BICA"/>
        <s v="60_ISQM 2_CAI"/>
        <s v="61_ISQM 2_CalCPA"/>
        <s v="62_ISQM 2_CAQ"/>
        <s v="63_ISQM 2_CAANZ-ACCA"/>
        <s v="64_ISQM 2_CICC-AIC"/>
        <s v="65_ISQM 2_CCC-ICPARD"/>
        <s v="66_ISQM 2_CPAA"/>
        <s v="67_ISQM 2_EXPERT"/>
        <s v="68_ISQM 2_FAR"/>
        <s v="69_ISQM 2_FACPCE"/>
        <s v="70_ISQM 2_FSR"/>
        <s v="71_ISQM 2_SMPC"/>
        <s v="72_ISQM 2_ICPAS"/>
        <s v="73_ISQM 2_IEC-IAB"/>
        <s v="74_ISQM 2_ICAEW"/>
        <s v="75_ISQM 2_ICAP"/>
        <s v="76_ISQM 2_ICAS"/>
        <s v="77_ISQM 2_ICPAU"/>
        <s v="78_ISQM 2_IBRACON"/>
        <s v="79_ISQM 2_ISCA"/>
        <s v="80_ISQM 2_ICJCE"/>
        <s v="81_ISQM 2_IMCP"/>
        <s v="82_ISQM 2_KICPA"/>
        <s v="83_ISQM 2_MICPA"/>
        <s v="84_ISQM 2_NASBA"/>
        <s v="85_ISQM 2_ NYSSCPA"/>
        <s v="86_ISQM 2_NRF"/>
        <s v="87_ISQM 2_SRO-AAS"/>
        <s v="88_ISQM 2_SAICA"/>
        <s v="89_ISQM 2_WPK"/>
        <s v="90_ISQM 2_TAS-CAA"/>
        <s v="91_ISQM 2_VM"/>
      </sharedItems>
    </cacheField>
    <cacheField name="Function" numFmtId="0">
      <sharedItems count="8">
        <s v="1 Monitoring Group"/>
        <s v="2 Investors and Analysts"/>
        <s v="3 Regulators and Audit Oversight Authorities"/>
        <s v="4 National Auditing Standard Setters"/>
        <s v="5 Accounting Firms"/>
        <s v="6 Public Sector Organizations"/>
        <s v="7 Member Bodies and Other Professional Organizations"/>
        <s v="8 Individuals and Others"/>
      </sharedItems>
    </cacheField>
    <cacheField name="Region" numFmtId="0">
      <sharedItems/>
    </cacheField>
    <cacheField name="Agree" numFmtId="0">
      <sharedItems containsSemiMixedTypes="0" containsString="0" containsNumber="1" containsInteger="1" minValue="0" maxValue="1"/>
    </cacheField>
    <cacheField name="Agree but with further comments" numFmtId="0">
      <sharedItems containsSemiMixedTypes="0" containsString="0" containsNumber="1" containsInteger="1" minValue="0" maxValue="1"/>
    </cacheField>
    <cacheField name="01 Address in ISQM 2 as guidance or requirement" numFmtId="0">
      <sharedItems containsSemiMixedTypes="0" containsString="0" containsNumber="1" containsInteger="1" minValue="0" maxValue="1"/>
    </cacheField>
    <cacheField name="02 Address in both ISQM 2 and the IESBA Code, or align with, or include reference to, the IESBA Code" numFmtId="0">
      <sharedItems containsSemiMixedTypes="0" containsString="0" containsNumber="1" containsInteger="1" minValue="0" maxValue="1"/>
    </cacheField>
    <cacheField name="Disagree" numFmtId="0">
      <sharedItems containsSemiMixedTypes="0" containsString="0" containsNumber="1" containsInteger="1" minValue="0" maxValue="1"/>
    </cacheField>
    <cacheField name="01 Address or already addressed in IESBA Code as guidance" numFmtId="0">
      <sharedItems containsSemiMixedTypes="0" containsString="0" containsNumber="1" containsInteger="1" minValue="0" maxValue="1"/>
    </cacheField>
    <cacheField name="02 Address or already addressed in IESBA Code as requirement" numFmtId="0">
      <sharedItems containsSemiMixedTypes="0" containsString="0" containsNumber="1" containsInteger="1" minValue="0" maxValue="1"/>
    </cacheField>
    <cacheField name="03 Address in IESBA Code as requirement and guidance" numFmtId="0">
      <sharedItems containsSemiMixedTypes="0" containsString="0" containsNumber="1" containsInteger="1" minValue="0" maxValue="1"/>
    </cacheField>
    <cacheField name="Unclear or no specific response or refer to other respondent's view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ane Talatala" refreshedDate="43706.590608449071" createdVersion="6" refreshedVersion="6" minRefreshableVersion="3" recordCount="91" xr:uid="{33FA2584-2699-4DE5-877F-4036E11D527B}">
  <cacheSource type="worksheet">
    <worksheetSource ref="A1:I92" sheet="Q4(a)-Respondent by Category"/>
  </cacheSource>
  <cacheFields count="9">
    <cacheField name="Respondent" numFmtId="0">
      <sharedItems/>
    </cacheField>
    <cacheField name="Case No._ISQM 2_Respondent Acronym" numFmtId="0">
      <sharedItems count="91">
        <s v="01_ISQM 2_BCBS"/>
        <s v="02_ISQM 2_IAIS"/>
        <s v="03_ISQM 2_IFIAR"/>
        <s v="04_ISQM 2_IOSCO"/>
        <s v="05_ISQM 2_ICGN"/>
        <s v="06_ISQM 2_CPAB"/>
        <s v="07_ISQM 2_FRC"/>
        <s v="08_ISQM 2_IRBA"/>
        <s v="09_ISQM 2_IAASA"/>
        <s v="10_ISQM 2_AICPA"/>
        <s v="11_ISQM 2_AUASB"/>
        <s v="12_ISQM 2_CAASB"/>
        <s v="13_ISQM 2_CICPA"/>
        <s v="14_ISQM 2_CNCC-CSOEC"/>
        <s v="15_ISQM 2_CFC"/>
        <s v="16_ISQM 2_HKICPA"/>
        <s v="17_ISQM 2_IDW"/>
        <s v="18_ISQM 2_JICPA"/>
        <s v="19_ISQM 2_KSW"/>
        <s v="20_ISQM 2_MAASB"/>
        <s v="21_ISQM 2_NZAASB"/>
        <s v="22_ISQM 2_NBA"/>
        <s v="23_ISQM 2_BTI"/>
        <s v="24_ISQM 2_BTVK"/>
        <s v="25_ISQM 2_BDO"/>
        <s v="26_ISQM 2_CASI"/>
        <s v="27_ISQM 2_CHI"/>
        <s v="28_ISQM 2_DTTL"/>
        <s v="29_ISQM 2_DTL"/>
        <s v="30_ISQM 2_ETY"/>
        <s v="31_ISQM 2_EYG"/>
        <s v="32_ISQM 2_GTIL"/>
        <s v="33_ISQM 2_HM"/>
        <s v="34_ISQM 2_KPMG"/>
        <s v="35_ISQM 2_KI"/>
        <s v="36_ISQM 2_MZRS"/>
        <s v="37_ISQM 2_MZRSUS"/>
        <s v="38_ISQM 2_MNP"/>
        <s v="39_ISQM 2_MSI"/>
        <s v="40_ISQM 2_NI"/>
        <s v="41_ISQM 2_NSW"/>
        <s v="42_ISQM 2_PKFI"/>
        <s v="43_ISQM2_PKFSA"/>
        <s v="44_ISQM 2_PwC"/>
        <s v="45_ISQM 2_RSMI"/>
        <s v="46_ISQM 2_AGSA"/>
        <s v="47_ISQM 2_ACAG"/>
        <s v="48_ISQM 2_INTOSAI"/>
        <s v="49_ISQM 2_NAOM"/>
        <s v="50_ISQM 2_OAGNZ"/>
        <s v="51_ISQM 2_OAGA"/>
        <s v="52_ISQM 2_OAGC"/>
        <s v="53_ISQM 2_PAS"/>
        <s v="54_ISQM 2_SNAO"/>
        <s v="55_ISQM 2_GAO"/>
        <s v="56_ISQM 2_AE"/>
        <s v="57_ISQM 2_APESB"/>
        <s v="58_ISQM 2_IBR-IRE"/>
        <s v="59_ISQM 2_BICA"/>
        <s v="60_ISQM 2_CAI"/>
        <s v="61_ISQM 2_CalCPA"/>
        <s v="62_ISQM 2_CAQ"/>
        <s v="63_ISQM 2_CAANZ-ACCA"/>
        <s v="64_ISQM 2_CICC-AIC"/>
        <s v="65_ISQM 2_CCC-ICPARD"/>
        <s v="66_ISQM 2_CPAA"/>
        <s v="67_ISQM 2_EXPERT"/>
        <s v="68_ISQM 2_FAR"/>
        <s v="69_ISQM 2_FACPCE"/>
        <s v="70_ISQM 2_FSR"/>
        <s v="71_ISQM 2_SMPC"/>
        <s v="72_ISQM 2_ICPAS"/>
        <s v="73_ISQM 2_IEC-IAB"/>
        <s v="74_ISQM 2_ICAEW"/>
        <s v="75_ISQM 2_ICAP"/>
        <s v="76_ISQM 2_ICAS"/>
        <s v="77_ISQM 2_ICPAU"/>
        <s v="78_ISQM 2_IBRACON"/>
        <s v="79_ISQM 2_ISCA"/>
        <s v="80_ISQM 2_ICJCE"/>
        <s v="81_ISQM 2_IMCP"/>
        <s v="82_ISQM 2_KICPA"/>
        <s v="83_ISQM 2_MICPA"/>
        <s v="84_ISQM 2_NASBA"/>
        <s v="85_ISQM 2_ NYSSCPA"/>
        <s v="86_ISQM 2_NRF"/>
        <s v="87_ISQM 2_SRO-AAS"/>
        <s v="88_ISQM 2_SAICA"/>
        <s v="89_ISQM 2_WPK"/>
        <s v="90_ISQM 2_TAS-CAA"/>
        <s v="91_ISQM 2_VM"/>
      </sharedItems>
    </cacheField>
    <cacheField name="Function" numFmtId="0">
      <sharedItems count="8">
        <s v="1 Monitoring Group"/>
        <s v="2 Investors and Analysts"/>
        <s v="3 Regulators and Audit Oversight Authorities"/>
        <s v="4 National Auditing Standard Setters"/>
        <s v="5 Accounting Firms"/>
        <s v="6 Public Sector Organizations"/>
        <s v="7 Member Bodies and Other Professional Organizations"/>
        <s v="8 Individuals and Others"/>
      </sharedItems>
    </cacheField>
    <cacheField name="Region" numFmtId="0">
      <sharedItems/>
    </cacheField>
    <cacheField name="Agree" numFmtId="0">
      <sharedItems containsSemiMixedTypes="0" containsString="0" containsNumber="1" containsInteger="1" minValue="0" maxValue="1"/>
    </cacheField>
    <cacheField name="Agree but with further comments" numFmtId="0">
      <sharedItems containsSemiMixedTypes="0" containsString="0" containsNumber="1" containsInteger="1" minValue="0" maxValue="1"/>
    </cacheField>
    <cacheField name="Disagree" numFmtId="0">
      <sharedItems containsSemiMixedTypes="0" containsString="0" containsNumber="1" containsInteger="1" minValue="0" maxValue="1"/>
    </cacheField>
    <cacheField name="Unclear or no specific response or refer to other respondent's views" numFmtId="0">
      <sharedItems containsSemiMixedTypes="0" containsString="0" containsNumber="1" containsInteger="1" minValue="0" maxValue="1"/>
    </cacheField>
    <cacheField name="Total"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ane Talatala" refreshedDate="43706.590609722225" createdVersion="6" refreshedVersion="6" minRefreshableVersion="3" recordCount="99" xr:uid="{32B6BB82-78D8-4CF5-AE6B-69A46EC73A0A}">
  <cacheSource type="worksheet">
    <worksheetSource ref="A1:S100" sheet="Q11-Respondent by Theme"/>
  </cacheSource>
  <cacheFields count="19">
    <cacheField name="Respondent" numFmtId="0">
      <sharedItems/>
    </cacheField>
    <cacheField name="Case No._Respondent Acronym" numFmtId="0">
      <sharedItems count="99">
        <s v="01_BCBS"/>
        <s v="02_IAIS"/>
        <s v="03_IFIAR"/>
        <s v="04_IOSCO"/>
        <s v="05_CRUF"/>
        <s v="06_ICGN"/>
        <s v="07_CPAB"/>
        <s v="08_FRC"/>
        <s v="09_IRBA"/>
        <s v="10_IAASA"/>
        <s v="11_AICPA"/>
        <s v="12_AUASB"/>
        <s v="13_CAASB"/>
        <s v="14_CICPA"/>
        <s v="15_CNCC-CSOEC"/>
        <s v="16_CFC"/>
        <s v="17_HKICPA"/>
        <s v="18_IDW"/>
        <s v="19_JICPA"/>
        <s v="20_KSW"/>
        <s v="21_MAASB"/>
        <s v="22_NZAASB"/>
        <s v="23_NBA"/>
        <s v="24_SOCPA"/>
        <s v="25_BTI"/>
        <s v="26_BTVK"/>
        <s v="27_BDO"/>
        <s v="28_CASI"/>
        <s v="29_CHI"/>
        <s v="30_DTTL"/>
        <s v="31_DTL"/>
        <s v="32_ETY"/>
        <s v="33_EYG"/>
        <s v="34_GTIL"/>
        <s v="35_HM"/>
        <s v="36_KPMG"/>
        <s v="37_KI"/>
        <s v="38_MZRS"/>
        <s v="39_MZRSUS"/>
        <s v="40_MGI"/>
        <s v="41_MNP"/>
        <s v="42_MSI"/>
        <s v="43_NI"/>
        <s v="44_NSW"/>
        <s v="45_PKFI"/>
        <s v="46_PKFSA"/>
        <s v="47_PwC"/>
        <s v="48_RSMI"/>
        <s v="49_SRA"/>
        <s v="50_AGSA"/>
        <s v="51_ACAG"/>
        <s v="52_INTOSAI"/>
        <s v="53_NAOM"/>
        <s v="54_OAGNZ"/>
        <s v="55_OAGA"/>
        <s v="56_OAGC"/>
        <s v="57_PAS"/>
        <s v="58_SNAO"/>
        <s v="59_GAO"/>
        <s v="60_AE"/>
        <s v="61_APESB"/>
        <s v="62_IBR-IRE"/>
        <s v="63_CAI"/>
        <s v="64_CalCPA"/>
        <s v="65_CAQ"/>
        <s v="66_CAANZ-ACCA"/>
        <s v="67_CICC-AIC"/>
        <s v="68_CCC-ICPARD"/>
        <s v="69_CNDCEC"/>
        <s v="70_CPAA"/>
        <s v="71_EFAA"/>
        <s v="72_EXPERT"/>
        <s v="73_FAR"/>
        <s v="74_FSR"/>
        <s v="75_SMPC"/>
        <s v="76_ICPAS"/>
        <s v="77_IEC-IAB"/>
        <s v="78_ICAEW"/>
        <s v="79_ICAP"/>
        <s v="80_ICAS"/>
        <s v="81_ICASL"/>
        <s v="82_ICPAU"/>
        <s v="83_IBRACON"/>
        <s v="84_ISCA"/>
        <s v="85_ICJCE"/>
        <s v="86_IMCP"/>
        <s v="87_KICPA"/>
        <s v="88_MICPA"/>
        <s v="89_NASBA"/>
        <s v="90_NYSSCPA"/>
        <s v="91_NRF"/>
        <s v="92_RICS"/>
        <s v="93_SRO-AAS"/>
        <s v="94_SAICA"/>
        <s v="95_FAAPA"/>
        <s v="96_WPK"/>
        <s v="97_UNSW"/>
        <s v="98_TAS-CAA"/>
        <s v="99_VM"/>
      </sharedItems>
    </cacheField>
    <cacheField name="Function" numFmtId="0">
      <sharedItems count="9">
        <s v="1 Monitoring Group"/>
        <s v="2 Investors and Analysts"/>
        <s v="3 Regulators and Audit Oversight Authorities"/>
        <s v="4 National Auditing Standard Setters"/>
        <s v="5 Accounting Firms"/>
        <s v="6 Public Sector Organizations"/>
        <s v="7 Member Bodies and Other Professional Organizations"/>
        <s v="8 Academics"/>
        <s v="9 Individuals and Others"/>
      </sharedItems>
    </cacheField>
    <cacheField name="Region" numFmtId="0">
      <sharedItems/>
    </cacheField>
    <cacheField name="Agree" numFmtId="0">
      <sharedItems containsSemiMixedTypes="0" containsString="0" containsNumber="1" containsInteger="1" minValue="0" maxValue="1"/>
    </cacheField>
    <cacheField name="Agree but with further comments" numFmtId="0">
      <sharedItems containsSemiMixedTypes="0" containsString="0" containsNumber="1" containsInteger="1" minValue="0" maxValue="1"/>
    </cacheField>
    <cacheField name="01 EQ reviews should be mandated for internationally active banks or insurers, particularly those with significant scale" numFmtId="0">
      <sharedItems containsSemiMixedTypes="0" containsString="0" containsNumber="1" containsInteger="1" minValue="0" maxValue="1"/>
    </cacheField>
    <cacheField name="02 Concerns over inconsistency in application of SPI versus PIE concept, including lack of definition of SPI" numFmtId="0">
      <sharedItems containsSemiMixedTypes="0" containsString="0" containsNumber="1" containsInteger="1" minValue="0" maxValue="1"/>
    </cacheField>
    <cacheField name="03 Clarification in application material or additional guidance on SPI" numFmtId="0">
      <sharedItems containsSemiMixedTypes="0" containsString="0" containsNumber="1" containsInteger="1" minValue="0" maxValue="1"/>
    </cacheField>
    <cacheField name="04 Guidance in para. A102 of ED-ISQM 1 is unclear whether the concept includes all or only certain types of entities" numFmtId="0">
      <sharedItems containsSemiMixedTypes="0" containsString="0" containsNumber="1" containsInteger="1" minValue="0" maxValue="1"/>
    </cacheField>
    <cacheField name="05 Need to describe how SPI relates to PIE in the IESBA Code" numFmtId="0">
      <sharedItems containsSemiMixedTypes="0" containsString="0" containsNumber="1" containsInteger="1" minValue="0" maxValue="1"/>
    </cacheField>
    <cacheField name="06 Need to consider jurisdictional requirements that may already address SPI" numFmtId="0">
      <sharedItems containsSemiMixedTypes="0" containsString="0" containsNumber="1" containsInteger="1" minValue="0" maxValue="1"/>
    </cacheField>
    <cacheField name="07 Implementation challenges for the public sector" numFmtId="0">
      <sharedItems containsSemiMixedTypes="0" containsString="0" containsNumber="1" containsInteger="1" minValue="0" maxValue="1"/>
    </cacheField>
    <cacheField name="Disagree" numFmtId="0">
      <sharedItems containsSemiMixedTypes="0" containsString="0" containsNumber="1" containsInteger="1" minValue="0" maxValue="1"/>
    </cacheField>
    <cacheField name="01 ED-ISQM 1 already requires a risk-based approach to determining engagements subject to an EQ review" numFmtId="0">
      <sharedItems containsSemiMixedTypes="0" containsString="0" containsNumber="1" containsInteger="1" minValue="0" maxValue="1"/>
    </cacheField>
    <cacheField name="02 EQ reviews should be mandatory only for listed entities and when prescribed by law or regulation" numFmtId="0">
      <sharedItems containsSemiMixedTypes="0" containsString="0" containsNumber="1" containsInteger="1" minValue="0" maxValue="1"/>
    </cacheField>
    <cacheField name="03 Will not result in a proper identification of engagements in the public sector" numFmtId="0">
      <sharedItems containsSemiMixedTypes="0" containsString="0" containsNumber="1" containsInteger="1" minValue="0" maxValue="1"/>
    </cacheField>
    <cacheField name="04 Certain respondents seemed to misunderstand the concept of SPI (e.g., read it to mean PIE or would be translated as such)" numFmtId="0">
      <sharedItems containsSemiMixedTypes="0" containsString="0" containsNumber="1" containsInteger="1" minValue="0" maxValue="1"/>
    </cacheField>
    <cacheField name="Unclear or no specific response or refer to other respondent's view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ane Talatala" refreshedDate="43706.590610763888" createdVersion="6" refreshedVersion="6" minRefreshableVersion="3" recordCount="91" xr:uid="{5558D0F1-6322-4BC5-BBE7-0CF221B514AB}">
  <cacheSource type="worksheet">
    <worksheetSource ref="A1:S92" sheet="Q4(a)-Respondent by Theme"/>
  </cacheSource>
  <cacheFields count="19">
    <cacheField name="Respondent" numFmtId="0">
      <sharedItems/>
    </cacheField>
    <cacheField name="Case No._ISQM 2_Respondent Acronym" numFmtId="0">
      <sharedItems count="91">
        <s v="01_ISQM 2_BCBS"/>
        <s v="02_ISQM 2_IAIS"/>
        <s v="03_ISQM 2_IFIAR"/>
        <s v="04_ISQM 2_IOSCO"/>
        <s v="05_ISQM 2_ICGN"/>
        <s v="06_ISQM 2_CPAB"/>
        <s v="07_ISQM 2_FRC"/>
        <s v="08_ISQM 2_IRBA"/>
        <s v="09_ISQM 2_IAASA"/>
        <s v="10_ISQM 2_AICPA"/>
        <s v="11_ISQM 2_AUASB"/>
        <s v="12_ISQM 2_CAASB"/>
        <s v="13_ISQM 2_CICPA"/>
        <s v="14_ISQM 2_CNCC-CSOEC"/>
        <s v="15_ISQM 2_CFC"/>
        <s v="16_ISQM 2_HKICPA"/>
        <s v="17_ISQM 2_IDW"/>
        <s v="18_ISQM 2_JICPA"/>
        <s v="19_ISQM 2_KSW"/>
        <s v="20_ISQM 2_MAASB"/>
        <s v="21_ISQM 2_NZAASB"/>
        <s v="22_ISQM 2_NBA"/>
        <s v="23_ISQM 2_BTI"/>
        <s v="24_ISQM 2_BTVK"/>
        <s v="25_ISQM 2_BDO"/>
        <s v="26_ISQM 2_CASI"/>
        <s v="27_ISQM 2_CHI"/>
        <s v="28_ISQM 2_DTTL"/>
        <s v="29_ISQM 2_DTL"/>
        <s v="30_ISQM 2_ETY"/>
        <s v="31_ISQM 2_EYG"/>
        <s v="32_ISQM 2_GTIL"/>
        <s v="33_ISQM 2_HM"/>
        <s v="34_ISQM 2_KPMG"/>
        <s v="35_ISQM 2_KI"/>
        <s v="36_ISQM 2_MZRS"/>
        <s v="37_ISQM 2_MZRSUS"/>
        <s v="38_ISQM 2_MNP"/>
        <s v="39_ISQM 2_MSI"/>
        <s v="40_ISQM 2_NI"/>
        <s v="41_ISQM 2_NSW"/>
        <s v="42_ISQM 2_PKFI"/>
        <s v="43_ISQM2_PKFSA"/>
        <s v="44_ISQM 2_PwC"/>
        <s v="45_ISQM 2_RSMI"/>
        <s v="46_ISQM 2_AGSA"/>
        <s v="47_ISQM 2_ACAG"/>
        <s v="48_ISQM 2_INTOSAI"/>
        <s v="49_ISQM 2_NAOM"/>
        <s v="50_ISQM 2_OAGNZ"/>
        <s v="51_ISQM 2_OAGA"/>
        <s v="52_ISQM 2_OAGC"/>
        <s v="53_ISQM 2_PAS"/>
        <s v="54_ISQM 2_SNAO"/>
        <s v="55_ISQM 2_GAO"/>
        <s v="56_ISQM 2_AE"/>
        <s v="57_ISQM 2_APESB"/>
        <s v="58_ISQM 2_IBR-IRE"/>
        <s v="59_ISQM 2_BICA"/>
        <s v="60_ISQM 2_CAI"/>
        <s v="61_ISQM 2_CalCPA"/>
        <s v="62_ISQM 2_CAQ"/>
        <s v="63_ISQM 2_CAANZ-ACCA"/>
        <s v="64_ISQM 2_CICC-AIC"/>
        <s v="65_ISQM 2_CCC-ICPARD"/>
        <s v="66_ISQM 2_CPAA"/>
        <s v="67_ISQM 2_EXPERT"/>
        <s v="68_ISQM 2_FAR"/>
        <s v="69_ISQM 2_FACPCE"/>
        <s v="70_ISQM 2_FSR"/>
        <s v="71_ISQM 2_SMPC"/>
        <s v="72_ISQM 2_ICPAS"/>
        <s v="73_ISQM 2_IEC-IAB"/>
        <s v="74_ISQM 2_ICAEW"/>
        <s v="75_ISQM 2_ICAP"/>
        <s v="76_ISQM 2_ICAS"/>
        <s v="77_ISQM 2_ICPAU"/>
        <s v="78_ISQM 2_IBRACON"/>
        <s v="79_ISQM 2_ISCA"/>
        <s v="80_ISQM 2_ICJCE"/>
        <s v="81_ISQM 2_IMCP"/>
        <s v="82_ISQM 2_KICPA"/>
        <s v="83_ISQM 2_MICPA"/>
        <s v="84_ISQM 2_NASBA"/>
        <s v="85_ISQM 2_ NYSSCPA"/>
        <s v="86_ISQM 2_NRF"/>
        <s v="87_ISQM 2_SRO-AAS"/>
        <s v="88_ISQM 2_SAICA"/>
        <s v="89_ISQM 2_WPK"/>
        <s v="90_ISQM 2_TAS-CAA"/>
        <s v="91_ISQM 2_VM"/>
      </sharedItems>
    </cacheField>
    <cacheField name="Function" numFmtId="0">
      <sharedItems count="8">
        <s v="1 Monitoring Group"/>
        <s v="2 Investors and Analysts"/>
        <s v="3 Regulators and Audit Oversight Authorities"/>
        <s v="4 National Auditing Standard Setters"/>
        <s v="5 Accounting Firms"/>
        <s v="6 Public Sector Organizations"/>
        <s v="7 Member Bodies and Other Professional Organizations"/>
        <s v="8 Individuals and Others"/>
      </sharedItems>
    </cacheField>
    <cacheField name="Region" numFmtId="0">
      <sharedItems/>
    </cacheField>
    <cacheField name="Agree" numFmtId="0">
      <sharedItems containsSemiMixedTypes="0" containsString="0" containsNumber="1" containsInteger="1" minValue="0" maxValue="1"/>
    </cacheField>
    <cacheField name="Agree but with further comments" numFmtId="0">
      <sharedItems containsSemiMixedTypes="0" containsString="0" containsNumber="1" containsInteger="1" minValue="0" maxValue="1"/>
    </cacheField>
    <cacheField name="01 Cooling-off period as requirement in ISQM 2 or in the IESBA Code" numFmtId="0">
      <sharedItems containsSemiMixedTypes="0" containsString="0" containsNumber="1" containsInteger="1" minValue="0" maxValue="1"/>
    </cacheField>
    <cacheField name="02 Flexibility of cooling-off period depending on the nature and circumstances of the engagement" numFmtId="0">
      <sharedItems containsSemiMixedTypes="0" containsString="0" containsNumber="1" containsInteger="1" minValue="0" maxValue="1"/>
    </cacheField>
    <cacheField name="03 Guidance on cooling-off period in para. A5 would become a de facto requirement" numFmtId="0">
      <sharedItems containsSemiMixedTypes="0" containsString="0" containsNumber="1" containsInteger="1" minValue="0" maxValue="1"/>
    </cacheField>
    <cacheField name="04 Difficult to envision a situation where threats to objectivity can be reduced to an acceptable level" numFmtId="0">
      <sharedItems containsSemiMixedTypes="0" containsString="0" containsNumber="1" containsInteger="1" minValue="0" maxValue="1"/>
    </cacheField>
    <cacheField name="05 More guidance on determining suitable cooling-off period will be needed to drive consistent application" numFmtId="0">
      <sharedItems containsSemiMixedTypes="0" containsString="0" containsNumber="1" containsInteger="1" minValue="0" maxValue="1"/>
    </cacheField>
    <cacheField name="06 Guidance should also address other key audit partners or other individuals stepping into the EQ reviewer role" numFmtId="0">
      <sharedItems containsSemiMixedTypes="0" containsString="0" containsNumber="1" containsInteger="1" minValue="0" maxValue="1"/>
    </cacheField>
    <cacheField name="07 Length of cooling-off period (e.g., firm policy, 2 yrs. or 3 yrs.)" numFmtId="0">
      <sharedItems containsSemiMixedTypes="0" containsString="0" containsNumber="1" containsInteger="1" minValue="0" maxValue="1"/>
    </cacheField>
    <cacheField name="Disagree" numFmtId="0">
      <sharedItems containsSemiMixedTypes="0" containsString="0" containsNumber="1" containsInteger="1" minValue="0" maxValue="1"/>
    </cacheField>
    <cacheField name="01 Not convinced that the EQ review would be less effective because the EQ reviewer previously served on the engagement" numFmtId="0">
      <sharedItems containsSemiMixedTypes="0" containsString="0" containsNumber="1" containsInteger="1" minValue="0" maxValue="1"/>
    </cacheField>
    <cacheField name="02 Appear to be overemphasizing objectivity compared to competence of EQ reviewers" numFmtId="0">
      <sharedItems containsSemiMixedTypes="0" containsString="0" containsNumber="1" containsInteger="1" minValue="0" maxValue="1"/>
    </cacheField>
    <cacheField name="03 Provisions in the IESBA Code already sufficiently deal with cooling-off periods" numFmtId="0">
      <sharedItems containsSemiMixedTypes="0" containsString="0" containsNumber="1" containsInteger="1" minValue="0" maxValue="1"/>
    </cacheField>
    <cacheField name="04 Para. 16 and A5 are inconsistent with, or go beyond, the provisions of the IESBA Code" numFmtId="0">
      <sharedItems containsSemiMixedTypes="0" containsString="0" containsNumber="1" containsInteger="1" minValue="0" maxValue="1"/>
    </cacheField>
    <cacheField name="Unclear or no specific response or refer to other respondent's view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ane Talatala" refreshedDate="43706.590611805557" createdVersion="6" refreshedVersion="6" minRefreshableVersion="3" recordCount="99" xr:uid="{CB7926FA-918E-4891-81A4-9D77162B8F27}">
  <cacheSource type="worksheet">
    <worksheetSource ref="A1:I100" sheet="Q11-Respondent by Category"/>
  </cacheSource>
  <cacheFields count="9">
    <cacheField name="Respondent" numFmtId="0">
      <sharedItems/>
    </cacheField>
    <cacheField name="Case No._Respondent Acronym" numFmtId="0">
      <sharedItems count="99">
        <s v="01_BCBS"/>
        <s v="02_IAIS"/>
        <s v="03_IFIAR"/>
        <s v="04_IOSCO"/>
        <s v="05_CRUF"/>
        <s v="06_ICGN"/>
        <s v="07_CPAB"/>
        <s v="08_FRC"/>
        <s v="09_IRBA"/>
        <s v="10_IAASA"/>
        <s v="11_AICPA"/>
        <s v="12_AUASB"/>
        <s v="13_CAASB"/>
        <s v="14_CICPA"/>
        <s v="15_CNCC-CSOEC"/>
        <s v="16_CFC"/>
        <s v="17_HKICPA"/>
        <s v="18_IDW"/>
        <s v="19_JICPA"/>
        <s v="20_KSW"/>
        <s v="21_MAASB"/>
        <s v="22_NZAASB"/>
        <s v="23_NBA"/>
        <s v="24_SOCPA"/>
        <s v="25_BTI"/>
        <s v="26_BTVK"/>
        <s v="27_BDO"/>
        <s v="28_CASI"/>
        <s v="29_CHI"/>
        <s v="30_DTTL"/>
        <s v="31_DTL"/>
        <s v="32_ETY"/>
        <s v="33_EYG"/>
        <s v="34_GTIL"/>
        <s v="35_HM"/>
        <s v="36_KPMG"/>
        <s v="37_KI"/>
        <s v="38_MZRS"/>
        <s v="39_MZRSUS"/>
        <s v="40_MGI"/>
        <s v="41_MNP"/>
        <s v="42_MSI"/>
        <s v="43_NI"/>
        <s v="44_NSW"/>
        <s v="45_PKFI"/>
        <s v="46_PKFSA"/>
        <s v="47_PwC"/>
        <s v="48_RSMI"/>
        <s v="49_SRA"/>
        <s v="50_AGSA"/>
        <s v="51_ACAG"/>
        <s v="52_INTOSAI"/>
        <s v="53_NAOM"/>
        <s v="54_OAGNZ"/>
        <s v="55_OAGA"/>
        <s v="56_OAGC"/>
        <s v="57_PAS"/>
        <s v="58_SNAO"/>
        <s v="59_GAO"/>
        <s v="60_AE"/>
        <s v="61_APESB"/>
        <s v="62_IBR-IRE"/>
        <s v="63_CAI"/>
        <s v="64_CalCPA"/>
        <s v="65_CAQ"/>
        <s v="66_CAANZ-ACCA"/>
        <s v="67_CICC-AIC"/>
        <s v="68_CCC-ICPARD"/>
        <s v="69_CNDCEC"/>
        <s v="70_CPAA"/>
        <s v="71_EFAA"/>
        <s v="72_EXPERT"/>
        <s v="73_FAR"/>
        <s v="74_FSR"/>
        <s v="75_SMPC"/>
        <s v="76_ICPAS"/>
        <s v="77_IEC-IAB"/>
        <s v="78_ICAEW"/>
        <s v="79_ICAP"/>
        <s v="80_ICAS"/>
        <s v="81_ICASL"/>
        <s v="82_ICPAU"/>
        <s v="83_IBRACON"/>
        <s v="84_ISCA"/>
        <s v="85_ICJCE"/>
        <s v="86_IMCP"/>
        <s v="87_KICPA"/>
        <s v="88_MICPA"/>
        <s v="89_NASBA"/>
        <s v="90_NYSSCPA"/>
        <s v="91_NRF"/>
        <s v="92_RICS"/>
        <s v="93_SRO-AAS"/>
        <s v="94_SAICA"/>
        <s v="95_FAAPA"/>
        <s v="96_WPK"/>
        <s v="97_UNSW"/>
        <s v="98_TAS-CAA"/>
        <s v="99_VM"/>
      </sharedItems>
    </cacheField>
    <cacheField name="Function" numFmtId="0">
      <sharedItems count="9">
        <s v="1 Monitoring Group"/>
        <s v="2 Investors and Analysts"/>
        <s v="3 Regulators and Audit Oversight Authorities"/>
        <s v="4 National Auditing Standard Setters"/>
        <s v="5 Accounting Firms"/>
        <s v="6 Public Sector Organizations"/>
        <s v="7 Member Bodies and Other Professional Organizations"/>
        <s v="8 Academics"/>
        <s v="9 Individuals and Others"/>
      </sharedItems>
    </cacheField>
    <cacheField name="Region" numFmtId="0">
      <sharedItems/>
    </cacheField>
    <cacheField name="Agree" numFmtId="0">
      <sharedItems containsSemiMixedTypes="0" containsString="0" containsNumber="1" containsInteger="1" minValue="0" maxValue="1"/>
    </cacheField>
    <cacheField name="Agree but with further comments" numFmtId="0">
      <sharedItems containsSemiMixedTypes="0" containsString="0" containsNumber="1" containsInteger="1" minValue="0" maxValue="1"/>
    </cacheField>
    <cacheField name="Disagree" numFmtId="0">
      <sharedItems containsSemiMixedTypes="0" containsString="0" containsNumber="1" containsInteger="1" minValue="0" maxValue="1"/>
    </cacheField>
    <cacheField name="Unclear or no specific response or refer to other respondent's views" numFmtId="0">
      <sharedItems containsSemiMixedTypes="0" containsString="0" containsNumber="1" containsInteger="1" minValue="0" maxValue="1"/>
    </cacheField>
    <cacheField name="Total"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Cases\\1 Monitoring Group\\01_ISQM 2_BCBS"/>
    <x v="0"/>
    <x v="0"/>
    <s v="Global"/>
    <n v="0"/>
    <n v="0"/>
    <n v="0"/>
    <n v="1"/>
    <n v="1"/>
  </r>
  <r>
    <s v="Cases\\1 Monitoring Group\\02_ISQM 2_IAIS"/>
    <x v="1"/>
    <x v="0"/>
    <s v="Global"/>
    <n v="0"/>
    <n v="0"/>
    <n v="0"/>
    <n v="1"/>
    <n v="1"/>
  </r>
  <r>
    <s v="Cases\\1 Monitoring Group\\03_ISQM 2_IFIAR"/>
    <x v="2"/>
    <x v="0"/>
    <s v="Global"/>
    <n v="0"/>
    <n v="0"/>
    <n v="0"/>
    <n v="1"/>
    <n v="1"/>
  </r>
  <r>
    <s v="Cases\\1 Monitoring Group\\04_ISQM 2_IOSCO"/>
    <x v="3"/>
    <x v="0"/>
    <s v="Global"/>
    <n v="0"/>
    <n v="1"/>
    <n v="0"/>
    <n v="0"/>
    <n v="1"/>
  </r>
  <r>
    <s v="Cases\\2 Investors and Analysts\\05_ISQM 2_ICGN"/>
    <x v="4"/>
    <x v="1"/>
    <s v="Global"/>
    <n v="0"/>
    <n v="0"/>
    <n v="0"/>
    <n v="1"/>
    <n v="1"/>
  </r>
  <r>
    <s v="Cases\\3 Regulators and Oversight Authorities\\06_ISQM 2_CPAB"/>
    <x v="5"/>
    <x v="2"/>
    <s v="North America"/>
    <n v="0"/>
    <n v="0"/>
    <n v="0"/>
    <n v="1"/>
    <n v="1"/>
  </r>
  <r>
    <s v="Cases\\3 Regulators and Oversight Authorities\\07_ISQM 2_FRC"/>
    <x v="6"/>
    <x v="2"/>
    <s v="Europe"/>
    <n v="0"/>
    <n v="1"/>
    <n v="0"/>
    <n v="0"/>
    <n v="1"/>
  </r>
  <r>
    <s v="Cases\\3 Regulators and Oversight Authorities\\08_ISQM 2_IRBA"/>
    <x v="7"/>
    <x v="2"/>
    <s v="Middle East and Africa"/>
    <n v="0"/>
    <n v="1"/>
    <n v="0"/>
    <n v="0"/>
    <n v="1"/>
  </r>
  <r>
    <s v="Cases\\3 Regulators and Oversight Authorities\\09_ISQM 2_IAASA"/>
    <x v="8"/>
    <x v="2"/>
    <s v="Europe"/>
    <n v="0"/>
    <n v="1"/>
    <n v="0"/>
    <n v="0"/>
    <n v="1"/>
  </r>
  <r>
    <s v="Cases\\4 National Auditing Standard Setters\\10_ISQM 2_AICPA"/>
    <x v="9"/>
    <x v="3"/>
    <s v="North America"/>
    <n v="0"/>
    <n v="0"/>
    <n v="1"/>
    <n v="0"/>
    <n v="1"/>
  </r>
  <r>
    <s v="Cases\\4 National Auditing Standard Setters\\11_ISQM 2_AUASB"/>
    <x v="10"/>
    <x v="3"/>
    <s v="Asia Pacific"/>
    <n v="0"/>
    <n v="0"/>
    <n v="1"/>
    <n v="0"/>
    <n v="1"/>
  </r>
  <r>
    <s v="Cases\\4 National Auditing Standard Setters\\12_ISQM 2_CAASB"/>
    <x v="11"/>
    <x v="3"/>
    <s v="North America"/>
    <n v="0"/>
    <n v="0"/>
    <n v="0"/>
    <n v="1"/>
    <n v="1"/>
  </r>
  <r>
    <s v="Cases\\4 National Auditing Standard Setters\\13_ISQM 2_CICPA"/>
    <x v="12"/>
    <x v="3"/>
    <s v="Asia Pacific"/>
    <n v="0"/>
    <n v="0"/>
    <n v="0"/>
    <n v="1"/>
    <n v="1"/>
  </r>
  <r>
    <s v="Cases\\4 National Auditing Standard Setters\\14_ISQM 2_CNCC-CSOEC"/>
    <x v="13"/>
    <x v="3"/>
    <s v="Europe"/>
    <n v="1"/>
    <n v="0"/>
    <n v="0"/>
    <n v="0"/>
    <n v="1"/>
  </r>
  <r>
    <s v="Cases\\4 National Auditing Standard Setters\\15_ISQM 2_CFC"/>
    <x v="14"/>
    <x v="3"/>
    <s v="South America"/>
    <n v="0"/>
    <n v="1"/>
    <n v="0"/>
    <n v="0"/>
    <n v="1"/>
  </r>
  <r>
    <s v="Cases\\4 National Auditing Standard Setters\\16_ISQM 2_HKICPA"/>
    <x v="15"/>
    <x v="3"/>
    <s v="Asia Pacific"/>
    <n v="0"/>
    <n v="1"/>
    <n v="0"/>
    <n v="0"/>
    <n v="1"/>
  </r>
  <r>
    <s v="Cases\\4 National Auditing Standard Setters\\17_ISQM 2_IDW"/>
    <x v="16"/>
    <x v="3"/>
    <s v="Europe"/>
    <n v="0"/>
    <n v="0"/>
    <n v="1"/>
    <n v="0"/>
    <n v="1"/>
  </r>
  <r>
    <s v="Cases\\4 National Auditing Standard Setters\\18_ISQM 2_JICPA"/>
    <x v="17"/>
    <x v="3"/>
    <s v="Asia Pacific"/>
    <n v="0"/>
    <n v="1"/>
    <n v="0"/>
    <n v="0"/>
    <n v="1"/>
  </r>
  <r>
    <s v="Cases\\4 National Auditing Standard Setters\\19_ISQM 2_KSW"/>
    <x v="18"/>
    <x v="3"/>
    <s v="Europe"/>
    <n v="0"/>
    <n v="1"/>
    <n v="0"/>
    <n v="0"/>
    <n v="1"/>
  </r>
  <r>
    <s v="Cases\\4 National Auditing Standard Setters\\20_ISQM 2_MAASB"/>
    <x v="19"/>
    <x v="3"/>
    <s v="Asia Pacific"/>
    <n v="0"/>
    <n v="0"/>
    <n v="1"/>
    <n v="0"/>
    <n v="1"/>
  </r>
  <r>
    <s v="Cases\\4 National Auditing Standard Setters\\21_ISQM 2_NZAASB"/>
    <x v="20"/>
    <x v="3"/>
    <s v="Asia Pacific"/>
    <n v="0"/>
    <n v="0"/>
    <n v="1"/>
    <n v="0"/>
    <n v="1"/>
  </r>
  <r>
    <s v="Cases\\4 National Auditing Standard Setters\\22_ISQM 2_NBA"/>
    <x v="21"/>
    <x v="3"/>
    <s v="Europe"/>
    <n v="0"/>
    <n v="0"/>
    <n v="1"/>
    <n v="0"/>
    <n v="1"/>
  </r>
  <r>
    <s v="Cases\\5 Accounting Firms\\23_ISQM 2_BTI"/>
    <x v="22"/>
    <x v="4"/>
    <s v="Global"/>
    <n v="0"/>
    <n v="1"/>
    <n v="0"/>
    <n v="0"/>
    <n v="1"/>
  </r>
  <r>
    <s v="Cases\\5 Accounting Firms\\24_ISQM 2_BTVK"/>
    <x v="23"/>
    <x v="4"/>
    <s v="North America"/>
    <n v="0"/>
    <n v="1"/>
    <n v="0"/>
    <n v="0"/>
    <n v="1"/>
  </r>
  <r>
    <s v="Cases\\5 Accounting Firms\\25_ISQM 2_BDO"/>
    <x v="24"/>
    <x v="4"/>
    <s v="Global"/>
    <n v="0"/>
    <n v="1"/>
    <n v="0"/>
    <n v="0"/>
    <n v="1"/>
  </r>
  <r>
    <s v="Cases\\5 Accounting Firms\\26_ISQM 2_CASI"/>
    <x v="25"/>
    <x v="4"/>
    <s v="Asia Pacific"/>
    <n v="0"/>
    <n v="0"/>
    <n v="0"/>
    <n v="1"/>
    <n v="1"/>
  </r>
  <r>
    <s v="Cases\\5 Accounting Firms\\27_ISQM 2_CHI"/>
    <x v="26"/>
    <x v="4"/>
    <s v="Global"/>
    <n v="0"/>
    <n v="1"/>
    <n v="0"/>
    <n v="0"/>
    <n v="1"/>
  </r>
  <r>
    <s v="Cases\\5 Accounting Firms\\28_ISQM 2_DTTL"/>
    <x v="27"/>
    <x v="4"/>
    <s v="Global"/>
    <n v="0"/>
    <n v="0"/>
    <n v="1"/>
    <n v="0"/>
    <n v="1"/>
  </r>
  <r>
    <s v="Cases\\5 Accounting Firms\\29_ISQM 2_DTL"/>
    <x v="28"/>
    <x v="4"/>
    <s v="Europe"/>
    <n v="0"/>
    <n v="1"/>
    <n v="0"/>
    <n v="0"/>
    <n v="1"/>
  </r>
  <r>
    <s v="Cases\\5 Accounting Firms\\30_ISQM 2_ETY"/>
    <x v="29"/>
    <x v="4"/>
    <s v="Middle East and Africa"/>
    <n v="0"/>
    <n v="0"/>
    <n v="1"/>
    <n v="0"/>
    <n v="1"/>
  </r>
  <r>
    <s v="Cases\\5 Accounting Firms\\31_ISQM 2_EYG"/>
    <x v="30"/>
    <x v="4"/>
    <s v="Global"/>
    <n v="0"/>
    <n v="0"/>
    <n v="1"/>
    <n v="0"/>
    <n v="1"/>
  </r>
  <r>
    <s v="Cases\\5 Accounting Firms\\32_ISQM 2_GTIL"/>
    <x v="31"/>
    <x v="4"/>
    <s v="Global"/>
    <n v="0"/>
    <n v="0"/>
    <n v="1"/>
    <n v="0"/>
    <n v="1"/>
  </r>
  <r>
    <s v="Cases\\5 Accounting Firms\\33_ISQM 2_HM"/>
    <x v="32"/>
    <x v="4"/>
    <s v="Europe"/>
    <n v="1"/>
    <n v="0"/>
    <n v="0"/>
    <n v="0"/>
    <n v="1"/>
  </r>
  <r>
    <s v="Cases\\5 Accounting Firms\\34_ISQM 2_KPMG"/>
    <x v="33"/>
    <x v="4"/>
    <s v="Global"/>
    <n v="0"/>
    <n v="1"/>
    <n v="0"/>
    <n v="0"/>
    <n v="1"/>
  </r>
  <r>
    <s v="Cases\\5 Accounting Firms\\35_ISQM 2_KI"/>
    <x v="34"/>
    <x v="4"/>
    <s v="Global"/>
    <n v="0"/>
    <n v="1"/>
    <n v="0"/>
    <n v="0"/>
    <n v="1"/>
  </r>
  <r>
    <s v="Cases\\5 Accounting Firms\\36_ISQM 2_MZRS"/>
    <x v="35"/>
    <x v="4"/>
    <s v="Global"/>
    <n v="0"/>
    <n v="1"/>
    <n v="0"/>
    <n v="0"/>
    <n v="1"/>
  </r>
  <r>
    <s v="Cases\\5 Accounting Firms\\37_ISQM 2_MZRSUS"/>
    <x v="36"/>
    <x v="4"/>
    <s v="North America"/>
    <n v="0"/>
    <n v="1"/>
    <n v="0"/>
    <n v="0"/>
    <n v="1"/>
  </r>
  <r>
    <s v="Cases\\5 Accounting Firms\\38_ISQM 2_MNP"/>
    <x v="37"/>
    <x v="4"/>
    <s v="North America"/>
    <n v="0"/>
    <n v="1"/>
    <n v="0"/>
    <n v="0"/>
    <n v="1"/>
  </r>
  <r>
    <s v="Cases\\5 Accounting Firms\\39_ISQM 2_MSI"/>
    <x v="38"/>
    <x v="4"/>
    <s v="Global"/>
    <n v="0"/>
    <n v="1"/>
    <n v="0"/>
    <n v="0"/>
    <n v="1"/>
  </r>
  <r>
    <s v="Cases\\5 Accounting Firms\\40_ISQM 2_NI"/>
    <x v="39"/>
    <x v="4"/>
    <s v="Global"/>
    <n v="0"/>
    <n v="1"/>
    <n v="0"/>
    <n v="0"/>
    <n v="1"/>
  </r>
  <r>
    <s v="Cases\\5 Accounting Firms\\41_ISQM 2_NSW"/>
    <x v="40"/>
    <x v="4"/>
    <s v="Europe"/>
    <n v="0"/>
    <n v="0"/>
    <n v="1"/>
    <n v="0"/>
    <n v="1"/>
  </r>
  <r>
    <s v="Cases\\5 Accounting Firms\\42_ISQM 2_PKFI"/>
    <x v="41"/>
    <x v="4"/>
    <s v="Global"/>
    <n v="0"/>
    <n v="1"/>
    <n v="0"/>
    <n v="0"/>
    <n v="1"/>
  </r>
  <r>
    <s v="Cases\\5 Accounting Firms\\43_ISQM2_PKFSA"/>
    <x v="42"/>
    <x v="4"/>
    <s v="Middle East and Africa"/>
    <n v="1"/>
    <n v="0"/>
    <n v="0"/>
    <n v="0"/>
    <n v="1"/>
  </r>
  <r>
    <s v="Cases\\5 Accounting Firms\\44_ISQM 2_PwC"/>
    <x v="43"/>
    <x v="4"/>
    <s v="Global"/>
    <n v="0"/>
    <n v="0"/>
    <n v="1"/>
    <n v="0"/>
    <n v="1"/>
  </r>
  <r>
    <s v="Cases\\5 Accounting Firms\\45_ISQM 2_RSMI"/>
    <x v="44"/>
    <x v="4"/>
    <s v="Global"/>
    <n v="1"/>
    <n v="0"/>
    <n v="0"/>
    <n v="0"/>
    <n v="1"/>
  </r>
  <r>
    <s v="Cases\\6 Public Sector Organizations\\46_ISQM 2_AGSA"/>
    <x v="45"/>
    <x v="5"/>
    <s v="Middle East and Africa"/>
    <n v="1"/>
    <n v="0"/>
    <n v="0"/>
    <n v="0"/>
    <n v="1"/>
  </r>
  <r>
    <s v="Cases\\6 Public Sector Organizations\\47_ISQM 2_ACAG"/>
    <x v="46"/>
    <x v="5"/>
    <s v="Asia Pacific"/>
    <n v="1"/>
    <n v="0"/>
    <n v="0"/>
    <n v="0"/>
    <n v="1"/>
  </r>
  <r>
    <s v="Cases\\6 Public Sector Organizations\\48_ISQM 2_INTOSAI"/>
    <x v="47"/>
    <x v="5"/>
    <s v="Global"/>
    <n v="1"/>
    <n v="0"/>
    <n v="0"/>
    <n v="0"/>
    <n v="1"/>
  </r>
  <r>
    <s v="Cases\\6 Public Sector Organizations\\49_ISQM 2_NAOM"/>
    <x v="48"/>
    <x v="5"/>
    <s v="Europe"/>
    <n v="1"/>
    <n v="0"/>
    <n v="0"/>
    <n v="0"/>
    <n v="1"/>
  </r>
  <r>
    <s v="Cases\\6 Public Sector Organizations\\50_ISQM 2_OAGNZ"/>
    <x v="49"/>
    <x v="5"/>
    <s v="Asia Pacific"/>
    <n v="0"/>
    <n v="0"/>
    <n v="1"/>
    <n v="0"/>
    <n v="1"/>
  </r>
  <r>
    <s v="Cases\\6 Public Sector Organizations\\51_ISQM 2_OAGA"/>
    <x v="50"/>
    <x v="5"/>
    <s v="North America"/>
    <n v="0"/>
    <n v="1"/>
    <n v="0"/>
    <n v="0"/>
    <n v="1"/>
  </r>
  <r>
    <s v="Cases\\6 Public Sector Organizations\\52_ISQM 2_OAGC"/>
    <x v="51"/>
    <x v="5"/>
    <s v="North America"/>
    <n v="0"/>
    <n v="1"/>
    <n v="0"/>
    <n v="0"/>
    <n v="1"/>
  </r>
  <r>
    <s v="Cases\\6 Public Sector Organizations\\53_ISQM 2_PAS"/>
    <x v="52"/>
    <x v="5"/>
    <s v="North America"/>
    <n v="1"/>
    <n v="0"/>
    <n v="0"/>
    <n v="0"/>
    <n v="1"/>
  </r>
  <r>
    <s v="Cases\\6 Public Sector Organizations\\54_ISQM 2_SNAO"/>
    <x v="53"/>
    <x v="5"/>
    <s v="Europe"/>
    <n v="1"/>
    <n v="0"/>
    <n v="0"/>
    <n v="0"/>
    <n v="1"/>
  </r>
  <r>
    <s v="Cases\\6 Public Sector Organizations\\55_ISQM 2_GAO"/>
    <x v="54"/>
    <x v="5"/>
    <s v="North America"/>
    <n v="1"/>
    <n v="0"/>
    <n v="0"/>
    <n v="0"/>
    <n v="1"/>
  </r>
  <r>
    <s v="Cases\\7 Member Bodies and Other Professional Organizations\\56_ISQM 2_AE"/>
    <x v="55"/>
    <x v="6"/>
    <s v="Europe"/>
    <n v="0"/>
    <n v="0"/>
    <n v="1"/>
    <n v="0"/>
    <n v="1"/>
  </r>
  <r>
    <s v="Cases\\7 Member Bodies and Other Professional Organizations\\57_ISQM 2_APESB"/>
    <x v="56"/>
    <x v="6"/>
    <s v="Asia Pacific"/>
    <n v="0"/>
    <n v="0"/>
    <n v="1"/>
    <n v="0"/>
    <n v="1"/>
  </r>
  <r>
    <s v="Cases\\7 Member Bodies and Other Professional Organizations\\58_ISQM 2_IBR-IRE"/>
    <x v="57"/>
    <x v="6"/>
    <s v="Europe"/>
    <n v="0"/>
    <n v="0"/>
    <n v="0"/>
    <n v="1"/>
    <n v="1"/>
  </r>
  <r>
    <s v="Cases\\7 Member Bodies and Other Professional Organizations\\59_ISQM 2_BICA"/>
    <x v="58"/>
    <x v="6"/>
    <s v="Middle East and Africa"/>
    <n v="0"/>
    <n v="1"/>
    <n v="0"/>
    <n v="0"/>
    <n v="1"/>
  </r>
  <r>
    <s v="Cases\\7 Member Bodies and Other Professional Organizations\\60_ISQM 2_CAI"/>
    <x v="59"/>
    <x v="6"/>
    <s v="Europe"/>
    <n v="0"/>
    <n v="0"/>
    <n v="1"/>
    <n v="0"/>
    <n v="1"/>
  </r>
  <r>
    <s v="Cases\\7 Member Bodies and Other Professional Organizations\\61_ISQM 2_CalCPA"/>
    <x v="60"/>
    <x v="6"/>
    <s v="North America"/>
    <n v="0"/>
    <n v="1"/>
    <n v="0"/>
    <n v="0"/>
    <n v="1"/>
  </r>
  <r>
    <s v="Cases\\7 Member Bodies and Other Professional Organizations\\62_ISQM 2_CAQ"/>
    <x v="61"/>
    <x v="6"/>
    <s v="North America"/>
    <n v="0"/>
    <n v="1"/>
    <n v="0"/>
    <n v="0"/>
    <n v="1"/>
  </r>
  <r>
    <s v="Cases\\7 Member Bodies and Other Professional Organizations\\63_ISQM 2_CAANZ-ACCA"/>
    <x v="62"/>
    <x v="6"/>
    <s v="Global"/>
    <n v="0"/>
    <n v="0"/>
    <n v="1"/>
    <n v="0"/>
    <n v="1"/>
  </r>
  <r>
    <s v="Cases\\7 Member Bodies and Other Professional Organizations\\64_ISQM 2_CICC-AIC"/>
    <x v="63"/>
    <x v="6"/>
    <s v="South America"/>
    <n v="0"/>
    <n v="1"/>
    <n v="0"/>
    <n v="0"/>
    <n v="1"/>
  </r>
  <r>
    <s v="Cases\\7 Member Bodies and Other Professional Organizations\\65_ISQM 2_CCC-ICPARD"/>
    <x v="64"/>
    <x v="6"/>
    <s v="South America"/>
    <n v="0"/>
    <n v="1"/>
    <n v="0"/>
    <n v="0"/>
    <n v="1"/>
  </r>
  <r>
    <s v="Cases\\7 Member Bodies and Other Professional Organizations\\66_ISQM 2_CPAA"/>
    <x v="65"/>
    <x v="6"/>
    <s v="Asia Pacific"/>
    <n v="0"/>
    <n v="0"/>
    <n v="1"/>
    <n v="0"/>
    <n v="1"/>
  </r>
  <r>
    <s v="Cases\\7 Member Bodies and Other Professional Organizations\\67_ISQM 2_EXPERT"/>
    <x v="66"/>
    <x v="6"/>
    <s v="Europe"/>
    <n v="0"/>
    <n v="0"/>
    <n v="1"/>
    <n v="0"/>
    <n v="1"/>
  </r>
  <r>
    <s v="Cases\\7 Member Bodies and Other Professional Organizations\\68_ISQM 2_FAR"/>
    <x v="67"/>
    <x v="6"/>
    <s v="Europe"/>
    <n v="0"/>
    <n v="0"/>
    <n v="0"/>
    <n v="1"/>
    <n v="1"/>
  </r>
  <r>
    <s v="Cases\\7 Member Bodies and Other Professional Organizations\\69_ISQM 2_FACPCE"/>
    <x v="68"/>
    <x v="6"/>
    <s v="South America"/>
    <n v="0"/>
    <n v="0"/>
    <n v="1"/>
    <n v="0"/>
    <n v="1"/>
  </r>
  <r>
    <s v="Cases\\7 Member Bodies and Other Professional Organizations\\70_ISQM 2_FSR"/>
    <x v="69"/>
    <x v="6"/>
    <s v="Europe"/>
    <n v="0"/>
    <n v="0"/>
    <n v="0"/>
    <n v="1"/>
    <n v="1"/>
  </r>
  <r>
    <s v="Cases\\7 Member Bodies and Other Professional Organizations\\71_ISQM 2_SMPC"/>
    <x v="70"/>
    <x v="6"/>
    <s v="Global"/>
    <n v="1"/>
    <n v="0"/>
    <n v="0"/>
    <n v="0"/>
    <n v="1"/>
  </r>
  <r>
    <s v="Cases\\7 Member Bodies and Other Professional Organizations\\72_ISQM 2_ICPAS"/>
    <x v="71"/>
    <x v="6"/>
    <s v="North America"/>
    <n v="0"/>
    <n v="0"/>
    <n v="0"/>
    <n v="1"/>
    <n v="1"/>
  </r>
  <r>
    <s v="Cases\\7 Member Bodies and Other Professional Organizations\\73_ISQM 2_IEC-IAB"/>
    <x v="72"/>
    <x v="6"/>
    <s v="Europe"/>
    <n v="0"/>
    <n v="1"/>
    <n v="0"/>
    <n v="0"/>
    <n v="1"/>
  </r>
  <r>
    <s v="Cases\\7 Member Bodies and Other Professional Organizations\\74_ISQM 2_ICAEW"/>
    <x v="73"/>
    <x v="6"/>
    <s v="Europe"/>
    <n v="0"/>
    <n v="1"/>
    <n v="0"/>
    <n v="0"/>
    <n v="1"/>
  </r>
  <r>
    <s v="Cases\\7 Member Bodies and Other Professional Organizations\\75_ISQM 2_ICAP"/>
    <x v="74"/>
    <x v="6"/>
    <s v="Middle East and Africa"/>
    <n v="0"/>
    <n v="0"/>
    <n v="1"/>
    <n v="0"/>
    <n v="1"/>
  </r>
  <r>
    <s v="Cases\\7 Member Bodies and Other Professional Organizations\\76_ISQM 2_ICAS"/>
    <x v="75"/>
    <x v="6"/>
    <s v="Europe"/>
    <n v="0"/>
    <n v="0"/>
    <n v="1"/>
    <n v="0"/>
    <n v="1"/>
  </r>
  <r>
    <s v="Cases\\7 Member Bodies and Other Professional Organizations\\77_ISQM 2_ICPAU"/>
    <x v="76"/>
    <x v="6"/>
    <s v="Middle East and Africa"/>
    <n v="1"/>
    <n v="0"/>
    <n v="0"/>
    <n v="0"/>
    <n v="1"/>
  </r>
  <r>
    <s v="Cases\\7 Member Bodies and Other Professional Organizations\\78_ISQM 2_IBRACON"/>
    <x v="77"/>
    <x v="6"/>
    <s v="South America"/>
    <n v="0"/>
    <n v="1"/>
    <n v="0"/>
    <n v="0"/>
    <n v="1"/>
  </r>
  <r>
    <s v="Cases\\7 Member Bodies and Other Professional Organizations\\79_ISQM 2_ISCA"/>
    <x v="78"/>
    <x v="6"/>
    <s v="Asia Pacific"/>
    <n v="0"/>
    <n v="0"/>
    <n v="0"/>
    <n v="1"/>
    <n v="1"/>
  </r>
  <r>
    <s v="Cases\\7 Member Bodies and Other Professional Organizations\\80_ISQM 2_ICJCE"/>
    <x v="79"/>
    <x v="6"/>
    <s v="Europe"/>
    <n v="1"/>
    <n v="0"/>
    <n v="0"/>
    <n v="0"/>
    <n v="1"/>
  </r>
  <r>
    <s v="Cases\\7 Member Bodies and Other Professional Organizations\\81_ISQM 2_IMCP"/>
    <x v="80"/>
    <x v="6"/>
    <s v="North America"/>
    <n v="0"/>
    <n v="1"/>
    <n v="0"/>
    <n v="0"/>
    <n v="1"/>
  </r>
  <r>
    <s v="Cases\\7 Member Bodies and Other Professional Organizations\\82_ISQM 2_KICPA"/>
    <x v="81"/>
    <x v="6"/>
    <s v="Asia Pacific"/>
    <n v="1"/>
    <n v="0"/>
    <n v="0"/>
    <n v="0"/>
    <n v="1"/>
  </r>
  <r>
    <s v="Cases\\7 Member Bodies and Other Professional Organizations\\83_ISQM 2_MICPA"/>
    <x v="82"/>
    <x v="6"/>
    <s v="Asia Pacific"/>
    <n v="0"/>
    <n v="0"/>
    <n v="1"/>
    <n v="0"/>
    <n v="1"/>
  </r>
  <r>
    <s v="Cases\\7 Member Bodies and Other Professional Organizations\\84_ISQM 2_NASBA"/>
    <x v="83"/>
    <x v="2"/>
    <s v="North America"/>
    <n v="0"/>
    <n v="0"/>
    <n v="1"/>
    <n v="0"/>
    <n v="1"/>
  </r>
  <r>
    <s v="Cases\\7 Member Bodies and Other Professional Organizations\\85_ISQM 2_ NYSSCPA"/>
    <x v="84"/>
    <x v="6"/>
    <s v="North America"/>
    <n v="0"/>
    <n v="0"/>
    <n v="0"/>
    <n v="1"/>
    <n v="1"/>
  </r>
  <r>
    <s v="Cases\\7 Member Bodies and Other Professional Organizations\\86_ISQM 2_NRF"/>
    <x v="85"/>
    <x v="6"/>
    <s v="Europe"/>
    <n v="0"/>
    <n v="0"/>
    <n v="1"/>
    <n v="0"/>
    <n v="1"/>
  </r>
  <r>
    <s v="Cases\\7 Member Bodies and Other Professional Organizations\\87_ISQM 2_SRO-AAS"/>
    <x v="86"/>
    <x v="6"/>
    <s v="Europe"/>
    <n v="0"/>
    <n v="1"/>
    <n v="0"/>
    <n v="0"/>
    <n v="1"/>
  </r>
  <r>
    <s v="Cases\\7 Member Bodies and Other Professional Organizations\\88_ISQM 2_SAICA"/>
    <x v="87"/>
    <x v="6"/>
    <s v="Middle East and Africa"/>
    <n v="0"/>
    <n v="1"/>
    <n v="0"/>
    <n v="0"/>
    <n v="1"/>
  </r>
  <r>
    <s v="Cases\\7 Member Bodies and Other Professional Organizations\\89_ISQM 2_WPK"/>
    <x v="88"/>
    <x v="6"/>
    <s v="Europe"/>
    <n v="0"/>
    <n v="0"/>
    <n v="1"/>
    <n v="0"/>
    <n v="1"/>
  </r>
  <r>
    <s v="Cases\\8 Individuals and Others\\90_ISQM 2_TAS-CAA"/>
    <x v="89"/>
    <x v="7"/>
    <s v="Middle East and Africa"/>
    <n v="0"/>
    <n v="1"/>
    <n v="0"/>
    <n v="0"/>
    <n v="1"/>
  </r>
  <r>
    <s v="Cases\\8 Individuals and Others\\91_ISQM 2_VM"/>
    <x v="90"/>
    <x v="7"/>
    <s v="Europe"/>
    <n v="1"/>
    <n v="0"/>
    <n v="0"/>
    <n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Cases\\1 Monitoring Group\\01_ISQM 2_BCBS"/>
    <x v="0"/>
    <x v="0"/>
    <s v="Global"/>
    <n v="0"/>
    <n v="0"/>
    <n v="0"/>
    <n v="0"/>
    <n v="0"/>
    <n v="0"/>
    <n v="0"/>
    <n v="0"/>
    <n v="1"/>
  </r>
  <r>
    <s v="Cases\\1 Monitoring Group\\02_ISQM 2_IAIS"/>
    <x v="1"/>
    <x v="0"/>
    <s v="Global"/>
    <n v="0"/>
    <n v="0"/>
    <n v="0"/>
    <n v="0"/>
    <n v="0"/>
    <n v="0"/>
    <n v="0"/>
    <n v="0"/>
    <n v="1"/>
  </r>
  <r>
    <s v="Cases\\1 Monitoring Group\\03_ISQM 2_IFIAR"/>
    <x v="2"/>
    <x v="0"/>
    <s v="Global"/>
    <n v="0"/>
    <n v="0"/>
    <n v="0"/>
    <n v="0"/>
    <n v="0"/>
    <n v="0"/>
    <n v="0"/>
    <n v="0"/>
    <n v="1"/>
  </r>
  <r>
    <s v="Cases\\1 Monitoring Group\\04_ISQM 2_IOSCO"/>
    <x v="3"/>
    <x v="0"/>
    <s v="Global"/>
    <n v="0"/>
    <n v="1"/>
    <n v="0"/>
    <n v="1"/>
    <n v="0"/>
    <n v="0"/>
    <n v="0"/>
    <n v="0"/>
    <n v="0"/>
  </r>
  <r>
    <s v="Cases\\2 Investors and Analysts\\05_ISQM 2_ICGN"/>
    <x v="4"/>
    <x v="1"/>
    <s v="Global"/>
    <n v="0"/>
    <n v="0"/>
    <n v="0"/>
    <n v="0"/>
    <n v="0"/>
    <n v="0"/>
    <n v="0"/>
    <n v="0"/>
    <n v="1"/>
  </r>
  <r>
    <s v="Cases\\3 Regulators and Oversight Authorities\\06_ISQM 2_CPAB"/>
    <x v="5"/>
    <x v="2"/>
    <s v="North America"/>
    <n v="0"/>
    <n v="0"/>
    <n v="0"/>
    <n v="0"/>
    <n v="0"/>
    <n v="0"/>
    <n v="0"/>
    <n v="0"/>
    <n v="1"/>
  </r>
  <r>
    <s v="Cases\\3 Regulators and Oversight Authorities\\07_ISQM 2_FRC"/>
    <x v="6"/>
    <x v="2"/>
    <s v="Europe"/>
    <n v="0"/>
    <n v="1"/>
    <n v="0"/>
    <n v="1"/>
    <n v="0"/>
    <n v="0"/>
    <n v="0"/>
    <n v="0"/>
    <n v="0"/>
  </r>
  <r>
    <s v="Cases\\3 Regulators and Oversight Authorities\\08_ISQM 2_IRBA"/>
    <x v="7"/>
    <x v="2"/>
    <s v="Middle East and Africa"/>
    <n v="0"/>
    <n v="1"/>
    <n v="0"/>
    <n v="1"/>
    <n v="0"/>
    <n v="0"/>
    <n v="0"/>
    <n v="0"/>
    <n v="0"/>
  </r>
  <r>
    <s v="Cases\\3 Regulators and Oversight Authorities\\09_ISQM 2_IAASA"/>
    <x v="8"/>
    <x v="2"/>
    <s v="Europe"/>
    <n v="0"/>
    <n v="1"/>
    <n v="1"/>
    <n v="0"/>
    <n v="0"/>
    <n v="0"/>
    <n v="0"/>
    <n v="0"/>
    <n v="0"/>
  </r>
  <r>
    <s v="Cases\\4 National Auditing Standard Setters\\10_ISQM 2_AICPA"/>
    <x v="9"/>
    <x v="3"/>
    <s v="North America"/>
    <n v="0"/>
    <n v="0"/>
    <n v="0"/>
    <n v="0"/>
    <n v="1"/>
    <n v="0"/>
    <n v="0"/>
    <n v="1"/>
    <n v="0"/>
  </r>
  <r>
    <s v="Cases\\4 National Auditing Standard Setters\\11_ISQM 2_AUASB"/>
    <x v="10"/>
    <x v="3"/>
    <s v="Asia Pacific"/>
    <n v="0"/>
    <n v="0"/>
    <n v="0"/>
    <n v="0"/>
    <n v="1"/>
    <n v="1"/>
    <n v="0"/>
    <n v="0"/>
    <n v="0"/>
  </r>
  <r>
    <s v="Cases\\4 National Auditing Standard Setters\\12_ISQM 2_CAASB"/>
    <x v="11"/>
    <x v="3"/>
    <s v="North America"/>
    <n v="0"/>
    <n v="0"/>
    <n v="0"/>
    <n v="0"/>
    <n v="0"/>
    <n v="0"/>
    <n v="0"/>
    <n v="0"/>
    <n v="1"/>
  </r>
  <r>
    <s v="Cases\\4 National Auditing Standard Setters\\13_ISQM 2_CICPA"/>
    <x v="12"/>
    <x v="3"/>
    <s v="Asia Pacific"/>
    <n v="0"/>
    <n v="0"/>
    <n v="0"/>
    <n v="0"/>
    <n v="0"/>
    <n v="0"/>
    <n v="0"/>
    <n v="0"/>
    <n v="1"/>
  </r>
  <r>
    <s v="Cases\\4 National Auditing Standard Setters\\14_ISQM 2_CNCC-CSOEC"/>
    <x v="13"/>
    <x v="3"/>
    <s v="Europe"/>
    <n v="1"/>
    <n v="0"/>
    <n v="0"/>
    <n v="0"/>
    <n v="0"/>
    <n v="0"/>
    <n v="0"/>
    <n v="0"/>
    <n v="0"/>
  </r>
  <r>
    <s v="Cases\\4 National Auditing Standard Setters\\15_ISQM 2_CFC"/>
    <x v="14"/>
    <x v="3"/>
    <s v="South America"/>
    <n v="0"/>
    <n v="1"/>
    <n v="0"/>
    <n v="1"/>
    <n v="0"/>
    <n v="0"/>
    <n v="0"/>
    <n v="0"/>
    <n v="0"/>
  </r>
  <r>
    <s v="Cases\\4 National Auditing Standard Setters\\16_ISQM 2_HKICPA"/>
    <x v="15"/>
    <x v="3"/>
    <s v="Asia Pacific"/>
    <n v="0"/>
    <n v="1"/>
    <n v="1"/>
    <n v="0"/>
    <n v="0"/>
    <n v="0"/>
    <n v="0"/>
    <n v="0"/>
    <n v="0"/>
  </r>
  <r>
    <s v="Cases\\4 National Auditing Standard Setters\\17_ISQM 2_IDW"/>
    <x v="16"/>
    <x v="3"/>
    <s v="Europe"/>
    <n v="0"/>
    <n v="0"/>
    <n v="0"/>
    <n v="0"/>
    <n v="1"/>
    <n v="0"/>
    <n v="1"/>
    <n v="0"/>
    <n v="0"/>
  </r>
  <r>
    <s v="Cases\\4 National Auditing Standard Setters\\18_ISQM 2_JICPA"/>
    <x v="17"/>
    <x v="3"/>
    <s v="Asia Pacific"/>
    <n v="0"/>
    <n v="1"/>
    <n v="1"/>
    <n v="0"/>
    <n v="0"/>
    <n v="0"/>
    <n v="0"/>
    <n v="0"/>
    <n v="0"/>
  </r>
  <r>
    <s v="Cases\\4 National Auditing Standard Setters\\19_ISQM 2_KSW"/>
    <x v="18"/>
    <x v="3"/>
    <s v="Europe"/>
    <n v="0"/>
    <n v="1"/>
    <n v="0"/>
    <n v="1"/>
    <n v="0"/>
    <n v="0"/>
    <n v="0"/>
    <n v="0"/>
    <n v="0"/>
  </r>
  <r>
    <s v="Cases\\4 National Auditing Standard Setters\\20_ISQM 2_MAASB"/>
    <x v="19"/>
    <x v="3"/>
    <s v="Asia Pacific"/>
    <n v="0"/>
    <n v="0"/>
    <n v="0"/>
    <n v="0"/>
    <n v="1"/>
    <n v="1"/>
    <n v="0"/>
    <n v="0"/>
    <n v="0"/>
  </r>
  <r>
    <s v="Cases\\4 National Auditing Standard Setters\\21_ISQM 2_NZAASB"/>
    <x v="20"/>
    <x v="3"/>
    <s v="Asia Pacific"/>
    <n v="0"/>
    <n v="0"/>
    <n v="0"/>
    <n v="0"/>
    <n v="1"/>
    <n v="1"/>
    <n v="0"/>
    <n v="0"/>
    <n v="0"/>
  </r>
  <r>
    <s v="Cases\\4 National Auditing Standard Setters\\22_ISQM 2_NBA"/>
    <x v="21"/>
    <x v="3"/>
    <s v="Europe"/>
    <n v="0"/>
    <n v="0"/>
    <n v="0"/>
    <n v="0"/>
    <n v="1"/>
    <n v="1"/>
    <n v="0"/>
    <n v="0"/>
    <n v="0"/>
  </r>
  <r>
    <s v="Cases\\5 Accounting Firms\\23_ISQM 2_BTI"/>
    <x v="22"/>
    <x v="4"/>
    <s v="Global"/>
    <n v="0"/>
    <n v="1"/>
    <n v="0"/>
    <n v="1"/>
    <n v="0"/>
    <n v="0"/>
    <n v="0"/>
    <n v="0"/>
    <n v="0"/>
  </r>
  <r>
    <s v="Cases\\5 Accounting Firms\\24_ISQM 2_BTVK"/>
    <x v="23"/>
    <x v="4"/>
    <s v="North America"/>
    <n v="0"/>
    <n v="1"/>
    <n v="0"/>
    <n v="1"/>
    <n v="0"/>
    <n v="0"/>
    <n v="0"/>
    <n v="0"/>
    <n v="0"/>
  </r>
  <r>
    <s v="Cases\\5 Accounting Firms\\25_ISQM 2_BDO"/>
    <x v="24"/>
    <x v="4"/>
    <s v="Global"/>
    <n v="0"/>
    <n v="1"/>
    <n v="0"/>
    <n v="1"/>
    <n v="0"/>
    <n v="0"/>
    <n v="0"/>
    <n v="0"/>
    <n v="0"/>
  </r>
  <r>
    <s v="Cases\\5 Accounting Firms\\26_ISQM 2_CASI"/>
    <x v="25"/>
    <x v="4"/>
    <s v="Asia Pacific"/>
    <n v="0"/>
    <n v="0"/>
    <n v="0"/>
    <n v="0"/>
    <n v="0"/>
    <n v="0"/>
    <n v="0"/>
    <n v="0"/>
    <n v="1"/>
  </r>
  <r>
    <s v="Cases\\5 Accounting Firms\\27_ISQM 2_CHI"/>
    <x v="26"/>
    <x v="4"/>
    <s v="Global"/>
    <n v="0"/>
    <n v="1"/>
    <n v="0"/>
    <n v="1"/>
    <n v="0"/>
    <n v="0"/>
    <n v="0"/>
    <n v="0"/>
    <n v="0"/>
  </r>
  <r>
    <s v="Cases\\5 Accounting Firms\\28_ISQM 2_DTTL"/>
    <x v="27"/>
    <x v="4"/>
    <s v="Global"/>
    <n v="0"/>
    <n v="0"/>
    <n v="0"/>
    <n v="0"/>
    <n v="1"/>
    <n v="1"/>
    <n v="0"/>
    <n v="0"/>
    <n v="0"/>
  </r>
  <r>
    <s v="Cases\\5 Accounting Firms\\29_ISQM 2_DTL"/>
    <x v="28"/>
    <x v="4"/>
    <s v="Europe"/>
    <n v="0"/>
    <n v="1"/>
    <n v="1"/>
    <n v="0"/>
    <n v="0"/>
    <n v="0"/>
    <n v="0"/>
    <n v="0"/>
    <n v="0"/>
  </r>
  <r>
    <s v="Cases\\5 Accounting Firms\\30_ISQM 2_ETY"/>
    <x v="29"/>
    <x v="4"/>
    <s v="Middle East and Africa"/>
    <n v="0"/>
    <n v="0"/>
    <n v="0"/>
    <n v="0"/>
    <n v="1"/>
    <n v="1"/>
    <n v="0"/>
    <n v="0"/>
    <n v="0"/>
  </r>
  <r>
    <s v="Cases\\5 Accounting Firms\\31_ISQM 2_EYG"/>
    <x v="30"/>
    <x v="4"/>
    <s v="Global"/>
    <n v="0"/>
    <n v="0"/>
    <n v="0"/>
    <n v="0"/>
    <n v="1"/>
    <n v="1"/>
    <n v="0"/>
    <n v="0"/>
    <n v="0"/>
  </r>
  <r>
    <s v="Cases\\5 Accounting Firms\\32_ISQM 2_GTIL"/>
    <x v="31"/>
    <x v="4"/>
    <s v="Global"/>
    <n v="0"/>
    <n v="0"/>
    <n v="0"/>
    <n v="0"/>
    <n v="1"/>
    <n v="1"/>
    <n v="0"/>
    <n v="0"/>
    <n v="0"/>
  </r>
  <r>
    <s v="Cases\\5 Accounting Firms\\33_ISQM 2_HM"/>
    <x v="32"/>
    <x v="4"/>
    <s v="Europe"/>
    <n v="1"/>
    <n v="0"/>
    <n v="0"/>
    <n v="0"/>
    <n v="0"/>
    <n v="0"/>
    <n v="0"/>
    <n v="0"/>
    <n v="0"/>
  </r>
  <r>
    <s v="Cases\\5 Accounting Firms\\34_ISQM 2_KPMG"/>
    <x v="33"/>
    <x v="4"/>
    <s v="Global"/>
    <n v="0"/>
    <n v="1"/>
    <n v="0"/>
    <n v="1"/>
    <n v="0"/>
    <n v="0"/>
    <n v="0"/>
    <n v="0"/>
    <n v="0"/>
  </r>
  <r>
    <s v="Cases\\5 Accounting Firms\\35_ISQM 2_KI"/>
    <x v="34"/>
    <x v="4"/>
    <s v="Global"/>
    <n v="0"/>
    <n v="1"/>
    <n v="0"/>
    <n v="1"/>
    <n v="0"/>
    <n v="0"/>
    <n v="0"/>
    <n v="0"/>
    <n v="0"/>
  </r>
  <r>
    <s v="Cases\\5 Accounting Firms\\36_ISQM 2_MZRS"/>
    <x v="35"/>
    <x v="4"/>
    <s v="Global"/>
    <n v="0"/>
    <n v="1"/>
    <n v="0"/>
    <n v="1"/>
    <n v="0"/>
    <n v="0"/>
    <n v="0"/>
    <n v="0"/>
    <n v="0"/>
  </r>
  <r>
    <s v="Cases\\5 Accounting Firms\\37_ISQM 2_MZRSUS"/>
    <x v="36"/>
    <x v="4"/>
    <s v="North America"/>
    <n v="0"/>
    <n v="1"/>
    <n v="0"/>
    <n v="1"/>
    <n v="0"/>
    <n v="0"/>
    <n v="0"/>
    <n v="0"/>
    <n v="0"/>
  </r>
  <r>
    <s v="Cases\\5 Accounting Firms\\38_ISQM 2_MNP"/>
    <x v="37"/>
    <x v="4"/>
    <s v="North America"/>
    <n v="0"/>
    <n v="1"/>
    <n v="0"/>
    <n v="1"/>
    <n v="0"/>
    <n v="0"/>
    <n v="0"/>
    <n v="0"/>
    <n v="0"/>
  </r>
  <r>
    <s v="Cases\\5 Accounting Firms\\39_ISQM 2_MSI"/>
    <x v="38"/>
    <x v="4"/>
    <s v="Global"/>
    <n v="0"/>
    <n v="1"/>
    <n v="0"/>
    <n v="1"/>
    <n v="0"/>
    <n v="0"/>
    <n v="0"/>
    <n v="0"/>
    <n v="0"/>
  </r>
  <r>
    <s v="Cases\\5 Accounting Firms\\40_ISQM 2_NI"/>
    <x v="39"/>
    <x v="4"/>
    <s v="Global"/>
    <n v="0"/>
    <n v="1"/>
    <n v="0"/>
    <n v="1"/>
    <n v="0"/>
    <n v="0"/>
    <n v="0"/>
    <n v="0"/>
    <n v="0"/>
  </r>
  <r>
    <s v="Cases\\5 Accounting Firms\\41_ISQM 2_NSW"/>
    <x v="40"/>
    <x v="4"/>
    <s v="Europe"/>
    <n v="0"/>
    <n v="0"/>
    <n v="0"/>
    <n v="0"/>
    <n v="1"/>
    <n v="1"/>
    <n v="0"/>
    <n v="0"/>
    <n v="0"/>
  </r>
  <r>
    <s v="Cases\\5 Accounting Firms\\42_ISQM 2_PKFI"/>
    <x v="41"/>
    <x v="4"/>
    <s v="Global"/>
    <n v="0"/>
    <n v="1"/>
    <n v="1"/>
    <n v="0"/>
    <n v="0"/>
    <n v="0"/>
    <n v="0"/>
    <n v="0"/>
    <n v="0"/>
  </r>
  <r>
    <s v="Cases\\5 Accounting Firms\\43_ISQM2_PKFSA"/>
    <x v="42"/>
    <x v="4"/>
    <s v="Middle East and Africa"/>
    <n v="1"/>
    <n v="0"/>
    <n v="0"/>
    <n v="0"/>
    <n v="0"/>
    <n v="0"/>
    <n v="0"/>
    <n v="0"/>
    <n v="0"/>
  </r>
  <r>
    <s v="Cases\\5 Accounting Firms\\44_ISQM 2_PwC"/>
    <x v="43"/>
    <x v="4"/>
    <s v="Global"/>
    <n v="0"/>
    <n v="0"/>
    <n v="0"/>
    <n v="0"/>
    <n v="1"/>
    <n v="0"/>
    <n v="1"/>
    <n v="0"/>
    <n v="0"/>
  </r>
  <r>
    <s v="Cases\\5 Accounting Firms\\45_ISQM 2_RSMI"/>
    <x v="44"/>
    <x v="4"/>
    <s v="Global"/>
    <n v="1"/>
    <n v="0"/>
    <n v="0"/>
    <n v="0"/>
    <n v="0"/>
    <n v="0"/>
    <n v="0"/>
    <n v="0"/>
    <n v="0"/>
  </r>
  <r>
    <s v="Cases\\6 Public Sector Organizations\\46_ISQM 2_AGSA"/>
    <x v="45"/>
    <x v="5"/>
    <s v="Middle East and Africa"/>
    <n v="1"/>
    <n v="0"/>
    <n v="0"/>
    <n v="0"/>
    <n v="0"/>
    <n v="0"/>
    <n v="0"/>
    <n v="0"/>
    <n v="0"/>
  </r>
  <r>
    <s v="Cases\\6 Public Sector Organizations\\47_ISQM 2_ACAG"/>
    <x v="46"/>
    <x v="5"/>
    <s v="Asia Pacific"/>
    <n v="1"/>
    <n v="0"/>
    <n v="0"/>
    <n v="0"/>
    <n v="0"/>
    <n v="0"/>
    <n v="0"/>
    <n v="0"/>
    <n v="0"/>
  </r>
  <r>
    <s v="Cases\\6 Public Sector Organizations\\48_ISQM 2_INTOSAI"/>
    <x v="47"/>
    <x v="5"/>
    <s v="Global"/>
    <n v="1"/>
    <n v="0"/>
    <n v="0"/>
    <n v="0"/>
    <n v="0"/>
    <n v="0"/>
    <n v="0"/>
    <n v="0"/>
    <n v="0"/>
  </r>
  <r>
    <s v="Cases\\6 Public Sector Organizations\\49_ISQM 2_NAOM"/>
    <x v="48"/>
    <x v="5"/>
    <s v="Europe"/>
    <n v="1"/>
    <n v="0"/>
    <n v="0"/>
    <n v="0"/>
    <n v="0"/>
    <n v="0"/>
    <n v="0"/>
    <n v="0"/>
    <n v="0"/>
  </r>
  <r>
    <s v="Cases\\6 Public Sector Organizations\\50_ISQM 2_OAGNZ"/>
    <x v="49"/>
    <x v="5"/>
    <s v="Asia Pacific"/>
    <n v="0"/>
    <n v="0"/>
    <n v="0"/>
    <n v="0"/>
    <n v="1"/>
    <n v="1"/>
    <n v="0"/>
    <n v="0"/>
    <n v="0"/>
  </r>
  <r>
    <s v="Cases\\6 Public Sector Organizations\\51_ISQM 2_OAGA"/>
    <x v="50"/>
    <x v="5"/>
    <s v="North America"/>
    <n v="0"/>
    <n v="1"/>
    <n v="1"/>
    <n v="0"/>
    <n v="0"/>
    <n v="0"/>
    <n v="0"/>
    <n v="0"/>
    <n v="0"/>
  </r>
  <r>
    <s v="Cases\\6 Public Sector Organizations\\52_ISQM 2_OAGC"/>
    <x v="51"/>
    <x v="5"/>
    <s v="North America"/>
    <n v="0"/>
    <n v="1"/>
    <n v="1"/>
    <n v="0"/>
    <n v="0"/>
    <n v="0"/>
    <n v="0"/>
    <n v="0"/>
    <n v="0"/>
  </r>
  <r>
    <s v="Cases\\6 Public Sector Organizations\\53_ISQM 2_PAS"/>
    <x v="52"/>
    <x v="5"/>
    <s v="North America"/>
    <n v="1"/>
    <n v="0"/>
    <n v="0"/>
    <n v="0"/>
    <n v="0"/>
    <n v="0"/>
    <n v="0"/>
    <n v="0"/>
    <n v="0"/>
  </r>
  <r>
    <s v="Cases\\6 Public Sector Organizations\\54_ISQM 2_SNAO"/>
    <x v="53"/>
    <x v="5"/>
    <s v="Europe"/>
    <n v="1"/>
    <n v="0"/>
    <n v="0"/>
    <n v="0"/>
    <n v="0"/>
    <n v="0"/>
    <n v="0"/>
    <n v="0"/>
    <n v="0"/>
  </r>
  <r>
    <s v="Cases\\6 Public Sector Organizations\\55_ISQM 2_GAO"/>
    <x v="54"/>
    <x v="5"/>
    <s v="North America"/>
    <n v="1"/>
    <n v="0"/>
    <n v="0"/>
    <n v="0"/>
    <n v="0"/>
    <n v="0"/>
    <n v="0"/>
    <n v="0"/>
    <n v="0"/>
  </r>
  <r>
    <s v="Cases\\7 Member Bodies and Other Professional Organizations\\56_ISQM 2_AE"/>
    <x v="55"/>
    <x v="6"/>
    <s v="Europe"/>
    <n v="0"/>
    <n v="0"/>
    <n v="0"/>
    <n v="0"/>
    <n v="1"/>
    <n v="1"/>
    <n v="0"/>
    <n v="0"/>
    <n v="0"/>
  </r>
  <r>
    <s v="Cases\\7 Member Bodies and Other Professional Organizations\\57_ISQM 2_APESB"/>
    <x v="56"/>
    <x v="6"/>
    <s v="Asia Pacific"/>
    <n v="0"/>
    <n v="0"/>
    <n v="0"/>
    <n v="0"/>
    <n v="1"/>
    <n v="0"/>
    <n v="1"/>
    <n v="0"/>
    <n v="0"/>
  </r>
  <r>
    <s v="Cases\\7 Member Bodies and Other Professional Organizations\\58_ISQM 2_IBR-IRE"/>
    <x v="57"/>
    <x v="6"/>
    <s v="Europe"/>
    <n v="0"/>
    <n v="0"/>
    <n v="0"/>
    <n v="0"/>
    <n v="0"/>
    <n v="0"/>
    <n v="0"/>
    <n v="0"/>
    <n v="1"/>
  </r>
  <r>
    <s v="Cases\\7 Member Bodies and Other Professional Organizations\\59_ISQM 2_BICA"/>
    <x v="58"/>
    <x v="6"/>
    <s v="Middle East and Africa"/>
    <n v="0"/>
    <n v="1"/>
    <n v="0"/>
    <n v="1"/>
    <n v="0"/>
    <n v="0"/>
    <n v="0"/>
    <n v="0"/>
    <n v="0"/>
  </r>
  <r>
    <s v="Cases\\7 Member Bodies and Other Professional Organizations\\60_ISQM 2_CAI"/>
    <x v="59"/>
    <x v="6"/>
    <s v="Europe"/>
    <n v="0"/>
    <n v="0"/>
    <n v="0"/>
    <n v="0"/>
    <n v="1"/>
    <n v="1"/>
    <n v="0"/>
    <n v="0"/>
    <n v="0"/>
  </r>
  <r>
    <s v="Cases\\7 Member Bodies and Other Professional Organizations\\61_ISQM 2_CalCPA"/>
    <x v="60"/>
    <x v="6"/>
    <s v="North America"/>
    <n v="0"/>
    <n v="1"/>
    <n v="1"/>
    <n v="0"/>
    <n v="0"/>
    <n v="0"/>
    <n v="0"/>
    <n v="0"/>
    <n v="0"/>
  </r>
  <r>
    <s v="Cases\\7 Member Bodies and Other Professional Organizations\\62_ISQM 2_CAQ"/>
    <x v="61"/>
    <x v="6"/>
    <s v="North America"/>
    <n v="0"/>
    <n v="1"/>
    <n v="0"/>
    <n v="1"/>
    <n v="0"/>
    <n v="0"/>
    <n v="0"/>
    <n v="0"/>
    <n v="0"/>
  </r>
  <r>
    <s v="Cases\\7 Member Bodies and Other Professional Organizations\\63_ISQM 2_CAANZ-ACCA"/>
    <x v="62"/>
    <x v="6"/>
    <s v="Global"/>
    <n v="0"/>
    <n v="0"/>
    <n v="0"/>
    <n v="0"/>
    <n v="1"/>
    <n v="1"/>
    <n v="0"/>
    <n v="0"/>
    <n v="0"/>
  </r>
  <r>
    <s v="Cases\\7 Member Bodies and Other Professional Organizations\\64_ISQM 2_CICC-AIC"/>
    <x v="63"/>
    <x v="6"/>
    <s v="South America"/>
    <n v="0"/>
    <n v="1"/>
    <n v="0"/>
    <n v="1"/>
    <n v="0"/>
    <n v="0"/>
    <n v="0"/>
    <n v="0"/>
    <n v="0"/>
  </r>
  <r>
    <s v="Cases\\7 Member Bodies and Other Professional Organizations\\65_ISQM 2_CCC-ICPARD"/>
    <x v="64"/>
    <x v="6"/>
    <s v="South America"/>
    <n v="0"/>
    <n v="1"/>
    <n v="0"/>
    <n v="1"/>
    <n v="0"/>
    <n v="0"/>
    <n v="0"/>
    <n v="0"/>
    <n v="0"/>
  </r>
  <r>
    <s v="Cases\\7 Member Bodies and Other Professional Organizations\\66_ISQM 2_CPAA"/>
    <x v="65"/>
    <x v="6"/>
    <s v="Asia Pacific"/>
    <n v="0"/>
    <n v="0"/>
    <n v="0"/>
    <n v="0"/>
    <n v="1"/>
    <n v="1"/>
    <n v="0"/>
    <n v="0"/>
    <n v="0"/>
  </r>
  <r>
    <s v="Cases\\7 Member Bodies and Other Professional Organizations\\67_ISQM 2_EXPERT"/>
    <x v="66"/>
    <x v="6"/>
    <s v="Europe"/>
    <n v="0"/>
    <n v="0"/>
    <n v="0"/>
    <n v="0"/>
    <n v="1"/>
    <n v="1"/>
    <n v="0"/>
    <n v="0"/>
    <n v="0"/>
  </r>
  <r>
    <s v="Cases\\7 Member Bodies and Other Professional Organizations\\68_ISQM 2_FAR"/>
    <x v="67"/>
    <x v="6"/>
    <s v="Europe"/>
    <n v="0"/>
    <n v="0"/>
    <n v="0"/>
    <n v="0"/>
    <n v="0"/>
    <n v="0"/>
    <n v="0"/>
    <n v="0"/>
    <n v="1"/>
  </r>
  <r>
    <s v="Cases\\7 Member Bodies and Other Professional Organizations\\69_ISQM 2_FACPCE"/>
    <x v="68"/>
    <x v="6"/>
    <s v="South America"/>
    <n v="0"/>
    <n v="0"/>
    <n v="0"/>
    <n v="0"/>
    <n v="1"/>
    <n v="1"/>
    <n v="0"/>
    <n v="0"/>
    <n v="0"/>
  </r>
  <r>
    <s v="Cases\\7 Member Bodies and Other Professional Organizations\\70_ISQM 2_FSR"/>
    <x v="69"/>
    <x v="6"/>
    <s v="Europe"/>
    <n v="0"/>
    <n v="0"/>
    <n v="0"/>
    <n v="0"/>
    <n v="0"/>
    <n v="0"/>
    <n v="0"/>
    <n v="0"/>
    <n v="1"/>
  </r>
  <r>
    <s v="Cases\\7 Member Bodies and Other Professional Organizations\\71_ISQM 2_SMPC"/>
    <x v="70"/>
    <x v="6"/>
    <s v="Global"/>
    <n v="1"/>
    <n v="0"/>
    <n v="0"/>
    <n v="0"/>
    <n v="0"/>
    <n v="0"/>
    <n v="0"/>
    <n v="0"/>
    <n v="0"/>
  </r>
  <r>
    <s v="Cases\\7 Member Bodies and Other Professional Organizations\\72_ISQM 2_ICPAS"/>
    <x v="71"/>
    <x v="6"/>
    <s v="North America"/>
    <n v="0"/>
    <n v="0"/>
    <n v="0"/>
    <n v="0"/>
    <n v="0"/>
    <n v="0"/>
    <n v="0"/>
    <n v="0"/>
    <n v="1"/>
  </r>
  <r>
    <s v="Cases\\7 Member Bodies and Other Professional Organizations\\73_ISQM 2_IEC-IAB"/>
    <x v="72"/>
    <x v="6"/>
    <s v="Europe"/>
    <n v="0"/>
    <n v="1"/>
    <n v="1"/>
    <n v="0"/>
    <n v="0"/>
    <n v="0"/>
    <n v="0"/>
    <n v="0"/>
    <n v="0"/>
  </r>
  <r>
    <s v="Cases\\7 Member Bodies and Other Professional Organizations\\74_ISQM 2_ICAEW"/>
    <x v="73"/>
    <x v="6"/>
    <s v="Europe"/>
    <n v="0"/>
    <n v="1"/>
    <n v="0"/>
    <n v="1"/>
    <n v="0"/>
    <n v="0"/>
    <n v="0"/>
    <n v="0"/>
    <n v="0"/>
  </r>
  <r>
    <s v="Cases\\7 Member Bodies and Other Professional Organizations\\75_ISQM 2_ICAP"/>
    <x v="74"/>
    <x v="6"/>
    <s v="Middle East and Africa"/>
    <n v="0"/>
    <n v="0"/>
    <n v="0"/>
    <n v="0"/>
    <n v="1"/>
    <n v="0"/>
    <n v="1"/>
    <n v="0"/>
    <n v="0"/>
  </r>
  <r>
    <s v="Cases\\7 Member Bodies and Other Professional Organizations\\76_ISQM 2_ICAS"/>
    <x v="75"/>
    <x v="6"/>
    <s v="Europe"/>
    <n v="0"/>
    <n v="0"/>
    <n v="0"/>
    <n v="0"/>
    <n v="1"/>
    <n v="1"/>
    <n v="0"/>
    <n v="0"/>
    <n v="0"/>
  </r>
  <r>
    <s v="Cases\\7 Member Bodies and Other Professional Organizations\\77_ISQM 2_ICPAU"/>
    <x v="76"/>
    <x v="6"/>
    <s v="Middle East and Africa"/>
    <n v="1"/>
    <n v="0"/>
    <n v="0"/>
    <n v="0"/>
    <n v="0"/>
    <n v="0"/>
    <n v="0"/>
    <n v="0"/>
    <n v="0"/>
  </r>
  <r>
    <s v="Cases\\7 Member Bodies and Other Professional Organizations\\78_ISQM 2_IBRACON"/>
    <x v="77"/>
    <x v="6"/>
    <s v="South America"/>
    <n v="0"/>
    <n v="1"/>
    <n v="0"/>
    <n v="1"/>
    <n v="0"/>
    <n v="0"/>
    <n v="0"/>
    <n v="0"/>
    <n v="0"/>
  </r>
  <r>
    <s v="Cases\\7 Member Bodies and Other Professional Organizations\\79_ISQM 2_ISCA"/>
    <x v="78"/>
    <x v="6"/>
    <s v="Asia Pacific"/>
    <n v="0"/>
    <n v="0"/>
    <n v="0"/>
    <n v="0"/>
    <n v="0"/>
    <n v="0"/>
    <n v="0"/>
    <n v="0"/>
    <n v="1"/>
  </r>
  <r>
    <s v="Cases\\7 Member Bodies and Other Professional Organizations\\80_ISQM 2_ICJCE"/>
    <x v="79"/>
    <x v="6"/>
    <s v="Europe"/>
    <n v="1"/>
    <n v="0"/>
    <n v="0"/>
    <n v="0"/>
    <n v="0"/>
    <n v="0"/>
    <n v="0"/>
    <n v="0"/>
    <n v="0"/>
  </r>
  <r>
    <s v="Cases\\7 Member Bodies and Other Professional Organizations\\81_ISQM 2_IMCP"/>
    <x v="80"/>
    <x v="6"/>
    <s v="North America"/>
    <n v="0"/>
    <n v="1"/>
    <n v="0"/>
    <n v="1"/>
    <n v="0"/>
    <n v="0"/>
    <n v="0"/>
    <n v="0"/>
    <n v="0"/>
  </r>
  <r>
    <s v="Cases\\7 Member Bodies and Other Professional Organizations\\82_ISQM 2_KICPA"/>
    <x v="81"/>
    <x v="6"/>
    <s v="Asia Pacific"/>
    <n v="1"/>
    <n v="0"/>
    <n v="0"/>
    <n v="0"/>
    <n v="0"/>
    <n v="0"/>
    <n v="0"/>
    <n v="0"/>
    <n v="0"/>
  </r>
  <r>
    <s v="Cases\\7 Member Bodies and Other Professional Organizations\\83_ISQM 2_MICPA"/>
    <x v="82"/>
    <x v="6"/>
    <s v="Asia Pacific"/>
    <n v="0"/>
    <n v="0"/>
    <n v="0"/>
    <n v="0"/>
    <n v="1"/>
    <n v="1"/>
    <n v="0"/>
    <n v="0"/>
    <n v="0"/>
  </r>
  <r>
    <s v="Cases\\7 Member Bodies and Other Professional Organizations\\84_ISQM 2_NASBA"/>
    <x v="83"/>
    <x v="2"/>
    <s v="North America"/>
    <n v="0"/>
    <n v="0"/>
    <n v="0"/>
    <n v="0"/>
    <n v="1"/>
    <n v="1"/>
    <n v="0"/>
    <n v="0"/>
    <n v="0"/>
  </r>
  <r>
    <s v="Cases\\7 Member Bodies and Other Professional Organizations\\85_ISQM 2_ NYSSCPA"/>
    <x v="84"/>
    <x v="6"/>
    <s v="North America"/>
    <n v="0"/>
    <n v="0"/>
    <n v="0"/>
    <n v="0"/>
    <n v="0"/>
    <n v="0"/>
    <n v="0"/>
    <n v="0"/>
    <n v="1"/>
  </r>
  <r>
    <s v="Cases\\7 Member Bodies and Other Professional Organizations\\86_ISQM 2_NRF"/>
    <x v="85"/>
    <x v="6"/>
    <s v="Europe"/>
    <n v="0"/>
    <n v="0"/>
    <n v="0"/>
    <n v="0"/>
    <n v="1"/>
    <n v="0"/>
    <n v="1"/>
    <n v="0"/>
    <n v="0"/>
  </r>
  <r>
    <s v="Cases\\7 Member Bodies and Other Professional Organizations\\87_ISQM 2_SRO-AAS"/>
    <x v="86"/>
    <x v="6"/>
    <s v="Europe"/>
    <n v="0"/>
    <n v="1"/>
    <n v="0"/>
    <n v="1"/>
    <n v="0"/>
    <n v="0"/>
    <n v="0"/>
    <n v="0"/>
    <n v="0"/>
  </r>
  <r>
    <s v="Cases\\7 Member Bodies and Other Professional Organizations\\88_ISQM 2_SAICA"/>
    <x v="87"/>
    <x v="6"/>
    <s v="Middle East and Africa"/>
    <n v="0"/>
    <n v="1"/>
    <n v="0"/>
    <n v="1"/>
    <n v="0"/>
    <n v="0"/>
    <n v="0"/>
    <n v="0"/>
    <n v="0"/>
  </r>
  <r>
    <s v="Cases\\7 Member Bodies and Other Professional Organizations\\89_ISQM 2_WPK"/>
    <x v="88"/>
    <x v="6"/>
    <s v="Europe"/>
    <n v="0"/>
    <n v="0"/>
    <n v="0"/>
    <n v="0"/>
    <n v="1"/>
    <n v="0"/>
    <n v="0"/>
    <n v="1"/>
    <n v="0"/>
  </r>
  <r>
    <s v="Cases\\8 Individuals and Others\\90_ISQM 2_TAS-CAA"/>
    <x v="89"/>
    <x v="7"/>
    <s v="Middle East and Africa"/>
    <n v="0"/>
    <n v="1"/>
    <n v="0"/>
    <n v="1"/>
    <n v="0"/>
    <n v="0"/>
    <n v="0"/>
    <n v="0"/>
    <n v="0"/>
  </r>
  <r>
    <s v="Cases\\8 Individuals and Others\\91_ISQM 2_VM"/>
    <x v="90"/>
    <x v="7"/>
    <s v="Europe"/>
    <n v="1"/>
    <n v="0"/>
    <n v="0"/>
    <n v="0"/>
    <n v="0"/>
    <n v="0"/>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Cases\\1 Monitoring Group\\01_ISQM 2_BCBS"/>
    <x v="0"/>
    <x v="0"/>
    <s v="Global"/>
    <n v="0"/>
    <n v="0"/>
    <n v="0"/>
    <n v="1"/>
    <n v="1"/>
  </r>
  <r>
    <s v="Cases\\1 Monitoring Group\\02_ISQM 2_IAIS"/>
    <x v="1"/>
    <x v="0"/>
    <s v="Global"/>
    <n v="0"/>
    <n v="0"/>
    <n v="0"/>
    <n v="1"/>
    <n v="1"/>
  </r>
  <r>
    <s v="Cases\\1 Monitoring Group\\03_ISQM 2_IFIAR"/>
    <x v="2"/>
    <x v="0"/>
    <s v="Global"/>
    <n v="0"/>
    <n v="1"/>
    <n v="0"/>
    <n v="0"/>
    <n v="1"/>
  </r>
  <r>
    <s v="Cases\\1 Monitoring Group\\04_ISQM 2_IOSCO"/>
    <x v="3"/>
    <x v="0"/>
    <s v="Global"/>
    <n v="0"/>
    <n v="1"/>
    <n v="0"/>
    <n v="0"/>
    <n v="1"/>
  </r>
  <r>
    <s v="Cases\\2 Investors and Analysts\\05_ISQM 2_ICGN"/>
    <x v="4"/>
    <x v="1"/>
    <s v="Global"/>
    <n v="0"/>
    <n v="0"/>
    <n v="0"/>
    <n v="1"/>
    <n v="1"/>
  </r>
  <r>
    <s v="Cases\\3 Regulators and Oversight Authorities\\06_ISQM 2_CPAB"/>
    <x v="5"/>
    <x v="2"/>
    <s v="North America"/>
    <n v="0"/>
    <n v="0"/>
    <n v="0"/>
    <n v="1"/>
    <n v="1"/>
  </r>
  <r>
    <s v="Cases\\3 Regulators and Oversight Authorities\\07_ISQM 2_FRC"/>
    <x v="6"/>
    <x v="2"/>
    <s v="Europe"/>
    <n v="0"/>
    <n v="1"/>
    <n v="0"/>
    <n v="0"/>
    <n v="1"/>
  </r>
  <r>
    <s v="Cases\\3 Regulators and Oversight Authorities\\08_ISQM 2_IRBA"/>
    <x v="7"/>
    <x v="2"/>
    <s v="Middle East and Africa"/>
    <n v="0"/>
    <n v="1"/>
    <n v="0"/>
    <n v="0"/>
    <n v="1"/>
  </r>
  <r>
    <s v="Cases\\3 Regulators and Oversight Authorities\\09_ISQM 2_IAASA"/>
    <x v="8"/>
    <x v="2"/>
    <s v="Europe"/>
    <n v="0"/>
    <n v="1"/>
    <n v="0"/>
    <n v="0"/>
    <n v="1"/>
  </r>
  <r>
    <s v="Cases\\4 National Auditing Standard Setters\\10_ISQM 2_AICPA"/>
    <x v="9"/>
    <x v="3"/>
    <s v="North America"/>
    <n v="0"/>
    <n v="0"/>
    <n v="1"/>
    <n v="0"/>
    <n v="1"/>
  </r>
  <r>
    <s v="Cases\\4 National Auditing Standard Setters\\11_ISQM 2_AUASB"/>
    <x v="10"/>
    <x v="3"/>
    <s v="Asia Pacific"/>
    <n v="0"/>
    <n v="0"/>
    <n v="1"/>
    <n v="0"/>
    <n v="1"/>
  </r>
  <r>
    <s v="Cases\\4 National Auditing Standard Setters\\12_ISQM 2_CAASB"/>
    <x v="11"/>
    <x v="3"/>
    <s v="North America"/>
    <n v="0"/>
    <n v="1"/>
    <n v="0"/>
    <n v="0"/>
    <n v="1"/>
  </r>
  <r>
    <s v="Cases\\4 National Auditing Standard Setters\\13_ISQM 2_CICPA"/>
    <x v="12"/>
    <x v="3"/>
    <s v="Asia Pacific"/>
    <n v="0"/>
    <n v="0"/>
    <n v="0"/>
    <n v="1"/>
    <n v="1"/>
  </r>
  <r>
    <s v="Cases\\4 National Auditing Standard Setters\\14_ISQM 2_CNCC-CSOEC"/>
    <x v="13"/>
    <x v="3"/>
    <s v="Europe"/>
    <n v="1"/>
    <n v="0"/>
    <n v="0"/>
    <n v="0"/>
    <n v="1"/>
  </r>
  <r>
    <s v="Cases\\4 National Auditing Standard Setters\\15_ISQM 2_CFC"/>
    <x v="14"/>
    <x v="3"/>
    <s v="South America"/>
    <n v="0"/>
    <n v="1"/>
    <n v="0"/>
    <n v="0"/>
    <n v="1"/>
  </r>
  <r>
    <s v="Cases\\4 National Auditing Standard Setters\\16_ISQM 2_HKICPA"/>
    <x v="15"/>
    <x v="3"/>
    <s v="Asia Pacific"/>
    <n v="0"/>
    <n v="1"/>
    <n v="0"/>
    <n v="0"/>
    <n v="1"/>
  </r>
  <r>
    <s v="Cases\\4 National Auditing Standard Setters\\17_ISQM 2_IDW"/>
    <x v="16"/>
    <x v="3"/>
    <s v="Europe"/>
    <n v="0"/>
    <n v="0"/>
    <n v="1"/>
    <n v="0"/>
    <n v="1"/>
  </r>
  <r>
    <s v="Cases\\4 National Auditing Standard Setters\\18_ISQM 2_JICPA"/>
    <x v="17"/>
    <x v="3"/>
    <s v="Asia Pacific"/>
    <n v="1"/>
    <n v="0"/>
    <n v="0"/>
    <n v="0"/>
    <n v="1"/>
  </r>
  <r>
    <s v="Cases\\4 National Auditing Standard Setters\\19_ISQM 2_KSW"/>
    <x v="18"/>
    <x v="3"/>
    <s v="Europe"/>
    <n v="0"/>
    <n v="1"/>
    <n v="0"/>
    <n v="0"/>
    <n v="1"/>
  </r>
  <r>
    <s v="Cases\\4 National Auditing Standard Setters\\20_ISQM 2_MAASB"/>
    <x v="19"/>
    <x v="3"/>
    <s v="Asia Pacific"/>
    <n v="0"/>
    <n v="0"/>
    <n v="1"/>
    <n v="0"/>
    <n v="1"/>
  </r>
  <r>
    <s v="Cases\\4 National Auditing Standard Setters\\21_ISQM 2_NZAASB"/>
    <x v="20"/>
    <x v="3"/>
    <s v="Asia Pacific"/>
    <n v="0"/>
    <n v="0"/>
    <n v="1"/>
    <n v="0"/>
    <n v="1"/>
  </r>
  <r>
    <s v="Cases\\4 National Auditing Standard Setters\\22_ISQM 2_NBA"/>
    <x v="21"/>
    <x v="3"/>
    <s v="Europe"/>
    <n v="0"/>
    <n v="0"/>
    <n v="1"/>
    <n v="0"/>
    <n v="1"/>
  </r>
  <r>
    <s v="Cases\\5 Accounting Firms\\23_ISQM 2_BTI"/>
    <x v="22"/>
    <x v="4"/>
    <s v="Global"/>
    <n v="0"/>
    <n v="1"/>
    <n v="0"/>
    <n v="0"/>
    <n v="1"/>
  </r>
  <r>
    <s v="Cases\\5 Accounting Firms\\24_ISQM 2_BTVK"/>
    <x v="23"/>
    <x v="4"/>
    <s v="North America"/>
    <n v="1"/>
    <n v="0"/>
    <n v="0"/>
    <n v="0"/>
    <n v="1"/>
  </r>
  <r>
    <s v="Cases\\5 Accounting Firms\\25_ISQM 2_BDO"/>
    <x v="24"/>
    <x v="4"/>
    <s v="Global"/>
    <n v="0"/>
    <n v="1"/>
    <n v="0"/>
    <n v="0"/>
    <n v="1"/>
  </r>
  <r>
    <s v="Cases\\5 Accounting Firms\\26_ISQM 2_CASI"/>
    <x v="25"/>
    <x v="4"/>
    <s v="Asia Pacific"/>
    <n v="0"/>
    <n v="1"/>
    <n v="0"/>
    <n v="0"/>
    <n v="1"/>
  </r>
  <r>
    <s v="Cases\\5 Accounting Firms\\27_ISQM 2_CHI"/>
    <x v="26"/>
    <x v="4"/>
    <s v="Global"/>
    <n v="0"/>
    <n v="1"/>
    <n v="0"/>
    <n v="0"/>
    <n v="1"/>
  </r>
  <r>
    <s v="Cases\\5 Accounting Firms\\28_ISQM 2_DTTL"/>
    <x v="27"/>
    <x v="4"/>
    <s v="Global"/>
    <n v="0"/>
    <n v="1"/>
    <n v="0"/>
    <n v="0"/>
    <n v="1"/>
  </r>
  <r>
    <s v="Cases\\5 Accounting Firms\\29_ISQM 2_DTL"/>
    <x v="28"/>
    <x v="4"/>
    <s v="Europe"/>
    <n v="0"/>
    <n v="1"/>
    <n v="0"/>
    <n v="0"/>
    <n v="1"/>
  </r>
  <r>
    <s v="Cases\\5 Accounting Firms\\30_ISQM 2_ETY"/>
    <x v="29"/>
    <x v="4"/>
    <s v="Middle East and Africa"/>
    <n v="1"/>
    <n v="0"/>
    <n v="0"/>
    <n v="0"/>
    <n v="1"/>
  </r>
  <r>
    <s v="Cases\\5 Accounting Firms\\31_ISQM 2_EYG"/>
    <x v="30"/>
    <x v="4"/>
    <s v="Global"/>
    <n v="0"/>
    <n v="1"/>
    <n v="0"/>
    <n v="0"/>
    <n v="1"/>
  </r>
  <r>
    <s v="Cases\\5 Accounting Firms\\32_ISQM 2_GTIL"/>
    <x v="31"/>
    <x v="4"/>
    <s v="Global"/>
    <n v="0"/>
    <n v="0"/>
    <n v="1"/>
    <n v="0"/>
    <n v="1"/>
  </r>
  <r>
    <s v="Cases\\5 Accounting Firms\\33_ISQM 2_HM"/>
    <x v="32"/>
    <x v="4"/>
    <s v="Europe"/>
    <n v="0"/>
    <n v="1"/>
    <n v="0"/>
    <n v="0"/>
    <n v="1"/>
  </r>
  <r>
    <s v="Cases\\5 Accounting Firms\\34_ISQM 2_KPMG"/>
    <x v="33"/>
    <x v="4"/>
    <s v="Global"/>
    <n v="0"/>
    <n v="1"/>
    <n v="0"/>
    <n v="0"/>
    <n v="1"/>
  </r>
  <r>
    <s v="Cases\\5 Accounting Firms\\35_ISQM 2_KI"/>
    <x v="34"/>
    <x v="4"/>
    <s v="Global"/>
    <n v="0"/>
    <n v="1"/>
    <n v="0"/>
    <n v="0"/>
    <n v="1"/>
  </r>
  <r>
    <s v="Cases\\5 Accounting Firms\\36_ISQM 2_MZRS"/>
    <x v="35"/>
    <x v="4"/>
    <s v="Global"/>
    <n v="0"/>
    <n v="1"/>
    <n v="0"/>
    <n v="0"/>
    <n v="1"/>
  </r>
  <r>
    <s v="Cases\\5 Accounting Firms\\37_ISQM 2_MZRSUS"/>
    <x v="36"/>
    <x v="4"/>
    <s v="North America"/>
    <n v="1"/>
    <n v="0"/>
    <n v="0"/>
    <n v="0"/>
    <n v="1"/>
  </r>
  <r>
    <s v="Cases\\5 Accounting Firms\\38_ISQM 2_MNP"/>
    <x v="37"/>
    <x v="4"/>
    <s v="North America"/>
    <n v="0"/>
    <n v="1"/>
    <n v="0"/>
    <n v="0"/>
    <n v="1"/>
  </r>
  <r>
    <s v="Cases\\5 Accounting Firms\\39_ISQM 2_MSI"/>
    <x v="38"/>
    <x v="4"/>
    <s v="Global"/>
    <n v="0"/>
    <n v="1"/>
    <n v="0"/>
    <n v="0"/>
    <n v="1"/>
  </r>
  <r>
    <s v="Cases\\5 Accounting Firms\\40_ISQM 2_NI"/>
    <x v="39"/>
    <x v="4"/>
    <s v="Global"/>
    <n v="0"/>
    <n v="1"/>
    <n v="0"/>
    <n v="0"/>
    <n v="1"/>
  </r>
  <r>
    <s v="Cases\\5 Accounting Firms\\41_ISQM 2_NSW"/>
    <x v="40"/>
    <x v="4"/>
    <s v="Europe"/>
    <n v="0"/>
    <n v="1"/>
    <n v="0"/>
    <n v="0"/>
    <n v="1"/>
  </r>
  <r>
    <s v="Cases\\5 Accounting Firms\\42_ISQM 2_PKFI"/>
    <x v="41"/>
    <x v="4"/>
    <s v="Global"/>
    <n v="0"/>
    <n v="1"/>
    <n v="0"/>
    <n v="0"/>
    <n v="1"/>
  </r>
  <r>
    <s v="Cases\\5 Accounting Firms\\43_ISQM2_PKFSA"/>
    <x v="42"/>
    <x v="4"/>
    <s v="Middle East and Africa"/>
    <n v="0"/>
    <n v="1"/>
    <n v="0"/>
    <n v="0"/>
    <n v="1"/>
  </r>
  <r>
    <s v="Cases\\5 Accounting Firms\\44_ISQM 2_PwC"/>
    <x v="43"/>
    <x v="4"/>
    <s v="Global"/>
    <n v="0"/>
    <n v="1"/>
    <n v="0"/>
    <n v="0"/>
    <n v="1"/>
  </r>
  <r>
    <s v="Cases\\5 Accounting Firms\\45_ISQM 2_RSMI"/>
    <x v="44"/>
    <x v="4"/>
    <s v="Global"/>
    <n v="1"/>
    <n v="0"/>
    <n v="0"/>
    <n v="0"/>
    <n v="1"/>
  </r>
  <r>
    <s v="Cases\\6 Public Sector Organizations\\46_ISQM 2_AGSA"/>
    <x v="45"/>
    <x v="5"/>
    <s v="Middle East and Africa"/>
    <n v="0"/>
    <n v="1"/>
    <n v="0"/>
    <n v="0"/>
    <n v="1"/>
  </r>
  <r>
    <s v="Cases\\6 Public Sector Organizations\\47_ISQM 2_ACAG"/>
    <x v="46"/>
    <x v="5"/>
    <s v="Asia Pacific"/>
    <n v="0"/>
    <n v="1"/>
    <n v="0"/>
    <n v="0"/>
    <n v="1"/>
  </r>
  <r>
    <s v="Cases\\6 Public Sector Organizations\\48_ISQM 2_INTOSAI"/>
    <x v="47"/>
    <x v="5"/>
    <s v="Global"/>
    <n v="1"/>
    <n v="0"/>
    <n v="0"/>
    <n v="0"/>
    <n v="1"/>
  </r>
  <r>
    <s v="Cases\\6 Public Sector Organizations\\49_ISQM 2_NAOM"/>
    <x v="48"/>
    <x v="5"/>
    <s v="Europe"/>
    <n v="1"/>
    <n v="0"/>
    <n v="0"/>
    <n v="0"/>
    <n v="1"/>
  </r>
  <r>
    <s v="Cases\\6 Public Sector Organizations\\50_ISQM 2_OAGNZ"/>
    <x v="49"/>
    <x v="5"/>
    <s v="Asia Pacific"/>
    <n v="0"/>
    <n v="1"/>
    <n v="0"/>
    <n v="0"/>
    <n v="1"/>
  </r>
  <r>
    <s v="Cases\\6 Public Sector Organizations\\51_ISQM 2_OAGA"/>
    <x v="50"/>
    <x v="5"/>
    <s v="North America"/>
    <n v="0"/>
    <n v="1"/>
    <n v="0"/>
    <n v="0"/>
    <n v="1"/>
  </r>
  <r>
    <s v="Cases\\6 Public Sector Organizations\\52_ISQM 2_OAGC"/>
    <x v="51"/>
    <x v="5"/>
    <s v="North America"/>
    <n v="0"/>
    <n v="1"/>
    <n v="0"/>
    <n v="0"/>
    <n v="1"/>
  </r>
  <r>
    <s v="Cases\\6 Public Sector Organizations\\53_ISQM 2_PAS"/>
    <x v="52"/>
    <x v="5"/>
    <s v="North America"/>
    <n v="0"/>
    <n v="1"/>
    <n v="0"/>
    <n v="0"/>
    <n v="1"/>
  </r>
  <r>
    <s v="Cases\\6 Public Sector Organizations\\54_ISQM 2_SNAO"/>
    <x v="53"/>
    <x v="5"/>
    <s v="Europe"/>
    <n v="0"/>
    <n v="1"/>
    <n v="0"/>
    <n v="0"/>
    <n v="1"/>
  </r>
  <r>
    <s v="Cases\\6 Public Sector Organizations\\55_ISQM 2_GAO"/>
    <x v="54"/>
    <x v="5"/>
    <s v="North America"/>
    <n v="0"/>
    <n v="1"/>
    <n v="0"/>
    <n v="0"/>
    <n v="1"/>
  </r>
  <r>
    <s v="Cases\\7 Member Bodies and Other Professional Organizations\\56_ISQM 2_AE"/>
    <x v="55"/>
    <x v="6"/>
    <s v="Europe"/>
    <n v="0"/>
    <n v="1"/>
    <n v="0"/>
    <n v="0"/>
    <n v="1"/>
  </r>
  <r>
    <s v="Cases\\7 Member Bodies and Other Professional Organizations\\57_ISQM 2_APESB"/>
    <x v="56"/>
    <x v="6"/>
    <s v="Asia Pacific"/>
    <n v="0"/>
    <n v="0"/>
    <n v="1"/>
    <n v="0"/>
    <n v="1"/>
  </r>
  <r>
    <s v="Cases\\7 Member Bodies and Other Professional Organizations\\58_ISQM 2_IBR-IRE"/>
    <x v="57"/>
    <x v="6"/>
    <s v="Europe"/>
    <n v="0"/>
    <n v="1"/>
    <n v="0"/>
    <n v="0"/>
    <n v="1"/>
  </r>
  <r>
    <s v="Cases\\7 Member Bodies and Other Professional Organizations\\59_ISQM 2_BICA"/>
    <x v="58"/>
    <x v="6"/>
    <s v="Middle East and Africa"/>
    <n v="0"/>
    <n v="1"/>
    <n v="0"/>
    <n v="0"/>
    <n v="1"/>
  </r>
  <r>
    <s v="Cases\\7 Member Bodies and Other Professional Organizations\\60_ISQM 2_CAI"/>
    <x v="59"/>
    <x v="6"/>
    <s v="Europe"/>
    <n v="1"/>
    <n v="0"/>
    <n v="0"/>
    <n v="0"/>
    <n v="1"/>
  </r>
  <r>
    <s v="Cases\\7 Member Bodies and Other Professional Organizations\\61_ISQM 2_CalCPA"/>
    <x v="60"/>
    <x v="6"/>
    <s v="North America"/>
    <n v="0"/>
    <n v="1"/>
    <n v="0"/>
    <n v="0"/>
    <n v="1"/>
  </r>
  <r>
    <s v="Cases\\7 Member Bodies and Other Professional Organizations\\62_ISQM 2_CAQ"/>
    <x v="61"/>
    <x v="6"/>
    <s v="North America"/>
    <n v="0"/>
    <n v="1"/>
    <n v="0"/>
    <n v="0"/>
    <n v="1"/>
  </r>
  <r>
    <s v="Cases\\7 Member Bodies and Other Professional Organizations\\63_ISQM 2_CAANZ-ACCA"/>
    <x v="62"/>
    <x v="6"/>
    <s v="Global"/>
    <n v="0"/>
    <n v="1"/>
    <n v="0"/>
    <n v="0"/>
    <n v="1"/>
  </r>
  <r>
    <s v="Cases\\7 Member Bodies and Other Professional Organizations\\64_ISQM 2_CICC-AIC"/>
    <x v="63"/>
    <x v="6"/>
    <s v="South America"/>
    <n v="0"/>
    <n v="1"/>
    <n v="0"/>
    <n v="0"/>
    <n v="1"/>
  </r>
  <r>
    <s v="Cases\\7 Member Bodies and Other Professional Organizations\\65_ISQM 2_CCC-ICPARD"/>
    <x v="64"/>
    <x v="6"/>
    <s v="South America"/>
    <n v="0"/>
    <n v="1"/>
    <n v="0"/>
    <n v="0"/>
    <n v="1"/>
  </r>
  <r>
    <s v="Cases\\7 Member Bodies and Other Professional Organizations\\66_ISQM 2_CPAA"/>
    <x v="65"/>
    <x v="6"/>
    <s v="Asia Pacific"/>
    <n v="0"/>
    <n v="0"/>
    <n v="1"/>
    <n v="0"/>
    <n v="1"/>
  </r>
  <r>
    <s v="Cases\\7 Member Bodies and Other Professional Organizations\\67_ISQM 2_EXPERT"/>
    <x v="66"/>
    <x v="6"/>
    <s v="Europe"/>
    <n v="0"/>
    <n v="1"/>
    <n v="0"/>
    <n v="0"/>
    <n v="1"/>
  </r>
  <r>
    <s v="Cases\\7 Member Bodies and Other Professional Organizations\\68_ISQM 2_FAR"/>
    <x v="67"/>
    <x v="6"/>
    <s v="Europe"/>
    <n v="0"/>
    <n v="0"/>
    <n v="0"/>
    <n v="1"/>
    <n v="1"/>
  </r>
  <r>
    <s v="Cases\\7 Member Bodies and Other Professional Organizations\\69_ISQM 2_FACPCE"/>
    <x v="68"/>
    <x v="6"/>
    <s v="South America"/>
    <n v="0"/>
    <n v="1"/>
    <n v="0"/>
    <n v="0"/>
    <n v="1"/>
  </r>
  <r>
    <s v="Cases\\7 Member Bodies and Other Professional Organizations\\70_ISQM 2_FSR"/>
    <x v="69"/>
    <x v="6"/>
    <s v="Europe"/>
    <n v="0"/>
    <n v="0"/>
    <n v="0"/>
    <n v="1"/>
    <n v="1"/>
  </r>
  <r>
    <s v="Cases\\7 Member Bodies and Other Professional Organizations\\71_ISQM 2_SMPC"/>
    <x v="70"/>
    <x v="6"/>
    <s v="Global"/>
    <n v="0"/>
    <n v="1"/>
    <n v="0"/>
    <n v="0"/>
    <n v="1"/>
  </r>
  <r>
    <s v="Cases\\7 Member Bodies and Other Professional Organizations\\72_ISQM 2_ICPAS"/>
    <x v="71"/>
    <x v="6"/>
    <s v="North America"/>
    <n v="1"/>
    <n v="0"/>
    <n v="0"/>
    <n v="0"/>
    <n v="1"/>
  </r>
  <r>
    <s v="Cases\\7 Member Bodies and Other Professional Organizations\\73_ISQM 2_IEC-IAB"/>
    <x v="72"/>
    <x v="6"/>
    <s v="Europe"/>
    <n v="1"/>
    <n v="0"/>
    <n v="0"/>
    <n v="0"/>
    <n v="1"/>
  </r>
  <r>
    <s v="Cases\\7 Member Bodies and Other Professional Organizations\\74_ISQM 2_ICAEW"/>
    <x v="73"/>
    <x v="6"/>
    <s v="Europe"/>
    <n v="0"/>
    <n v="1"/>
    <n v="0"/>
    <n v="0"/>
    <n v="1"/>
  </r>
  <r>
    <s v="Cases\\7 Member Bodies and Other Professional Organizations\\75_ISQM 2_ICAP"/>
    <x v="74"/>
    <x v="6"/>
    <s v="Middle East and Africa"/>
    <n v="0"/>
    <n v="0"/>
    <n v="1"/>
    <n v="0"/>
    <n v="1"/>
  </r>
  <r>
    <s v="Cases\\7 Member Bodies and Other Professional Organizations\\76_ISQM 2_ICAS"/>
    <x v="75"/>
    <x v="6"/>
    <s v="Europe"/>
    <n v="1"/>
    <n v="0"/>
    <n v="0"/>
    <n v="0"/>
    <n v="1"/>
  </r>
  <r>
    <s v="Cases\\7 Member Bodies and Other Professional Organizations\\77_ISQM 2_ICPAU"/>
    <x v="76"/>
    <x v="6"/>
    <s v="Middle East and Africa"/>
    <n v="0"/>
    <n v="1"/>
    <n v="0"/>
    <n v="0"/>
    <n v="1"/>
  </r>
  <r>
    <s v="Cases\\7 Member Bodies and Other Professional Organizations\\78_ISQM 2_IBRACON"/>
    <x v="77"/>
    <x v="6"/>
    <s v="South America"/>
    <n v="0"/>
    <n v="1"/>
    <n v="0"/>
    <n v="0"/>
    <n v="1"/>
  </r>
  <r>
    <s v="Cases\\7 Member Bodies and Other Professional Organizations\\79_ISQM 2_ISCA"/>
    <x v="78"/>
    <x v="6"/>
    <s v="Asia Pacific"/>
    <n v="0"/>
    <n v="0"/>
    <n v="0"/>
    <n v="1"/>
    <n v="1"/>
  </r>
  <r>
    <s v="Cases\\7 Member Bodies and Other Professional Organizations\\80_ISQM 2_ICJCE"/>
    <x v="79"/>
    <x v="6"/>
    <s v="Europe"/>
    <n v="0"/>
    <n v="1"/>
    <n v="0"/>
    <n v="0"/>
    <n v="1"/>
  </r>
  <r>
    <s v="Cases\\7 Member Bodies and Other Professional Organizations\\81_ISQM 2_IMCP"/>
    <x v="80"/>
    <x v="6"/>
    <s v="North America"/>
    <n v="0"/>
    <n v="1"/>
    <n v="0"/>
    <n v="0"/>
    <n v="1"/>
  </r>
  <r>
    <s v="Cases\\7 Member Bodies and Other Professional Organizations\\82_ISQM 2_KICPA"/>
    <x v="81"/>
    <x v="6"/>
    <s v="Asia Pacific"/>
    <n v="1"/>
    <n v="0"/>
    <n v="0"/>
    <n v="0"/>
    <n v="1"/>
  </r>
  <r>
    <s v="Cases\\7 Member Bodies and Other Professional Organizations\\83_ISQM 2_MICPA"/>
    <x v="82"/>
    <x v="6"/>
    <s v="Asia Pacific"/>
    <n v="1"/>
    <n v="0"/>
    <n v="0"/>
    <n v="0"/>
    <n v="1"/>
  </r>
  <r>
    <s v="Cases\\7 Member Bodies and Other Professional Organizations\\84_ISQM 2_NASBA"/>
    <x v="83"/>
    <x v="2"/>
    <s v="North America"/>
    <n v="0"/>
    <n v="1"/>
    <n v="0"/>
    <n v="0"/>
    <n v="1"/>
  </r>
  <r>
    <s v="Cases\\7 Member Bodies and Other Professional Organizations\\85_ISQM 2_ NYSSCPA"/>
    <x v="84"/>
    <x v="6"/>
    <s v="North America"/>
    <n v="0"/>
    <n v="0"/>
    <n v="0"/>
    <n v="1"/>
    <n v="1"/>
  </r>
  <r>
    <s v="Cases\\7 Member Bodies and Other Professional Organizations\\86_ISQM 2_NRF"/>
    <x v="85"/>
    <x v="6"/>
    <s v="Europe"/>
    <n v="0"/>
    <n v="0"/>
    <n v="1"/>
    <n v="0"/>
    <n v="1"/>
  </r>
  <r>
    <s v="Cases\\7 Member Bodies and Other Professional Organizations\\87_ISQM 2_SRO-AAS"/>
    <x v="86"/>
    <x v="6"/>
    <s v="Europe"/>
    <n v="1"/>
    <n v="0"/>
    <n v="0"/>
    <n v="0"/>
    <n v="1"/>
  </r>
  <r>
    <s v="Cases\\7 Member Bodies and Other Professional Organizations\\88_ISQM 2_SAICA"/>
    <x v="87"/>
    <x v="6"/>
    <s v="Middle East and Africa"/>
    <n v="0"/>
    <n v="1"/>
    <n v="0"/>
    <n v="0"/>
    <n v="1"/>
  </r>
  <r>
    <s v="Cases\\7 Member Bodies and Other Professional Organizations\\89_ISQM 2_WPK"/>
    <x v="88"/>
    <x v="6"/>
    <s v="Europe"/>
    <n v="0"/>
    <n v="0"/>
    <n v="1"/>
    <n v="0"/>
    <n v="1"/>
  </r>
  <r>
    <s v="Cases\\8 Individuals and Others\\90_ISQM 2_TAS-CAA"/>
    <x v="89"/>
    <x v="7"/>
    <s v="Middle East and Africa"/>
    <n v="0"/>
    <n v="1"/>
    <n v="0"/>
    <n v="0"/>
    <n v="1"/>
  </r>
  <r>
    <s v="Cases\\8 Individuals and Others\\91_ISQM 2_VM"/>
    <x v="90"/>
    <x v="7"/>
    <s v="Europe"/>
    <n v="1"/>
    <n v="0"/>
    <n v="0"/>
    <n v="0"/>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Cases\\1 Monitoring Group\\01_BCBS"/>
    <x v="0"/>
    <x v="0"/>
    <s v="Global"/>
    <n v="0"/>
    <n v="1"/>
    <n v="1"/>
    <n v="0"/>
    <n v="0"/>
    <n v="0"/>
    <n v="0"/>
    <n v="0"/>
    <n v="0"/>
    <n v="0"/>
    <n v="0"/>
    <n v="0"/>
    <n v="0"/>
    <n v="0"/>
    <n v="0"/>
  </r>
  <r>
    <s v="Cases\\1 Monitoring Group\\02_IAIS"/>
    <x v="1"/>
    <x v="0"/>
    <s v="Global"/>
    <n v="0"/>
    <n v="1"/>
    <n v="1"/>
    <n v="0"/>
    <n v="0"/>
    <n v="0"/>
    <n v="0"/>
    <n v="0"/>
    <n v="0"/>
    <n v="0"/>
    <n v="0"/>
    <n v="0"/>
    <n v="0"/>
    <n v="0"/>
    <n v="0"/>
  </r>
  <r>
    <s v="Cases\\1 Monitoring Group\\03_IFIAR"/>
    <x v="2"/>
    <x v="0"/>
    <s v="Global"/>
    <n v="1"/>
    <n v="0"/>
    <n v="0"/>
    <n v="0"/>
    <n v="0"/>
    <n v="0"/>
    <n v="0"/>
    <n v="0"/>
    <n v="0"/>
    <n v="0"/>
    <n v="0"/>
    <n v="0"/>
    <n v="0"/>
    <n v="0"/>
    <n v="0"/>
  </r>
  <r>
    <s v="Cases\\1 Monitoring Group\\04_IOSCO"/>
    <x v="3"/>
    <x v="0"/>
    <s v="Global"/>
    <n v="0"/>
    <n v="0"/>
    <n v="0"/>
    <n v="0"/>
    <n v="0"/>
    <n v="0"/>
    <n v="0"/>
    <n v="0"/>
    <n v="0"/>
    <n v="0"/>
    <n v="0"/>
    <n v="0"/>
    <n v="0"/>
    <n v="0"/>
    <n v="1"/>
  </r>
  <r>
    <s v="Cases\\2 Investors and Analysts\\05_CRUF"/>
    <x v="4"/>
    <x v="1"/>
    <s v="Global"/>
    <n v="0"/>
    <n v="0"/>
    <n v="0"/>
    <n v="0"/>
    <n v="0"/>
    <n v="0"/>
    <n v="0"/>
    <n v="0"/>
    <n v="0"/>
    <n v="0"/>
    <n v="0"/>
    <n v="0"/>
    <n v="0"/>
    <n v="0"/>
    <n v="1"/>
  </r>
  <r>
    <s v="Cases\\2 Investors and Analysts\\06_ICGN"/>
    <x v="5"/>
    <x v="1"/>
    <s v="Global"/>
    <n v="0"/>
    <n v="0"/>
    <n v="0"/>
    <n v="0"/>
    <n v="0"/>
    <n v="0"/>
    <n v="0"/>
    <n v="0"/>
    <n v="0"/>
    <n v="0"/>
    <n v="0"/>
    <n v="0"/>
    <n v="0"/>
    <n v="0"/>
    <n v="1"/>
  </r>
  <r>
    <s v="Cases\\3 Regulators and Oversight Authorities\\07_CPAB"/>
    <x v="6"/>
    <x v="2"/>
    <s v="North America"/>
    <n v="0"/>
    <n v="1"/>
    <n v="0"/>
    <n v="0"/>
    <n v="1"/>
    <n v="0"/>
    <n v="0"/>
    <n v="0"/>
    <n v="0"/>
    <n v="0"/>
    <n v="0"/>
    <n v="0"/>
    <n v="0"/>
    <n v="0"/>
    <n v="0"/>
  </r>
  <r>
    <s v="Cases\\3 Regulators and Oversight Authorities\\08_FRC"/>
    <x v="7"/>
    <x v="2"/>
    <s v="Europe"/>
    <n v="1"/>
    <n v="0"/>
    <n v="0"/>
    <n v="0"/>
    <n v="0"/>
    <n v="0"/>
    <n v="0"/>
    <n v="0"/>
    <n v="0"/>
    <n v="0"/>
    <n v="0"/>
    <n v="0"/>
    <n v="0"/>
    <n v="0"/>
    <n v="0"/>
  </r>
  <r>
    <s v="Cases\\3 Regulators and Oversight Authorities\\09_IRBA"/>
    <x v="8"/>
    <x v="2"/>
    <s v="Middle East and Africa"/>
    <n v="0"/>
    <n v="1"/>
    <n v="0"/>
    <n v="1"/>
    <n v="0"/>
    <n v="1"/>
    <n v="0"/>
    <n v="0"/>
    <n v="0"/>
    <n v="0"/>
    <n v="0"/>
    <n v="0"/>
    <n v="0"/>
    <n v="0"/>
    <n v="0"/>
  </r>
  <r>
    <s v="Cases\\3 Regulators and Oversight Authorities\\10_IAASA"/>
    <x v="9"/>
    <x v="2"/>
    <s v="Europe"/>
    <n v="0"/>
    <n v="0"/>
    <n v="0"/>
    <n v="0"/>
    <n v="0"/>
    <n v="0"/>
    <n v="0"/>
    <n v="0"/>
    <n v="0"/>
    <n v="0"/>
    <n v="0"/>
    <n v="0"/>
    <n v="0"/>
    <n v="0"/>
    <n v="1"/>
  </r>
  <r>
    <s v="Cases\\4 National Auditing Standard Setters\\11_AICPA"/>
    <x v="10"/>
    <x v="3"/>
    <s v="North America"/>
    <n v="0"/>
    <n v="1"/>
    <n v="0"/>
    <n v="0"/>
    <n v="1"/>
    <n v="1"/>
    <n v="0"/>
    <n v="0"/>
    <n v="1"/>
    <n v="0"/>
    <n v="0"/>
    <n v="0"/>
    <n v="0"/>
    <n v="0"/>
    <n v="0"/>
  </r>
  <r>
    <s v="Cases\\4 National Auditing Standard Setters\\12_AUASB"/>
    <x v="11"/>
    <x v="3"/>
    <s v="Asia Pacific"/>
    <n v="0"/>
    <n v="0"/>
    <n v="0"/>
    <n v="0"/>
    <n v="0"/>
    <n v="0"/>
    <n v="0"/>
    <n v="0"/>
    <n v="0"/>
    <n v="1"/>
    <n v="1"/>
    <n v="0"/>
    <n v="1"/>
    <n v="0"/>
    <n v="0"/>
  </r>
  <r>
    <s v="Cases\\4 National Auditing Standard Setters\\13_CAASB"/>
    <x v="12"/>
    <x v="3"/>
    <s v="North America"/>
    <n v="0"/>
    <n v="1"/>
    <n v="0"/>
    <n v="1"/>
    <n v="0"/>
    <n v="0"/>
    <n v="0"/>
    <n v="0"/>
    <n v="1"/>
    <n v="0"/>
    <n v="0"/>
    <n v="0"/>
    <n v="0"/>
    <n v="0"/>
    <n v="0"/>
  </r>
  <r>
    <s v="Cases\\4 National Auditing Standard Setters\\14_CICPA"/>
    <x v="13"/>
    <x v="3"/>
    <s v="Asia Pacific"/>
    <n v="0"/>
    <n v="1"/>
    <n v="0"/>
    <n v="0"/>
    <n v="0"/>
    <n v="0"/>
    <n v="0"/>
    <n v="0"/>
    <n v="0"/>
    <n v="0"/>
    <n v="0"/>
    <n v="0"/>
    <n v="0"/>
    <n v="0"/>
    <n v="0"/>
  </r>
  <r>
    <s v="Cases\\4 National Auditing Standard Setters\\15_CNCC-CSOEC"/>
    <x v="14"/>
    <x v="3"/>
    <s v="Europe"/>
    <n v="0"/>
    <n v="0"/>
    <n v="0"/>
    <n v="0"/>
    <n v="0"/>
    <n v="0"/>
    <n v="0"/>
    <n v="0"/>
    <n v="0"/>
    <n v="0"/>
    <n v="0"/>
    <n v="0"/>
    <n v="0"/>
    <n v="0"/>
    <n v="1"/>
  </r>
  <r>
    <s v="Cases\\4 National Auditing Standard Setters\\16_CFC"/>
    <x v="15"/>
    <x v="3"/>
    <s v="South America"/>
    <n v="0"/>
    <n v="1"/>
    <n v="0"/>
    <n v="1"/>
    <n v="0"/>
    <n v="0"/>
    <n v="0"/>
    <n v="0"/>
    <n v="0"/>
    <n v="0"/>
    <n v="0"/>
    <n v="0"/>
    <n v="0"/>
    <n v="0"/>
    <n v="0"/>
  </r>
  <r>
    <s v="Cases\\4 National Auditing Standard Setters\\17_HKICPA"/>
    <x v="16"/>
    <x v="3"/>
    <s v="Asia Pacific"/>
    <n v="0"/>
    <n v="1"/>
    <n v="0"/>
    <n v="0"/>
    <n v="1"/>
    <n v="0"/>
    <n v="1"/>
    <n v="0"/>
    <n v="0"/>
    <n v="0"/>
    <n v="0"/>
    <n v="0"/>
    <n v="0"/>
    <n v="0"/>
    <n v="0"/>
  </r>
  <r>
    <s v="Cases\\4 National Auditing Standard Setters\\18_IDW"/>
    <x v="17"/>
    <x v="3"/>
    <s v="Europe"/>
    <n v="0"/>
    <n v="0"/>
    <n v="0"/>
    <n v="0"/>
    <n v="0"/>
    <n v="0"/>
    <n v="0"/>
    <n v="0"/>
    <n v="0"/>
    <n v="1"/>
    <n v="1"/>
    <n v="1"/>
    <n v="0"/>
    <n v="0"/>
    <n v="0"/>
  </r>
  <r>
    <s v="Cases\\4 National Auditing Standard Setters\\19_JICPA"/>
    <x v="18"/>
    <x v="3"/>
    <s v="Asia Pacific"/>
    <n v="1"/>
    <n v="0"/>
    <n v="0"/>
    <n v="0"/>
    <n v="0"/>
    <n v="0"/>
    <n v="0"/>
    <n v="0"/>
    <n v="0"/>
    <n v="0"/>
    <n v="0"/>
    <n v="0"/>
    <n v="0"/>
    <n v="0"/>
    <n v="0"/>
  </r>
  <r>
    <s v="Cases\\4 National Auditing Standard Setters\\20_KSW"/>
    <x v="19"/>
    <x v="3"/>
    <s v="Europe"/>
    <n v="0"/>
    <n v="1"/>
    <n v="0"/>
    <n v="1"/>
    <n v="0"/>
    <n v="0"/>
    <n v="0"/>
    <n v="0"/>
    <n v="0"/>
    <n v="0"/>
    <n v="0"/>
    <n v="0"/>
    <n v="0"/>
    <n v="0"/>
    <n v="0"/>
  </r>
  <r>
    <s v="Cases\\4 National Auditing Standard Setters\\21_MAASB"/>
    <x v="20"/>
    <x v="3"/>
    <s v="Asia Pacific"/>
    <n v="1"/>
    <n v="0"/>
    <n v="0"/>
    <n v="0"/>
    <n v="0"/>
    <n v="0"/>
    <n v="0"/>
    <n v="0"/>
    <n v="0"/>
    <n v="0"/>
    <n v="0"/>
    <n v="0"/>
    <n v="0"/>
    <n v="0"/>
    <n v="0"/>
  </r>
  <r>
    <s v="Cases\\4 National Auditing Standard Setters\\22_NZAASB"/>
    <x v="21"/>
    <x v="3"/>
    <s v="Asia Pacific"/>
    <n v="0"/>
    <n v="1"/>
    <n v="0"/>
    <n v="0"/>
    <n v="0"/>
    <n v="0"/>
    <n v="1"/>
    <n v="0"/>
    <n v="0"/>
    <n v="0"/>
    <n v="0"/>
    <n v="0"/>
    <n v="0"/>
    <n v="0"/>
    <n v="0"/>
  </r>
  <r>
    <s v="Cases\\4 National Auditing Standard Setters\\23_NBA"/>
    <x v="22"/>
    <x v="3"/>
    <s v="Europe"/>
    <n v="0"/>
    <n v="1"/>
    <n v="0"/>
    <n v="1"/>
    <n v="1"/>
    <n v="0"/>
    <n v="0"/>
    <n v="0"/>
    <n v="0"/>
    <n v="0"/>
    <n v="0"/>
    <n v="0"/>
    <n v="0"/>
    <n v="0"/>
    <n v="0"/>
  </r>
  <r>
    <s v="Cases\\4 National Auditing Standard Setters\\24_SOCPA"/>
    <x v="23"/>
    <x v="3"/>
    <s v="Middle East and Africa"/>
    <n v="0"/>
    <n v="1"/>
    <n v="0"/>
    <n v="0"/>
    <n v="1"/>
    <n v="0"/>
    <n v="0"/>
    <n v="0"/>
    <n v="0"/>
    <n v="0"/>
    <n v="0"/>
    <n v="0"/>
    <n v="0"/>
    <n v="0"/>
    <n v="0"/>
  </r>
  <r>
    <s v="Cases\\5 Accounting Firms\\25_BTI"/>
    <x v="24"/>
    <x v="4"/>
    <s v="Global"/>
    <n v="0"/>
    <n v="1"/>
    <n v="0"/>
    <n v="1"/>
    <n v="0"/>
    <n v="0"/>
    <n v="0"/>
    <n v="0"/>
    <n v="0"/>
    <n v="0"/>
    <n v="0"/>
    <n v="0"/>
    <n v="0"/>
    <n v="0"/>
    <n v="0"/>
  </r>
  <r>
    <s v="Cases\\5 Accounting Firms\\26_BTVK"/>
    <x v="25"/>
    <x v="4"/>
    <s v="North America"/>
    <n v="0"/>
    <n v="0"/>
    <n v="0"/>
    <n v="0"/>
    <n v="0"/>
    <n v="0"/>
    <n v="0"/>
    <n v="0"/>
    <n v="0"/>
    <n v="0"/>
    <n v="0"/>
    <n v="0"/>
    <n v="0"/>
    <n v="0"/>
    <n v="1"/>
  </r>
  <r>
    <s v="Cases\\5 Accounting Firms\\27_BDO"/>
    <x v="26"/>
    <x v="4"/>
    <s v="Global"/>
    <n v="1"/>
    <n v="0"/>
    <n v="0"/>
    <n v="0"/>
    <n v="0"/>
    <n v="0"/>
    <n v="0"/>
    <n v="0"/>
    <n v="0"/>
    <n v="0"/>
    <n v="0"/>
    <n v="0"/>
    <n v="0"/>
    <n v="0"/>
    <n v="0"/>
  </r>
  <r>
    <s v="Cases\\5 Accounting Firms\\28_CASI"/>
    <x v="27"/>
    <x v="4"/>
    <s v="Asia Pacific"/>
    <n v="1"/>
    <n v="0"/>
    <n v="0"/>
    <n v="0"/>
    <n v="0"/>
    <n v="0"/>
    <n v="0"/>
    <n v="0"/>
    <n v="0"/>
    <n v="0"/>
    <n v="0"/>
    <n v="0"/>
    <n v="0"/>
    <n v="0"/>
    <n v="0"/>
  </r>
  <r>
    <s v="Cases\\5 Accounting Firms\\29_CHI"/>
    <x v="28"/>
    <x v="4"/>
    <s v="Global"/>
    <n v="1"/>
    <n v="0"/>
    <n v="0"/>
    <n v="0"/>
    <n v="0"/>
    <n v="0"/>
    <n v="0"/>
    <n v="0"/>
    <n v="0"/>
    <n v="0"/>
    <n v="0"/>
    <n v="0"/>
    <n v="0"/>
    <n v="0"/>
    <n v="0"/>
  </r>
  <r>
    <s v="Cases\\5 Accounting Firms\\30_DTTL"/>
    <x v="29"/>
    <x v="4"/>
    <s v="Global"/>
    <n v="0"/>
    <n v="1"/>
    <n v="0"/>
    <n v="0"/>
    <n v="0"/>
    <n v="1"/>
    <n v="1"/>
    <n v="1"/>
    <n v="0"/>
    <n v="0"/>
    <n v="0"/>
    <n v="0"/>
    <n v="0"/>
    <n v="0"/>
    <n v="0"/>
  </r>
  <r>
    <s v="Cases\\5 Accounting Firms\\31_DTL"/>
    <x v="30"/>
    <x v="4"/>
    <s v="Europe"/>
    <n v="1"/>
    <n v="0"/>
    <n v="0"/>
    <n v="0"/>
    <n v="0"/>
    <n v="0"/>
    <n v="0"/>
    <n v="0"/>
    <n v="0"/>
    <n v="0"/>
    <n v="0"/>
    <n v="0"/>
    <n v="0"/>
    <n v="0"/>
    <n v="0"/>
  </r>
  <r>
    <s v="Cases\\5 Accounting Firms\\32_ETY"/>
    <x v="31"/>
    <x v="4"/>
    <s v="Middle East and Africa"/>
    <n v="1"/>
    <n v="0"/>
    <n v="0"/>
    <n v="0"/>
    <n v="0"/>
    <n v="0"/>
    <n v="0"/>
    <n v="0"/>
    <n v="0"/>
    <n v="0"/>
    <n v="0"/>
    <n v="0"/>
    <n v="0"/>
    <n v="0"/>
    <n v="0"/>
  </r>
  <r>
    <s v="Cases\\5 Accounting Firms\\33_EYG"/>
    <x v="32"/>
    <x v="4"/>
    <s v="Global"/>
    <n v="0"/>
    <n v="1"/>
    <n v="0"/>
    <n v="1"/>
    <n v="1"/>
    <n v="0"/>
    <n v="1"/>
    <n v="1"/>
    <n v="0"/>
    <n v="0"/>
    <n v="0"/>
    <n v="0"/>
    <n v="0"/>
    <n v="0"/>
    <n v="0"/>
  </r>
  <r>
    <s v="Cases\\5 Accounting Firms\\34_GTIL"/>
    <x v="33"/>
    <x v="4"/>
    <s v="Global"/>
    <n v="0"/>
    <n v="1"/>
    <n v="0"/>
    <n v="1"/>
    <n v="1"/>
    <n v="1"/>
    <n v="0"/>
    <n v="0"/>
    <n v="1"/>
    <n v="0"/>
    <n v="0"/>
    <n v="0"/>
    <n v="0"/>
    <n v="0"/>
    <n v="0"/>
  </r>
  <r>
    <s v="Cases\\5 Accounting Firms\\35_HM"/>
    <x v="34"/>
    <x v="4"/>
    <s v="Europe"/>
    <n v="0"/>
    <n v="1"/>
    <n v="0"/>
    <n v="0"/>
    <n v="1"/>
    <n v="0"/>
    <n v="0"/>
    <n v="0"/>
    <n v="0"/>
    <n v="0"/>
    <n v="0"/>
    <n v="0"/>
    <n v="0"/>
    <n v="0"/>
    <n v="0"/>
  </r>
  <r>
    <s v="Cases\\5 Accounting Firms\\36_KPMG"/>
    <x v="35"/>
    <x v="4"/>
    <s v="Global"/>
    <n v="1"/>
    <n v="0"/>
    <n v="0"/>
    <n v="0"/>
    <n v="0"/>
    <n v="0"/>
    <n v="0"/>
    <n v="0"/>
    <n v="0"/>
    <n v="0"/>
    <n v="0"/>
    <n v="0"/>
    <n v="0"/>
    <n v="0"/>
    <n v="0"/>
  </r>
  <r>
    <s v="Cases\\5 Accounting Firms\\37_KI"/>
    <x v="36"/>
    <x v="4"/>
    <s v="Global"/>
    <n v="1"/>
    <n v="0"/>
    <n v="0"/>
    <n v="0"/>
    <n v="0"/>
    <n v="0"/>
    <n v="0"/>
    <n v="0"/>
    <n v="0"/>
    <n v="0"/>
    <n v="0"/>
    <n v="0"/>
    <n v="0"/>
    <n v="0"/>
    <n v="0"/>
  </r>
  <r>
    <s v="Cases\\5 Accounting Firms\\38_MZRS"/>
    <x v="37"/>
    <x v="4"/>
    <s v="Global"/>
    <n v="1"/>
    <n v="0"/>
    <n v="0"/>
    <n v="0"/>
    <n v="0"/>
    <n v="0"/>
    <n v="0"/>
    <n v="0"/>
    <n v="0"/>
    <n v="0"/>
    <n v="0"/>
    <n v="0"/>
    <n v="0"/>
    <n v="0"/>
    <n v="0"/>
  </r>
  <r>
    <s v="Cases\\5 Accounting Firms\\39_MZRSUS"/>
    <x v="38"/>
    <x v="4"/>
    <s v="North America"/>
    <n v="0"/>
    <n v="1"/>
    <n v="0"/>
    <n v="0"/>
    <n v="1"/>
    <n v="0"/>
    <n v="0"/>
    <n v="0"/>
    <n v="0"/>
    <n v="0"/>
    <n v="0"/>
    <n v="0"/>
    <n v="0"/>
    <n v="0"/>
    <n v="0"/>
  </r>
  <r>
    <s v="Cases\\5 Accounting Firms\\40_MGI"/>
    <x v="39"/>
    <x v="4"/>
    <s v="Global"/>
    <n v="0"/>
    <n v="1"/>
    <n v="0"/>
    <n v="1"/>
    <n v="0"/>
    <n v="0"/>
    <n v="0"/>
    <n v="0"/>
    <n v="0"/>
    <n v="0"/>
    <n v="0"/>
    <n v="0"/>
    <n v="0"/>
    <n v="0"/>
    <n v="0"/>
  </r>
  <r>
    <s v="Cases\\5 Accounting Firms\\41_MNP"/>
    <x v="40"/>
    <x v="4"/>
    <s v="North America"/>
    <n v="1"/>
    <n v="0"/>
    <n v="0"/>
    <n v="0"/>
    <n v="0"/>
    <n v="0"/>
    <n v="0"/>
    <n v="0"/>
    <n v="0"/>
    <n v="0"/>
    <n v="0"/>
    <n v="0"/>
    <n v="0"/>
    <n v="0"/>
    <n v="0"/>
  </r>
  <r>
    <s v="Cases\\5 Accounting Firms\\42_MSI"/>
    <x v="41"/>
    <x v="4"/>
    <s v="Global"/>
    <n v="0"/>
    <n v="1"/>
    <n v="0"/>
    <n v="0"/>
    <n v="0"/>
    <n v="0"/>
    <n v="0"/>
    <n v="0"/>
    <n v="0"/>
    <n v="0"/>
    <n v="0"/>
    <n v="0"/>
    <n v="0"/>
    <n v="0"/>
    <n v="0"/>
  </r>
  <r>
    <s v="Cases\\5 Accounting Firms\\43_NI"/>
    <x v="42"/>
    <x v="4"/>
    <s v="Global"/>
    <n v="0"/>
    <n v="1"/>
    <n v="0"/>
    <n v="0"/>
    <n v="1"/>
    <n v="0"/>
    <n v="0"/>
    <n v="0"/>
    <n v="0"/>
    <n v="0"/>
    <n v="0"/>
    <n v="0"/>
    <n v="0"/>
    <n v="0"/>
    <n v="0"/>
  </r>
  <r>
    <s v="Cases\\5 Accounting Firms\\44_NSW"/>
    <x v="43"/>
    <x v="4"/>
    <s v="Europe"/>
    <n v="0"/>
    <n v="1"/>
    <n v="0"/>
    <n v="0"/>
    <n v="0"/>
    <n v="0"/>
    <n v="0"/>
    <n v="0"/>
    <n v="0"/>
    <n v="0"/>
    <n v="0"/>
    <n v="0"/>
    <n v="0"/>
    <n v="0"/>
    <n v="0"/>
  </r>
  <r>
    <s v="Cases\\5 Accounting Firms\\45_PKFI"/>
    <x v="44"/>
    <x v="4"/>
    <s v="Global"/>
    <n v="0"/>
    <n v="1"/>
    <n v="0"/>
    <n v="0"/>
    <n v="0"/>
    <n v="0"/>
    <n v="0"/>
    <n v="1"/>
    <n v="0"/>
    <n v="0"/>
    <n v="0"/>
    <n v="0"/>
    <n v="0"/>
    <n v="0"/>
    <n v="0"/>
  </r>
  <r>
    <s v="Cases\\5 Accounting Firms\\46_PKFSA"/>
    <x v="45"/>
    <x v="4"/>
    <s v="Middle East and Africa"/>
    <n v="0"/>
    <n v="1"/>
    <n v="0"/>
    <n v="0"/>
    <n v="0"/>
    <n v="0"/>
    <n v="0"/>
    <n v="1"/>
    <n v="0"/>
    <n v="0"/>
    <n v="0"/>
    <n v="0"/>
    <n v="0"/>
    <n v="0"/>
    <n v="0"/>
  </r>
  <r>
    <s v="Cases\\5 Accounting Firms\\47_PwC"/>
    <x v="46"/>
    <x v="4"/>
    <s v="Global"/>
    <n v="0"/>
    <n v="1"/>
    <n v="0"/>
    <n v="0"/>
    <n v="1"/>
    <n v="0"/>
    <n v="0"/>
    <n v="0"/>
    <n v="0"/>
    <n v="0"/>
    <n v="0"/>
    <n v="0"/>
    <n v="0"/>
    <n v="0"/>
    <n v="0"/>
  </r>
  <r>
    <s v="Cases\\5 Accounting Firms\\48_RSMI"/>
    <x v="47"/>
    <x v="4"/>
    <s v="Global"/>
    <n v="0"/>
    <n v="1"/>
    <n v="0"/>
    <n v="1"/>
    <n v="0"/>
    <n v="0"/>
    <n v="0"/>
    <n v="0"/>
    <n v="0"/>
    <n v="0"/>
    <n v="0"/>
    <n v="0"/>
    <n v="0"/>
    <n v="0"/>
    <n v="0"/>
  </r>
  <r>
    <s v="Cases\\5 Accounting Firms\\49_SRA"/>
    <x v="48"/>
    <x v="4"/>
    <s v="Europe"/>
    <n v="0"/>
    <n v="0"/>
    <n v="0"/>
    <n v="0"/>
    <n v="0"/>
    <n v="0"/>
    <n v="0"/>
    <n v="0"/>
    <n v="0"/>
    <n v="0"/>
    <n v="0"/>
    <n v="0"/>
    <n v="0"/>
    <n v="0"/>
    <n v="1"/>
  </r>
  <r>
    <s v="Cases\\6 Public Sector Organizations\\50_AGSA"/>
    <x v="49"/>
    <x v="5"/>
    <s v="Middle East and Africa"/>
    <n v="1"/>
    <n v="0"/>
    <n v="0"/>
    <n v="0"/>
    <n v="0"/>
    <n v="0"/>
    <n v="0"/>
    <n v="0"/>
    <n v="0"/>
    <n v="0"/>
    <n v="0"/>
    <n v="0"/>
    <n v="0"/>
    <n v="0"/>
    <n v="0"/>
  </r>
  <r>
    <s v="Cases\\6 Public Sector Organizations\\51_ACAG"/>
    <x v="50"/>
    <x v="5"/>
    <s v="Asia Pacific"/>
    <n v="0"/>
    <n v="1"/>
    <n v="0"/>
    <n v="0"/>
    <n v="0"/>
    <n v="0"/>
    <n v="1"/>
    <n v="0"/>
    <n v="0"/>
    <n v="0"/>
    <n v="0"/>
    <n v="0"/>
    <n v="0"/>
    <n v="0"/>
    <n v="0"/>
  </r>
  <r>
    <s v="Cases\\6 Public Sector Organizations\\52_INTOSAI"/>
    <x v="51"/>
    <x v="5"/>
    <s v="Global"/>
    <n v="0"/>
    <n v="0"/>
    <n v="0"/>
    <n v="0"/>
    <n v="0"/>
    <n v="0"/>
    <n v="0"/>
    <n v="0"/>
    <n v="0"/>
    <n v="1"/>
    <n v="0"/>
    <n v="0"/>
    <n v="1"/>
    <n v="0"/>
    <n v="0"/>
  </r>
  <r>
    <s v="Cases\\6 Public Sector Organizations\\53_NAOM"/>
    <x v="52"/>
    <x v="5"/>
    <s v="Europe"/>
    <n v="1"/>
    <n v="0"/>
    <n v="0"/>
    <n v="0"/>
    <n v="0"/>
    <n v="0"/>
    <n v="0"/>
    <n v="0"/>
    <n v="0"/>
    <n v="0"/>
    <n v="0"/>
    <n v="0"/>
    <n v="0"/>
    <n v="0"/>
    <n v="0"/>
  </r>
  <r>
    <s v="Cases\\6 Public Sector Organizations\\54_OAGNZ"/>
    <x v="53"/>
    <x v="5"/>
    <s v="Asia Pacific"/>
    <n v="0"/>
    <n v="1"/>
    <n v="0"/>
    <n v="0"/>
    <n v="1"/>
    <n v="0"/>
    <n v="1"/>
    <n v="0"/>
    <n v="0"/>
    <n v="0"/>
    <n v="0"/>
    <n v="0"/>
    <n v="0"/>
    <n v="0"/>
    <n v="0"/>
  </r>
  <r>
    <s v="Cases\\6 Public Sector Organizations\\55_OAGA"/>
    <x v="54"/>
    <x v="5"/>
    <s v="North America"/>
    <n v="0"/>
    <n v="1"/>
    <n v="0"/>
    <n v="1"/>
    <n v="0"/>
    <n v="0"/>
    <n v="0"/>
    <n v="0"/>
    <n v="0"/>
    <n v="0"/>
    <n v="0"/>
    <n v="0"/>
    <n v="0"/>
    <n v="0"/>
    <n v="0"/>
  </r>
  <r>
    <s v="Cases\\6 Public Sector Organizations\\56_OAGC"/>
    <x v="55"/>
    <x v="5"/>
    <s v="North America"/>
    <n v="0"/>
    <n v="0"/>
    <n v="0"/>
    <n v="0"/>
    <n v="0"/>
    <n v="0"/>
    <n v="0"/>
    <n v="0"/>
    <n v="0"/>
    <n v="1"/>
    <n v="0"/>
    <n v="0"/>
    <n v="1"/>
    <n v="0"/>
    <n v="0"/>
  </r>
  <r>
    <s v="Cases\\6 Public Sector Organizations\\57_PAS"/>
    <x v="56"/>
    <x v="5"/>
    <s v="North America"/>
    <n v="1"/>
    <n v="0"/>
    <n v="0"/>
    <n v="0"/>
    <n v="0"/>
    <n v="0"/>
    <n v="0"/>
    <n v="0"/>
    <n v="0"/>
    <n v="0"/>
    <n v="0"/>
    <n v="0"/>
    <n v="0"/>
    <n v="0"/>
    <n v="0"/>
  </r>
  <r>
    <s v="Cases\\6 Public Sector Organizations\\58_SNAO"/>
    <x v="57"/>
    <x v="5"/>
    <s v="Europe"/>
    <n v="0"/>
    <n v="1"/>
    <n v="0"/>
    <n v="0"/>
    <n v="0"/>
    <n v="0"/>
    <n v="0"/>
    <n v="0"/>
    <n v="1"/>
    <n v="0"/>
    <n v="0"/>
    <n v="0"/>
    <n v="0"/>
    <n v="0"/>
    <n v="0"/>
  </r>
  <r>
    <s v="Cases\\6 Public Sector Organizations\\59_GAO"/>
    <x v="58"/>
    <x v="5"/>
    <s v="North America"/>
    <n v="0"/>
    <n v="1"/>
    <n v="0"/>
    <n v="0"/>
    <n v="0"/>
    <n v="0"/>
    <n v="0"/>
    <n v="0"/>
    <n v="0"/>
    <n v="0"/>
    <n v="0"/>
    <n v="0"/>
    <n v="0"/>
    <n v="0"/>
    <n v="0"/>
  </r>
  <r>
    <s v="Cases\\7 Member Bodies and Other Professional Organizations\\60_AE"/>
    <x v="59"/>
    <x v="6"/>
    <s v="Europe"/>
    <n v="0"/>
    <n v="1"/>
    <n v="0"/>
    <n v="1"/>
    <n v="0"/>
    <n v="0"/>
    <n v="0"/>
    <n v="0"/>
    <n v="0"/>
    <n v="0"/>
    <n v="0"/>
    <n v="0"/>
    <n v="0"/>
    <n v="0"/>
    <n v="0"/>
  </r>
  <r>
    <s v="Cases\\7 Member Bodies and Other Professional Organizations\\61_APESB"/>
    <x v="60"/>
    <x v="6"/>
    <s v="Asia Pacific"/>
    <n v="0"/>
    <n v="0"/>
    <n v="0"/>
    <n v="0"/>
    <n v="0"/>
    <n v="0"/>
    <n v="0"/>
    <n v="0"/>
    <n v="0"/>
    <n v="1"/>
    <n v="0"/>
    <n v="0"/>
    <n v="0"/>
    <n v="1"/>
    <n v="0"/>
  </r>
  <r>
    <s v="Cases\\7 Member Bodies and Other Professional Organizations\\62_IBR-IRE"/>
    <x v="61"/>
    <x v="6"/>
    <s v="Europe"/>
    <n v="0"/>
    <n v="1"/>
    <n v="0"/>
    <n v="1"/>
    <n v="0"/>
    <n v="0"/>
    <n v="0"/>
    <n v="0"/>
    <n v="0"/>
    <n v="0"/>
    <n v="0"/>
    <n v="0"/>
    <n v="0"/>
    <n v="0"/>
    <n v="0"/>
  </r>
  <r>
    <s v="Cases\\7 Member Bodies and Other Professional Organizations\\63_CAI"/>
    <x v="62"/>
    <x v="6"/>
    <s v="Europe"/>
    <n v="0"/>
    <n v="1"/>
    <n v="0"/>
    <n v="0"/>
    <n v="0"/>
    <n v="1"/>
    <n v="0"/>
    <n v="0"/>
    <n v="0"/>
    <n v="0"/>
    <n v="0"/>
    <n v="0"/>
    <n v="0"/>
    <n v="0"/>
    <n v="0"/>
  </r>
  <r>
    <s v="Cases\\7 Member Bodies and Other Professional Organizations\\64_CalCPA"/>
    <x v="63"/>
    <x v="6"/>
    <s v="North America"/>
    <n v="0"/>
    <n v="1"/>
    <n v="0"/>
    <n v="0"/>
    <n v="0"/>
    <n v="0"/>
    <n v="0"/>
    <n v="0"/>
    <n v="1"/>
    <n v="0"/>
    <n v="0"/>
    <n v="0"/>
    <n v="0"/>
    <n v="0"/>
    <n v="0"/>
  </r>
  <r>
    <s v="Cases\\7 Member Bodies and Other Professional Organizations\\65_CAQ"/>
    <x v="64"/>
    <x v="6"/>
    <s v="North America"/>
    <n v="0"/>
    <n v="1"/>
    <n v="0"/>
    <n v="0"/>
    <n v="1"/>
    <n v="1"/>
    <n v="1"/>
    <n v="1"/>
    <n v="0"/>
    <n v="0"/>
    <n v="0"/>
    <n v="0"/>
    <n v="0"/>
    <n v="0"/>
    <n v="0"/>
  </r>
  <r>
    <s v="Cases\\7 Member Bodies and Other Professional Organizations\\66_CAANZ-ACCA"/>
    <x v="65"/>
    <x v="6"/>
    <s v="Global"/>
    <n v="0"/>
    <n v="1"/>
    <n v="0"/>
    <n v="1"/>
    <n v="0"/>
    <n v="0"/>
    <n v="0"/>
    <n v="0"/>
    <n v="0"/>
    <n v="0"/>
    <n v="0"/>
    <n v="0"/>
    <n v="0"/>
    <n v="0"/>
    <n v="0"/>
  </r>
  <r>
    <s v="Cases\\7 Member Bodies and Other Professional Organizations\\67_CICC-AIC"/>
    <x v="66"/>
    <x v="6"/>
    <s v="South America"/>
    <n v="1"/>
    <n v="0"/>
    <n v="0"/>
    <n v="0"/>
    <n v="0"/>
    <n v="0"/>
    <n v="0"/>
    <n v="0"/>
    <n v="0"/>
    <n v="0"/>
    <n v="0"/>
    <n v="0"/>
    <n v="0"/>
    <n v="0"/>
    <n v="0"/>
  </r>
  <r>
    <s v="Cases\\7 Member Bodies and Other Professional Organizations\\68_CCC-ICPARD"/>
    <x v="67"/>
    <x v="6"/>
    <s v="South America"/>
    <n v="1"/>
    <n v="0"/>
    <n v="0"/>
    <n v="0"/>
    <n v="0"/>
    <n v="0"/>
    <n v="0"/>
    <n v="0"/>
    <n v="0"/>
    <n v="0"/>
    <n v="0"/>
    <n v="0"/>
    <n v="0"/>
    <n v="0"/>
    <n v="0"/>
  </r>
  <r>
    <s v="Cases\\7 Member Bodies and Other Professional Organizations\\69_CNDCEC"/>
    <x v="68"/>
    <x v="6"/>
    <s v="Europe"/>
    <n v="1"/>
    <n v="0"/>
    <n v="0"/>
    <n v="0"/>
    <n v="0"/>
    <n v="0"/>
    <n v="0"/>
    <n v="0"/>
    <n v="0"/>
    <n v="0"/>
    <n v="0"/>
    <n v="0"/>
    <n v="0"/>
    <n v="0"/>
    <n v="0"/>
  </r>
  <r>
    <s v="Cases\\7 Member Bodies and Other Professional Organizations\\70_CPAA"/>
    <x v="69"/>
    <x v="6"/>
    <s v="Asia Pacific"/>
    <n v="0"/>
    <n v="1"/>
    <n v="0"/>
    <n v="0"/>
    <n v="0"/>
    <n v="1"/>
    <n v="0"/>
    <n v="1"/>
    <n v="0"/>
    <n v="0"/>
    <n v="0"/>
    <n v="0"/>
    <n v="0"/>
    <n v="0"/>
    <n v="0"/>
  </r>
  <r>
    <s v="Cases\\7 Member Bodies and Other Professional Organizations\\71_EFAA"/>
    <x v="70"/>
    <x v="6"/>
    <s v="Europe"/>
    <n v="0"/>
    <n v="1"/>
    <n v="0"/>
    <n v="1"/>
    <n v="0"/>
    <n v="0"/>
    <n v="0"/>
    <n v="0"/>
    <n v="0"/>
    <n v="0"/>
    <n v="0"/>
    <n v="0"/>
    <n v="0"/>
    <n v="0"/>
    <n v="0"/>
  </r>
  <r>
    <s v="Cases\\7 Member Bodies and Other Professional Organizations\\72_EXPERT"/>
    <x v="71"/>
    <x v="6"/>
    <s v="Europe"/>
    <n v="0"/>
    <n v="0"/>
    <n v="0"/>
    <n v="0"/>
    <n v="0"/>
    <n v="0"/>
    <n v="0"/>
    <n v="0"/>
    <n v="0"/>
    <n v="0"/>
    <n v="0"/>
    <n v="0"/>
    <n v="0"/>
    <n v="0"/>
    <n v="1"/>
  </r>
  <r>
    <s v="Cases\\7 Member Bodies and Other Professional Organizations\\73_FAR"/>
    <x v="72"/>
    <x v="6"/>
    <s v="Europe"/>
    <n v="0"/>
    <n v="0"/>
    <n v="0"/>
    <n v="0"/>
    <n v="0"/>
    <n v="0"/>
    <n v="0"/>
    <n v="0"/>
    <n v="0"/>
    <n v="0"/>
    <n v="0"/>
    <n v="0"/>
    <n v="0"/>
    <n v="0"/>
    <n v="1"/>
  </r>
  <r>
    <s v="Cases\\7 Member Bodies and Other Professional Organizations\\74_FSR"/>
    <x v="73"/>
    <x v="6"/>
    <s v="Europe"/>
    <n v="0"/>
    <n v="0"/>
    <n v="0"/>
    <n v="0"/>
    <n v="0"/>
    <n v="0"/>
    <n v="0"/>
    <n v="0"/>
    <n v="0"/>
    <n v="0"/>
    <n v="0"/>
    <n v="0"/>
    <n v="0"/>
    <n v="0"/>
    <n v="1"/>
  </r>
  <r>
    <s v="Cases\\7 Member Bodies and Other Professional Organizations\\75_SMPC"/>
    <x v="74"/>
    <x v="6"/>
    <s v="Global"/>
    <n v="0"/>
    <n v="1"/>
    <n v="0"/>
    <n v="0"/>
    <n v="0"/>
    <n v="1"/>
    <n v="0"/>
    <n v="0"/>
    <n v="0"/>
    <n v="0"/>
    <n v="0"/>
    <n v="0"/>
    <n v="0"/>
    <n v="0"/>
    <n v="0"/>
  </r>
  <r>
    <s v="Cases\\7 Member Bodies and Other Professional Organizations\\76_ICPAS"/>
    <x v="75"/>
    <x v="6"/>
    <s v="North America"/>
    <n v="0"/>
    <n v="1"/>
    <n v="0"/>
    <n v="0"/>
    <n v="1"/>
    <n v="0"/>
    <n v="0"/>
    <n v="0"/>
    <n v="0"/>
    <n v="0"/>
    <n v="0"/>
    <n v="0"/>
    <n v="0"/>
    <n v="0"/>
    <n v="0"/>
  </r>
  <r>
    <s v="Cases\\7 Member Bodies and Other Professional Organizations\\77_IEC-IAB"/>
    <x v="76"/>
    <x v="6"/>
    <s v="Europe"/>
    <n v="1"/>
    <n v="0"/>
    <n v="0"/>
    <n v="0"/>
    <n v="0"/>
    <n v="0"/>
    <n v="0"/>
    <n v="0"/>
    <n v="0"/>
    <n v="0"/>
    <n v="0"/>
    <n v="0"/>
    <n v="0"/>
    <n v="0"/>
    <n v="0"/>
  </r>
  <r>
    <s v="Cases\\7 Member Bodies and Other Professional Organizations\\78_ICAEW"/>
    <x v="77"/>
    <x v="6"/>
    <s v="Europe"/>
    <n v="0"/>
    <n v="1"/>
    <n v="0"/>
    <n v="0"/>
    <n v="0"/>
    <n v="0"/>
    <n v="0"/>
    <n v="0"/>
    <n v="0"/>
    <n v="0"/>
    <n v="0"/>
    <n v="0"/>
    <n v="0"/>
    <n v="0"/>
    <n v="0"/>
  </r>
  <r>
    <s v="Cases\\7 Member Bodies and Other Professional Organizations\\79_ICAP"/>
    <x v="78"/>
    <x v="6"/>
    <s v="Asia Pacific"/>
    <n v="0"/>
    <n v="0"/>
    <n v="0"/>
    <n v="0"/>
    <n v="0"/>
    <n v="0"/>
    <n v="0"/>
    <n v="0"/>
    <n v="0"/>
    <n v="1"/>
    <n v="0"/>
    <n v="0"/>
    <n v="0"/>
    <n v="1"/>
    <n v="0"/>
  </r>
  <r>
    <s v="Cases\\7 Member Bodies and Other Professional Organizations\\80_ICAS"/>
    <x v="79"/>
    <x v="6"/>
    <s v="Europe"/>
    <n v="0"/>
    <n v="1"/>
    <n v="0"/>
    <n v="1"/>
    <n v="0"/>
    <n v="0"/>
    <n v="0"/>
    <n v="0"/>
    <n v="0"/>
    <n v="0"/>
    <n v="0"/>
    <n v="0"/>
    <n v="0"/>
    <n v="0"/>
    <n v="0"/>
  </r>
  <r>
    <s v="Cases\\7 Member Bodies and Other Professional Organizations\\81_ICASL"/>
    <x v="80"/>
    <x v="6"/>
    <s v="Asia Pacific"/>
    <n v="0"/>
    <n v="0"/>
    <n v="0"/>
    <n v="0"/>
    <n v="0"/>
    <n v="0"/>
    <n v="0"/>
    <n v="0"/>
    <n v="0"/>
    <n v="0"/>
    <n v="0"/>
    <n v="0"/>
    <n v="0"/>
    <n v="0"/>
    <n v="1"/>
  </r>
  <r>
    <s v="Cases\\7 Member Bodies and Other Professional Organizations\\82_ICPAU"/>
    <x v="81"/>
    <x v="6"/>
    <s v="Middle East and Africa"/>
    <n v="0"/>
    <n v="1"/>
    <n v="0"/>
    <n v="1"/>
    <n v="0"/>
    <n v="1"/>
    <n v="0"/>
    <n v="0"/>
    <n v="0"/>
    <n v="0"/>
    <n v="0"/>
    <n v="0"/>
    <n v="0"/>
    <n v="0"/>
    <n v="0"/>
  </r>
  <r>
    <s v="Cases\\7 Member Bodies and Other Professional Organizations\\83_IBRACON"/>
    <x v="82"/>
    <x v="6"/>
    <s v="South America"/>
    <n v="0"/>
    <n v="1"/>
    <n v="0"/>
    <n v="0"/>
    <n v="1"/>
    <n v="0"/>
    <n v="0"/>
    <n v="0"/>
    <n v="0"/>
    <n v="0"/>
    <n v="0"/>
    <n v="0"/>
    <n v="0"/>
    <n v="0"/>
    <n v="0"/>
  </r>
  <r>
    <s v="Cases\\7 Member Bodies and Other Professional Organizations\\84_ISCA"/>
    <x v="83"/>
    <x v="6"/>
    <s v="Asia Pacific"/>
    <n v="0"/>
    <n v="1"/>
    <n v="0"/>
    <n v="1"/>
    <n v="0"/>
    <n v="0"/>
    <n v="0"/>
    <n v="0"/>
    <n v="0"/>
    <n v="0"/>
    <n v="0"/>
    <n v="0"/>
    <n v="0"/>
    <n v="0"/>
    <n v="0"/>
  </r>
  <r>
    <s v="Cases\\7 Member Bodies and Other Professional Organizations\\85_ICJCE"/>
    <x v="84"/>
    <x v="6"/>
    <s v="Europe"/>
    <n v="0"/>
    <n v="1"/>
    <n v="0"/>
    <n v="1"/>
    <n v="0"/>
    <n v="0"/>
    <n v="0"/>
    <n v="0"/>
    <n v="0"/>
    <n v="0"/>
    <n v="0"/>
    <n v="0"/>
    <n v="0"/>
    <n v="0"/>
    <n v="0"/>
  </r>
  <r>
    <s v="Cases\\7 Member Bodies and Other Professional Organizations\\86_IMCP"/>
    <x v="85"/>
    <x v="6"/>
    <s v="North America"/>
    <n v="0"/>
    <n v="0"/>
    <n v="0"/>
    <n v="0"/>
    <n v="0"/>
    <n v="0"/>
    <n v="0"/>
    <n v="0"/>
    <n v="0"/>
    <n v="1"/>
    <n v="0"/>
    <n v="0"/>
    <n v="0"/>
    <n v="0"/>
    <n v="0"/>
  </r>
  <r>
    <s v="Cases\\7 Member Bodies and Other Professional Organizations\\87_KICPA"/>
    <x v="86"/>
    <x v="6"/>
    <s v="Asia Pacific"/>
    <n v="0"/>
    <n v="0"/>
    <n v="0"/>
    <n v="0"/>
    <n v="0"/>
    <n v="0"/>
    <n v="0"/>
    <n v="0"/>
    <n v="0"/>
    <n v="0"/>
    <n v="0"/>
    <n v="0"/>
    <n v="0"/>
    <n v="0"/>
    <n v="1"/>
  </r>
  <r>
    <s v="Cases\\7 Member Bodies and Other Professional Organizations\\88_MICPA"/>
    <x v="87"/>
    <x v="6"/>
    <s v="Asia Pacific"/>
    <n v="1"/>
    <n v="0"/>
    <n v="0"/>
    <n v="0"/>
    <n v="0"/>
    <n v="0"/>
    <n v="0"/>
    <n v="0"/>
    <n v="0"/>
    <n v="0"/>
    <n v="0"/>
    <n v="0"/>
    <n v="0"/>
    <n v="0"/>
    <n v="0"/>
  </r>
  <r>
    <s v="Cases\\7 Member Bodies and Other Professional Organizations\\89_NASBA"/>
    <x v="88"/>
    <x v="2"/>
    <s v="North America"/>
    <n v="0"/>
    <n v="1"/>
    <n v="0"/>
    <n v="1"/>
    <n v="0"/>
    <n v="0"/>
    <n v="0"/>
    <n v="0"/>
    <n v="0"/>
    <n v="0"/>
    <n v="0"/>
    <n v="0"/>
    <n v="0"/>
    <n v="0"/>
    <n v="0"/>
  </r>
  <r>
    <s v="Cases\\7 Member Bodies and Other Professional Organizations\\90_NYSSCPA"/>
    <x v="89"/>
    <x v="6"/>
    <s v="North America"/>
    <n v="0"/>
    <n v="1"/>
    <n v="0"/>
    <n v="0"/>
    <n v="1"/>
    <n v="0"/>
    <n v="0"/>
    <n v="0"/>
    <n v="0"/>
    <n v="0"/>
    <n v="0"/>
    <n v="0"/>
    <n v="0"/>
    <n v="0"/>
    <n v="0"/>
  </r>
  <r>
    <s v="Cases\\7 Member Bodies and Other Professional Organizations\\91_NRF"/>
    <x v="90"/>
    <x v="6"/>
    <s v="Europe"/>
    <n v="0"/>
    <n v="1"/>
    <n v="0"/>
    <n v="0"/>
    <n v="0"/>
    <n v="0"/>
    <n v="0"/>
    <n v="0"/>
    <n v="0"/>
    <n v="0"/>
    <n v="0"/>
    <n v="0"/>
    <n v="0"/>
    <n v="0"/>
    <n v="0"/>
  </r>
  <r>
    <s v="Cases\\7 Member Bodies and Other Professional Organizations\\92_RICS"/>
    <x v="91"/>
    <x v="6"/>
    <s v="Global"/>
    <n v="0"/>
    <n v="0"/>
    <n v="0"/>
    <n v="0"/>
    <n v="0"/>
    <n v="0"/>
    <n v="0"/>
    <n v="0"/>
    <n v="0"/>
    <n v="0"/>
    <n v="0"/>
    <n v="0"/>
    <n v="0"/>
    <n v="0"/>
    <n v="1"/>
  </r>
  <r>
    <s v="Cases\\7 Member Bodies and Other Professional Organizations\\93_SRO-AAS"/>
    <x v="92"/>
    <x v="6"/>
    <s v="Europe"/>
    <n v="1"/>
    <n v="0"/>
    <n v="0"/>
    <n v="0"/>
    <n v="0"/>
    <n v="0"/>
    <n v="0"/>
    <n v="0"/>
    <n v="0"/>
    <n v="0"/>
    <n v="0"/>
    <n v="0"/>
    <n v="0"/>
    <n v="0"/>
    <n v="0"/>
  </r>
  <r>
    <s v="Cases\\7 Member Bodies and Other Professional Organizations\\94_SAICA"/>
    <x v="93"/>
    <x v="6"/>
    <s v="Middle East and Africa"/>
    <n v="0"/>
    <n v="1"/>
    <n v="0"/>
    <n v="0"/>
    <n v="0"/>
    <n v="1"/>
    <n v="1"/>
    <n v="0"/>
    <n v="0"/>
    <n v="0"/>
    <n v="0"/>
    <n v="0"/>
    <n v="0"/>
    <n v="0"/>
    <n v="0"/>
  </r>
  <r>
    <s v="Cases\\7 Member Bodies and Other Professional Organizations\\95_FAAPA"/>
    <x v="94"/>
    <x v="6"/>
    <s v="Europe"/>
    <n v="0"/>
    <n v="1"/>
    <n v="0"/>
    <n v="1"/>
    <n v="0"/>
    <n v="0"/>
    <n v="0"/>
    <n v="0"/>
    <n v="0"/>
    <n v="0"/>
    <n v="0"/>
    <n v="0"/>
    <n v="0"/>
    <n v="0"/>
    <n v="0"/>
  </r>
  <r>
    <s v="Cases\\7 Member Bodies and Other Professional Organizations\\96_WPK"/>
    <x v="95"/>
    <x v="6"/>
    <s v="Europe"/>
    <n v="0"/>
    <n v="1"/>
    <n v="0"/>
    <n v="0"/>
    <n v="1"/>
    <n v="0"/>
    <n v="0"/>
    <n v="0"/>
    <n v="0"/>
    <n v="0"/>
    <n v="0"/>
    <n v="0"/>
    <n v="0"/>
    <n v="0"/>
    <n v="0"/>
  </r>
  <r>
    <s v="Cases\\8 Academics\\97_UNSW"/>
    <x v="96"/>
    <x v="7"/>
    <s v="Asia Pacific"/>
    <n v="0"/>
    <n v="0"/>
    <n v="0"/>
    <n v="0"/>
    <n v="0"/>
    <n v="0"/>
    <n v="0"/>
    <n v="0"/>
    <n v="0"/>
    <n v="0"/>
    <n v="0"/>
    <n v="0"/>
    <n v="0"/>
    <n v="0"/>
    <n v="1"/>
  </r>
  <r>
    <s v="Cases\\9 Individuals and Others\\98_TAS-CAA"/>
    <x v="97"/>
    <x v="8"/>
    <s v="Middle East and Africa"/>
    <n v="0"/>
    <n v="1"/>
    <n v="0"/>
    <n v="1"/>
    <n v="0"/>
    <n v="0"/>
    <n v="0"/>
    <n v="0"/>
    <n v="0"/>
    <n v="0"/>
    <n v="0"/>
    <n v="0"/>
    <n v="0"/>
    <n v="0"/>
    <n v="0"/>
  </r>
  <r>
    <s v="Cases\\9 Individuals and Others\\99_VM"/>
    <x v="98"/>
    <x v="8"/>
    <s v="Europe"/>
    <n v="1"/>
    <n v="0"/>
    <n v="0"/>
    <n v="0"/>
    <n v="0"/>
    <n v="0"/>
    <n v="0"/>
    <n v="0"/>
    <n v="0"/>
    <n v="0"/>
    <n v="0"/>
    <n v="0"/>
    <n v="0"/>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Cases\\1 Monitoring Group\\01_ISQM 2_BCBS"/>
    <x v="0"/>
    <x v="0"/>
    <s v="Global"/>
    <n v="0"/>
    <n v="0"/>
    <n v="0"/>
    <n v="0"/>
    <n v="0"/>
    <n v="0"/>
    <n v="0"/>
    <n v="0"/>
    <n v="0"/>
    <n v="0"/>
    <n v="0"/>
    <n v="0"/>
    <n v="0"/>
    <n v="0"/>
    <n v="1"/>
  </r>
  <r>
    <s v="Cases\\1 Monitoring Group\\02_ISQM 2_IAIS"/>
    <x v="1"/>
    <x v="0"/>
    <s v="Global"/>
    <n v="0"/>
    <n v="0"/>
    <n v="0"/>
    <n v="0"/>
    <n v="0"/>
    <n v="0"/>
    <n v="0"/>
    <n v="0"/>
    <n v="0"/>
    <n v="0"/>
    <n v="0"/>
    <n v="0"/>
    <n v="0"/>
    <n v="0"/>
    <n v="1"/>
  </r>
  <r>
    <s v="Cases\\1 Monitoring Group\\03_ISQM 2_IFIAR"/>
    <x v="2"/>
    <x v="0"/>
    <s v="Global"/>
    <n v="0"/>
    <n v="1"/>
    <n v="1"/>
    <n v="0"/>
    <n v="0"/>
    <n v="0"/>
    <n v="0"/>
    <n v="0"/>
    <n v="0"/>
    <n v="0"/>
    <n v="0"/>
    <n v="0"/>
    <n v="0"/>
    <n v="0"/>
    <n v="0"/>
  </r>
  <r>
    <s v="Cases\\1 Monitoring Group\\04_ISQM 2_IOSCO"/>
    <x v="3"/>
    <x v="0"/>
    <s v="Global"/>
    <n v="0"/>
    <n v="1"/>
    <n v="1"/>
    <n v="0"/>
    <n v="0"/>
    <n v="0"/>
    <n v="0"/>
    <n v="0"/>
    <n v="0"/>
    <n v="0"/>
    <n v="0"/>
    <n v="0"/>
    <n v="0"/>
    <n v="0"/>
    <n v="0"/>
  </r>
  <r>
    <s v="Cases\\2 Investors and Analysts\\05_ISQM 2_ICGN"/>
    <x v="4"/>
    <x v="1"/>
    <s v="Global"/>
    <n v="0"/>
    <n v="0"/>
    <n v="0"/>
    <n v="0"/>
    <n v="0"/>
    <n v="0"/>
    <n v="0"/>
    <n v="0"/>
    <n v="0"/>
    <n v="0"/>
    <n v="0"/>
    <n v="0"/>
    <n v="0"/>
    <n v="0"/>
    <n v="1"/>
  </r>
  <r>
    <s v="Cases\\3 Regulators and Oversight Authorities\\06_ISQM 2_CPAB"/>
    <x v="5"/>
    <x v="2"/>
    <s v="North America"/>
    <n v="0"/>
    <n v="0"/>
    <n v="0"/>
    <n v="0"/>
    <n v="0"/>
    <n v="0"/>
    <n v="0"/>
    <n v="0"/>
    <n v="0"/>
    <n v="0"/>
    <n v="0"/>
    <n v="0"/>
    <n v="0"/>
    <n v="0"/>
    <n v="1"/>
  </r>
  <r>
    <s v="Cases\\3 Regulators and Oversight Authorities\\07_ISQM 2_FRC"/>
    <x v="6"/>
    <x v="2"/>
    <s v="Europe"/>
    <n v="0"/>
    <n v="1"/>
    <n v="1"/>
    <n v="0"/>
    <n v="0"/>
    <n v="0"/>
    <n v="0"/>
    <n v="0"/>
    <n v="0"/>
    <n v="0"/>
    <n v="0"/>
    <n v="0"/>
    <n v="0"/>
    <n v="0"/>
    <n v="0"/>
  </r>
  <r>
    <s v="Cases\\3 Regulators and Oversight Authorities\\08_ISQM 2_IRBA"/>
    <x v="7"/>
    <x v="2"/>
    <s v="Middle East and Africa"/>
    <n v="0"/>
    <n v="1"/>
    <n v="1"/>
    <n v="0"/>
    <n v="0"/>
    <n v="0"/>
    <n v="0"/>
    <n v="1"/>
    <n v="0"/>
    <n v="0"/>
    <n v="0"/>
    <n v="0"/>
    <n v="0"/>
    <n v="0"/>
    <n v="0"/>
  </r>
  <r>
    <s v="Cases\\3 Regulators and Oversight Authorities\\09_ISQM 2_IAASA"/>
    <x v="8"/>
    <x v="2"/>
    <s v="Europe"/>
    <n v="0"/>
    <n v="1"/>
    <n v="1"/>
    <n v="0"/>
    <n v="0"/>
    <n v="0"/>
    <n v="0"/>
    <n v="0"/>
    <n v="0"/>
    <n v="0"/>
    <n v="0"/>
    <n v="0"/>
    <n v="0"/>
    <n v="0"/>
    <n v="0"/>
  </r>
  <r>
    <s v="Cases\\4 National Auditing Standard Setters\\10_ISQM 2_AICPA"/>
    <x v="9"/>
    <x v="3"/>
    <s v="North America"/>
    <n v="0"/>
    <n v="0"/>
    <n v="0"/>
    <n v="0"/>
    <n v="0"/>
    <n v="0"/>
    <n v="0"/>
    <n v="0"/>
    <n v="0"/>
    <n v="1"/>
    <n v="1"/>
    <n v="0"/>
    <n v="0"/>
    <n v="1"/>
    <n v="0"/>
  </r>
  <r>
    <s v="Cases\\4 National Auditing Standard Setters\\11_ISQM 2_AUASB"/>
    <x v="10"/>
    <x v="3"/>
    <s v="Asia Pacific"/>
    <n v="0"/>
    <n v="0"/>
    <n v="0"/>
    <n v="0"/>
    <n v="0"/>
    <n v="0"/>
    <n v="0"/>
    <n v="0"/>
    <n v="0"/>
    <n v="1"/>
    <n v="0"/>
    <n v="0"/>
    <n v="1"/>
    <n v="0"/>
    <n v="0"/>
  </r>
  <r>
    <s v="Cases\\4 National Auditing Standard Setters\\12_ISQM 2_CAASB"/>
    <x v="11"/>
    <x v="3"/>
    <s v="North America"/>
    <n v="0"/>
    <n v="1"/>
    <n v="0"/>
    <n v="1"/>
    <n v="1"/>
    <n v="0"/>
    <n v="0"/>
    <n v="0"/>
    <n v="1"/>
    <n v="0"/>
    <n v="0"/>
    <n v="0"/>
    <n v="0"/>
    <n v="0"/>
    <n v="0"/>
  </r>
  <r>
    <s v="Cases\\4 National Auditing Standard Setters\\13_ISQM 2_CICPA"/>
    <x v="12"/>
    <x v="3"/>
    <s v="Asia Pacific"/>
    <n v="0"/>
    <n v="0"/>
    <n v="0"/>
    <n v="0"/>
    <n v="0"/>
    <n v="0"/>
    <n v="0"/>
    <n v="0"/>
    <n v="0"/>
    <n v="0"/>
    <n v="0"/>
    <n v="0"/>
    <n v="0"/>
    <n v="0"/>
    <n v="1"/>
  </r>
  <r>
    <s v="Cases\\4 National Auditing Standard Setters\\14_ISQM 2_CNCC-CSOEC"/>
    <x v="13"/>
    <x v="3"/>
    <s v="Europe"/>
    <n v="1"/>
    <n v="0"/>
    <n v="0"/>
    <n v="0"/>
    <n v="0"/>
    <n v="0"/>
    <n v="0"/>
    <n v="0"/>
    <n v="0"/>
    <n v="0"/>
    <n v="0"/>
    <n v="0"/>
    <n v="0"/>
    <n v="0"/>
    <n v="0"/>
  </r>
  <r>
    <s v="Cases\\4 National Auditing Standard Setters\\15_ISQM 2_CFC"/>
    <x v="14"/>
    <x v="3"/>
    <s v="South America"/>
    <n v="0"/>
    <n v="1"/>
    <n v="0"/>
    <n v="1"/>
    <n v="0"/>
    <n v="0"/>
    <n v="0"/>
    <n v="0"/>
    <n v="0"/>
    <n v="0"/>
    <n v="0"/>
    <n v="0"/>
    <n v="0"/>
    <n v="0"/>
    <n v="0"/>
  </r>
  <r>
    <s v="Cases\\4 National Auditing Standard Setters\\16_ISQM 2_HKICPA"/>
    <x v="15"/>
    <x v="3"/>
    <s v="Asia Pacific"/>
    <n v="0"/>
    <n v="1"/>
    <n v="0"/>
    <n v="0"/>
    <n v="0"/>
    <n v="0"/>
    <n v="1"/>
    <n v="0"/>
    <n v="0"/>
    <n v="0"/>
    <n v="0"/>
    <n v="0"/>
    <n v="0"/>
    <n v="0"/>
    <n v="0"/>
  </r>
  <r>
    <s v="Cases\\4 National Auditing Standard Setters\\17_ISQM 2_IDW"/>
    <x v="16"/>
    <x v="3"/>
    <s v="Europe"/>
    <n v="0"/>
    <n v="0"/>
    <n v="0"/>
    <n v="0"/>
    <n v="0"/>
    <n v="0"/>
    <n v="0"/>
    <n v="0"/>
    <n v="0"/>
    <n v="1"/>
    <n v="0"/>
    <n v="1"/>
    <n v="0"/>
    <n v="1"/>
    <n v="0"/>
  </r>
  <r>
    <s v="Cases\\4 National Auditing Standard Setters\\18_ISQM 2_JICPA"/>
    <x v="17"/>
    <x v="3"/>
    <s v="Asia Pacific"/>
    <n v="1"/>
    <n v="0"/>
    <n v="0"/>
    <n v="0"/>
    <n v="0"/>
    <n v="0"/>
    <n v="0"/>
    <n v="0"/>
    <n v="0"/>
    <n v="0"/>
    <n v="0"/>
    <n v="0"/>
    <n v="0"/>
    <n v="0"/>
    <n v="0"/>
  </r>
  <r>
    <s v="Cases\\4 National Auditing Standard Setters\\19_ISQM 2_KSW"/>
    <x v="18"/>
    <x v="3"/>
    <s v="Europe"/>
    <n v="0"/>
    <n v="1"/>
    <n v="0"/>
    <n v="0"/>
    <n v="0"/>
    <n v="0"/>
    <n v="1"/>
    <n v="0"/>
    <n v="0"/>
    <n v="0"/>
    <n v="0"/>
    <n v="0"/>
    <n v="0"/>
    <n v="0"/>
    <n v="0"/>
  </r>
  <r>
    <s v="Cases\\4 National Auditing Standard Setters\\20_ISQM 2_MAASB"/>
    <x v="19"/>
    <x v="3"/>
    <s v="Asia Pacific"/>
    <n v="0"/>
    <n v="0"/>
    <n v="0"/>
    <n v="0"/>
    <n v="0"/>
    <n v="0"/>
    <n v="0"/>
    <n v="0"/>
    <n v="0"/>
    <n v="1"/>
    <n v="0"/>
    <n v="0"/>
    <n v="1"/>
    <n v="0"/>
    <n v="0"/>
  </r>
  <r>
    <s v="Cases\\4 National Auditing Standard Setters\\21_ISQM 2_NZAASB"/>
    <x v="20"/>
    <x v="3"/>
    <s v="Asia Pacific"/>
    <n v="0"/>
    <n v="0"/>
    <n v="0"/>
    <n v="0"/>
    <n v="0"/>
    <n v="0"/>
    <n v="0"/>
    <n v="0"/>
    <n v="0"/>
    <n v="1"/>
    <n v="0"/>
    <n v="0"/>
    <n v="0"/>
    <n v="1"/>
    <n v="0"/>
  </r>
  <r>
    <s v="Cases\\4 National Auditing Standard Setters\\22_ISQM 2_NBA"/>
    <x v="21"/>
    <x v="3"/>
    <s v="Europe"/>
    <n v="0"/>
    <n v="0"/>
    <n v="0"/>
    <n v="0"/>
    <n v="0"/>
    <n v="0"/>
    <n v="0"/>
    <n v="0"/>
    <n v="0"/>
    <n v="1"/>
    <n v="0"/>
    <n v="0"/>
    <n v="1"/>
    <n v="0"/>
    <n v="0"/>
  </r>
  <r>
    <s v="Cases\\5 Accounting Firms\\23_ISQM 2_BTI"/>
    <x v="22"/>
    <x v="4"/>
    <s v="Global"/>
    <n v="0"/>
    <n v="1"/>
    <n v="1"/>
    <n v="0"/>
    <n v="1"/>
    <n v="0"/>
    <n v="0"/>
    <n v="0"/>
    <n v="0"/>
    <n v="0"/>
    <n v="0"/>
    <n v="0"/>
    <n v="0"/>
    <n v="0"/>
    <n v="0"/>
  </r>
  <r>
    <s v="Cases\\5 Accounting Firms\\24_ISQM 2_BTVK"/>
    <x v="23"/>
    <x v="4"/>
    <s v="North America"/>
    <n v="1"/>
    <n v="0"/>
    <n v="0"/>
    <n v="0"/>
    <n v="0"/>
    <n v="0"/>
    <n v="0"/>
    <n v="0"/>
    <n v="0"/>
    <n v="0"/>
    <n v="0"/>
    <n v="0"/>
    <n v="0"/>
    <n v="0"/>
    <n v="0"/>
  </r>
  <r>
    <s v="Cases\\5 Accounting Firms\\25_ISQM 2_BDO"/>
    <x v="24"/>
    <x v="4"/>
    <s v="Global"/>
    <n v="0"/>
    <n v="1"/>
    <n v="0"/>
    <n v="1"/>
    <n v="1"/>
    <n v="1"/>
    <n v="1"/>
    <n v="0"/>
    <n v="0"/>
    <n v="0"/>
    <n v="0"/>
    <n v="0"/>
    <n v="0"/>
    <n v="0"/>
    <n v="0"/>
  </r>
  <r>
    <s v="Cases\\5 Accounting Firms\\26_ISQM 2_CASI"/>
    <x v="25"/>
    <x v="4"/>
    <s v="Asia Pacific"/>
    <n v="0"/>
    <n v="1"/>
    <n v="0"/>
    <n v="0"/>
    <n v="0"/>
    <n v="0"/>
    <n v="0"/>
    <n v="0"/>
    <n v="0"/>
    <n v="0"/>
    <n v="0"/>
    <n v="0"/>
    <n v="0"/>
    <n v="0"/>
    <n v="0"/>
  </r>
  <r>
    <s v="Cases\\5 Accounting Firms\\27_ISQM 2_CHI"/>
    <x v="26"/>
    <x v="4"/>
    <s v="Global"/>
    <n v="0"/>
    <n v="1"/>
    <n v="0"/>
    <n v="0"/>
    <n v="0"/>
    <n v="0"/>
    <n v="1"/>
    <n v="0"/>
    <n v="0"/>
    <n v="0"/>
    <n v="0"/>
    <n v="0"/>
    <n v="0"/>
    <n v="0"/>
    <n v="0"/>
  </r>
  <r>
    <s v="Cases\\5 Accounting Firms\\28_ISQM 2_DTTL"/>
    <x v="27"/>
    <x v="4"/>
    <s v="Global"/>
    <n v="0"/>
    <n v="1"/>
    <n v="0"/>
    <n v="1"/>
    <n v="0"/>
    <n v="0"/>
    <n v="0"/>
    <n v="0"/>
    <n v="1"/>
    <n v="0"/>
    <n v="0"/>
    <n v="0"/>
    <n v="0"/>
    <n v="0"/>
    <n v="0"/>
  </r>
  <r>
    <s v="Cases\\5 Accounting Firms\\29_ISQM 2_DTL"/>
    <x v="28"/>
    <x v="4"/>
    <s v="Europe"/>
    <n v="0"/>
    <n v="1"/>
    <n v="1"/>
    <n v="0"/>
    <n v="0"/>
    <n v="0"/>
    <n v="0"/>
    <n v="0"/>
    <n v="0"/>
    <n v="0"/>
    <n v="0"/>
    <n v="0"/>
    <n v="0"/>
    <n v="0"/>
    <n v="0"/>
  </r>
  <r>
    <s v="Cases\\5 Accounting Firms\\30_ISQM 2_ETY"/>
    <x v="29"/>
    <x v="4"/>
    <s v="Middle East and Africa"/>
    <n v="1"/>
    <n v="0"/>
    <n v="0"/>
    <n v="0"/>
    <n v="0"/>
    <n v="0"/>
    <n v="0"/>
    <n v="0"/>
    <n v="0"/>
    <n v="0"/>
    <n v="0"/>
    <n v="0"/>
    <n v="0"/>
    <n v="0"/>
    <n v="0"/>
  </r>
  <r>
    <s v="Cases\\5 Accounting Firms\\31_ISQM 2_EYG"/>
    <x v="30"/>
    <x v="4"/>
    <s v="Global"/>
    <n v="0"/>
    <n v="1"/>
    <n v="1"/>
    <n v="0"/>
    <n v="0"/>
    <n v="0"/>
    <n v="1"/>
    <n v="0"/>
    <n v="0"/>
    <n v="0"/>
    <n v="0"/>
    <n v="0"/>
    <n v="0"/>
    <n v="0"/>
    <n v="0"/>
  </r>
  <r>
    <s v="Cases\\5 Accounting Firms\\32_ISQM 2_GTIL"/>
    <x v="31"/>
    <x v="4"/>
    <s v="Global"/>
    <n v="0"/>
    <n v="0"/>
    <n v="0"/>
    <n v="0"/>
    <n v="0"/>
    <n v="0"/>
    <n v="0"/>
    <n v="0"/>
    <n v="0"/>
    <n v="1"/>
    <n v="0"/>
    <n v="0"/>
    <n v="1"/>
    <n v="0"/>
    <n v="0"/>
  </r>
  <r>
    <s v="Cases\\5 Accounting Firms\\33_ISQM 2_HM"/>
    <x v="32"/>
    <x v="4"/>
    <s v="Europe"/>
    <n v="0"/>
    <n v="1"/>
    <n v="0"/>
    <n v="0"/>
    <n v="0"/>
    <n v="0"/>
    <n v="1"/>
    <n v="0"/>
    <n v="0"/>
    <n v="0"/>
    <n v="0"/>
    <n v="0"/>
    <n v="0"/>
    <n v="0"/>
    <n v="0"/>
  </r>
  <r>
    <s v="Cases\\5 Accounting Firms\\34_ISQM 2_KPMG"/>
    <x v="33"/>
    <x v="4"/>
    <s v="Global"/>
    <n v="0"/>
    <n v="1"/>
    <n v="0"/>
    <n v="0"/>
    <n v="0"/>
    <n v="0"/>
    <n v="0"/>
    <n v="1"/>
    <n v="0"/>
    <n v="0"/>
    <n v="0"/>
    <n v="0"/>
    <n v="0"/>
    <n v="0"/>
    <n v="0"/>
  </r>
  <r>
    <s v="Cases\\5 Accounting Firms\\35_ISQM 2_KI"/>
    <x v="34"/>
    <x v="4"/>
    <s v="Global"/>
    <n v="0"/>
    <n v="1"/>
    <n v="0"/>
    <n v="0"/>
    <n v="0"/>
    <n v="0"/>
    <n v="0"/>
    <n v="0"/>
    <n v="0"/>
    <n v="0"/>
    <n v="0"/>
    <n v="0"/>
    <n v="0"/>
    <n v="0"/>
    <n v="0"/>
  </r>
  <r>
    <s v="Cases\\5 Accounting Firms\\36_ISQM 2_MZRS"/>
    <x v="35"/>
    <x v="4"/>
    <s v="Global"/>
    <n v="0"/>
    <n v="1"/>
    <n v="0"/>
    <n v="0"/>
    <n v="0"/>
    <n v="0"/>
    <n v="0"/>
    <n v="0"/>
    <n v="1"/>
    <n v="0"/>
    <n v="0"/>
    <n v="0"/>
    <n v="0"/>
    <n v="0"/>
    <n v="0"/>
  </r>
  <r>
    <s v="Cases\\5 Accounting Firms\\37_ISQM 2_MZRSUS"/>
    <x v="36"/>
    <x v="4"/>
    <s v="North America"/>
    <n v="1"/>
    <n v="0"/>
    <n v="0"/>
    <n v="0"/>
    <n v="0"/>
    <n v="0"/>
    <n v="0"/>
    <n v="0"/>
    <n v="0"/>
    <n v="0"/>
    <n v="0"/>
    <n v="0"/>
    <n v="0"/>
    <n v="0"/>
    <n v="0"/>
  </r>
  <r>
    <s v="Cases\\5 Accounting Firms\\38_ISQM 2_MNP"/>
    <x v="37"/>
    <x v="4"/>
    <s v="North America"/>
    <n v="0"/>
    <n v="1"/>
    <n v="0"/>
    <n v="0"/>
    <n v="0"/>
    <n v="0"/>
    <n v="0"/>
    <n v="1"/>
    <n v="0"/>
    <n v="0"/>
    <n v="0"/>
    <n v="0"/>
    <n v="0"/>
    <n v="0"/>
    <n v="0"/>
  </r>
  <r>
    <s v="Cases\\5 Accounting Firms\\39_ISQM 2_MSI"/>
    <x v="38"/>
    <x v="4"/>
    <s v="Global"/>
    <n v="0"/>
    <n v="1"/>
    <n v="1"/>
    <n v="0"/>
    <n v="0"/>
    <n v="0"/>
    <n v="0"/>
    <n v="0"/>
    <n v="0"/>
    <n v="0"/>
    <n v="0"/>
    <n v="0"/>
    <n v="0"/>
    <n v="0"/>
    <n v="0"/>
  </r>
  <r>
    <s v="Cases\\5 Accounting Firms\\40_ISQM 2_NI"/>
    <x v="39"/>
    <x v="4"/>
    <s v="Global"/>
    <n v="0"/>
    <n v="1"/>
    <n v="0"/>
    <n v="0"/>
    <n v="0"/>
    <n v="0"/>
    <n v="0"/>
    <n v="0"/>
    <n v="0"/>
    <n v="0"/>
    <n v="0"/>
    <n v="0"/>
    <n v="0"/>
    <n v="0"/>
    <n v="0"/>
  </r>
  <r>
    <s v="Cases\\5 Accounting Firms\\41_ISQM 2_NSW"/>
    <x v="40"/>
    <x v="4"/>
    <s v="Europe"/>
    <n v="0"/>
    <n v="1"/>
    <n v="0"/>
    <n v="0"/>
    <n v="1"/>
    <n v="1"/>
    <n v="0"/>
    <n v="0"/>
    <n v="0"/>
    <n v="0"/>
    <n v="0"/>
    <n v="0"/>
    <n v="0"/>
    <n v="0"/>
    <n v="0"/>
  </r>
  <r>
    <s v="Cases\\5 Accounting Firms\\42_ISQM 2_PKFI"/>
    <x v="41"/>
    <x v="4"/>
    <s v="Global"/>
    <n v="0"/>
    <n v="1"/>
    <n v="0"/>
    <n v="0"/>
    <n v="1"/>
    <n v="0"/>
    <n v="0"/>
    <n v="0"/>
    <n v="0"/>
    <n v="0"/>
    <n v="0"/>
    <n v="0"/>
    <n v="0"/>
    <n v="0"/>
    <n v="0"/>
  </r>
  <r>
    <s v="Cases\\5 Accounting Firms\\43_ISQM2_PKFSA"/>
    <x v="42"/>
    <x v="4"/>
    <s v="Middle East and Africa"/>
    <n v="0"/>
    <n v="1"/>
    <n v="0"/>
    <n v="1"/>
    <n v="1"/>
    <n v="0"/>
    <n v="0"/>
    <n v="0"/>
    <n v="0"/>
    <n v="0"/>
    <n v="0"/>
    <n v="0"/>
    <n v="0"/>
    <n v="0"/>
    <n v="0"/>
  </r>
  <r>
    <s v="Cases\\5 Accounting Firms\\44_ISQM 2_PwC"/>
    <x v="43"/>
    <x v="4"/>
    <s v="Global"/>
    <n v="0"/>
    <n v="1"/>
    <n v="1"/>
    <n v="0"/>
    <n v="0"/>
    <n v="0"/>
    <n v="0"/>
    <n v="0"/>
    <n v="0"/>
    <n v="0"/>
    <n v="0"/>
    <n v="0"/>
    <n v="0"/>
    <n v="0"/>
    <n v="0"/>
  </r>
  <r>
    <s v="Cases\\5 Accounting Firms\\45_ISQM 2_RSMI"/>
    <x v="44"/>
    <x v="4"/>
    <s v="Global"/>
    <n v="1"/>
    <n v="0"/>
    <n v="0"/>
    <n v="0"/>
    <n v="0"/>
    <n v="0"/>
    <n v="0"/>
    <n v="0"/>
    <n v="0"/>
    <n v="0"/>
    <n v="0"/>
    <n v="0"/>
    <n v="0"/>
    <n v="0"/>
    <n v="0"/>
  </r>
  <r>
    <s v="Cases\\6 Public Sector Organizations\\46_ISQM 2_AGSA"/>
    <x v="45"/>
    <x v="5"/>
    <s v="Middle East and Africa"/>
    <n v="0"/>
    <n v="1"/>
    <n v="0"/>
    <n v="0"/>
    <n v="0"/>
    <n v="0"/>
    <n v="0"/>
    <n v="1"/>
    <n v="0"/>
    <n v="0"/>
    <n v="0"/>
    <n v="0"/>
    <n v="0"/>
    <n v="0"/>
    <n v="0"/>
  </r>
  <r>
    <s v="Cases\\6 Public Sector Organizations\\47_ISQM 2_ACAG"/>
    <x v="46"/>
    <x v="5"/>
    <s v="Asia Pacific"/>
    <n v="0"/>
    <n v="1"/>
    <n v="0"/>
    <n v="1"/>
    <n v="0"/>
    <n v="1"/>
    <n v="0"/>
    <n v="1"/>
    <n v="0"/>
    <n v="0"/>
    <n v="0"/>
    <n v="0"/>
    <n v="0"/>
    <n v="0"/>
    <n v="0"/>
  </r>
  <r>
    <s v="Cases\\6 Public Sector Organizations\\48_ISQM 2_INTOSAI"/>
    <x v="47"/>
    <x v="5"/>
    <s v="Global"/>
    <n v="1"/>
    <n v="0"/>
    <n v="0"/>
    <n v="0"/>
    <n v="0"/>
    <n v="0"/>
    <n v="0"/>
    <n v="0"/>
    <n v="0"/>
    <n v="0"/>
    <n v="0"/>
    <n v="0"/>
    <n v="0"/>
    <n v="0"/>
    <n v="0"/>
  </r>
  <r>
    <s v="Cases\\6 Public Sector Organizations\\49_ISQM 2_NAOM"/>
    <x v="48"/>
    <x v="5"/>
    <s v="Europe"/>
    <n v="1"/>
    <n v="0"/>
    <n v="0"/>
    <n v="0"/>
    <n v="0"/>
    <n v="0"/>
    <n v="0"/>
    <n v="0"/>
    <n v="0"/>
    <n v="0"/>
    <n v="0"/>
    <n v="0"/>
    <n v="0"/>
    <n v="0"/>
    <n v="0"/>
  </r>
  <r>
    <s v="Cases\\6 Public Sector Organizations\\50_ISQM 2_OAGNZ"/>
    <x v="49"/>
    <x v="5"/>
    <s v="Asia Pacific"/>
    <n v="0"/>
    <n v="1"/>
    <n v="0"/>
    <n v="1"/>
    <n v="0"/>
    <n v="0"/>
    <n v="0"/>
    <n v="0"/>
    <n v="0"/>
    <n v="0"/>
    <n v="0"/>
    <n v="0"/>
    <n v="0"/>
    <n v="0"/>
    <n v="0"/>
  </r>
  <r>
    <s v="Cases\\6 Public Sector Organizations\\51_ISQM 2_OAGA"/>
    <x v="50"/>
    <x v="5"/>
    <s v="North America"/>
    <n v="0"/>
    <n v="1"/>
    <n v="1"/>
    <n v="0"/>
    <n v="0"/>
    <n v="0"/>
    <n v="0"/>
    <n v="0"/>
    <n v="1"/>
    <n v="0"/>
    <n v="0"/>
    <n v="0"/>
    <n v="0"/>
    <n v="0"/>
    <n v="0"/>
  </r>
  <r>
    <s v="Cases\\6 Public Sector Organizations\\52_ISQM 2_OAGC"/>
    <x v="51"/>
    <x v="5"/>
    <s v="North America"/>
    <n v="0"/>
    <n v="1"/>
    <n v="0"/>
    <n v="0"/>
    <n v="0"/>
    <n v="0"/>
    <n v="0"/>
    <n v="0"/>
    <n v="0"/>
    <n v="0"/>
    <n v="0"/>
    <n v="0"/>
    <n v="0"/>
    <n v="0"/>
    <n v="0"/>
  </r>
  <r>
    <s v="Cases\\6 Public Sector Organizations\\53_ISQM 2_PAS"/>
    <x v="52"/>
    <x v="5"/>
    <s v="North America"/>
    <n v="0"/>
    <n v="1"/>
    <n v="0"/>
    <n v="0"/>
    <n v="0"/>
    <n v="0"/>
    <n v="0"/>
    <n v="0"/>
    <n v="0"/>
    <n v="0"/>
    <n v="0"/>
    <n v="0"/>
    <n v="0"/>
    <n v="0"/>
    <n v="0"/>
  </r>
  <r>
    <s v="Cases\\6 Public Sector Organizations\\54_ISQM 2_SNAO"/>
    <x v="53"/>
    <x v="5"/>
    <s v="Europe"/>
    <n v="0"/>
    <n v="1"/>
    <n v="1"/>
    <n v="0"/>
    <n v="0"/>
    <n v="0"/>
    <n v="0"/>
    <n v="0"/>
    <n v="0"/>
    <n v="0"/>
    <n v="0"/>
    <n v="0"/>
    <n v="0"/>
    <n v="0"/>
    <n v="0"/>
  </r>
  <r>
    <s v="Cases\\6 Public Sector Organizations\\55_ISQM 2_GAO"/>
    <x v="54"/>
    <x v="5"/>
    <s v="North America"/>
    <n v="0"/>
    <n v="1"/>
    <n v="0"/>
    <n v="0"/>
    <n v="0"/>
    <n v="0"/>
    <n v="0"/>
    <n v="0"/>
    <n v="0"/>
    <n v="0"/>
    <n v="0"/>
    <n v="0"/>
    <n v="0"/>
    <n v="0"/>
    <n v="0"/>
  </r>
  <r>
    <s v="Cases\\7 Member Bodies and Other Professional Organizations\\56_ISQM 2_AE"/>
    <x v="55"/>
    <x v="6"/>
    <s v="Europe"/>
    <n v="0"/>
    <n v="1"/>
    <n v="0"/>
    <n v="1"/>
    <n v="0"/>
    <n v="0"/>
    <n v="0"/>
    <n v="0"/>
    <n v="0"/>
    <n v="0"/>
    <n v="0"/>
    <n v="0"/>
    <n v="0"/>
    <n v="0"/>
    <n v="0"/>
  </r>
  <r>
    <s v="Cases\\7 Member Bodies and Other Professional Organizations\\57_ISQM 2_APESB"/>
    <x v="56"/>
    <x v="6"/>
    <s v="Asia Pacific"/>
    <n v="0"/>
    <n v="0"/>
    <n v="0"/>
    <n v="0"/>
    <n v="0"/>
    <n v="0"/>
    <n v="0"/>
    <n v="0"/>
    <n v="0"/>
    <n v="1"/>
    <n v="0"/>
    <n v="0"/>
    <n v="0"/>
    <n v="1"/>
    <n v="0"/>
  </r>
  <r>
    <s v="Cases\\7 Member Bodies and Other Professional Organizations\\58_ISQM 2_IBR-IRE"/>
    <x v="57"/>
    <x v="6"/>
    <s v="Europe"/>
    <n v="0"/>
    <n v="1"/>
    <n v="0"/>
    <n v="0"/>
    <n v="0"/>
    <n v="0"/>
    <n v="0"/>
    <n v="0"/>
    <n v="0"/>
    <n v="0"/>
    <n v="0"/>
    <n v="0"/>
    <n v="0"/>
    <n v="0"/>
    <n v="0"/>
  </r>
  <r>
    <s v="Cases\\7 Member Bodies and Other Professional Organizations\\59_ISQM 2_BICA"/>
    <x v="58"/>
    <x v="6"/>
    <s v="Middle East and Africa"/>
    <n v="0"/>
    <n v="1"/>
    <n v="1"/>
    <n v="0"/>
    <n v="0"/>
    <n v="0"/>
    <n v="0"/>
    <n v="0"/>
    <n v="1"/>
    <n v="0"/>
    <n v="0"/>
    <n v="0"/>
    <n v="0"/>
    <n v="0"/>
    <n v="0"/>
  </r>
  <r>
    <s v="Cases\\7 Member Bodies and Other Professional Organizations\\60_ISQM 2_CAI"/>
    <x v="59"/>
    <x v="6"/>
    <s v="Europe"/>
    <n v="1"/>
    <n v="0"/>
    <n v="0"/>
    <n v="0"/>
    <n v="0"/>
    <n v="0"/>
    <n v="0"/>
    <n v="0"/>
    <n v="0"/>
    <n v="0"/>
    <n v="0"/>
    <n v="0"/>
    <n v="0"/>
    <n v="0"/>
    <n v="0"/>
  </r>
  <r>
    <s v="Cases\\7 Member Bodies and Other Professional Organizations\\61_ISQM 2_CalCPA"/>
    <x v="60"/>
    <x v="6"/>
    <s v="North America"/>
    <n v="0"/>
    <n v="1"/>
    <n v="0"/>
    <n v="0"/>
    <n v="0"/>
    <n v="0"/>
    <n v="0"/>
    <n v="0"/>
    <n v="1"/>
    <n v="0"/>
    <n v="0"/>
    <n v="0"/>
    <n v="0"/>
    <n v="0"/>
    <n v="0"/>
  </r>
  <r>
    <s v="Cases\\7 Member Bodies and Other Professional Organizations\\62_ISQM 2_CAQ"/>
    <x v="61"/>
    <x v="6"/>
    <s v="North America"/>
    <n v="0"/>
    <n v="1"/>
    <n v="0"/>
    <n v="0"/>
    <n v="0"/>
    <n v="0"/>
    <n v="1"/>
    <n v="0"/>
    <n v="0"/>
    <n v="0"/>
    <n v="0"/>
    <n v="0"/>
    <n v="0"/>
    <n v="0"/>
    <n v="0"/>
  </r>
  <r>
    <s v="Cases\\7 Member Bodies and Other Professional Organizations\\63_ISQM 2_CAANZ-ACCA"/>
    <x v="62"/>
    <x v="6"/>
    <s v="Global"/>
    <n v="0"/>
    <n v="1"/>
    <n v="0"/>
    <n v="0"/>
    <n v="0"/>
    <n v="0"/>
    <n v="0"/>
    <n v="0"/>
    <n v="0"/>
    <n v="0"/>
    <n v="0"/>
    <n v="0"/>
    <n v="0"/>
    <n v="0"/>
    <n v="0"/>
  </r>
  <r>
    <s v="Cases\\7 Member Bodies and Other Professional Organizations\\64_ISQM 2_CICC-AIC"/>
    <x v="63"/>
    <x v="6"/>
    <s v="South America"/>
    <n v="0"/>
    <n v="1"/>
    <n v="0"/>
    <n v="0"/>
    <n v="0"/>
    <n v="0"/>
    <n v="1"/>
    <n v="0"/>
    <n v="0"/>
    <n v="0"/>
    <n v="0"/>
    <n v="0"/>
    <n v="0"/>
    <n v="0"/>
    <n v="0"/>
  </r>
  <r>
    <s v="Cases\\7 Member Bodies and Other Professional Organizations\\65_ISQM 2_CCC-ICPARD"/>
    <x v="64"/>
    <x v="6"/>
    <s v="South America"/>
    <n v="0"/>
    <n v="1"/>
    <n v="0"/>
    <n v="0"/>
    <n v="0"/>
    <n v="0"/>
    <n v="1"/>
    <n v="0"/>
    <n v="0"/>
    <n v="0"/>
    <n v="0"/>
    <n v="0"/>
    <n v="0"/>
    <n v="0"/>
    <n v="0"/>
  </r>
  <r>
    <s v="Cases\\7 Member Bodies and Other Professional Organizations\\66_ISQM 2_CPAA"/>
    <x v="65"/>
    <x v="6"/>
    <s v="Asia Pacific"/>
    <n v="0"/>
    <n v="0"/>
    <n v="0"/>
    <n v="0"/>
    <n v="0"/>
    <n v="0"/>
    <n v="0"/>
    <n v="0"/>
    <n v="0"/>
    <n v="1"/>
    <n v="0"/>
    <n v="0"/>
    <n v="1"/>
    <n v="0"/>
    <n v="0"/>
  </r>
  <r>
    <s v="Cases\\7 Member Bodies and Other Professional Organizations\\67_ISQM 2_EXPERT"/>
    <x v="66"/>
    <x v="6"/>
    <s v="Europe"/>
    <n v="0"/>
    <n v="1"/>
    <n v="0"/>
    <n v="0"/>
    <n v="0"/>
    <n v="0"/>
    <n v="0"/>
    <n v="0"/>
    <n v="1"/>
    <n v="0"/>
    <n v="0"/>
    <n v="0"/>
    <n v="0"/>
    <n v="0"/>
    <n v="0"/>
  </r>
  <r>
    <s v="Cases\\7 Member Bodies and Other Professional Organizations\\68_ISQM 2_FAR"/>
    <x v="67"/>
    <x v="6"/>
    <s v="Europe"/>
    <n v="0"/>
    <n v="0"/>
    <n v="0"/>
    <n v="0"/>
    <n v="0"/>
    <n v="0"/>
    <n v="0"/>
    <n v="0"/>
    <n v="0"/>
    <n v="0"/>
    <n v="0"/>
    <n v="0"/>
    <n v="0"/>
    <n v="0"/>
    <n v="1"/>
  </r>
  <r>
    <s v="Cases\\7 Member Bodies and Other Professional Organizations\\69_ISQM 2_FACPCE"/>
    <x v="68"/>
    <x v="6"/>
    <s v="South America"/>
    <n v="0"/>
    <n v="1"/>
    <n v="0"/>
    <n v="0"/>
    <n v="0"/>
    <n v="0"/>
    <n v="0"/>
    <n v="1"/>
    <n v="0"/>
    <n v="0"/>
    <n v="0"/>
    <n v="0"/>
    <n v="0"/>
    <n v="0"/>
    <n v="0"/>
  </r>
  <r>
    <s v="Cases\\7 Member Bodies and Other Professional Organizations\\70_ISQM 2_FSR"/>
    <x v="69"/>
    <x v="6"/>
    <s v="Europe"/>
    <n v="0"/>
    <n v="0"/>
    <n v="0"/>
    <n v="0"/>
    <n v="0"/>
    <n v="0"/>
    <n v="0"/>
    <n v="0"/>
    <n v="0"/>
    <n v="0"/>
    <n v="0"/>
    <n v="0"/>
    <n v="0"/>
    <n v="0"/>
    <n v="1"/>
  </r>
  <r>
    <s v="Cases\\7 Member Bodies and Other Professional Organizations\\71_ISQM 2_SMPC"/>
    <x v="70"/>
    <x v="6"/>
    <s v="Global"/>
    <n v="0"/>
    <n v="1"/>
    <n v="0"/>
    <n v="1"/>
    <n v="0"/>
    <n v="0"/>
    <n v="0"/>
    <n v="0"/>
    <n v="0"/>
    <n v="0"/>
    <n v="0"/>
    <n v="0"/>
    <n v="0"/>
    <n v="0"/>
    <n v="0"/>
  </r>
  <r>
    <s v="Cases\\7 Member Bodies and Other Professional Organizations\\72_ISQM 2_ICPAS"/>
    <x v="71"/>
    <x v="6"/>
    <s v="North America"/>
    <n v="1"/>
    <n v="0"/>
    <n v="0"/>
    <n v="0"/>
    <n v="0"/>
    <n v="0"/>
    <n v="0"/>
    <n v="0"/>
    <n v="0"/>
    <n v="0"/>
    <n v="0"/>
    <n v="0"/>
    <n v="0"/>
    <n v="0"/>
    <n v="0"/>
  </r>
  <r>
    <s v="Cases\\7 Member Bodies and Other Professional Organizations\\73_ISQM 2_IEC-IAB"/>
    <x v="72"/>
    <x v="6"/>
    <s v="Europe"/>
    <n v="1"/>
    <n v="0"/>
    <n v="0"/>
    <n v="0"/>
    <n v="0"/>
    <n v="0"/>
    <n v="0"/>
    <n v="0"/>
    <n v="0"/>
    <n v="0"/>
    <n v="0"/>
    <n v="0"/>
    <n v="0"/>
    <n v="0"/>
    <n v="0"/>
  </r>
  <r>
    <s v="Cases\\7 Member Bodies and Other Professional Organizations\\74_ISQM 2_ICAEW"/>
    <x v="73"/>
    <x v="6"/>
    <s v="Europe"/>
    <n v="0"/>
    <n v="1"/>
    <n v="0"/>
    <n v="0"/>
    <n v="1"/>
    <n v="0"/>
    <n v="0"/>
    <n v="0"/>
    <n v="0"/>
    <n v="0"/>
    <n v="0"/>
    <n v="0"/>
    <n v="0"/>
    <n v="0"/>
    <n v="0"/>
  </r>
  <r>
    <s v="Cases\\7 Member Bodies and Other Professional Organizations\\75_ISQM 2_ICAP"/>
    <x v="74"/>
    <x v="6"/>
    <s v="Middle East and Africa"/>
    <n v="0"/>
    <n v="0"/>
    <n v="0"/>
    <n v="0"/>
    <n v="0"/>
    <n v="0"/>
    <n v="0"/>
    <n v="0"/>
    <n v="0"/>
    <n v="1"/>
    <n v="0"/>
    <n v="0"/>
    <n v="1"/>
    <n v="1"/>
    <n v="0"/>
  </r>
  <r>
    <s v="Cases\\7 Member Bodies and Other Professional Organizations\\76_ISQM 2_ICAS"/>
    <x v="75"/>
    <x v="6"/>
    <s v="Europe"/>
    <n v="1"/>
    <n v="0"/>
    <n v="0"/>
    <n v="0"/>
    <n v="0"/>
    <n v="0"/>
    <n v="0"/>
    <n v="0"/>
    <n v="0"/>
    <n v="0"/>
    <n v="0"/>
    <n v="0"/>
    <n v="0"/>
    <n v="0"/>
    <n v="0"/>
  </r>
  <r>
    <s v="Cases\\7 Member Bodies and Other Professional Organizations\\77_ISQM 2_ICPAU"/>
    <x v="76"/>
    <x v="6"/>
    <s v="Middle East and Africa"/>
    <n v="0"/>
    <n v="1"/>
    <n v="1"/>
    <n v="0"/>
    <n v="0"/>
    <n v="0"/>
    <n v="0"/>
    <n v="0"/>
    <n v="0"/>
    <n v="0"/>
    <n v="0"/>
    <n v="0"/>
    <n v="0"/>
    <n v="0"/>
    <n v="0"/>
  </r>
  <r>
    <s v="Cases\\7 Member Bodies and Other Professional Organizations\\78_ISQM 2_IBRACON"/>
    <x v="77"/>
    <x v="6"/>
    <s v="South America"/>
    <n v="0"/>
    <n v="1"/>
    <n v="0"/>
    <n v="1"/>
    <n v="1"/>
    <n v="0"/>
    <n v="0"/>
    <n v="0"/>
    <n v="0"/>
    <n v="0"/>
    <n v="0"/>
    <n v="0"/>
    <n v="0"/>
    <n v="0"/>
    <n v="0"/>
  </r>
  <r>
    <s v="Cases\\7 Member Bodies and Other Professional Organizations\\79_ISQM 2_ISCA"/>
    <x v="78"/>
    <x v="6"/>
    <s v="Asia Pacific"/>
    <n v="0"/>
    <n v="0"/>
    <n v="0"/>
    <n v="0"/>
    <n v="0"/>
    <n v="0"/>
    <n v="0"/>
    <n v="0"/>
    <n v="0"/>
    <n v="0"/>
    <n v="0"/>
    <n v="0"/>
    <n v="0"/>
    <n v="0"/>
    <n v="1"/>
  </r>
  <r>
    <s v="Cases\\7 Member Bodies and Other Professional Organizations\\80_ISQM 2_ICJCE"/>
    <x v="79"/>
    <x v="6"/>
    <s v="Europe"/>
    <n v="0"/>
    <n v="1"/>
    <n v="1"/>
    <n v="0"/>
    <n v="0"/>
    <n v="0"/>
    <n v="0"/>
    <n v="0"/>
    <n v="0"/>
    <n v="0"/>
    <n v="0"/>
    <n v="0"/>
    <n v="0"/>
    <n v="0"/>
    <n v="0"/>
  </r>
  <r>
    <s v="Cases\\7 Member Bodies and Other Professional Organizations\\81_ISQM 2_IMCP"/>
    <x v="80"/>
    <x v="6"/>
    <s v="North America"/>
    <n v="0"/>
    <n v="1"/>
    <n v="0"/>
    <n v="0"/>
    <n v="0"/>
    <n v="0"/>
    <n v="1"/>
    <n v="0"/>
    <n v="0"/>
    <n v="0"/>
    <n v="0"/>
    <n v="0"/>
    <n v="0"/>
    <n v="0"/>
    <n v="0"/>
  </r>
  <r>
    <s v="Cases\\7 Member Bodies and Other Professional Organizations\\82_ISQM 2_KICPA"/>
    <x v="81"/>
    <x v="6"/>
    <s v="Asia Pacific"/>
    <n v="1"/>
    <n v="0"/>
    <n v="0"/>
    <n v="0"/>
    <n v="0"/>
    <n v="0"/>
    <n v="0"/>
    <n v="0"/>
    <n v="0"/>
    <n v="0"/>
    <n v="0"/>
    <n v="0"/>
    <n v="0"/>
    <n v="0"/>
    <n v="0"/>
  </r>
  <r>
    <s v="Cases\\7 Member Bodies and Other Professional Organizations\\83_ISQM 2_MICPA"/>
    <x v="82"/>
    <x v="6"/>
    <s v="Asia Pacific"/>
    <n v="1"/>
    <n v="0"/>
    <n v="0"/>
    <n v="0"/>
    <n v="0"/>
    <n v="0"/>
    <n v="0"/>
    <n v="0"/>
    <n v="0"/>
    <n v="0"/>
    <n v="0"/>
    <n v="0"/>
    <n v="0"/>
    <n v="0"/>
    <n v="0"/>
  </r>
  <r>
    <s v="Cases\\7 Member Bodies and Other Professional Organizations\\84_ISQM 2_NASBA"/>
    <x v="83"/>
    <x v="2"/>
    <s v="North America"/>
    <n v="0"/>
    <n v="1"/>
    <n v="0"/>
    <n v="0"/>
    <n v="0"/>
    <n v="0"/>
    <n v="1"/>
    <n v="0"/>
    <n v="0"/>
    <n v="0"/>
    <n v="0"/>
    <n v="0"/>
    <n v="0"/>
    <n v="0"/>
    <n v="0"/>
  </r>
  <r>
    <s v="Cases\\7 Member Bodies and Other Professional Organizations\\85_ISQM 2_ NYSSCPA"/>
    <x v="84"/>
    <x v="6"/>
    <s v="North America"/>
    <n v="0"/>
    <n v="0"/>
    <n v="0"/>
    <n v="0"/>
    <n v="0"/>
    <n v="0"/>
    <n v="0"/>
    <n v="0"/>
    <n v="0"/>
    <n v="0"/>
    <n v="0"/>
    <n v="0"/>
    <n v="0"/>
    <n v="0"/>
    <n v="1"/>
  </r>
  <r>
    <s v="Cases\\7 Member Bodies and Other Professional Organizations\\86_ISQM 2_NRF"/>
    <x v="85"/>
    <x v="6"/>
    <s v="Europe"/>
    <n v="0"/>
    <n v="0"/>
    <n v="0"/>
    <n v="0"/>
    <n v="0"/>
    <n v="0"/>
    <n v="0"/>
    <n v="0"/>
    <n v="0"/>
    <n v="1"/>
    <n v="0"/>
    <n v="0"/>
    <n v="0"/>
    <n v="1"/>
    <n v="0"/>
  </r>
  <r>
    <s v="Cases\\7 Member Bodies and Other Professional Organizations\\87_ISQM 2_SRO-AAS"/>
    <x v="86"/>
    <x v="6"/>
    <s v="Europe"/>
    <n v="1"/>
    <n v="0"/>
    <n v="0"/>
    <n v="0"/>
    <n v="0"/>
    <n v="0"/>
    <n v="0"/>
    <n v="0"/>
    <n v="0"/>
    <n v="0"/>
    <n v="0"/>
    <n v="0"/>
    <n v="0"/>
    <n v="0"/>
    <n v="0"/>
  </r>
  <r>
    <s v="Cases\\7 Member Bodies and Other Professional Organizations\\88_ISQM 2_SAICA"/>
    <x v="87"/>
    <x v="6"/>
    <s v="Middle East and Africa"/>
    <n v="0"/>
    <n v="1"/>
    <n v="1"/>
    <n v="0"/>
    <n v="0"/>
    <n v="0"/>
    <n v="0"/>
    <n v="0"/>
    <n v="0"/>
    <n v="0"/>
    <n v="0"/>
    <n v="0"/>
    <n v="0"/>
    <n v="0"/>
    <n v="0"/>
  </r>
  <r>
    <s v="Cases\\7 Member Bodies and Other Professional Organizations\\89_ISQM 2_WPK"/>
    <x v="88"/>
    <x v="6"/>
    <s v="Europe"/>
    <n v="0"/>
    <n v="0"/>
    <n v="0"/>
    <n v="0"/>
    <n v="0"/>
    <n v="0"/>
    <n v="0"/>
    <n v="0"/>
    <n v="0"/>
    <n v="1"/>
    <n v="0"/>
    <n v="0"/>
    <n v="1"/>
    <n v="0"/>
    <n v="0"/>
  </r>
  <r>
    <s v="Cases\\8 Individuals and Others\\90_ISQM 2_TAS-CAA"/>
    <x v="89"/>
    <x v="7"/>
    <s v="Middle East and Africa"/>
    <n v="0"/>
    <n v="1"/>
    <n v="0"/>
    <n v="0"/>
    <n v="0"/>
    <n v="0"/>
    <n v="0"/>
    <n v="0"/>
    <n v="1"/>
    <n v="0"/>
    <n v="0"/>
    <n v="0"/>
    <n v="0"/>
    <n v="0"/>
    <n v="0"/>
  </r>
  <r>
    <s v="Cases\\8 Individuals and Others\\91_ISQM 2_VM"/>
    <x v="90"/>
    <x v="7"/>
    <s v="Europe"/>
    <n v="1"/>
    <n v="0"/>
    <n v="0"/>
    <n v="0"/>
    <n v="0"/>
    <n v="0"/>
    <n v="0"/>
    <n v="0"/>
    <n v="0"/>
    <n v="0"/>
    <n v="0"/>
    <n v="0"/>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Cases\\1 Monitoring Group\\01_BCBS"/>
    <x v="0"/>
    <x v="0"/>
    <s v="Global"/>
    <n v="0"/>
    <n v="1"/>
    <n v="0"/>
    <n v="0"/>
    <n v="1"/>
  </r>
  <r>
    <s v="Cases\\1 Monitoring Group\\02_IAIS"/>
    <x v="1"/>
    <x v="0"/>
    <s v="Global"/>
    <n v="0"/>
    <n v="1"/>
    <n v="0"/>
    <n v="0"/>
    <n v="1"/>
  </r>
  <r>
    <s v="Cases\\1 Monitoring Group\\03_IFIAR"/>
    <x v="2"/>
    <x v="0"/>
    <s v="Global"/>
    <n v="1"/>
    <n v="0"/>
    <n v="0"/>
    <n v="0"/>
    <n v="1"/>
  </r>
  <r>
    <s v="Cases\\1 Monitoring Group\\04_IOSCO"/>
    <x v="3"/>
    <x v="0"/>
    <s v="Global"/>
    <n v="0"/>
    <n v="0"/>
    <n v="0"/>
    <n v="1"/>
    <n v="1"/>
  </r>
  <r>
    <s v="Cases\\2 Investors and Analysts\\05_CRUF"/>
    <x v="4"/>
    <x v="1"/>
    <s v="Global"/>
    <n v="0"/>
    <n v="0"/>
    <n v="0"/>
    <n v="1"/>
    <n v="1"/>
  </r>
  <r>
    <s v="Cases\\2 Investors and Analysts\\06_ICGN"/>
    <x v="5"/>
    <x v="1"/>
    <s v="Global"/>
    <n v="0"/>
    <n v="0"/>
    <n v="0"/>
    <n v="1"/>
    <n v="1"/>
  </r>
  <r>
    <s v="Cases\\3 Regulators and Oversight Authorities\\07_CPAB"/>
    <x v="6"/>
    <x v="2"/>
    <s v="North America"/>
    <n v="0"/>
    <n v="1"/>
    <n v="0"/>
    <n v="0"/>
    <n v="1"/>
  </r>
  <r>
    <s v="Cases\\3 Regulators and Oversight Authorities\\08_FRC"/>
    <x v="7"/>
    <x v="2"/>
    <s v="Europe"/>
    <n v="1"/>
    <n v="0"/>
    <n v="0"/>
    <n v="0"/>
    <n v="1"/>
  </r>
  <r>
    <s v="Cases\\3 Regulators and Oversight Authorities\\09_IRBA"/>
    <x v="8"/>
    <x v="2"/>
    <s v="Middle East and Africa"/>
    <n v="0"/>
    <n v="1"/>
    <n v="0"/>
    <n v="0"/>
    <n v="1"/>
  </r>
  <r>
    <s v="Cases\\3 Regulators and Oversight Authorities\\10_IAASA"/>
    <x v="9"/>
    <x v="2"/>
    <s v="Europe"/>
    <n v="0"/>
    <n v="0"/>
    <n v="0"/>
    <n v="1"/>
    <n v="1"/>
  </r>
  <r>
    <s v="Cases\\4 National Auditing Standard Setters\\11_AICPA"/>
    <x v="10"/>
    <x v="3"/>
    <s v="North America"/>
    <n v="0"/>
    <n v="1"/>
    <n v="0"/>
    <n v="0"/>
    <n v="1"/>
  </r>
  <r>
    <s v="Cases\\4 National Auditing Standard Setters\\12_AUASB"/>
    <x v="11"/>
    <x v="3"/>
    <s v="Asia Pacific"/>
    <n v="0"/>
    <n v="0"/>
    <n v="1"/>
    <n v="0"/>
    <n v="1"/>
  </r>
  <r>
    <s v="Cases\\4 National Auditing Standard Setters\\13_CAASB"/>
    <x v="12"/>
    <x v="3"/>
    <s v="North America"/>
    <n v="0"/>
    <n v="1"/>
    <n v="0"/>
    <n v="0"/>
    <n v="1"/>
  </r>
  <r>
    <s v="Cases\\4 National Auditing Standard Setters\\14_CICPA"/>
    <x v="13"/>
    <x v="3"/>
    <s v="Asia Pacific"/>
    <n v="0"/>
    <n v="1"/>
    <n v="0"/>
    <n v="0"/>
    <n v="1"/>
  </r>
  <r>
    <s v="Cases\\4 National Auditing Standard Setters\\15_CNCC-CSOEC"/>
    <x v="14"/>
    <x v="3"/>
    <s v="Europe"/>
    <n v="0"/>
    <n v="0"/>
    <n v="0"/>
    <n v="1"/>
    <n v="1"/>
  </r>
  <r>
    <s v="Cases\\4 National Auditing Standard Setters\\16_CFC"/>
    <x v="15"/>
    <x v="3"/>
    <s v="South America"/>
    <n v="0"/>
    <n v="1"/>
    <n v="0"/>
    <n v="0"/>
    <n v="1"/>
  </r>
  <r>
    <s v="Cases\\4 National Auditing Standard Setters\\17_HKICPA"/>
    <x v="16"/>
    <x v="3"/>
    <s v="Asia Pacific"/>
    <n v="0"/>
    <n v="1"/>
    <n v="0"/>
    <n v="0"/>
    <n v="1"/>
  </r>
  <r>
    <s v="Cases\\4 National Auditing Standard Setters\\18_IDW"/>
    <x v="17"/>
    <x v="3"/>
    <s v="Europe"/>
    <n v="0"/>
    <n v="0"/>
    <n v="1"/>
    <n v="0"/>
    <n v="1"/>
  </r>
  <r>
    <s v="Cases\\4 National Auditing Standard Setters\\19_JICPA"/>
    <x v="18"/>
    <x v="3"/>
    <s v="Asia Pacific"/>
    <n v="1"/>
    <n v="0"/>
    <n v="0"/>
    <n v="0"/>
    <n v="1"/>
  </r>
  <r>
    <s v="Cases\\4 National Auditing Standard Setters\\20_KSW"/>
    <x v="19"/>
    <x v="3"/>
    <s v="Europe"/>
    <n v="0"/>
    <n v="1"/>
    <n v="0"/>
    <n v="0"/>
    <n v="1"/>
  </r>
  <r>
    <s v="Cases\\4 National Auditing Standard Setters\\21_MAASB"/>
    <x v="20"/>
    <x v="3"/>
    <s v="Asia Pacific"/>
    <n v="1"/>
    <n v="0"/>
    <n v="0"/>
    <n v="0"/>
    <n v="1"/>
  </r>
  <r>
    <s v="Cases\\4 National Auditing Standard Setters\\22_NZAASB"/>
    <x v="21"/>
    <x v="3"/>
    <s v="Asia Pacific"/>
    <n v="0"/>
    <n v="1"/>
    <n v="0"/>
    <n v="0"/>
    <n v="1"/>
  </r>
  <r>
    <s v="Cases\\4 National Auditing Standard Setters\\23_NBA"/>
    <x v="22"/>
    <x v="3"/>
    <s v="Europe"/>
    <n v="0"/>
    <n v="1"/>
    <n v="0"/>
    <n v="0"/>
    <n v="1"/>
  </r>
  <r>
    <s v="Cases\\4 National Auditing Standard Setters\\24_SOCPA"/>
    <x v="23"/>
    <x v="3"/>
    <s v="Middle East and Africa"/>
    <n v="0"/>
    <n v="1"/>
    <n v="0"/>
    <n v="0"/>
    <n v="1"/>
  </r>
  <r>
    <s v="Cases\\5 Accounting Firms\\25_BTI"/>
    <x v="24"/>
    <x v="4"/>
    <s v="Global"/>
    <n v="0"/>
    <n v="1"/>
    <n v="0"/>
    <n v="0"/>
    <n v="1"/>
  </r>
  <r>
    <s v="Cases\\5 Accounting Firms\\26_BTVK"/>
    <x v="25"/>
    <x v="4"/>
    <s v="North America"/>
    <n v="0"/>
    <n v="0"/>
    <n v="0"/>
    <n v="1"/>
    <n v="1"/>
  </r>
  <r>
    <s v="Cases\\5 Accounting Firms\\27_BDO"/>
    <x v="26"/>
    <x v="4"/>
    <s v="Global"/>
    <n v="1"/>
    <n v="0"/>
    <n v="0"/>
    <n v="0"/>
    <n v="1"/>
  </r>
  <r>
    <s v="Cases\\5 Accounting Firms\\28_CASI"/>
    <x v="27"/>
    <x v="4"/>
    <s v="Asia Pacific"/>
    <n v="1"/>
    <n v="0"/>
    <n v="0"/>
    <n v="0"/>
    <n v="1"/>
  </r>
  <r>
    <s v="Cases\\5 Accounting Firms\\29_CHI"/>
    <x v="28"/>
    <x v="4"/>
    <s v="Global"/>
    <n v="1"/>
    <n v="0"/>
    <n v="0"/>
    <n v="0"/>
    <n v="1"/>
  </r>
  <r>
    <s v="Cases\\5 Accounting Firms\\30_DTTL"/>
    <x v="29"/>
    <x v="4"/>
    <s v="Global"/>
    <n v="0"/>
    <n v="1"/>
    <n v="0"/>
    <n v="0"/>
    <n v="1"/>
  </r>
  <r>
    <s v="Cases\\5 Accounting Firms\\31_DTL"/>
    <x v="30"/>
    <x v="4"/>
    <s v="Europe"/>
    <n v="1"/>
    <n v="0"/>
    <n v="0"/>
    <n v="0"/>
    <n v="1"/>
  </r>
  <r>
    <s v="Cases\\5 Accounting Firms\\32_ETY"/>
    <x v="31"/>
    <x v="4"/>
    <s v="Middle East and Africa"/>
    <n v="1"/>
    <n v="0"/>
    <n v="0"/>
    <n v="0"/>
    <n v="1"/>
  </r>
  <r>
    <s v="Cases\\5 Accounting Firms\\33_EYG"/>
    <x v="32"/>
    <x v="4"/>
    <s v="Global"/>
    <n v="0"/>
    <n v="1"/>
    <n v="0"/>
    <n v="0"/>
    <n v="1"/>
  </r>
  <r>
    <s v="Cases\\5 Accounting Firms\\34_GTIL"/>
    <x v="33"/>
    <x v="4"/>
    <s v="Global"/>
    <n v="0"/>
    <n v="1"/>
    <n v="0"/>
    <n v="0"/>
    <n v="1"/>
  </r>
  <r>
    <s v="Cases\\5 Accounting Firms\\35_HM"/>
    <x v="34"/>
    <x v="4"/>
    <s v="Europe"/>
    <n v="0"/>
    <n v="1"/>
    <n v="0"/>
    <n v="0"/>
    <n v="1"/>
  </r>
  <r>
    <s v="Cases\\5 Accounting Firms\\36_KPMG"/>
    <x v="35"/>
    <x v="4"/>
    <s v="Global"/>
    <n v="1"/>
    <n v="0"/>
    <n v="0"/>
    <n v="0"/>
    <n v="1"/>
  </r>
  <r>
    <s v="Cases\\5 Accounting Firms\\37_KI"/>
    <x v="36"/>
    <x v="4"/>
    <s v="Global"/>
    <n v="1"/>
    <n v="0"/>
    <n v="0"/>
    <n v="0"/>
    <n v="1"/>
  </r>
  <r>
    <s v="Cases\\5 Accounting Firms\\38_MZRS"/>
    <x v="37"/>
    <x v="4"/>
    <s v="Global"/>
    <n v="1"/>
    <n v="0"/>
    <n v="0"/>
    <n v="0"/>
    <n v="1"/>
  </r>
  <r>
    <s v="Cases\\5 Accounting Firms\\39_MZRSUS"/>
    <x v="38"/>
    <x v="4"/>
    <s v="North America"/>
    <n v="0"/>
    <n v="1"/>
    <n v="0"/>
    <n v="0"/>
    <n v="1"/>
  </r>
  <r>
    <s v="Cases\\5 Accounting Firms\\40_MGI"/>
    <x v="39"/>
    <x v="4"/>
    <s v="Global"/>
    <n v="0"/>
    <n v="1"/>
    <n v="0"/>
    <n v="0"/>
    <n v="1"/>
  </r>
  <r>
    <s v="Cases\\5 Accounting Firms\\41_MNP"/>
    <x v="40"/>
    <x v="4"/>
    <s v="North America"/>
    <n v="1"/>
    <n v="0"/>
    <n v="0"/>
    <n v="0"/>
    <n v="1"/>
  </r>
  <r>
    <s v="Cases\\5 Accounting Firms\\42_MSI"/>
    <x v="41"/>
    <x v="4"/>
    <s v="Global"/>
    <n v="0"/>
    <n v="1"/>
    <n v="0"/>
    <n v="0"/>
    <n v="1"/>
  </r>
  <r>
    <s v="Cases\\5 Accounting Firms\\43_NI"/>
    <x v="42"/>
    <x v="4"/>
    <s v="Global"/>
    <n v="0"/>
    <n v="1"/>
    <n v="0"/>
    <n v="0"/>
    <n v="1"/>
  </r>
  <r>
    <s v="Cases\\5 Accounting Firms\\44_NSW"/>
    <x v="43"/>
    <x v="4"/>
    <s v="Europe"/>
    <n v="0"/>
    <n v="1"/>
    <n v="0"/>
    <n v="0"/>
    <n v="1"/>
  </r>
  <r>
    <s v="Cases\\5 Accounting Firms\\45_PKFI"/>
    <x v="44"/>
    <x v="4"/>
    <s v="Global"/>
    <n v="0"/>
    <n v="1"/>
    <n v="0"/>
    <n v="0"/>
    <n v="1"/>
  </r>
  <r>
    <s v="Cases\\5 Accounting Firms\\46_PKFSA"/>
    <x v="45"/>
    <x v="4"/>
    <s v="Middle East and Africa"/>
    <n v="0"/>
    <n v="1"/>
    <n v="0"/>
    <n v="0"/>
    <n v="1"/>
  </r>
  <r>
    <s v="Cases\\5 Accounting Firms\\47_PwC"/>
    <x v="46"/>
    <x v="4"/>
    <s v="Global"/>
    <n v="0"/>
    <n v="1"/>
    <n v="0"/>
    <n v="0"/>
    <n v="1"/>
  </r>
  <r>
    <s v="Cases\\5 Accounting Firms\\48_RSMI"/>
    <x v="47"/>
    <x v="4"/>
    <s v="Global"/>
    <n v="0"/>
    <n v="1"/>
    <n v="0"/>
    <n v="0"/>
    <n v="1"/>
  </r>
  <r>
    <s v="Cases\\5 Accounting Firms\\49_SRA"/>
    <x v="48"/>
    <x v="4"/>
    <s v="Europe"/>
    <n v="0"/>
    <n v="0"/>
    <n v="0"/>
    <n v="1"/>
    <n v="1"/>
  </r>
  <r>
    <s v="Cases\\6 Public Sector Organizations\\50_AGSA"/>
    <x v="49"/>
    <x v="5"/>
    <s v="Middle East and Africa"/>
    <n v="1"/>
    <n v="0"/>
    <n v="0"/>
    <n v="0"/>
    <n v="1"/>
  </r>
  <r>
    <s v="Cases\\6 Public Sector Organizations\\51_ACAG"/>
    <x v="50"/>
    <x v="5"/>
    <s v="Asia Pacific"/>
    <n v="0"/>
    <n v="1"/>
    <n v="0"/>
    <n v="0"/>
    <n v="1"/>
  </r>
  <r>
    <s v="Cases\\6 Public Sector Organizations\\52_INTOSAI"/>
    <x v="51"/>
    <x v="5"/>
    <s v="Global"/>
    <n v="0"/>
    <n v="0"/>
    <n v="1"/>
    <n v="0"/>
    <n v="1"/>
  </r>
  <r>
    <s v="Cases\\6 Public Sector Organizations\\53_NAOM"/>
    <x v="52"/>
    <x v="5"/>
    <s v="Europe"/>
    <n v="1"/>
    <n v="0"/>
    <n v="0"/>
    <n v="0"/>
    <n v="1"/>
  </r>
  <r>
    <s v="Cases\\6 Public Sector Organizations\\54_OAGNZ"/>
    <x v="53"/>
    <x v="5"/>
    <s v="Asia Pacific"/>
    <n v="0"/>
    <n v="1"/>
    <n v="0"/>
    <n v="0"/>
    <n v="1"/>
  </r>
  <r>
    <s v="Cases\\6 Public Sector Organizations\\55_OAGA"/>
    <x v="54"/>
    <x v="5"/>
    <s v="North America"/>
    <n v="0"/>
    <n v="1"/>
    <n v="0"/>
    <n v="0"/>
    <n v="1"/>
  </r>
  <r>
    <s v="Cases\\6 Public Sector Organizations\\56_OAGC"/>
    <x v="55"/>
    <x v="5"/>
    <s v="North America"/>
    <n v="0"/>
    <n v="0"/>
    <n v="1"/>
    <n v="0"/>
    <n v="1"/>
  </r>
  <r>
    <s v="Cases\\6 Public Sector Organizations\\57_PAS"/>
    <x v="56"/>
    <x v="5"/>
    <s v="North America"/>
    <n v="1"/>
    <n v="0"/>
    <n v="0"/>
    <n v="0"/>
    <n v="1"/>
  </r>
  <r>
    <s v="Cases\\6 Public Sector Organizations\\58_SNAO"/>
    <x v="57"/>
    <x v="5"/>
    <s v="Europe"/>
    <n v="0"/>
    <n v="1"/>
    <n v="0"/>
    <n v="0"/>
    <n v="1"/>
  </r>
  <r>
    <s v="Cases\\6 Public Sector Organizations\\59_GAO"/>
    <x v="58"/>
    <x v="5"/>
    <s v="North America"/>
    <n v="0"/>
    <n v="1"/>
    <n v="0"/>
    <n v="0"/>
    <n v="1"/>
  </r>
  <r>
    <s v="Cases\\7 Member Bodies and Other Professional Organizations\\60_AE"/>
    <x v="59"/>
    <x v="6"/>
    <s v="Europe"/>
    <n v="0"/>
    <n v="1"/>
    <n v="0"/>
    <n v="0"/>
    <n v="1"/>
  </r>
  <r>
    <s v="Cases\\7 Member Bodies and Other Professional Organizations\\61_APESB"/>
    <x v="60"/>
    <x v="6"/>
    <s v="Asia Pacific"/>
    <n v="0"/>
    <n v="0"/>
    <n v="1"/>
    <n v="0"/>
    <n v="1"/>
  </r>
  <r>
    <s v="Cases\\7 Member Bodies and Other Professional Organizations\\62_IBR-IRE"/>
    <x v="61"/>
    <x v="6"/>
    <s v="Europe"/>
    <n v="0"/>
    <n v="1"/>
    <n v="0"/>
    <n v="0"/>
    <n v="1"/>
  </r>
  <r>
    <s v="Cases\\7 Member Bodies and Other Professional Organizations\\63_CAI"/>
    <x v="62"/>
    <x v="6"/>
    <s v="Europe"/>
    <n v="0"/>
    <n v="1"/>
    <n v="0"/>
    <n v="0"/>
    <n v="1"/>
  </r>
  <r>
    <s v="Cases\\7 Member Bodies and Other Professional Organizations\\64_CalCPA"/>
    <x v="63"/>
    <x v="6"/>
    <s v="North America"/>
    <n v="0"/>
    <n v="1"/>
    <n v="0"/>
    <n v="0"/>
    <n v="1"/>
  </r>
  <r>
    <s v="Cases\\7 Member Bodies and Other Professional Organizations\\65_CAQ"/>
    <x v="64"/>
    <x v="6"/>
    <s v="North America"/>
    <n v="0"/>
    <n v="1"/>
    <n v="0"/>
    <n v="0"/>
    <n v="1"/>
  </r>
  <r>
    <s v="Cases\\7 Member Bodies and Other Professional Organizations\\66_CAANZ-ACCA"/>
    <x v="65"/>
    <x v="6"/>
    <s v="Global"/>
    <n v="0"/>
    <n v="1"/>
    <n v="0"/>
    <n v="0"/>
    <n v="1"/>
  </r>
  <r>
    <s v="Cases\\7 Member Bodies and Other Professional Organizations\\67_CICC-AIC"/>
    <x v="66"/>
    <x v="6"/>
    <s v="South America"/>
    <n v="1"/>
    <n v="0"/>
    <n v="0"/>
    <n v="0"/>
    <n v="1"/>
  </r>
  <r>
    <s v="Cases\\7 Member Bodies and Other Professional Organizations\\68_CCC-ICPARD"/>
    <x v="67"/>
    <x v="6"/>
    <s v="South America"/>
    <n v="1"/>
    <n v="0"/>
    <n v="0"/>
    <n v="0"/>
    <n v="1"/>
  </r>
  <r>
    <s v="Cases\\7 Member Bodies and Other Professional Organizations\\69_CNDCEC"/>
    <x v="68"/>
    <x v="6"/>
    <s v="Europe"/>
    <n v="1"/>
    <n v="0"/>
    <n v="0"/>
    <n v="0"/>
    <n v="1"/>
  </r>
  <r>
    <s v="Cases\\7 Member Bodies and Other Professional Organizations\\70_CPAA"/>
    <x v="69"/>
    <x v="6"/>
    <s v="Asia Pacific"/>
    <n v="0"/>
    <n v="1"/>
    <n v="0"/>
    <n v="0"/>
    <n v="1"/>
  </r>
  <r>
    <s v="Cases\\7 Member Bodies and Other Professional Organizations\\71_EFAA"/>
    <x v="70"/>
    <x v="6"/>
    <s v="Europe"/>
    <n v="0"/>
    <n v="1"/>
    <n v="0"/>
    <n v="0"/>
    <n v="1"/>
  </r>
  <r>
    <s v="Cases\\7 Member Bodies and Other Professional Organizations\\72_EXPERT"/>
    <x v="71"/>
    <x v="6"/>
    <s v="Europe"/>
    <n v="0"/>
    <n v="0"/>
    <n v="0"/>
    <n v="1"/>
    <n v="1"/>
  </r>
  <r>
    <s v="Cases\\7 Member Bodies and Other Professional Organizations\\73_FAR"/>
    <x v="72"/>
    <x v="6"/>
    <s v="Europe"/>
    <n v="0"/>
    <n v="0"/>
    <n v="0"/>
    <n v="1"/>
    <n v="1"/>
  </r>
  <r>
    <s v="Cases\\7 Member Bodies and Other Professional Organizations\\74_FSR"/>
    <x v="73"/>
    <x v="6"/>
    <s v="Europe"/>
    <n v="0"/>
    <n v="0"/>
    <n v="0"/>
    <n v="1"/>
    <n v="1"/>
  </r>
  <r>
    <s v="Cases\\7 Member Bodies and Other Professional Organizations\\75_SMPC"/>
    <x v="74"/>
    <x v="6"/>
    <s v="Global"/>
    <n v="0"/>
    <n v="1"/>
    <n v="0"/>
    <n v="0"/>
    <n v="1"/>
  </r>
  <r>
    <s v="Cases\\7 Member Bodies and Other Professional Organizations\\76_ICPAS"/>
    <x v="75"/>
    <x v="6"/>
    <s v="North America"/>
    <n v="0"/>
    <n v="1"/>
    <n v="0"/>
    <n v="0"/>
    <n v="1"/>
  </r>
  <r>
    <s v="Cases\\7 Member Bodies and Other Professional Organizations\\77_IEC-IAB"/>
    <x v="76"/>
    <x v="6"/>
    <s v="Europe"/>
    <n v="1"/>
    <n v="0"/>
    <n v="0"/>
    <n v="0"/>
    <n v="1"/>
  </r>
  <r>
    <s v="Cases\\7 Member Bodies and Other Professional Organizations\\78_ICAEW"/>
    <x v="77"/>
    <x v="6"/>
    <s v="Europe"/>
    <n v="0"/>
    <n v="1"/>
    <n v="0"/>
    <n v="0"/>
    <n v="1"/>
  </r>
  <r>
    <s v="Cases\\7 Member Bodies and Other Professional Organizations\\79_ICAP"/>
    <x v="78"/>
    <x v="6"/>
    <s v="Asia Pacific"/>
    <n v="0"/>
    <n v="0"/>
    <n v="1"/>
    <n v="0"/>
    <n v="1"/>
  </r>
  <r>
    <s v="Cases\\7 Member Bodies and Other Professional Organizations\\80_ICAS"/>
    <x v="79"/>
    <x v="6"/>
    <s v="Europe"/>
    <n v="0"/>
    <n v="1"/>
    <n v="0"/>
    <n v="0"/>
    <n v="1"/>
  </r>
  <r>
    <s v="Cases\\7 Member Bodies and Other Professional Organizations\\81_ICASL"/>
    <x v="80"/>
    <x v="6"/>
    <s v="Asia Pacific"/>
    <n v="0"/>
    <n v="0"/>
    <n v="0"/>
    <n v="1"/>
    <n v="1"/>
  </r>
  <r>
    <s v="Cases\\7 Member Bodies and Other Professional Organizations\\82_ICPAU"/>
    <x v="81"/>
    <x v="6"/>
    <s v="Middle East and Africa"/>
    <n v="0"/>
    <n v="1"/>
    <n v="0"/>
    <n v="0"/>
    <n v="1"/>
  </r>
  <r>
    <s v="Cases\\7 Member Bodies and Other Professional Organizations\\83_IBRACON"/>
    <x v="82"/>
    <x v="6"/>
    <s v="South America"/>
    <n v="0"/>
    <n v="1"/>
    <n v="0"/>
    <n v="0"/>
    <n v="1"/>
  </r>
  <r>
    <s v="Cases\\7 Member Bodies and Other Professional Organizations\\84_ISCA"/>
    <x v="83"/>
    <x v="6"/>
    <s v="Asia Pacific"/>
    <n v="0"/>
    <n v="1"/>
    <n v="0"/>
    <n v="0"/>
    <n v="1"/>
  </r>
  <r>
    <s v="Cases\\7 Member Bodies and Other Professional Organizations\\85_ICJCE"/>
    <x v="84"/>
    <x v="6"/>
    <s v="Europe"/>
    <n v="0"/>
    <n v="1"/>
    <n v="0"/>
    <n v="0"/>
    <n v="1"/>
  </r>
  <r>
    <s v="Cases\\7 Member Bodies and Other Professional Organizations\\86_IMCP"/>
    <x v="85"/>
    <x v="6"/>
    <s v="North America"/>
    <n v="0"/>
    <n v="0"/>
    <n v="1"/>
    <n v="0"/>
    <n v="1"/>
  </r>
  <r>
    <s v="Cases\\7 Member Bodies and Other Professional Organizations\\87_KICPA"/>
    <x v="86"/>
    <x v="6"/>
    <s v="Asia Pacific"/>
    <n v="0"/>
    <n v="0"/>
    <n v="0"/>
    <n v="1"/>
    <n v="1"/>
  </r>
  <r>
    <s v="Cases\\7 Member Bodies and Other Professional Organizations\\88_MICPA"/>
    <x v="87"/>
    <x v="6"/>
    <s v="Asia Pacific"/>
    <n v="1"/>
    <n v="0"/>
    <n v="0"/>
    <n v="0"/>
    <n v="1"/>
  </r>
  <r>
    <s v="Cases\\7 Member Bodies and Other Professional Organizations\\89_NASBA"/>
    <x v="88"/>
    <x v="2"/>
    <s v="North America"/>
    <n v="0"/>
    <n v="1"/>
    <n v="0"/>
    <n v="0"/>
    <n v="1"/>
  </r>
  <r>
    <s v="Cases\\7 Member Bodies and Other Professional Organizations\\90_NYSSCPA"/>
    <x v="89"/>
    <x v="6"/>
    <s v="North America"/>
    <n v="0"/>
    <n v="1"/>
    <n v="0"/>
    <n v="0"/>
    <n v="1"/>
  </r>
  <r>
    <s v="Cases\\7 Member Bodies and Other Professional Organizations\\91_NRF"/>
    <x v="90"/>
    <x v="6"/>
    <s v="Europe"/>
    <n v="0"/>
    <n v="1"/>
    <n v="0"/>
    <n v="0"/>
    <n v="1"/>
  </r>
  <r>
    <s v="Cases\\7 Member Bodies and Other Professional Organizations\\92_RICS"/>
    <x v="91"/>
    <x v="6"/>
    <s v="Global"/>
    <n v="0"/>
    <n v="0"/>
    <n v="0"/>
    <n v="1"/>
    <n v="1"/>
  </r>
  <r>
    <s v="Cases\\7 Member Bodies and Other Professional Organizations\\93_SRO-AAS"/>
    <x v="92"/>
    <x v="6"/>
    <s v="Europe"/>
    <n v="1"/>
    <n v="0"/>
    <n v="0"/>
    <n v="0"/>
    <n v="1"/>
  </r>
  <r>
    <s v="Cases\\7 Member Bodies and Other Professional Organizations\\94_SAICA"/>
    <x v="93"/>
    <x v="6"/>
    <s v="Middle East and Africa"/>
    <n v="0"/>
    <n v="1"/>
    <n v="0"/>
    <n v="0"/>
    <n v="1"/>
  </r>
  <r>
    <s v="Cases\\7 Member Bodies and Other Professional Organizations\\95_FAAPA"/>
    <x v="94"/>
    <x v="6"/>
    <s v="Europe"/>
    <n v="0"/>
    <n v="1"/>
    <n v="0"/>
    <n v="0"/>
    <n v="1"/>
  </r>
  <r>
    <s v="Cases\\7 Member Bodies and Other Professional Organizations\\96_WPK"/>
    <x v="95"/>
    <x v="6"/>
    <s v="Europe"/>
    <n v="0"/>
    <n v="1"/>
    <n v="0"/>
    <n v="0"/>
    <n v="1"/>
  </r>
  <r>
    <s v="Cases\\8 Academics\\97_UNSW"/>
    <x v="96"/>
    <x v="7"/>
    <s v="Asia Pacific"/>
    <n v="0"/>
    <n v="0"/>
    <n v="0"/>
    <n v="1"/>
    <n v="1"/>
  </r>
  <r>
    <s v="Cases\\9 Individuals and Others\\98_TAS-CAA"/>
    <x v="97"/>
    <x v="8"/>
    <s v="Middle East and Africa"/>
    <n v="0"/>
    <n v="1"/>
    <n v="0"/>
    <n v="0"/>
    <n v="1"/>
  </r>
  <r>
    <s v="Cases\\9 Individuals and Others\\99_VM"/>
    <x v="98"/>
    <x v="8"/>
    <s v="Europe"/>
    <n v="1"/>
    <n v="0"/>
    <n v="0"/>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C60A35-BC99-4B05-B35E-716A3A61E19E}" name="PivotTable6"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12:F22" firstHeaderRow="0" firstDataRow="1" firstDataCol="1"/>
  <pivotFields count="9">
    <pivotField showAll="0"/>
    <pivotField axis="axisRow"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axis="axisRow" showAll="0">
      <items count="10">
        <item sd="0" x="0"/>
        <item sd="0" x="1"/>
        <item sd="0" x="2"/>
        <item sd="0" x="3"/>
        <item sd="0" x="4"/>
        <item sd="0" x="5"/>
        <item sd="0" x="6"/>
        <item sd="0" x="7"/>
        <item sd="0" x="8"/>
        <item t="default" sd="0"/>
      </items>
    </pivotField>
    <pivotField showAll="0"/>
    <pivotField dataField="1" showAll="0"/>
    <pivotField dataField="1" showAll="0"/>
    <pivotField dataField="1" showAll="0"/>
    <pivotField dataField="1" showAll="0"/>
    <pivotField dataField="1" showAll="0"/>
  </pivotFields>
  <rowFields count="2">
    <field x="2"/>
    <field x="1"/>
  </rowFields>
  <rowItems count="10">
    <i>
      <x/>
    </i>
    <i>
      <x v="1"/>
    </i>
    <i>
      <x v="2"/>
    </i>
    <i>
      <x v="3"/>
    </i>
    <i>
      <x v="4"/>
    </i>
    <i>
      <x v="5"/>
    </i>
    <i>
      <x v="6"/>
    </i>
    <i>
      <x v="7"/>
    </i>
    <i>
      <x v="8"/>
    </i>
    <i t="grand">
      <x/>
    </i>
  </rowItems>
  <colFields count="1">
    <field x="-2"/>
  </colFields>
  <colItems count="5">
    <i>
      <x/>
    </i>
    <i i="1">
      <x v="1"/>
    </i>
    <i i="2">
      <x v="2"/>
    </i>
    <i i="3">
      <x v="3"/>
    </i>
    <i i="4">
      <x v="4"/>
    </i>
  </colItems>
  <dataFields count="5">
    <dataField name="Sum of Agree" fld="4" baseField="0" baseItem="0"/>
    <dataField name="Sum of Agree but with further comments" fld="5" baseField="0" baseItem="0"/>
    <dataField name="Sum of Disagree" fld="6" baseField="0" baseItem="0"/>
    <dataField name="Sum of Unclear or no specific response or refer to other respondent's views" fld="7" baseField="0" baseItem="0"/>
    <dataField name="Sum of Total" fld="8" baseField="0" baseItem="0"/>
  </dataFields>
  <formats count="37">
    <format dxfId="351">
      <pivotArea type="all" dataOnly="0" outline="0" fieldPosition="0"/>
    </format>
    <format dxfId="350">
      <pivotArea outline="0" collapsedLevelsAreSubtotals="1" fieldPosition="0"/>
    </format>
    <format dxfId="349">
      <pivotArea field="2" type="button" dataOnly="0" labelOnly="1" outline="0" axis="axisRow" fieldPosition="0"/>
    </format>
    <format dxfId="348">
      <pivotArea dataOnly="0" labelOnly="1" fieldPosition="0">
        <references count="1">
          <reference field="2" count="0"/>
        </references>
      </pivotArea>
    </format>
    <format dxfId="347">
      <pivotArea dataOnly="0" labelOnly="1" grandRow="1" outline="0" fieldPosition="0"/>
    </format>
    <format dxfId="346">
      <pivotArea dataOnly="0" labelOnly="1" outline="0" fieldPosition="0">
        <references count="1">
          <reference field="4294967294" count="5">
            <x v="0"/>
            <x v="1"/>
            <x v="2"/>
            <x v="3"/>
            <x v="4"/>
          </reference>
        </references>
      </pivotArea>
    </format>
    <format dxfId="345">
      <pivotArea type="all" dataOnly="0" outline="0" fieldPosition="0"/>
    </format>
    <format dxfId="344">
      <pivotArea outline="0" collapsedLevelsAreSubtotals="1" fieldPosition="0"/>
    </format>
    <format dxfId="343">
      <pivotArea field="2" type="button" dataOnly="0" labelOnly="1" outline="0" axis="axisRow" fieldPosition="0"/>
    </format>
    <format dxfId="342">
      <pivotArea dataOnly="0" labelOnly="1" fieldPosition="0">
        <references count="1">
          <reference field="2" count="0"/>
        </references>
      </pivotArea>
    </format>
    <format dxfId="341">
      <pivotArea dataOnly="0" labelOnly="1" grandRow="1" outline="0" fieldPosition="0"/>
    </format>
    <format dxfId="340">
      <pivotArea dataOnly="0" labelOnly="1" outline="0" fieldPosition="0">
        <references count="1">
          <reference field="4294967294" count="5">
            <x v="0"/>
            <x v="1"/>
            <x v="2"/>
            <x v="3"/>
            <x v="4"/>
          </reference>
        </references>
      </pivotArea>
    </format>
    <format dxfId="339">
      <pivotArea field="2" type="button" dataOnly="0" labelOnly="1" outline="0" axis="axisRow" fieldPosition="0"/>
    </format>
    <format dxfId="338">
      <pivotArea dataOnly="0" labelOnly="1" outline="0" fieldPosition="0">
        <references count="1">
          <reference field="4294967294" count="5">
            <x v="0"/>
            <x v="1"/>
            <x v="2"/>
            <x v="3"/>
            <x v="4"/>
          </reference>
        </references>
      </pivotArea>
    </format>
    <format dxfId="337">
      <pivotArea type="all" dataOnly="0" outline="0" fieldPosition="0"/>
    </format>
    <format dxfId="336">
      <pivotArea outline="0" collapsedLevelsAreSubtotals="1" fieldPosition="0"/>
    </format>
    <format dxfId="335">
      <pivotArea field="2" type="button" dataOnly="0" labelOnly="1" outline="0" axis="axisRow" fieldPosition="0"/>
    </format>
    <format dxfId="334">
      <pivotArea dataOnly="0" labelOnly="1" fieldPosition="0">
        <references count="1">
          <reference field="2" count="0"/>
        </references>
      </pivotArea>
    </format>
    <format dxfId="333">
      <pivotArea dataOnly="0" labelOnly="1" grandRow="1" outline="0" fieldPosition="0"/>
    </format>
    <format dxfId="332">
      <pivotArea dataOnly="0" labelOnly="1" outline="0" fieldPosition="0">
        <references count="1">
          <reference field="4294967294" count="5">
            <x v="0"/>
            <x v="1"/>
            <x v="2"/>
            <x v="3"/>
            <x v="4"/>
          </reference>
        </references>
      </pivotArea>
    </format>
    <format dxfId="331">
      <pivotArea dataOnly="0" labelOnly="1" outline="0" fieldPosition="0">
        <references count="1">
          <reference field="4294967294" count="1">
            <x v="0"/>
          </reference>
        </references>
      </pivotArea>
    </format>
    <format dxfId="330">
      <pivotArea dataOnly="0" labelOnly="1" outline="0" fieldPosition="0">
        <references count="1">
          <reference field="4294967294" count="1">
            <x v="1"/>
          </reference>
        </references>
      </pivotArea>
    </format>
    <format dxfId="329">
      <pivotArea dataOnly="0" labelOnly="1" outline="0" fieldPosition="0">
        <references count="1">
          <reference field="4294967294" count="1">
            <x v="2"/>
          </reference>
        </references>
      </pivotArea>
    </format>
    <format dxfId="328">
      <pivotArea dataOnly="0" labelOnly="1" outline="0" fieldPosition="0">
        <references count="1">
          <reference field="4294967294" count="1">
            <x v="3"/>
          </reference>
        </references>
      </pivotArea>
    </format>
    <format dxfId="327">
      <pivotArea dataOnly="0" labelOnly="1" outline="0" fieldPosition="0">
        <references count="1">
          <reference field="4294967294" count="1">
            <x v="1"/>
          </reference>
        </references>
      </pivotArea>
    </format>
    <format dxfId="326">
      <pivotArea type="all" dataOnly="0" outline="0" fieldPosition="0"/>
    </format>
    <format dxfId="325">
      <pivotArea outline="0" collapsedLevelsAreSubtotals="1" fieldPosition="0"/>
    </format>
    <format dxfId="324">
      <pivotArea field="2" type="button" dataOnly="0" labelOnly="1" outline="0" axis="axisRow" fieldPosition="0"/>
    </format>
    <format dxfId="323">
      <pivotArea dataOnly="0" labelOnly="1" fieldPosition="0">
        <references count="1">
          <reference field="2" count="0"/>
        </references>
      </pivotArea>
    </format>
    <format dxfId="322">
      <pivotArea dataOnly="0" labelOnly="1" grandRow="1" outline="0" fieldPosition="0"/>
    </format>
    <format dxfId="321">
      <pivotArea dataOnly="0" labelOnly="1" outline="0" fieldPosition="0">
        <references count="1">
          <reference field="4294967294" count="5">
            <x v="0"/>
            <x v="1"/>
            <x v="2"/>
            <x v="3"/>
            <x v="4"/>
          </reference>
        </references>
      </pivotArea>
    </format>
    <format dxfId="320">
      <pivotArea type="all" dataOnly="0" outline="0" fieldPosition="0"/>
    </format>
    <format dxfId="319">
      <pivotArea outline="0" collapsedLevelsAreSubtotals="1" fieldPosition="0"/>
    </format>
    <format dxfId="318">
      <pivotArea field="2" type="button" dataOnly="0" labelOnly="1" outline="0" axis="axisRow" fieldPosition="0"/>
    </format>
    <format dxfId="317">
      <pivotArea dataOnly="0" labelOnly="1" fieldPosition="0">
        <references count="1">
          <reference field="2" count="0"/>
        </references>
      </pivotArea>
    </format>
    <format dxfId="316">
      <pivotArea dataOnly="0" labelOnly="1" grandRow="1" outline="0" fieldPosition="0"/>
    </format>
    <format dxfId="315">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BE9BBE-CF20-4B0B-9A58-6FF3D248DDA2}" name="PivotTable8"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9:P19" firstHeaderRow="0" firstDataRow="1" firstDataCol="1"/>
  <pivotFields count="19">
    <pivotField showAll="0"/>
    <pivotField axis="axisRow"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axis="axisRow" showAll="0">
      <items count="10">
        <item sd="0" x="0"/>
        <item sd="0" x="1"/>
        <item sd="0" x="2"/>
        <item sd="0" x="3"/>
        <item sd="0" x="4"/>
        <item sd="0" x="5"/>
        <item sd="0" x="6"/>
        <item sd="0" x="7"/>
        <item sd="0" x="8"/>
        <item t="default" sd="0"/>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1"/>
  </rowFields>
  <rowItems count="10">
    <i>
      <x/>
    </i>
    <i>
      <x v="1"/>
    </i>
    <i>
      <x v="2"/>
    </i>
    <i>
      <x v="3"/>
    </i>
    <i>
      <x v="4"/>
    </i>
    <i>
      <x v="5"/>
    </i>
    <i>
      <x v="6"/>
    </i>
    <i>
      <x v="7"/>
    </i>
    <i>
      <x v="8"/>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Agree" fld="4" baseField="0" baseItem="0"/>
    <dataField name="Sum of Agree but with further comments" fld="5" baseField="0" baseItem="0"/>
    <dataField name="Sum of 01 EQ reviews should be mandated for internationally active banks or insurers, particularly those with significant scale" fld="6" baseField="0" baseItem="0"/>
    <dataField name="Sum of 02 Concerns over inconsistency in application of SPI versus PIE concept, including lack of definition of SPI" fld="7" baseField="0" baseItem="0"/>
    <dataField name="Sum of 03 Clarification in application material, or additional guidance, on SPI" fld="8" baseField="0" baseItem="0"/>
    <dataField name="Sum of 04 Guidance in para. A102 of ED-ISQM 1 is unclear whether the concept includes all or only certain types of entities" fld="9" baseField="0" baseItem="0"/>
    <dataField name="Sum of 05 Need to describe how SPI relates to PIE in the IESBA Code" fld="10" baseField="0" baseItem="0"/>
    <dataField name="Sum of 06 Need to consider jurisdictional requirements that may already address SPI" fld="11" baseField="0" baseItem="0"/>
    <dataField name="Sum of 07 Implementation challenges for the public sector" fld="12" baseField="0" baseItem="0"/>
    <dataField name="Sum of Disagree" fld="13" baseField="0" baseItem="0"/>
    <dataField name="Sum of 01 ED-ISQM 1 already requires a risk-based approach to determining engagements subject to an EQ review" fld="14" baseField="0" baseItem="0"/>
    <dataField name="Sum of 02 EQ reviews should be mandatory only for listed entities and when prescribed by law or regulation" fld="15" baseField="0" baseItem="0"/>
    <dataField name="Sum of 03 Will not result in a proper identification of engagements in the public sector" fld="16" baseField="0" baseItem="0"/>
    <dataField name="Sum of 04 Certain respondents seemed to misunderstand the concept of SPI (e.g., read it to mean PIE or would be translated as such)" fld="17" baseField="0" baseItem="0"/>
    <dataField name="Sum of Unclear or no specific response or refer to other respondent's views" fld="18" baseField="0" baseItem="0"/>
  </dataFields>
  <formats count="28">
    <format dxfId="314">
      <pivotArea field="2" type="button" dataOnly="0" labelOnly="1" outline="0" axis="axisRow" fieldPosition="0"/>
    </format>
    <format dxfId="313">
      <pivotArea dataOnly="0" labelOnly="1" outline="0" fieldPosition="0">
        <references count="1">
          <reference field="4294967294" count="15">
            <x v="0"/>
            <x v="1"/>
            <x v="2"/>
            <x v="3"/>
            <x v="4"/>
            <x v="5"/>
            <x v="6"/>
            <x v="7"/>
            <x v="8"/>
            <x v="9"/>
            <x v="10"/>
            <x v="11"/>
            <x v="12"/>
            <x v="13"/>
            <x v="14"/>
          </reference>
        </references>
      </pivotArea>
    </format>
    <format dxfId="312">
      <pivotArea type="all" dataOnly="0" outline="0" fieldPosition="0"/>
    </format>
    <format dxfId="311">
      <pivotArea outline="0" collapsedLevelsAreSubtotals="1" fieldPosition="0"/>
    </format>
    <format dxfId="310">
      <pivotArea field="2" type="button" dataOnly="0" labelOnly="1" outline="0" axis="axisRow" fieldPosition="0"/>
    </format>
    <format dxfId="309">
      <pivotArea dataOnly="0" labelOnly="1" fieldPosition="0">
        <references count="1">
          <reference field="2" count="0"/>
        </references>
      </pivotArea>
    </format>
    <format dxfId="308">
      <pivotArea dataOnly="0" labelOnly="1" grandRow="1" outline="0" fieldPosition="0"/>
    </format>
    <format dxfId="307">
      <pivotArea dataOnly="0" labelOnly="1" outline="0" fieldPosition="0">
        <references count="1">
          <reference field="4294967294" count="15">
            <x v="0"/>
            <x v="1"/>
            <x v="2"/>
            <x v="3"/>
            <x v="4"/>
            <x v="5"/>
            <x v="6"/>
            <x v="7"/>
            <x v="8"/>
            <x v="9"/>
            <x v="10"/>
            <x v="11"/>
            <x v="12"/>
            <x v="13"/>
            <x v="14"/>
          </reference>
        </references>
      </pivotArea>
    </format>
    <format dxfId="306">
      <pivotArea type="all" dataOnly="0" outline="0" fieldPosition="0"/>
    </format>
    <format dxfId="305">
      <pivotArea outline="0" collapsedLevelsAreSubtotals="1" fieldPosition="0"/>
    </format>
    <format dxfId="304">
      <pivotArea field="2" type="button" dataOnly="0" labelOnly="1" outline="0" axis="axisRow" fieldPosition="0"/>
    </format>
    <format dxfId="303">
      <pivotArea dataOnly="0" labelOnly="1" fieldPosition="0">
        <references count="1">
          <reference field="2" count="0"/>
        </references>
      </pivotArea>
    </format>
    <format dxfId="302">
      <pivotArea dataOnly="0" labelOnly="1" grandRow="1" outline="0" fieldPosition="0"/>
    </format>
    <format dxfId="301">
      <pivotArea dataOnly="0" labelOnly="1" outline="0" fieldPosition="0">
        <references count="1">
          <reference field="4294967294" count="15">
            <x v="0"/>
            <x v="1"/>
            <x v="2"/>
            <x v="3"/>
            <x v="4"/>
            <x v="5"/>
            <x v="6"/>
            <x v="7"/>
            <x v="8"/>
            <x v="9"/>
            <x v="10"/>
            <x v="11"/>
            <x v="12"/>
            <x v="13"/>
            <x v="14"/>
          </reference>
        </references>
      </pivotArea>
    </format>
    <format dxfId="300">
      <pivotArea type="all" dataOnly="0" outline="0" fieldPosition="0"/>
    </format>
    <format dxfId="299">
      <pivotArea outline="0" collapsedLevelsAreSubtotals="1" fieldPosition="0"/>
    </format>
    <format dxfId="298">
      <pivotArea field="2" type="button" dataOnly="0" labelOnly="1" outline="0" axis="axisRow" fieldPosition="0"/>
    </format>
    <format dxfId="297">
      <pivotArea dataOnly="0" labelOnly="1" fieldPosition="0">
        <references count="1">
          <reference field="2" count="0"/>
        </references>
      </pivotArea>
    </format>
    <format dxfId="296">
      <pivotArea dataOnly="0" labelOnly="1" grandRow="1" outline="0" fieldPosition="0"/>
    </format>
    <format dxfId="295">
      <pivotArea dataOnly="0" labelOnly="1" outline="0" fieldPosition="0">
        <references count="1">
          <reference field="4294967294" count="15">
            <x v="0"/>
            <x v="1"/>
            <x v="2"/>
            <x v="3"/>
            <x v="4"/>
            <x v="5"/>
            <x v="6"/>
            <x v="7"/>
            <x v="8"/>
            <x v="9"/>
            <x v="10"/>
            <x v="11"/>
            <x v="12"/>
            <x v="13"/>
            <x v="14"/>
          </reference>
        </references>
      </pivotArea>
    </format>
    <format dxfId="294">
      <pivotArea dataOnly="0" labelOnly="1" outline="0" fieldPosition="0">
        <references count="1">
          <reference field="4294967294" count="1">
            <x v="0"/>
          </reference>
        </references>
      </pivotArea>
    </format>
    <format dxfId="293">
      <pivotArea dataOnly="0" labelOnly="1" outline="0" fieldPosition="0">
        <references count="1">
          <reference field="4294967294" count="8">
            <x v="1"/>
            <x v="2"/>
            <x v="3"/>
            <x v="4"/>
            <x v="5"/>
            <x v="6"/>
            <x v="7"/>
            <x v="8"/>
          </reference>
        </references>
      </pivotArea>
    </format>
    <format dxfId="292">
      <pivotArea dataOnly="0" labelOnly="1" outline="0" fieldPosition="0">
        <references count="1">
          <reference field="4294967294" count="5">
            <x v="9"/>
            <x v="10"/>
            <x v="11"/>
            <x v="12"/>
            <x v="13"/>
          </reference>
        </references>
      </pivotArea>
    </format>
    <format dxfId="291">
      <pivotArea dataOnly="0" labelOnly="1" outline="0" fieldPosition="0">
        <references count="1">
          <reference field="4294967294" count="1">
            <x v="14"/>
          </reference>
        </references>
      </pivotArea>
    </format>
    <format dxfId="290">
      <pivotArea dataOnly="0" labelOnly="1" outline="0" fieldPosition="0">
        <references count="1">
          <reference field="4294967294" count="7">
            <x v="2"/>
            <x v="3"/>
            <x v="4"/>
            <x v="5"/>
            <x v="6"/>
            <x v="7"/>
            <x v="8"/>
          </reference>
        </references>
      </pivotArea>
    </format>
    <format dxfId="289">
      <pivotArea dataOnly="0" labelOnly="1" outline="0" fieldPosition="0">
        <references count="1">
          <reference field="4294967294" count="7">
            <x v="2"/>
            <x v="3"/>
            <x v="4"/>
            <x v="5"/>
            <x v="6"/>
            <x v="7"/>
            <x v="8"/>
          </reference>
        </references>
      </pivotArea>
    </format>
    <format dxfId="288">
      <pivotArea dataOnly="0" labelOnly="1" outline="0" fieldPosition="0">
        <references count="1">
          <reference field="4294967294" count="4">
            <x v="10"/>
            <x v="11"/>
            <x v="12"/>
            <x v="13"/>
          </reference>
        </references>
      </pivotArea>
    </format>
    <format dxfId="287">
      <pivotArea dataOnly="0" labelOnly="1" outline="0" fieldPosition="0">
        <references count="1">
          <reference field="4294967294" count="8">
            <x v="1"/>
            <x v="2"/>
            <x v="3"/>
            <x v="4"/>
            <x v="5"/>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A89D8A-84B4-419D-A23E-D298C9CD1129}" name="PivotTable10"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12:F21" firstHeaderRow="0" firstDataRow="1" firstDataCol="1"/>
  <pivotFields count="9">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axis="axisRow" showAll="0">
      <items count="9">
        <item sd="0" x="0"/>
        <item sd="0" x="1"/>
        <item sd="0" x="2"/>
        <item sd="0" x="3"/>
        <item sd="0" x="4"/>
        <item sd="0" x="5"/>
        <item sd="0" x="6"/>
        <item sd="0" x="7"/>
        <item t="default" sd="0"/>
      </items>
    </pivotField>
    <pivotField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5">
    <i>
      <x/>
    </i>
    <i i="1">
      <x v="1"/>
    </i>
    <i i="2">
      <x v="2"/>
    </i>
    <i i="3">
      <x v="3"/>
    </i>
    <i i="4">
      <x v="4"/>
    </i>
  </colItems>
  <dataFields count="5">
    <dataField name="Sum of Agree" fld="4" baseField="0" baseItem="0"/>
    <dataField name="Sum of Agree but with further comments" fld="5" baseField="0" baseItem="0"/>
    <dataField name="Sum of Disagree" fld="6" baseField="0" baseItem="0"/>
    <dataField name="Sum of Unclear or no specific response or refer to other respondent's views" fld="7" baseField="0" baseItem="0"/>
    <dataField name="Sum of Total" fld="8" baseField="0" baseItem="0"/>
  </dataFields>
  <formats count="25">
    <format dxfId="286">
      <pivotArea type="all" dataOnly="0" outline="0" fieldPosition="0"/>
    </format>
    <format dxfId="285">
      <pivotArea outline="0" collapsedLevelsAreSubtotals="1" fieldPosition="0"/>
    </format>
    <format dxfId="284">
      <pivotArea field="2" type="button" dataOnly="0" labelOnly="1" outline="0" axis="axisRow" fieldPosition="0"/>
    </format>
    <format dxfId="283">
      <pivotArea dataOnly="0" labelOnly="1" fieldPosition="0">
        <references count="1">
          <reference field="2" count="0"/>
        </references>
      </pivotArea>
    </format>
    <format dxfId="282">
      <pivotArea dataOnly="0" labelOnly="1" grandRow="1" outline="0" fieldPosition="0"/>
    </format>
    <format dxfId="281">
      <pivotArea dataOnly="0" labelOnly="1" outline="0" fieldPosition="0">
        <references count="1">
          <reference field="4294967294" count="5">
            <x v="0"/>
            <x v="1"/>
            <x v="2"/>
            <x v="3"/>
            <x v="4"/>
          </reference>
        </references>
      </pivotArea>
    </format>
    <format dxfId="280">
      <pivotArea type="all" dataOnly="0" outline="0" fieldPosition="0"/>
    </format>
    <format dxfId="279">
      <pivotArea outline="0" collapsedLevelsAreSubtotals="1" fieldPosition="0"/>
    </format>
    <format dxfId="278">
      <pivotArea field="2" type="button" dataOnly="0" labelOnly="1" outline="0" axis="axisRow" fieldPosition="0"/>
    </format>
    <format dxfId="277">
      <pivotArea dataOnly="0" labelOnly="1" fieldPosition="0">
        <references count="1">
          <reference field="2" count="0"/>
        </references>
      </pivotArea>
    </format>
    <format dxfId="276">
      <pivotArea dataOnly="0" labelOnly="1" grandRow="1" outline="0" fieldPosition="0"/>
    </format>
    <format dxfId="275">
      <pivotArea dataOnly="0" labelOnly="1" outline="0" fieldPosition="0">
        <references count="1">
          <reference field="4294967294" count="5">
            <x v="0"/>
            <x v="1"/>
            <x v="2"/>
            <x v="3"/>
            <x v="4"/>
          </reference>
        </references>
      </pivotArea>
    </format>
    <format dxfId="274">
      <pivotArea type="all" dataOnly="0" outline="0" fieldPosition="0"/>
    </format>
    <format dxfId="273">
      <pivotArea outline="0" collapsedLevelsAreSubtotals="1" fieldPosition="0"/>
    </format>
    <format dxfId="272">
      <pivotArea field="2" type="button" dataOnly="0" labelOnly="1" outline="0" axis="axisRow" fieldPosition="0"/>
    </format>
    <format dxfId="271">
      <pivotArea dataOnly="0" labelOnly="1" fieldPosition="0">
        <references count="1">
          <reference field="2" count="0"/>
        </references>
      </pivotArea>
    </format>
    <format dxfId="270">
      <pivotArea dataOnly="0" labelOnly="1" grandRow="1" outline="0" fieldPosition="0"/>
    </format>
    <format dxfId="269">
      <pivotArea dataOnly="0" labelOnly="1" outline="0" fieldPosition="0">
        <references count="1">
          <reference field="4294967294" count="5">
            <x v="0"/>
            <x v="1"/>
            <x v="2"/>
            <x v="3"/>
            <x v="4"/>
          </reference>
        </references>
      </pivotArea>
    </format>
    <format dxfId="268">
      <pivotArea dataOnly="0" labelOnly="1" outline="0" fieldPosition="0">
        <references count="1">
          <reference field="4294967294" count="1">
            <x v="0"/>
          </reference>
        </references>
      </pivotArea>
    </format>
    <format dxfId="267">
      <pivotArea dataOnly="0" labelOnly="1" outline="0" fieldPosition="0">
        <references count="1">
          <reference field="4294967294" count="1">
            <x v="1"/>
          </reference>
        </references>
      </pivotArea>
    </format>
    <format dxfId="266">
      <pivotArea dataOnly="0" labelOnly="1" outline="0" fieldPosition="0">
        <references count="1">
          <reference field="4294967294" count="1">
            <x v="2"/>
          </reference>
        </references>
      </pivotArea>
    </format>
    <format dxfId="265">
      <pivotArea dataOnly="0" labelOnly="1" outline="0" fieldPosition="0">
        <references count="1">
          <reference field="4294967294" count="1">
            <x v="3"/>
          </reference>
        </references>
      </pivotArea>
    </format>
    <format dxfId="264">
      <pivotArea field="2" type="button" dataOnly="0" labelOnly="1" outline="0" axis="axisRow" fieldPosition="0"/>
    </format>
    <format dxfId="263">
      <pivotArea dataOnly="0" labelOnly="1" outline="0" fieldPosition="0">
        <references count="1">
          <reference field="4294967294" count="5">
            <x v="0"/>
            <x v="1"/>
            <x v="2"/>
            <x v="3"/>
            <x v="4"/>
          </reference>
        </references>
      </pivotArea>
    </format>
    <format dxfId="26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4E9210-50CA-4F49-A38E-FECB640471A9}" name="PivotTable2"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9:P18" firstHeaderRow="0" firstDataRow="1" firstDataCol="1"/>
  <pivotFields count="19">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axis="axisRow" showAll="0">
      <items count="9">
        <item sd="0" x="0"/>
        <item sd="0" x="1"/>
        <item sd="0" x="2"/>
        <item sd="0" x="3"/>
        <item sd="0" x="4"/>
        <item sd="0" x="5"/>
        <item sd="0" x="6"/>
        <item sd="0" x="7"/>
        <item t="default" sd="0"/>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Agree" fld="4" baseField="0" baseItem="0"/>
    <dataField name="Sum of Agree but with further comments" fld="5" baseField="0" baseItem="0"/>
    <dataField name="Sum of 01 Cooling-off period as requirement in ISQM 2 or in the IESBA Code" fld="6" baseField="0" baseItem="0"/>
    <dataField name="Sum of 02 Flexibility of cooling-off period depending on the nature and circumstances of the engagement" fld="7" baseField="0" baseItem="0"/>
    <dataField name="Sum of 03 Guidance on cooling-off period in para. A5 would become a de facto requirement" fld="8" baseField="0" baseItem="0"/>
    <dataField name="Sum of 04 Difficult to envision a situation where threats to objectivity can be reduced to an acceptable level" fld="9" baseField="0" baseItem="0"/>
    <dataField name="Sum of 05 More guidance on determining suitable cooling-off period will be needed to drive consistent application" fld="10" baseField="0" baseItem="0"/>
    <dataField name="Sum of 06 Guidance should also address other key audit partners or other individuals stepping into the EQ reviewer role" fld="11" baseField="0" baseItem="0"/>
    <dataField name="Sum of 07 Length of cooling-off period (e.g., firm policy, 2 yrs. or 3 yrs.)" fld="12" baseField="0" baseItem="0"/>
    <dataField name="Sum of Disagree" fld="13" baseField="0" baseItem="0"/>
    <dataField name="Sum of 01 Not convinced that the EQ review would be less effective because the EQ reviewer previously served on the engagement" fld="14" baseField="0" baseItem="0"/>
    <dataField name="Sum of 02 Appear to be overemphasizing objectivity compared to competence of EQ reviewers" fld="15" baseField="0" baseItem="0"/>
    <dataField name="Sum of 03 Provisions in the IESBA Code already sufficiently deal with cooling-off periods" fld="16" baseField="0" baseItem="0"/>
    <dataField name="Sum of 04 Para. 16 and A5 are inconsistent with, or go beyond, the provisions of the IESBA Code" fld="17" baseField="0" baseItem="0"/>
    <dataField name="Sum of Unclear or no specific response or refer to other respondent's views" fld="18" baseField="0" baseItem="0"/>
  </dataFields>
  <formats count="27">
    <format dxfId="261">
      <pivotArea type="all" dataOnly="0" outline="0" fieldPosition="0"/>
    </format>
    <format dxfId="260">
      <pivotArea outline="0" collapsedLevelsAreSubtotals="1" fieldPosition="0"/>
    </format>
    <format dxfId="259">
      <pivotArea field="2" type="button" dataOnly="0" labelOnly="1" outline="0" axis="axisRow" fieldPosition="0"/>
    </format>
    <format dxfId="258">
      <pivotArea dataOnly="0" labelOnly="1" fieldPosition="0">
        <references count="1">
          <reference field="2" count="0"/>
        </references>
      </pivotArea>
    </format>
    <format dxfId="257">
      <pivotArea dataOnly="0" labelOnly="1" grandRow="1" outline="0" fieldPosition="0"/>
    </format>
    <format dxfId="256">
      <pivotArea dataOnly="0" labelOnly="1" outline="0" fieldPosition="0">
        <references count="1">
          <reference field="4294967294" count="15">
            <x v="0"/>
            <x v="1"/>
            <x v="2"/>
            <x v="3"/>
            <x v="4"/>
            <x v="5"/>
            <x v="6"/>
            <x v="7"/>
            <x v="8"/>
            <x v="9"/>
            <x v="10"/>
            <x v="11"/>
            <x v="12"/>
            <x v="13"/>
            <x v="14"/>
          </reference>
        </references>
      </pivotArea>
    </format>
    <format dxfId="255">
      <pivotArea type="all" dataOnly="0" outline="0" fieldPosition="0"/>
    </format>
    <format dxfId="254">
      <pivotArea outline="0" collapsedLevelsAreSubtotals="1" fieldPosition="0"/>
    </format>
    <format dxfId="253">
      <pivotArea field="2" type="button" dataOnly="0" labelOnly="1" outline="0" axis="axisRow" fieldPosition="0"/>
    </format>
    <format dxfId="252">
      <pivotArea dataOnly="0" labelOnly="1" fieldPosition="0">
        <references count="1">
          <reference field="2" count="0"/>
        </references>
      </pivotArea>
    </format>
    <format dxfId="251">
      <pivotArea dataOnly="0" labelOnly="1" grandRow="1" outline="0" fieldPosition="0"/>
    </format>
    <format dxfId="250">
      <pivotArea dataOnly="0" labelOnly="1" outline="0" fieldPosition="0">
        <references count="1">
          <reference field="4294967294" count="15">
            <x v="0"/>
            <x v="1"/>
            <x v="2"/>
            <x v="3"/>
            <x v="4"/>
            <x v="5"/>
            <x v="6"/>
            <x v="7"/>
            <x v="8"/>
            <x v="9"/>
            <x v="10"/>
            <x v="11"/>
            <x v="12"/>
            <x v="13"/>
            <x v="14"/>
          </reference>
        </references>
      </pivotArea>
    </format>
    <format dxfId="249">
      <pivotArea type="all" dataOnly="0" outline="0" fieldPosition="0"/>
    </format>
    <format dxfId="248">
      <pivotArea outline="0" collapsedLevelsAreSubtotals="1" fieldPosition="0"/>
    </format>
    <format dxfId="247">
      <pivotArea field="2" type="button" dataOnly="0" labelOnly="1" outline="0" axis="axisRow" fieldPosition="0"/>
    </format>
    <format dxfId="246">
      <pivotArea dataOnly="0" labelOnly="1" fieldPosition="0">
        <references count="1">
          <reference field="2" count="0"/>
        </references>
      </pivotArea>
    </format>
    <format dxfId="245">
      <pivotArea dataOnly="0" labelOnly="1" grandRow="1" outline="0" fieldPosition="0"/>
    </format>
    <format dxfId="244">
      <pivotArea dataOnly="0" labelOnly="1" outline="0" fieldPosition="0">
        <references count="1">
          <reference field="4294967294" count="15">
            <x v="0"/>
            <x v="1"/>
            <x v="2"/>
            <x v="3"/>
            <x v="4"/>
            <x v="5"/>
            <x v="6"/>
            <x v="7"/>
            <x v="8"/>
            <x v="9"/>
            <x v="10"/>
            <x v="11"/>
            <x v="12"/>
            <x v="13"/>
            <x v="14"/>
          </reference>
        </references>
      </pivotArea>
    </format>
    <format dxfId="243">
      <pivotArea field="2" type="button" dataOnly="0" labelOnly="1" outline="0" axis="axisRow" fieldPosition="0"/>
    </format>
    <format dxfId="242">
      <pivotArea dataOnly="0" labelOnly="1" outline="0" fieldPosition="0">
        <references count="1">
          <reference field="4294967294" count="15">
            <x v="0"/>
            <x v="1"/>
            <x v="2"/>
            <x v="3"/>
            <x v="4"/>
            <x v="5"/>
            <x v="6"/>
            <x v="7"/>
            <x v="8"/>
            <x v="9"/>
            <x v="10"/>
            <x v="11"/>
            <x v="12"/>
            <x v="13"/>
            <x v="14"/>
          </reference>
        </references>
      </pivotArea>
    </format>
    <format dxfId="241">
      <pivotArea dataOnly="0" labelOnly="1" outline="0" fieldPosition="0">
        <references count="1">
          <reference field="4294967294" count="1">
            <x v="0"/>
          </reference>
        </references>
      </pivotArea>
    </format>
    <format dxfId="240">
      <pivotArea dataOnly="0" labelOnly="1" outline="0" fieldPosition="0">
        <references count="1">
          <reference field="4294967294" count="8">
            <x v="1"/>
            <x v="2"/>
            <x v="3"/>
            <x v="4"/>
            <x v="5"/>
            <x v="6"/>
            <x v="7"/>
            <x v="8"/>
          </reference>
        </references>
      </pivotArea>
    </format>
    <format dxfId="239">
      <pivotArea dataOnly="0" labelOnly="1" outline="0" fieldPosition="0">
        <references count="1">
          <reference field="4294967294" count="5">
            <x v="9"/>
            <x v="10"/>
            <x v="11"/>
            <x v="12"/>
            <x v="13"/>
          </reference>
        </references>
      </pivotArea>
    </format>
    <format dxfId="238">
      <pivotArea dataOnly="0" labelOnly="1" outline="0" fieldPosition="0">
        <references count="1">
          <reference field="4294967294" count="1">
            <x v="14"/>
          </reference>
        </references>
      </pivotArea>
    </format>
    <format dxfId="237">
      <pivotArea dataOnly="0" labelOnly="1" outline="0" fieldPosition="0">
        <references count="1">
          <reference field="4294967294" count="7">
            <x v="2"/>
            <x v="3"/>
            <x v="4"/>
            <x v="5"/>
            <x v="6"/>
            <x v="7"/>
            <x v="8"/>
          </reference>
        </references>
      </pivotArea>
    </format>
    <format dxfId="236">
      <pivotArea dataOnly="0" labelOnly="1" outline="0" fieldPosition="0">
        <references count="1">
          <reference field="4294967294" count="4">
            <x v="10"/>
            <x v="11"/>
            <x v="12"/>
            <x v="13"/>
          </reference>
        </references>
      </pivotArea>
    </format>
    <format dxfId="235">
      <pivotArea dataOnly="0" labelOnly="1" outline="0" fieldPosition="0">
        <references count="1">
          <reference field="4294967294" count="8">
            <x v="1"/>
            <x v="2"/>
            <x v="3"/>
            <x v="4"/>
            <x v="5"/>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1452AE-ECF8-4649-9DAE-858E61315B09}" name="PivotTable1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12:F21" firstHeaderRow="0" firstDataRow="1" firstDataCol="1"/>
  <pivotFields count="9">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axis="axisRow" showAll="0">
      <items count="9">
        <item sd="0" x="0"/>
        <item sd="0" x="1"/>
        <item sd="0" x="2"/>
        <item sd="0" x="3"/>
        <item sd="0" x="4"/>
        <item sd="0" x="5"/>
        <item sd="0" x="6"/>
        <item sd="0" x="7"/>
        <item t="default" sd="0"/>
      </items>
    </pivotField>
    <pivotField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5">
    <i>
      <x/>
    </i>
    <i i="1">
      <x v="1"/>
    </i>
    <i i="2">
      <x v="2"/>
    </i>
    <i i="3">
      <x v="3"/>
    </i>
    <i i="4">
      <x v="4"/>
    </i>
  </colItems>
  <dataFields count="5">
    <dataField name="Sum of Agree" fld="4" baseField="0" baseItem="0"/>
    <dataField name="Sum of Agree but with further comments" fld="5" baseField="0" baseItem="0"/>
    <dataField name="Sum of Disagree" fld="6" baseField="0" baseItem="0"/>
    <dataField name="Sum of Unclear or no specific response or refer to other respondent's views" fld="7" baseField="0" baseItem="0"/>
    <dataField name="Sum of Total" fld="8" baseField="0" baseItem="0"/>
  </dataFields>
  <formats count="27">
    <format dxfId="234">
      <pivotArea type="all" dataOnly="0" outline="0" fieldPosition="0"/>
    </format>
    <format dxfId="233">
      <pivotArea outline="0" collapsedLevelsAreSubtotals="1" fieldPosition="0"/>
    </format>
    <format dxfId="232">
      <pivotArea field="2" type="button" dataOnly="0" labelOnly="1" outline="0" axis="axisRow" fieldPosition="0"/>
    </format>
    <format dxfId="231">
      <pivotArea dataOnly="0" labelOnly="1" fieldPosition="0">
        <references count="1">
          <reference field="2" count="0"/>
        </references>
      </pivotArea>
    </format>
    <format dxfId="230">
      <pivotArea dataOnly="0" labelOnly="1" grandRow="1" outline="0" fieldPosition="0"/>
    </format>
    <format dxfId="229">
      <pivotArea dataOnly="0" labelOnly="1" outline="0" fieldPosition="0">
        <references count="1">
          <reference field="4294967294" count="5">
            <x v="0"/>
            <x v="1"/>
            <x v="2"/>
            <x v="3"/>
            <x v="4"/>
          </reference>
        </references>
      </pivotArea>
    </format>
    <format dxfId="228">
      <pivotArea type="all" dataOnly="0" outline="0" fieldPosition="0"/>
    </format>
    <format dxfId="227">
      <pivotArea outline="0" collapsedLevelsAreSubtotals="1" fieldPosition="0"/>
    </format>
    <format dxfId="226">
      <pivotArea field="2" type="button" dataOnly="0" labelOnly="1" outline="0" axis="axisRow" fieldPosition="0"/>
    </format>
    <format dxfId="225">
      <pivotArea dataOnly="0" labelOnly="1" fieldPosition="0">
        <references count="1">
          <reference field="2" count="0"/>
        </references>
      </pivotArea>
    </format>
    <format dxfId="224">
      <pivotArea dataOnly="0" labelOnly="1" grandRow="1" outline="0" fieldPosition="0"/>
    </format>
    <format dxfId="223">
      <pivotArea dataOnly="0" labelOnly="1" outline="0" fieldPosition="0">
        <references count="1">
          <reference field="4294967294" count="5">
            <x v="0"/>
            <x v="1"/>
            <x v="2"/>
            <x v="3"/>
            <x v="4"/>
          </reference>
        </references>
      </pivotArea>
    </format>
    <format dxfId="222">
      <pivotArea field="2" type="button" dataOnly="0" labelOnly="1" outline="0" axis="axisRow" fieldPosition="0"/>
    </format>
    <format dxfId="221">
      <pivotArea dataOnly="0" labelOnly="1" outline="0" fieldPosition="0">
        <references count="1">
          <reference field="4294967294" count="5">
            <x v="0"/>
            <x v="1"/>
            <x v="2"/>
            <x v="3"/>
            <x v="4"/>
          </reference>
        </references>
      </pivotArea>
    </format>
    <format dxfId="220">
      <pivotArea type="all" dataOnly="0" outline="0" fieldPosition="0"/>
    </format>
    <format dxfId="219">
      <pivotArea outline="0" collapsedLevelsAreSubtotals="1" fieldPosition="0"/>
    </format>
    <format dxfId="218">
      <pivotArea field="2" type="button" dataOnly="0" labelOnly="1" outline="0" axis="axisRow" fieldPosition="0"/>
    </format>
    <format dxfId="217">
      <pivotArea dataOnly="0" labelOnly="1" fieldPosition="0">
        <references count="1">
          <reference field="2" count="0"/>
        </references>
      </pivotArea>
    </format>
    <format dxfId="216">
      <pivotArea dataOnly="0" labelOnly="1" grandRow="1" outline="0" fieldPosition="0"/>
    </format>
    <format dxfId="215">
      <pivotArea dataOnly="0" labelOnly="1" outline="0" fieldPosition="0">
        <references count="1">
          <reference field="4294967294" count="5">
            <x v="0"/>
            <x v="1"/>
            <x v="2"/>
            <x v="3"/>
            <x v="4"/>
          </reference>
        </references>
      </pivotArea>
    </format>
    <format dxfId="214">
      <pivotArea dataOnly="0" labelOnly="1" outline="0" fieldPosition="0">
        <references count="1">
          <reference field="4294967294" count="1">
            <x v="0"/>
          </reference>
        </references>
      </pivotArea>
    </format>
    <format dxfId="213">
      <pivotArea dataOnly="0" labelOnly="1" outline="0" fieldPosition="0">
        <references count="1">
          <reference field="4294967294" count="1">
            <x v="1"/>
          </reference>
        </references>
      </pivotArea>
    </format>
    <format dxfId="212">
      <pivotArea dataOnly="0" labelOnly="1" outline="0" fieldPosition="0">
        <references count="1">
          <reference field="4294967294" count="1">
            <x v="2"/>
          </reference>
        </references>
      </pivotArea>
    </format>
    <format dxfId="211">
      <pivotArea dataOnly="0" labelOnly="1" outline="0" fieldPosition="0">
        <references count="1">
          <reference field="4294967294" count="1">
            <x v="3"/>
          </reference>
        </references>
      </pivotArea>
    </format>
    <format dxfId="210">
      <pivotArea dataOnly="0" labelOnly="1" outline="0" fieldPosition="0">
        <references count="1">
          <reference field="4294967294" count="1">
            <x v="1"/>
          </reference>
        </references>
      </pivotArea>
    </format>
    <format dxfId="209">
      <pivotArea field="2" type="button" dataOnly="0" labelOnly="1" outline="0" axis="axisRow" fieldPosition="0"/>
    </format>
    <format dxfId="208">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858101-5CAA-4FCA-B6E3-34793CB104DF}" name="PivotTable16"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9:J18" firstHeaderRow="0" firstDataRow="1" firstDataCol="1"/>
  <pivotFields count="13">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axis="axisRow" showAll="0">
      <items count="9">
        <item sd="0" x="0"/>
        <item sd="0" x="1"/>
        <item sd="0" x="2"/>
        <item sd="0" x="3"/>
        <item sd="0" x="4"/>
        <item sd="0" x="5"/>
        <item sd="0" x="6"/>
        <item sd="0" x="7"/>
        <item t="default" sd="0"/>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9">
    <i>
      <x/>
    </i>
    <i i="1">
      <x v="1"/>
    </i>
    <i i="2">
      <x v="2"/>
    </i>
    <i i="3">
      <x v="3"/>
    </i>
    <i i="4">
      <x v="4"/>
    </i>
    <i i="5">
      <x v="5"/>
    </i>
    <i i="6">
      <x v="6"/>
    </i>
    <i i="7">
      <x v="7"/>
    </i>
    <i i="8">
      <x v="8"/>
    </i>
  </colItems>
  <dataFields count="9">
    <dataField name="Sum of Agree" fld="4" baseField="0" baseItem="0"/>
    <dataField name="Sum of Agree but with further comments" fld="5" baseField="0" baseItem="0"/>
    <dataField name="Sum of 01 Address in ISQM 2 as guidance or requirement" fld="6" baseField="0" baseItem="0"/>
    <dataField name="Sum of 02 Address in both ISQM 2 and the IESBA Code, or align with, or include reference to, the IESBA Code" fld="7" baseField="0" baseItem="0"/>
    <dataField name="Sum of Disagree" fld="8" baseField="0" baseItem="0"/>
    <dataField name="Sum of 01 Address or already addressed in IESBA Code as guidance" fld="9" baseField="0" baseItem="0"/>
    <dataField name="Sum of 02 Address or already addressed in IESBA Code as requirement" fld="10" baseField="0" baseItem="0"/>
    <dataField name="Sum of 03 Address in IESBA Code as requirement and guidance" fld="11" baseField="0" baseItem="0"/>
    <dataField name="Sum of Unclear or no specific response or refer to other respondent's views" fld="12" baseField="0" baseItem="0"/>
  </dataFields>
  <formats count="32">
    <format dxfId="207">
      <pivotArea type="all" dataOnly="0" outline="0" fieldPosition="0"/>
    </format>
    <format dxfId="206">
      <pivotArea outline="0" collapsedLevelsAreSubtotals="1" fieldPosition="0"/>
    </format>
    <format dxfId="205">
      <pivotArea field="2" type="button" dataOnly="0" labelOnly="1" outline="0" axis="axisRow" fieldPosition="0"/>
    </format>
    <format dxfId="204">
      <pivotArea dataOnly="0" labelOnly="1" fieldPosition="0">
        <references count="1">
          <reference field="2" count="0"/>
        </references>
      </pivotArea>
    </format>
    <format dxfId="203">
      <pivotArea dataOnly="0" labelOnly="1" grandRow="1" outline="0" fieldPosition="0"/>
    </format>
    <format dxfId="202">
      <pivotArea dataOnly="0" labelOnly="1" outline="0" fieldPosition="0">
        <references count="1">
          <reference field="4294967294" count="9">
            <x v="0"/>
            <x v="1"/>
            <x v="2"/>
            <x v="3"/>
            <x v="4"/>
            <x v="5"/>
            <x v="6"/>
            <x v="7"/>
            <x v="8"/>
          </reference>
        </references>
      </pivotArea>
    </format>
    <format dxfId="201">
      <pivotArea type="all" dataOnly="0" outline="0" fieldPosition="0"/>
    </format>
    <format dxfId="200">
      <pivotArea outline="0" collapsedLevelsAreSubtotals="1" fieldPosition="0"/>
    </format>
    <format dxfId="199">
      <pivotArea field="2" type="button" dataOnly="0" labelOnly="1" outline="0" axis="axisRow" fieldPosition="0"/>
    </format>
    <format dxfId="198">
      <pivotArea dataOnly="0" labelOnly="1" fieldPosition="0">
        <references count="1">
          <reference field="2" count="0"/>
        </references>
      </pivotArea>
    </format>
    <format dxfId="197">
      <pivotArea dataOnly="0" labelOnly="1" grandRow="1" outline="0" fieldPosition="0"/>
    </format>
    <format dxfId="196">
      <pivotArea dataOnly="0" labelOnly="1" outline="0" fieldPosition="0">
        <references count="1">
          <reference field="4294967294" count="9">
            <x v="0"/>
            <x v="1"/>
            <x v="2"/>
            <x v="3"/>
            <x v="4"/>
            <x v="5"/>
            <x v="6"/>
            <x v="7"/>
            <x v="8"/>
          </reference>
        </references>
      </pivotArea>
    </format>
    <format dxfId="195">
      <pivotArea type="all" dataOnly="0" outline="0" fieldPosition="0"/>
    </format>
    <format dxfId="194">
      <pivotArea outline="0" collapsedLevelsAreSubtotals="1" fieldPosition="0"/>
    </format>
    <format dxfId="193">
      <pivotArea field="2" type="button" dataOnly="0" labelOnly="1" outline="0" axis="axisRow" fieldPosition="0"/>
    </format>
    <format dxfId="192">
      <pivotArea dataOnly="0" labelOnly="1" fieldPosition="0">
        <references count="1">
          <reference field="2" count="0"/>
        </references>
      </pivotArea>
    </format>
    <format dxfId="191">
      <pivotArea dataOnly="0" labelOnly="1" grandRow="1" outline="0" fieldPosition="0"/>
    </format>
    <format dxfId="190">
      <pivotArea dataOnly="0" labelOnly="1" outline="0" fieldPosition="0">
        <references count="1">
          <reference field="4294967294" count="9">
            <x v="0"/>
            <x v="1"/>
            <x v="2"/>
            <x v="3"/>
            <x v="4"/>
            <x v="5"/>
            <x v="6"/>
            <x v="7"/>
            <x v="8"/>
          </reference>
        </references>
      </pivotArea>
    </format>
    <format dxfId="189">
      <pivotArea dataOnly="0" labelOnly="1" outline="0" fieldPosition="0">
        <references count="1">
          <reference field="4294967294" count="9">
            <x v="0"/>
            <x v="1"/>
            <x v="2"/>
            <x v="3"/>
            <x v="4"/>
            <x v="5"/>
            <x v="6"/>
            <x v="7"/>
            <x v="8"/>
          </reference>
        </references>
      </pivotArea>
    </format>
    <format dxfId="188">
      <pivotArea field="2" type="button" dataOnly="0" labelOnly="1" outline="0" axis="axisRow" fieldPosition="0"/>
    </format>
    <format dxfId="187">
      <pivotArea dataOnly="0" labelOnly="1" outline="0" fieldPosition="0">
        <references count="1">
          <reference field="4294967294" count="9">
            <x v="0"/>
            <x v="1"/>
            <x v="2"/>
            <x v="3"/>
            <x v="4"/>
            <x v="5"/>
            <x v="6"/>
            <x v="7"/>
            <x v="8"/>
          </reference>
        </references>
      </pivotArea>
    </format>
    <format dxfId="186">
      <pivotArea dataOnly="0" labelOnly="1" outline="0" fieldPosition="0">
        <references count="1">
          <reference field="4294967294" count="1">
            <x v="0"/>
          </reference>
        </references>
      </pivotArea>
    </format>
    <format dxfId="185">
      <pivotArea dataOnly="0" labelOnly="1" outline="0" fieldPosition="0">
        <references count="1">
          <reference field="4294967294" count="3">
            <x v="1"/>
            <x v="2"/>
            <x v="3"/>
          </reference>
        </references>
      </pivotArea>
    </format>
    <format dxfId="184">
      <pivotArea dataOnly="0" labelOnly="1" outline="0" fieldPosition="0">
        <references count="1">
          <reference field="4294967294" count="4">
            <x v="4"/>
            <x v="5"/>
            <x v="6"/>
            <x v="7"/>
          </reference>
        </references>
      </pivotArea>
    </format>
    <format dxfId="183">
      <pivotArea dataOnly="0" labelOnly="1" outline="0" fieldPosition="0">
        <references count="1">
          <reference field="4294967294" count="1">
            <x v="8"/>
          </reference>
        </references>
      </pivotArea>
    </format>
    <format dxfId="182">
      <pivotArea dataOnly="0" labelOnly="1" outline="0" fieldPosition="0">
        <references count="1">
          <reference field="4294967294" count="2">
            <x v="2"/>
            <x v="3"/>
          </reference>
        </references>
      </pivotArea>
    </format>
    <format dxfId="181">
      <pivotArea dataOnly="0" labelOnly="1" outline="0" fieldPosition="0">
        <references count="1">
          <reference field="4294967294" count="3">
            <x v="5"/>
            <x v="6"/>
            <x v="7"/>
          </reference>
        </references>
      </pivotArea>
    </format>
    <format dxfId="180">
      <pivotArea dataOnly="0" labelOnly="1" outline="0" fieldPosition="0">
        <references count="1">
          <reference field="4294967294" count="2">
            <x v="2"/>
            <x v="3"/>
          </reference>
        </references>
      </pivotArea>
    </format>
    <format dxfId="179">
      <pivotArea dataOnly="0" labelOnly="1" outline="0" fieldPosition="0">
        <references count="1">
          <reference field="4294967294" count="3">
            <x v="5"/>
            <x v="6"/>
            <x v="7"/>
          </reference>
        </references>
      </pivotArea>
    </format>
    <format dxfId="178">
      <pivotArea dataOnly="0" labelOnly="1" outline="0" fieldPosition="0">
        <references count="1">
          <reference field="4294967294" count="3">
            <x v="1"/>
            <x v="2"/>
            <x v="3"/>
          </reference>
        </references>
      </pivotArea>
    </format>
    <format dxfId="177">
      <pivotArea field="2" type="button" dataOnly="0" labelOnly="1" outline="0" axis="axisRow" fieldPosition="0"/>
    </format>
    <format dxfId="176">
      <pivotArea dataOnly="0" labelOnly="1" outline="0" fieldPosition="0">
        <references count="1">
          <reference field="4294967294" count="9">
            <x v="0"/>
            <x v="1"/>
            <x v="2"/>
            <x v="3"/>
            <x v="4"/>
            <x v="5"/>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380CB-7C02-4304-A00E-E3A09E9CC63F}">
  <dimension ref="A1:F22"/>
  <sheetViews>
    <sheetView view="pageBreakPreview" zoomScale="80" zoomScaleNormal="80" zoomScaleSheetLayoutView="80" workbookViewId="0">
      <pane xSplit="1" ySplit="12" topLeftCell="B18" activePane="bottomRight" state="frozen"/>
      <selection pane="topRight" activeCell="B1" sqref="B1"/>
      <selection pane="bottomLeft" activeCell="A11" sqref="A11"/>
      <selection pane="bottomRight"/>
    </sheetView>
  </sheetViews>
  <sheetFormatPr defaultRowHeight="13.2" x14ac:dyDescent="0.25"/>
  <cols>
    <col min="1" max="1" width="52.6640625" style="3" bestFit="1" customWidth="1"/>
    <col min="2" max="2" width="13.21875" style="3" bestFit="1" customWidth="1"/>
    <col min="3" max="3" width="27.6640625" style="3" bestFit="1" customWidth="1"/>
    <col min="4" max="4" width="15.6640625" style="3" bestFit="1" customWidth="1"/>
    <col min="5" max="5" width="36.21875" style="3" bestFit="1" customWidth="1"/>
    <col min="6" max="6" width="12.21875" style="3" bestFit="1" customWidth="1"/>
    <col min="7" max="16384" width="8.88671875" style="3"/>
  </cols>
  <sheetData>
    <row r="1" spans="1:6" ht="66" x14ac:dyDescent="0.25">
      <c r="A1" s="2" t="s">
        <v>229</v>
      </c>
    </row>
    <row r="2" spans="1:6" x14ac:dyDescent="0.25">
      <c r="A2" s="2"/>
    </row>
    <row r="3" spans="1:6" x14ac:dyDescent="0.25">
      <c r="A3" s="8" t="s">
        <v>222</v>
      </c>
    </row>
    <row r="4" spans="1:6" x14ac:dyDescent="0.25">
      <c r="A4" s="9" t="s">
        <v>218</v>
      </c>
    </row>
    <row r="5" spans="1:6" x14ac:dyDescent="0.25">
      <c r="A5" s="45" t="s">
        <v>219</v>
      </c>
    </row>
    <row r="6" spans="1:6" x14ac:dyDescent="0.25">
      <c r="A6" s="11" t="s">
        <v>220</v>
      </c>
    </row>
    <row r="7" spans="1:6" ht="26.4" x14ac:dyDescent="0.25">
      <c r="A7" s="12" t="s">
        <v>473</v>
      </c>
    </row>
    <row r="9" spans="1:6" x14ac:dyDescent="0.25">
      <c r="A9" s="8" t="s">
        <v>471</v>
      </c>
      <c r="B9" s="28">
        <f>GETPIVOTDATA("Sum of Agree",$A$12)/GETPIVOTDATA("Sum of Total",$A$12)</f>
        <v>0.23232323232323232</v>
      </c>
      <c r="C9" s="28">
        <f>GETPIVOTDATA("Sum of Agree but with further comments",$A$12)/GETPIVOTDATA("Sum of Total",$A$12)</f>
        <v>0.55555555555555558</v>
      </c>
      <c r="D9" s="28">
        <f>GETPIVOTDATA("Sum of Disagree",$A$12)/GETPIVOTDATA("Sum of Total",$A$12)</f>
        <v>7.0707070707070704E-2</v>
      </c>
      <c r="E9" s="28">
        <f>GETPIVOTDATA("Sum of Unclear or no specific response or refer to other respondent's views",$A$12)/GETPIVOTDATA("Sum of Total",$A$12)</f>
        <v>0.14141414141414141</v>
      </c>
      <c r="F9" s="28">
        <f>SUM(B9:E9)</f>
        <v>1</v>
      </c>
    </row>
    <row r="10" spans="1:6" x14ac:dyDescent="0.25">
      <c r="A10" s="8"/>
      <c r="B10" s="28"/>
      <c r="C10" s="28"/>
      <c r="D10" s="28"/>
      <c r="E10" s="28"/>
      <c r="F10" s="28"/>
    </row>
    <row r="11" spans="1:6" s="2" customFormat="1" x14ac:dyDescent="0.25">
      <c r="A11" s="5" t="s">
        <v>228</v>
      </c>
      <c r="B11" s="15" t="s">
        <v>474</v>
      </c>
      <c r="C11" s="15" t="s">
        <v>475</v>
      </c>
      <c r="D11" s="15" t="s">
        <v>476</v>
      </c>
      <c r="E11" s="15" t="s">
        <v>477</v>
      </c>
      <c r="F11" s="44" t="s">
        <v>241</v>
      </c>
    </row>
    <row r="12" spans="1:6" s="2" customFormat="1" ht="39.6" x14ac:dyDescent="0.25">
      <c r="A12" s="51" t="s">
        <v>101</v>
      </c>
      <c r="B12" s="52" t="s">
        <v>223</v>
      </c>
      <c r="C12" s="53" t="s">
        <v>225</v>
      </c>
      <c r="D12" s="54" t="s">
        <v>226</v>
      </c>
      <c r="E12" s="55" t="s">
        <v>227</v>
      </c>
      <c r="F12" s="56" t="s">
        <v>242</v>
      </c>
    </row>
    <row r="13" spans="1:6" x14ac:dyDescent="0.25">
      <c r="A13" s="57" t="s">
        <v>104</v>
      </c>
      <c r="B13" s="58">
        <v>1</v>
      </c>
      <c r="C13" s="59">
        <v>2</v>
      </c>
      <c r="D13" s="59">
        <v>0</v>
      </c>
      <c r="E13" s="59">
        <v>1</v>
      </c>
      <c r="F13" s="60">
        <v>4</v>
      </c>
    </row>
    <row r="14" spans="1:6" x14ac:dyDescent="0.25">
      <c r="A14" s="57" t="s">
        <v>110</v>
      </c>
      <c r="B14" s="58">
        <v>0</v>
      </c>
      <c r="C14" s="59">
        <v>0</v>
      </c>
      <c r="D14" s="59">
        <v>0</v>
      </c>
      <c r="E14" s="59">
        <v>2</v>
      </c>
      <c r="F14" s="60">
        <v>2</v>
      </c>
    </row>
    <row r="15" spans="1:6" x14ac:dyDescent="0.25">
      <c r="A15" s="57" t="s">
        <v>113</v>
      </c>
      <c r="B15" s="58">
        <v>1</v>
      </c>
      <c r="C15" s="59">
        <v>3</v>
      </c>
      <c r="D15" s="59">
        <v>0</v>
      </c>
      <c r="E15" s="59">
        <v>1</v>
      </c>
      <c r="F15" s="60">
        <v>5</v>
      </c>
    </row>
    <row r="16" spans="1:6" x14ac:dyDescent="0.25">
      <c r="A16" s="57" t="s">
        <v>121</v>
      </c>
      <c r="B16" s="58">
        <v>2</v>
      </c>
      <c r="C16" s="59">
        <v>9</v>
      </c>
      <c r="D16" s="59">
        <v>2</v>
      </c>
      <c r="E16" s="59">
        <v>1</v>
      </c>
      <c r="F16" s="60">
        <v>14</v>
      </c>
    </row>
    <row r="17" spans="1:6" x14ac:dyDescent="0.25">
      <c r="A17" s="57" t="s">
        <v>138</v>
      </c>
      <c r="B17" s="58">
        <v>9</v>
      </c>
      <c r="C17" s="59">
        <v>14</v>
      </c>
      <c r="D17" s="59">
        <v>0</v>
      </c>
      <c r="E17" s="59">
        <v>2</v>
      </c>
      <c r="F17" s="60">
        <v>25</v>
      </c>
    </row>
    <row r="18" spans="1:6" x14ac:dyDescent="0.25">
      <c r="A18" s="57" t="s">
        <v>164</v>
      </c>
      <c r="B18" s="58">
        <v>3</v>
      </c>
      <c r="C18" s="59">
        <v>5</v>
      </c>
      <c r="D18" s="59">
        <v>2</v>
      </c>
      <c r="E18" s="59">
        <v>0</v>
      </c>
      <c r="F18" s="60">
        <v>10</v>
      </c>
    </row>
    <row r="19" spans="1:6" x14ac:dyDescent="0.25">
      <c r="A19" s="57" t="s">
        <v>175</v>
      </c>
      <c r="B19" s="58">
        <v>6</v>
      </c>
      <c r="C19" s="59">
        <v>21</v>
      </c>
      <c r="D19" s="59">
        <v>3</v>
      </c>
      <c r="E19" s="59">
        <v>6</v>
      </c>
      <c r="F19" s="60">
        <v>36</v>
      </c>
    </row>
    <row r="20" spans="1:6" x14ac:dyDescent="0.25">
      <c r="A20" s="57" t="s">
        <v>213</v>
      </c>
      <c r="B20" s="58">
        <v>0</v>
      </c>
      <c r="C20" s="59">
        <v>0</v>
      </c>
      <c r="D20" s="59">
        <v>0</v>
      </c>
      <c r="E20" s="59">
        <v>1</v>
      </c>
      <c r="F20" s="60">
        <v>1</v>
      </c>
    </row>
    <row r="21" spans="1:6" x14ac:dyDescent="0.25">
      <c r="A21" s="61" t="s">
        <v>215</v>
      </c>
      <c r="B21" s="58">
        <v>1</v>
      </c>
      <c r="C21" s="59">
        <v>1</v>
      </c>
      <c r="D21" s="59">
        <v>0</v>
      </c>
      <c r="E21" s="59">
        <v>0</v>
      </c>
      <c r="F21" s="60">
        <v>2</v>
      </c>
    </row>
    <row r="22" spans="1:6" x14ac:dyDescent="0.25">
      <c r="A22" s="61" t="s">
        <v>224</v>
      </c>
      <c r="B22" s="62">
        <v>23</v>
      </c>
      <c r="C22" s="63">
        <v>55</v>
      </c>
      <c r="D22" s="63">
        <v>7</v>
      </c>
      <c r="E22" s="63">
        <v>14</v>
      </c>
      <c r="F22" s="64">
        <v>99</v>
      </c>
    </row>
  </sheetData>
  <pageMargins left="0.7" right="0.7" top="0.75" bottom="0.75" header="0.3" footer="0.3"/>
  <pageSetup scale="80" orientation="landscape" r:id="rId2"/>
  <headerFooter>
    <oddHeader>&amp;C&amp;"Arial,Regular"&amp;8Proposed ISQM 2: NVivo MS Excel Report by Category – ED-ISQM 1_Question 11
&amp;"Arial,Italic"IAASB Main Agenda (September 2019)&amp;"Arial,Regular"
&amp;R&amp;"Arial,Bold"&amp;18Agenda Item 7–A.1</oddHeader>
    <oddFooter>&amp;R&amp;P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329F-EA35-4E87-AC08-1F36FA8D3853}">
  <dimension ref="A1:I106"/>
  <sheetViews>
    <sheetView topLeftCell="B1" zoomScale="80" zoomScaleNormal="80" workbookViewId="0">
      <pane xSplit="3" ySplit="1" topLeftCell="E82" activePane="bottomRight" state="frozen"/>
      <selection activeCell="B1" sqref="B1"/>
      <selection pane="topRight" activeCell="E1" sqref="E1"/>
      <selection pane="bottomLeft" activeCell="B2" sqref="B2"/>
      <selection pane="bottomRight" activeCell="C90" sqref="C90"/>
    </sheetView>
  </sheetViews>
  <sheetFormatPr defaultColWidth="8.88671875" defaultRowHeight="13.2" outlineLevelCol="1" x14ac:dyDescent="0.25"/>
  <cols>
    <col min="1" max="1" width="50.77734375" style="2" hidden="1" customWidth="1" outlineLevel="1"/>
    <col min="2" max="2" width="30.77734375" style="3" customWidth="1" collapsed="1"/>
    <col min="3" max="4" width="30.77734375" style="2" customWidth="1" outlineLevel="1"/>
    <col min="5" max="5" width="7.6640625" style="3" bestFit="1" customWidth="1"/>
    <col min="6" max="6" width="30.44140625" style="3" bestFit="1" customWidth="1"/>
    <col min="7" max="7" width="10.6640625" style="3" bestFit="1" customWidth="1"/>
    <col min="8" max="8" width="29.109375" style="3" bestFit="1" customWidth="1"/>
    <col min="9" max="16384" width="8.88671875" style="2"/>
  </cols>
  <sheetData>
    <row r="1" spans="1:9" s="1" customFormat="1" ht="39.6" x14ac:dyDescent="0.25">
      <c r="A1" s="5" t="s">
        <v>100</v>
      </c>
      <c r="B1" s="5" t="s">
        <v>217</v>
      </c>
      <c r="C1" s="5" t="s">
        <v>101</v>
      </c>
      <c r="D1" s="5" t="s">
        <v>102</v>
      </c>
      <c r="E1" s="17" t="s">
        <v>218</v>
      </c>
      <c r="F1" s="18" t="s">
        <v>219</v>
      </c>
      <c r="G1" s="19" t="s">
        <v>220</v>
      </c>
      <c r="H1" s="20" t="s">
        <v>221</v>
      </c>
      <c r="I1" s="5" t="s">
        <v>63</v>
      </c>
    </row>
    <row r="2" spans="1:9" x14ac:dyDescent="0.25">
      <c r="A2" s="6" t="s">
        <v>103</v>
      </c>
      <c r="B2" s="7" t="s">
        <v>68</v>
      </c>
      <c r="C2" s="6" t="s">
        <v>104</v>
      </c>
      <c r="D2" s="6" t="s">
        <v>105</v>
      </c>
      <c r="E2" s="4">
        <v>0</v>
      </c>
      <c r="F2" s="4">
        <v>1</v>
      </c>
      <c r="G2" s="4">
        <v>0</v>
      </c>
      <c r="H2" s="4">
        <v>0</v>
      </c>
      <c r="I2" s="6">
        <f>SUM(E2:H2)</f>
        <v>1</v>
      </c>
    </row>
    <row r="3" spans="1:9" x14ac:dyDescent="0.25">
      <c r="A3" s="6" t="s">
        <v>106</v>
      </c>
      <c r="B3" s="7" t="s">
        <v>43</v>
      </c>
      <c r="C3" s="6" t="s">
        <v>104</v>
      </c>
      <c r="D3" s="6" t="s">
        <v>105</v>
      </c>
      <c r="E3" s="4">
        <v>0</v>
      </c>
      <c r="F3" s="4">
        <v>1</v>
      </c>
      <c r="G3" s="4">
        <v>0</v>
      </c>
      <c r="H3" s="4">
        <v>0</v>
      </c>
      <c r="I3" s="6">
        <f t="shared" ref="I3:I66" si="0">SUM(E3:H3)</f>
        <v>1</v>
      </c>
    </row>
    <row r="4" spans="1:9" x14ac:dyDescent="0.25">
      <c r="A4" s="6" t="s">
        <v>107</v>
      </c>
      <c r="B4" s="7" t="s">
        <v>47</v>
      </c>
      <c r="C4" s="6" t="s">
        <v>104</v>
      </c>
      <c r="D4" s="6" t="s">
        <v>105</v>
      </c>
      <c r="E4" s="4">
        <v>1</v>
      </c>
      <c r="F4" s="4">
        <v>0</v>
      </c>
      <c r="G4" s="4">
        <v>0</v>
      </c>
      <c r="H4" s="4">
        <v>0</v>
      </c>
      <c r="I4" s="6">
        <f t="shared" si="0"/>
        <v>1</v>
      </c>
    </row>
    <row r="5" spans="1:9" x14ac:dyDescent="0.25">
      <c r="A5" s="6" t="s">
        <v>108</v>
      </c>
      <c r="B5" s="7" t="s">
        <v>33</v>
      </c>
      <c r="C5" s="6" t="s">
        <v>104</v>
      </c>
      <c r="D5" s="6" t="s">
        <v>105</v>
      </c>
      <c r="E5" s="4">
        <v>0</v>
      </c>
      <c r="F5" s="4">
        <v>0</v>
      </c>
      <c r="G5" s="4">
        <v>0</v>
      </c>
      <c r="H5" s="4">
        <v>1</v>
      </c>
      <c r="I5" s="6">
        <f t="shared" si="0"/>
        <v>1</v>
      </c>
    </row>
    <row r="6" spans="1:9" x14ac:dyDescent="0.25">
      <c r="A6" s="6" t="s">
        <v>109</v>
      </c>
      <c r="B6" s="7" t="s">
        <v>94</v>
      </c>
      <c r="C6" s="6" t="s">
        <v>110</v>
      </c>
      <c r="D6" s="6" t="s">
        <v>105</v>
      </c>
      <c r="E6" s="4">
        <v>0</v>
      </c>
      <c r="F6" s="4">
        <v>0</v>
      </c>
      <c r="G6" s="4">
        <v>0</v>
      </c>
      <c r="H6" s="4">
        <v>1</v>
      </c>
      <c r="I6" s="6">
        <f t="shared" si="0"/>
        <v>1</v>
      </c>
    </row>
    <row r="7" spans="1:9" x14ac:dyDescent="0.25">
      <c r="A7" s="6" t="s">
        <v>111</v>
      </c>
      <c r="B7" s="7" t="s">
        <v>22</v>
      </c>
      <c r="C7" s="6" t="s">
        <v>110</v>
      </c>
      <c r="D7" s="6" t="s">
        <v>105</v>
      </c>
      <c r="E7" s="4">
        <v>0</v>
      </c>
      <c r="F7" s="4">
        <v>0</v>
      </c>
      <c r="G7" s="4">
        <v>0</v>
      </c>
      <c r="H7" s="4">
        <v>1</v>
      </c>
      <c r="I7" s="6">
        <f t="shared" si="0"/>
        <v>1</v>
      </c>
    </row>
    <row r="8" spans="1:9" ht="26.4" x14ac:dyDescent="0.25">
      <c r="A8" s="6" t="s">
        <v>112</v>
      </c>
      <c r="B8" s="7" t="s">
        <v>11</v>
      </c>
      <c r="C8" s="6" t="s">
        <v>113</v>
      </c>
      <c r="D8" s="6" t="s">
        <v>114</v>
      </c>
      <c r="E8" s="4">
        <v>0</v>
      </c>
      <c r="F8" s="4">
        <v>1</v>
      </c>
      <c r="G8" s="4">
        <v>0</v>
      </c>
      <c r="H8" s="4">
        <v>0</v>
      </c>
      <c r="I8" s="6">
        <f t="shared" si="0"/>
        <v>1</v>
      </c>
    </row>
    <row r="9" spans="1:9" ht="26.4" x14ac:dyDescent="0.25">
      <c r="A9" s="6" t="s">
        <v>115</v>
      </c>
      <c r="B9" s="7" t="s">
        <v>97</v>
      </c>
      <c r="C9" s="6" t="s">
        <v>113</v>
      </c>
      <c r="D9" s="6" t="s">
        <v>116</v>
      </c>
      <c r="E9" s="4">
        <v>1</v>
      </c>
      <c r="F9" s="4">
        <v>0</v>
      </c>
      <c r="G9" s="4">
        <v>0</v>
      </c>
      <c r="H9" s="4">
        <v>0</v>
      </c>
      <c r="I9" s="6">
        <f t="shared" si="0"/>
        <v>1</v>
      </c>
    </row>
    <row r="10" spans="1:9" ht="26.4" x14ac:dyDescent="0.25">
      <c r="A10" s="6" t="s">
        <v>117</v>
      </c>
      <c r="B10" s="7" t="s">
        <v>70</v>
      </c>
      <c r="C10" s="6" t="s">
        <v>113</v>
      </c>
      <c r="D10" s="6" t="s">
        <v>118</v>
      </c>
      <c r="E10" s="4">
        <v>0</v>
      </c>
      <c r="F10" s="4">
        <v>1</v>
      </c>
      <c r="G10" s="4">
        <v>0</v>
      </c>
      <c r="H10" s="4">
        <v>0</v>
      </c>
      <c r="I10" s="6">
        <f t="shared" si="0"/>
        <v>1</v>
      </c>
    </row>
    <row r="11" spans="1:9" ht="26.4" x14ac:dyDescent="0.25">
      <c r="A11" s="6" t="s">
        <v>119</v>
      </c>
      <c r="B11" s="7" t="s">
        <v>96</v>
      </c>
      <c r="C11" s="6" t="s">
        <v>113</v>
      </c>
      <c r="D11" s="6" t="s">
        <v>116</v>
      </c>
      <c r="E11" s="4">
        <v>0</v>
      </c>
      <c r="F11" s="4">
        <v>0</v>
      </c>
      <c r="G11" s="4">
        <v>0</v>
      </c>
      <c r="H11" s="4">
        <v>1</v>
      </c>
      <c r="I11" s="6">
        <f t="shared" si="0"/>
        <v>1</v>
      </c>
    </row>
    <row r="12" spans="1:9" x14ac:dyDescent="0.25">
      <c r="A12" s="6" t="s">
        <v>120</v>
      </c>
      <c r="B12" s="7" t="s">
        <v>35</v>
      </c>
      <c r="C12" s="6" t="s">
        <v>121</v>
      </c>
      <c r="D12" s="6" t="s">
        <v>114</v>
      </c>
      <c r="E12" s="4">
        <v>0</v>
      </c>
      <c r="F12" s="4">
        <v>1</v>
      </c>
      <c r="G12" s="4">
        <v>0</v>
      </c>
      <c r="H12" s="4">
        <v>0</v>
      </c>
      <c r="I12" s="6">
        <f t="shared" si="0"/>
        <v>1</v>
      </c>
    </row>
    <row r="13" spans="1:9" x14ac:dyDescent="0.25">
      <c r="A13" s="6" t="s">
        <v>122</v>
      </c>
      <c r="B13" s="7" t="s">
        <v>58</v>
      </c>
      <c r="C13" s="6" t="s">
        <v>121</v>
      </c>
      <c r="D13" s="6" t="s">
        <v>123</v>
      </c>
      <c r="E13" s="4">
        <v>0</v>
      </c>
      <c r="F13" s="4">
        <v>0</v>
      </c>
      <c r="G13" s="4">
        <v>1</v>
      </c>
      <c r="H13" s="4">
        <v>0</v>
      </c>
      <c r="I13" s="6">
        <f t="shared" si="0"/>
        <v>1</v>
      </c>
    </row>
    <row r="14" spans="1:9" x14ac:dyDescent="0.25">
      <c r="A14" s="6" t="s">
        <v>124</v>
      </c>
      <c r="B14" s="7" t="s">
        <v>3</v>
      </c>
      <c r="C14" s="6" t="s">
        <v>121</v>
      </c>
      <c r="D14" s="6" t="s">
        <v>114</v>
      </c>
      <c r="E14" s="4">
        <v>0</v>
      </c>
      <c r="F14" s="4">
        <v>1</v>
      </c>
      <c r="G14" s="4">
        <v>0</v>
      </c>
      <c r="H14" s="4">
        <v>0</v>
      </c>
      <c r="I14" s="6">
        <f t="shared" si="0"/>
        <v>1</v>
      </c>
    </row>
    <row r="15" spans="1:9" x14ac:dyDescent="0.25">
      <c r="A15" s="6" t="s">
        <v>125</v>
      </c>
      <c r="B15" s="7" t="s">
        <v>76</v>
      </c>
      <c r="C15" s="6" t="s">
        <v>121</v>
      </c>
      <c r="D15" s="6" t="s">
        <v>123</v>
      </c>
      <c r="E15" s="4">
        <v>0</v>
      </c>
      <c r="F15" s="4">
        <v>1</v>
      </c>
      <c r="G15" s="4">
        <v>0</v>
      </c>
      <c r="H15" s="4">
        <v>0</v>
      </c>
      <c r="I15" s="6">
        <f t="shared" si="0"/>
        <v>1</v>
      </c>
    </row>
    <row r="16" spans="1:9" ht="26.4" x14ac:dyDescent="0.25">
      <c r="A16" s="6" t="s">
        <v>126</v>
      </c>
      <c r="B16" s="7" t="s">
        <v>52</v>
      </c>
      <c r="C16" s="6" t="s">
        <v>121</v>
      </c>
      <c r="D16" s="6" t="s">
        <v>116</v>
      </c>
      <c r="E16" s="4">
        <v>0</v>
      </c>
      <c r="F16" s="4">
        <v>0</v>
      </c>
      <c r="G16" s="4">
        <v>0</v>
      </c>
      <c r="H16" s="4">
        <v>1</v>
      </c>
      <c r="I16" s="6">
        <f t="shared" si="0"/>
        <v>1</v>
      </c>
    </row>
    <row r="17" spans="1:9" x14ac:dyDescent="0.25">
      <c r="A17" s="6" t="s">
        <v>127</v>
      </c>
      <c r="B17" s="7" t="s">
        <v>6</v>
      </c>
      <c r="C17" s="6" t="s">
        <v>121</v>
      </c>
      <c r="D17" s="6" t="s">
        <v>128</v>
      </c>
      <c r="E17" s="4">
        <v>0</v>
      </c>
      <c r="F17" s="4">
        <v>1</v>
      </c>
      <c r="G17" s="4">
        <v>0</v>
      </c>
      <c r="H17" s="4">
        <v>0</v>
      </c>
      <c r="I17" s="6">
        <f t="shared" si="0"/>
        <v>1</v>
      </c>
    </row>
    <row r="18" spans="1:9" x14ac:dyDescent="0.25">
      <c r="A18" s="6" t="s">
        <v>129</v>
      </c>
      <c r="B18" s="7" t="s">
        <v>90</v>
      </c>
      <c r="C18" s="6" t="s">
        <v>121</v>
      </c>
      <c r="D18" s="6" t="s">
        <v>123</v>
      </c>
      <c r="E18" s="4">
        <v>0</v>
      </c>
      <c r="F18" s="4">
        <v>1</v>
      </c>
      <c r="G18" s="4">
        <v>0</v>
      </c>
      <c r="H18" s="4">
        <v>0</v>
      </c>
      <c r="I18" s="6">
        <f t="shared" si="0"/>
        <v>1</v>
      </c>
    </row>
    <row r="19" spans="1:9" x14ac:dyDescent="0.25">
      <c r="A19" s="6" t="s">
        <v>130</v>
      </c>
      <c r="B19" s="7" t="s">
        <v>10</v>
      </c>
      <c r="C19" s="6" t="s">
        <v>121</v>
      </c>
      <c r="D19" s="6" t="s">
        <v>116</v>
      </c>
      <c r="E19" s="4">
        <v>0</v>
      </c>
      <c r="F19" s="4">
        <v>0</v>
      </c>
      <c r="G19" s="4">
        <v>1</v>
      </c>
      <c r="H19" s="4">
        <v>0</v>
      </c>
      <c r="I19" s="6">
        <f t="shared" si="0"/>
        <v>1</v>
      </c>
    </row>
    <row r="20" spans="1:9" x14ac:dyDescent="0.25">
      <c r="A20" s="6" t="s">
        <v>131</v>
      </c>
      <c r="B20" s="7" t="s">
        <v>25</v>
      </c>
      <c r="C20" s="6" t="s">
        <v>121</v>
      </c>
      <c r="D20" s="6" t="s">
        <v>123</v>
      </c>
      <c r="E20" s="4">
        <v>1</v>
      </c>
      <c r="F20" s="4">
        <v>0</v>
      </c>
      <c r="G20" s="4">
        <v>0</v>
      </c>
      <c r="H20" s="4">
        <v>0</v>
      </c>
      <c r="I20" s="6">
        <f t="shared" si="0"/>
        <v>1</v>
      </c>
    </row>
    <row r="21" spans="1:9" x14ac:dyDescent="0.25">
      <c r="A21" s="6" t="s">
        <v>132</v>
      </c>
      <c r="B21" s="7" t="s">
        <v>50</v>
      </c>
      <c r="C21" s="6" t="s">
        <v>121</v>
      </c>
      <c r="D21" s="6" t="s">
        <v>116</v>
      </c>
      <c r="E21" s="4">
        <v>0</v>
      </c>
      <c r="F21" s="4">
        <v>1</v>
      </c>
      <c r="G21" s="4">
        <v>0</v>
      </c>
      <c r="H21" s="4">
        <v>0</v>
      </c>
      <c r="I21" s="6">
        <f t="shared" si="0"/>
        <v>1</v>
      </c>
    </row>
    <row r="22" spans="1:9" x14ac:dyDescent="0.25">
      <c r="A22" s="6" t="s">
        <v>133</v>
      </c>
      <c r="B22" s="7" t="s">
        <v>61</v>
      </c>
      <c r="C22" s="6" t="s">
        <v>121</v>
      </c>
      <c r="D22" s="6" t="s">
        <v>123</v>
      </c>
      <c r="E22" s="4">
        <v>1</v>
      </c>
      <c r="F22" s="4">
        <v>0</v>
      </c>
      <c r="G22" s="4">
        <v>0</v>
      </c>
      <c r="H22" s="4">
        <v>0</v>
      </c>
      <c r="I22" s="6">
        <f t="shared" si="0"/>
        <v>1</v>
      </c>
    </row>
    <row r="23" spans="1:9" x14ac:dyDescent="0.25">
      <c r="A23" s="6" t="s">
        <v>134</v>
      </c>
      <c r="B23" s="7" t="s">
        <v>57</v>
      </c>
      <c r="C23" s="6" t="s">
        <v>121</v>
      </c>
      <c r="D23" s="6" t="s">
        <v>123</v>
      </c>
      <c r="E23" s="4">
        <v>0</v>
      </c>
      <c r="F23" s="4">
        <v>1</v>
      </c>
      <c r="G23" s="4">
        <v>0</v>
      </c>
      <c r="H23" s="4">
        <v>0</v>
      </c>
      <c r="I23" s="6">
        <f t="shared" si="0"/>
        <v>1</v>
      </c>
    </row>
    <row r="24" spans="1:9" x14ac:dyDescent="0.25">
      <c r="A24" s="6" t="s">
        <v>135</v>
      </c>
      <c r="B24" s="7" t="s">
        <v>81</v>
      </c>
      <c r="C24" s="6" t="s">
        <v>121</v>
      </c>
      <c r="D24" s="6" t="s">
        <v>116</v>
      </c>
      <c r="E24" s="4">
        <v>0</v>
      </c>
      <c r="F24" s="4">
        <v>1</v>
      </c>
      <c r="G24" s="4">
        <v>0</v>
      </c>
      <c r="H24" s="4">
        <v>0</v>
      </c>
      <c r="I24" s="6">
        <f t="shared" si="0"/>
        <v>1</v>
      </c>
    </row>
    <row r="25" spans="1:9" x14ac:dyDescent="0.25">
      <c r="A25" s="6" t="s">
        <v>136</v>
      </c>
      <c r="B25" s="7" t="s">
        <v>91</v>
      </c>
      <c r="C25" s="6" t="s">
        <v>121</v>
      </c>
      <c r="D25" s="6" t="s">
        <v>118</v>
      </c>
      <c r="E25" s="4">
        <v>0</v>
      </c>
      <c r="F25" s="4">
        <v>1</v>
      </c>
      <c r="G25" s="4">
        <v>0</v>
      </c>
      <c r="H25" s="4">
        <v>0</v>
      </c>
      <c r="I25" s="6">
        <f t="shared" si="0"/>
        <v>1</v>
      </c>
    </row>
    <row r="26" spans="1:9" x14ac:dyDescent="0.25">
      <c r="A26" s="6" t="s">
        <v>137</v>
      </c>
      <c r="B26" s="7" t="s">
        <v>98</v>
      </c>
      <c r="C26" s="6" t="s">
        <v>138</v>
      </c>
      <c r="D26" s="6" t="s">
        <v>105</v>
      </c>
      <c r="E26" s="4">
        <v>0</v>
      </c>
      <c r="F26" s="4">
        <v>1</v>
      </c>
      <c r="G26" s="4">
        <v>0</v>
      </c>
      <c r="H26" s="4">
        <v>0</v>
      </c>
      <c r="I26" s="6">
        <f t="shared" si="0"/>
        <v>1</v>
      </c>
    </row>
    <row r="27" spans="1:9" x14ac:dyDescent="0.25">
      <c r="A27" s="6" t="s">
        <v>139</v>
      </c>
      <c r="B27" s="7" t="s">
        <v>85</v>
      </c>
      <c r="C27" s="6" t="s">
        <v>138</v>
      </c>
      <c r="D27" s="6" t="s">
        <v>114</v>
      </c>
      <c r="E27" s="4">
        <v>0</v>
      </c>
      <c r="F27" s="4">
        <v>0</v>
      </c>
      <c r="G27" s="4">
        <v>0</v>
      </c>
      <c r="H27" s="4">
        <v>1</v>
      </c>
      <c r="I27" s="6">
        <f t="shared" si="0"/>
        <v>1</v>
      </c>
    </row>
    <row r="28" spans="1:9" x14ac:dyDescent="0.25">
      <c r="A28" s="6" t="s">
        <v>140</v>
      </c>
      <c r="B28" s="7" t="s">
        <v>69</v>
      </c>
      <c r="C28" s="6" t="s">
        <v>138</v>
      </c>
      <c r="D28" s="6" t="s">
        <v>105</v>
      </c>
      <c r="E28" s="4">
        <v>1</v>
      </c>
      <c r="F28" s="4">
        <v>0</v>
      </c>
      <c r="G28" s="4">
        <v>0</v>
      </c>
      <c r="H28" s="4">
        <v>0</v>
      </c>
      <c r="I28" s="6">
        <f t="shared" si="0"/>
        <v>1</v>
      </c>
    </row>
    <row r="29" spans="1:9" x14ac:dyDescent="0.25">
      <c r="A29" s="6" t="s">
        <v>141</v>
      </c>
      <c r="B29" s="7" t="s">
        <v>38</v>
      </c>
      <c r="C29" s="6" t="s">
        <v>138</v>
      </c>
      <c r="D29" s="6" t="s">
        <v>123</v>
      </c>
      <c r="E29" s="4">
        <v>1</v>
      </c>
      <c r="F29" s="4">
        <v>0</v>
      </c>
      <c r="G29" s="4">
        <v>0</v>
      </c>
      <c r="H29" s="4">
        <v>0</v>
      </c>
      <c r="I29" s="6">
        <f t="shared" si="0"/>
        <v>1</v>
      </c>
    </row>
    <row r="30" spans="1:9" x14ac:dyDescent="0.25">
      <c r="A30" s="6" t="s">
        <v>142</v>
      </c>
      <c r="B30" s="7" t="s">
        <v>24</v>
      </c>
      <c r="C30" s="6" t="s">
        <v>138</v>
      </c>
      <c r="D30" s="6" t="s">
        <v>105</v>
      </c>
      <c r="E30" s="4">
        <v>1</v>
      </c>
      <c r="F30" s="4">
        <v>0</v>
      </c>
      <c r="G30" s="4">
        <v>0</v>
      </c>
      <c r="H30" s="4">
        <v>0</v>
      </c>
      <c r="I30" s="6">
        <f t="shared" si="0"/>
        <v>1</v>
      </c>
    </row>
    <row r="31" spans="1:9" x14ac:dyDescent="0.25">
      <c r="A31" s="6" t="s">
        <v>143</v>
      </c>
      <c r="B31" s="7" t="s">
        <v>44</v>
      </c>
      <c r="C31" s="6" t="s">
        <v>138</v>
      </c>
      <c r="D31" s="6" t="s">
        <v>105</v>
      </c>
      <c r="E31" s="4">
        <v>0</v>
      </c>
      <c r="F31" s="4">
        <v>1</v>
      </c>
      <c r="G31" s="4">
        <v>0</v>
      </c>
      <c r="H31" s="4">
        <v>0</v>
      </c>
      <c r="I31" s="6">
        <f t="shared" si="0"/>
        <v>1</v>
      </c>
    </row>
    <row r="32" spans="1:9" x14ac:dyDescent="0.25">
      <c r="A32" s="6" t="s">
        <v>144</v>
      </c>
      <c r="B32" s="7" t="s">
        <v>41</v>
      </c>
      <c r="C32" s="6" t="s">
        <v>138</v>
      </c>
      <c r="D32" s="6" t="s">
        <v>116</v>
      </c>
      <c r="E32" s="4">
        <v>1</v>
      </c>
      <c r="F32" s="4">
        <v>0</v>
      </c>
      <c r="G32" s="4">
        <v>0</v>
      </c>
      <c r="H32" s="4">
        <v>0</v>
      </c>
      <c r="I32" s="6">
        <f t="shared" si="0"/>
        <v>1</v>
      </c>
    </row>
    <row r="33" spans="1:9" x14ac:dyDescent="0.25">
      <c r="A33" s="6" t="s">
        <v>145</v>
      </c>
      <c r="B33" s="7" t="s">
        <v>73</v>
      </c>
      <c r="C33" s="6" t="s">
        <v>138</v>
      </c>
      <c r="D33" s="6" t="s">
        <v>118</v>
      </c>
      <c r="E33" s="4">
        <v>1</v>
      </c>
      <c r="F33" s="4">
        <v>0</v>
      </c>
      <c r="G33" s="4">
        <v>0</v>
      </c>
      <c r="H33" s="4">
        <v>0</v>
      </c>
      <c r="I33" s="6">
        <f t="shared" si="0"/>
        <v>1</v>
      </c>
    </row>
    <row r="34" spans="1:9" x14ac:dyDescent="0.25">
      <c r="A34" s="6" t="s">
        <v>146</v>
      </c>
      <c r="B34" s="7" t="s">
        <v>29</v>
      </c>
      <c r="C34" s="6" t="s">
        <v>138</v>
      </c>
      <c r="D34" s="6" t="s">
        <v>105</v>
      </c>
      <c r="E34" s="4">
        <v>0</v>
      </c>
      <c r="F34" s="4">
        <v>1</v>
      </c>
      <c r="G34" s="4">
        <v>0</v>
      </c>
      <c r="H34" s="4">
        <v>0</v>
      </c>
      <c r="I34" s="6">
        <f t="shared" si="0"/>
        <v>1</v>
      </c>
    </row>
    <row r="35" spans="1:9" x14ac:dyDescent="0.25">
      <c r="A35" s="6" t="s">
        <v>147</v>
      </c>
      <c r="B35" s="7" t="s">
        <v>77</v>
      </c>
      <c r="C35" s="6" t="s">
        <v>138</v>
      </c>
      <c r="D35" s="6" t="s">
        <v>105</v>
      </c>
      <c r="E35" s="4">
        <v>0</v>
      </c>
      <c r="F35" s="4">
        <v>1</v>
      </c>
      <c r="G35" s="4">
        <v>0</v>
      </c>
      <c r="H35" s="4">
        <v>0</v>
      </c>
      <c r="I35" s="6">
        <f t="shared" si="0"/>
        <v>1</v>
      </c>
    </row>
    <row r="36" spans="1:9" x14ac:dyDescent="0.25">
      <c r="A36" s="6" t="s">
        <v>148</v>
      </c>
      <c r="B36" s="7" t="s">
        <v>18</v>
      </c>
      <c r="C36" s="6" t="s">
        <v>138</v>
      </c>
      <c r="D36" s="6" t="s">
        <v>116</v>
      </c>
      <c r="E36" s="4">
        <v>0</v>
      </c>
      <c r="F36" s="4">
        <v>1</v>
      </c>
      <c r="G36" s="4">
        <v>0</v>
      </c>
      <c r="H36" s="4">
        <v>0</v>
      </c>
      <c r="I36" s="6">
        <f t="shared" si="0"/>
        <v>1</v>
      </c>
    </row>
    <row r="37" spans="1:9" x14ac:dyDescent="0.25">
      <c r="A37" s="6" t="s">
        <v>149</v>
      </c>
      <c r="B37" s="7" t="s">
        <v>14</v>
      </c>
      <c r="C37" s="6" t="s">
        <v>138</v>
      </c>
      <c r="D37" s="6" t="s">
        <v>105</v>
      </c>
      <c r="E37" s="4">
        <v>1</v>
      </c>
      <c r="F37" s="4">
        <v>0</v>
      </c>
      <c r="G37" s="4">
        <v>0</v>
      </c>
      <c r="H37" s="4">
        <v>0</v>
      </c>
      <c r="I37" s="6">
        <f t="shared" si="0"/>
        <v>1</v>
      </c>
    </row>
    <row r="38" spans="1:9" x14ac:dyDescent="0.25">
      <c r="A38" s="6" t="s">
        <v>150</v>
      </c>
      <c r="B38" s="7" t="s">
        <v>32</v>
      </c>
      <c r="C38" s="6" t="s">
        <v>138</v>
      </c>
      <c r="D38" s="6" t="s">
        <v>105</v>
      </c>
      <c r="E38" s="4">
        <v>1</v>
      </c>
      <c r="F38" s="4">
        <v>0</v>
      </c>
      <c r="G38" s="4">
        <v>0</v>
      </c>
      <c r="H38" s="4">
        <v>0</v>
      </c>
      <c r="I38" s="6">
        <f t="shared" si="0"/>
        <v>1</v>
      </c>
    </row>
    <row r="39" spans="1:9" x14ac:dyDescent="0.25">
      <c r="A39" s="6" t="s">
        <v>151</v>
      </c>
      <c r="B39" s="7" t="s">
        <v>78</v>
      </c>
      <c r="C39" s="6" t="s">
        <v>138</v>
      </c>
      <c r="D39" s="6" t="s">
        <v>105</v>
      </c>
      <c r="E39" s="4">
        <v>1</v>
      </c>
      <c r="F39" s="4">
        <v>0</v>
      </c>
      <c r="G39" s="4">
        <v>0</v>
      </c>
      <c r="H39" s="4">
        <v>0</v>
      </c>
      <c r="I39" s="6">
        <f t="shared" si="0"/>
        <v>1</v>
      </c>
    </row>
    <row r="40" spans="1:9" x14ac:dyDescent="0.25">
      <c r="A40" s="6" t="s">
        <v>152</v>
      </c>
      <c r="B40" s="7" t="s">
        <v>74</v>
      </c>
      <c r="C40" s="6" t="s">
        <v>138</v>
      </c>
      <c r="D40" s="6" t="s">
        <v>114</v>
      </c>
      <c r="E40" s="4">
        <v>0</v>
      </c>
      <c r="F40" s="4">
        <v>1</v>
      </c>
      <c r="G40" s="4">
        <v>0</v>
      </c>
      <c r="H40" s="4">
        <v>0</v>
      </c>
      <c r="I40" s="6">
        <f t="shared" si="0"/>
        <v>1</v>
      </c>
    </row>
    <row r="41" spans="1:9" x14ac:dyDescent="0.25">
      <c r="A41" s="6" t="s">
        <v>153</v>
      </c>
      <c r="B41" s="7" t="s">
        <v>5</v>
      </c>
      <c r="C41" s="6" t="s">
        <v>138</v>
      </c>
      <c r="D41" s="6" t="s">
        <v>105</v>
      </c>
      <c r="E41" s="4">
        <v>0</v>
      </c>
      <c r="F41" s="4">
        <v>1</v>
      </c>
      <c r="G41" s="4">
        <v>0</v>
      </c>
      <c r="H41" s="4">
        <v>0</v>
      </c>
      <c r="I41" s="6">
        <f t="shared" si="0"/>
        <v>1</v>
      </c>
    </row>
    <row r="42" spans="1:9" x14ac:dyDescent="0.25">
      <c r="A42" s="6" t="s">
        <v>154</v>
      </c>
      <c r="B42" s="7" t="s">
        <v>26</v>
      </c>
      <c r="C42" s="6" t="s">
        <v>138</v>
      </c>
      <c r="D42" s="6" t="s">
        <v>114</v>
      </c>
      <c r="E42" s="4">
        <v>1</v>
      </c>
      <c r="F42" s="4">
        <v>0</v>
      </c>
      <c r="G42" s="4">
        <v>0</v>
      </c>
      <c r="H42" s="4">
        <v>0</v>
      </c>
      <c r="I42" s="6">
        <f t="shared" si="0"/>
        <v>1</v>
      </c>
    </row>
    <row r="43" spans="1:9" x14ac:dyDescent="0.25">
      <c r="A43" s="6" t="s">
        <v>155</v>
      </c>
      <c r="B43" s="7" t="s">
        <v>15</v>
      </c>
      <c r="C43" s="6" t="s">
        <v>138</v>
      </c>
      <c r="D43" s="6" t="s">
        <v>105</v>
      </c>
      <c r="E43" s="4">
        <v>0</v>
      </c>
      <c r="F43" s="4">
        <v>1</v>
      </c>
      <c r="G43" s="4">
        <v>0</v>
      </c>
      <c r="H43" s="4">
        <v>0</v>
      </c>
      <c r="I43" s="6">
        <f t="shared" si="0"/>
        <v>1</v>
      </c>
    </row>
    <row r="44" spans="1:9" x14ac:dyDescent="0.25">
      <c r="A44" s="6" t="s">
        <v>156</v>
      </c>
      <c r="B44" s="7" t="s">
        <v>72</v>
      </c>
      <c r="C44" s="6" t="s">
        <v>138</v>
      </c>
      <c r="D44" s="6" t="s">
        <v>105</v>
      </c>
      <c r="E44" s="4">
        <v>0</v>
      </c>
      <c r="F44" s="4">
        <v>1</v>
      </c>
      <c r="G44" s="4">
        <v>0</v>
      </c>
      <c r="H44" s="4">
        <v>0</v>
      </c>
      <c r="I44" s="6">
        <f t="shared" si="0"/>
        <v>1</v>
      </c>
    </row>
    <row r="45" spans="1:9" x14ac:dyDescent="0.25">
      <c r="A45" s="6" t="s">
        <v>157</v>
      </c>
      <c r="B45" s="7" t="s">
        <v>84</v>
      </c>
      <c r="C45" s="6" t="s">
        <v>138</v>
      </c>
      <c r="D45" s="6" t="s">
        <v>116</v>
      </c>
      <c r="E45" s="4">
        <v>0</v>
      </c>
      <c r="F45" s="4">
        <v>1</v>
      </c>
      <c r="G45" s="4">
        <v>0</v>
      </c>
      <c r="H45" s="4">
        <v>0</v>
      </c>
      <c r="I45" s="6">
        <f t="shared" si="0"/>
        <v>1</v>
      </c>
    </row>
    <row r="46" spans="1:9" x14ac:dyDescent="0.25">
      <c r="A46" s="6" t="s">
        <v>158</v>
      </c>
      <c r="B46" s="7" t="s">
        <v>20</v>
      </c>
      <c r="C46" s="6" t="s">
        <v>138</v>
      </c>
      <c r="D46" s="6" t="s">
        <v>105</v>
      </c>
      <c r="E46" s="4">
        <v>0</v>
      </c>
      <c r="F46" s="4">
        <v>1</v>
      </c>
      <c r="G46" s="4">
        <v>0</v>
      </c>
      <c r="H46" s="4">
        <v>0</v>
      </c>
      <c r="I46" s="6">
        <f t="shared" si="0"/>
        <v>1</v>
      </c>
    </row>
    <row r="47" spans="1:9" x14ac:dyDescent="0.25">
      <c r="A47" s="6" t="s">
        <v>159</v>
      </c>
      <c r="B47" s="7" t="s">
        <v>17</v>
      </c>
      <c r="C47" s="6" t="s">
        <v>138</v>
      </c>
      <c r="D47" s="6" t="s">
        <v>118</v>
      </c>
      <c r="E47" s="4">
        <v>0</v>
      </c>
      <c r="F47" s="4">
        <v>1</v>
      </c>
      <c r="G47" s="4">
        <v>0</v>
      </c>
      <c r="H47" s="4">
        <v>0</v>
      </c>
      <c r="I47" s="6">
        <f t="shared" si="0"/>
        <v>1</v>
      </c>
    </row>
    <row r="48" spans="1:9" x14ac:dyDescent="0.25">
      <c r="A48" s="6" t="s">
        <v>160</v>
      </c>
      <c r="B48" s="7" t="s">
        <v>2</v>
      </c>
      <c r="C48" s="6" t="s">
        <v>138</v>
      </c>
      <c r="D48" s="6" t="s">
        <v>105</v>
      </c>
      <c r="E48" s="4">
        <v>0</v>
      </c>
      <c r="F48" s="4">
        <v>1</v>
      </c>
      <c r="G48" s="4">
        <v>0</v>
      </c>
      <c r="H48" s="4">
        <v>0</v>
      </c>
      <c r="I48" s="6">
        <f t="shared" si="0"/>
        <v>1</v>
      </c>
    </row>
    <row r="49" spans="1:9" x14ac:dyDescent="0.25">
      <c r="A49" s="6" t="s">
        <v>161</v>
      </c>
      <c r="B49" s="7" t="s">
        <v>54</v>
      </c>
      <c r="C49" s="6" t="s">
        <v>138</v>
      </c>
      <c r="D49" s="6" t="s">
        <v>105</v>
      </c>
      <c r="E49" s="4">
        <v>0</v>
      </c>
      <c r="F49" s="4">
        <v>1</v>
      </c>
      <c r="G49" s="4">
        <v>0</v>
      </c>
      <c r="H49" s="4">
        <v>0</v>
      </c>
      <c r="I49" s="6">
        <f t="shared" si="0"/>
        <v>1</v>
      </c>
    </row>
    <row r="50" spans="1:9" x14ac:dyDescent="0.25">
      <c r="A50" s="6" t="s">
        <v>162</v>
      </c>
      <c r="B50" s="7" t="s">
        <v>0</v>
      </c>
      <c r="C50" s="6" t="s">
        <v>138</v>
      </c>
      <c r="D50" s="6" t="s">
        <v>116</v>
      </c>
      <c r="E50" s="4">
        <v>0</v>
      </c>
      <c r="F50" s="4">
        <v>0</v>
      </c>
      <c r="G50" s="4">
        <v>0</v>
      </c>
      <c r="H50" s="4">
        <v>1</v>
      </c>
      <c r="I50" s="6">
        <f t="shared" si="0"/>
        <v>1</v>
      </c>
    </row>
    <row r="51" spans="1:9" x14ac:dyDescent="0.25">
      <c r="A51" s="6" t="s">
        <v>163</v>
      </c>
      <c r="B51" s="7" t="s">
        <v>79</v>
      </c>
      <c r="C51" s="6" t="s">
        <v>164</v>
      </c>
      <c r="D51" s="6" t="s">
        <v>118</v>
      </c>
      <c r="E51" s="4">
        <v>1</v>
      </c>
      <c r="F51" s="4">
        <v>0</v>
      </c>
      <c r="G51" s="4">
        <v>0</v>
      </c>
      <c r="H51" s="4">
        <v>0</v>
      </c>
      <c r="I51" s="6">
        <f t="shared" si="0"/>
        <v>1</v>
      </c>
    </row>
    <row r="52" spans="1:9" x14ac:dyDescent="0.25">
      <c r="A52" s="6" t="s">
        <v>165</v>
      </c>
      <c r="B52" s="7" t="s">
        <v>48</v>
      </c>
      <c r="C52" s="6" t="s">
        <v>164</v>
      </c>
      <c r="D52" s="6" t="s">
        <v>123</v>
      </c>
      <c r="E52" s="4">
        <v>0</v>
      </c>
      <c r="F52" s="4">
        <v>1</v>
      </c>
      <c r="G52" s="4">
        <v>0</v>
      </c>
      <c r="H52" s="4">
        <v>0</v>
      </c>
      <c r="I52" s="6">
        <f t="shared" si="0"/>
        <v>1</v>
      </c>
    </row>
    <row r="53" spans="1:9" x14ac:dyDescent="0.25">
      <c r="A53" s="6" t="s">
        <v>166</v>
      </c>
      <c r="B53" s="7" t="s">
        <v>65</v>
      </c>
      <c r="C53" s="6" t="s">
        <v>164</v>
      </c>
      <c r="D53" s="6" t="s">
        <v>105</v>
      </c>
      <c r="E53" s="4">
        <v>0</v>
      </c>
      <c r="F53" s="4">
        <v>0</v>
      </c>
      <c r="G53" s="4">
        <v>1</v>
      </c>
      <c r="H53" s="4">
        <v>0</v>
      </c>
      <c r="I53" s="6">
        <f t="shared" si="0"/>
        <v>1</v>
      </c>
    </row>
    <row r="54" spans="1:9" x14ac:dyDescent="0.25">
      <c r="A54" s="6" t="s">
        <v>167</v>
      </c>
      <c r="B54" s="7" t="s">
        <v>39</v>
      </c>
      <c r="C54" s="6" t="s">
        <v>164</v>
      </c>
      <c r="D54" s="6" t="s">
        <v>116</v>
      </c>
      <c r="E54" s="4">
        <v>1</v>
      </c>
      <c r="F54" s="4">
        <v>0</v>
      </c>
      <c r="G54" s="4">
        <v>0</v>
      </c>
      <c r="H54" s="4">
        <v>0</v>
      </c>
      <c r="I54" s="6">
        <f t="shared" si="0"/>
        <v>1</v>
      </c>
    </row>
    <row r="55" spans="1:9" x14ac:dyDescent="0.25">
      <c r="A55" s="6" t="s">
        <v>168</v>
      </c>
      <c r="B55" s="7" t="s">
        <v>8</v>
      </c>
      <c r="C55" s="6" t="s">
        <v>164</v>
      </c>
      <c r="D55" s="6" t="s">
        <v>123</v>
      </c>
      <c r="E55" s="4">
        <v>0</v>
      </c>
      <c r="F55" s="4">
        <v>1</v>
      </c>
      <c r="G55" s="4">
        <v>0</v>
      </c>
      <c r="H55" s="4">
        <v>0</v>
      </c>
      <c r="I55" s="6">
        <f t="shared" si="0"/>
        <v>1</v>
      </c>
    </row>
    <row r="56" spans="1:9" x14ac:dyDescent="0.25">
      <c r="A56" s="6" t="s">
        <v>169</v>
      </c>
      <c r="B56" s="7" t="s">
        <v>80</v>
      </c>
      <c r="C56" s="6" t="s">
        <v>164</v>
      </c>
      <c r="D56" s="6" t="s">
        <v>114</v>
      </c>
      <c r="E56" s="4">
        <v>0</v>
      </c>
      <c r="F56" s="4">
        <v>1</v>
      </c>
      <c r="G56" s="4">
        <v>0</v>
      </c>
      <c r="H56" s="4">
        <v>0</v>
      </c>
      <c r="I56" s="6">
        <f t="shared" si="0"/>
        <v>1</v>
      </c>
    </row>
    <row r="57" spans="1:9" x14ac:dyDescent="0.25">
      <c r="A57" s="6" t="s">
        <v>170</v>
      </c>
      <c r="B57" s="7" t="s">
        <v>92</v>
      </c>
      <c r="C57" s="6" t="s">
        <v>164</v>
      </c>
      <c r="D57" s="6" t="s">
        <v>114</v>
      </c>
      <c r="E57" s="4">
        <v>0</v>
      </c>
      <c r="F57" s="4">
        <v>0</v>
      </c>
      <c r="G57" s="4">
        <v>1</v>
      </c>
      <c r="H57" s="4">
        <v>0</v>
      </c>
      <c r="I57" s="6">
        <f t="shared" si="0"/>
        <v>1</v>
      </c>
    </row>
    <row r="58" spans="1:9" x14ac:dyDescent="0.25">
      <c r="A58" s="6" t="s">
        <v>171</v>
      </c>
      <c r="B58" s="7" t="s">
        <v>12</v>
      </c>
      <c r="C58" s="6" t="s">
        <v>164</v>
      </c>
      <c r="D58" s="6" t="s">
        <v>114</v>
      </c>
      <c r="E58" s="4">
        <v>1</v>
      </c>
      <c r="F58" s="4">
        <v>0</v>
      </c>
      <c r="G58" s="4">
        <v>0</v>
      </c>
      <c r="H58" s="4">
        <v>0</v>
      </c>
      <c r="I58" s="6">
        <f t="shared" si="0"/>
        <v>1</v>
      </c>
    </row>
    <row r="59" spans="1:9" x14ac:dyDescent="0.25">
      <c r="A59" s="6" t="s">
        <v>172</v>
      </c>
      <c r="B59" s="7" t="s">
        <v>59</v>
      </c>
      <c r="C59" s="6" t="s">
        <v>164</v>
      </c>
      <c r="D59" s="6" t="s">
        <v>116</v>
      </c>
      <c r="E59" s="4">
        <v>0</v>
      </c>
      <c r="F59" s="4">
        <v>1</v>
      </c>
      <c r="G59" s="4">
        <v>0</v>
      </c>
      <c r="H59" s="4">
        <v>0</v>
      </c>
      <c r="I59" s="6">
        <f t="shared" si="0"/>
        <v>1</v>
      </c>
    </row>
    <row r="60" spans="1:9" x14ac:dyDescent="0.25">
      <c r="A60" s="6" t="s">
        <v>173</v>
      </c>
      <c r="B60" s="7" t="s">
        <v>67</v>
      </c>
      <c r="C60" s="6" t="s">
        <v>164</v>
      </c>
      <c r="D60" s="6" t="s">
        <v>114</v>
      </c>
      <c r="E60" s="4">
        <v>0</v>
      </c>
      <c r="F60" s="4">
        <v>1</v>
      </c>
      <c r="G60" s="4">
        <v>0</v>
      </c>
      <c r="H60" s="4">
        <v>0</v>
      </c>
      <c r="I60" s="6">
        <f t="shared" si="0"/>
        <v>1</v>
      </c>
    </row>
    <row r="61" spans="1:9" ht="26.4" x14ac:dyDescent="0.25">
      <c r="A61" s="6" t="s">
        <v>174</v>
      </c>
      <c r="B61" s="7" t="s">
        <v>46</v>
      </c>
      <c r="C61" s="6" t="s">
        <v>175</v>
      </c>
      <c r="D61" s="6" t="s">
        <v>116</v>
      </c>
      <c r="E61" s="4">
        <v>0</v>
      </c>
      <c r="F61" s="4">
        <v>1</v>
      </c>
      <c r="G61" s="4">
        <v>0</v>
      </c>
      <c r="H61" s="4">
        <v>0</v>
      </c>
      <c r="I61" s="6">
        <f t="shared" si="0"/>
        <v>1</v>
      </c>
    </row>
    <row r="62" spans="1:9" ht="26.4" x14ac:dyDescent="0.25">
      <c r="A62" s="6" t="s">
        <v>176</v>
      </c>
      <c r="B62" s="7" t="s">
        <v>66</v>
      </c>
      <c r="C62" s="6" t="s">
        <v>175</v>
      </c>
      <c r="D62" s="6" t="s">
        <v>123</v>
      </c>
      <c r="E62" s="4">
        <v>0</v>
      </c>
      <c r="F62" s="4">
        <v>0</v>
      </c>
      <c r="G62" s="4">
        <v>1</v>
      </c>
      <c r="H62" s="4">
        <v>0</v>
      </c>
      <c r="I62" s="6">
        <f t="shared" si="0"/>
        <v>1</v>
      </c>
    </row>
    <row r="63" spans="1:9" ht="26.4" x14ac:dyDescent="0.25">
      <c r="A63" s="6" t="s">
        <v>177</v>
      </c>
      <c r="B63" s="7" t="s">
        <v>27</v>
      </c>
      <c r="C63" s="6" t="s">
        <v>175</v>
      </c>
      <c r="D63" s="6" t="s">
        <v>116</v>
      </c>
      <c r="E63" s="4">
        <v>0</v>
      </c>
      <c r="F63" s="4">
        <v>1</v>
      </c>
      <c r="G63" s="4">
        <v>0</v>
      </c>
      <c r="H63" s="4">
        <v>0</v>
      </c>
      <c r="I63" s="6">
        <f t="shared" si="0"/>
        <v>1</v>
      </c>
    </row>
    <row r="64" spans="1:9" ht="26.4" x14ac:dyDescent="0.25">
      <c r="A64" s="6" t="s">
        <v>178</v>
      </c>
      <c r="B64" s="7" t="s">
        <v>75</v>
      </c>
      <c r="C64" s="6" t="s">
        <v>175</v>
      </c>
      <c r="D64" s="6" t="s">
        <v>116</v>
      </c>
      <c r="E64" s="4">
        <v>0</v>
      </c>
      <c r="F64" s="4">
        <v>1</v>
      </c>
      <c r="G64" s="4">
        <v>0</v>
      </c>
      <c r="H64" s="4">
        <v>0</v>
      </c>
      <c r="I64" s="6">
        <f t="shared" si="0"/>
        <v>1</v>
      </c>
    </row>
    <row r="65" spans="1:9" ht="26.4" x14ac:dyDescent="0.25">
      <c r="A65" s="6" t="s">
        <v>179</v>
      </c>
      <c r="B65" s="7" t="s">
        <v>7</v>
      </c>
      <c r="C65" s="6" t="s">
        <v>175</v>
      </c>
      <c r="D65" s="6" t="s">
        <v>114</v>
      </c>
      <c r="E65" s="4">
        <v>0</v>
      </c>
      <c r="F65" s="4">
        <v>1</v>
      </c>
      <c r="G65" s="4">
        <v>0</v>
      </c>
      <c r="H65" s="4">
        <v>0</v>
      </c>
      <c r="I65" s="6">
        <f t="shared" si="0"/>
        <v>1</v>
      </c>
    </row>
    <row r="66" spans="1:9" ht="26.4" x14ac:dyDescent="0.25">
      <c r="A66" s="6" t="s">
        <v>180</v>
      </c>
      <c r="B66" s="7" t="s">
        <v>23</v>
      </c>
      <c r="C66" s="6" t="s">
        <v>175</v>
      </c>
      <c r="D66" s="6" t="s">
        <v>114</v>
      </c>
      <c r="E66" s="4">
        <v>0</v>
      </c>
      <c r="F66" s="4">
        <v>1</v>
      </c>
      <c r="G66" s="4">
        <v>0</v>
      </c>
      <c r="H66" s="4">
        <v>0</v>
      </c>
      <c r="I66" s="6">
        <f t="shared" si="0"/>
        <v>1</v>
      </c>
    </row>
    <row r="67" spans="1:9" ht="26.4" x14ac:dyDescent="0.25">
      <c r="A67" s="6" t="s">
        <v>181</v>
      </c>
      <c r="B67" s="7" t="s">
        <v>4</v>
      </c>
      <c r="C67" s="6" t="s">
        <v>175</v>
      </c>
      <c r="D67" s="6" t="s">
        <v>105</v>
      </c>
      <c r="E67" s="4">
        <v>0</v>
      </c>
      <c r="F67" s="4">
        <v>1</v>
      </c>
      <c r="G67" s="4">
        <v>0</v>
      </c>
      <c r="H67" s="4">
        <v>0</v>
      </c>
      <c r="I67" s="6">
        <f t="shared" ref="I67:I100" si="1">SUM(E67:H67)</f>
        <v>1</v>
      </c>
    </row>
    <row r="68" spans="1:9" ht="26.4" x14ac:dyDescent="0.25">
      <c r="A68" s="6" t="s">
        <v>182</v>
      </c>
      <c r="B68" s="7" t="s">
        <v>60</v>
      </c>
      <c r="C68" s="6" t="s">
        <v>175</v>
      </c>
      <c r="D68" s="6" t="s">
        <v>128</v>
      </c>
      <c r="E68" s="4">
        <v>1</v>
      </c>
      <c r="F68" s="4">
        <v>0</v>
      </c>
      <c r="G68" s="4">
        <v>0</v>
      </c>
      <c r="H68" s="4">
        <v>0</v>
      </c>
      <c r="I68" s="6">
        <f t="shared" si="1"/>
        <v>1</v>
      </c>
    </row>
    <row r="69" spans="1:9" ht="26.4" x14ac:dyDescent="0.25">
      <c r="A69" s="6" t="s">
        <v>183</v>
      </c>
      <c r="B69" s="7" t="s">
        <v>86</v>
      </c>
      <c r="C69" s="6" t="s">
        <v>175</v>
      </c>
      <c r="D69" s="6" t="s">
        <v>128</v>
      </c>
      <c r="E69" s="4">
        <v>1</v>
      </c>
      <c r="F69" s="4">
        <v>0</v>
      </c>
      <c r="G69" s="4">
        <v>0</v>
      </c>
      <c r="H69" s="4">
        <v>0</v>
      </c>
      <c r="I69" s="6">
        <f t="shared" si="1"/>
        <v>1</v>
      </c>
    </row>
    <row r="70" spans="1:9" ht="26.4" x14ac:dyDescent="0.25">
      <c r="A70" s="6" t="s">
        <v>184</v>
      </c>
      <c r="B70" s="7" t="s">
        <v>95</v>
      </c>
      <c r="C70" s="6" t="s">
        <v>175</v>
      </c>
      <c r="D70" s="6" t="s">
        <v>116</v>
      </c>
      <c r="E70" s="4">
        <v>1</v>
      </c>
      <c r="F70" s="4">
        <v>0</v>
      </c>
      <c r="G70" s="4">
        <v>0</v>
      </c>
      <c r="H70" s="4">
        <v>0</v>
      </c>
      <c r="I70" s="6">
        <f t="shared" si="1"/>
        <v>1</v>
      </c>
    </row>
    <row r="71" spans="1:9" ht="26.4" x14ac:dyDescent="0.25">
      <c r="A71" s="6" t="s">
        <v>185</v>
      </c>
      <c r="B71" s="7" t="s">
        <v>56</v>
      </c>
      <c r="C71" s="6" t="s">
        <v>175</v>
      </c>
      <c r="D71" s="6" t="s">
        <v>123</v>
      </c>
      <c r="E71" s="4">
        <v>0</v>
      </c>
      <c r="F71" s="4">
        <v>1</v>
      </c>
      <c r="G71" s="4">
        <v>0</v>
      </c>
      <c r="H71" s="4">
        <v>0</v>
      </c>
      <c r="I71" s="6">
        <f t="shared" si="1"/>
        <v>1</v>
      </c>
    </row>
    <row r="72" spans="1:9" ht="26.4" x14ac:dyDescent="0.25">
      <c r="A72" s="6" t="s">
        <v>186</v>
      </c>
      <c r="B72" s="7" t="s">
        <v>37</v>
      </c>
      <c r="C72" s="6" t="s">
        <v>175</v>
      </c>
      <c r="D72" s="6" t="s">
        <v>116</v>
      </c>
      <c r="E72" s="4">
        <v>0</v>
      </c>
      <c r="F72" s="4">
        <v>1</v>
      </c>
      <c r="G72" s="4">
        <v>0</v>
      </c>
      <c r="H72" s="4">
        <v>0</v>
      </c>
      <c r="I72" s="6">
        <f t="shared" si="1"/>
        <v>1</v>
      </c>
    </row>
    <row r="73" spans="1:9" ht="26.4" x14ac:dyDescent="0.25">
      <c r="A73" s="6" t="s">
        <v>187</v>
      </c>
      <c r="B73" s="7" t="s">
        <v>82</v>
      </c>
      <c r="C73" s="6" t="s">
        <v>175</v>
      </c>
      <c r="D73" s="6" t="s">
        <v>116</v>
      </c>
      <c r="E73" s="4">
        <v>0</v>
      </c>
      <c r="F73" s="4">
        <v>0</v>
      </c>
      <c r="G73" s="4">
        <v>0</v>
      </c>
      <c r="H73" s="4">
        <v>1</v>
      </c>
      <c r="I73" s="6">
        <f t="shared" si="1"/>
        <v>1</v>
      </c>
    </row>
    <row r="74" spans="1:9" ht="26.4" x14ac:dyDescent="0.25">
      <c r="A74" s="6" t="s">
        <v>188</v>
      </c>
      <c r="B74" s="7" t="s">
        <v>40</v>
      </c>
      <c r="C74" s="6" t="s">
        <v>175</v>
      </c>
      <c r="D74" s="6" t="s">
        <v>116</v>
      </c>
      <c r="E74" s="4">
        <v>0</v>
      </c>
      <c r="F74" s="4">
        <v>0</v>
      </c>
      <c r="G74" s="4">
        <v>0</v>
      </c>
      <c r="H74" s="4">
        <v>1</v>
      </c>
      <c r="I74" s="6">
        <f t="shared" si="1"/>
        <v>1</v>
      </c>
    </row>
    <row r="75" spans="1:9" ht="26.4" x14ac:dyDescent="0.25">
      <c r="A75" s="6" t="s">
        <v>189</v>
      </c>
      <c r="B75" s="7" t="s">
        <v>16</v>
      </c>
      <c r="C75" s="6" t="s">
        <v>175</v>
      </c>
      <c r="D75" s="6" t="s">
        <v>116</v>
      </c>
      <c r="E75" s="4">
        <v>0</v>
      </c>
      <c r="F75" s="4">
        <v>0</v>
      </c>
      <c r="G75" s="4">
        <v>0</v>
      </c>
      <c r="H75" s="4">
        <v>1</v>
      </c>
      <c r="I75" s="6">
        <f t="shared" si="1"/>
        <v>1</v>
      </c>
    </row>
    <row r="76" spans="1:9" ht="26.4" x14ac:dyDescent="0.25">
      <c r="A76" s="6" t="s">
        <v>190</v>
      </c>
      <c r="B76" s="7" t="s">
        <v>89</v>
      </c>
      <c r="C76" s="6" t="s">
        <v>175</v>
      </c>
      <c r="D76" s="6" t="s">
        <v>105</v>
      </c>
      <c r="E76" s="4">
        <v>0</v>
      </c>
      <c r="F76" s="4">
        <v>1</v>
      </c>
      <c r="G76" s="4">
        <v>0</v>
      </c>
      <c r="H76" s="4">
        <v>0</v>
      </c>
      <c r="I76" s="6">
        <f t="shared" si="1"/>
        <v>1</v>
      </c>
    </row>
    <row r="77" spans="1:9" ht="26.4" x14ac:dyDescent="0.25">
      <c r="A77" s="6" t="s">
        <v>191</v>
      </c>
      <c r="B77" s="7" t="s">
        <v>88</v>
      </c>
      <c r="C77" s="6" t="s">
        <v>175</v>
      </c>
      <c r="D77" s="6" t="s">
        <v>114</v>
      </c>
      <c r="E77" s="4">
        <v>0</v>
      </c>
      <c r="F77" s="4">
        <v>1</v>
      </c>
      <c r="G77" s="4">
        <v>0</v>
      </c>
      <c r="H77" s="4">
        <v>0</v>
      </c>
      <c r="I77" s="6">
        <f t="shared" si="1"/>
        <v>1</v>
      </c>
    </row>
    <row r="78" spans="1:9" ht="26.4" x14ac:dyDescent="0.25">
      <c r="A78" s="6" t="s">
        <v>192</v>
      </c>
      <c r="B78" s="7" t="s">
        <v>30</v>
      </c>
      <c r="C78" s="6" t="s">
        <v>175</v>
      </c>
      <c r="D78" s="6" t="s">
        <v>116</v>
      </c>
      <c r="E78" s="4">
        <v>1</v>
      </c>
      <c r="F78" s="4">
        <v>0</v>
      </c>
      <c r="G78" s="4">
        <v>0</v>
      </c>
      <c r="H78" s="4">
        <v>0</v>
      </c>
      <c r="I78" s="6">
        <f t="shared" si="1"/>
        <v>1</v>
      </c>
    </row>
    <row r="79" spans="1:9" ht="26.4" x14ac:dyDescent="0.25">
      <c r="A79" s="6" t="s">
        <v>193</v>
      </c>
      <c r="B79" s="7" t="s">
        <v>31</v>
      </c>
      <c r="C79" s="6" t="s">
        <v>175</v>
      </c>
      <c r="D79" s="6" t="s">
        <v>116</v>
      </c>
      <c r="E79" s="4">
        <v>0</v>
      </c>
      <c r="F79" s="4">
        <v>1</v>
      </c>
      <c r="G79" s="4">
        <v>0</v>
      </c>
      <c r="H79" s="4">
        <v>0</v>
      </c>
      <c r="I79" s="6">
        <f t="shared" si="1"/>
        <v>1</v>
      </c>
    </row>
    <row r="80" spans="1:9" ht="26.4" x14ac:dyDescent="0.25">
      <c r="A80" s="6" t="s">
        <v>194</v>
      </c>
      <c r="B80" s="7" t="s">
        <v>99</v>
      </c>
      <c r="C80" s="6" t="s">
        <v>175</v>
      </c>
      <c r="D80" s="6" t="s">
        <v>123</v>
      </c>
      <c r="E80" s="4">
        <v>0</v>
      </c>
      <c r="F80" s="4">
        <v>0</v>
      </c>
      <c r="G80" s="4">
        <v>1</v>
      </c>
      <c r="H80" s="4">
        <v>0</v>
      </c>
      <c r="I80" s="6">
        <f t="shared" si="1"/>
        <v>1</v>
      </c>
    </row>
    <row r="81" spans="1:9" ht="26.4" x14ac:dyDescent="0.25">
      <c r="A81" s="6" t="s">
        <v>195</v>
      </c>
      <c r="B81" s="7" t="s">
        <v>51</v>
      </c>
      <c r="C81" s="6" t="s">
        <v>175</v>
      </c>
      <c r="D81" s="6" t="s">
        <v>116</v>
      </c>
      <c r="E81" s="4">
        <v>0</v>
      </c>
      <c r="F81" s="4">
        <v>1</v>
      </c>
      <c r="G81" s="4">
        <v>0</v>
      </c>
      <c r="H81" s="4">
        <v>0</v>
      </c>
      <c r="I81" s="6">
        <f t="shared" si="1"/>
        <v>1</v>
      </c>
    </row>
    <row r="82" spans="1:9" ht="26.4" x14ac:dyDescent="0.25">
      <c r="A82" s="6" t="s">
        <v>196</v>
      </c>
      <c r="B82" s="7" t="s">
        <v>87</v>
      </c>
      <c r="C82" s="6" t="s">
        <v>175</v>
      </c>
      <c r="D82" s="6" t="s">
        <v>123</v>
      </c>
      <c r="E82" s="4">
        <v>0</v>
      </c>
      <c r="F82" s="4">
        <v>0</v>
      </c>
      <c r="G82" s="4">
        <v>0</v>
      </c>
      <c r="H82" s="4">
        <v>1</v>
      </c>
      <c r="I82" s="6">
        <f t="shared" si="1"/>
        <v>1</v>
      </c>
    </row>
    <row r="83" spans="1:9" ht="26.4" x14ac:dyDescent="0.25">
      <c r="A83" s="6" t="s">
        <v>197</v>
      </c>
      <c r="B83" s="7" t="s">
        <v>93</v>
      </c>
      <c r="C83" s="6" t="s">
        <v>175</v>
      </c>
      <c r="D83" s="6" t="s">
        <v>118</v>
      </c>
      <c r="E83" s="4">
        <v>0</v>
      </c>
      <c r="F83" s="4">
        <v>1</v>
      </c>
      <c r="G83" s="4">
        <v>0</v>
      </c>
      <c r="H83" s="4">
        <v>0</v>
      </c>
      <c r="I83" s="6">
        <f t="shared" si="1"/>
        <v>1</v>
      </c>
    </row>
    <row r="84" spans="1:9" ht="26.4" x14ac:dyDescent="0.25">
      <c r="A84" s="6" t="s">
        <v>198</v>
      </c>
      <c r="B84" s="7" t="s">
        <v>21</v>
      </c>
      <c r="C84" s="6" t="s">
        <v>175</v>
      </c>
      <c r="D84" s="6" t="s">
        <v>128</v>
      </c>
      <c r="E84" s="4">
        <v>0</v>
      </c>
      <c r="F84" s="4">
        <v>1</v>
      </c>
      <c r="G84" s="4">
        <v>0</v>
      </c>
      <c r="H84" s="4">
        <v>0</v>
      </c>
      <c r="I84" s="6">
        <f t="shared" si="1"/>
        <v>1</v>
      </c>
    </row>
    <row r="85" spans="1:9" ht="26.4" x14ac:dyDescent="0.25">
      <c r="A85" s="6" t="s">
        <v>199</v>
      </c>
      <c r="B85" s="7" t="s">
        <v>34</v>
      </c>
      <c r="C85" s="6" t="s">
        <v>175</v>
      </c>
      <c r="D85" s="6" t="s">
        <v>123</v>
      </c>
      <c r="E85" s="4">
        <v>0</v>
      </c>
      <c r="F85" s="4">
        <v>1</v>
      </c>
      <c r="G85" s="4">
        <v>0</v>
      </c>
      <c r="H85" s="4">
        <v>0</v>
      </c>
      <c r="I85" s="6">
        <f t="shared" si="1"/>
        <v>1</v>
      </c>
    </row>
    <row r="86" spans="1:9" ht="26.4" x14ac:dyDescent="0.25">
      <c r="A86" s="6" t="s">
        <v>200</v>
      </c>
      <c r="B86" s="7" t="s">
        <v>71</v>
      </c>
      <c r="C86" s="6" t="s">
        <v>175</v>
      </c>
      <c r="D86" s="6" t="s">
        <v>116</v>
      </c>
      <c r="E86" s="4">
        <v>0</v>
      </c>
      <c r="F86" s="4">
        <v>1</v>
      </c>
      <c r="G86" s="4">
        <v>0</v>
      </c>
      <c r="H86" s="4">
        <v>0</v>
      </c>
      <c r="I86" s="6">
        <f t="shared" si="1"/>
        <v>1</v>
      </c>
    </row>
    <row r="87" spans="1:9" ht="26.4" x14ac:dyDescent="0.25">
      <c r="A87" s="6" t="s">
        <v>201</v>
      </c>
      <c r="B87" s="7" t="s">
        <v>9</v>
      </c>
      <c r="C87" s="6" t="s">
        <v>175</v>
      </c>
      <c r="D87" s="6" t="s">
        <v>114</v>
      </c>
      <c r="E87" s="4">
        <v>0</v>
      </c>
      <c r="F87" s="4">
        <v>0</v>
      </c>
      <c r="G87" s="4">
        <v>1</v>
      </c>
      <c r="H87" s="4">
        <v>0</v>
      </c>
      <c r="I87" s="6">
        <f t="shared" si="1"/>
        <v>1</v>
      </c>
    </row>
    <row r="88" spans="1:9" ht="26.4" x14ac:dyDescent="0.25">
      <c r="A88" s="6" t="s">
        <v>202</v>
      </c>
      <c r="B88" s="7" t="s">
        <v>55</v>
      </c>
      <c r="C88" s="6" t="s">
        <v>175</v>
      </c>
      <c r="D88" s="6" t="s">
        <v>123</v>
      </c>
      <c r="E88" s="4">
        <v>0</v>
      </c>
      <c r="F88" s="4">
        <v>0</v>
      </c>
      <c r="G88" s="4">
        <v>0</v>
      </c>
      <c r="H88" s="4">
        <v>1</v>
      </c>
      <c r="I88" s="6">
        <f t="shared" si="1"/>
        <v>1</v>
      </c>
    </row>
    <row r="89" spans="1:9" ht="26.4" x14ac:dyDescent="0.25">
      <c r="A89" s="6" t="s">
        <v>203</v>
      </c>
      <c r="B89" s="7" t="s">
        <v>62</v>
      </c>
      <c r="C89" s="6" t="s">
        <v>175</v>
      </c>
      <c r="D89" s="6" t="s">
        <v>123</v>
      </c>
      <c r="E89" s="4">
        <v>1</v>
      </c>
      <c r="F89" s="4">
        <v>0</v>
      </c>
      <c r="G89" s="4">
        <v>0</v>
      </c>
      <c r="H89" s="4">
        <v>0</v>
      </c>
      <c r="I89" s="6">
        <f t="shared" si="1"/>
        <v>1</v>
      </c>
    </row>
    <row r="90" spans="1:9" ht="26.4" x14ac:dyDescent="0.25">
      <c r="A90" s="6" t="s">
        <v>204</v>
      </c>
      <c r="B90" s="7" t="s">
        <v>13</v>
      </c>
      <c r="C90" s="6" t="s">
        <v>113</v>
      </c>
      <c r="D90" s="6" t="s">
        <v>114</v>
      </c>
      <c r="E90" s="4">
        <v>0</v>
      </c>
      <c r="F90" s="4">
        <v>1</v>
      </c>
      <c r="G90" s="4">
        <v>0</v>
      </c>
      <c r="H90" s="4">
        <v>0</v>
      </c>
      <c r="I90" s="6">
        <f t="shared" si="1"/>
        <v>1</v>
      </c>
    </row>
    <row r="91" spans="1:9" ht="26.4" x14ac:dyDescent="0.25">
      <c r="A91" s="6" t="s">
        <v>205</v>
      </c>
      <c r="B91" s="7" t="s">
        <v>1</v>
      </c>
      <c r="C91" s="6" t="s">
        <v>175</v>
      </c>
      <c r="D91" s="6" t="s">
        <v>114</v>
      </c>
      <c r="E91" s="4">
        <v>0</v>
      </c>
      <c r="F91" s="4">
        <v>1</v>
      </c>
      <c r="G91" s="4">
        <v>0</v>
      </c>
      <c r="H91" s="4">
        <v>0</v>
      </c>
      <c r="I91" s="6">
        <f t="shared" si="1"/>
        <v>1</v>
      </c>
    </row>
    <row r="92" spans="1:9" ht="26.4" x14ac:dyDescent="0.25">
      <c r="A92" s="6" t="s">
        <v>206</v>
      </c>
      <c r="B92" s="7" t="s">
        <v>49</v>
      </c>
      <c r="C92" s="6" t="s">
        <v>175</v>
      </c>
      <c r="D92" s="6" t="s">
        <v>116</v>
      </c>
      <c r="E92" s="4">
        <v>0</v>
      </c>
      <c r="F92" s="4">
        <v>1</v>
      </c>
      <c r="G92" s="4">
        <v>0</v>
      </c>
      <c r="H92" s="4">
        <v>0</v>
      </c>
      <c r="I92" s="6">
        <f t="shared" si="1"/>
        <v>1</v>
      </c>
    </row>
    <row r="93" spans="1:9" ht="26.4" x14ac:dyDescent="0.25">
      <c r="A93" s="6" t="s">
        <v>207</v>
      </c>
      <c r="B93" s="7" t="s">
        <v>42</v>
      </c>
      <c r="C93" s="6" t="s">
        <v>175</v>
      </c>
      <c r="D93" s="6" t="s">
        <v>105</v>
      </c>
      <c r="E93" s="4">
        <v>0</v>
      </c>
      <c r="F93" s="4">
        <v>0</v>
      </c>
      <c r="G93" s="4">
        <v>0</v>
      </c>
      <c r="H93" s="4">
        <v>1</v>
      </c>
      <c r="I93" s="6">
        <f t="shared" si="1"/>
        <v>1</v>
      </c>
    </row>
    <row r="94" spans="1:9" ht="26.4" x14ac:dyDescent="0.25">
      <c r="A94" s="6" t="s">
        <v>208</v>
      </c>
      <c r="B94" s="7" t="s">
        <v>64</v>
      </c>
      <c r="C94" s="6" t="s">
        <v>175</v>
      </c>
      <c r="D94" s="6" t="s">
        <v>116</v>
      </c>
      <c r="E94" s="4">
        <v>1</v>
      </c>
      <c r="F94" s="4">
        <v>0</v>
      </c>
      <c r="G94" s="4">
        <v>0</v>
      </c>
      <c r="H94" s="4">
        <v>0</v>
      </c>
      <c r="I94" s="6">
        <f t="shared" si="1"/>
        <v>1</v>
      </c>
    </row>
    <row r="95" spans="1:9" ht="26.4" x14ac:dyDescent="0.25">
      <c r="A95" s="6" t="s">
        <v>209</v>
      </c>
      <c r="B95" s="7" t="s">
        <v>53</v>
      </c>
      <c r="C95" s="6" t="s">
        <v>175</v>
      </c>
      <c r="D95" s="6" t="s">
        <v>118</v>
      </c>
      <c r="E95" s="4">
        <v>0</v>
      </c>
      <c r="F95" s="4">
        <v>1</v>
      </c>
      <c r="G95" s="4">
        <v>0</v>
      </c>
      <c r="H95" s="4">
        <v>0</v>
      </c>
      <c r="I95" s="6">
        <f t="shared" si="1"/>
        <v>1</v>
      </c>
    </row>
    <row r="96" spans="1:9" ht="26.4" x14ac:dyDescent="0.25">
      <c r="A96" s="6" t="s">
        <v>210</v>
      </c>
      <c r="B96" s="7" t="s">
        <v>45</v>
      </c>
      <c r="C96" s="6" t="s">
        <v>175</v>
      </c>
      <c r="D96" s="6" t="s">
        <v>116</v>
      </c>
      <c r="E96" s="4">
        <v>0</v>
      </c>
      <c r="F96" s="4">
        <v>1</v>
      </c>
      <c r="G96" s="4">
        <v>0</v>
      </c>
      <c r="H96" s="4">
        <v>0</v>
      </c>
      <c r="I96" s="6">
        <f t="shared" si="1"/>
        <v>1</v>
      </c>
    </row>
    <row r="97" spans="1:9" ht="26.4" x14ac:dyDescent="0.25">
      <c r="A97" s="6" t="s">
        <v>211</v>
      </c>
      <c r="B97" s="7" t="s">
        <v>19</v>
      </c>
      <c r="C97" s="6" t="s">
        <v>175</v>
      </c>
      <c r="D97" s="6" t="s">
        <v>116</v>
      </c>
      <c r="E97" s="4">
        <v>0</v>
      </c>
      <c r="F97" s="4">
        <v>1</v>
      </c>
      <c r="G97" s="4">
        <v>0</v>
      </c>
      <c r="H97" s="4">
        <v>0</v>
      </c>
      <c r="I97" s="6">
        <f t="shared" si="1"/>
        <v>1</v>
      </c>
    </row>
    <row r="98" spans="1:9" x14ac:dyDescent="0.25">
      <c r="A98" s="6" t="s">
        <v>212</v>
      </c>
      <c r="B98" s="7" t="s">
        <v>36</v>
      </c>
      <c r="C98" s="6" t="s">
        <v>213</v>
      </c>
      <c r="D98" s="6" t="s">
        <v>123</v>
      </c>
      <c r="E98" s="4">
        <v>0</v>
      </c>
      <c r="F98" s="4">
        <v>0</v>
      </c>
      <c r="G98" s="4">
        <v>0</v>
      </c>
      <c r="H98" s="4">
        <v>1</v>
      </c>
      <c r="I98" s="6">
        <f t="shared" si="1"/>
        <v>1</v>
      </c>
    </row>
    <row r="99" spans="1:9" x14ac:dyDescent="0.25">
      <c r="A99" s="6" t="s">
        <v>214</v>
      </c>
      <c r="B99" s="7" t="s">
        <v>83</v>
      </c>
      <c r="C99" s="6" t="s">
        <v>215</v>
      </c>
      <c r="D99" s="6" t="s">
        <v>118</v>
      </c>
      <c r="E99" s="4">
        <v>0</v>
      </c>
      <c r="F99" s="4">
        <v>1</v>
      </c>
      <c r="G99" s="4">
        <v>0</v>
      </c>
      <c r="H99" s="4">
        <v>0</v>
      </c>
      <c r="I99" s="6">
        <f t="shared" si="1"/>
        <v>1</v>
      </c>
    </row>
    <row r="100" spans="1:9" x14ac:dyDescent="0.25">
      <c r="A100" s="6" t="s">
        <v>216</v>
      </c>
      <c r="B100" s="7" t="s">
        <v>28</v>
      </c>
      <c r="C100" s="6" t="s">
        <v>215</v>
      </c>
      <c r="D100" s="6" t="s">
        <v>116</v>
      </c>
      <c r="E100" s="4">
        <v>1</v>
      </c>
      <c r="F100" s="4">
        <v>0</v>
      </c>
      <c r="G100" s="4">
        <v>0</v>
      </c>
      <c r="H100" s="4">
        <v>0</v>
      </c>
      <c r="I100" s="6">
        <f t="shared" si="1"/>
        <v>1</v>
      </c>
    </row>
    <row r="102" spans="1:9" x14ac:dyDescent="0.25">
      <c r="B102" s="8" t="s">
        <v>222</v>
      </c>
    </row>
    <row r="103" spans="1:9" x14ac:dyDescent="0.25">
      <c r="B103" s="9" t="s">
        <v>218</v>
      </c>
    </row>
    <row r="104" spans="1:9" x14ac:dyDescent="0.25">
      <c r="B104" s="10" t="s">
        <v>219</v>
      </c>
    </row>
    <row r="105" spans="1:9" x14ac:dyDescent="0.25">
      <c r="B105" s="11" t="s">
        <v>220</v>
      </c>
    </row>
    <row r="106" spans="1:9" ht="26.4" x14ac:dyDescent="0.25">
      <c r="B106" s="12" t="s">
        <v>221</v>
      </c>
    </row>
  </sheetData>
  <autoFilter ref="A1:I1" xr:uid="{9EBBB488-0B6B-4B4A-85EF-FB4D6BF08600}"/>
  <pageMargins left="0.7" right="0.7" top="0.75" bottom="0.75" header="0.3" footer="0.3"/>
  <pageSetup scale="80" orientation="landscape" r:id="rId1"/>
  <headerFooter>
    <oddHeader>&amp;LISQM 1_Q11 - Respondent by Category</oddHeader>
    <oddFooter>&amp;R&amp;P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EF2E4-BCB8-4FFD-BAD3-64650D2FDFD9}">
  <dimension ref="A1:P19"/>
  <sheetViews>
    <sheetView view="pageBreakPreview" zoomScale="80" zoomScaleNormal="80" zoomScaleSheetLayoutView="80" workbookViewId="0">
      <pane xSplit="1" ySplit="9" topLeftCell="B10" activePane="bottomRight" state="frozen"/>
      <selection pane="topRight" activeCell="B1" sqref="B1"/>
      <selection pane="bottomLeft" activeCell="A10" sqref="A10"/>
      <selection pane="bottomRight"/>
    </sheetView>
  </sheetViews>
  <sheetFormatPr defaultRowHeight="13.2" x14ac:dyDescent="0.25"/>
  <cols>
    <col min="1" max="1" width="52.6640625" style="3" bestFit="1" customWidth="1"/>
    <col min="2" max="2" width="13.21875" style="3" bestFit="1" customWidth="1"/>
    <col min="3" max="3" width="27.6640625" style="3" bestFit="1" customWidth="1"/>
    <col min="4" max="4" width="32.109375" style="3" bestFit="1" customWidth="1"/>
    <col min="5" max="5" width="31" style="3" bestFit="1" customWidth="1"/>
    <col min="6" max="6" width="30.21875" style="3" bestFit="1" customWidth="1"/>
    <col min="7" max="7" width="30" style="3" bestFit="1" customWidth="1"/>
    <col min="8" max="8" width="30.109375" style="3" bestFit="1" customWidth="1"/>
    <col min="9" max="9" width="28.88671875" style="3" bestFit="1" customWidth="1"/>
    <col min="10" max="10" width="29.109375" style="3" bestFit="1" customWidth="1"/>
    <col min="11" max="11" width="15.6640625" style="3" bestFit="1" customWidth="1"/>
    <col min="12" max="12" width="31.109375" style="3" bestFit="1" customWidth="1"/>
    <col min="13" max="13" width="30.44140625" style="3" bestFit="1" customWidth="1"/>
    <col min="14" max="14" width="30.6640625" style="3" bestFit="1" customWidth="1"/>
    <col min="15" max="15" width="32.88671875" style="3" bestFit="1" customWidth="1"/>
    <col min="16" max="16" width="27.44140625" style="3" bestFit="1" customWidth="1"/>
    <col min="17" max="16384" width="8.88671875" style="3"/>
  </cols>
  <sheetData>
    <row r="1" spans="1:16" ht="66" x14ac:dyDescent="0.25">
      <c r="A1" s="2" t="s">
        <v>229</v>
      </c>
    </row>
    <row r="2" spans="1:16" x14ac:dyDescent="0.25">
      <c r="A2" s="2"/>
    </row>
    <row r="3" spans="1:16" x14ac:dyDescent="0.25">
      <c r="A3" s="8" t="s">
        <v>222</v>
      </c>
    </row>
    <row r="4" spans="1:16" x14ac:dyDescent="0.25">
      <c r="A4" s="9" t="s">
        <v>218</v>
      </c>
    </row>
    <row r="5" spans="1:16" x14ac:dyDescent="0.25">
      <c r="A5" s="45" t="s">
        <v>219</v>
      </c>
    </row>
    <row r="6" spans="1:16" x14ac:dyDescent="0.25">
      <c r="A6" s="11" t="s">
        <v>220</v>
      </c>
    </row>
    <row r="7" spans="1:16" ht="26.4" x14ac:dyDescent="0.25">
      <c r="A7" s="12" t="s">
        <v>473</v>
      </c>
    </row>
    <row r="9" spans="1:16" s="2" customFormat="1" ht="66" x14ac:dyDescent="0.25">
      <c r="A9" s="34" t="s">
        <v>101</v>
      </c>
      <c r="B9" s="35" t="s">
        <v>223</v>
      </c>
      <c r="C9" s="46" t="s">
        <v>225</v>
      </c>
      <c r="D9" s="47" t="s">
        <v>243</v>
      </c>
      <c r="E9" s="47" t="s">
        <v>244</v>
      </c>
      <c r="F9" s="47" t="s">
        <v>472</v>
      </c>
      <c r="G9" s="47" t="s">
        <v>245</v>
      </c>
      <c r="H9" s="47" t="s">
        <v>246</v>
      </c>
      <c r="I9" s="47" t="s">
        <v>247</v>
      </c>
      <c r="J9" s="47" t="s">
        <v>248</v>
      </c>
      <c r="K9" s="36" t="s">
        <v>226</v>
      </c>
      <c r="L9" s="39" t="s">
        <v>249</v>
      </c>
      <c r="M9" s="39" t="s">
        <v>250</v>
      </c>
      <c r="N9" s="39" t="s">
        <v>251</v>
      </c>
      <c r="O9" s="39" t="s">
        <v>252</v>
      </c>
      <c r="P9" s="37" t="s">
        <v>227</v>
      </c>
    </row>
    <row r="10" spans="1:16" x14ac:dyDescent="0.25">
      <c r="A10" s="32" t="s">
        <v>104</v>
      </c>
      <c r="B10" s="33">
        <v>1</v>
      </c>
      <c r="C10" s="33">
        <v>2</v>
      </c>
      <c r="D10" s="33">
        <v>2</v>
      </c>
      <c r="E10" s="33">
        <v>0</v>
      </c>
      <c r="F10" s="33">
        <v>0</v>
      </c>
      <c r="G10" s="33">
        <v>0</v>
      </c>
      <c r="H10" s="33">
        <v>0</v>
      </c>
      <c r="I10" s="33">
        <v>0</v>
      </c>
      <c r="J10" s="33">
        <v>0</v>
      </c>
      <c r="K10" s="33">
        <v>0</v>
      </c>
      <c r="L10" s="33">
        <v>0</v>
      </c>
      <c r="M10" s="33">
        <v>0</v>
      </c>
      <c r="N10" s="33">
        <v>0</v>
      </c>
      <c r="O10" s="33">
        <v>0</v>
      </c>
      <c r="P10" s="33">
        <v>1</v>
      </c>
    </row>
    <row r="11" spans="1:16" x14ac:dyDescent="0.25">
      <c r="A11" s="32" t="s">
        <v>110</v>
      </c>
      <c r="B11" s="33">
        <v>0</v>
      </c>
      <c r="C11" s="33">
        <v>0</v>
      </c>
      <c r="D11" s="33">
        <v>0</v>
      </c>
      <c r="E11" s="33">
        <v>0</v>
      </c>
      <c r="F11" s="33">
        <v>0</v>
      </c>
      <c r="G11" s="33">
        <v>0</v>
      </c>
      <c r="H11" s="33">
        <v>0</v>
      </c>
      <c r="I11" s="33">
        <v>0</v>
      </c>
      <c r="J11" s="33">
        <v>0</v>
      </c>
      <c r="K11" s="33">
        <v>0</v>
      </c>
      <c r="L11" s="33">
        <v>0</v>
      </c>
      <c r="M11" s="33">
        <v>0</v>
      </c>
      <c r="N11" s="33">
        <v>0</v>
      </c>
      <c r="O11" s="33">
        <v>0</v>
      </c>
      <c r="P11" s="33">
        <v>2</v>
      </c>
    </row>
    <row r="12" spans="1:16" x14ac:dyDescent="0.25">
      <c r="A12" s="32" t="s">
        <v>113</v>
      </c>
      <c r="B12" s="33">
        <v>1</v>
      </c>
      <c r="C12" s="33">
        <v>3</v>
      </c>
      <c r="D12" s="33">
        <v>0</v>
      </c>
      <c r="E12" s="33">
        <v>2</v>
      </c>
      <c r="F12" s="33">
        <v>1</v>
      </c>
      <c r="G12" s="33">
        <v>1</v>
      </c>
      <c r="H12" s="33">
        <v>0</v>
      </c>
      <c r="I12" s="33">
        <v>0</v>
      </c>
      <c r="J12" s="33">
        <v>0</v>
      </c>
      <c r="K12" s="33">
        <v>0</v>
      </c>
      <c r="L12" s="33">
        <v>0</v>
      </c>
      <c r="M12" s="33">
        <v>0</v>
      </c>
      <c r="N12" s="33">
        <v>0</v>
      </c>
      <c r="O12" s="33">
        <v>0</v>
      </c>
      <c r="P12" s="33">
        <v>1</v>
      </c>
    </row>
    <row r="13" spans="1:16" x14ac:dyDescent="0.25">
      <c r="A13" s="32" t="s">
        <v>121</v>
      </c>
      <c r="B13" s="33">
        <v>2</v>
      </c>
      <c r="C13" s="33">
        <v>9</v>
      </c>
      <c r="D13" s="33">
        <v>0</v>
      </c>
      <c r="E13" s="33">
        <v>4</v>
      </c>
      <c r="F13" s="33">
        <v>4</v>
      </c>
      <c r="G13" s="33">
        <v>1</v>
      </c>
      <c r="H13" s="33">
        <v>2</v>
      </c>
      <c r="I13" s="33">
        <v>0</v>
      </c>
      <c r="J13" s="33">
        <v>2</v>
      </c>
      <c r="K13" s="33">
        <v>2</v>
      </c>
      <c r="L13" s="33">
        <v>2</v>
      </c>
      <c r="M13" s="33">
        <v>1</v>
      </c>
      <c r="N13" s="33">
        <v>1</v>
      </c>
      <c r="O13" s="33">
        <v>0</v>
      </c>
      <c r="P13" s="33">
        <v>1</v>
      </c>
    </row>
    <row r="14" spans="1:16" x14ac:dyDescent="0.25">
      <c r="A14" s="32" t="s">
        <v>138</v>
      </c>
      <c r="B14" s="33">
        <v>9</v>
      </c>
      <c r="C14" s="33">
        <v>14</v>
      </c>
      <c r="D14" s="33">
        <v>0</v>
      </c>
      <c r="E14" s="33">
        <v>5</v>
      </c>
      <c r="F14" s="33">
        <v>6</v>
      </c>
      <c r="G14" s="33">
        <v>2</v>
      </c>
      <c r="H14" s="33">
        <v>2</v>
      </c>
      <c r="I14" s="33">
        <v>4</v>
      </c>
      <c r="J14" s="33">
        <v>1</v>
      </c>
      <c r="K14" s="33">
        <v>0</v>
      </c>
      <c r="L14" s="33">
        <v>0</v>
      </c>
      <c r="M14" s="33">
        <v>0</v>
      </c>
      <c r="N14" s="33">
        <v>0</v>
      </c>
      <c r="O14" s="33">
        <v>0</v>
      </c>
      <c r="P14" s="33">
        <v>2</v>
      </c>
    </row>
    <row r="15" spans="1:16" x14ac:dyDescent="0.25">
      <c r="A15" s="32" t="s">
        <v>164</v>
      </c>
      <c r="B15" s="33">
        <v>3</v>
      </c>
      <c r="C15" s="33">
        <v>5</v>
      </c>
      <c r="D15" s="33">
        <v>0</v>
      </c>
      <c r="E15" s="33">
        <v>1</v>
      </c>
      <c r="F15" s="33">
        <v>1</v>
      </c>
      <c r="G15" s="33">
        <v>0</v>
      </c>
      <c r="H15" s="33">
        <v>2</v>
      </c>
      <c r="I15" s="33">
        <v>0</v>
      </c>
      <c r="J15" s="33">
        <v>1</v>
      </c>
      <c r="K15" s="33">
        <v>2</v>
      </c>
      <c r="L15" s="33">
        <v>0</v>
      </c>
      <c r="M15" s="33">
        <v>0</v>
      </c>
      <c r="N15" s="33">
        <v>2</v>
      </c>
      <c r="O15" s="33">
        <v>0</v>
      </c>
      <c r="P15" s="33">
        <v>0</v>
      </c>
    </row>
    <row r="16" spans="1:16" x14ac:dyDescent="0.25">
      <c r="A16" s="32" t="s">
        <v>175</v>
      </c>
      <c r="B16" s="33">
        <v>6</v>
      </c>
      <c r="C16" s="33">
        <v>21</v>
      </c>
      <c r="D16" s="33">
        <v>0</v>
      </c>
      <c r="E16" s="33">
        <v>9</v>
      </c>
      <c r="F16" s="33">
        <v>5</v>
      </c>
      <c r="G16" s="33">
        <v>6</v>
      </c>
      <c r="H16" s="33">
        <v>2</v>
      </c>
      <c r="I16" s="33">
        <v>2</v>
      </c>
      <c r="J16" s="33">
        <v>1</v>
      </c>
      <c r="K16" s="33">
        <v>3</v>
      </c>
      <c r="L16" s="33">
        <v>0</v>
      </c>
      <c r="M16" s="33">
        <v>0</v>
      </c>
      <c r="N16" s="33">
        <v>0</v>
      </c>
      <c r="O16" s="33">
        <v>2</v>
      </c>
      <c r="P16" s="33">
        <v>6</v>
      </c>
    </row>
    <row r="17" spans="1:16" x14ac:dyDescent="0.25">
      <c r="A17" s="32" t="s">
        <v>213</v>
      </c>
      <c r="B17" s="33">
        <v>0</v>
      </c>
      <c r="C17" s="33">
        <v>0</v>
      </c>
      <c r="D17" s="33">
        <v>0</v>
      </c>
      <c r="E17" s="33">
        <v>0</v>
      </c>
      <c r="F17" s="33">
        <v>0</v>
      </c>
      <c r="G17" s="33">
        <v>0</v>
      </c>
      <c r="H17" s="33">
        <v>0</v>
      </c>
      <c r="I17" s="33">
        <v>0</v>
      </c>
      <c r="J17" s="33">
        <v>0</v>
      </c>
      <c r="K17" s="33">
        <v>0</v>
      </c>
      <c r="L17" s="33">
        <v>0</v>
      </c>
      <c r="M17" s="33">
        <v>0</v>
      </c>
      <c r="N17" s="33">
        <v>0</v>
      </c>
      <c r="O17" s="33">
        <v>0</v>
      </c>
      <c r="P17" s="33">
        <v>1</v>
      </c>
    </row>
    <row r="18" spans="1:16" x14ac:dyDescent="0.25">
      <c r="A18" s="32" t="s">
        <v>215</v>
      </c>
      <c r="B18" s="33">
        <v>1</v>
      </c>
      <c r="C18" s="33">
        <v>1</v>
      </c>
      <c r="D18" s="33">
        <v>0</v>
      </c>
      <c r="E18" s="33">
        <v>1</v>
      </c>
      <c r="F18" s="33">
        <v>0</v>
      </c>
      <c r="G18" s="33">
        <v>0</v>
      </c>
      <c r="H18" s="33">
        <v>0</v>
      </c>
      <c r="I18" s="33">
        <v>0</v>
      </c>
      <c r="J18" s="33">
        <v>0</v>
      </c>
      <c r="K18" s="33">
        <v>0</v>
      </c>
      <c r="L18" s="33">
        <v>0</v>
      </c>
      <c r="M18" s="33">
        <v>0</v>
      </c>
      <c r="N18" s="33">
        <v>0</v>
      </c>
      <c r="O18" s="33">
        <v>0</v>
      </c>
      <c r="P18" s="33">
        <v>0</v>
      </c>
    </row>
    <row r="19" spans="1:16" x14ac:dyDescent="0.25">
      <c r="A19" s="32" t="s">
        <v>224</v>
      </c>
      <c r="B19" s="33">
        <v>23</v>
      </c>
      <c r="C19" s="33">
        <v>55</v>
      </c>
      <c r="D19" s="33">
        <v>2</v>
      </c>
      <c r="E19" s="33">
        <v>22</v>
      </c>
      <c r="F19" s="33">
        <v>17</v>
      </c>
      <c r="G19" s="33">
        <v>10</v>
      </c>
      <c r="H19" s="33">
        <v>8</v>
      </c>
      <c r="I19" s="33">
        <v>6</v>
      </c>
      <c r="J19" s="33">
        <v>5</v>
      </c>
      <c r="K19" s="33">
        <v>7</v>
      </c>
      <c r="L19" s="33">
        <v>2</v>
      </c>
      <c r="M19" s="33">
        <v>1</v>
      </c>
      <c r="N19" s="33">
        <v>3</v>
      </c>
      <c r="O19" s="33">
        <v>2</v>
      </c>
      <c r="P19" s="33">
        <v>14</v>
      </c>
    </row>
  </sheetData>
  <pageMargins left="0.7" right="0.7" top="0.75" bottom="0.75" header="0.3" footer="0.3"/>
  <pageSetup scale="80" orientation="landscape" r:id="rId2"/>
  <headerFooter>
    <oddHeader>&amp;C&amp;"Arial,Regular"&amp;8Proposed ISQM 2: NVivo MS Excel Report by Theme – ED-ISQM 1_Question 11
&amp;"Arial,Italic"IAASB Main Agenda (September 2019)&amp;R&amp;"Arial,Bold"&amp;18Agenda Item 7–A.2</oddHeader>
    <oddFooter>&amp;R&amp;P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904F-2D67-4EA3-B4BB-1D29F652EF88}">
  <dimension ref="A1:S106"/>
  <sheetViews>
    <sheetView topLeftCell="B1" zoomScale="80" zoomScaleNormal="80" workbookViewId="0">
      <pane xSplit="3" ySplit="1" topLeftCell="E87" activePane="bottomRight" state="frozen"/>
      <selection activeCell="B1" sqref="B1"/>
      <selection pane="topRight" activeCell="E1" sqref="E1"/>
      <selection pane="bottomLeft" activeCell="B2" sqref="B2"/>
      <selection pane="bottomRight" activeCell="C90" sqref="C90"/>
    </sheetView>
  </sheetViews>
  <sheetFormatPr defaultColWidth="8.88671875" defaultRowHeight="13.2" outlineLevelCol="1" x14ac:dyDescent="0.25"/>
  <cols>
    <col min="1" max="1" width="50.77734375" style="2" hidden="1" customWidth="1" outlineLevel="1"/>
    <col min="2" max="2" width="30.77734375" style="3" customWidth="1" collapsed="1"/>
    <col min="3" max="4" width="30.77734375" style="2" customWidth="1" outlineLevel="1"/>
    <col min="5" max="5" width="7.6640625" style="3" bestFit="1" customWidth="1"/>
    <col min="6" max="7" width="30.44140625" style="3" bestFit="1" customWidth="1"/>
    <col min="8" max="8" width="30.33203125" style="3" bestFit="1" customWidth="1"/>
    <col min="9" max="9" width="29.88671875" style="3" bestFit="1" customWidth="1"/>
    <col min="10" max="10" width="30.21875" style="3" bestFit="1" customWidth="1"/>
    <col min="11" max="11" width="29.77734375" style="3" bestFit="1" customWidth="1"/>
    <col min="12" max="12" width="30.6640625" style="3" bestFit="1" customWidth="1"/>
    <col min="13" max="13" width="30.109375" style="3" bestFit="1" customWidth="1"/>
    <col min="14" max="14" width="10.6640625" style="3" bestFit="1" customWidth="1"/>
    <col min="15" max="15" width="30.109375" style="3" bestFit="1" customWidth="1"/>
    <col min="16" max="16" width="30.21875" style="3" bestFit="1" customWidth="1"/>
    <col min="17" max="17" width="30.6640625" style="3" bestFit="1" customWidth="1"/>
    <col min="18" max="18" width="30.44140625" style="3" bestFit="1" customWidth="1"/>
    <col min="19" max="19" width="29.109375" style="3" bestFit="1" customWidth="1"/>
    <col min="20" max="16384" width="8.88671875" style="2"/>
  </cols>
  <sheetData>
    <row r="1" spans="1:19" s="14" customFormat="1" ht="66" x14ac:dyDescent="0.25">
      <c r="A1" s="13" t="s">
        <v>100</v>
      </c>
      <c r="B1" s="13" t="s">
        <v>217</v>
      </c>
      <c r="C1" s="13" t="s">
        <v>101</v>
      </c>
      <c r="D1" s="13" t="s">
        <v>102</v>
      </c>
      <c r="E1" s="21" t="s">
        <v>218</v>
      </c>
      <c r="F1" s="22" t="s">
        <v>219</v>
      </c>
      <c r="G1" s="22" t="s">
        <v>230</v>
      </c>
      <c r="H1" s="22" t="s">
        <v>231</v>
      </c>
      <c r="I1" s="22" t="s">
        <v>232</v>
      </c>
      <c r="J1" s="22" t="s">
        <v>233</v>
      </c>
      <c r="K1" s="22" t="s">
        <v>234</v>
      </c>
      <c r="L1" s="22" t="s">
        <v>235</v>
      </c>
      <c r="M1" s="22" t="s">
        <v>236</v>
      </c>
      <c r="N1" s="23" t="s">
        <v>220</v>
      </c>
      <c r="O1" s="23" t="s">
        <v>237</v>
      </c>
      <c r="P1" s="23" t="s">
        <v>238</v>
      </c>
      <c r="Q1" s="23" t="s">
        <v>239</v>
      </c>
      <c r="R1" s="23" t="s">
        <v>240</v>
      </c>
      <c r="S1" s="24" t="s">
        <v>221</v>
      </c>
    </row>
    <row r="2" spans="1:19" x14ac:dyDescent="0.25">
      <c r="A2" s="6" t="s">
        <v>103</v>
      </c>
      <c r="B2" s="7" t="s">
        <v>68</v>
      </c>
      <c r="C2" s="6" t="s">
        <v>104</v>
      </c>
      <c r="D2" s="6" t="s">
        <v>105</v>
      </c>
      <c r="E2" s="4">
        <v>0</v>
      </c>
      <c r="F2" s="4">
        <v>1</v>
      </c>
      <c r="G2" s="4">
        <v>1</v>
      </c>
      <c r="H2" s="4">
        <v>0</v>
      </c>
      <c r="I2" s="4">
        <v>0</v>
      </c>
      <c r="J2" s="4">
        <v>0</v>
      </c>
      <c r="K2" s="4">
        <v>0</v>
      </c>
      <c r="L2" s="4">
        <v>0</v>
      </c>
      <c r="M2" s="4">
        <v>0</v>
      </c>
      <c r="N2" s="4">
        <v>0</v>
      </c>
      <c r="O2" s="4">
        <v>0</v>
      </c>
      <c r="P2" s="4">
        <v>0</v>
      </c>
      <c r="Q2" s="4">
        <v>0</v>
      </c>
      <c r="R2" s="4">
        <v>0</v>
      </c>
      <c r="S2" s="4">
        <v>0</v>
      </c>
    </row>
    <row r="3" spans="1:19" x14ac:dyDescent="0.25">
      <c r="A3" s="6" t="s">
        <v>106</v>
      </c>
      <c r="B3" s="7" t="s">
        <v>43</v>
      </c>
      <c r="C3" s="6" t="s">
        <v>104</v>
      </c>
      <c r="D3" s="6" t="s">
        <v>105</v>
      </c>
      <c r="E3" s="4">
        <v>0</v>
      </c>
      <c r="F3" s="4">
        <v>1</v>
      </c>
      <c r="G3" s="4">
        <v>1</v>
      </c>
      <c r="H3" s="4">
        <v>0</v>
      </c>
      <c r="I3" s="4">
        <v>0</v>
      </c>
      <c r="J3" s="4">
        <v>0</v>
      </c>
      <c r="K3" s="4">
        <v>0</v>
      </c>
      <c r="L3" s="4">
        <v>0</v>
      </c>
      <c r="M3" s="4">
        <v>0</v>
      </c>
      <c r="N3" s="4">
        <v>0</v>
      </c>
      <c r="O3" s="4">
        <v>0</v>
      </c>
      <c r="P3" s="4">
        <v>0</v>
      </c>
      <c r="Q3" s="4">
        <v>0</v>
      </c>
      <c r="R3" s="4">
        <v>0</v>
      </c>
      <c r="S3" s="4">
        <v>0</v>
      </c>
    </row>
    <row r="4" spans="1:19" x14ac:dyDescent="0.25">
      <c r="A4" s="6" t="s">
        <v>107</v>
      </c>
      <c r="B4" s="7" t="s">
        <v>47</v>
      </c>
      <c r="C4" s="6" t="s">
        <v>104</v>
      </c>
      <c r="D4" s="6" t="s">
        <v>105</v>
      </c>
      <c r="E4" s="4">
        <v>1</v>
      </c>
      <c r="F4" s="4">
        <v>0</v>
      </c>
      <c r="G4" s="4">
        <v>0</v>
      </c>
      <c r="H4" s="4">
        <v>0</v>
      </c>
      <c r="I4" s="4">
        <v>0</v>
      </c>
      <c r="J4" s="4">
        <v>0</v>
      </c>
      <c r="K4" s="4">
        <v>0</v>
      </c>
      <c r="L4" s="4">
        <v>0</v>
      </c>
      <c r="M4" s="4">
        <v>0</v>
      </c>
      <c r="N4" s="4">
        <v>0</v>
      </c>
      <c r="O4" s="4">
        <v>0</v>
      </c>
      <c r="P4" s="4">
        <v>0</v>
      </c>
      <c r="Q4" s="4">
        <v>0</v>
      </c>
      <c r="R4" s="4">
        <v>0</v>
      </c>
      <c r="S4" s="4">
        <v>0</v>
      </c>
    </row>
    <row r="5" spans="1:19" x14ac:dyDescent="0.25">
      <c r="A5" s="6" t="s">
        <v>108</v>
      </c>
      <c r="B5" s="7" t="s">
        <v>33</v>
      </c>
      <c r="C5" s="6" t="s">
        <v>104</v>
      </c>
      <c r="D5" s="6" t="s">
        <v>105</v>
      </c>
      <c r="E5" s="4">
        <v>0</v>
      </c>
      <c r="F5" s="4">
        <v>0</v>
      </c>
      <c r="G5" s="4">
        <v>0</v>
      </c>
      <c r="H5" s="4">
        <v>0</v>
      </c>
      <c r="I5" s="4">
        <v>0</v>
      </c>
      <c r="J5" s="4">
        <v>0</v>
      </c>
      <c r="K5" s="4">
        <v>0</v>
      </c>
      <c r="L5" s="4">
        <v>0</v>
      </c>
      <c r="M5" s="4">
        <v>0</v>
      </c>
      <c r="N5" s="4">
        <v>0</v>
      </c>
      <c r="O5" s="4">
        <v>0</v>
      </c>
      <c r="P5" s="4">
        <v>0</v>
      </c>
      <c r="Q5" s="4">
        <v>0</v>
      </c>
      <c r="R5" s="4">
        <v>0</v>
      </c>
      <c r="S5" s="4">
        <v>1</v>
      </c>
    </row>
    <row r="6" spans="1:19" x14ac:dyDescent="0.25">
      <c r="A6" s="6" t="s">
        <v>109</v>
      </c>
      <c r="B6" s="7" t="s">
        <v>94</v>
      </c>
      <c r="C6" s="6" t="s">
        <v>110</v>
      </c>
      <c r="D6" s="6" t="s">
        <v>105</v>
      </c>
      <c r="E6" s="4">
        <v>0</v>
      </c>
      <c r="F6" s="4">
        <v>0</v>
      </c>
      <c r="G6" s="4">
        <v>0</v>
      </c>
      <c r="H6" s="4">
        <v>0</v>
      </c>
      <c r="I6" s="4">
        <v>0</v>
      </c>
      <c r="J6" s="4">
        <v>0</v>
      </c>
      <c r="K6" s="4">
        <v>0</v>
      </c>
      <c r="L6" s="4">
        <v>0</v>
      </c>
      <c r="M6" s="4">
        <v>0</v>
      </c>
      <c r="N6" s="4">
        <v>0</v>
      </c>
      <c r="O6" s="4">
        <v>0</v>
      </c>
      <c r="P6" s="4">
        <v>0</v>
      </c>
      <c r="Q6" s="4">
        <v>0</v>
      </c>
      <c r="R6" s="4">
        <v>0</v>
      </c>
      <c r="S6" s="4">
        <v>1</v>
      </c>
    </row>
    <row r="7" spans="1:19" x14ac:dyDescent="0.25">
      <c r="A7" s="6" t="s">
        <v>111</v>
      </c>
      <c r="B7" s="7" t="s">
        <v>22</v>
      </c>
      <c r="C7" s="6" t="s">
        <v>110</v>
      </c>
      <c r="D7" s="6" t="s">
        <v>105</v>
      </c>
      <c r="E7" s="4">
        <v>0</v>
      </c>
      <c r="F7" s="4">
        <v>0</v>
      </c>
      <c r="G7" s="4">
        <v>0</v>
      </c>
      <c r="H7" s="4">
        <v>0</v>
      </c>
      <c r="I7" s="4">
        <v>0</v>
      </c>
      <c r="J7" s="4">
        <v>0</v>
      </c>
      <c r="K7" s="4">
        <v>0</v>
      </c>
      <c r="L7" s="4">
        <v>0</v>
      </c>
      <c r="M7" s="4">
        <v>0</v>
      </c>
      <c r="N7" s="4">
        <v>0</v>
      </c>
      <c r="O7" s="4">
        <v>0</v>
      </c>
      <c r="P7" s="4">
        <v>0</v>
      </c>
      <c r="Q7" s="4">
        <v>0</v>
      </c>
      <c r="R7" s="4">
        <v>0</v>
      </c>
      <c r="S7" s="4">
        <v>1</v>
      </c>
    </row>
    <row r="8" spans="1:19" ht="26.4" x14ac:dyDescent="0.25">
      <c r="A8" s="6" t="s">
        <v>112</v>
      </c>
      <c r="B8" s="7" t="s">
        <v>11</v>
      </c>
      <c r="C8" s="6" t="s">
        <v>113</v>
      </c>
      <c r="D8" s="6" t="s">
        <v>114</v>
      </c>
      <c r="E8" s="4">
        <v>0</v>
      </c>
      <c r="F8" s="4">
        <v>1</v>
      </c>
      <c r="G8" s="4">
        <v>0</v>
      </c>
      <c r="H8" s="4">
        <v>0</v>
      </c>
      <c r="I8" s="4">
        <v>1</v>
      </c>
      <c r="J8" s="4">
        <v>0</v>
      </c>
      <c r="K8" s="4">
        <v>0</v>
      </c>
      <c r="L8" s="4">
        <v>0</v>
      </c>
      <c r="M8" s="4">
        <v>0</v>
      </c>
      <c r="N8" s="4">
        <v>0</v>
      </c>
      <c r="O8" s="4">
        <v>0</v>
      </c>
      <c r="P8" s="4">
        <v>0</v>
      </c>
      <c r="Q8" s="4">
        <v>0</v>
      </c>
      <c r="R8" s="4">
        <v>0</v>
      </c>
      <c r="S8" s="4">
        <v>0</v>
      </c>
    </row>
    <row r="9" spans="1:19" ht="26.4" x14ac:dyDescent="0.25">
      <c r="A9" s="6" t="s">
        <v>115</v>
      </c>
      <c r="B9" s="7" t="s">
        <v>97</v>
      </c>
      <c r="C9" s="6" t="s">
        <v>113</v>
      </c>
      <c r="D9" s="6" t="s">
        <v>116</v>
      </c>
      <c r="E9" s="4">
        <v>1</v>
      </c>
      <c r="F9" s="4">
        <v>0</v>
      </c>
      <c r="G9" s="4">
        <v>0</v>
      </c>
      <c r="H9" s="4">
        <v>0</v>
      </c>
      <c r="I9" s="4">
        <v>0</v>
      </c>
      <c r="J9" s="4">
        <v>0</v>
      </c>
      <c r="K9" s="4">
        <v>0</v>
      </c>
      <c r="L9" s="4">
        <v>0</v>
      </c>
      <c r="M9" s="4">
        <v>0</v>
      </c>
      <c r="N9" s="4">
        <v>0</v>
      </c>
      <c r="O9" s="4">
        <v>0</v>
      </c>
      <c r="P9" s="4">
        <v>0</v>
      </c>
      <c r="Q9" s="4">
        <v>0</v>
      </c>
      <c r="R9" s="4">
        <v>0</v>
      </c>
      <c r="S9" s="4">
        <v>0</v>
      </c>
    </row>
    <row r="10" spans="1:19" ht="26.4" x14ac:dyDescent="0.25">
      <c r="A10" s="6" t="s">
        <v>117</v>
      </c>
      <c r="B10" s="7" t="s">
        <v>70</v>
      </c>
      <c r="C10" s="6" t="s">
        <v>113</v>
      </c>
      <c r="D10" s="6" t="s">
        <v>118</v>
      </c>
      <c r="E10" s="4">
        <v>0</v>
      </c>
      <c r="F10" s="4">
        <v>1</v>
      </c>
      <c r="G10" s="4">
        <v>0</v>
      </c>
      <c r="H10" s="4">
        <v>1</v>
      </c>
      <c r="I10" s="4">
        <v>0</v>
      </c>
      <c r="J10" s="4">
        <v>1</v>
      </c>
      <c r="K10" s="4">
        <v>0</v>
      </c>
      <c r="L10" s="4">
        <v>0</v>
      </c>
      <c r="M10" s="4">
        <v>0</v>
      </c>
      <c r="N10" s="4">
        <v>0</v>
      </c>
      <c r="O10" s="4">
        <v>0</v>
      </c>
      <c r="P10" s="4">
        <v>0</v>
      </c>
      <c r="Q10" s="4">
        <v>0</v>
      </c>
      <c r="R10" s="4">
        <v>0</v>
      </c>
      <c r="S10" s="4">
        <v>0</v>
      </c>
    </row>
    <row r="11" spans="1:19" ht="26.4" x14ac:dyDescent="0.25">
      <c r="A11" s="6" t="s">
        <v>119</v>
      </c>
      <c r="B11" s="7" t="s">
        <v>96</v>
      </c>
      <c r="C11" s="6" t="s">
        <v>113</v>
      </c>
      <c r="D11" s="6" t="s">
        <v>116</v>
      </c>
      <c r="E11" s="4">
        <v>0</v>
      </c>
      <c r="F11" s="4">
        <v>0</v>
      </c>
      <c r="G11" s="4">
        <v>0</v>
      </c>
      <c r="H11" s="4">
        <v>0</v>
      </c>
      <c r="I11" s="4">
        <v>0</v>
      </c>
      <c r="J11" s="4">
        <v>0</v>
      </c>
      <c r="K11" s="4">
        <v>0</v>
      </c>
      <c r="L11" s="4">
        <v>0</v>
      </c>
      <c r="M11" s="4">
        <v>0</v>
      </c>
      <c r="N11" s="4">
        <v>0</v>
      </c>
      <c r="O11" s="4">
        <v>0</v>
      </c>
      <c r="P11" s="4">
        <v>0</v>
      </c>
      <c r="Q11" s="4">
        <v>0</v>
      </c>
      <c r="R11" s="4">
        <v>0</v>
      </c>
      <c r="S11" s="4">
        <v>1</v>
      </c>
    </row>
    <row r="12" spans="1:19" x14ac:dyDescent="0.25">
      <c r="A12" s="6" t="s">
        <v>120</v>
      </c>
      <c r="B12" s="7" t="s">
        <v>35</v>
      </c>
      <c r="C12" s="6" t="s">
        <v>121</v>
      </c>
      <c r="D12" s="6" t="s">
        <v>114</v>
      </c>
      <c r="E12" s="4">
        <v>0</v>
      </c>
      <c r="F12" s="4">
        <v>1</v>
      </c>
      <c r="G12" s="4">
        <v>0</v>
      </c>
      <c r="H12" s="4">
        <v>0</v>
      </c>
      <c r="I12" s="4">
        <v>1</v>
      </c>
      <c r="J12" s="4">
        <v>1</v>
      </c>
      <c r="K12" s="4">
        <v>0</v>
      </c>
      <c r="L12" s="4">
        <v>0</v>
      </c>
      <c r="M12" s="4">
        <v>1</v>
      </c>
      <c r="N12" s="4">
        <v>0</v>
      </c>
      <c r="O12" s="4">
        <v>0</v>
      </c>
      <c r="P12" s="4">
        <v>0</v>
      </c>
      <c r="Q12" s="4">
        <v>0</v>
      </c>
      <c r="R12" s="4">
        <v>0</v>
      </c>
      <c r="S12" s="4">
        <v>0</v>
      </c>
    </row>
    <row r="13" spans="1:19" x14ac:dyDescent="0.25">
      <c r="A13" s="6" t="s">
        <v>122</v>
      </c>
      <c r="B13" s="7" t="s">
        <v>58</v>
      </c>
      <c r="C13" s="6" t="s">
        <v>121</v>
      </c>
      <c r="D13" s="6" t="s">
        <v>123</v>
      </c>
      <c r="E13" s="4">
        <v>0</v>
      </c>
      <c r="F13" s="4">
        <v>0</v>
      </c>
      <c r="G13" s="4">
        <v>0</v>
      </c>
      <c r="H13" s="4">
        <v>0</v>
      </c>
      <c r="I13" s="4">
        <v>0</v>
      </c>
      <c r="J13" s="4">
        <v>0</v>
      </c>
      <c r="K13" s="4">
        <v>0</v>
      </c>
      <c r="L13" s="4">
        <v>0</v>
      </c>
      <c r="M13" s="4">
        <v>0</v>
      </c>
      <c r="N13" s="4">
        <v>1</v>
      </c>
      <c r="O13" s="4">
        <v>1</v>
      </c>
      <c r="P13" s="4">
        <v>0</v>
      </c>
      <c r="Q13" s="4">
        <v>1</v>
      </c>
      <c r="R13" s="4">
        <v>0</v>
      </c>
      <c r="S13" s="4">
        <v>0</v>
      </c>
    </row>
    <row r="14" spans="1:19" x14ac:dyDescent="0.25">
      <c r="A14" s="6" t="s">
        <v>124</v>
      </c>
      <c r="B14" s="7" t="s">
        <v>3</v>
      </c>
      <c r="C14" s="6" t="s">
        <v>121</v>
      </c>
      <c r="D14" s="6" t="s">
        <v>114</v>
      </c>
      <c r="E14" s="4">
        <v>0</v>
      </c>
      <c r="F14" s="4">
        <v>1</v>
      </c>
      <c r="G14" s="4">
        <v>0</v>
      </c>
      <c r="H14" s="4">
        <v>1</v>
      </c>
      <c r="I14" s="4">
        <v>0</v>
      </c>
      <c r="J14" s="4">
        <v>0</v>
      </c>
      <c r="K14" s="4">
        <v>0</v>
      </c>
      <c r="L14" s="4">
        <v>0</v>
      </c>
      <c r="M14" s="4">
        <v>1</v>
      </c>
      <c r="N14" s="4">
        <v>0</v>
      </c>
      <c r="O14" s="4">
        <v>0</v>
      </c>
      <c r="P14" s="4">
        <v>0</v>
      </c>
      <c r="Q14" s="4">
        <v>0</v>
      </c>
      <c r="R14" s="4">
        <v>0</v>
      </c>
      <c r="S14" s="4">
        <v>0</v>
      </c>
    </row>
    <row r="15" spans="1:19" x14ac:dyDescent="0.25">
      <c r="A15" s="6" t="s">
        <v>125</v>
      </c>
      <c r="B15" s="7" t="s">
        <v>76</v>
      </c>
      <c r="C15" s="6" t="s">
        <v>121</v>
      </c>
      <c r="D15" s="6" t="s">
        <v>123</v>
      </c>
      <c r="E15" s="4">
        <v>0</v>
      </c>
      <c r="F15" s="4">
        <v>1</v>
      </c>
      <c r="G15" s="4">
        <v>0</v>
      </c>
      <c r="H15" s="4">
        <v>0</v>
      </c>
      <c r="I15" s="4">
        <v>0</v>
      </c>
      <c r="J15" s="4">
        <v>0</v>
      </c>
      <c r="K15" s="4">
        <v>0</v>
      </c>
      <c r="L15" s="4">
        <v>0</v>
      </c>
      <c r="M15" s="4">
        <v>0</v>
      </c>
      <c r="N15" s="4">
        <v>0</v>
      </c>
      <c r="O15" s="4">
        <v>0</v>
      </c>
      <c r="P15" s="4">
        <v>0</v>
      </c>
      <c r="Q15" s="4">
        <v>0</v>
      </c>
      <c r="R15" s="4">
        <v>0</v>
      </c>
      <c r="S15" s="4">
        <v>0</v>
      </c>
    </row>
    <row r="16" spans="1:19" ht="26.4" x14ac:dyDescent="0.25">
      <c r="A16" s="6" t="s">
        <v>126</v>
      </c>
      <c r="B16" s="7" t="s">
        <v>52</v>
      </c>
      <c r="C16" s="6" t="s">
        <v>121</v>
      </c>
      <c r="D16" s="6" t="s">
        <v>116</v>
      </c>
      <c r="E16" s="4">
        <v>0</v>
      </c>
      <c r="F16" s="4">
        <v>0</v>
      </c>
      <c r="G16" s="4">
        <v>0</v>
      </c>
      <c r="H16" s="4">
        <v>0</v>
      </c>
      <c r="I16" s="4">
        <v>0</v>
      </c>
      <c r="J16" s="4">
        <v>0</v>
      </c>
      <c r="K16" s="4">
        <v>0</v>
      </c>
      <c r="L16" s="4">
        <v>0</v>
      </c>
      <c r="M16" s="4">
        <v>0</v>
      </c>
      <c r="N16" s="4">
        <v>0</v>
      </c>
      <c r="O16" s="4">
        <v>0</v>
      </c>
      <c r="P16" s="4">
        <v>0</v>
      </c>
      <c r="Q16" s="4">
        <v>0</v>
      </c>
      <c r="R16" s="4">
        <v>0</v>
      </c>
      <c r="S16" s="4">
        <v>1</v>
      </c>
    </row>
    <row r="17" spans="1:19" x14ac:dyDescent="0.25">
      <c r="A17" s="6" t="s">
        <v>127</v>
      </c>
      <c r="B17" s="7" t="s">
        <v>6</v>
      </c>
      <c r="C17" s="6" t="s">
        <v>121</v>
      </c>
      <c r="D17" s="6" t="s">
        <v>128</v>
      </c>
      <c r="E17" s="4">
        <v>0</v>
      </c>
      <c r="F17" s="4">
        <v>1</v>
      </c>
      <c r="G17" s="4">
        <v>0</v>
      </c>
      <c r="H17" s="4">
        <v>1</v>
      </c>
      <c r="I17" s="4">
        <v>0</v>
      </c>
      <c r="J17" s="4">
        <v>0</v>
      </c>
      <c r="K17" s="4">
        <v>0</v>
      </c>
      <c r="L17" s="4">
        <v>0</v>
      </c>
      <c r="M17" s="4">
        <v>0</v>
      </c>
      <c r="N17" s="4">
        <v>0</v>
      </c>
      <c r="O17" s="4">
        <v>0</v>
      </c>
      <c r="P17" s="4">
        <v>0</v>
      </c>
      <c r="Q17" s="4">
        <v>0</v>
      </c>
      <c r="R17" s="4">
        <v>0</v>
      </c>
      <c r="S17" s="4">
        <v>0</v>
      </c>
    </row>
    <row r="18" spans="1:19" x14ac:dyDescent="0.25">
      <c r="A18" s="6" t="s">
        <v>129</v>
      </c>
      <c r="B18" s="7" t="s">
        <v>90</v>
      </c>
      <c r="C18" s="6" t="s">
        <v>121</v>
      </c>
      <c r="D18" s="6" t="s">
        <v>123</v>
      </c>
      <c r="E18" s="4">
        <v>0</v>
      </c>
      <c r="F18" s="4">
        <v>1</v>
      </c>
      <c r="G18" s="4">
        <v>0</v>
      </c>
      <c r="H18" s="4">
        <v>0</v>
      </c>
      <c r="I18" s="4">
        <v>1</v>
      </c>
      <c r="J18" s="4">
        <v>0</v>
      </c>
      <c r="K18" s="4">
        <v>1</v>
      </c>
      <c r="L18" s="4">
        <v>0</v>
      </c>
      <c r="M18" s="4">
        <v>0</v>
      </c>
      <c r="N18" s="4">
        <v>0</v>
      </c>
      <c r="O18" s="4">
        <v>0</v>
      </c>
      <c r="P18" s="4">
        <v>0</v>
      </c>
      <c r="Q18" s="4">
        <v>0</v>
      </c>
      <c r="R18" s="4">
        <v>0</v>
      </c>
      <c r="S18" s="4">
        <v>0</v>
      </c>
    </row>
    <row r="19" spans="1:19" x14ac:dyDescent="0.25">
      <c r="A19" s="6" t="s">
        <v>130</v>
      </c>
      <c r="B19" s="7" t="s">
        <v>10</v>
      </c>
      <c r="C19" s="6" t="s">
        <v>121</v>
      </c>
      <c r="D19" s="6" t="s">
        <v>116</v>
      </c>
      <c r="E19" s="4">
        <v>0</v>
      </c>
      <c r="F19" s="4">
        <v>0</v>
      </c>
      <c r="G19" s="4">
        <v>0</v>
      </c>
      <c r="H19" s="4">
        <v>0</v>
      </c>
      <c r="I19" s="4">
        <v>0</v>
      </c>
      <c r="J19" s="4">
        <v>0</v>
      </c>
      <c r="K19" s="4">
        <v>0</v>
      </c>
      <c r="L19" s="4">
        <v>0</v>
      </c>
      <c r="M19" s="4">
        <v>0</v>
      </c>
      <c r="N19" s="4">
        <v>1</v>
      </c>
      <c r="O19" s="4">
        <v>1</v>
      </c>
      <c r="P19" s="4">
        <v>1</v>
      </c>
      <c r="Q19" s="4">
        <v>0</v>
      </c>
      <c r="R19" s="4">
        <v>0</v>
      </c>
      <c r="S19" s="4">
        <v>0</v>
      </c>
    </row>
    <row r="20" spans="1:19" x14ac:dyDescent="0.25">
      <c r="A20" s="6" t="s">
        <v>131</v>
      </c>
      <c r="B20" s="7" t="s">
        <v>25</v>
      </c>
      <c r="C20" s="6" t="s">
        <v>121</v>
      </c>
      <c r="D20" s="6" t="s">
        <v>123</v>
      </c>
      <c r="E20" s="4">
        <v>1</v>
      </c>
      <c r="F20" s="4">
        <v>0</v>
      </c>
      <c r="G20" s="4">
        <v>0</v>
      </c>
      <c r="H20" s="4">
        <v>0</v>
      </c>
      <c r="I20" s="4">
        <v>0</v>
      </c>
      <c r="J20" s="4">
        <v>0</v>
      </c>
      <c r="K20" s="4">
        <v>0</v>
      </c>
      <c r="L20" s="4">
        <v>0</v>
      </c>
      <c r="M20" s="4">
        <v>0</v>
      </c>
      <c r="N20" s="4">
        <v>0</v>
      </c>
      <c r="O20" s="4">
        <v>0</v>
      </c>
      <c r="P20" s="4">
        <v>0</v>
      </c>
      <c r="Q20" s="4">
        <v>0</v>
      </c>
      <c r="R20" s="4">
        <v>0</v>
      </c>
      <c r="S20" s="4">
        <v>0</v>
      </c>
    </row>
    <row r="21" spans="1:19" x14ac:dyDescent="0.25">
      <c r="A21" s="6" t="s">
        <v>132</v>
      </c>
      <c r="B21" s="7" t="s">
        <v>50</v>
      </c>
      <c r="C21" s="6" t="s">
        <v>121</v>
      </c>
      <c r="D21" s="6" t="s">
        <v>116</v>
      </c>
      <c r="E21" s="4">
        <v>0</v>
      </c>
      <c r="F21" s="4">
        <v>1</v>
      </c>
      <c r="G21" s="4">
        <v>0</v>
      </c>
      <c r="H21" s="4">
        <v>1</v>
      </c>
      <c r="I21" s="4">
        <v>0</v>
      </c>
      <c r="J21" s="4">
        <v>0</v>
      </c>
      <c r="K21" s="4">
        <v>0</v>
      </c>
      <c r="L21" s="4">
        <v>0</v>
      </c>
      <c r="M21" s="4">
        <v>0</v>
      </c>
      <c r="N21" s="4">
        <v>0</v>
      </c>
      <c r="O21" s="4">
        <v>0</v>
      </c>
      <c r="P21" s="4">
        <v>0</v>
      </c>
      <c r="Q21" s="4">
        <v>0</v>
      </c>
      <c r="R21" s="4">
        <v>0</v>
      </c>
      <c r="S21" s="4">
        <v>0</v>
      </c>
    </row>
    <row r="22" spans="1:19" x14ac:dyDescent="0.25">
      <c r="A22" s="6" t="s">
        <v>133</v>
      </c>
      <c r="B22" s="7" t="s">
        <v>61</v>
      </c>
      <c r="C22" s="6" t="s">
        <v>121</v>
      </c>
      <c r="D22" s="6" t="s">
        <v>123</v>
      </c>
      <c r="E22" s="4">
        <v>1</v>
      </c>
      <c r="F22" s="4">
        <v>0</v>
      </c>
      <c r="G22" s="4">
        <v>0</v>
      </c>
      <c r="H22" s="4">
        <v>0</v>
      </c>
      <c r="I22" s="4">
        <v>0</v>
      </c>
      <c r="J22" s="4">
        <v>0</v>
      </c>
      <c r="K22" s="4">
        <v>0</v>
      </c>
      <c r="L22" s="4">
        <v>0</v>
      </c>
      <c r="M22" s="4">
        <v>0</v>
      </c>
      <c r="N22" s="4">
        <v>0</v>
      </c>
      <c r="O22" s="4">
        <v>0</v>
      </c>
      <c r="P22" s="4">
        <v>0</v>
      </c>
      <c r="Q22" s="4">
        <v>0</v>
      </c>
      <c r="R22" s="4">
        <v>0</v>
      </c>
      <c r="S22" s="4">
        <v>0</v>
      </c>
    </row>
    <row r="23" spans="1:19" x14ac:dyDescent="0.25">
      <c r="A23" s="6" t="s">
        <v>134</v>
      </c>
      <c r="B23" s="7" t="s">
        <v>57</v>
      </c>
      <c r="C23" s="6" t="s">
        <v>121</v>
      </c>
      <c r="D23" s="6" t="s">
        <v>123</v>
      </c>
      <c r="E23" s="4">
        <v>0</v>
      </c>
      <c r="F23" s="4">
        <v>1</v>
      </c>
      <c r="G23" s="4">
        <v>0</v>
      </c>
      <c r="H23" s="4">
        <v>0</v>
      </c>
      <c r="I23" s="4">
        <v>0</v>
      </c>
      <c r="J23" s="4">
        <v>0</v>
      </c>
      <c r="K23" s="4">
        <v>1</v>
      </c>
      <c r="L23" s="4">
        <v>0</v>
      </c>
      <c r="M23" s="4">
        <v>0</v>
      </c>
      <c r="N23" s="4">
        <v>0</v>
      </c>
      <c r="O23" s="4">
        <v>0</v>
      </c>
      <c r="P23" s="4">
        <v>0</v>
      </c>
      <c r="Q23" s="4">
        <v>0</v>
      </c>
      <c r="R23" s="4">
        <v>0</v>
      </c>
      <c r="S23" s="4">
        <v>0</v>
      </c>
    </row>
    <row r="24" spans="1:19" x14ac:dyDescent="0.25">
      <c r="A24" s="6" t="s">
        <v>135</v>
      </c>
      <c r="B24" s="7" t="s">
        <v>81</v>
      </c>
      <c r="C24" s="6" t="s">
        <v>121</v>
      </c>
      <c r="D24" s="6" t="s">
        <v>116</v>
      </c>
      <c r="E24" s="4">
        <v>0</v>
      </c>
      <c r="F24" s="4">
        <v>1</v>
      </c>
      <c r="G24" s="4">
        <v>0</v>
      </c>
      <c r="H24" s="4">
        <v>1</v>
      </c>
      <c r="I24" s="4">
        <v>1</v>
      </c>
      <c r="J24" s="4">
        <v>0</v>
      </c>
      <c r="K24" s="4">
        <v>0</v>
      </c>
      <c r="L24" s="4">
        <v>0</v>
      </c>
      <c r="M24" s="4">
        <v>0</v>
      </c>
      <c r="N24" s="4">
        <v>0</v>
      </c>
      <c r="O24" s="4">
        <v>0</v>
      </c>
      <c r="P24" s="4">
        <v>0</v>
      </c>
      <c r="Q24" s="4">
        <v>0</v>
      </c>
      <c r="R24" s="4">
        <v>0</v>
      </c>
      <c r="S24" s="4">
        <v>0</v>
      </c>
    </row>
    <row r="25" spans="1:19" x14ac:dyDescent="0.25">
      <c r="A25" s="6" t="s">
        <v>136</v>
      </c>
      <c r="B25" s="7" t="s">
        <v>91</v>
      </c>
      <c r="C25" s="6" t="s">
        <v>121</v>
      </c>
      <c r="D25" s="6" t="s">
        <v>118</v>
      </c>
      <c r="E25" s="4">
        <v>0</v>
      </c>
      <c r="F25" s="4">
        <v>1</v>
      </c>
      <c r="G25" s="4">
        <v>0</v>
      </c>
      <c r="H25" s="4">
        <v>0</v>
      </c>
      <c r="I25" s="4">
        <v>1</v>
      </c>
      <c r="J25" s="4">
        <v>0</v>
      </c>
      <c r="K25" s="4">
        <v>0</v>
      </c>
      <c r="L25" s="4">
        <v>0</v>
      </c>
      <c r="M25" s="4">
        <v>0</v>
      </c>
      <c r="N25" s="4">
        <v>0</v>
      </c>
      <c r="O25" s="4">
        <v>0</v>
      </c>
      <c r="P25" s="4">
        <v>0</v>
      </c>
      <c r="Q25" s="4">
        <v>0</v>
      </c>
      <c r="R25" s="4">
        <v>0</v>
      </c>
      <c r="S25" s="4">
        <v>0</v>
      </c>
    </row>
    <row r="26" spans="1:19" x14ac:dyDescent="0.25">
      <c r="A26" s="6" t="s">
        <v>137</v>
      </c>
      <c r="B26" s="7" t="s">
        <v>98</v>
      </c>
      <c r="C26" s="6" t="s">
        <v>138</v>
      </c>
      <c r="D26" s="6" t="s">
        <v>105</v>
      </c>
      <c r="E26" s="4">
        <v>0</v>
      </c>
      <c r="F26" s="4">
        <v>1</v>
      </c>
      <c r="G26" s="4">
        <v>0</v>
      </c>
      <c r="H26" s="4">
        <v>1</v>
      </c>
      <c r="I26" s="4">
        <v>0</v>
      </c>
      <c r="J26" s="4">
        <v>0</v>
      </c>
      <c r="K26" s="4">
        <v>0</v>
      </c>
      <c r="L26" s="4">
        <v>0</v>
      </c>
      <c r="M26" s="4">
        <v>0</v>
      </c>
      <c r="N26" s="4">
        <v>0</v>
      </c>
      <c r="O26" s="4">
        <v>0</v>
      </c>
      <c r="P26" s="4">
        <v>0</v>
      </c>
      <c r="Q26" s="4">
        <v>0</v>
      </c>
      <c r="R26" s="4">
        <v>0</v>
      </c>
      <c r="S26" s="4">
        <v>0</v>
      </c>
    </row>
    <row r="27" spans="1:19" x14ac:dyDescent="0.25">
      <c r="A27" s="6" t="s">
        <v>139</v>
      </c>
      <c r="B27" s="7" t="s">
        <v>85</v>
      </c>
      <c r="C27" s="6" t="s">
        <v>138</v>
      </c>
      <c r="D27" s="6" t="s">
        <v>114</v>
      </c>
      <c r="E27" s="4">
        <v>0</v>
      </c>
      <c r="F27" s="4">
        <v>0</v>
      </c>
      <c r="G27" s="4">
        <v>0</v>
      </c>
      <c r="H27" s="4">
        <v>0</v>
      </c>
      <c r="I27" s="4">
        <v>0</v>
      </c>
      <c r="J27" s="4">
        <v>0</v>
      </c>
      <c r="K27" s="4">
        <v>0</v>
      </c>
      <c r="L27" s="4">
        <v>0</v>
      </c>
      <c r="M27" s="4">
        <v>0</v>
      </c>
      <c r="N27" s="4">
        <v>0</v>
      </c>
      <c r="O27" s="4">
        <v>0</v>
      </c>
      <c r="P27" s="4">
        <v>0</v>
      </c>
      <c r="Q27" s="4">
        <v>0</v>
      </c>
      <c r="R27" s="4">
        <v>0</v>
      </c>
      <c r="S27" s="4">
        <v>1</v>
      </c>
    </row>
    <row r="28" spans="1:19" x14ac:dyDescent="0.25">
      <c r="A28" s="6" t="s">
        <v>140</v>
      </c>
      <c r="B28" s="7" t="s">
        <v>69</v>
      </c>
      <c r="C28" s="6" t="s">
        <v>138</v>
      </c>
      <c r="D28" s="6" t="s">
        <v>105</v>
      </c>
      <c r="E28" s="4">
        <v>1</v>
      </c>
      <c r="F28" s="4">
        <v>0</v>
      </c>
      <c r="G28" s="4">
        <v>0</v>
      </c>
      <c r="H28" s="4">
        <v>0</v>
      </c>
      <c r="I28" s="4">
        <v>0</v>
      </c>
      <c r="J28" s="4">
        <v>0</v>
      </c>
      <c r="K28" s="4">
        <v>0</v>
      </c>
      <c r="L28" s="4">
        <v>0</v>
      </c>
      <c r="M28" s="4">
        <v>0</v>
      </c>
      <c r="N28" s="4">
        <v>0</v>
      </c>
      <c r="O28" s="4">
        <v>0</v>
      </c>
      <c r="P28" s="4">
        <v>0</v>
      </c>
      <c r="Q28" s="4">
        <v>0</v>
      </c>
      <c r="R28" s="4">
        <v>0</v>
      </c>
      <c r="S28" s="4">
        <v>0</v>
      </c>
    </row>
    <row r="29" spans="1:19" x14ac:dyDescent="0.25">
      <c r="A29" s="6" t="s">
        <v>141</v>
      </c>
      <c r="B29" s="7" t="s">
        <v>38</v>
      </c>
      <c r="C29" s="6" t="s">
        <v>138</v>
      </c>
      <c r="D29" s="6" t="s">
        <v>123</v>
      </c>
      <c r="E29" s="4">
        <v>1</v>
      </c>
      <c r="F29" s="4">
        <v>0</v>
      </c>
      <c r="G29" s="4">
        <v>0</v>
      </c>
      <c r="H29" s="4">
        <v>0</v>
      </c>
      <c r="I29" s="4">
        <v>0</v>
      </c>
      <c r="J29" s="4">
        <v>0</v>
      </c>
      <c r="K29" s="4">
        <v>0</v>
      </c>
      <c r="L29" s="4">
        <v>0</v>
      </c>
      <c r="M29" s="4">
        <v>0</v>
      </c>
      <c r="N29" s="4">
        <v>0</v>
      </c>
      <c r="O29" s="4">
        <v>0</v>
      </c>
      <c r="P29" s="4">
        <v>0</v>
      </c>
      <c r="Q29" s="4">
        <v>0</v>
      </c>
      <c r="R29" s="4">
        <v>0</v>
      </c>
      <c r="S29" s="4">
        <v>0</v>
      </c>
    </row>
    <row r="30" spans="1:19" x14ac:dyDescent="0.25">
      <c r="A30" s="6" t="s">
        <v>142</v>
      </c>
      <c r="B30" s="7" t="s">
        <v>24</v>
      </c>
      <c r="C30" s="6" t="s">
        <v>138</v>
      </c>
      <c r="D30" s="6" t="s">
        <v>105</v>
      </c>
      <c r="E30" s="4">
        <v>1</v>
      </c>
      <c r="F30" s="4">
        <v>0</v>
      </c>
      <c r="G30" s="4">
        <v>0</v>
      </c>
      <c r="H30" s="4">
        <v>0</v>
      </c>
      <c r="I30" s="4">
        <v>0</v>
      </c>
      <c r="J30" s="4">
        <v>0</v>
      </c>
      <c r="K30" s="4">
        <v>0</v>
      </c>
      <c r="L30" s="4">
        <v>0</v>
      </c>
      <c r="M30" s="4">
        <v>0</v>
      </c>
      <c r="N30" s="4">
        <v>0</v>
      </c>
      <c r="O30" s="4">
        <v>0</v>
      </c>
      <c r="P30" s="4">
        <v>0</v>
      </c>
      <c r="Q30" s="4">
        <v>0</v>
      </c>
      <c r="R30" s="4">
        <v>0</v>
      </c>
      <c r="S30" s="4">
        <v>0</v>
      </c>
    </row>
    <row r="31" spans="1:19" x14ac:dyDescent="0.25">
      <c r="A31" s="6" t="s">
        <v>143</v>
      </c>
      <c r="B31" s="7" t="s">
        <v>44</v>
      </c>
      <c r="C31" s="6" t="s">
        <v>138</v>
      </c>
      <c r="D31" s="6" t="s">
        <v>105</v>
      </c>
      <c r="E31" s="4">
        <v>0</v>
      </c>
      <c r="F31" s="4">
        <v>1</v>
      </c>
      <c r="G31" s="4">
        <v>0</v>
      </c>
      <c r="H31" s="4">
        <v>0</v>
      </c>
      <c r="I31" s="4">
        <v>0</v>
      </c>
      <c r="J31" s="4">
        <v>1</v>
      </c>
      <c r="K31" s="4">
        <v>1</v>
      </c>
      <c r="L31" s="4">
        <v>1</v>
      </c>
      <c r="M31" s="4">
        <v>0</v>
      </c>
      <c r="N31" s="4">
        <v>0</v>
      </c>
      <c r="O31" s="4">
        <v>0</v>
      </c>
      <c r="P31" s="4">
        <v>0</v>
      </c>
      <c r="Q31" s="4">
        <v>0</v>
      </c>
      <c r="R31" s="4">
        <v>0</v>
      </c>
      <c r="S31" s="4">
        <v>0</v>
      </c>
    </row>
    <row r="32" spans="1:19" x14ac:dyDescent="0.25">
      <c r="A32" s="6" t="s">
        <v>144</v>
      </c>
      <c r="B32" s="7" t="s">
        <v>41</v>
      </c>
      <c r="C32" s="6" t="s">
        <v>138</v>
      </c>
      <c r="D32" s="6" t="s">
        <v>116</v>
      </c>
      <c r="E32" s="4">
        <v>1</v>
      </c>
      <c r="F32" s="4">
        <v>0</v>
      </c>
      <c r="G32" s="4">
        <v>0</v>
      </c>
      <c r="H32" s="4">
        <v>0</v>
      </c>
      <c r="I32" s="4">
        <v>0</v>
      </c>
      <c r="J32" s="4">
        <v>0</v>
      </c>
      <c r="K32" s="4">
        <v>0</v>
      </c>
      <c r="L32" s="4">
        <v>0</v>
      </c>
      <c r="M32" s="4">
        <v>0</v>
      </c>
      <c r="N32" s="4">
        <v>0</v>
      </c>
      <c r="O32" s="4">
        <v>0</v>
      </c>
      <c r="P32" s="4">
        <v>0</v>
      </c>
      <c r="Q32" s="4">
        <v>0</v>
      </c>
      <c r="R32" s="4">
        <v>0</v>
      </c>
      <c r="S32" s="4">
        <v>0</v>
      </c>
    </row>
    <row r="33" spans="1:19" x14ac:dyDescent="0.25">
      <c r="A33" s="6" t="s">
        <v>145</v>
      </c>
      <c r="B33" s="7" t="s">
        <v>73</v>
      </c>
      <c r="C33" s="6" t="s">
        <v>138</v>
      </c>
      <c r="D33" s="6" t="s">
        <v>118</v>
      </c>
      <c r="E33" s="4">
        <v>1</v>
      </c>
      <c r="F33" s="4">
        <v>0</v>
      </c>
      <c r="G33" s="4">
        <v>0</v>
      </c>
      <c r="H33" s="4">
        <v>0</v>
      </c>
      <c r="I33" s="4">
        <v>0</v>
      </c>
      <c r="J33" s="4">
        <v>0</v>
      </c>
      <c r="K33" s="4">
        <v>0</v>
      </c>
      <c r="L33" s="4">
        <v>0</v>
      </c>
      <c r="M33" s="4">
        <v>0</v>
      </c>
      <c r="N33" s="4">
        <v>0</v>
      </c>
      <c r="O33" s="4">
        <v>0</v>
      </c>
      <c r="P33" s="4">
        <v>0</v>
      </c>
      <c r="Q33" s="4">
        <v>0</v>
      </c>
      <c r="R33" s="4">
        <v>0</v>
      </c>
      <c r="S33" s="4">
        <v>0</v>
      </c>
    </row>
    <row r="34" spans="1:19" x14ac:dyDescent="0.25">
      <c r="A34" s="6" t="s">
        <v>146</v>
      </c>
      <c r="B34" s="7" t="s">
        <v>29</v>
      </c>
      <c r="C34" s="6" t="s">
        <v>138</v>
      </c>
      <c r="D34" s="6" t="s">
        <v>105</v>
      </c>
      <c r="E34" s="4">
        <v>0</v>
      </c>
      <c r="F34" s="4">
        <v>1</v>
      </c>
      <c r="G34" s="4">
        <v>0</v>
      </c>
      <c r="H34" s="4">
        <v>1</v>
      </c>
      <c r="I34" s="4">
        <v>1</v>
      </c>
      <c r="J34" s="4">
        <v>0</v>
      </c>
      <c r="K34" s="4">
        <v>1</v>
      </c>
      <c r="L34" s="4">
        <v>1</v>
      </c>
      <c r="M34" s="4">
        <v>0</v>
      </c>
      <c r="N34" s="4">
        <v>0</v>
      </c>
      <c r="O34" s="4">
        <v>0</v>
      </c>
      <c r="P34" s="4">
        <v>0</v>
      </c>
      <c r="Q34" s="4">
        <v>0</v>
      </c>
      <c r="R34" s="4">
        <v>0</v>
      </c>
      <c r="S34" s="4">
        <v>0</v>
      </c>
    </row>
    <row r="35" spans="1:19" x14ac:dyDescent="0.25">
      <c r="A35" s="6" t="s">
        <v>147</v>
      </c>
      <c r="B35" s="7" t="s">
        <v>77</v>
      </c>
      <c r="C35" s="6" t="s">
        <v>138</v>
      </c>
      <c r="D35" s="6" t="s">
        <v>105</v>
      </c>
      <c r="E35" s="4">
        <v>0</v>
      </c>
      <c r="F35" s="4">
        <v>1</v>
      </c>
      <c r="G35" s="4">
        <v>0</v>
      </c>
      <c r="H35" s="4">
        <v>1</v>
      </c>
      <c r="I35" s="4">
        <v>1</v>
      </c>
      <c r="J35" s="4">
        <v>1</v>
      </c>
      <c r="K35" s="4">
        <v>0</v>
      </c>
      <c r="L35" s="4">
        <v>0</v>
      </c>
      <c r="M35" s="4">
        <v>1</v>
      </c>
      <c r="N35" s="4">
        <v>0</v>
      </c>
      <c r="O35" s="4">
        <v>0</v>
      </c>
      <c r="P35" s="4">
        <v>0</v>
      </c>
      <c r="Q35" s="4">
        <v>0</v>
      </c>
      <c r="R35" s="4">
        <v>0</v>
      </c>
      <c r="S35" s="4">
        <v>0</v>
      </c>
    </row>
    <row r="36" spans="1:19" x14ac:dyDescent="0.25">
      <c r="A36" s="6" t="s">
        <v>148</v>
      </c>
      <c r="B36" s="7" t="s">
        <v>18</v>
      </c>
      <c r="C36" s="6" t="s">
        <v>138</v>
      </c>
      <c r="D36" s="6" t="s">
        <v>116</v>
      </c>
      <c r="E36" s="4">
        <v>0</v>
      </c>
      <c r="F36" s="4">
        <v>1</v>
      </c>
      <c r="G36" s="4">
        <v>0</v>
      </c>
      <c r="H36" s="4">
        <v>0</v>
      </c>
      <c r="I36" s="4">
        <v>1</v>
      </c>
      <c r="J36" s="4">
        <v>0</v>
      </c>
      <c r="K36" s="4">
        <v>0</v>
      </c>
      <c r="L36" s="4">
        <v>0</v>
      </c>
      <c r="M36" s="4">
        <v>0</v>
      </c>
      <c r="N36" s="4">
        <v>0</v>
      </c>
      <c r="O36" s="4">
        <v>0</v>
      </c>
      <c r="P36" s="4">
        <v>0</v>
      </c>
      <c r="Q36" s="4">
        <v>0</v>
      </c>
      <c r="R36" s="4">
        <v>0</v>
      </c>
      <c r="S36" s="4">
        <v>0</v>
      </c>
    </row>
    <row r="37" spans="1:19" x14ac:dyDescent="0.25">
      <c r="A37" s="6" t="s">
        <v>149</v>
      </c>
      <c r="B37" s="7" t="s">
        <v>14</v>
      </c>
      <c r="C37" s="6" t="s">
        <v>138</v>
      </c>
      <c r="D37" s="6" t="s">
        <v>105</v>
      </c>
      <c r="E37" s="4">
        <v>1</v>
      </c>
      <c r="F37" s="4">
        <v>0</v>
      </c>
      <c r="G37" s="4">
        <v>0</v>
      </c>
      <c r="H37" s="4">
        <v>0</v>
      </c>
      <c r="I37" s="4">
        <v>0</v>
      </c>
      <c r="J37" s="4">
        <v>0</v>
      </c>
      <c r="K37" s="4">
        <v>0</v>
      </c>
      <c r="L37" s="4">
        <v>0</v>
      </c>
      <c r="M37" s="4">
        <v>0</v>
      </c>
      <c r="N37" s="4">
        <v>0</v>
      </c>
      <c r="O37" s="4">
        <v>0</v>
      </c>
      <c r="P37" s="4">
        <v>0</v>
      </c>
      <c r="Q37" s="4">
        <v>0</v>
      </c>
      <c r="R37" s="4">
        <v>0</v>
      </c>
      <c r="S37" s="4">
        <v>0</v>
      </c>
    </row>
    <row r="38" spans="1:19" x14ac:dyDescent="0.25">
      <c r="A38" s="6" t="s">
        <v>150</v>
      </c>
      <c r="B38" s="7" t="s">
        <v>32</v>
      </c>
      <c r="C38" s="6" t="s">
        <v>138</v>
      </c>
      <c r="D38" s="6" t="s">
        <v>105</v>
      </c>
      <c r="E38" s="4">
        <v>1</v>
      </c>
      <c r="F38" s="4">
        <v>0</v>
      </c>
      <c r="G38" s="4">
        <v>0</v>
      </c>
      <c r="H38" s="4">
        <v>0</v>
      </c>
      <c r="I38" s="4">
        <v>0</v>
      </c>
      <c r="J38" s="4">
        <v>0</v>
      </c>
      <c r="K38" s="4">
        <v>0</v>
      </c>
      <c r="L38" s="4">
        <v>0</v>
      </c>
      <c r="M38" s="4">
        <v>0</v>
      </c>
      <c r="N38" s="4">
        <v>0</v>
      </c>
      <c r="O38" s="4">
        <v>0</v>
      </c>
      <c r="P38" s="4">
        <v>0</v>
      </c>
      <c r="Q38" s="4">
        <v>0</v>
      </c>
      <c r="R38" s="4">
        <v>0</v>
      </c>
      <c r="S38" s="4">
        <v>0</v>
      </c>
    </row>
    <row r="39" spans="1:19" x14ac:dyDescent="0.25">
      <c r="A39" s="6" t="s">
        <v>151</v>
      </c>
      <c r="B39" s="7" t="s">
        <v>78</v>
      </c>
      <c r="C39" s="6" t="s">
        <v>138</v>
      </c>
      <c r="D39" s="6" t="s">
        <v>105</v>
      </c>
      <c r="E39" s="4">
        <v>1</v>
      </c>
      <c r="F39" s="4">
        <v>0</v>
      </c>
      <c r="G39" s="4">
        <v>0</v>
      </c>
      <c r="H39" s="4">
        <v>0</v>
      </c>
      <c r="I39" s="4">
        <v>0</v>
      </c>
      <c r="J39" s="4">
        <v>0</v>
      </c>
      <c r="K39" s="4">
        <v>0</v>
      </c>
      <c r="L39" s="4">
        <v>0</v>
      </c>
      <c r="M39" s="4">
        <v>0</v>
      </c>
      <c r="N39" s="4">
        <v>0</v>
      </c>
      <c r="O39" s="4">
        <v>0</v>
      </c>
      <c r="P39" s="4">
        <v>0</v>
      </c>
      <c r="Q39" s="4">
        <v>0</v>
      </c>
      <c r="R39" s="4">
        <v>0</v>
      </c>
      <c r="S39" s="4">
        <v>0</v>
      </c>
    </row>
    <row r="40" spans="1:19" x14ac:dyDescent="0.25">
      <c r="A40" s="6" t="s">
        <v>152</v>
      </c>
      <c r="B40" s="7" t="s">
        <v>74</v>
      </c>
      <c r="C40" s="6" t="s">
        <v>138</v>
      </c>
      <c r="D40" s="6" t="s">
        <v>114</v>
      </c>
      <c r="E40" s="4">
        <v>0</v>
      </c>
      <c r="F40" s="4">
        <v>1</v>
      </c>
      <c r="G40" s="4">
        <v>0</v>
      </c>
      <c r="H40" s="4">
        <v>0</v>
      </c>
      <c r="I40" s="4">
        <v>1</v>
      </c>
      <c r="J40" s="4">
        <v>0</v>
      </c>
      <c r="K40" s="4">
        <v>0</v>
      </c>
      <c r="L40" s="4">
        <v>0</v>
      </c>
      <c r="M40" s="4">
        <v>0</v>
      </c>
      <c r="N40" s="4">
        <v>0</v>
      </c>
      <c r="O40" s="4">
        <v>0</v>
      </c>
      <c r="P40" s="4">
        <v>0</v>
      </c>
      <c r="Q40" s="4">
        <v>0</v>
      </c>
      <c r="R40" s="4">
        <v>0</v>
      </c>
      <c r="S40" s="4">
        <v>0</v>
      </c>
    </row>
    <row r="41" spans="1:19" x14ac:dyDescent="0.25">
      <c r="A41" s="6" t="s">
        <v>153</v>
      </c>
      <c r="B41" s="7" t="s">
        <v>5</v>
      </c>
      <c r="C41" s="6" t="s">
        <v>138</v>
      </c>
      <c r="D41" s="6" t="s">
        <v>105</v>
      </c>
      <c r="E41" s="4">
        <v>0</v>
      </c>
      <c r="F41" s="4">
        <v>1</v>
      </c>
      <c r="G41" s="4">
        <v>0</v>
      </c>
      <c r="H41" s="4">
        <v>1</v>
      </c>
      <c r="I41" s="4">
        <v>0</v>
      </c>
      <c r="J41" s="4">
        <v>0</v>
      </c>
      <c r="K41" s="4">
        <v>0</v>
      </c>
      <c r="L41" s="4">
        <v>0</v>
      </c>
      <c r="M41" s="4">
        <v>0</v>
      </c>
      <c r="N41" s="4">
        <v>0</v>
      </c>
      <c r="O41" s="4">
        <v>0</v>
      </c>
      <c r="P41" s="4">
        <v>0</v>
      </c>
      <c r="Q41" s="4">
        <v>0</v>
      </c>
      <c r="R41" s="4">
        <v>0</v>
      </c>
      <c r="S41" s="4">
        <v>0</v>
      </c>
    </row>
    <row r="42" spans="1:19" x14ac:dyDescent="0.25">
      <c r="A42" s="6" t="s">
        <v>154</v>
      </c>
      <c r="B42" s="7" t="s">
        <v>26</v>
      </c>
      <c r="C42" s="6" t="s">
        <v>138</v>
      </c>
      <c r="D42" s="6" t="s">
        <v>114</v>
      </c>
      <c r="E42" s="4">
        <v>1</v>
      </c>
      <c r="F42" s="4">
        <v>0</v>
      </c>
      <c r="G42" s="4">
        <v>0</v>
      </c>
      <c r="H42" s="4">
        <v>0</v>
      </c>
      <c r="I42" s="4">
        <v>0</v>
      </c>
      <c r="J42" s="4">
        <v>0</v>
      </c>
      <c r="K42" s="4">
        <v>0</v>
      </c>
      <c r="L42" s="4">
        <v>0</v>
      </c>
      <c r="M42" s="4">
        <v>0</v>
      </c>
      <c r="N42" s="4">
        <v>0</v>
      </c>
      <c r="O42" s="4">
        <v>0</v>
      </c>
      <c r="P42" s="4">
        <v>0</v>
      </c>
      <c r="Q42" s="4">
        <v>0</v>
      </c>
      <c r="R42" s="4">
        <v>0</v>
      </c>
      <c r="S42" s="4">
        <v>0</v>
      </c>
    </row>
    <row r="43" spans="1:19" x14ac:dyDescent="0.25">
      <c r="A43" s="6" t="s">
        <v>155</v>
      </c>
      <c r="B43" s="7" t="s">
        <v>15</v>
      </c>
      <c r="C43" s="6" t="s">
        <v>138</v>
      </c>
      <c r="D43" s="6" t="s">
        <v>105</v>
      </c>
      <c r="E43" s="4">
        <v>0</v>
      </c>
      <c r="F43" s="4">
        <v>1</v>
      </c>
      <c r="G43" s="4">
        <v>0</v>
      </c>
      <c r="H43" s="4">
        <v>0</v>
      </c>
      <c r="I43" s="4">
        <v>0</v>
      </c>
      <c r="J43" s="4">
        <v>0</v>
      </c>
      <c r="K43" s="4">
        <v>0</v>
      </c>
      <c r="L43" s="4">
        <v>0</v>
      </c>
      <c r="M43" s="4">
        <v>0</v>
      </c>
      <c r="N43" s="4">
        <v>0</v>
      </c>
      <c r="O43" s="4">
        <v>0</v>
      </c>
      <c r="P43" s="4">
        <v>0</v>
      </c>
      <c r="Q43" s="4">
        <v>0</v>
      </c>
      <c r="R43" s="4">
        <v>0</v>
      </c>
      <c r="S43" s="4">
        <v>0</v>
      </c>
    </row>
    <row r="44" spans="1:19" x14ac:dyDescent="0.25">
      <c r="A44" s="6" t="s">
        <v>156</v>
      </c>
      <c r="B44" s="7" t="s">
        <v>72</v>
      </c>
      <c r="C44" s="6" t="s">
        <v>138</v>
      </c>
      <c r="D44" s="6" t="s">
        <v>105</v>
      </c>
      <c r="E44" s="4">
        <v>0</v>
      </c>
      <c r="F44" s="4">
        <v>1</v>
      </c>
      <c r="G44" s="4">
        <v>0</v>
      </c>
      <c r="H44" s="4">
        <v>0</v>
      </c>
      <c r="I44" s="4">
        <v>1</v>
      </c>
      <c r="J44" s="4">
        <v>0</v>
      </c>
      <c r="K44" s="4">
        <v>0</v>
      </c>
      <c r="L44" s="4">
        <v>0</v>
      </c>
      <c r="M44" s="4">
        <v>0</v>
      </c>
      <c r="N44" s="4">
        <v>0</v>
      </c>
      <c r="O44" s="4">
        <v>0</v>
      </c>
      <c r="P44" s="4">
        <v>0</v>
      </c>
      <c r="Q44" s="4">
        <v>0</v>
      </c>
      <c r="R44" s="4">
        <v>0</v>
      </c>
      <c r="S44" s="4">
        <v>0</v>
      </c>
    </row>
    <row r="45" spans="1:19" x14ac:dyDescent="0.25">
      <c r="A45" s="6" t="s">
        <v>157</v>
      </c>
      <c r="B45" s="7" t="s">
        <v>84</v>
      </c>
      <c r="C45" s="6" t="s">
        <v>138</v>
      </c>
      <c r="D45" s="6" t="s">
        <v>116</v>
      </c>
      <c r="E45" s="4">
        <v>0</v>
      </c>
      <c r="F45" s="4">
        <v>1</v>
      </c>
      <c r="G45" s="4">
        <v>0</v>
      </c>
      <c r="H45" s="4">
        <v>0</v>
      </c>
      <c r="I45" s="4">
        <v>0</v>
      </c>
      <c r="J45" s="4">
        <v>0</v>
      </c>
      <c r="K45" s="4">
        <v>0</v>
      </c>
      <c r="L45" s="4">
        <v>0</v>
      </c>
      <c r="M45" s="4">
        <v>0</v>
      </c>
      <c r="N45" s="4">
        <v>0</v>
      </c>
      <c r="O45" s="4">
        <v>0</v>
      </c>
      <c r="P45" s="4">
        <v>0</v>
      </c>
      <c r="Q45" s="4">
        <v>0</v>
      </c>
      <c r="R45" s="4">
        <v>0</v>
      </c>
      <c r="S45" s="4">
        <v>0</v>
      </c>
    </row>
    <row r="46" spans="1:19" x14ac:dyDescent="0.25">
      <c r="A46" s="6" t="s">
        <v>158</v>
      </c>
      <c r="B46" s="7" t="s">
        <v>20</v>
      </c>
      <c r="C46" s="6" t="s">
        <v>138</v>
      </c>
      <c r="D46" s="6" t="s">
        <v>105</v>
      </c>
      <c r="E46" s="4">
        <v>0</v>
      </c>
      <c r="F46" s="4">
        <v>1</v>
      </c>
      <c r="G46" s="4">
        <v>0</v>
      </c>
      <c r="H46" s="4">
        <v>0</v>
      </c>
      <c r="I46" s="4">
        <v>0</v>
      </c>
      <c r="J46" s="4">
        <v>0</v>
      </c>
      <c r="K46" s="4">
        <v>0</v>
      </c>
      <c r="L46" s="4">
        <v>1</v>
      </c>
      <c r="M46" s="4">
        <v>0</v>
      </c>
      <c r="N46" s="4">
        <v>0</v>
      </c>
      <c r="O46" s="4">
        <v>0</v>
      </c>
      <c r="P46" s="4">
        <v>0</v>
      </c>
      <c r="Q46" s="4">
        <v>0</v>
      </c>
      <c r="R46" s="4">
        <v>0</v>
      </c>
      <c r="S46" s="4">
        <v>0</v>
      </c>
    </row>
    <row r="47" spans="1:19" x14ac:dyDescent="0.25">
      <c r="A47" s="6" t="s">
        <v>159</v>
      </c>
      <c r="B47" s="7" t="s">
        <v>17</v>
      </c>
      <c r="C47" s="6" t="s">
        <v>138</v>
      </c>
      <c r="D47" s="6" t="s">
        <v>118</v>
      </c>
      <c r="E47" s="4">
        <v>0</v>
      </c>
      <c r="F47" s="4">
        <v>1</v>
      </c>
      <c r="G47" s="4">
        <v>0</v>
      </c>
      <c r="H47" s="4">
        <v>0</v>
      </c>
      <c r="I47" s="4">
        <v>0</v>
      </c>
      <c r="J47" s="4">
        <v>0</v>
      </c>
      <c r="K47" s="4">
        <v>0</v>
      </c>
      <c r="L47" s="4">
        <v>1</v>
      </c>
      <c r="M47" s="4">
        <v>0</v>
      </c>
      <c r="N47" s="4">
        <v>0</v>
      </c>
      <c r="O47" s="4">
        <v>0</v>
      </c>
      <c r="P47" s="4">
        <v>0</v>
      </c>
      <c r="Q47" s="4">
        <v>0</v>
      </c>
      <c r="R47" s="4">
        <v>0</v>
      </c>
      <c r="S47" s="4">
        <v>0</v>
      </c>
    </row>
    <row r="48" spans="1:19" x14ac:dyDescent="0.25">
      <c r="A48" s="6" t="s">
        <v>160</v>
      </c>
      <c r="B48" s="7" t="s">
        <v>2</v>
      </c>
      <c r="C48" s="6" t="s">
        <v>138</v>
      </c>
      <c r="D48" s="6" t="s">
        <v>105</v>
      </c>
      <c r="E48" s="4">
        <v>0</v>
      </c>
      <c r="F48" s="4">
        <v>1</v>
      </c>
      <c r="G48" s="4">
        <v>0</v>
      </c>
      <c r="H48" s="4">
        <v>0</v>
      </c>
      <c r="I48" s="4">
        <v>1</v>
      </c>
      <c r="J48" s="4">
        <v>0</v>
      </c>
      <c r="K48" s="4">
        <v>0</v>
      </c>
      <c r="L48" s="4">
        <v>0</v>
      </c>
      <c r="M48" s="4">
        <v>0</v>
      </c>
      <c r="N48" s="4">
        <v>0</v>
      </c>
      <c r="O48" s="4">
        <v>0</v>
      </c>
      <c r="P48" s="4">
        <v>0</v>
      </c>
      <c r="Q48" s="4">
        <v>0</v>
      </c>
      <c r="R48" s="4">
        <v>0</v>
      </c>
      <c r="S48" s="4">
        <v>0</v>
      </c>
    </row>
    <row r="49" spans="1:19" x14ac:dyDescent="0.25">
      <c r="A49" s="6" t="s">
        <v>161</v>
      </c>
      <c r="B49" s="7" t="s">
        <v>54</v>
      </c>
      <c r="C49" s="6" t="s">
        <v>138</v>
      </c>
      <c r="D49" s="6" t="s">
        <v>105</v>
      </c>
      <c r="E49" s="4">
        <v>0</v>
      </c>
      <c r="F49" s="4">
        <v>1</v>
      </c>
      <c r="G49" s="4">
        <v>0</v>
      </c>
      <c r="H49" s="4">
        <v>1</v>
      </c>
      <c r="I49" s="4">
        <v>0</v>
      </c>
      <c r="J49" s="4">
        <v>0</v>
      </c>
      <c r="K49" s="4">
        <v>0</v>
      </c>
      <c r="L49" s="4">
        <v>0</v>
      </c>
      <c r="M49" s="4">
        <v>0</v>
      </c>
      <c r="N49" s="4">
        <v>0</v>
      </c>
      <c r="O49" s="4">
        <v>0</v>
      </c>
      <c r="P49" s="4">
        <v>0</v>
      </c>
      <c r="Q49" s="4">
        <v>0</v>
      </c>
      <c r="R49" s="4">
        <v>0</v>
      </c>
      <c r="S49" s="4">
        <v>0</v>
      </c>
    </row>
    <row r="50" spans="1:19" x14ac:dyDescent="0.25">
      <c r="A50" s="6" t="s">
        <v>162</v>
      </c>
      <c r="B50" s="7" t="s">
        <v>0</v>
      </c>
      <c r="C50" s="6" t="s">
        <v>138</v>
      </c>
      <c r="D50" s="6" t="s">
        <v>116</v>
      </c>
      <c r="E50" s="4">
        <v>0</v>
      </c>
      <c r="F50" s="4">
        <v>0</v>
      </c>
      <c r="G50" s="4">
        <v>0</v>
      </c>
      <c r="H50" s="4">
        <v>0</v>
      </c>
      <c r="I50" s="4">
        <v>0</v>
      </c>
      <c r="J50" s="4">
        <v>0</v>
      </c>
      <c r="K50" s="4">
        <v>0</v>
      </c>
      <c r="L50" s="4">
        <v>0</v>
      </c>
      <c r="M50" s="4">
        <v>0</v>
      </c>
      <c r="N50" s="4">
        <v>0</v>
      </c>
      <c r="O50" s="4">
        <v>0</v>
      </c>
      <c r="P50" s="4">
        <v>0</v>
      </c>
      <c r="Q50" s="4">
        <v>0</v>
      </c>
      <c r="R50" s="4">
        <v>0</v>
      </c>
      <c r="S50" s="4">
        <v>1</v>
      </c>
    </row>
    <row r="51" spans="1:19" x14ac:dyDescent="0.25">
      <c r="A51" s="6" t="s">
        <v>163</v>
      </c>
      <c r="B51" s="7" t="s">
        <v>79</v>
      </c>
      <c r="C51" s="6" t="s">
        <v>164</v>
      </c>
      <c r="D51" s="6" t="s">
        <v>118</v>
      </c>
      <c r="E51" s="4">
        <v>1</v>
      </c>
      <c r="F51" s="4">
        <v>0</v>
      </c>
      <c r="G51" s="4">
        <v>0</v>
      </c>
      <c r="H51" s="4">
        <v>0</v>
      </c>
      <c r="I51" s="4">
        <v>0</v>
      </c>
      <c r="J51" s="4">
        <v>0</v>
      </c>
      <c r="K51" s="4">
        <v>0</v>
      </c>
      <c r="L51" s="4">
        <v>0</v>
      </c>
      <c r="M51" s="4">
        <v>0</v>
      </c>
      <c r="N51" s="4">
        <v>0</v>
      </c>
      <c r="O51" s="4">
        <v>0</v>
      </c>
      <c r="P51" s="4">
        <v>0</v>
      </c>
      <c r="Q51" s="4">
        <v>0</v>
      </c>
      <c r="R51" s="4">
        <v>0</v>
      </c>
      <c r="S51" s="4">
        <v>0</v>
      </c>
    </row>
    <row r="52" spans="1:19" x14ac:dyDescent="0.25">
      <c r="A52" s="6" t="s">
        <v>165</v>
      </c>
      <c r="B52" s="7" t="s">
        <v>48</v>
      </c>
      <c r="C52" s="6" t="s">
        <v>164</v>
      </c>
      <c r="D52" s="6" t="s">
        <v>123</v>
      </c>
      <c r="E52" s="4">
        <v>0</v>
      </c>
      <c r="F52" s="4">
        <v>1</v>
      </c>
      <c r="G52" s="4">
        <v>0</v>
      </c>
      <c r="H52" s="4">
        <v>0</v>
      </c>
      <c r="I52" s="4">
        <v>0</v>
      </c>
      <c r="J52" s="4">
        <v>0</v>
      </c>
      <c r="K52" s="4">
        <v>1</v>
      </c>
      <c r="L52" s="4">
        <v>0</v>
      </c>
      <c r="M52" s="4">
        <v>0</v>
      </c>
      <c r="N52" s="4">
        <v>0</v>
      </c>
      <c r="O52" s="4">
        <v>0</v>
      </c>
      <c r="P52" s="4">
        <v>0</v>
      </c>
      <c r="Q52" s="4">
        <v>0</v>
      </c>
      <c r="R52" s="4">
        <v>0</v>
      </c>
      <c r="S52" s="4">
        <v>0</v>
      </c>
    </row>
    <row r="53" spans="1:19" x14ac:dyDescent="0.25">
      <c r="A53" s="6" t="s">
        <v>166</v>
      </c>
      <c r="B53" s="7" t="s">
        <v>65</v>
      </c>
      <c r="C53" s="6" t="s">
        <v>164</v>
      </c>
      <c r="D53" s="6" t="s">
        <v>105</v>
      </c>
      <c r="E53" s="4">
        <v>0</v>
      </c>
      <c r="F53" s="4">
        <v>0</v>
      </c>
      <c r="G53" s="4">
        <v>0</v>
      </c>
      <c r="H53" s="4">
        <v>0</v>
      </c>
      <c r="I53" s="4">
        <v>0</v>
      </c>
      <c r="J53" s="4">
        <v>0</v>
      </c>
      <c r="K53" s="4">
        <v>0</v>
      </c>
      <c r="L53" s="4">
        <v>0</v>
      </c>
      <c r="M53" s="4">
        <v>0</v>
      </c>
      <c r="N53" s="4">
        <v>1</v>
      </c>
      <c r="O53" s="4">
        <v>0</v>
      </c>
      <c r="P53" s="4">
        <v>0</v>
      </c>
      <c r="Q53" s="4">
        <v>1</v>
      </c>
      <c r="R53" s="4">
        <v>0</v>
      </c>
      <c r="S53" s="4">
        <v>0</v>
      </c>
    </row>
    <row r="54" spans="1:19" x14ac:dyDescent="0.25">
      <c r="A54" s="6" t="s">
        <v>167</v>
      </c>
      <c r="B54" s="7" t="s">
        <v>39</v>
      </c>
      <c r="C54" s="6" t="s">
        <v>164</v>
      </c>
      <c r="D54" s="6" t="s">
        <v>116</v>
      </c>
      <c r="E54" s="4">
        <v>1</v>
      </c>
      <c r="F54" s="4">
        <v>0</v>
      </c>
      <c r="G54" s="4">
        <v>0</v>
      </c>
      <c r="H54" s="4">
        <v>0</v>
      </c>
      <c r="I54" s="4">
        <v>0</v>
      </c>
      <c r="J54" s="4">
        <v>0</v>
      </c>
      <c r="K54" s="4">
        <v>0</v>
      </c>
      <c r="L54" s="4">
        <v>0</v>
      </c>
      <c r="M54" s="4">
        <v>0</v>
      </c>
      <c r="N54" s="4">
        <v>0</v>
      </c>
      <c r="O54" s="4">
        <v>0</v>
      </c>
      <c r="P54" s="4">
        <v>0</v>
      </c>
      <c r="Q54" s="4">
        <v>0</v>
      </c>
      <c r="R54" s="4">
        <v>0</v>
      </c>
      <c r="S54" s="4">
        <v>0</v>
      </c>
    </row>
    <row r="55" spans="1:19" x14ac:dyDescent="0.25">
      <c r="A55" s="6" t="s">
        <v>168</v>
      </c>
      <c r="B55" s="7" t="s">
        <v>8</v>
      </c>
      <c r="C55" s="6" t="s">
        <v>164</v>
      </c>
      <c r="D55" s="6" t="s">
        <v>123</v>
      </c>
      <c r="E55" s="4">
        <v>0</v>
      </c>
      <c r="F55" s="4">
        <v>1</v>
      </c>
      <c r="G55" s="4">
        <v>0</v>
      </c>
      <c r="H55" s="4">
        <v>0</v>
      </c>
      <c r="I55" s="4">
        <v>1</v>
      </c>
      <c r="J55" s="4">
        <v>0</v>
      </c>
      <c r="K55" s="4">
        <v>1</v>
      </c>
      <c r="L55" s="4">
        <v>0</v>
      </c>
      <c r="M55" s="4">
        <v>0</v>
      </c>
      <c r="N55" s="4">
        <v>0</v>
      </c>
      <c r="O55" s="4">
        <v>0</v>
      </c>
      <c r="P55" s="4">
        <v>0</v>
      </c>
      <c r="Q55" s="4">
        <v>0</v>
      </c>
      <c r="R55" s="4">
        <v>0</v>
      </c>
      <c r="S55" s="4">
        <v>0</v>
      </c>
    </row>
    <row r="56" spans="1:19" x14ac:dyDescent="0.25">
      <c r="A56" s="6" t="s">
        <v>169</v>
      </c>
      <c r="B56" s="7" t="s">
        <v>80</v>
      </c>
      <c r="C56" s="6" t="s">
        <v>164</v>
      </c>
      <c r="D56" s="6" t="s">
        <v>114</v>
      </c>
      <c r="E56" s="4">
        <v>0</v>
      </c>
      <c r="F56" s="4">
        <v>1</v>
      </c>
      <c r="G56" s="4">
        <v>0</v>
      </c>
      <c r="H56" s="4">
        <v>1</v>
      </c>
      <c r="I56" s="4">
        <v>0</v>
      </c>
      <c r="J56" s="4">
        <v>0</v>
      </c>
      <c r="K56" s="4">
        <v>0</v>
      </c>
      <c r="L56" s="4">
        <v>0</v>
      </c>
      <c r="M56" s="4">
        <v>0</v>
      </c>
      <c r="N56" s="4">
        <v>0</v>
      </c>
      <c r="O56" s="4">
        <v>0</v>
      </c>
      <c r="P56" s="4">
        <v>0</v>
      </c>
      <c r="Q56" s="4">
        <v>0</v>
      </c>
      <c r="R56" s="4">
        <v>0</v>
      </c>
      <c r="S56" s="4">
        <v>0</v>
      </c>
    </row>
    <row r="57" spans="1:19" x14ac:dyDescent="0.25">
      <c r="A57" s="6" t="s">
        <v>170</v>
      </c>
      <c r="B57" s="7" t="s">
        <v>92</v>
      </c>
      <c r="C57" s="6" t="s">
        <v>164</v>
      </c>
      <c r="D57" s="6" t="s">
        <v>114</v>
      </c>
      <c r="E57" s="4">
        <v>0</v>
      </c>
      <c r="F57" s="4">
        <v>0</v>
      </c>
      <c r="G57" s="4">
        <v>0</v>
      </c>
      <c r="H57" s="4">
        <v>0</v>
      </c>
      <c r="I57" s="4">
        <v>0</v>
      </c>
      <c r="J57" s="4">
        <v>0</v>
      </c>
      <c r="K57" s="4">
        <v>0</v>
      </c>
      <c r="L57" s="4">
        <v>0</v>
      </c>
      <c r="M57" s="4">
        <v>0</v>
      </c>
      <c r="N57" s="4">
        <v>1</v>
      </c>
      <c r="O57" s="4">
        <v>0</v>
      </c>
      <c r="P57" s="4">
        <v>0</v>
      </c>
      <c r="Q57" s="4">
        <v>1</v>
      </c>
      <c r="R57" s="4">
        <v>0</v>
      </c>
      <c r="S57" s="4">
        <v>0</v>
      </c>
    </row>
    <row r="58" spans="1:19" x14ac:dyDescent="0.25">
      <c r="A58" s="6" t="s">
        <v>171</v>
      </c>
      <c r="B58" s="7" t="s">
        <v>12</v>
      </c>
      <c r="C58" s="6" t="s">
        <v>164</v>
      </c>
      <c r="D58" s="6" t="s">
        <v>114</v>
      </c>
      <c r="E58" s="4">
        <v>1</v>
      </c>
      <c r="F58" s="4">
        <v>0</v>
      </c>
      <c r="G58" s="4">
        <v>0</v>
      </c>
      <c r="H58" s="4">
        <v>0</v>
      </c>
      <c r="I58" s="4">
        <v>0</v>
      </c>
      <c r="J58" s="4">
        <v>0</v>
      </c>
      <c r="K58" s="4">
        <v>0</v>
      </c>
      <c r="L58" s="4">
        <v>0</v>
      </c>
      <c r="M58" s="4">
        <v>0</v>
      </c>
      <c r="N58" s="4">
        <v>0</v>
      </c>
      <c r="O58" s="4">
        <v>0</v>
      </c>
      <c r="P58" s="4">
        <v>0</v>
      </c>
      <c r="Q58" s="4">
        <v>0</v>
      </c>
      <c r="R58" s="4">
        <v>0</v>
      </c>
      <c r="S58" s="4">
        <v>0</v>
      </c>
    </row>
    <row r="59" spans="1:19" x14ac:dyDescent="0.25">
      <c r="A59" s="6" t="s">
        <v>172</v>
      </c>
      <c r="B59" s="7" t="s">
        <v>59</v>
      </c>
      <c r="C59" s="6" t="s">
        <v>164</v>
      </c>
      <c r="D59" s="6" t="s">
        <v>116</v>
      </c>
      <c r="E59" s="4">
        <v>0</v>
      </c>
      <c r="F59" s="4">
        <v>1</v>
      </c>
      <c r="G59" s="4">
        <v>0</v>
      </c>
      <c r="H59" s="4">
        <v>0</v>
      </c>
      <c r="I59" s="4">
        <v>0</v>
      </c>
      <c r="J59" s="4">
        <v>0</v>
      </c>
      <c r="K59" s="4">
        <v>0</v>
      </c>
      <c r="L59" s="4">
        <v>0</v>
      </c>
      <c r="M59" s="4">
        <v>1</v>
      </c>
      <c r="N59" s="4">
        <v>0</v>
      </c>
      <c r="O59" s="4">
        <v>0</v>
      </c>
      <c r="P59" s="4">
        <v>0</v>
      </c>
      <c r="Q59" s="4">
        <v>0</v>
      </c>
      <c r="R59" s="4">
        <v>0</v>
      </c>
      <c r="S59" s="4">
        <v>0</v>
      </c>
    </row>
    <row r="60" spans="1:19" x14ac:dyDescent="0.25">
      <c r="A60" s="6" t="s">
        <v>173</v>
      </c>
      <c r="B60" s="7" t="s">
        <v>67</v>
      </c>
      <c r="C60" s="6" t="s">
        <v>164</v>
      </c>
      <c r="D60" s="6" t="s">
        <v>114</v>
      </c>
      <c r="E60" s="4">
        <v>0</v>
      </c>
      <c r="F60" s="4">
        <v>1</v>
      </c>
      <c r="G60" s="4">
        <v>0</v>
      </c>
      <c r="H60" s="4">
        <v>0</v>
      </c>
      <c r="I60" s="4">
        <v>0</v>
      </c>
      <c r="J60" s="4">
        <v>0</v>
      </c>
      <c r="K60" s="4">
        <v>0</v>
      </c>
      <c r="L60" s="4">
        <v>0</v>
      </c>
      <c r="M60" s="4">
        <v>0</v>
      </c>
      <c r="N60" s="4">
        <v>0</v>
      </c>
      <c r="O60" s="4">
        <v>0</v>
      </c>
      <c r="P60" s="4">
        <v>0</v>
      </c>
      <c r="Q60" s="4">
        <v>0</v>
      </c>
      <c r="R60" s="4">
        <v>0</v>
      </c>
      <c r="S60" s="4">
        <v>0</v>
      </c>
    </row>
    <row r="61" spans="1:19" ht="26.4" x14ac:dyDescent="0.25">
      <c r="A61" s="6" t="s">
        <v>174</v>
      </c>
      <c r="B61" s="7" t="s">
        <v>46</v>
      </c>
      <c r="C61" s="6" t="s">
        <v>175</v>
      </c>
      <c r="D61" s="6" t="s">
        <v>116</v>
      </c>
      <c r="E61" s="4">
        <v>0</v>
      </c>
      <c r="F61" s="4">
        <v>1</v>
      </c>
      <c r="G61" s="4">
        <v>0</v>
      </c>
      <c r="H61" s="4">
        <v>1</v>
      </c>
      <c r="I61" s="4">
        <v>0</v>
      </c>
      <c r="J61" s="4">
        <v>0</v>
      </c>
      <c r="K61" s="4">
        <v>0</v>
      </c>
      <c r="L61" s="4">
        <v>0</v>
      </c>
      <c r="M61" s="4">
        <v>0</v>
      </c>
      <c r="N61" s="4">
        <v>0</v>
      </c>
      <c r="O61" s="4">
        <v>0</v>
      </c>
      <c r="P61" s="4">
        <v>0</v>
      </c>
      <c r="Q61" s="4">
        <v>0</v>
      </c>
      <c r="R61" s="4">
        <v>0</v>
      </c>
      <c r="S61" s="4">
        <v>0</v>
      </c>
    </row>
    <row r="62" spans="1:19" ht="26.4" x14ac:dyDescent="0.25">
      <c r="A62" s="6" t="s">
        <v>176</v>
      </c>
      <c r="B62" s="7" t="s">
        <v>66</v>
      </c>
      <c r="C62" s="6" t="s">
        <v>175</v>
      </c>
      <c r="D62" s="6" t="s">
        <v>123</v>
      </c>
      <c r="E62" s="4">
        <v>0</v>
      </c>
      <c r="F62" s="4">
        <v>0</v>
      </c>
      <c r="G62" s="4">
        <v>0</v>
      </c>
      <c r="H62" s="4">
        <v>0</v>
      </c>
      <c r="I62" s="4">
        <v>0</v>
      </c>
      <c r="J62" s="4">
        <v>0</v>
      </c>
      <c r="K62" s="4">
        <v>0</v>
      </c>
      <c r="L62" s="4">
        <v>0</v>
      </c>
      <c r="M62" s="4">
        <v>0</v>
      </c>
      <c r="N62" s="4">
        <v>1</v>
      </c>
      <c r="O62" s="4">
        <v>0</v>
      </c>
      <c r="P62" s="4">
        <v>0</v>
      </c>
      <c r="Q62" s="4">
        <v>0</v>
      </c>
      <c r="R62" s="4">
        <v>1</v>
      </c>
      <c r="S62" s="4">
        <v>0</v>
      </c>
    </row>
    <row r="63" spans="1:19" ht="26.4" x14ac:dyDescent="0.25">
      <c r="A63" s="6" t="s">
        <v>177</v>
      </c>
      <c r="B63" s="7" t="s">
        <v>27</v>
      </c>
      <c r="C63" s="6" t="s">
        <v>175</v>
      </c>
      <c r="D63" s="6" t="s">
        <v>116</v>
      </c>
      <c r="E63" s="4">
        <v>0</v>
      </c>
      <c r="F63" s="4">
        <v>1</v>
      </c>
      <c r="G63" s="4">
        <v>0</v>
      </c>
      <c r="H63" s="4">
        <v>1</v>
      </c>
      <c r="I63" s="4">
        <v>0</v>
      </c>
      <c r="J63" s="4">
        <v>0</v>
      </c>
      <c r="K63" s="4">
        <v>0</v>
      </c>
      <c r="L63" s="4">
        <v>0</v>
      </c>
      <c r="M63" s="4">
        <v>0</v>
      </c>
      <c r="N63" s="4">
        <v>0</v>
      </c>
      <c r="O63" s="4">
        <v>0</v>
      </c>
      <c r="P63" s="4">
        <v>0</v>
      </c>
      <c r="Q63" s="4">
        <v>0</v>
      </c>
      <c r="R63" s="4">
        <v>0</v>
      </c>
      <c r="S63" s="4">
        <v>0</v>
      </c>
    </row>
    <row r="64" spans="1:19" ht="26.4" x14ac:dyDescent="0.25">
      <c r="A64" s="6" t="s">
        <v>178</v>
      </c>
      <c r="B64" s="7" t="s">
        <v>75</v>
      </c>
      <c r="C64" s="6" t="s">
        <v>175</v>
      </c>
      <c r="D64" s="6" t="s">
        <v>116</v>
      </c>
      <c r="E64" s="4">
        <v>0</v>
      </c>
      <c r="F64" s="4">
        <v>1</v>
      </c>
      <c r="G64" s="4">
        <v>0</v>
      </c>
      <c r="H64" s="4">
        <v>0</v>
      </c>
      <c r="I64" s="4">
        <v>0</v>
      </c>
      <c r="J64" s="4">
        <v>1</v>
      </c>
      <c r="K64" s="4">
        <v>0</v>
      </c>
      <c r="L64" s="4">
        <v>0</v>
      </c>
      <c r="M64" s="4">
        <v>0</v>
      </c>
      <c r="N64" s="4">
        <v>0</v>
      </c>
      <c r="O64" s="4">
        <v>0</v>
      </c>
      <c r="P64" s="4">
        <v>0</v>
      </c>
      <c r="Q64" s="4">
        <v>0</v>
      </c>
      <c r="R64" s="4">
        <v>0</v>
      </c>
      <c r="S64" s="4">
        <v>0</v>
      </c>
    </row>
    <row r="65" spans="1:19" ht="26.4" x14ac:dyDescent="0.25">
      <c r="A65" s="6" t="s">
        <v>179</v>
      </c>
      <c r="B65" s="7" t="s">
        <v>7</v>
      </c>
      <c r="C65" s="6" t="s">
        <v>175</v>
      </c>
      <c r="D65" s="6" t="s">
        <v>114</v>
      </c>
      <c r="E65" s="4">
        <v>0</v>
      </c>
      <c r="F65" s="4">
        <v>1</v>
      </c>
      <c r="G65" s="4">
        <v>0</v>
      </c>
      <c r="H65" s="4">
        <v>0</v>
      </c>
      <c r="I65" s="4">
        <v>0</v>
      </c>
      <c r="J65" s="4">
        <v>0</v>
      </c>
      <c r="K65" s="4">
        <v>0</v>
      </c>
      <c r="L65" s="4">
        <v>0</v>
      </c>
      <c r="M65" s="4">
        <v>1</v>
      </c>
      <c r="N65" s="4">
        <v>0</v>
      </c>
      <c r="O65" s="4">
        <v>0</v>
      </c>
      <c r="P65" s="4">
        <v>0</v>
      </c>
      <c r="Q65" s="4">
        <v>0</v>
      </c>
      <c r="R65" s="4">
        <v>0</v>
      </c>
      <c r="S65" s="4">
        <v>0</v>
      </c>
    </row>
    <row r="66" spans="1:19" ht="26.4" x14ac:dyDescent="0.25">
      <c r="A66" s="6" t="s">
        <v>180</v>
      </c>
      <c r="B66" s="7" t="s">
        <v>23</v>
      </c>
      <c r="C66" s="6" t="s">
        <v>175</v>
      </c>
      <c r="D66" s="6" t="s">
        <v>114</v>
      </c>
      <c r="E66" s="4">
        <v>0</v>
      </c>
      <c r="F66" s="4">
        <v>1</v>
      </c>
      <c r="G66" s="4">
        <v>0</v>
      </c>
      <c r="H66" s="4">
        <v>0</v>
      </c>
      <c r="I66" s="4">
        <v>1</v>
      </c>
      <c r="J66" s="4">
        <v>1</v>
      </c>
      <c r="K66" s="4">
        <v>1</v>
      </c>
      <c r="L66" s="4">
        <v>1</v>
      </c>
      <c r="M66" s="4">
        <v>0</v>
      </c>
      <c r="N66" s="4">
        <v>0</v>
      </c>
      <c r="O66" s="4">
        <v>0</v>
      </c>
      <c r="P66" s="4">
        <v>0</v>
      </c>
      <c r="Q66" s="4">
        <v>0</v>
      </c>
      <c r="R66" s="4">
        <v>0</v>
      </c>
      <c r="S66" s="4">
        <v>0</v>
      </c>
    </row>
    <row r="67" spans="1:19" ht="26.4" x14ac:dyDescent="0.25">
      <c r="A67" s="6" t="s">
        <v>181</v>
      </c>
      <c r="B67" s="7" t="s">
        <v>4</v>
      </c>
      <c r="C67" s="6" t="s">
        <v>175</v>
      </c>
      <c r="D67" s="6" t="s">
        <v>105</v>
      </c>
      <c r="E67" s="4">
        <v>0</v>
      </c>
      <c r="F67" s="4">
        <v>1</v>
      </c>
      <c r="G67" s="4">
        <v>0</v>
      </c>
      <c r="H67" s="4">
        <v>1</v>
      </c>
      <c r="I67" s="4">
        <v>0</v>
      </c>
      <c r="J67" s="4">
        <v>0</v>
      </c>
      <c r="K67" s="4">
        <v>0</v>
      </c>
      <c r="L67" s="4">
        <v>0</v>
      </c>
      <c r="M67" s="4">
        <v>0</v>
      </c>
      <c r="N67" s="4">
        <v>0</v>
      </c>
      <c r="O67" s="4">
        <v>0</v>
      </c>
      <c r="P67" s="4">
        <v>0</v>
      </c>
      <c r="Q67" s="4">
        <v>0</v>
      </c>
      <c r="R67" s="4">
        <v>0</v>
      </c>
      <c r="S67" s="4">
        <v>0</v>
      </c>
    </row>
    <row r="68" spans="1:19" ht="26.4" x14ac:dyDescent="0.25">
      <c r="A68" s="6" t="s">
        <v>182</v>
      </c>
      <c r="B68" s="7" t="s">
        <v>60</v>
      </c>
      <c r="C68" s="6" t="s">
        <v>175</v>
      </c>
      <c r="D68" s="6" t="s">
        <v>128</v>
      </c>
      <c r="E68" s="4">
        <v>1</v>
      </c>
      <c r="F68" s="4">
        <v>0</v>
      </c>
      <c r="G68" s="4">
        <v>0</v>
      </c>
      <c r="H68" s="4">
        <v>0</v>
      </c>
      <c r="I68" s="4">
        <v>0</v>
      </c>
      <c r="J68" s="4">
        <v>0</v>
      </c>
      <c r="K68" s="4">
        <v>0</v>
      </c>
      <c r="L68" s="4">
        <v>0</v>
      </c>
      <c r="M68" s="4">
        <v>0</v>
      </c>
      <c r="N68" s="4">
        <v>0</v>
      </c>
      <c r="O68" s="4">
        <v>0</v>
      </c>
      <c r="P68" s="4">
        <v>0</v>
      </c>
      <c r="Q68" s="4">
        <v>0</v>
      </c>
      <c r="R68" s="4">
        <v>0</v>
      </c>
      <c r="S68" s="4">
        <v>0</v>
      </c>
    </row>
    <row r="69" spans="1:19" ht="26.4" x14ac:dyDescent="0.25">
      <c r="A69" s="6" t="s">
        <v>183</v>
      </c>
      <c r="B69" s="7" t="s">
        <v>86</v>
      </c>
      <c r="C69" s="6" t="s">
        <v>175</v>
      </c>
      <c r="D69" s="6" t="s">
        <v>128</v>
      </c>
      <c r="E69" s="4">
        <v>1</v>
      </c>
      <c r="F69" s="4">
        <v>0</v>
      </c>
      <c r="G69" s="4">
        <v>0</v>
      </c>
      <c r="H69" s="4">
        <v>0</v>
      </c>
      <c r="I69" s="4">
        <v>0</v>
      </c>
      <c r="J69" s="4">
        <v>0</v>
      </c>
      <c r="K69" s="4">
        <v>0</v>
      </c>
      <c r="L69" s="4">
        <v>0</v>
      </c>
      <c r="M69" s="4">
        <v>0</v>
      </c>
      <c r="N69" s="4">
        <v>0</v>
      </c>
      <c r="O69" s="4">
        <v>0</v>
      </c>
      <c r="P69" s="4">
        <v>0</v>
      </c>
      <c r="Q69" s="4">
        <v>0</v>
      </c>
      <c r="R69" s="4">
        <v>0</v>
      </c>
      <c r="S69" s="4">
        <v>0</v>
      </c>
    </row>
    <row r="70" spans="1:19" ht="26.4" x14ac:dyDescent="0.25">
      <c r="A70" s="6" t="s">
        <v>184</v>
      </c>
      <c r="B70" s="7" t="s">
        <v>95</v>
      </c>
      <c r="C70" s="6" t="s">
        <v>175</v>
      </c>
      <c r="D70" s="6" t="s">
        <v>116</v>
      </c>
      <c r="E70" s="4">
        <v>1</v>
      </c>
      <c r="F70" s="4">
        <v>0</v>
      </c>
      <c r="G70" s="4">
        <v>0</v>
      </c>
      <c r="H70" s="4">
        <v>0</v>
      </c>
      <c r="I70" s="4">
        <v>0</v>
      </c>
      <c r="J70" s="4">
        <v>0</v>
      </c>
      <c r="K70" s="4">
        <v>0</v>
      </c>
      <c r="L70" s="4">
        <v>0</v>
      </c>
      <c r="M70" s="4">
        <v>0</v>
      </c>
      <c r="N70" s="4">
        <v>0</v>
      </c>
      <c r="O70" s="4">
        <v>0</v>
      </c>
      <c r="P70" s="4">
        <v>0</v>
      </c>
      <c r="Q70" s="4">
        <v>0</v>
      </c>
      <c r="R70" s="4">
        <v>0</v>
      </c>
      <c r="S70" s="4">
        <v>0</v>
      </c>
    </row>
    <row r="71" spans="1:19" ht="26.4" x14ac:dyDescent="0.25">
      <c r="A71" s="6" t="s">
        <v>185</v>
      </c>
      <c r="B71" s="7" t="s">
        <v>56</v>
      </c>
      <c r="C71" s="6" t="s">
        <v>175</v>
      </c>
      <c r="D71" s="6" t="s">
        <v>123</v>
      </c>
      <c r="E71" s="4">
        <v>0</v>
      </c>
      <c r="F71" s="4">
        <v>1</v>
      </c>
      <c r="G71" s="4">
        <v>0</v>
      </c>
      <c r="H71" s="4">
        <v>0</v>
      </c>
      <c r="I71" s="4">
        <v>0</v>
      </c>
      <c r="J71" s="4">
        <v>1</v>
      </c>
      <c r="K71" s="4">
        <v>0</v>
      </c>
      <c r="L71" s="4">
        <v>1</v>
      </c>
      <c r="M71" s="4">
        <v>0</v>
      </c>
      <c r="N71" s="4">
        <v>0</v>
      </c>
      <c r="O71" s="4">
        <v>0</v>
      </c>
      <c r="P71" s="4">
        <v>0</v>
      </c>
      <c r="Q71" s="4">
        <v>0</v>
      </c>
      <c r="R71" s="4">
        <v>0</v>
      </c>
      <c r="S71" s="4">
        <v>0</v>
      </c>
    </row>
    <row r="72" spans="1:19" ht="26.4" x14ac:dyDescent="0.25">
      <c r="A72" s="6" t="s">
        <v>186</v>
      </c>
      <c r="B72" s="7" t="s">
        <v>37</v>
      </c>
      <c r="C72" s="6" t="s">
        <v>175</v>
      </c>
      <c r="D72" s="6" t="s">
        <v>116</v>
      </c>
      <c r="E72" s="4">
        <v>0</v>
      </c>
      <c r="F72" s="4">
        <v>1</v>
      </c>
      <c r="G72" s="4">
        <v>0</v>
      </c>
      <c r="H72" s="4">
        <v>1</v>
      </c>
      <c r="I72" s="4">
        <v>0</v>
      </c>
      <c r="J72" s="4">
        <v>0</v>
      </c>
      <c r="K72" s="4">
        <v>0</v>
      </c>
      <c r="L72" s="4">
        <v>0</v>
      </c>
      <c r="M72" s="4">
        <v>0</v>
      </c>
      <c r="N72" s="4">
        <v>0</v>
      </c>
      <c r="O72" s="4">
        <v>0</v>
      </c>
      <c r="P72" s="4">
        <v>0</v>
      </c>
      <c r="Q72" s="4">
        <v>0</v>
      </c>
      <c r="R72" s="4">
        <v>0</v>
      </c>
      <c r="S72" s="4">
        <v>0</v>
      </c>
    </row>
    <row r="73" spans="1:19" ht="26.4" x14ac:dyDescent="0.25">
      <c r="A73" s="6" t="s">
        <v>187</v>
      </c>
      <c r="B73" s="7" t="s">
        <v>82</v>
      </c>
      <c r="C73" s="6" t="s">
        <v>175</v>
      </c>
      <c r="D73" s="6" t="s">
        <v>116</v>
      </c>
      <c r="E73" s="4">
        <v>0</v>
      </c>
      <c r="F73" s="4">
        <v>0</v>
      </c>
      <c r="G73" s="4">
        <v>0</v>
      </c>
      <c r="H73" s="4">
        <v>0</v>
      </c>
      <c r="I73" s="4">
        <v>0</v>
      </c>
      <c r="J73" s="4">
        <v>0</v>
      </c>
      <c r="K73" s="4">
        <v>0</v>
      </c>
      <c r="L73" s="4">
        <v>0</v>
      </c>
      <c r="M73" s="4">
        <v>0</v>
      </c>
      <c r="N73" s="4">
        <v>0</v>
      </c>
      <c r="O73" s="4">
        <v>0</v>
      </c>
      <c r="P73" s="4">
        <v>0</v>
      </c>
      <c r="Q73" s="4">
        <v>0</v>
      </c>
      <c r="R73" s="4">
        <v>0</v>
      </c>
      <c r="S73" s="4">
        <v>1</v>
      </c>
    </row>
    <row r="74" spans="1:19" ht="26.4" x14ac:dyDescent="0.25">
      <c r="A74" s="6" t="s">
        <v>188</v>
      </c>
      <c r="B74" s="7" t="s">
        <v>40</v>
      </c>
      <c r="C74" s="6" t="s">
        <v>175</v>
      </c>
      <c r="D74" s="6" t="s">
        <v>116</v>
      </c>
      <c r="E74" s="4">
        <v>0</v>
      </c>
      <c r="F74" s="4">
        <v>0</v>
      </c>
      <c r="G74" s="4">
        <v>0</v>
      </c>
      <c r="H74" s="4">
        <v>0</v>
      </c>
      <c r="I74" s="4">
        <v>0</v>
      </c>
      <c r="J74" s="4">
        <v>0</v>
      </c>
      <c r="K74" s="4">
        <v>0</v>
      </c>
      <c r="L74" s="4">
        <v>0</v>
      </c>
      <c r="M74" s="4">
        <v>0</v>
      </c>
      <c r="N74" s="4">
        <v>0</v>
      </c>
      <c r="O74" s="4">
        <v>0</v>
      </c>
      <c r="P74" s="4">
        <v>0</v>
      </c>
      <c r="Q74" s="4">
        <v>0</v>
      </c>
      <c r="R74" s="4">
        <v>0</v>
      </c>
      <c r="S74" s="4">
        <v>1</v>
      </c>
    </row>
    <row r="75" spans="1:19" ht="26.4" x14ac:dyDescent="0.25">
      <c r="A75" s="6" t="s">
        <v>189</v>
      </c>
      <c r="B75" s="7" t="s">
        <v>16</v>
      </c>
      <c r="C75" s="6" t="s">
        <v>175</v>
      </c>
      <c r="D75" s="6" t="s">
        <v>116</v>
      </c>
      <c r="E75" s="4">
        <v>0</v>
      </c>
      <c r="F75" s="4">
        <v>0</v>
      </c>
      <c r="G75" s="4">
        <v>0</v>
      </c>
      <c r="H75" s="4">
        <v>0</v>
      </c>
      <c r="I75" s="4">
        <v>0</v>
      </c>
      <c r="J75" s="4">
        <v>0</v>
      </c>
      <c r="K75" s="4">
        <v>0</v>
      </c>
      <c r="L75" s="4">
        <v>0</v>
      </c>
      <c r="M75" s="4">
        <v>0</v>
      </c>
      <c r="N75" s="4">
        <v>0</v>
      </c>
      <c r="O75" s="4">
        <v>0</v>
      </c>
      <c r="P75" s="4">
        <v>0</v>
      </c>
      <c r="Q75" s="4">
        <v>0</v>
      </c>
      <c r="R75" s="4">
        <v>0</v>
      </c>
      <c r="S75" s="4">
        <v>1</v>
      </c>
    </row>
    <row r="76" spans="1:19" ht="26.4" x14ac:dyDescent="0.25">
      <c r="A76" s="6" t="s">
        <v>190</v>
      </c>
      <c r="B76" s="7" t="s">
        <v>89</v>
      </c>
      <c r="C76" s="6" t="s">
        <v>175</v>
      </c>
      <c r="D76" s="6" t="s">
        <v>105</v>
      </c>
      <c r="E76" s="4">
        <v>0</v>
      </c>
      <c r="F76" s="4">
        <v>1</v>
      </c>
      <c r="G76" s="4">
        <v>0</v>
      </c>
      <c r="H76" s="4">
        <v>0</v>
      </c>
      <c r="I76" s="4">
        <v>0</v>
      </c>
      <c r="J76" s="4">
        <v>1</v>
      </c>
      <c r="K76" s="4">
        <v>0</v>
      </c>
      <c r="L76" s="4">
        <v>0</v>
      </c>
      <c r="M76" s="4">
        <v>0</v>
      </c>
      <c r="N76" s="4">
        <v>0</v>
      </c>
      <c r="O76" s="4">
        <v>0</v>
      </c>
      <c r="P76" s="4">
        <v>0</v>
      </c>
      <c r="Q76" s="4">
        <v>0</v>
      </c>
      <c r="R76" s="4">
        <v>0</v>
      </c>
      <c r="S76" s="4">
        <v>0</v>
      </c>
    </row>
    <row r="77" spans="1:19" ht="26.4" x14ac:dyDescent="0.25">
      <c r="A77" s="6" t="s">
        <v>191</v>
      </c>
      <c r="B77" s="7" t="s">
        <v>88</v>
      </c>
      <c r="C77" s="6" t="s">
        <v>175</v>
      </c>
      <c r="D77" s="6" t="s">
        <v>114</v>
      </c>
      <c r="E77" s="4">
        <v>0</v>
      </c>
      <c r="F77" s="4">
        <v>1</v>
      </c>
      <c r="G77" s="4">
        <v>0</v>
      </c>
      <c r="H77" s="4">
        <v>0</v>
      </c>
      <c r="I77" s="4">
        <v>1</v>
      </c>
      <c r="J77" s="4">
        <v>0</v>
      </c>
      <c r="K77" s="4">
        <v>0</v>
      </c>
      <c r="L77" s="4">
        <v>0</v>
      </c>
      <c r="M77" s="4">
        <v>0</v>
      </c>
      <c r="N77" s="4">
        <v>0</v>
      </c>
      <c r="O77" s="4">
        <v>0</v>
      </c>
      <c r="P77" s="4">
        <v>0</v>
      </c>
      <c r="Q77" s="4">
        <v>0</v>
      </c>
      <c r="R77" s="4">
        <v>0</v>
      </c>
      <c r="S77" s="4">
        <v>0</v>
      </c>
    </row>
    <row r="78" spans="1:19" ht="26.4" x14ac:dyDescent="0.25">
      <c r="A78" s="6" t="s">
        <v>192</v>
      </c>
      <c r="B78" s="7" t="s">
        <v>30</v>
      </c>
      <c r="C78" s="6" t="s">
        <v>175</v>
      </c>
      <c r="D78" s="6" t="s">
        <v>116</v>
      </c>
      <c r="E78" s="4">
        <v>1</v>
      </c>
      <c r="F78" s="4">
        <v>0</v>
      </c>
      <c r="G78" s="4">
        <v>0</v>
      </c>
      <c r="H78" s="4">
        <v>0</v>
      </c>
      <c r="I78" s="4">
        <v>0</v>
      </c>
      <c r="J78" s="4">
        <v>0</v>
      </c>
      <c r="K78" s="4">
        <v>0</v>
      </c>
      <c r="L78" s="4">
        <v>0</v>
      </c>
      <c r="M78" s="4">
        <v>0</v>
      </c>
      <c r="N78" s="4">
        <v>0</v>
      </c>
      <c r="O78" s="4">
        <v>0</v>
      </c>
      <c r="P78" s="4">
        <v>0</v>
      </c>
      <c r="Q78" s="4">
        <v>0</v>
      </c>
      <c r="R78" s="4">
        <v>0</v>
      </c>
      <c r="S78" s="4">
        <v>0</v>
      </c>
    </row>
    <row r="79" spans="1:19" ht="26.4" x14ac:dyDescent="0.25">
      <c r="A79" s="6" t="s">
        <v>193</v>
      </c>
      <c r="B79" s="7" t="s">
        <v>31</v>
      </c>
      <c r="C79" s="6" t="s">
        <v>175</v>
      </c>
      <c r="D79" s="6" t="s">
        <v>116</v>
      </c>
      <c r="E79" s="4">
        <v>0</v>
      </c>
      <c r="F79" s="4">
        <v>1</v>
      </c>
      <c r="G79" s="4">
        <v>0</v>
      </c>
      <c r="H79" s="4">
        <v>0</v>
      </c>
      <c r="I79" s="4">
        <v>0</v>
      </c>
      <c r="J79" s="4">
        <v>0</v>
      </c>
      <c r="K79" s="4">
        <v>0</v>
      </c>
      <c r="L79" s="4">
        <v>0</v>
      </c>
      <c r="M79" s="4">
        <v>0</v>
      </c>
      <c r="N79" s="4">
        <v>0</v>
      </c>
      <c r="O79" s="4">
        <v>0</v>
      </c>
      <c r="P79" s="4">
        <v>0</v>
      </c>
      <c r="Q79" s="4">
        <v>0</v>
      </c>
      <c r="R79" s="4">
        <v>0</v>
      </c>
      <c r="S79" s="4">
        <v>0</v>
      </c>
    </row>
    <row r="80" spans="1:19" ht="26.4" x14ac:dyDescent="0.25">
      <c r="A80" s="6" t="s">
        <v>194</v>
      </c>
      <c r="B80" s="7" t="s">
        <v>99</v>
      </c>
      <c r="C80" s="6" t="s">
        <v>175</v>
      </c>
      <c r="D80" s="6" t="s">
        <v>123</v>
      </c>
      <c r="E80" s="4">
        <v>0</v>
      </c>
      <c r="F80" s="4">
        <v>0</v>
      </c>
      <c r="G80" s="4">
        <v>0</v>
      </c>
      <c r="H80" s="4">
        <v>0</v>
      </c>
      <c r="I80" s="4">
        <v>0</v>
      </c>
      <c r="J80" s="4">
        <v>0</v>
      </c>
      <c r="K80" s="4">
        <v>0</v>
      </c>
      <c r="L80" s="4">
        <v>0</v>
      </c>
      <c r="M80" s="4">
        <v>0</v>
      </c>
      <c r="N80" s="4">
        <v>1</v>
      </c>
      <c r="O80" s="4">
        <v>0</v>
      </c>
      <c r="P80" s="4">
        <v>0</v>
      </c>
      <c r="Q80" s="4">
        <v>0</v>
      </c>
      <c r="R80" s="4">
        <v>1</v>
      </c>
      <c r="S80" s="4">
        <v>0</v>
      </c>
    </row>
    <row r="81" spans="1:19" ht="26.4" x14ac:dyDescent="0.25">
      <c r="A81" s="6" t="s">
        <v>195</v>
      </c>
      <c r="B81" s="7" t="s">
        <v>51</v>
      </c>
      <c r="C81" s="6" t="s">
        <v>175</v>
      </c>
      <c r="D81" s="6" t="s">
        <v>116</v>
      </c>
      <c r="E81" s="4">
        <v>0</v>
      </c>
      <c r="F81" s="4">
        <v>1</v>
      </c>
      <c r="G81" s="4">
        <v>0</v>
      </c>
      <c r="H81" s="4">
        <v>1</v>
      </c>
      <c r="I81" s="4">
        <v>0</v>
      </c>
      <c r="J81" s="4">
        <v>0</v>
      </c>
      <c r="K81" s="4">
        <v>0</v>
      </c>
      <c r="L81" s="4">
        <v>0</v>
      </c>
      <c r="M81" s="4">
        <v>0</v>
      </c>
      <c r="N81" s="4">
        <v>0</v>
      </c>
      <c r="O81" s="4">
        <v>0</v>
      </c>
      <c r="P81" s="4">
        <v>0</v>
      </c>
      <c r="Q81" s="4">
        <v>0</v>
      </c>
      <c r="R81" s="4">
        <v>0</v>
      </c>
      <c r="S81" s="4">
        <v>0</v>
      </c>
    </row>
    <row r="82" spans="1:19" ht="26.4" x14ac:dyDescent="0.25">
      <c r="A82" s="6" t="s">
        <v>196</v>
      </c>
      <c r="B82" s="7" t="s">
        <v>87</v>
      </c>
      <c r="C82" s="6" t="s">
        <v>175</v>
      </c>
      <c r="D82" s="6" t="s">
        <v>123</v>
      </c>
      <c r="E82" s="4">
        <v>0</v>
      </c>
      <c r="F82" s="4">
        <v>0</v>
      </c>
      <c r="G82" s="4">
        <v>0</v>
      </c>
      <c r="H82" s="4">
        <v>0</v>
      </c>
      <c r="I82" s="4">
        <v>0</v>
      </c>
      <c r="J82" s="4">
        <v>0</v>
      </c>
      <c r="K82" s="4">
        <v>0</v>
      </c>
      <c r="L82" s="4">
        <v>0</v>
      </c>
      <c r="M82" s="4">
        <v>0</v>
      </c>
      <c r="N82" s="4">
        <v>0</v>
      </c>
      <c r="O82" s="4">
        <v>0</v>
      </c>
      <c r="P82" s="4">
        <v>0</v>
      </c>
      <c r="Q82" s="4">
        <v>0</v>
      </c>
      <c r="R82" s="4">
        <v>0</v>
      </c>
      <c r="S82" s="4">
        <v>1</v>
      </c>
    </row>
    <row r="83" spans="1:19" ht="26.4" x14ac:dyDescent="0.25">
      <c r="A83" s="6" t="s">
        <v>197</v>
      </c>
      <c r="B83" s="7" t="s">
        <v>93</v>
      </c>
      <c r="C83" s="6" t="s">
        <v>175</v>
      </c>
      <c r="D83" s="6" t="s">
        <v>118</v>
      </c>
      <c r="E83" s="4">
        <v>0</v>
      </c>
      <c r="F83" s="4">
        <v>1</v>
      </c>
      <c r="G83" s="4">
        <v>0</v>
      </c>
      <c r="H83" s="4">
        <v>1</v>
      </c>
      <c r="I83" s="4">
        <v>0</v>
      </c>
      <c r="J83" s="4">
        <v>1</v>
      </c>
      <c r="K83" s="4">
        <v>0</v>
      </c>
      <c r="L83" s="4">
        <v>0</v>
      </c>
      <c r="M83" s="4">
        <v>0</v>
      </c>
      <c r="N83" s="4">
        <v>0</v>
      </c>
      <c r="O83" s="4">
        <v>0</v>
      </c>
      <c r="P83" s="4">
        <v>0</v>
      </c>
      <c r="Q83" s="4">
        <v>0</v>
      </c>
      <c r="R83" s="4">
        <v>0</v>
      </c>
      <c r="S83" s="4">
        <v>0</v>
      </c>
    </row>
    <row r="84" spans="1:19" ht="26.4" x14ac:dyDescent="0.25">
      <c r="A84" s="6" t="s">
        <v>198</v>
      </c>
      <c r="B84" s="7" t="s">
        <v>21</v>
      </c>
      <c r="C84" s="6" t="s">
        <v>175</v>
      </c>
      <c r="D84" s="6" t="s">
        <v>128</v>
      </c>
      <c r="E84" s="4">
        <v>0</v>
      </c>
      <c r="F84" s="4">
        <v>1</v>
      </c>
      <c r="G84" s="4">
        <v>0</v>
      </c>
      <c r="H84" s="4">
        <v>0</v>
      </c>
      <c r="I84" s="4">
        <v>1</v>
      </c>
      <c r="J84" s="4">
        <v>0</v>
      </c>
      <c r="K84" s="4">
        <v>0</v>
      </c>
      <c r="L84" s="4">
        <v>0</v>
      </c>
      <c r="M84" s="4">
        <v>0</v>
      </c>
      <c r="N84" s="4">
        <v>0</v>
      </c>
      <c r="O84" s="4">
        <v>0</v>
      </c>
      <c r="P84" s="4">
        <v>0</v>
      </c>
      <c r="Q84" s="4">
        <v>0</v>
      </c>
      <c r="R84" s="4">
        <v>0</v>
      </c>
      <c r="S84" s="4">
        <v>0</v>
      </c>
    </row>
    <row r="85" spans="1:19" ht="26.4" x14ac:dyDescent="0.25">
      <c r="A85" s="6" t="s">
        <v>199</v>
      </c>
      <c r="B85" s="7" t="s">
        <v>34</v>
      </c>
      <c r="C85" s="6" t="s">
        <v>175</v>
      </c>
      <c r="D85" s="6" t="s">
        <v>123</v>
      </c>
      <c r="E85" s="4">
        <v>0</v>
      </c>
      <c r="F85" s="4">
        <v>1</v>
      </c>
      <c r="G85" s="4">
        <v>0</v>
      </c>
      <c r="H85" s="4">
        <v>1</v>
      </c>
      <c r="I85" s="4">
        <v>0</v>
      </c>
      <c r="J85" s="4">
        <v>0</v>
      </c>
      <c r="K85" s="4">
        <v>0</v>
      </c>
      <c r="L85" s="4">
        <v>0</v>
      </c>
      <c r="M85" s="4">
        <v>0</v>
      </c>
      <c r="N85" s="4">
        <v>0</v>
      </c>
      <c r="O85" s="4">
        <v>0</v>
      </c>
      <c r="P85" s="4">
        <v>0</v>
      </c>
      <c r="Q85" s="4">
        <v>0</v>
      </c>
      <c r="R85" s="4">
        <v>0</v>
      </c>
      <c r="S85" s="4">
        <v>0</v>
      </c>
    </row>
    <row r="86" spans="1:19" ht="26.4" x14ac:dyDescent="0.25">
      <c r="A86" s="6" t="s">
        <v>200</v>
      </c>
      <c r="B86" s="7" t="s">
        <v>71</v>
      </c>
      <c r="C86" s="6" t="s">
        <v>175</v>
      </c>
      <c r="D86" s="6" t="s">
        <v>116</v>
      </c>
      <c r="E86" s="4">
        <v>0</v>
      </c>
      <c r="F86" s="4">
        <v>1</v>
      </c>
      <c r="G86" s="4">
        <v>0</v>
      </c>
      <c r="H86" s="4">
        <v>1</v>
      </c>
      <c r="I86" s="4">
        <v>0</v>
      </c>
      <c r="J86" s="4">
        <v>0</v>
      </c>
      <c r="K86" s="4">
        <v>0</v>
      </c>
      <c r="L86" s="4">
        <v>0</v>
      </c>
      <c r="M86" s="4">
        <v>0</v>
      </c>
      <c r="N86" s="4">
        <v>0</v>
      </c>
      <c r="O86" s="4">
        <v>0</v>
      </c>
      <c r="P86" s="4">
        <v>0</v>
      </c>
      <c r="Q86" s="4">
        <v>0</v>
      </c>
      <c r="R86" s="4">
        <v>0</v>
      </c>
      <c r="S86" s="4">
        <v>0</v>
      </c>
    </row>
    <row r="87" spans="1:19" ht="26.4" x14ac:dyDescent="0.25">
      <c r="A87" s="6" t="s">
        <v>201</v>
      </c>
      <c r="B87" s="7" t="s">
        <v>9</v>
      </c>
      <c r="C87" s="6" t="s">
        <v>175</v>
      </c>
      <c r="D87" s="6" t="s">
        <v>114</v>
      </c>
      <c r="E87" s="4">
        <v>0</v>
      </c>
      <c r="F87" s="4">
        <v>0</v>
      </c>
      <c r="G87" s="4">
        <v>0</v>
      </c>
      <c r="H87" s="4">
        <v>0</v>
      </c>
      <c r="I87" s="4">
        <v>0</v>
      </c>
      <c r="J87" s="4">
        <v>0</v>
      </c>
      <c r="K87" s="4">
        <v>0</v>
      </c>
      <c r="L87" s="4">
        <v>0</v>
      </c>
      <c r="M87" s="4">
        <v>0</v>
      </c>
      <c r="N87" s="4">
        <v>1</v>
      </c>
      <c r="O87" s="4">
        <v>0</v>
      </c>
      <c r="P87" s="4">
        <v>0</v>
      </c>
      <c r="Q87" s="4">
        <v>0</v>
      </c>
      <c r="R87" s="4">
        <v>0</v>
      </c>
      <c r="S87" s="4">
        <v>0</v>
      </c>
    </row>
    <row r="88" spans="1:19" ht="26.4" x14ac:dyDescent="0.25">
      <c r="A88" s="6" t="s">
        <v>202</v>
      </c>
      <c r="B88" s="7" t="s">
        <v>55</v>
      </c>
      <c r="C88" s="6" t="s">
        <v>175</v>
      </c>
      <c r="D88" s="6" t="s">
        <v>123</v>
      </c>
      <c r="E88" s="4">
        <v>0</v>
      </c>
      <c r="F88" s="4">
        <v>0</v>
      </c>
      <c r="G88" s="4">
        <v>0</v>
      </c>
      <c r="H88" s="4">
        <v>0</v>
      </c>
      <c r="I88" s="4">
        <v>0</v>
      </c>
      <c r="J88" s="4">
        <v>0</v>
      </c>
      <c r="K88" s="4">
        <v>0</v>
      </c>
      <c r="L88" s="4">
        <v>0</v>
      </c>
      <c r="M88" s="4">
        <v>0</v>
      </c>
      <c r="N88" s="4">
        <v>0</v>
      </c>
      <c r="O88" s="4">
        <v>0</v>
      </c>
      <c r="P88" s="4">
        <v>0</v>
      </c>
      <c r="Q88" s="4">
        <v>0</v>
      </c>
      <c r="R88" s="4">
        <v>0</v>
      </c>
      <c r="S88" s="4">
        <v>1</v>
      </c>
    </row>
    <row r="89" spans="1:19" ht="26.4" x14ac:dyDescent="0.25">
      <c r="A89" s="6" t="s">
        <v>203</v>
      </c>
      <c r="B89" s="7" t="s">
        <v>62</v>
      </c>
      <c r="C89" s="6" t="s">
        <v>175</v>
      </c>
      <c r="D89" s="6" t="s">
        <v>123</v>
      </c>
      <c r="E89" s="4">
        <v>1</v>
      </c>
      <c r="F89" s="4">
        <v>0</v>
      </c>
      <c r="G89" s="4">
        <v>0</v>
      </c>
      <c r="H89" s="4">
        <v>0</v>
      </c>
      <c r="I89" s="4">
        <v>0</v>
      </c>
      <c r="J89" s="4">
        <v>0</v>
      </c>
      <c r="K89" s="4">
        <v>0</v>
      </c>
      <c r="L89" s="4">
        <v>0</v>
      </c>
      <c r="M89" s="4">
        <v>0</v>
      </c>
      <c r="N89" s="4">
        <v>0</v>
      </c>
      <c r="O89" s="4">
        <v>0</v>
      </c>
      <c r="P89" s="4">
        <v>0</v>
      </c>
      <c r="Q89" s="4">
        <v>0</v>
      </c>
      <c r="R89" s="4">
        <v>0</v>
      </c>
      <c r="S89" s="4">
        <v>0</v>
      </c>
    </row>
    <row r="90" spans="1:19" ht="26.4" x14ac:dyDescent="0.25">
      <c r="A90" s="6" t="s">
        <v>204</v>
      </c>
      <c r="B90" s="7" t="s">
        <v>13</v>
      </c>
      <c r="C90" s="6" t="s">
        <v>113</v>
      </c>
      <c r="D90" s="6" t="s">
        <v>114</v>
      </c>
      <c r="E90" s="4">
        <v>0</v>
      </c>
      <c r="F90" s="4">
        <v>1</v>
      </c>
      <c r="G90" s="4">
        <v>0</v>
      </c>
      <c r="H90" s="4">
        <v>1</v>
      </c>
      <c r="I90" s="4">
        <v>0</v>
      </c>
      <c r="J90" s="4">
        <v>0</v>
      </c>
      <c r="K90" s="4">
        <v>0</v>
      </c>
      <c r="L90" s="4">
        <v>0</v>
      </c>
      <c r="M90" s="4">
        <v>0</v>
      </c>
      <c r="N90" s="4">
        <v>0</v>
      </c>
      <c r="O90" s="4">
        <v>0</v>
      </c>
      <c r="P90" s="4">
        <v>0</v>
      </c>
      <c r="Q90" s="4">
        <v>0</v>
      </c>
      <c r="R90" s="4">
        <v>0</v>
      </c>
      <c r="S90" s="4">
        <v>0</v>
      </c>
    </row>
    <row r="91" spans="1:19" ht="26.4" x14ac:dyDescent="0.25">
      <c r="A91" s="6" t="s">
        <v>205</v>
      </c>
      <c r="B91" s="7" t="s">
        <v>1</v>
      </c>
      <c r="C91" s="6" t="s">
        <v>175</v>
      </c>
      <c r="D91" s="6" t="s">
        <v>114</v>
      </c>
      <c r="E91" s="4">
        <v>0</v>
      </c>
      <c r="F91" s="4">
        <v>1</v>
      </c>
      <c r="G91" s="4">
        <v>0</v>
      </c>
      <c r="H91" s="4">
        <v>0</v>
      </c>
      <c r="I91" s="4">
        <v>1</v>
      </c>
      <c r="J91" s="4">
        <v>0</v>
      </c>
      <c r="K91" s="4">
        <v>0</v>
      </c>
      <c r="L91" s="4">
        <v>0</v>
      </c>
      <c r="M91" s="4">
        <v>0</v>
      </c>
      <c r="N91" s="4">
        <v>0</v>
      </c>
      <c r="O91" s="4">
        <v>0</v>
      </c>
      <c r="P91" s="4">
        <v>0</v>
      </c>
      <c r="Q91" s="4">
        <v>0</v>
      </c>
      <c r="R91" s="4">
        <v>0</v>
      </c>
      <c r="S91" s="4">
        <v>0</v>
      </c>
    </row>
    <row r="92" spans="1:19" ht="26.4" x14ac:dyDescent="0.25">
      <c r="A92" s="6" t="s">
        <v>206</v>
      </c>
      <c r="B92" s="7" t="s">
        <v>49</v>
      </c>
      <c r="C92" s="6" t="s">
        <v>175</v>
      </c>
      <c r="D92" s="6" t="s">
        <v>116</v>
      </c>
      <c r="E92" s="4">
        <v>0</v>
      </c>
      <c r="F92" s="4">
        <v>1</v>
      </c>
      <c r="G92" s="4">
        <v>0</v>
      </c>
      <c r="H92" s="4">
        <v>0</v>
      </c>
      <c r="I92" s="4">
        <v>0</v>
      </c>
      <c r="J92" s="4">
        <v>0</v>
      </c>
      <c r="K92" s="4">
        <v>0</v>
      </c>
      <c r="L92" s="4">
        <v>0</v>
      </c>
      <c r="M92" s="4">
        <v>0</v>
      </c>
      <c r="N92" s="4">
        <v>0</v>
      </c>
      <c r="O92" s="4">
        <v>0</v>
      </c>
      <c r="P92" s="4">
        <v>0</v>
      </c>
      <c r="Q92" s="4">
        <v>0</v>
      </c>
      <c r="R92" s="4">
        <v>0</v>
      </c>
      <c r="S92" s="4">
        <v>0</v>
      </c>
    </row>
    <row r="93" spans="1:19" ht="26.4" x14ac:dyDescent="0.25">
      <c r="A93" s="6" t="s">
        <v>207</v>
      </c>
      <c r="B93" s="7" t="s">
        <v>42</v>
      </c>
      <c r="C93" s="6" t="s">
        <v>175</v>
      </c>
      <c r="D93" s="6" t="s">
        <v>105</v>
      </c>
      <c r="E93" s="4">
        <v>0</v>
      </c>
      <c r="F93" s="4">
        <v>0</v>
      </c>
      <c r="G93" s="4">
        <v>0</v>
      </c>
      <c r="H93" s="4">
        <v>0</v>
      </c>
      <c r="I93" s="4">
        <v>0</v>
      </c>
      <c r="J93" s="4">
        <v>0</v>
      </c>
      <c r="K93" s="4">
        <v>0</v>
      </c>
      <c r="L93" s="4">
        <v>0</v>
      </c>
      <c r="M93" s="4">
        <v>0</v>
      </c>
      <c r="N93" s="4">
        <v>0</v>
      </c>
      <c r="O93" s="4">
        <v>0</v>
      </c>
      <c r="P93" s="4">
        <v>0</v>
      </c>
      <c r="Q93" s="4">
        <v>0</v>
      </c>
      <c r="R93" s="4">
        <v>0</v>
      </c>
      <c r="S93" s="4">
        <v>1</v>
      </c>
    </row>
    <row r="94" spans="1:19" ht="26.4" x14ac:dyDescent="0.25">
      <c r="A94" s="6" t="s">
        <v>208</v>
      </c>
      <c r="B94" s="7" t="s">
        <v>64</v>
      </c>
      <c r="C94" s="6" t="s">
        <v>175</v>
      </c>
      <c r="D94" s="6" t="s">
        <v>116</v>
      </c>
      <c r="E94" s="4">
        <v>1</v>
      </c>
      <c r="F94" s="4">
        <v>0</v>
      </c>
      <c r="G94" s="4">
        <v>0</v>
      </c>
      <c r="H94" s="4">
        <v>0</v>
      </c>
      <c r="I94" s="4">
        <v>0</v>
      </c>
      <c r="J94" s="4">
        <v>0</v>
      </c>
      <c r="K94" s="4">
        <v>0</v>
      </c>
      <c r="L94" s="4">
        <v>0</v>
      </c>
      <c r="M94" s="4">
        <v>0</v>
      </c>
      <c r="N94" s="4">
        <v>0</v>
      </c>
      <c r="O94" s="4">
        <v>0</v>
      </c>
      <c r="P94" s="4">
        <v>0</v>
      </c>
      <c r="Q94" s="4">
        <v>0</v>
      </c>
      <c r="R94" s="4">
        <v>0</v>
      </c>
      <c r="S94" s="4">
        <v>0</v>
      </c>
    </row>
    <row r="95" spans="1:19" ht="26.4" x14ac:dyDescent="0.25">
      <c r="A95" s="6" t="s">
        <v>209</v>
      </c>
      <c r="B95" s="7" t="s">
        <v>53</v>
      </c>
      <c r="C95" s="6" t="s">
        <v>175</v>
      </c>
      <c r="D95" s="6" t="s">
        <v>118</v>
      </c>
      <c r="E95" s="4">
        <v>0</v>
      </c>
      <c r="F95" s="4">
        <v>1</v>
      </c>
      <c r="G95" s="4">
        <v>0</v>
      </c>
      <c r="H95" s="4">
        <v>0</v>
      </c>
      <c r="I95" s="4">
        <v>0</v>
      </c>
      <c r="J95" s="4">
        <v>1</v>
      </c>
      <c r="K95" s="4">
        <v>1</v>
      </c>
      <c r="L95" s="4">
        <v>0</v>
      </c>
      <c r="M95" s="4">
        <v>0</v>
      </c>
      <c r="N95" s="4">
        <v>0</v>
      </c>
      <c r="O95" s="4">
        <v>0</v>
      </c>
      <c r="P95" s="4">
        <v>0</v>
      </c>
      <c r="Q95" s="4">
        <v>0</v>
      </c>
      <c r="R95" s="4">
        <v>0</v>
      </c>
      <c r="S95" s="4">
        <v>0</v>
      </c>
    </row>
    <row r="96" spans="1:19" ht="26.4" x14ac:dyDescent="0.25">
      <c r="A96" s="6" t="s">
        <v>210</v>
      </c>
      <c r="B96" s="7" t="s">
        <v>45</v>
      </c>
      <c r="C96" s="6" t="s">
        <v>175</v>
      </c>
      <c r="D96" s="6" t="s">
        <v>116</v>
      </c>
      <c r="E96" s="4">
        <v>0</v>
      </c>
      <c r="F96" s="4">
        <v>1</v>
      </c>
      <c r="G96" s="4">
        <v>0</v>
      </c>
      <c r="H96" s="4">
        <v>1</v>
      </c>
      <c r="I96" s="4">
        <v>0</v>
      </c>
      <c r="J96" s="4">
        <v>0</v>
      </c>
      <c r="K96" s="4">
        <v>0</v>
      </c>
      <c r="L96" s="4">
        <v>0</v>
      </c>
      <c r="M96" s="4">
        <v>0</v>
      </c>
      <c r="N96" s="4">
        <v>0</v>
      </c>
      <c r="O96" s="4">
        <v>0</v>
      </c>
      <c r="P96" s="4">
        <v>0</v>
      </c>
      <c r="Q96" s="4">
        <v>0</v>
      </c>
      <c r="R96" s="4">
        <v>0</v>
      </c>
      <c r="S96" s="4">
        <v>0</v>
      </c>
    </row>
    <row r="97" spans="1:19" ht="26.4" x14ac:dyDescent="0.25">
      <c r="A97" s="6" t="s">
        <v>211</v>
      </c>
      <c r="B97" s="7" t="s">
        <v>19</v>
      </c>
      <c r="C97" s="6" t="s">
        <v>175</v>
      </c>
      <c r="D97" s="6" t="s">
        <v>116</v>
      </c>
      <c r="E97" s="4">
        <v>0</v>
      </c>
      <c r="F97" s="4">
        <v>1</v>
      </c>
      <c r="G97" s="4">
        <v>0</v>
      </c>
      <c r="H97" s="4">
        <v>0</v>
      </c>
      <c r="I97" s="4">
        <v>1</v>
      </c>
      <c r="J97" s="4">
        <v>0</v>
      </c>
      <c r="K97" s="4">
        <v>0</v>
      </c>
      <c r="L97" s="4">
        <v>0</v>
      </c>
      <c r="M97" s="4">
        <v>0</v>
      </c>
      <c r="N97" s="4">
        <v>0</v>
      </c>
      <c r="O97" s="4">
        <v>0</v>
      </c>
      <c r="P97" s="4">
        <v>0</v>
      </c>
      <c r="Q97" s="4">
        <v>0</v>
      </c>
      <c r="R97" s="4">
        <v>0</v>
      </c>
      <c r="S97" s="4">
        <v>0</v>
      </c>
    </row>
    <row r="98" spans="1:19" x14ac:dyDescent="0.25">
      <c r="A98" s="6" t="s">
        <v>212</v>
      </c>
      <c r="B98" s="7" t="s">
        <v>36</v>
      </c>
      <c r="C98" s="6" t="s">
        <v>213</v>
      </c>
      <c r="D98" s="6" t="s">
        <v>123</v>
      </c>
      <c r="E98" s="4">
        <v>0</v>
      </c>
      <c r="F98" s="4">
        <v>0</v>
      </c>
      <c r="G98" s="4">
        <v>0</v>
      </c>
      <c r="H98" s="4">
        <v>0</v>
      </c>
      <c r="I98" s="4">
        <v>0</v>
      </c>
      <c r="J98" s="4">
        <v>0</v>
      </c>
      <c r="K98" s="4">
        <v>0</v>
      </c>
      <c r="L98" s="4">
        <v>0</v>
      </c>
      <c r="M98" s="4">
        <v>0</v>
      </c>
      <c r="N98" s="4">
        <v>0</v>
      </c>
      <c r="O98" s="4">
        <v>0</v>
      </c>
      <c r="P98" s="4">
        <v>0</v>
      </c>
      <c r="Q98" s="4">
        <v>0</v>
      </c>
      <c r="R98" s="4">
        <v>0</v>
      </c>
      <c r="S98" s="4">
        <v>1</v>
      </c>
    </row>
    <row r="99" spans="1:19" x14ac:dyDescent="0.25">
      <c r="A99" s="6" t="s">
        <v>214</v>
      </c>
      <c r="B99" s="7" t="s">
        <v>83</v>
      </c>
      <c r="C99" s="6" t="s">
        <v>215</v>
      </c>
      <c r="D99" s="6" t="s">
        <v>118</v>
      </c>
      <c r="E99" s="4">
        <v>0</v>
      </c>
      <c r="F99" s="4">
        <v>1</v>
      </c>
      <c r="G99" s="4">
        <v>0</v>
      </c>
      <c r="H99" s="4">
        <v>1</v>
      </c>
      <c r="I99" s="4">
        <v>0</v>
      </c>
      <c r="J99" s="4">
        <v>0</v>
      </c>
      <c r="K99" s="4">
        <v>0</v>
      </c>
      <c r="L99" s="4">
        <v>0</v>
      </c>
      <c r="M99" s="4">
        <v>0</v>
      </c>
      <c r="N99" s="4">
        <v>0</v>
      </c>
      <c r="O99" s="4">
        <v>0</v>
      </c>
      <c r="P99" s="4">
        <v>0</v>
      </c>
      <c r="Q99" s="4">
        <v>0</v>
      </c>
      <c r="R99" s="4">
        <v>0</v>
      </c>
      <c r="S99" s="4">
        <v>0</v>
      </c>
    </row>
    <row r="100" spans="1:19" x14ac:dyDescent="0.25">
      <c r="A100" s="6" t="s">
        <v>216</v>
      </c>
      <c r="B100" s="7" t="s">
        <v>28</v>
      </c>
      <c r="C100" s="6" t="s">
        <v>215</v>
      </c>
      <c r="D100" s="6" t="s">
        <v>116</v>
      </c>
      <c r="E100" s="4">
        <v>1</v>
      </c>
      <c r="F100" s="4">
        <v>0</v>
      </c>
      <c r="G100" s="4">
        <v>0</v>
      </c>
      <c r="H100" s="4">
        <v>0</v>
      </c>
      <c r="I100" s="4">
        <v>0</v>
      </c>
      <c r="J100" s="4">
        <v>0</v>
      </c>
      <c r="K100" s="4">
        <v>0</v>
      </c>
      <c r="L100" s="4">
        <v>0</v>
      </c>
      <c r="M100" s="4">
        <v>0</v>
      </c>
      <c r="N100" s="4">
        <v>0</v>
      </c>
      <c r="O100" s="4">
        <v>0</v>
      </c>
      <c r="P100" s="4">
        <v>0</v>
      </c>
      <c r="Q100" s="4">
        <v>0</v>
      </c>
      <c r="R100" s="4">
        <v>0</v>
      </c>
      <c r="S100" s="4">
        <v>0</v>
      </c>
    </row>
    <row r="102" spans="1:19" x14ac:dyDescent="0.25">
      <c r="B102" s="8" t="s">
        <v>222</v>
      </c>
    </row>
    <row r="103" spans="1:19" x14ac:dyDescent="0.25">
      <c r="B103" s="9" t="s">
        <v>218</v>
      </c>
    </row>
    <row r="104" spans="1:19" x14ac:dyDescent="0.25">
      <c r="B104" s="10" t="s">
        <v>219</v>
      </c>
    </row>
    <row r="105" spans="1:19" x14ac:dyDescent="0.25">
      <c r="B105" s="11" t="s">
        <v>220</v>
      </c>
    </row>
    <row r="106" spans="1:19" ht="26.4" x14ac:dyDescent="0.25">
      <c r="B106" s="12" t="s">
        <v>221</v>
      </c>
    </row>
  </sheetData>
  <autoFilter ref="A1:S1" xr:uid="{5B3CE5FA-AA84-4850-B601-4F79D74E7414}"/>
  <pageMargins left="0.7" right="0.7" top="0.75" bottom="0.75" header="0.3" footer="0.3"/>
  <pageSetup scale="80" orientation="landscape" r:id="rId1"/>
  <headerFooter>
    <oddHeader>&amp;LISQM 1_Q11 - Respondent by Theme</oddHeader>
    <oddFooter>&amp;R&amp;P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F446C-12F9-4A91-9130-883B23B692F8}">
  <dimension ref="A1:F21"/>
  <sheetViews>
    <sheetView view="pageBreakPreview" zoomScale="80" zoomScaleNormal="80" zoomScaleSheetLayoutView="80" workbookViewId="0">
      <pane xSplit="1" ySplit="12" topLeftCell="B13" activePane="bottomRight" state="frozen"/>
      <selection pane="topRight" activeCell="B1" sqref="B1"/>
      <selection pane="bottomLeft" activeCell="A11" sqref="A11"/>
      <selection pane="bottomRight"/>
    </sheetView>
  </sheetViews>
  <sheetFormatPr defaultRowHeight="13.2" x14ac:dyDescent="0.25"/>
  <cols>
    <col min="1" max="1" width="52.6640625" style="3" bestFit="1" customWidth="1"/>
    <col min="2" max="2" width="19.33203125" style="3" customWidth="1"/>
    <col min="3" max="3" width="27.6640625" style="3" bestFit="1" customWidth="1"/>
    <col min="4" max="4" width="15.6640625" style="3" bestFit="1" customWidth="1"/>
    <col min="5" max="5" width="36.21875" style="3" bestFit="1" customWidth="1"/>
    <col min="6" max="6" width="12.21875" style="3" bestFit="1" customWidth="1"/>
    <col min="7" max="16384" width="8.88671875" style="3"/>
  </cols>
  <sheetData>
    <row r="1" spans="1:6" ht="52.8" x14ac:dyDescent="0.25">
      <c r="A1" s="2" t="s">
        <v>437</v>
      </c>
    </row>
    <row r="2" spans="1:6" x14ac:dyDescent="0.25">
      <c r="A2" s="2"/>
    </row>
    <row r="3" spans="1:6" x14ac:dyDescent="0.25">
      <c r="A3" s="8" t="s">
        <v>222</v>
      </c>
    </row>
    <row r="4" spans="1:6" x14ac:dyDescent="0.25">
      <c r="A4" s="9" t="s">
        <v>218</v>
      </c>
    </row>
    <row r="5" spans="1:6" x14ac:dyDescent="0.25">
      <c r="A5" s="45" t="s">
        <v>219</v>
      </c>
    </row>
    <row r="6" spans="1:6" x14ac:dyDescent="0.25">
      <c r="A6" s="11" t="s">
        <v>220</v>
      </c>
    </row>
    <row r="7" spans="1:6" ht="26.4" x14ac:dyDescent="0.25">
      <c r="A7" s="12" t="s">
        <v>473</v>
      </c>
    </row>
    <row r="9" spans="1:6" customFormat="1" ht="14.4" x14ac:dyDescent="0.3">
      <c r="A9" s="8" t="s">
        <v>471</v>
      </c>
      <c r="B9" s="28">
        <f>GETPIVOTDATA("Sum of Agree",$A$12)/GETPIVOTDATA("Sum of Total",$A$12)</f>
        <v>0.17582417582417584</v>
      </c>
      <c r="C9" s="28">
        <f>GETPIVOTDATA("Sum of Agree but with further comments",$A$12)/GETPIVOTDATA("Sum of Total",$A$12)</f>
        <v>0.59340659340659341</v>
      </c>
      <c r="D9" s="28">
        <f>GETPIVOTDATA("Sum of Disagree",$A$12)/GETPIVOTDATA("Sum of Total",$A$12)</f>
        <v>0.13186813186813187</v>
      </c>
      <c r="E9" s="28">
        <f>GETPIVOTDATA("Sum of Unclear or no specific response or refer to other respondent's views",$A$12)/GETPIVOTDATA("Sum of Total",$A$12)</f>
        <v>9.8901098901098897E-2</v>
      </c>
      <c r="F9" s="28">
        <f>SUM(B9:E9)</f>
        <v>1</v>
      </c>
    </row>
    <row r="10" spans="1:6" customFormat="1" ht="14.4" x14ac:dyDescent="0.3">
      <c r="A10" s="8"/>
      <c r="B10" s="28"/>
      <c r="C10" s="28"/>
      <c r="D10" s="28"/>
      <c r="E10" s="28"/>
      <c r="F10" s="28"/>
    </row>
    <row r="11" spans="1:6" x14ac:dyDescent="0.25">
      <c r="A11" s="5" t="s">
        <v>228</v>
      </c>
      <c r="B11" s="15" t="s">
        <v>478</v>
      </c>
      <c r="C11" s="15" t="s">
        <v>479</v>
      </c>
      <c r="D11" s="15" t="s">
        <v>480</v>
      </c>
      <c r="E11" s="15" t="s">
        <v>481</v>
      </c>
      <c r="F11" s="16" t="s">
        <v>241</v>
      </c>
    </row>
    <row r="12" spans="1:6" s="2" customFormat="1" ht="39.6" x14ac:dyDescent="0.25">
      <c r="A12" s="34" t="s">
        <v>101</v>
      </c>
      <c r="B12" s="35" t="s">
        <v>223</v>
      </c>
      <c r="C12" s="46" t="s">
        <v>225</v>
      </c>
      <c r="D12" s="36" t="s">
        <v>226</v>
      </c>
      <c r="E12" s="37" t="s">
        <v>227</v>
      </c>
      <c r="F12" s="38" t="s">
        <v>242</v>
      </c>
    </row>
    <row r="13" spans="1:6" x14ac:dyDescent="0.25">
      <c r="A13" s="32" t="s">
        <v>104</v>
      </c>
      <c r="B13" s="33">
        <v>0</v>
      </c>
      <c r="C13" s="33">
        <v>2</v>
      </c>
      <c r="D13" s="33">
        <v>0</v>
      </c>
      <c r="E13" s="33">
        <v>2</v>
      </c>
      <c r="F13" s="33">
        <v>4</v>
      </c>
    </row>
    <row r="14" spans="1:6" x14ac:dyDescent="0.25">
      <c r="A14" s="32" t="s">
        <v>110</v>
      </c>
      <c r="B14" s="33">
        <v>0</v>
      </c>
      <c r="C14" s="33">
        <v>0</v>
      </c>
      <c r="D14" s="33">
        <v>0</v>
      </c>
      <c r="E14" s="33">
        <v>1</v>
      </c>
      <c r="F14" s="33">
        <v>1</v>
      </c>
    </row>
    <row r="15" spans="1:6" x14ac:dyDescent="0.25">
      <c r="A15" s="32" t="s">
        <v>113</v>
      </c>
      <c r="B15" s="33">
        <v>0</v>
      </c>
      <c r="C15" s="33">
        <v>4</v>
      </c>
      <c r="D15" s="33">
        <v>0</v>
      </c>
      <c r="E15" s="33">
        <v>1</v>
      </c>
      <c r="F15" s="33">
        <v>5</v>
      </c>
    </row>
    <row r="16" spans="1:6" x14ac:dyDescent="0.25">
      <c r="A16" s="32" t="s">
        <v>121</v>
      </c>
      <c r="B16" s="33">
        <v>2</v>
      </c>
      <c r="C16" s="33">
        <v>4</v>
      </c>
      <c r="D16" s="33">
        <v>6</v>
      </c>
      <c r="E16" s="33">
        <v>1</v>
      </c>
      <c r="F16" s="33">
        <v>13</v>
      </c>
    </row>
    <row r="17" spans="1:6" x14ac:dyDescent="0.25">
      <c r="A17" s="32" t="s">
        <v>138</v>
      </c>
      <c r="B17" s="33">
        <v>4</v>
      </c>
      <c r="C17" s="33">
        <v>18</v>
      </c>
      <c r="D17" s="33">
        <v>1</v>
      </c>
      <c r="E17" s="33">
        <v>0</v>
      </c>
      <c r="F17" s="33">
        <v>23</v>
      </c>
    </row>
    <row r="18" spans="1:6" x14ac:dyDescent="0.25">
      <c r="A18" s="32" t="s">
        <v>164</v>
      </c>
      <c r="B18" s="33">
        <v>2</v>
      </c>
      <c r="C18" s="33">
        <v>8</v>
      </c>
      <c r="D18" s="33">
        <v>0</v>
      </c>
      <c r="E18" s="33">
        <v>0</v>
      </c>
      <c r="F18" s="33">
        <v>10</v>
      </c>
    </row>
    <row r="19" spans="1:6" x14ac:dyDescent="0.25">
      <c r="A19" s="32" t="s">
        <v>175</v>
      </c>
      <c r="B19" s="33">
        <v>7</v>
      </c>
      <c r="C19" s="33">
        <v>17</v>
      </c>
      <c r="D19" s="33">
        <v>5</v>
      </c>
      <c r="E19" s="33">
        <v>4</v>
      </c>
      <c r="F19" s="33">
        <v>33</v>
      </c>
    </row>
    <row r="20" spans="1:6" x14ac:dyDescent="0.25">
      <c r="A20" s="32" t="s">
        <v>343</v>
      </c>
      <c r="B20" s="33">
        <v>1</v>
      </c>
      <c r="C20" s="33">
        <v>1</v>
      </c>
      <c r="D20" s="33">
        <v>0</v>
      </c>
      <c r="E20" s="33">
        <v>0</v>
      </c>
      <c r="F20" s="33">
        <v>2</v>
      </c>
    </row>
    <row r="21" spans="1:6" x14ac:dyDescent="0.25">
      <c r="A21" s="32" t="s">
        <v>224</v>
      </c>
      <c r="B21" s="33">
        <v>16</v>
      </c>
      <c r="C21" s="33">
        <v>54</v>
      </c>
      <c r="D21" s="33">
        <v>12</v>
      </c>
      <c r="E21" s="33">
        <v>9</v>
      </c>
      <c r="F21" s="33">
        <v>91</v>
      </c>
    </row>
  </sheetData>
  <pageMargins left="0.7" right="0.7" top="0.75" bottom="0.75" header="0.3" footer="0.3"/>
  <pageSetup scale="80" orientation="landscape" r:id="rId2"/>
  <headerFooter>
    <oddHeader>&amp;C&amp;"Arial,Regular"&amp;8Proposed ISQM 2: NVivo MS Excel Report by Category – ED-ISQM 2_Question 4(a)
IAASB Main Agenda (September 2019)&amp;R&amp;"Arial,Bold"&amp;18Agenda Item 7–A.3</oddHeader>
    <oddFooter>&amp;R&amp;P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3D27F-4883-48FC-BE5D-02C3DCC49A26}">
  <dimension ref="A1:I98"/>
  <sheetViews>
    <sheetView zoomScale="80" zoomScaleNormal="80" workbookViewId="0">
      <pane xSplit="4" ySplit="1" topLeftCell="E85" activePane="bottomRight" state="frozen"/>
      <selection pane="topRight" activeCell="E1" sqref="E1"/>
      <selection pane="bottomLeft" activeCell="A2" sqref="A2"/>
      <selection pane="bottomRight" activeCell="C85" sqref="C85"/>
    </sheetView>
  </sheetViews>
  <sheetFormatPr defaultColWidth="30.77734375" defaultRowHeight="13.2" outlineLevelCol="1" x14ac:dyDescent="0.25"/>
  <cols>
    <col min="1" max="1" width="50.77734375" style="2" hidden="1" customWidth="1" outlineLevel="1"/>
    <col min="2" max="2" width="30.77734375" style="3" collapsed="1"/>
    <col min="3" max="4" width="30.77734375" style="2" customWidth="1" outlineLevel="1"/>
    <col min="5" max="5" width="7.6640625" style="3" bestFit="1" customWidth="1"/>
    <col min="6" max="6" width="30.44140625" style="3" bestFit="1" customWidth="1"/>
    <col min="7" max="7" width="10.6640625" style="3" bestFit="1" customWidth="1"/>
    <col min="8" max="8" width="29.109375" style="3" bestFit="1" customWidth="1"/>
    <col min="9" max="9" width="6.77734375" style="3" bestFit="1" customWidth="1"/>
    <col min="10" max="16384" width="30.77734375" style="2"/>
  </cols>
  <sheetData>
    <row r="1" spans="1:9" s="1" customFormat="1" ht="39.6" x14ac:dyDescent="0.25">
      <c r="A1" s="5" t="s">
        <v>100</v>
      </c>
      <c r="B1" s="13" t="s">
        <v>436</v>
      </c>
      <c r="C1" s="5" t="s">
        <v>101</v>
      </c>
      <c r="D1" s="5" t="s">
        <v>102</v>
      </c>
      <c r="E1" s="21" t="s">
        <v>218</v>
      </c>
      <c r="F1" s="22" t="s">
        <v>219</v>
      </c>
      <c r="G1" s="23" t="s">
        <v>220</v>
      </c>
      <c r="H1" s="24" t="s">
        <v>221</v>
      </c>
      <c r="I1" s="25" t="s">
        <v>63</v>
      </c>
    </row>
    <row r="2" spans="1:9" x14ac:dyDescent="0.25">
      <c r="A2" s="6" t="s">
        <v>253</v>
      </c>
      <c r="B2" s="7" t="s">
        <v>345</v>
      </c>
      <c r="C2" s="6" t="s">
        <v>104</v>
      </c>
      <c r="D2" s="6" t="s">
        <v>105</v>
      </c>
      <c r="E2" s="4">
        <v>0</v>
      </c>
      <c r="F2" s="4">
        <v>0</v>
      </c>
      <c r="G2" s="4">
        <v>0</v>
      </c>
      <c r="H2" s="4">
        <v>1</v>
      </c>
      <c r="I2" s="26">
        <f>SUM(E2:H2)</f>
        <v>1</v>
      </c>
    </row>
    <row r="3" spans="1:9" x14ac:dyDescent="0.25">
      <c r="A3" s="6" t="s">
        <v>254</v>
      </c>
      <c r="B3" s="7" t="s">
        <v>346</v>
      </c>
      <c r="C3" s="6" t="s">
        <v>104</v>
      </c>
      <c r="D3" s="6" t="s">
        <v>105</v>
      </c>
      <c r="E3" s="4">
        <v>0</v>
      </c>
      <c r="F3" s="4">
        <v>0</v>
      </c>
      <c r="G3" s="4">
        <v>0</v>
      </c>
      <c r="H3" s="4">
        <v>1</v>
      </c>
      <c r="I3" s="26">
        <f t="shared" ref="I3:I66" si="0">SUM(E3:H3)</f>
        <v>1</v>
      </c>
    </row>
    <row r="4" spans="1:9" x14ac:dyDescent="0.25">
      <c r="A4" s="6" t="s">
        <v>255</v>
      </c>
      <c r="B4" s="7" t="s">
        <v>347</v>
      </c>
      <c r="C4" s="6" t="s">
        <v>104</v>
      </c>
      <c r="D4" s="6" t="s">
        <v>105</v>
      </c>
      <c r="E4" s="4">
        <v>0</v>
      </c>
      <c r="F4" s="4">
        <v>1</v>
      </c>
      <c r="G4" s="4">
        <v>0</v>
      </c>
      <c r="H4" s="4">
        <v>0</v>
      </c>
      <c r="I4" s="26">
        <f t="shared" si="0"/>
        <v>1</v>
      </c>
    </row>
    <row r="5" spans="1:9" x14ac:dyDescent="0.25">
      <c r="A5" s="6" t="s">
        <v>256</v>
      </c>
      <c r="B5" s="7" t="s">
        <v>348</v>
      </c>
      <c r="C5" s="6" t="s">
        <v>104</v>
      </c>
      <c r="D5" s="6" t="s">
        <v>105</v>
      </c>
      <c r="E5" s="4">
        <v>0</v>
      </c>
      <c r="F5" s="4">
        <v>1</v>
      </c>
      <c r="G5" s="4">
        <v>0</v>
      </c>
      <c r="H5" s="4">
        <v>0</v>
      </c>
      <c r="I5" s="26">
        <f t="shared" si="0"/>
        <v>1</v>
      </c>
    </row>
    <row r="6" spans="1:9" x14ac:dyDescent="0.25">
      <c r="A6" s="6" t="s">
        <v>257</v>
      </c>
      <c r="B6" s="7" t="s">
        <v>349</v>
      </c>
      <c r="C6" s="6" t="s">
        <v>110</v>
      </c>
      <c r="D6" s="6" t="s">
        <v>105</v>
      </c>
      <c r="E6" s="4">
        <v>0</v>
      </c>
      <c r="F6" s="4">
        <v>0</v>
      </c>
      <c r="G6" s="4">
        <v>0</v>
      </c>
      <c r="H6" s="4">
        <v>1</v>
      </c>
      <c r="I6" s="26">
        <f t="shared" si="0"/>
        <v>1</v>
      </c>
    </row>
    <row r="7" spans="1:9" ht="26.4" x14ac:dyDescent="0.25">
      <c r="A7" s="6" t="s">
        <v>258</v>
      </c>
      <c r="B7" s="7" t="s">
        <v>350</v>
      </c>
      <c r="C7" s="6" t="s">
        <v>113</v>
      </c>
      <c r="D7" s="6" t="s">
        <v>114</v>
      </c>
      <c r="E7" s="4">
        <v>0</v>
      </c>
      <c r="F7" s="4">
        <v>0</v>
      </c>
      <c r="G7" s="4">
        <v>0</v>
      </c>
      <c r="H7" s="4">
        <v>1</v>
      </c>
      <c r="I7" s="26">
        <f t="shared" si="0"/>
        <v>1</v>
      </c>
    </row>
    <row r="8" spans="1:9" ht="26.4" x14ac:dyDescent="0.25">
      <c r="A8" s="6" t="s">
        <v>259</v>
      </c>
      <c r="B8" s="7" t="s">
        <v>351</v>
      </c>
      <c r="C8" s="6" t="s">
        <v>113</v>
      </c>
      <c r="D8" s="6" t="s">
        <v>116</v>
      </c>
      <c r="E8" s="4">
        <v>0</v>
      </c>
      <c r="F8" s="4">
        <v>1</v>
      </c>
      <c r="G8" s="4">
        <v>0</v>
      </c>
      <c r="H8" s="4">
        <v>0</v>
      </c>
      <c r="I8" s="26">
        <f t="shared" si="0"/>
        <v>1</v>
      </c>
    </row>
    <row r="9" spans="1:9" ht="26.4" x14ac:dyDescent="0.25">
      <c r="A9" s="6" t="s">
        <v>260</v>
      </c>
      <c r="B9" s="7" t="s">
        <v>352</v>
      </c>
      <c r="C9" s="6" t="s">
        <v>113</v>
      </c>
      <c r="D9" s="6" t="s">
        <v>118</v>
      </c>
      <c r="E9" s="4">
        <v>0</v>
      </c>
      <c r="F9" s="4">
        <v>1</v>
      </c>
      <c r="G9" s="4">
        <v>0</v>
      </c>
      <c r="H9" s="4">
        <v>0</v>
      </c>
      <c r="I9" s="26">
        <f t="shared" si="0"/>
        <v>1</v>
      </c>
    </row>
    <row r="10" spans="1:9" ht="26.4" x14ac:dyDescent="0.25">
      <c r="A10" s="6" t="s">
        <v>261</v>
      </c>
      <c r="B10" s="7" t="s">
        <v>353</v>
      </c>
      <c r="C10" s="6" t="s">
        <v>113</v>
      </c>
      <c r="D10" s="6" t="s">
        <v>116</v>
      </c>
      <c r="E10" s="4">
        <v>0</v>
      </c>
      <c r="F10" s="4">
        <v>1</v>
      </c>
      <c r="G10" s="4">
        <v>0</v>
      </c>
      <c r="H10" s="4">
        <v>0</v>
      </c>
      <c r="I10" s="26">
        <f t="shared" si="0"/>
        <v>1</v>
      </c>
    </row>
    <row r="11" spans="1:9" ht="26.4" x14ac:dyDescent="0.25">
      <c r="A11" s="6" t="s">
        <v>262</v>
      </c>
      <c r="B11" s="7" t="s">
        <v>354</v>
      </c>
      <c r="C11" s="6" t="s">
        <v>121</v>
      </c>
      <c r="D11" s="6" t="s">
        <v>114</v>
      </c>
      <c r="E11" s="4">
        <v>0</v>
      </c>
      <c r="F11" s="4">
        <v>0</v>
      </c>
      <c r="G11" s="4">
        <v>1</v>
      </c>
      <c r="H11" s="4">
        <v>0</v>
      </c>
      <c r="I11" s="26">
        <f t="shared" si="0"/>
        <v>1</v>
      </c>
    </row>
    <row r="12" spans="1:9" ht="26.4" x14ac:dyDescent="0.25">
      <c r="A12" s="6" t="s">
        <v>263</v>
      </c>
      <c r="B12" s="7" t="s">
        <v>355</v>
      </c>
      <c r="C12" s="6" t="s">
        <v>121</v>
      </c>
      <c r="D12" s="6" t="s">
        <v>123</v>
      </c>
      <c r="E12" s="4">
        <v>0</v>
      </c>
      <c r="F12" s="4">
        <v>0</v>
      </c>
      <c r="G12" s="4">
        <v>1</v>
      </c>
      <c r="H12" s="4">
        <v>0</v>
      </c>
      <c r="I12" s="26">
        <f t="shared" si="0"/>
        <v>1</v>
      </c>
    </row>
    <row r="13" spans="1:9" ht="26.4" x14ac:dyDescent="0.25">
      <c r="A13" s="6" t="s">
        <v>264</v>
      </c>
      <c r="B13" s="7" t="s">
        <v>356</v>
      </c>
      <c r="C13" s="6" t="s">
        <v>121</v>
      </c>
      <c r="D13" s="6" t="s">
        <v>114</v>
      </c>
      <c r="E13" s="4">
        <v>0</v>
      </c>
      <c r="F13" s="4">
        <v>1</v>
      </c>
      <c r="G13" s="4">
        <v>0</v>
      </c>
      <c r="H13" s="4">
        <v>0</v>
      </c>
      <c r="I13" s="26">
        <f t="shared" si="0"/>
        <v>1</v>
      </c>
    </row>
    <row r="14" spans="1:9" ht="26.4" x14ac:dyDescent="0.25">
      <c r="A14" s="6" t="s">
        <v>265</v>
      </c>
      <c r="B14" s="7" t="s">
        <v>357</v>
      </c>
      <c r="C14" s="6" t="s">
        <v>121</v>
      </c>
      <c r="D14" s="6" t="s">
        <v>123</v>
      </c>
      <c r="E14" s="4">
        <v>0</v>
      </c>
      <c r="F14" s="4">
        <v>0</v>
      </c>
      <c r="G14" s="4">
        <v>0</v>
      </c>
      <c r="H14" s="4">
        <v>1</v>
      </c>
      <c r="I14" s="26">
        <f t="shared" si="0"/>
        <v>1</v>
      </c>
    </row>
    <row r="15" spans="1:9" ht="26.4" x14ac:dyDescent="0.25">
      <c r="A15" s="6" t="s">
        <v>266</v>
      </c>
      <c r="B15" s="7" t="s">
        <v>358</v>
      </c>
      <c r="C15" s="6" t="s">
        <v>121</v>
      </c>
      <c r="D15" s="6" t="s">
        <v>116</v>
      </c>
      <c r="E15" s="4">
        <v>1</v>
      </c>
      <c r="F15" s="4">
        <v>0</v>
      </c>
      <c r="G15" s="4">
        <v>0</v>
      </c>
      <c r="H15" s="4">
        <v>0</v>
      </c>
      <c r="I15" s="26">
        <f t="shared" si="0"/>
        <v>1</v>
      </c>
    </row>
    <row r="16" spans="1:9" ht="26.4" x14ac:dyDescent="0.25">
      <c r="A16" s="6" t="s">
        <v>267</v>
      </c>
      <c r="B16" s="7" t="s">
        <v>359</v>
      </c>
      <c r="C16" s="6" t="s">
        <v>121</v>
      </c>
      <c r="D16" s="6" t="s">
        <v>128</v>
      </c>
      <c r="E16" s="4">
        <v>0</v>
      </c>
      <c r="F16" s="4">
        <v>1</v>
      </c>
      <c r="G16" s="4">
        <v>0</v>
      </c>
      <c r="H16" s="4">
        <v>0</v>
      </c>
      <c r="I16" s="26">
        <f t="shared" si="0"/>
        <v>1</v>
      </c>
    </row>
    <row r="17" spans="1:9" ht="26.4" x14ac:dyDescent="0.25">
      <c r="A17" s="6" t="s">
        <v>268</v>
      </c>
      <c r="B17" s="7" t="s">
        <v>360</v>
      </c>
      <c r="C17" s="6" t="s">
        <v>121</v>
      </c>
      <c r="D17" s="6" t="s">
        <v>123</v>
      </c>
      <c r="E17" s="4">
        <v>0</v>
      </c>
      <c r="F17" s="4">
        <v>1</v>
      </c>
      <c r="G17" s="4">
        <v>0</v>
      </c>
      <c r="H17" s="4">
        <v>0</v>
      </c>
      <c r="I17" s="26">
        <f t="shared" si="0"/>
        <v>1</v>
      </c>
    </row>
    <row r="18" spans="1:9" ht="26.4" x14ac:dyDescent="0.25">
      <c r="A18" s="6" t="s">
        <v>269</v>
      </c>
      <c r="B18" s="7" t="s">
        <v>361</v>
      </c>
      <c r="C18" s="6" t="s">
        <v>121</v>
      </c>
      <c r="D18" s="6" t="s">
        <v>116</v>
      </c>
      <c r="E18" s="4">
        <v>0</v>
      </c>
      <c r="F18" s="4">
        <v>0</v>
      </c>
      <c r="G18" s="4">
        <v>1</v>
      </c>
      <c r="H18" s="4">
        <v>0</v>
      </c>
      <c r="I18" s="26">
        <f t="shared" si="0"/>
        <v>1</v>
      </c>
    </row>
    <row r="19" spans="1:9" ht="26.4" x14ac:dyDescent="0.25">
      <c r="A19" s="6" t="s">
        <v>270</v>
      </c>
      <c r="B19" s="7" t="s">
        <v>362</v>
      </c>
      <c r="C19" s="6" t="s">
        <v>121</v>
      </c>
      <c r="D19" s="6" t="s">
        <v>123</v>
      </c>
      <c r="E19" s="4">
        <v>1</v>
      </c>
      <c r="F19" s="4">
        <v>0</v>
      </c>
      <c r="G19" s="4">
        <v>0</v>
      </c>
      <c r="H19" s="4">
        <v>0</v>
      </c>
      <c r="I19" s="26">
        <f t="shared" si="0"/>
        <v>1</v>
      </c>
    </row>
    <row r="20" spans="1:9" ht="26.4" x14ac:dyDescent="0.25">
      <c r="A20" s="6" t="s">
        <v>271</v>
      </c>
      <c r="B20" s="7" t="s">
        <v>363</v>
      </c>
      <c r="C20" s="6" t="s">
        <v>121</v>
      </c>
      <c r="D20" s="6" t="s">
        <v>116</v>
      </c>
      <c r="E20" s="4">
        <v>0</v>
      </c>
      <c r="F20" s="4">
        <v>1</v>
      </c>
      <c r="G20" s="4">
        <v>0</v>
      </c>
      <c r="H20" s="4">
        <v>0</v>
      </c>
      <c r="I20" s="26">
        <f t="shared" si="0"/>
        <v>1</v>
      </c>
    </row>
    <row r="21" spans="1:9" ht="26.4" x14ac:dyDescent="0.25">
      <c r="A21" s="6" t="s">
        <v>272</v>
      </c>
      <c r="B21" s="7" t="s">
        <v>364</v>
      </c>
      <c r="C21" s="6" t="s">
        <v>121</v>
      </c>
      <c r="D21" s="6" t="s">
        <v>123</v>
      </c>
      <c r="E21" s="4">
        <v>0</v>
      </c>
      <c r="F21" s="4">
        <v>0</v>
      </c>
      <c r="G21" s="4">
        <v>1</v>
      </c>
      <c r="H21" s="4">
        <v>0</v>
      </c>
      <c r="I21" s="26">
        <f t="shared" si="0"/>
        <v>1</v>
      </c>
    </row>
    <row r="22" spans="1:9" ht="26.4" x14ac:dyDescent="0.25">
      <c r="A22" s="6" t="s">
        <v>273</v>
      </c>
      <c r="B22" s="7" t="s">
        <v>365</v>
      </c>
      <c r="C22" s="6" t="s">
        <v>121</v>
      </c>
      <c r="D22" s="6" t="s">
        <v>123</v>
      </c>
      <c r="E22" s="4">
        <v>0</v>
      </c>
      <c r="F22" s="4">
        <v>0</v>
      </c>
      <c r="G22" s="4">
        <v>1</v>
      </c>
      <c r="H22" s="4">
        <v>0</v>
      </c>
      <c r="I22" s="26">
        <f t="shared" si="0"/>
        <v>1</v>
      </c>
    </row>
    <row r="23" spans="1:9" ht="26.4" x14ac:dyDescent="0.25">
      <c r="A23" s="6" t="s">
        <v>274</v>
      </c>
      <c r="B23" s="7" t="s">
        <v>366</v>
      </c>
      <c r="C23" s="6" t="s">
        <v>121</v>
      </c>
      <c r="D23" s="6" t="s">
        <v>116</v>
      </c>
      <c r="E23" s="4">
        <v>0</v>
      </c>
      <c r="F23" s="4">
        <v>0</v>
      </c>
      <c r="G23" s="4">
        <v>1</v>
      </c>
      <c r="H23" s="4">
        <v>0</v>
      </c>
      <c r="I23" s="26">
        <f t="shared" si="0"/>
        <v>1</v>
      </c>
    </row>
    <row r="24" spans="1:9" x14ac:dyDescent="0.25">
      <c r="A24" s="6" t="s">
        <v>275</v>
      </c>
      <c r="B24" s="7" t="s">
        <v>367</v>
      </c>
      <c r="C24" s="6" t="s">
        <v>138</v>
      </c>
      <c r="D24" s="6" t="s">
        <v>105</v>
      </c>
      <c r="E24" s="4">
        <v>0</v>
      </c>
      <c r="F24" s="4">
        <v>1</v>
      </c>
      <c r="G24" s="4">
        <v>0</v>
      </c>
      <c r="H24" s="4">
        <v>0</v>
      </c>
      <c r="I24" s="26">
        <f t="shared" si="0"/>
        <v>1</v>
      </c>
    </row>
    <row r="25" spans="1:9" x14ac:dyDescent="0.25">
      <c r="A25" s="6" t="s">
        <v>276</v>
      </c>
      <c r="B25" s="7" t="s">
        <v>368</v>
      </c>
      <c r="C25" s="6" t="s">
        <v>138</v>
      </c>
      <c r="D25" s="6" t="s">
        <v>114</v>
      </c>
      <c r="E25" s="4">
        <v>1</v>
      </c>
      <c r="F25" s="4">
        <v>0</v>
      </c>
      <c r="G25" s="4">
        <v>0</v>
      </c>
      <c r="H25" s="4">
        <v>0</v>
      </c>
      <c r="I25" s="26">
        <f t="shared" si="0"/>
        <v>1</v>
      </c>
    </row>
    <row r="26" spans="1:9" x14ac:dyDescent="0.25">
      <c r="A26" s="6" t="s">
        <v>277</v>
      </c>
      <c r="B26" s="7" t="s">
        <v>369</v>
      </c>
      <c r="C26" s="6" t="s">
        <v>138</v>
      </c>
      <c r="D26" s="6" t="s">
        <v>105</v>
      </c>
      <c r="E26" s="4">
        <v>0</v>
      </c>
      <c r="F26" s="4">
        <v>1</v>
      </c>
      <c r="G26" s="4">
        <v>0</v>
      </c>
      <c r="H26" s="4">
        <v>0</v>
      </c>
      <c r="I26" s="26">
        <f t="shared" si="0"/>
        <v>1</v>
      </c>
    </row>
    <row r="27" spans="1:9" x14ac:dyDescent="0.25">
      <c r="A27" s="6" t="s">
        <v>278</v>
      </c>
      <c r="B27" s="7" t="s">
        <v>370</v>
      </c>
      <c r="C27" s="6" t="s">
        <v>138</v>
      </c>
      <c r="D27" s="6" t="s">
        <v>123</v>
      </c>
      <c r="E27" s="4">
        <v>0</v>
      </c>
      <c r="F27" s="4">
        <v>1</v>
      </c>
      <c r="G27" s="4">
        <v>0</v>
      </c>
      <c r="H27" s="4">
        <v>0</v>
      </c>
      <c r="I27" s="26">
        <f t="shared" si="0"/>
        <v>1</v>
      </c>
    </row>
    <row r="28" spans="1:9" x14ac:dyDescent="0.25">
      <c r="A28" s="6" t="s">
        <v>279</v>
      </c>
      <c r="B28" s="7" t="s">
        <v>371</v>
      </c>
      <c r="C28" s="6" t="s">
        <v>138</v>
      </c>
      <c r="D28" s="6" t="s">
        <v>105</v>
      </c>
      <c r="E28" s="4">
        <v>0</v>
      </c>
      <c r="F28" s="4">
        <v>1</v>
      </c>
      <c r="G28" s="4">
        <v>0</v>
      </c>
      <c r="H28" s="4">
        <v>0</v>
      </c>
      <c r="I28" s="26">
        <f t="shared" si="0"/>
        <v>1</v>
      </c>
    </row>
    <row r="29" spans="1:9" x14ac:dyDescent="0.25">
      <c r="A29" s="6" t="s">
        <v>280</v>
      </c>
      <c r="B29" s="7" t="s">
        <v>372</v>
      </c>
      <c r="C29" s="6" t="s">
        <v>138</v>
      </c>
      <c r="D29" s="6" t="s">
        <v>105</v>
      </c>
      <c r="E29" s="4">
        <v>0</v>
      </c>
      <c r="F29" s="4">
        <v>1</v>
      </c>
      <c r="G29" s="4">
        <v>0</v>
      </c>
      <c r="H29" s="4">
        <v>0</v>
      </c>
      <c r="I29" s="26">
        <f t="shared" si="0"/>
        <v>1</v>
      </c>
    </row>
    <row r="30" spans="1:9" x14ac:dyDescent="0.25">
      <c r="A30" s="6" t="s">
        <v>281</v>
      </c>
      <c r="B30" s="7" t="s">
        <v>373</v>
      </c>
      <c r="C30" s="6" t="s">
        <v>138</v>
      </c>
      <c r="D30" s="6" t="s">
        <v>116</v>
      </c>
      <c r="E30" s="4">
        <v>0</v>
      </c>
      <c r="F30" s="4">
        <v>1</v>
      </c>
      <c r="G30" s="4">
        <v>0</v>
      </c>
      <c r="H30" s="4">
        <v>0</v>
      </c>
      <c r="I30" s="26">
        <f t="shared" si="0"/>
        <v>1</v>
      </c>
    </row>
    <row r="31" spans="1:9" x14ac:dyDescent="0.25">
      <c r="A31" s="6" t="s">
        <v>282</v>
      </c>
      <c r="B31" s="7" t="s">
        <v>374</v>
      </c>
      <c r="C31" s="6" t="s">
        <v>138</v>
      </c>
      <c r="D31" s="6" t="s">
        <v>118</v>
      </c>
      <c r="E31" s="4">
        <v>1</v>
      </c>
      <c r="F31" s="4">
        <v>0</v>
      </c>
      <c r="G31" s="4">
        <v>0</v>
      </c>
      <c r="H31" s="4">
        <v>0</v>
      </c>
      <c r="I31" s="26">
        <f t="shared" si="0"/>
        <v>1</v>
      </c>
    </row>
    <row r="32" spans="1:9" x14ac:dyDescent="0.25">
      <c r="A32" s="6" t="s">
        <v>283</v>
      </c>
      <c r="B32" s="7" t="s">
        <v>375</v>
      </c>
      <c r="C32" s="6" t="s">
        <v>138</v>
      </c>
      <c r="D32" s="6" t="s">
        <v>105</v>
      </c>
      <c r="E32" s="4">
        <v>0</v>
      </c>
      <c r="F32" s="4">
        <v>1</v>
      </c>
      <c r="G32" s="4">
        <v>0</v>
      </c>
      <c r="H32" s="4">
        <v>0</v>
      </c>
      <c r="I32" s="26">
        <f t="shared" si="0"/>
        <v>1</v>
      </c>
    </row>
    <row r="33" spans="1:9" x14ac:dyDescent="0.25">
      <c r="A33" s="6" t="s">
        <v>284</v>
      </c>
      <c r="B33" s="7" t="s">
        <v>376</v>
      </c>
      <c r="C33" s="6" t="s">
        <v>138</v>
      </c>
      <c r="D33" s="6" t="s">
        <v>105</v>
      </c>
      <c r="E33" s="4">
        <v>0</v>
      </c>
      <c r="F33" s="4">
        <v>0</v>
      </c>
      <c r="G33" s="4">
        <v>1</v>
      </c>
      <c r="H33" s="4">
        <v>0</v>
      </c>
      <c r="I33" s="26">
        <f t="shared" si="0"/>
        <v>1</v>
      </c>
    </row>
    <row r="34" spans="1:9" x14ac:dyDescent="0.25">
      <c r="A34" s="6" t="s">
        <v>285</v>
      </c>
      <c r="B34" s="7" t="s">
        <v>377</v>
      </c>
      <c r="C34" s="6" t="s">
        <v>138</v>
      </c>
      <c r="D34" s="6" t="s">
        <v>116</v>
      </c>
      <c r="E34" s="4">
        <v>0</v>
      </c>
      <c r="F34" s="4">
        <v>1</v>
      </c>
      <c r="G34" s="4">
        <v>0</v>
      </c>
      <c r="H34" s="4">
        <v>0</v>
      </c>
      <c r="I34" s="26">
        <f t="shared" si="0"/>
        <v>1</v>
      </c>
    </row>
    <row r="35" spans="1:9" x14ac:dyDescent="0.25">
      <c r="A35" s="6" t="s">
        <v>286</v>
      </c>
      <c r="B35" s="7" t="s">
        <v>378</v>
      </c>
      <c r="C35" s="6" t="s">
        <v>138</v>
      </c>
      <c r="D35" s="6" t="s">
        <v>105</v>
      </c>
      <c r="E35" s="4">
        <v>0</v>
      </c>
      <c r="F35" s="4">
        <v>1</v>
      </c>
      <c r="G35" s="4">
        <v>0</v>
      </c>
      <c r="H35" s="4">
        <v>0</v>
      </c>
      <c r="I35" s="26">
        <f t="shared" si="0"/>
        <v>1</v>
      </c>
    </row>
    <row r="36" spans="1:9" x14ac:dyDescent="0.25">
      <c r="A36" s="6" t="s">
        <v>287</v>
      </c>
      <c r="B36" s="7" t="s">
        <v>379</v>
      </c>
      <c r="C36" s="6" t="s">
        <v>138</v>
      </c>
      <c r="D36" s="6" t="s">
        <v>105</v>
      </c>
      <c r="E36" s="4">
        <v>0</v>
      </c>
      <c r="F36" s="4">
        <v>1</v>
      </c>
      <c r="G36" s="4">
        <v>0</v>
      </c>
      <c r="H36" s="4">
        <v>0</v>
      </c>
      <c r="I36" s="26">
        <f t="shared" si="0"/>
        <v>1</v>
      </c>
    </row>
    <row r="37" spans="1:9" x14ac:dyDescent="0.25">
      <c r="A37" s="6" t="s">
        <v>288</v>
      </c>
      <c r="B37" s="7" t="s">
        <v>380</v>
      </c>
      <c r="C37" s="6" t="s">
        <v>138</v>
      </c>
      <c r="D37" s="6" t="s">
        <v>105</v>
      </c>
      <c r="E37" s="4">
        <v>0</v>
      </c>
      <c r="F37" s="4">
        <v>1</v>
      </c>
      <c r="G37" s="4">
        <v>0</v>
      </c>
      <c r="H37" s="4">
        <v>0</v>
      </c>
      <c r="I37" s="26">
        <f t="shared" si="0"/>
        <v>1</v>
      </c>
    </row>
    <row r="38" spans="1:9" x14ac:dyDescent="0.25">
      <c r="A38" s="6" t="s">
        <v>289</v>
      </c>
      <c r="B38" s="7" t="s">
        <v>381</v>
      </c>
      <c r="C38" s="6" t="s">
        <v>138</v>
      </c>
      <c r="D38" s="6" t="s">
        <v>114</v>
      </c>
      <c r="E38" s="4">
        <v>1</v>
      </c>
      <c r="F38" s="4">
        <v>0</v>
      </c>
      <c r="G38" s="4">
        <v>0</v>
      </c>
      <c r="H38" s="4">
        <v>0</v>
      </c>
      <c r="I38" s="26">
        <f t="shared" si="0"/>
        <v>1</v>
      </c>
    </row>
    <row r="39" spans="1:9" x14ac:dyDescent="0.25">
      <c r="A39" s="6" t="s">
        <v>290</v>
      </c>
      <c r="B39" s="7" t="s">
        <v>382</v>
      </c>
      <c r="C39" s="6" t="s">
        <v>138</v>
      </c>
      <c r="D39" s="6" t="s">
        <v>114</v>
      </c>
      <c r="E39" s="4">
        <v>0</v>
      </c>
      <c r="F39" s="4">
        <v>1</v>
      </c>
      <c r="G39" s="4">
        <v>0</v>
      </c>
      <c r="H39" s="4">
        <v>0</v>
      </c>
      <c r="I39" s="26">
        <f t="shared" si="0"/>
        <v>1</v>
      </c>
    </row>
    <row r="40" spans="1:9" x14ac:dyDescent="0.25">
      <c r="A40" s="6" t="s">
        <v>291</v>
      </c>
      <c r="B40" s="7" t="s">
        <v>383</v>
      </c>
      <c r="C40" s="6" t="s">
        <v>138</v>
      </c>
      <c r="D40" s="6" t="s">
        <v>105</v>
      </c>
      <c r="E40" s="4">
        <v>0</v>
      </c>
      <c r="F40" s="4">
        <v>1</v>
      </c>
      <c r="G40" s="4">
        <v>0</v>
      </c>
      <c r="H40" s="4">
        <v>0</v>
      </c>
      <c r="I40" s="26">
        <f t="shared" si="0"/>
        <v>1</v>
      </c>
    </row>
    <row r="41" spans="1:9" x14ac:dyDescent="0.25">
      <c r="A41" s="6" t="s">
        <v>292</v>
      </c>
      <c r="B41" s="7" t="s">
        <v>384</v>
      </c>
      <c r="C41" s="6" t="s">
        <v>138</v>
      </c>
      <c r="D41" s="6" t="s">
        <v>105</v>
      </c>
      <c r="E41" s="4">
        <v>0</v>
      </c>
      <c r="F41" s="4">
        <v>1</v>
      </c>
      <c r="G41" s="4">
        <v>0</v>
      </c>
      <c r="H41" s="4">
        <v>0</v>
      </c>
      <c r="I41" s="26">
        <f t="shared" si="0"/>
        <v>1</v>
      </c>
    </row>
    <row r="42" spans="1:9" x14ac:dyDescent="0.25">
      <c r="A42" s="6" t="s">
        <v>293</v>
      </c>
      <c r="B42" s="7" t="s">
        <v>385</v>
      </c>
      <c r="C42" s="6" t="s">
        <v>138</v>
      </c>
      <c r="D42" s="6" t="s">
        <v>116</v>
      </c>
      <c r="E42" s="4">
        <v>0</v>
      </c>
      <c r="F42" s="4">
        <v>1</v>
      </c>
      <c r="G42" s="4">
        <v>0</v>
      </c>
      <c r="H42" s="4">
        <v>0</v>
      </c>
      <c r="I42" s="26">
        <f t="shared" si="0"/>
        <v>1</v>
      </c>
    </row>
    <row r="43" spans="1:9" x14ac:dyDescent="0.25">
      <c r="A43" s="6" t="s">
        <v>294</v>
      </c>
      <c r="B43" s="7" t="s">
        <v>386</v>
      </c>
      <c r="C43" s="6" t="s">
        <v>138</v>
      </c>
      <c r="D43" s="6" t="s">
        <v>105</v>
      </c>
      <c r="E43" s="4">
        <v>0</v>
      </c>
      <c r="F43" s="4">
        <v>1</v>
      </c>
      <c r="G43" s="4">
        <v>0</v>
      </c>
      <c r="H43" s="4">
        <v>0</v>
      </c>
      <c r="I43" s="26">
        <f t="shared" si="0"/>
        <v>1</v>
      </c>
    </row>
    <row r="44" spans="1:9" x14ac:dyDescent="0.25">
      <c r="A44" s="6" t="s">
        <v>295</v>
      </c>
      <c r="B44" s="7" t="s">
        <v>387</v>
      </c>
      <c r="C44" s="6" t="s">
        <v>138</v>
      </c>
      <c r="D44" s="6" t="s">
        <v>118</v>
      </c>
      <c r="E44" s="4">
        <v>0</v>
      </c>
      <c r="F44" s="4">
        <v>1</v>
      </c>
      <c r="G44" s="4">
        <v>0</v>
      </c>
      <c r="H44" s="4">
        <v>0</v>
      </c>
      <c r="I44" s="26">
        <f t="shared" si="0"/>
        <v>1</v>
      </c>
    </row>
    <row r="45" spans="1:9" x14ac:dyDescent="0.25">
      <c r="A45" s="6" t="s">
        <v>296</v>
      </c>
      <c r="B45" s="7" t="s">
        <v>388</v>
      </c>
      <c r="C45" s="6" t="s">
        <v>138</v>
      </c>
      <c r="D45" s="6" t="s">
        <v>105</v>
      </c>
      <c r="E45" s="4">
        <v>0</v>
      </c>
      <c r="F45" s="4">
        <v>1</v>
      </c>
      <c r="G45" s="4">
        <v>0</v>
      </c>
      <c r="H45" s="4">
        <v>0</v>
      </c>
      <c r="I45" s="26">
        <f t="shared" si="0"/>
        <v>1</v>
      </c>
    </row>
    <row r="46" spans="1:9" x14ac:dyDescent="0.25">
      <c r="A46" s="6" t="s">
        <v>297</v>
      </c>
      <c r="B46" s="7" t="s">
        <v>389</v>
      </c>
      <c r="C46" s="6" t="s">
        <v>138</v>
      </c>
      <c r="D46" s="6" t="s">
        <v>105</v>
      </c>
      <c r="E46" s="4">
        <v>1</v>
      </c>
      <c r="F46" s="4">
        <v>0</v>
      </c>
      <c r="G46" s="4">
        <v>0</v>
      </c>
      <c r="H46" s="4">
        <v>0</v>
      </c>
      <c r="I46" s="26">
        <f t="shared" si="0"/>
        <v>1</v>
      </c>
    </row>
    <row r="47" spans="1:9" x14ac:dyDescent="0.25">
      <c r="A47" s="6" t="s">
        <v>298</v>
      </c>
      <c r="B47" s="7" t="s">
        <v>390</v>
      </c>
      <c r="C47" s="6" t="s">
        <v>164</v>
      </c>
      <c r="D47" s="6" t="s">
        <v>118</v>
      </c>
      <c r="E47" s="4">
        <v>0</v>
      </c>
      <c r="F47" s="4">
        <v>1</v>
      </c>
      <c r="G47" s="4">
        <v>0</v>
      </c>
      <c r="H47" s="4">
        <v>0</v>
      </c>
      <c r="I47" s="26">
        <f t="shared" si="0"/>
        <v>1</v>
      </c>
    </row>
    <row r="48" spans="1:9" x14ac:dyDescent="0.25">
      <c r="A48" s="6" t="s">
        <v>299</v>
      </c>
      <c r="B48" s="7" t="s">
        <v>391</v>
      </c>
      <c r="C48" s="6" t="s">
        <v>164</v>
      </c>
      <c r="D48" s="6" t="s">
        <v>123</v>
      </c>
      <c r="E48" s="4">
        <v>0</v>
      </c>
      <c r="F48" s="4">
        <v>1</v>
      </c>
      <c r="G48" s="4">
        <v>0</v>
      </c>
      <c r="H48" s="4">
        <v>0</v>
      </c>
      <c r="I48" s="26">
        <f t="shared" si="0"/>
        <v>1</v>
      </c>
    </row>
    <row r="49" spans="1:9" x14ac:dyDescent="0.25">
      <c r="A49" s="6" t="s">
        <v>300</v>
      </c>
      <c r="B49" s="7" t="s">
        <v>392</v>
      </c>
      <c r="C49" s="6" t="s">
        <v>164</v>
      </c>
      <c r="D49" s="6" t="s">
        <v>105</v>
      </c>
      <c r="E49" s="4">
        <v>1</v>
      </c>
      <c r="F49" s="4">
        <v>0</v>
      </c>
      <c r="G49" s="4">
        <v>0</v>
      </c>
      <c r="H49" s="4">
        <v>0</v>
      </c>
      <c r="I49" s="26">
        <f t="shared" si="0"/>
        <v>1</v>
      </c>
    </row>
    <row r="50" spans="1:9" x14ac:dyDescent="0.25">
      <c r="A50" s="6" t="s">
        <v>301</v>
      </c>
      <c r="B50" s="7" t="s">
        <v>393</v>
      </c>
      <c r="C50" s="6" t="s">
        <v>164</v>
      </c>
      <c r="D50" s="6" t="s">
        <v>116</v>
      </c>
      <c r="E50" s="4">
        <v>1</v>
      </c>
      <c r="F50" s="4">
        <v>0</v>
      </c>
      <c r="G50" s="4">
        <v>0</v>
      </c>
      <c r="H50" s="4">
        <v>0</v>
      </c>
      <c r="I50" s="26">
        <f t="shared" si="0"/>
        <v>1</v>
      </c>
    </row>
    <row r="51" spans="1:9" x14ac:dyDescent="0.25">
      <c r="A51" s="6" t="s">
        <v>302</v>
      </c>
      <c r="B51" s="7" t="s">
        <v>394</v>
      </c>
      <c r="C51" s="6" t="s">
        <v>164</v>
      </c>
      <c r="D51" s="6" t="s">
        <v>123</v>
      </c>
      <c r="E51" s="4">
        <v>0</v>
      </c>
      <c r="F51" s="4">
        <v>1</v>
      </c>
      <c r="G51" s="4">
        <v>0</v>
      </c>
      <c r="H51" s="4">
        <v>0</v>
      </c>
      <c r="I51" s="26">
        <f t="shared" si="0"/>
        <v>1</v>
      </c>
    </row>
    <row r="52" spans="1:9" x14ac:dyDescent="0.25">
      <c r="A52" s="6" t="s">
        <v>303</v>
      </c>
      <c r="B52" s="7" t="s">
        <v>395</v>
      </c>
      <c r="C52" s="6" t="s">
        <v>164</v>
      </c>
      <c r="D52" s="6" t="s">
        <v>114</v>
      </c>
      <c r="E52" s="4">
        <v>0</v>
      </c>
      <c r="F52" s="4">
        <v>1</v>
      </c>
      <c r="G52" s="4">
        <v>0</v>
      </c>
      <c r="H52" s="4">
        <v>0</v>
      </c>
      <c r="I52" s="26">
        <f t="shared" si="0"/>
        <v>1</v>
      </c>
    </row>
    <row r="53" spans="1:9" x14ac:dyDescent="0.25">
      <c r="A53" s="6" t="s">
        <v>304</v>
      </c>
      <c r="B53" s="7" t="s">
        <v>396</v>
      </c>
      <c r="C53" s="6" t="s">
        <v>164</v>
      </c>
      <c r="D53" s="6" t="s">
        <v>114</v>
      </c>
      <c r="E53" s="4">
        <v>0</v>
      </c>
      <c r="F53" s="4">
        <v>1</v>
      </c>
      <c r="G53" s="4">
        <v>0</v>
      </c>
      <c r="H53" s="4">
        <v>0</v>
      </c>
      <c r="I53" s="26">
        <f t="shared" si="0"/>
        <v>1</v>
      </c>
    </row>
    <row r="54" spans="1:9" x14ac:dyDescent="0.25">
      <c r="A54" s="6" t="s">
        <v>305</v>
      </c>
      <c r="B54" s="7" t="s">
        <v>397</v>
      </c>
      <c r="C54" s="6" t="s">
        <v>164</v>
      </c>
      <c r="D54" s="6" t="s">
        <v>114</v>
      </c>
      <c r="E54" s="4">
        <v>0</v>
      </c>
      <c r="F54" s="4">
        <v>1</v>
      </c>
      <c r="G54" s="4">
        <v>0</v>
      </c>
      <c r="H54" s="4">
        <v>0</v>
      </c>
      <c r="I54" s="26">
        <f t="shared" si="0"/>
        <v>1</v>
      </c>
    </row>
    <row r="55" spans="1:9" x14ac:dyDescent="0.25">
      <c r="A55" s="6" t="s">
        <v>306</v>
      </c>
      <c r="B55" s="7" t="s">
        <v>398</v>
      </c>
      <c r="C55" s="6" t="s">
        <v>164</v>
      </c>
      <c r="D55" s="6" t="s">
        <v>116</v>
      </c>
      <c r="E55" s="4">
        <v>0</v>
      </c>
      <c r="F55" s="4">
        <v>1</v>
      </c>
      <c r="G55" s="4">
        <v>0</v>
      </c>
      <c r="H55" s="4">
        <v>0</v>
      </c>
      <c r="I55" s="26">
        <f t="shared" si="0"/>
        <v>1</v>
      </c>
    </row>
    <row r="56" spans="1:9" x14ac:dyDescent="0.25">
      <c r="A56" s="6" t="s">
        <v>307</v>
      </c>
      <c r="B56" s="7" t="s">
        <v>399</v>
      </c>
      <c r="C56" s="6" t="s">
        <v>164</v>
      </c>
      <c r="D56" s="6" t="s">
        <v>114</v>
      </c>
      <c r="E56" s="4">
        <v>0</v>
      </c>
      <c r="F56" s="4">
        <v>1</v>
      </c>
      <c r="G56" s="4">
        <v>0</v>
      </c>
      <c r="H56" s="4">
        <v>0</v>
      </c>
      <c r="I56" s="26">
        <f t="shared" si="0"/>
        <v>1</v>
      </c>
    </row>
    <row r="57" spans="1:9" ht="26.4" x14ac:dyDescent="0.25">
      <c r="A57" s="6" t="s">
        <v>308</v>
      </c>
      <c r="B57" s="7" t="s">
        <v>400</v>
      </c>
      <c r="C57" s="6" t="s">
        <v>175</v>
      </c>
      <c r="D57" s="6" t="s">
        <v>116</v>
      </c>
      <c r="E57" s="4">
        <v>0</v>
      </c>
      <c r="F57" s="4">
        <v>1</v>
      </c>
      <c r="G57" s="4">
        <v>0</v>
      </c>
      <c r="H57" s="4">
        <v>0</v>
      </c>
      <c r="I57" s="26">
        <f t="shared" si="0"/>
        <v>1</v>
      </c>
    </row>
    <row r="58" spans="1:9" ht="26.4" x14ac:dyDescent="0.25">
      <c r="A58" s="6" t="s">
        <v>309</v>
      </c>
      <c r="B58" s="7" t="s">
        <v>401</v>
      </c>
      <c r="C58" s="6" t="s">
        <v>175</v>
      </c>
      <c r="D58" s="6" t="s">
        <v>123</v>
      </c>
      <c r="E58" s="4">
        <v>0</v>
      </c>
      <c r="F58" s="4">
        <v>0</v>
      </c>
      <c r="G58" s="4">
        <v>1</v>
      </c>
      <c r="H58" s="4">
        <v>0</v>
      </c>
      <c r="I58" s="26">
        <f t="shared" si="0"/>
        <v>1</v>
      </c>
    </row>
    <row r="59" spans="1:9" ht="26.4" x14ac:dyDescent="0.25">
      <c r="A59" s="6" t="s">
        <v>310</v>
      </c>
      <c r="B59" s="7" t="s">
        <v>402</v>
      </c>
      <c r="C59" s="6" t="s">
        <v>175</v>
      </c>
      <c r="D59" s="6" t="s">
        <v>116</v>
      </c>
      <c r="E59" s="4">
        <v>0</v>
      </c>
      <c r="F59" s="4">
        <v>1</v>
      </c>
      <c r="G59" s="4">
        <v>0</v>
      </c>
      <c r="H59" s="4">
        <v>0</v>
      </c>
      <c r="I59" s="26">
        <f t="shared" si="0"/>
        <v>1</v>
      </c>
    </row>
    <row r="60" spans="1:9" ht="26.4" x14ac:dyDescent="0.25">
      <c r="A60" s="6" t="s">
        <v>311</v>
      </c>
      <c r="B60" s="7" t="s">
        <v>403</v>
      </c>
      <c r="C60" s="6" t="s">
        <v>175</v>
      </c>
      <c r="D60" s="6" t="s">
        <v>118</v>
      </c>
      <c r="E60" s="4">
        <v>0</v>
      </c>
      <c r="F60" s="4">
        <v>1</v>
      </c>
      <c r="G60" s="4">
        <v>0</v>
      </c>
      <c r="H60" s="4">
        <v>0</v>
      </c>
      <c r="I60" s="26">
        <f t="shared" si="0"/>
        <v>1</v>
      </c>
    </row>
    <row r="61" spans="1:9" ht="26.4" x14ac:dyDescent="0.25">
      <c r="A61" s="6" t="s">
        <v>312</v>
      </c>
      <c r="B61" s="7" t="s">
        <v>404</v>
      </c>
      <c r="C61" s="6" t="s">
        <v>175</v>
      </c>
      <c r="D61" s="6" t="s">
        <v>116</v>
      </c>
      <c r="E61" s="4">
        <v>1</v>
      </c>
      <c r="F61" s="4">
        <v>0</v>
      </c>
      <c r="G61" s="4">
        <v>0</v>
      </c>
      <c r="H61" s="4">
        <v>0</v>
      </c>
      <c r="I61" s="26">
        <f t="shared" si="0"/>
        <v>1</v>
      </c>
    </row>
    <row r="62" spans="1:9" ht="26.4" x14ac:dyDescent="0.25">
      <c r="A62" s="6" t="s">
        <v>313</v>
      </c>
      <c r="B62" s="7" t="s">
        <v>405</v>
      </c>
      <c r="C62" s="6" t="s">
        <v>175</v>
      </c>
      <c r="D62" s="6" t="s">
        <v>114</v>
      </c>
      <c r="E62" s="4">
        <v>0</v>
      </c>
      <c r="F62" s="4">
        <v>1</v>
      </c>
      <c r="G62" s="4">
        <v>0</v>
      </c>
      <c r="H62" s="4">
        <v>0</v>
      </c>
      <c r="I62" s="26">
        <f t="shared" si="0"/>
        <v>1</v>
      </c>
    </row>
    <row r="63" spans="1:9" ht="26.4" x14ac:dyDescent="0.25">
      <c r="A63" s="6" t="s">
        <v>314</v>
      </c>
      <c r="B63" s="7" t="s">
        <v>406</v>
      </c>
      <c r="C63" s="6" t="s">
        <v>175</v>
      </c>
      <c r="D63" s="6" t="s">
        <v>114</v>
      </c>
      <c r="E63" s="4">
        <v>0</v>
      </c>
      <c r="F63" s="4">
        <v>1</v>
      </c>
      <c r="G63" s="4">
        <v>0</v>
      </c>
      <c r="H63" s="4">
        <v>0</v>
      </c>
      <c r="I63" s="26">
        <f t="shared" si="0"/>
        <v>1</v>
      </c>
    </row>
    <row r="64" spans="1:9" ht="26.4" x14ac:dyDescent="0.25">
      <c r="A64" s="6" t="s">
        <v>315</v>
      </c>
      <c r="B64" s="7" t="s">
        <v>407</v>
      </c>
      <c r="C64" s="6" t="s">
        <v>175</v>
      </c>
      <c r="D64" s="6" t="s">
        <v>105</v>
      </c>
      <c r="E64" s="4">
        <v>0</v>
      </c>
      <c r="F64" s="4">
        <v>1</v>
      </c>
      <c r="G64" s="4">
        <v>0</v>
      </c>
      <c r="H64" s="4">
        <v>0</v>
      </c>
      <c r="I64" s="26">
        <f t="shared" si="0"/>
        <v>1</v>
      </c>
    </row>
    <row r="65" spans="1:9" ht="26.4" x14ac:dyDescent="0.25">
      <c r="A65" s="6" t="s">
        <v>316</v>
      </c>
      <c r="B65" s="7" t="s">
        <v>408</v>
      </c>
      <c r="C65" s="6" t="s">
        <v>175</v>
      </c>
      <c r="D65" s="6" t="s">
        <v>128</v>
      </c>
      <c r="E65" s="4">
        <v>0</v>
      </c>
      <c r="F65" s="4">
        <v>1</v>
      </c>
      <c r="G65" s="4">
        <v>0</v>
      </c>
      <c r="H65" s="4">
        <v>0</v>
      </c>
      <c r="I65" s="26">
        <f t="shared" si="0"/>
        <v>1</v>
      </c>
    </row>
    <row r="66" spans="1:9" ht="26.4" x14ac:dyDescent="0.25">
      <c r="A66" s="6" t="s">
        <v>317</v>
      </c>
      <c r="B66" s="7" t="s">
        <v>409</v>
      </c>
      <c r="C66" s="6" t="s">
        <v>175</v>
      </c>
      <c r="D66" s="6" t="s">
        <v>128</v>
      </c>
      <c r="E66" s="4">
        <v>0</v>
      </c>
      <c r="F66" s="4">
        <v>1</v>
      </c>
      <c r="G66" s="4">
        <v>0</v>
      </c>
      <c r="H66" s="4">
        <v>0</v>
      </c>
      <c r="I66" s="26">
        <f t="shared" si="0"/>
        <v>1</v>
      </c>
    </row>
    <row r="67" spans="1:9" ht="26.4" x14ac:dyDescent="0.25">
      <c r="A67" s="6" t="s">
        <v>318</v>
      </c>
      <c r="B67" s="7" t="s">
        <v>410</v>
      </c>
      <c r="C67" s="6" t="s">
        <v>175</v>
      </c>
      <c r="D67" s="6" t="s">
        <v>123</v>
      </c>
      <c r="E67" s="4">
        <v>0</v>
      </c>
      <c r="F67" s="4">
        <v>0</v>
      </c>
      <c r="G67" s="4">
        <v>1</v>
      </c>
      <c r="H67" s="4">
        <v>0</v>
      </c>
      <c r="I67" s="26">
        <f t="shared" ref="I67:I92" si="1">SUM(E67:H67)</f>
        <v>1</v>
      </c>
    </row>
    <row r="68" spans="1:9" ht="26.4" x14ac:dyDescent="0.25">
      <c r="A68" s="6" t="s">
        <v>319</v>
      </c>
      <c r="B68" s="7" t="s">
        <v>411</v>
      </c>
      <c r="C68" s="6" t="s">
        <v>175</v>
      </c>
      <c r="D68" s="6" t="s">
        <v>116</v>
      </c>
      <c r="E68" s="4">
        <v>0</v>
      </c>
      <c r="F68" s="4">
        <v>1</v>
      </c>
      <c r="G68" s="4">
        <v>0</v>
      </c>
      <c r="H68" s="4">
        <v>0</v>
      </c>
      <c r="I68" s="26">
        <f t="shared" si="1"/>
        <v>1</v>
      </c>
    </row>
    <row r="69" spans="1:9" ht="26.4" x14ac:dyDescent="0.25">
      <c r="A69" s="6" t="s">
        <v>320</v>
      </c>
      <c r="B69" s="7" t="s">
        <v>412</v>
      </c>
      <c r="C69" s="6" t="s">
        <v>175</v>
      </c>
      <c r="D69" s="6" t="s">
        <v>116</v>
      </c>
      <c r="E69" s="4">
        <v>0</v>
      </c>
      <c r="F69" s="4">
        <v>0</v>
      </c>
      <c r="G69" s="4">
        <v>0</v>
      </c>
      <c r="H69" s="4">
        <v>1</v>
      </c>
      <c r="I69" s="26">
        <f t="shared" si="1"/>
        <v>1</v>
      </c>
    </row>
    <row r="70" spans="1:9" ht="26.4" x14ac:dyDescent="0.25">
      <c r="A70" s="6" t="s">
        <v>321</v>
      </c>
      <c r="B70" s="7" t="s">
        <v>413</v>
      </c>
      <c r="C70" s="6" t="s">
        <v>175</v>
      </c>
      <c r="D70" s="6" t="s">
        <v>128</v>
      </c>
      <c r="E70" s="4">
        <v>0</v>
      </c>
      <c r="F70" s="4">
        <v>1</v>
      </c>
      <c r="G70" s="4">
        <v>0</v>
      </c>
      <c r="H70" s="4">
        <v>0</v>
      </c>
      <c r="I70" s="26">
        <f t="shared" si="1"/>
        <v>1</v>
      </c>
    </row>
    <row r="71" spans="1:9" ht="26.4" x14ac:dyDescent="0.25">
      <c r="A71" s="6" t="s">
        <v>322</v>
      </c>
      <c r="B71" s="7" t="s">
        <v>414</v>
      </c>
      <c r="C71" s="6" t="s">
        <v>175</v>
      </c>
      <c r="D71" s="6" t="s">
        <v>116</v>
      </c>
      <c r="E71" s="4">
        <v>0</v>
      </c>
      <c r="F71" s="4">
        <v>0</v>
      </c>
      <c r="G71" s="4">
        <v>0</v>
      </c>
      <c r="H71" s="4">
        <v>1</v>
      </c>
      <c r="I71" s="26">
        <f t="shared" si="1"/>
        <v>1</v>
      </c>
    </row>
    <row r="72" spans="1:9" ht="26.4" x14ac:dyDescent="0.25">
      <c r="A72" s="6" t="s">
        <v>323</v>
      </c>
      <c r="B72" s="7" t="s">
        <v>415</v>
      </c>
      <c r="C72" s="6" t="s">
        <v>175</v>
      </c>
      <c r="D72" s="6" t="s">
        <v>105</v>
      </c>
      <c r="E72" s="4">
        <v>0</v>
      </c>
      <c r="F72" s="4">
        <v>1</v>
      </c>
      <c r="G72" s="4">
        <v>0</v>
      </c>
      <c r="H72" s="4">
        <v>0</v>
      </c>
      <c r="I72" s="26">
        <f t="shared" si="1"/>
        <v>1</v>
      </c>
    </row>
    <row r="73" spans="1:9" ht="26.4" x14ac:dyDescent="0.25">
      <c r="A73" s="6" t="s">
        <v>324</v>
      </c>
      <c r="B73" s="7" t="s">
        <v>416</v>
      </c>
      <c r="C73" s="6" t="s">
        <v>175</v>
      </c>
      <c r="D73" s="6" t="s">
        <v>114</v>
      </c>
      <c r="E73" s="4">
        <v>1</v>
      </c>
      <c r="F73" s="4">
        <v>0</v>
      </c>
      <c r="G73" s="4">
        <v>0</v>
      </c>
      <c r="H73" s="4">
        <v>0</v>
      </c>
      <c r="I73" s="26">
        <f t="shared" si="1"/>
        <v>1</v>
      </c>
    </row>
    <row r="74" spans="1:9" ht="26.4" x14ac:dyDescent="0.25">
      <c r="A74" s="6" t="s">
        <v>325</v>
      </c>
      <c r="B74" s="7" t="s">
        <v>417</v>
      </c>
      <c r="C74" s="6" t="s">
        <v>175</v>
      </c>
      <c r="D74" s="6" t="s">
        <v>116</v>
      </c>
      <c r="E74" s="4">
        <v>1</v>
      </c>
      <c r="F74" s="4">
        <v>0</v>
      </c>
      <c r="G74" s="4">
        <v>0</v>
      </c>
      <c r="H74" s="4">
        <v>0</v>
      </c>
      <c r="I74" s="26">
        <f t="shared" si="1"/>
        <v>1</v>
      </c>
    </row>
    <row r="75" spans="1:9" ht="26.4" x14ac:dyDescent="0.25">
      <c r="A75" s="6" t="s">
        <v>326</v>
      </c>
      <c r="B75" s="7" t="s">
        <v>418</v>
      </c>
      <c r="C75" s="6" t="s">
        <v>175</v>
      </c>
      <c r="D75" s="6" t="s">
        <v>116</v>
      </c>
      <c r="E75" s="4">
        <v>0</v>
      </c>
      <c r="F75" s="4">
        <v>1</v>
      </c>
      <c r="G75" s="4">
        <v>0</v>
      </c>
      <c r="H75" s="4">
        <v>0</v>
      </c>
      <c r="I75" s="26">
        <f t="shared" si="1"/>
        <v>1</v>
      </c>
    </row>
    <row r="76" spans="1:9" ht="26.4" x14ac:dyDescent="0.25">
      <c r="A76" s="6" t="s">
        <v>327</v>
      </c>
      <c r="B76" s="7" t="s">
        <v>419</v>
      </c>
      <c r="C76" s="6" t="s">
        <v>175</v>
      </c>
      <c r="D76" s="6" t="s">
        <v>118</v>
      </c>
      <c r="E76" s="4">
        <v>0</v>
      </c>
      <c r="F76" s="4">
        <v>0</v>
      </c>
      <c r="G76" s="4">
        <v>1</v>
      </c>
      <c r="H76" s="4">
        <v>0</v>
      </c>
      <c r="I76" s="26">
        <f t="shared" si="1"/>
        <v>1</v>
      </c>
    </row>
    <row r="77" spans="1:9" ht="26.4" x14ac:dyDescent="0.25">
      <c r="A77" s="6" t="s">
        <v>328</v>
      </c>
      <c r="B77" s="7" t="s">
        <v>420</v>
      </c>
      <c r="C77" s="6" t="s">
        <v>175</v>
      </c>
      <c r="D77" s="6" t="s">
        <v>116</v>
      </c>
      <c r="E77" s="4">
        <v>1</v>
      </c>
      <c r="F77" s="4">
        <v>0</v>
      </c>
      <c r="G77" s="4">
        <v>0</v>
      </c>
      <c r="H77" s="4">
        <v>0</v>
      </c>
      <c r="I77" s="26">
        <f t="shared" si="1"/>
        <v>1</v>
      </c>
    </row>
    <row r="78" spans="1:9" ht="26.4" x14ac:dyDescent="0.25">
      <c r="A78" s="6" t="s">
        <v>329</v>
      </c>
      <c r="B78" s="7" t="s">
        <v>421</v>
      </c>
      <c r="C78" s="6" t="s">
        <v>175</v>
      </c>
      <c r="D78" s="6" t="s">
        <v>118</v>
      </c>
      <c r="E78" s="4">
        <v>0</v>
      </c>
      <c r="F78" s="4">
        <v>1</v>
      </c>
      <c r="G78" s="4">
        <v>0</v>
      </c>
      <c r="H78" s="4">
        <v>0</v>
      </c>
      <c r="I78" s="26">
        <f t="shared" si="1"/>
        <v>1</v>
      </c>
    </row>
    <row r="79" spans="1:9" ht="26.4" x14ac:dyDescent="0.25">
      <c r="A79" s="6" t="s">
        <v>330</v>
      </c>
      <c r="B79" s="7" t="s">
        <v>422</v>
      </c>
      <c r="C79" s="6" t="s">
        <v>175</v>
      </c>
      <c r="D79" s="6" t="s">
        <v>128</v>
      </c>
      <c r="E79" s="4">
        <v>0</v>
      </c>
      <c r="F79" s="4">
        <v>1</v>
      </c>
      <c r="G79" s="4">
        <v>0</v>
      </c>
      <c r="H79" s="4">
        <v>0</v>
      </c>
      <c r="I79" s="26">
        <f t="shared" si="1"/>
        <v>1</v>
      </c>
    </row>
    <row r="80" spans="1:9" ht="26.4" x14ac:dyDescent="0.25">
      <c r="A80" s="6" t="s">
        <v>331</v>
      </c>
      <c r="B80" s="7" t="s">
        <v>423</v>
      </c>
      <c r="C80" s="6" t="s">
        <v>175</v>
      </c>
      <c r="D80" s="6" t="s">
        <v>123</v>
      </c>
      <c r="E80" s="4">
        <v>0</v>
      </c>
      <c r="F80" s="4">
        <v>0</v>
      </c>
      <c r="G80" s="4">
        <v>0</v>
      </c>
      <c r="H80" s="4">
        <v>1</v>
      </c>
      <c r="I80" s="26">
        <f t="shared" si="1"/>
        <v>1</v>
      </c>
    </row>
    <row r="81" spans="1:9" ht="26.4" x14ac:dyDescent="0.25">
      <c r="A81" s="6" t="s">
        <v>332</v>
      </c>
      <c r="B81" s="7" t="s">
        <v>424</v>
      </c>
      <c r="C81" s="6" t="s">
        <v>175</v>
      </c>
      <c r="D81" s="6" t="s">
        <v>116</v>
      </c>
      <c r="E81" s="4">
        <v>0</v>
      </c>
      <c r="F81" s="4">
        <v>1</v>
      </c>
      <c r="G81" s="4">
        <v>0</v>
      </c>
      <c r="H81" s="4">
        <v>0</v>
      </c>
      <c r="I81" s="26">
        <f t="shared" si="1"/>
        <v>1</v>
      </c>
    </row>
    <row r="82" spans="1:9" ht="26.4" x14ac:dyDescent="0.25">
      <c r="A82" s="6" t="s">
        <v>333</v>
      </c>
      <c r="B82" s="7" t="s">
        <v>425</v>
      </c>
      <c r="C82" s="6" t="s">
        <v>175</v>
      </c>
      <c r="D82" s="6" t="s">
        <v>114</v>
      </c>
      <c r="E82" s="4">
        <v>0</v>
      </c>
      <c r="F82" s="4">
        <v>1</v>
      </c>
      <c r="G82" s="4">
        <v>0</v>
      </c>
      <c r="H82" s="4">
        <v>0</v>
      </c>
      <c r="I82" s="26">
        <f t="shared" si="1"/>
        <v>1</v>
      </c>
    </row>
    <row r="83" spans="1:9" ht="26.4" x14ac:dyDescent="0.25">
      <c r="A83" s="6" t="s">
        <v>334</v>
      </c>
      <c r="B83" s="7" t="s">
        <v>426</v>
      </c>
      <c r="C83" s="6" t="s">
        <v>175</v>
      </c>
      <c r="D83" s="6" t="s">
        <v>123</v>
      </c>
      <c r="E83" s="4">
        <v>1</v>
      </c>
      <c r="F83" s="4">
        <v>0</v>
      </c>
      <c r="G83" s="4">
        <v>0</v>
      </c>
      <c r="H83" s="4">
        <v>0</v>
      </c>
      <c r="I83" s="26">
        <f t="shared" si="1"/>
        <v>1</v>
      </c>
    </row>
    <row r="84" spans="1:9" ht="26.4" x14ac:dyDescent="0.25">
      <c r="A84" s="6" t="s">
        <v>335</v>
      </c>
      <c r="B84" s="7" t="s">
        <v>427</v>
      </c>
      <c r="C84" s="6" t="s">
        <v>175</v>
      </c>
      <c r="D84" s="6" t="s">
        <v>123</v>
      </c>
      <c r="E84" s="4">
        <v>1</v>
      </c>
      <c r="F84" s="4">
        <v>0</v>
      </c>
      <c r="G84" s="4">
        <v>0</v>
      </c>
      <c r="H84" s="4">
        <v>0</v>
      </c>
      <c r="I84" s="26">
        <f t="shared" si="1"/>
        <v>1</v>
      </c>
    </row>
    <row r="85" spans="1:9" ht="26.4" x14ac:dyDescent="0.25">
      <c r="A85" s="6" t="s">
        <v>336</v>
      </c>
      <c r="B85" s="7" t="s">
        <v>428</v>
      </c>
      <c r="C85" s="6" t="s">
        <v>113</v>
      </c>
      <c r="D85" s="6" t="s">
        <v>114</v>
      </c>
      <c r="E85" s="4">
        <v>0</v>
      </c>
      <c r="F85" s="4">
        <v>1</v>
      </c>
      <c r="G85" s="4">
        <v>0</v>
      </c>
      <c r="H85" s="4">
        <v>0</v>
      </c>
      <c r="I85" s="26">
        <f t="shared" si="1"/>
        <v>1</v>
      </c>
    </row>
    <row r="86" spans="1:9" ht="26.4" x14ac:dyDescent="0.25">
      <c r="A86" s="6" t="s">
        <v>337</v>
      </c>
      <c r="B86" s="7" t="s">
        <v>429</v>
      </c>
      <c r="C86" s="6" t="s">
        <v>175</v>
      </c>
      <c r="D86" s="6" t="s">
        <v>114</v>
      </c>
      <c r="E86" s="4">
        <v>0</v>
      </c>
      <c r="F86" s="4">
        <v>0</v>
      </c>
      <c r="G86" s="4">
        <v>0</v>
      </c>
      <c r="H86" s="4">
        <v>1</v>
      </c>
      <c r="I86" s="26">
        <f t="shared" si="1"/>
        <v>1</v>
      </c>
    </row>
    <row r="87" spans="1:9" ht="26.4" x14ac:dyDescent="0.25">
      <c r="A87" s="6" t="s">
        <v>338</v>
      </c>
      <c r="B87" s="7" t="s">
        <v>430</v>
      </c>
      <c r="C87" s="6" t="s">
        <v>175</v>
      </c>
      <c r="D87" s="6" t="s">
        <v>116</v>
      </c>
      <c r="E87" s="4">
        <v>0</v>
      </c>
      <c r="F87" s="4">
        <v>0</v>
      </c>
      <c r="G87" s="4">
        <v>1</v>
      </c>
      <c r="H87" s="4">
        <v>0</v>
      </c>
      <c r="I87" s="26">
        <f t="shared" si="1"/>
        <v>1</v>
      </c>
    </row>
    <row r="88" spans="1:9" ht="26.4" x14ac:dyDescent="0.25">
      <c r="A88" s="6" t="s">
        <v>339</v>
      </c>
      <c r="B88" s="7" t="s">
        <v>431</v>
      </c>
      <c r="C88" s="6" t="s">
        <v>175</v>
      </c>
      <c r="D88" s="6" t="s">
        <v>116</v>
      </c>
      <c r="E88" s="4">
        <v>1</v>
      </c>
      <c r="F88" s="4">
        <v>0</v>
      </c>
      <c r="G88" s="4">
        <v>0</v>
      </c>
      <c r="H88" s="4">
        <v>0</v>
      </c>
      <c r="I88" s="26">
        <f t="shared" si="1"/>
        <v>1</v>
      </c>
    </row>
    <row r="89" spans="1:9" ht="26.4" x14ac:dyDescent="0.25">
      <c r="A89" s="6" t="s">
        <v>340</v>
      </c>
      <c r="B89" s="7" t="s">
        <v>432</v>
      </c>
      <c r="C89" s="6" t="s">
        <v>175</v>
      </c>
      <c r="D89" s="6" t="s">
        <v>118</v>
      </c>
      <c r="E89" s="4">
        <v>0</v>
      </c>
      <c r="F89" s="4">
        <v>1</v>
      </c>
      <c r="G89" s="4">
        <v>0</v>
      </c>
      <c r="H89" s="4">
        <v>0</v>
      </c>
      <c r="I89" s="26">
        <f t="shared" si="1"/>
        <v>1</v>
      </c>
    </row>
    <row r="90" spans="1:9" ht="26.4" x14ac:dyDescent="0.25">
      <c r="A90" s="6" t="s">
        <v>341</v>
      </c>
      <c r="B90" s="7" t="s">
        <v>433</v>
      </c>
      <c r="C90" s="6" t="s">
        <v>175</v>
      </c>
      <c r="D90" s="6" t="s">
        <v>116</v>
      </c>
      <c r="E90" s="4">
        <v>0</v>
      </c>
      <c r="F90" s="4">
        <v>0</v>
      </c>
      <c r="G90" s="4">
        <v>1</v>
      </c>
      <c r="H90" s="4">
        <v>0</v>
      </c>
      <c r="I90" s="26">
        <f t="shared" si="1"/>
        <v>1</v>
      </c>
    </row>
    <row r="91" spans="1:9" x14ac:dyDescent="0.25">
      <c r="A91" s="6" t="s">
        <v>342</v>
      </c>
      <c r="B91" s="7" t="s">
        <v>434</v>
      </c>
      <c r="C91" s="6" t="s">
        <v>343</v>
      </c>
      <c r="D91" s="6" t="s">
        <v>118</v>
      </c>
      <c r="E91" s="4">
        <v>0</v>
      </c>
      <c r="F91" s="4">
        <v>1</v>
      </c>
      <c r="G91" s="4">
        <v>0</v>
      </c>
      <c r="H91" s="4">
        <v>0</v>
      </c>
      <c r="I91" s="26">
        <f t="shared" si="1"/>
        <v>1</v>
      </c>
    </row>
    <row r="92" spans="1:9" x14ac:dyDescent="0.25">
      <c r="A92" s="6" t="s">
        <v>344</v>
      </c>
      <c r="B92" s="7" t="s">
        <v>435</v>
      </c>
      <c r="C92" s="6" t="s">
        <v>343</v>
      </c>
      <c r="D92" s="6" t="s">
        <v>116</v>
      </c>
      <c r="E92" s="4">
        <v>1</v>
      </c>
      <c r="F92" s="4">
        <v>0</v>
      </c>
      <c r="G92" s="4">
        <v>0</v>
      </c>
      <c r="H92" s="4">
        <v>0</v>
      </c>
      <c r="I92" s="26">
        <f t="shared" si="1"/>
        <v>1</v>
      </c>
    </row>
    <row r="93" spans="1:9" x14ac:dyDescent="0.25">
      <c r="B93" s="2"/>
      <c r="E93" s="2"/>
      <c r="F93" s="2"/>
      <c r="G93" s="2"/>
      <c r="H93" s="2"/>
      <c r="I93" s="2"/>
    </row>
    <row r="94" spans="1:9" x14ac:dyDescent="0.25">
      <c r="B94" s="8" t="s">
        <v>222</v>
      </c>
    </row>
    <row r="95" spans="1:9" x14ac:dyDescent="0.25">
      <c r="B95" s="9" t="s">
        <v>218</v>
      </c>
    </row>
    <row r="96" spans="1:9" x14ac:dyDescent="0.25">
      <c r="B96" s="10" t="s">
        <v>219</v>
      </c>
    </row>
    <row r="97" spans="2:2" x14ac:dyDescent="0.25">
      <c r="B97" s="11" t="s">
        <v>220</v>
      </c>
    </row>
    <row r="98" spans="2:2" ht="26.4" x14ac:dyDescent="0.25">
      <c r="B98" s="12" t="s">
        <v>221</v>
      </c>
    </row>
  </sheetData>
  <autoFilter ref="A1:I92" xr:uid="{086814B0-5105-47D8-89B7-3E3EAAB0C11E}"/>
  <pageMargins left="0.7" right="0.7" top="0.75" bottom="0.75" header="0.3" footer="0.3"/>
  <pageSetup scale="80" orientation="landscape" r:id="rId1"/>
  <headerFooter>
    <oddHeader>&amp;LISQM 2_Q4(a) - Respondent by Category</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605F-064C-4015-8900-67D5D073D128}">
  <dimension ref="A1:Q18"/>
  <sheetViews>
    <sheetView view="pageBreakPreview" zoomScale="80" zoomScaleNormal="80" zoomScaleSheetLayoutView="80" workbookViewId="0">
      <pane xSplit="1" ySplit="9" topLeftCell="L10" activePane="bottomRight" state="frozen"/>
      <selection pane="topRight" activeCell="B1" sqref="B1"/>
      <selection pane="bottomLeft" activeCell="A4" sqref="A4"/>
      <selection pane="bottomRight" activeCell="L16" sqref="L16"/>
    </sheetView>
  </sheetViews>
  <sheetFormatPr defaultRowHeight="13.2" x14ac:dyDescent="0.25"/>
  <cols>
    <col min="1" max="1" width="52.6640625" style="3" bestFit="1" customWidth="1"/>
    <col min="2" max="2" width="13.21875" style="3" bestFit="1" customWidth="1"/>
    <col min="3" max="3" width="27.6640625" style="3" bestFit="1" customWidth="1"/>
    <col min="4" max="4" width="29.5546875" style="3" bestFit="1" customWidth="1"/>
    <col min="5" max="5" width="30" style="3" bestFit="1" customWidth="1"/>
    <col min="6" max="6" width="30.109375" style="3" bestFit="1" customWidth="1"/>
    <col min="7" max="8" width="29.6640625" style="3" bestFit="1" customWidth="1"/>
    <col min="9" max="9" width="30.77734375" style="3" customWidth="1"/>
    <col min="10" max="10" width="30.5546875" style="3" bestFit="1" customWidth="1"/>
    <col min="11" max="11" width="15.6640625" style="3" bestFit="1" customWidth="1"/>
    <col min="12" max="12" width="32.77734375" style="3" bestFit="1" customWidth="1"/>
    <col min="13" max="14" width="29.44140625" style="3" bestFit="1" customWidth="1"/>
    <col min="15" max="15" width="31.109375" style="3" bestFit="1" customWidth="1"/>
    <col min="16" max="16" width="27.44140625" style="3" bestFit="1" customWidth="1"/>
    <col min="17" max="28" width="30.77734375" style="3" customWidth="1"/>
    <col min="29" max="16384" width="8.88671875" style="3"/>
  </cols>
  <sheetData>
    <row r="1" spans="1:17" ht="52.8" x14ac:dyDescent="0.25">
      <c r="A1" s="2" t="s">
        <v>437</v>
      </c>
    </row>
    <row r="2" spans="1:17" x14ac:dyDescent="0.25">
      <c r="A2" s="2"/>
    </row>
    <row r="3" spans="1:17" x14ac:dyDescent="0.25">
      <c r="A3" s="8" t="s">
        <v>222</v>
      </c>
    </row>
    <row r="4" spans="1:17" x14ac:dyDescent="0.25">
      <c r="A4" s="9" t="s">
        <v>218</v>
      </c>
    </row>
    <row r="5" spans="1:17" x14ac:dyDescent="0.25">
      <c r="A5" s="45" t="s">
        <v>219</v>
      </c>
    </row>
    <row r="6" spans="1:17" x14ac:dyDescent="0.25">
      <c r="A6" s="11" t="s">
        <v>220</v>
      </c>
    </row>
    <row r="7" spans="1:17" ht="26.4" x14ac:dyDescent="0.25">
      <c r="A7" s="12" t="s">
        <v>473</v>
      </c>
    </row>
    <row r="9" spans="1:17" s="2" customFormat="1" ht="66.599999999999994" x14ac:dyDescent="0.3">
      <c r="A9" s="34" t="s">
        <v>101</v>
      </c>
      <c r="B9" s="35" t="s">
        <v>223</v>
      </c>
      <c r="C9" s="46" t="s">
        <v>225</v>
      </c>
      <c r="D9" s="47" t="s">
        <v>449</v>
      </c>
      <c r="E9" s="47" t="s">
        <v>450</v>
      </c>
      <c r="F9" s="47" t="s">
        <v>451</v>
      </c>
      <c r="G9" s="47" t="s">
        <v>452</v>
      </c>
      <c r="H9" s="47" t="s">
        <v>453</v>
      </c>
      <c r="I9" s="47" t="s">
        <v>454</v>
      </c>
      <c r="J9" s="47" t="s">
        <v>455</v>
      </c>
      <c r="K9" s="36" t="s">
        <v>226</v>
      </c>
      <c r="L9" s="39" t="s">
        <v>456</v>
      </c>
      <c r="M9" s="39" t="s">
        <v>457</v>
      </c>
      <c r="N9" s="39" t="s">
        <v>458</v>
      </c>
      <c r="O9" s="39" t="s">
        <v>459</v>
      </c>
      <c r="P9" s="37" t="s">
        <v>227</v>
      </c>
      <c r="Q9"/>
    </row>
    <row r="10" spans="1:17" ht="14.4" x14ac:dyDescent="0.3">
      <c r="A10" s="32" t="s">
        <v>104</v>
      </c>
      <c r="B10" s="33">
        <v>0</v>
      </c>
      <c r="C10" s="33">
        <v>2</v>
      </c>
      <c r="D10" s="33">
        <v>2</v>
      </c>
      <c r="E10" s="33">
        <v>0</v>
      </c>
      <c r="F10" s="33">
        <v>0</v>
      </c>
      <c r="G10" s="33">
        <v>0</v>
      </c>
      <c r="H10" s="33">
        <v>0</v>
      </c>
      <c r="I10" s="33">
        <v>0</v>
      </c>
      <c r="J10" s="33">
        <v>0</v>
      </c>
      <c r="K10" s="33">
        <v>0</v>
      </c>
      <c r="L10" s="33">
        <v>0</v>
      </c>
      <c r="M10" s="33">
        <v>0</v>
      </c>
      <c r="N10" s="33">
        <v>0</v>
      </c>
      <c r="O10" s="33">
        <v>0</v>
      </c>
      <c r="P10" s="33">
        <v>2</v>
      </c>
      <c r="Q10"/>
    </row>
    <row r="11" spans="1:17" ht="14.4" x14ac:dyDescent="0.3">
      <c r="A11" s="32" t="s">
        <v>110</v>
      </c>
      <c r="B11" s="33">
        <v>0</v>
      </c>
      <c r="C11" s="33">
        <v>0</v>
      </c>
      <c r="D11" s="33">
        <v>0</v>
      </c>
      <c r="E11" s="33">
        <v>0</v>
      </c>
      <c r="F11" s="33">
        <v>0</v>
      </c>
      <c r="G11" s="33">
        <v>0</v>
      </c>
      <c r="H11" s="33">
        <v>0</v>
      </c>
      <c r="I11" s="33">
        <v>0</v>
      </c>
      <c r="J11" s="33">
        <v>0</v>
      </c>
      <c r="K11" s="33">
        <v>0</v>
      </c>
      <c r="L11" s="33">
        <v>0</v>
      </c>
      <c r="M11" s="33">
        <v>0</v>
      </c>
      <c r="N11" s="33">
        <v>0</v>
      </c>
      <c r="O11" s="33">
        <v>0</v>
      </c>
      <c r="P11" s="33">
        <v>1</v>
      </c>
      <c r="Q11"/>
    </row>
    <row r="12" spans="1:17" ht="14.4" x14ac:dyDescent="0.3">
      <c r="A12" s="32" t="s">
        <v>113</v>
      </c>
      <c r="B12" s="33">
        <v>0</v>
      </c>
      <c r="C12" s="33">
        <v>4</v>
      </c>
      <c r="D12" s="33">
        <v>3</v>
      </c>
      <c r="E12" s="33">
        <v>0</v>
      </c>
      <c r="F12" s="33">
        <v>0</v>
      </c>
      <c r="G12" s="33">
        <v>0</v>
      </c>
      <c r="H12" s="33">
        <v>1</v>
      </c>
      <c r="I12" s="33">
        <v>1</v>
      </c>
      <c r="J12" s="33">
        <v>0</v>
      </c>
      <c r="K12" s="33">
        <v>0</v>
      </c>
      <c r="L12" s="33">
        <v>0</v>
      </c>
      <c r="M12" s="33">
        <v>0</v>
      </c>
      <c r="N12" s="33">
        <v>0</v>
      </c>
      <c r="O12" s="33">
        <v>0</v>
      </c>
      <c r="P12" s="33">
        <v>1</v>
      </c>
      <c r="Q12"/>
    </row>
    <row r="13" spans="1:17" ht="14.4" x14ac:dyDescent="0.3">
      <c r="A13" s="32" t="s">
        <v>121</v>
      </c>
      <c r="B13" s="33">
        <v>2</v>
      </c>
      <c r="C13" s="33">
        <v>4</v>
      </c>
      <c r="D13" s="33">
        <v>0</v>
      </c>
      <c r="E13" s="33">
        <v>2</v>
      </c>
      <c r="F13" s="33">
        <v>1</v>
      </c>
      <c r="G13" s="33">
        <v>0</v>
      </c>
      <c r="H13" s="33">
        <v>2</v>
      </c>
      <c r="I13" s="33">
        <v>0</v>
      </c>
      <c r="J13" s="33">
        <v>1</v>
      </c>
      <c r="K13" s="33">
        <v>6</v>
      </c>
      <c r="L13" s="33">
        <v>1</v>
      </c>
      <c r="M13" s="33">
        <v>1</v>
      </c>
      <c r="N13" s="33">
        <v>3</v>
      </c>
      <c r="O13" s="33">
        <v>3</v>
      </c>
      <c r="P13" s="33">
        <v>1</v>
      </c>
      <c r="Q13"/>
    </row>
    <row r="14" spans="1:17" ht="14.4" x14ac:dyDescent="0.3">
      <c r="A14" s="32" t="s">
        <v>138</v>
      </c>
      <c r="B14" s="33">
        <v>4</v>
      </c>
      <c r="C14" s="33">
        <v>18</v>
      </c>
      <c r="D14" s="33">
        <v>5</v>
      </c>
      <c r="E14" s="33">
        <v>3</v>
      </c>
      <c r="F14" s="33">
        <v>5</v>
      </c>
      <c r="G14" s="33">
        <v>2</v>
      </c>
      <c r="H14" s="33">
        <v>4</v>
      </c>
      <c r="I14" s="33">
        <v>2</v>
      </c>
      <c r="J14" s="33">
        <v>2</v>
      </c>
      <c r="K14" s="33">
        <v>1</v>
      </c>
      <c r="L14" s="33">
        <v>0</v>
      </c>
      <c r="M14" s="33">
        <v>0</v>
      </c>
      <c r="N14" s="33">
        <v>1</v>
      </c>
      <c r="O14" s="33">
        <v>0</v>
      </c>
      <c r="P14" s="33">
        <v>0</v>
      </c>
      <c r="Q14"/>
    </row>
    <row r="15" spans="1:17" ht="14.4" x14ac:dyDescent="0.3">
      <c r="A15" s="32" t="s">
        <v>164</v>
      </c>
      <c r="B15" s="33">
        <v>2</v>
      </c>
      <c r="C15" s="33">
        <v>8</v>
      </c>
      <c r="D15" s="33">
        <v>2</v>
      </c>
      <c r="E15" s="33">
        <v>2</v>
      </c>
      <c r="F15" s="33">
        <v>0</v>
      </c>
      <c r="G15" s="33">
        <v>1</v>
      </c>
      <c r="H15" s="33">
        <v>0</v>
      </c>
      <c r="I15" s="33">
        <v>2</v>
      </c>
      <c r="J15" s="33">
        <v>1</v>
      </c>
      <c r="K15" s="33">
        <v>0</v>
      </c>
      <c r="L15" s="33">
        <v>0</v>
      </c>
      <c r="M15" s="33">
        <v>0</v>
      </c>
      <c r="N15" s="33">
        <v>0</v>
      </c>
      <c r="O15" s="33">
        <v>0</v>
      </c>
      <c r="P15" s="33">
        <v>0</v>
      </c>
      <c r="Q15"/>
    </row>
    <row r="16" spans="1:17" ht="14.4" x14ac:dyDescent="0.3">
      <c r="A16" s="32" t="s">
        <v>175</v>
      </c>
      <c r="B16" s="33">
        <v>7</v>
      </c>
      <c r="C16" s="33">
        <v>17</v>
      </c>
      <c r="D16" s="33">
        <v>4</v>
      </c>
      <c r="E16" s="33">
        <v>3</v>
      </c>
      <c r="F16" s="33">
        <v>2</v>
      </c>
      <c r="G16" s="33">
        <v>0</v>
      </c>
      <c r="H16" s="33">
        <v>4</v>
      </c>
      <c r="I16" s="33">
        <v>1</v>
      </c>
      <c r="J16" s="33">
        <v>3</v>
      </c>
      <c r="K16" s="33">
        <v>5</v>
      </c>
      <c r="L16" s="33">
        <v>0</v>
      </c>
      <c r="M16" s="33">
        <v>0</v>
      </c>
      <c r="N16" s="33">
        <v>3</v>
      </c>
      <c r="O16" s="33">
        <v>3</v>
      </c>
      <c r="P16" s="33">
        <v>4</v>
      </c>
      <c r="Q16"/>
    </row>
    <row r="17" spans="1:17" ht="14.4" x14ac:dyDescent="0.3">
      <c r="A17" s="32" t="s">
        <v>343</v>
      </c>
      <c r="B17" s="33">
        <v>1</v>
      </c>
      <c r="C17" s="33">
        <v>1</v>
      </c>
      <c r="D17" s="33">
        <v>0</v>
      </c>
      <c r="E17" s="33">
        <v>0</v>
      </c>
      <c r="F17" s="33">
        <v>0</v>
      </c>
      <c r="G17" s="33">
        <v>0</v>
      </c>
      <c r="H17" s="33">
        <v>0</v>
      </c>
      <c r="I17" s="33">
        <v>0</v>
      </c>
      <c r="J17" s="33">
        <v>1</v>
      </c>
      <c r="K17" s="33">
        <v>0</v>
      </c>
      <c r="L17" s="33">
        <v>0</v>
      </c>
      <c r="M17" s="33">
        <v>0</v>
      </c>
      <c r="N17" s="33">
        <v>0</v>
      </c>
      <c r="O17" s="33">
        <v>0</v>
      </c>
      <c r="P17" s="33">
        <v>0</v>
      </c>
      <c r="Q17"/>
    </row>
    <row r="18" spans="1:17" ht="14.4" x14ac:dyDescent="0.3">
      <c r="A18" s="32" t="s">
        <v>224</v>
      </c>
      <c r="B18" s="33">
        <v>16</v>
      </c>
      <c r="C18" s="33">
        <v>54</v>
      </c>
      <c r="D18" s="33">
        <v>16</v>
      </c>
      <c r="E18" s="33">
        <v>10</v>
      </c>
      <c r="F18" s="33">
        <v>8</v>
      </c>
      <c r="G18" s="33">
        <v>3</v>
      </c>
      <c r="H18" s="33">
        <v>11</v>
      </c>
      <c r="I18" s="33">
        <v>6</v>
      </c>
      <c r="J18" s="33">
        <v>8</v>
      </c>
      <c r="K18" s="33">
        <v>12</v>
      </c>
      <c r="L18" s="33">
        <v>1</v>
      </c>
      <c r="M18" s="33">
        <v>1</v>
      </c>
      <c r="N18" s="33">
        <v>7</v>
      </c>
      <c r="O18" s="33">
        <v>6</v>
      </c>
      <c r="P18" s="33">
        <v>9</v>
      </c>
      <c r="Q18"/>
    </row>
  </sheetData>
  <pageMargins left="0.7" right="0.7" top="0.75" bottom="0.75" header="0.3" footer="0.3"/>
  <pageSetup scale="80" orientation="landscape" verticalDpi="0" r:id="rId2"/>
  <headerFooter>
    <oddHeader>&amp;C&amp;"Arial,Regular"&amp;8Proposed ISQM 2: NVivo MS Excel Report by Theme – ED-ISQM 2_Question 4(a)
IAASB Main Agenda (September 2019)&amp;R&amp;"Arial,Bold"&amp;18Agenda Item 7–A.4</oddHeader>
    <oddFooter>&amp;R&amp;P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63A4-DAC1-4162-8CCC-EEA92F9796B9}">
  <dimension ref="A1:S98"/>
  <sheetViews>
    <sheetView topLeftCell="B1" zoomScale="80" zoomScaleNormal="80" workbookViewId="0">
      <pane xSplit="3" ySplit="1" topLeftCell="E80" activePane="bottomRight" state="frozen"/>
      <selection activeCell="B1" sqref="B1"/>
      <selection pane="topRight" activeCell="E1" sqref="E1"/>
      <selection pane="bottomLeft" activeCell="B2" sqref="B2"/>
      <selection pane="bottomRight" activeCell="C85" sqref="C85"/>
    </sheetView>
  </sheetViews>
  <sheetFormatPr defaultColWidth="30.77734375" defaultRowHeight="13.2" outlineLevelCol="1" x14ac:dyDescent="0.25"/>
  <cols>
    <col min="1" max="1" width="50.77734375" style="2" hidden="1" customWidth="1" outlineLevel="1"/>
    <col min="2" max="2" width="30.77734375" style="3" collapsed="1"/>
    <col min="3" max="4" width="30.77734375" style="2" customWidth="1" outlineLevel="1"/>
    <col min="5" max="5" width="6.21875" style="3" bestFit="1" customWidth="1"/>
    <col min="6" max="6" width="30.5546875" style="3" bestFit="1" customWidth="1"/>
    <col min="7" max="7" width="29.44140625" style="3" bestFit="1" customWidth="1"/>
    <col min="8" max="8" width="30.33203125" style="3" bestFit="1" customWidth="1"/>
    <col min="9" max="9" width="30.109375" style="3" bestFit="1" customWidth="1"/>
    <col min="10" max="10" width="30.6640625" style="3" bestFit="1" customWidth="1"/>
    <col min="11" max="12" width="30.5546875" style="3" bestFit="1" customWidth="1"/>
    <col min="13" max="13" width="30.109375" style="3" bestFit="1" customWidth="1"/>
    <col min="14" max="14" width="8.77734375" style="3" bestFit="1" customWidth="1"/>
    <col min="15" max="15" width="33.44140625" style="3" bestFit="1" customWidth="1"/>
    <col min="16" max="16" width="30.6640625" style="3" bestFit="1" customWidth="1"/>
    <col min="17" max="17" width="29.88671875" style="3" bestFit="1" customWidth="1"/>
    <col min="18" max="18" width="30.6640625" style="3" bestFit="1" customWidth="1"/>
    <col min="19" max="19" width="29.33203125" style="3" bestFit="1" customWidth="1"/>
    <col min="20" max="16384" width="30.77734375" style="2"/>
  </cols>
  <sheetData>
    <row r="1" spans="1:19" s="1" customFormat="1" ht="52.8" x14ac:dyDescent="0.25">
      <c r="A1" s="5" t="s">
        <v>100</v>
      </c>
      <c r="B1" s="13" t="s">
        <v>436</v>
      </c>
      <c r="C1" s="5" t="s">
        <v>101</v>
      </c>
      <c r="D1" s="5" t="s">
        <v>102</v>
      </c>
      <c r="E1" s="21" t="s">
        <v>218</v>
      </c>
      <c r="F1" s="22" t="s">
        <v>219</v>
      </c>
      <c r="G1" s="22" t="s">
        <v>438</v>
      </c>
      <c r="H1" s="22" t="s">
        <v>439</v>
      </c>
      <c r="I1" s="22" t="s">
        <v>440</v>
      </c>
      <c r="J1" s="22" t="s">
        <v>441</v>
      </c>
      <c r="K1" s="22" t="s">
        <v>442</v>
      </c>
      <c r="L1" s="22" t="s">
        <v>443</v>
      </c>
      <c r="M1" s="22" t="s">
        <v>444</v>
      </c>
      <c r="N1" s="23" t="s">
        <v>220</v>
      </c>
      <c r="O1" s="23" t="s">
        <v>445</v>
      </c>
      <c r="P1" s="23" t="s">
        <v>446</v>
      </c>
      <c r="Q1" s="23" t="s">
        <v>447</v>
      </c>
      <c r="R1" s="23" t="s">
        <v>448</v>
      </c>
      <c r="S1" s="24" t="s">
        <v>221</v>
      </c>
    </row>
    <row r="2" spans="1:19" x14ac:dyDescent="0.25">
      <c r="A2" s="6" t="s">
        <v>253</v>
      </c>
      <c r="B2" s="7" t="s">
        <v>345</v>
      </c>
      <c r="C2" s="6" t="s">
        <v>104</v>
      </c>
      <c r="D2" s="6" t="s">
        <v>105</v>
      </c>
      <c r="E2" s="4">
        <v>0</v>
      </c>
      <c r="F2" s="4">
        <v>0</v>
      </c>
      <c r="G2" s="4">
        <v>0</v>
      </c>
      <c r="H2" s="4">
        <v>0</v>
      </c>
      <c r="I2" s="4">
        <v>0</v>
      </c>
      <c r="J2" s="4">
        <v>0</v>
      </c>
      <c r="K2" s="4">
        <v>0</v>
      </c>
      <c r="L2" s="4">
        <v>0</v>
      </c>
      <c r="M2" s="4">
        <v>0</v>
      </c>
      <c r="N2" s="4">
        <v>0</v>
      </c>
      <c r="O2" s="4">
        <v>0</v>
      </c>
      <c r="P2" s="4">
        <v>0</v>
      </c>
      <c r="Q2" s="4">
        <v>0</v>
      </c>
      <c r="R2" s="4">
        <v>0</v>
      </c>
      <c r="S2" s="4">
        <v>1</v>
      </c>
    </row>
    <row r="3" spans="1:19" x14ac:dyDescent="0.25">
      <c r="A3" s="6" t="s">
        <v>254</v>
      </c>
      <c r="B3" s="7" t="s">
        <v>346</v>
      </c>
      <c r="C3" s="6" t="s">
        <v>104</v>
      </c>
      <c r="D3" s="6" t="s">
        <v>105</v>
      </c>
      <c r="E3" s="4">
        <v>0</v>
      </c>
      <c r="F3" s="4">
        <v>0</v>
      </c>
      <c r="G3" s="4">
        <v>0</v>
      </c>
      <c r="H3" s="4">
        <v>0</v>
      </c>
      <c r="I3" s="4">
        <v>0</v>
      </c>
      <c r="J3" s="4">
        <v>0</v>
      </c>
      <c r="K3" s="4">
        <v>0</v>
      </c>
      <c r="L3" s="4">
        <v>0</v>
      </c>
      <c r="M3" s="4">
        <v>0</v>
      </c>
      <c r="N3" s="4">
        <v>0</v>
      </c>
      <c r="O3" s="4">
        <v>0</v>
      </c>
      <c r="P3" s="4">
        <v>0</v>
      </c>
      <c r="Q3" s="4">
        <v>0</v>
      </c>
      <c r="R3" s="4">
        <v>0</v>
      </c>
      <c r="S3" s="4">
        <v>1</v>
      </c>
    </row>
    <row r="4" spans="1:19" x14ac:dyDescent="0.25">
      <c r="A4" s="6" t="s">
        <v>255</v>
      </c>
      <c r="B4" s="7" t="s">
        <v>347</v>
      </c>
      <c r="C4" s="6" t="s">
        <v>104</v>
      </c>
      <c r="D4" s="6" t="s">
        <v>105</v>
      </c>
      <c r="E4" s="4">
        <v>0</v>
      </c>
      <c r="F4" s="4">
        <v>1</v>
      </c>
      <c r="G4" s="4">
        <v>1</v>
      </c>
      <c r="H4" s="4">
        <v>0</v>
      </c>
      <c r="I4" s="4">
        <v>0</v>
      </c>
      <c r="J4" s="4">
        <v>0</v>
      </c>
      <c r="K4" s="4">
        <v>0</v>
      </c>
      <c r="L4" s="4">
        <v>0</v>
      </c>
      <c r="M4" s="4">
        <v>0</v>
      </c>
      <c r="N4" s="4">
        <v>0</v>
      </c>
      <c r="O4" s="4">
        <v>0</v>
      </c>
      <c r="P4" s="4">
        <v>0</v>
      </c>
      <c r="Q4" s="4">
        <v>0</v>
      </c>
      <c r="R4" s="4">
        <v>0</v>
      </c>
      <c r="S4" s="4">
        <v>0</v>
      </c>
    </row>
    <row r="5" spans="1:19" x14ac:dyDescent="0.25">
      <c r="A5" s="6" t="s">
        <v>256</v>
      </c>
      <c r="B5" s="7" t="s">
        <v>348</v>
      </c>
      <c r="C5" s="6" t="s">
        <v>104</v>
      </c>
      <c r="D5" s="6" t="s">
        <v>105</v>
      </c>
      <c r="E5" s="4">
        <v>0</v>
      </c>
      <c r="F5" s="4">
        <v>1</v>
      </c>
      <c r="G5" s="4">
        <v>1</v>
      </c>
      <c r="H5" s="4">
        <v>0</v>
      </c>
      <c r="I5" s="4">
        <v>0</v>
      </c>
      <c r="J5" s="4">
        <v>0</v>
      </c>
      <c r="K5" s="4">
        <v>0</v>
      </c>
      <c r="L5" s="4">
        <v>0</v>
      </c>
      <c r="M5" s="4">
        <v>0</v>
      </c>
      <c r="N5" s="4">
        <v>0</v>
      </c>
      <c r="O5" s="4">
        <v>0</v>
      </c>
      <c r="P5" s="4">
        <v>0</v>
      </c>
      <c r="Q5" s="4">
        <v>0</v>
      </c>
      <c r="R5" s="4">
        <v>0</v>
      </c>
      <c r="S5" s="4">
        <v>0</v>
      </c>
    </row>
    <row r="6" spans="1:19" x14ac:dyDescent="0.25">
      <c r="A6" s="6" t="s">
        <v>257</v>
      </c>
      <c r="B6" s="7" t="s">
        <v>349</v>
      </c>
      <c r="C6" s="6" t="s">
        <v>110</v>
      </c>
      <c r="D6" s="6" t="s">
        <v>105</v>
      </c>
      <c r="E6" s="4">
        <v>0</v>
      </c>
      <c r="F6" s="4">
        <v>0</v>
      </c>
      <c r="G6" s="4">
        <v>0</v>
      </c>
      <c r="H6" s="4">
        <v>0</v>
      </c>
      <c r="I6" s="4">
        <v>0</v>
      </c>
      <c r="J6" s="4">
        <v>0</v>
      </c>
      <c r="K6" s="4">
        <v>0</v>
      </c>
      <c r="L6" s="4">
        <v>0</v>
      </c>
      <c r="M6" s="4">
        <v>0</v>
      </c>
      <c r="N6" s="4">
        <v>0</v>
      </c>
      <c r="O6" s="4">
        <v>0</v>
      </c>
      <c r="P6" s="4">
        <v>0</v>
      </c>
      <c r="Q6" s="4">
        <v>0</v>
      </c>
      <c r="R6" s="4">
        <v>0</v>
      </c>
      <c r="S6" s="4">
        <v>1</v>
      </c>
    </row>
    <row r="7" spans="1:19" ht="26.4" x14ac:dyDescent="0.25">
      <c r="A7" s="6" t="s">
        <v>258</v>
      </c>
      <c r="B7" s="7" t="s">
        <v>350</v>
      </c>
      <c r="C7" s="6" t="s">
        <v>113</v>
      </c>
      <c r="D7" s="6" t="s">
        <v>114</v>
      </c>
      <c r="E7" s="4">
        <v>0</v>
      </c>
      <c r="F7" s="4">
        <v>0</v>
      </c>
      <c r="G7" s="4">
        <v>0</v>
      </c>
      <c r="H7" s="4">
        <v>0</v>
      </c>
      <c r="I7" s="4">
        <v>0</v>
      </c>
      <c r="J7" s="4">
        <v>0</v>
      </c>
      <c r="K7" s="4">
        <v>0</v>
      </c>
      <c r="L7" s="4">
        <v>0</v>
      </c>
      <c r="M7" s="4">
        <v>0</v>
      </c>
      <c r="N7" s="4">
        <v>0</v>
      </c>
      <c r="O7" s="4">
        <v>0</v>
      </c>
      <c r="P7" s="4">
        <v>0</v>
      </c>
      <c r="Q7" s="4">
        <v>0</v>
      </c>
      <c r="R7" s="4">
        <v>0</v>
      </c>
      <c r="S7" s="4">
        <v>1</v>
      </c>
    </row>
    <row r="8" spans="1:19" ht="26.4" x14ac:dyDescent="0.25">
      <c r="A8" s="6" t="s">
        <v>259</v>
      </c>
      <c r="B8" s="7" t="s">
        <v>351</v>
      </c>
      <c r="C8" s="6" t="s">
        <v>113</v>
      </c>
      <c r="D8" s="6" t="s">
        <v>116</v>
      </c>
      <c r="E8" s="4">
        <v>0</v>
      </c>
      <c r="F8" s="4">
        <v>1</v>
      </c>
      <c r="G8" s="4">
        <v>1</v>
      </c>
      <c r="H8" s="4">
        <v>0</v>
      </c>
      <c r="I8" s="4">
        <v>0</v>
      </c>
      <c r="J8" s="4">
        <v>0</v>
      </c>
      <c r="K8" s="4">
        <v>0</v>
      </c>
      <c r="L8" s="4">
        <v>0</v>
      </c>
      <c r="M8" s="4">
        <v>0</v>
      </c>
      <c r="N8" s="4">
        <v>0</v>
      </c>
      <c r="O8" s="4">
        <v>0</v>
      </c>
      <c r="P8" s="4">
        <v>0</v>
      </c>
      <c r="Q8" s="4">
        <v>0</v>
      </c>
      <c r="R8" s="4">
        <v>0</v>
      </c>
      <c r="S8" s="4">
        <v>0</v>
      </c>
    </row>
    <row r="9" spans="1:19" ht="26.4" x14ac:dyDescent="0.25">
      <c r="A9" s="6" t="s">
        <v>260</v>
      </c>
      <c r="B9" s="7" t="s">
        <v>352</v>
      </c>
      <c r="C9" s="6" t="s">
        <v>113</v>
      </c>
      <c r="D9" s="6" t="s">
        <v>118</v>
      </c>
      <c r="E9" s="4">
        <v>0</v>
      </c>
      <c r="F9" s="4">
        <v>1</v>
      </c>
      <c r="G9" s="4">
        <v>1</v>
      </c>
      <c r="H9" s="4">
        <v>0</v>
      </c>
      <c r="I9" s="4">
        <v>0</v>
      </c>
      <c r="J9" s="4">
        <v>0</v>
      </c>
      <c r="K9" s="4">
        <v>0</v>
      </c>
      <c r="L9" s="4">
        <v>1</v>
      </c>
      <c r="M9" s="4">
        <v>0</v>
      </c>
      <c r="N9" s="4">
        <v>0</v>
      </c>
      <c r="O9" s="4">
        <v>0</v>
      </c>
      <c r="P9" s="4">
        <v>0</v>
      </c>
      <c r="Q9" s="4">
        <v>0</v>
      </c>
      <c r="R9" s="4">
        <v>0</v>
      </c>
      <c r="S9" s="4">
        <v>0</v>
      </c>
    </row>
    <row r="10" spans="1:19" ht="26.4" x14ac:dyDescent="0.25">
      <c r="A10" s="6" t="s">
        <v>261</v>
      </c>
      <c r="B10" s="7" t="s">
        <v>353</v>
      </c>
      <c r="C10" s="6" t="s">
        <v>113</v>
      </c>
      <c r="D10" s="6" t="s">
        <v>116</v>
      </c>
      <c r="E10" s="4">
        <v>0</v>
      </c>
      <c r="F10" s="4">
        <v>1</v>
      </c>
      <c r="G10" s="4">
        <v>1</v>
      </c>
      <c r="H10" s="4">
        <v>0</v>
      </c>
      <c r="I10" s="4">
        <v>0</v>
      </c>
      <c r="J10" s="4">
        <v>0</v>
      </c>
      <c r="K10" s="4">
        <v>0</v>
      </c>
      <c r="L10" s="4">
        <v>0</v>
      </c>
      <c r="M10" s="4">
        <v>0</v>
      </c>
      <c r="N10" s="4">
        <v>0</v>
      </c>
      <c r="O10" s="4">
        <v>0</v>
      </c>
      <c r="P10" s="4">
        <v>0</v>
      </c>
      <c r="Q10" s="4">
        <v>0</v>
      </c>
      <c r="R10" s="4">
        <v>0</v>
      </c>
      <c r="S10" s="4">
        <v>0</v>
      </c>
    </row>
    <row r="11" spans="1:19" ht="26.4" x14ac:dyDescent="0.25">
      <c r="A11" s="6" t="s">
        <v>262</v>
      </c>
      <c r="B11" s="7" t="s">
        <v>354</v>
      </c>
      <c r="C11" s="6" t="s">
        <v>121</v>
      </c>
      <c r="D11" s="6" t="s">
        <v>114</v>
      </c>
      <c r="E11" s="4">
        <v>0</v>
      </c>
      <c r="F11" s="4">
        <v>0</v>
      </c>
      <c r="G11" s="4">
        <v>0</v>
      </c>
      <c r="H11" s="4">
        <v>0</v>
      </c>
      <c r="I11" s="4">
        <v>0</v>
      </c>
      <c r="J11" s="4">
        <v>0</v>
      </c>
      <c r="K11" s="4">
        <v>0</v>
      </c>
      <c r="L11" s="4">
        <v>0</v>
      </c>
      <c r="M11" s="4">
        <v>0</v>
      </c>
      <c r="N11" s="4">
        <v>1</v>
      </c>
      <c r="O11" s="4">
        <v>1</v>
      </c>
      <c r="P11" s="4">
        <v>0</v>
      </c>
      <c r="Q11" s="4">
        <v>0</v>
      </c>
      <c r="R11" s="4">
        <v>1</v>
      </c>
      <c r="S11" s="4">
        <v>0</v>
      </c>
    </row>
    <row r="12" spans="1:19" ht="26.4" x14ac:dyDescent="0.25">
      <c r="A12" s="6" t="s">
        <v>263</v>
      </c>
      <c r="B12" s="7" t="s">
        <v>355</v>
      </c>
      <c r="C12" s="6" t="s">
        <v>121</v>
      </c>
      <c r="D12" s="6" t="s">
        <v>123</v>
      </c>
      <c r="E12" s="4">
        <v>0</v>
      </c>
      <c r="F12" s="4">
        <v>0</v>
      </c>
      <c r="G12" s="4">
        <v>0</v>
      </c>
      <c r="H12" s="4">
        <v>0</v>
      </c>
      <c r="I12" s="4">
        <v>0</v>
      </c>
      <c r="J12" s="4">
        <v>0</v>
      </c>
      <c r="K12" s="4">
        <v>0</v>
      </c>
      <c r="L12" s="4">
        <v>0</v>
      </c>
      <c r="M12" s="4">
        <v>0</v>
      </c>
      <c r="N12" s="4">
        <v>1</v>
      </c>
      <c r="O12" s="4">
        <v>0</v>
      </c>
      <c r="P12" s="4">
        <v>0</v>
      </c>
      <c r="Q12" s="4">
        <v>1</v>
      </c>
      <c r="R12" s="4">
        <v>0</v>
      </c>
      <c r="S12" s="4">
        <v>0</v>
      </c>
    </row>
    <row r="13" spans="1:19" ht="26.4" x14ac:dyDescent="0.25">
      <c r="A13" s="6" t="s">
        <v>264</v>
      </c>
      <c r="B13" s="7" t="s">
        <v>356</v>
      </c>
      <c r="C13" s="6" t="s">
        <v>121</v>
      </c>
      <c r="D13" s="6" t="s">
        <v>114</v>
      </c>
      <c r="E13" s="4">
        <v>0</v>
      </c>
      <c r="F13" s="4">
        <v>1</v>
      </c>
      <c r="G13" s="4">
        <v>0</v>
      </c>
      <c r="H13" s="4">
        <v>1</v>
      </c>
      <c r="I13" s="4">
        <v>1</v>
      </c>
      <c r="J13" s="4">
        <v>0</v>
      </c>
      <c r="K13" s="4">
        <v>0</v>
      </c>
      <c r="L13" s="4">
        <v>0</v>
      </c>
      <c r="M13" s="4">
        <v>1</v>
      </c>
      <c r="N13" s="4">
        <v>0</v>
      </c>
      <c r="O13" s="4">
        <v>0</v>
      </c>
      <c r="P13" s="4">
        <v>0</v>
      </c>
      <c r="Q13" s="4">
        <v>0</v>
      </c>
      <c r="R13" s="4">
        <v>0</v>
      </c>
      <c r="S13" s="4">
        <v>0</v>
      </c>
    </row>
    <row r="14" spans="1:19" ht="26.4" x14ac:dyDescent="0.25">
      <c r="A14" s="6" t="s">
        <v>265</v>
      </c>
      <c r="B14" s="7" t="s">
        <v>357</v>
      </c>
      <c r="C14" s="6" t="s">
        <v>121</v>
      </c>
      <c r="D14" s="6" t="s">
        <v>123</v>
      </c>
      <c r="E14" s="4">
        <v>0</v>
      </c>
      <c r="F14" s="4">
        <v>0</v>
      </c>
      <c r="G14" s="4">
        <v>0</v>
      </c>
      <c r="H14" s="4">
        <v>0</v>
      </c>
      <c r="I14" s="4">
        <v>0</v>
      </c>
      <c r="J14" s="4">
        <v>0</v>
      </c>
      <c r="K14" s="4">
        <v>0</v>
      </c>
      <c r="L14" s="4">
        <v>0</v>
      </c>
      <c r="M14" s="4">
        <v>0</v>
      </c>
      <c r="N14" s="4">
        <v>0</v>
      </c>
      <c r="O14" s="4">
        <v>0</v>
      </c>
      <c r="P14" s="4">
        <v>0</v>
      </c>
      <c r="Q14" s="4">
        <v>0</v>
      </c>
      <c r="R14" s="4">
        <v>0</v>
      </c>
      <c r="S14" s="4">
        <v>1</v>
      </c>
    </row>
    <row r="15" spans="1:19" ht="26.4" x14ac:dyDescent="0.25">
      <c r="A15" s="6" t="s">
        <v>266</v>
      </c>
      <c r="B15" s="7" t="s">
        <v>358</v>
      </c>
      <c r="C15" s="6" t="s">
        <v>121</v>
      </c>
      <c r="D15" s="6" t="s">
        <v>116</v>
      </c>
      <c r="E15" s="4">
        <v>1</v>
      </c>
      <c r="F15" s="4">
        <v>0</v>
      </c>
      <c r="G15" s="4">
        <v>0</v>
      </c>
      <c r="H15" s="4">
        <v>0</v>
      </c>
      <c r="I15" s="4">
        <v>0</v>
      </c>
      <c r="J15" s="4">
        <v>0</v>
      </c>
      <c r="K15" s="4">
        <v>0</v>
      </c>
      <c r="L15" s="4">
        <v>0</v>
      </c>
      <c r="M15" s="4">
        <v>0</v>
      </c>
      <c r="N15" s="4">
        <v>0</v>
      </c>
      <c r="O15" s="4">
        <v>0</v>
      </c>
      <c r="P15" s="4">
        <v>0</v>
      </c>
      <c r="Q15" s="4">
        <v>0</v>
      </c>
      <c r="R15" s="4">
        <v>0</v>
      </c>
      <c r="S15" s="4">
        <v>0</v>
      </c>
    </row>
    <row r="16" spans="1:19" ht="26.4" x14ac:dyDescent="0.25">
      <c r="A16" s="6" t="s">
        <v>267</v>
      </c>
      <c r="B16" s="7" t="s">
        <v>359</v>
      </c>
      <c r="C16" s="6" t="s">
        <v>121</v>
      </c>
      <c r="D16" s="6" t="s">
        <v>128</v>
      </c>
      <c r="E16" s="4">
        <v>0</v>
      </c>
      <c r="F16" s="4">
        <v>1</v>
      </c>
      <c r="G16" s="4">
        <v>0</v>
      </c>
      <c r="H16" s="4">
        <v>1</v>
      </c>
      <c r="I16" s="4">
        <v>0</v>
      </c>
      <c r="J16" s="4">
        <v>0</v>
      </c>
      <c r="K16" s="4">
        <v>0</v>
      </c>
      <c r="L16" s="4">
        <v>0</v>
      </c>
      <c r="M16" s="4">
        <v>0</v>
      </c>
      <c r="N16" s="4">
        <v>0</v>
      </c>
      <c r="O16" s="4">
        <v>0</v>
      </c>
      <c r="P16" s="4">
        <v>0</v>
      </c>
      <c r="Q16" s="4">
        <v>0</v>
      </c>
      <c r="R16" s="4">
        <v>0</v>
      </c>
      <c r="S16" s="4">
        <v>0</v>
      </c>
    </row>
    <row r="17" spans="1:19" ht="26.4" x14ac:dyDescent="0.25">
      <c r="A17" s="6" t="s">
        <v>268</v>
      </c>
      <c r="B17" s="7" t="s">
        <v>360</v>
      </c>
      <c r="C17" s="6" t="s">
        <v>121</v>
      </c>
      <c r="D17" s="6" t="s">
        <v>123</v>
      </c>
      <c r="E17" s="4">
        <v>0</v>
      </c>
      <c r="F17" s="4">
        <v>1</v>
      </c>
      <c r="G17" s="4">
        <v>0</v>
      </c>
      <c r="H17" s="4">
        <v>0</v>
      </c>
      <c r="I17" s="4">
        <v>0</v>
      </c>
      <c r="J17" s="4">
        <v>0</v>
      </c>
      <c r="K17" s="4">
        <v>1</v>
      </c>
      <c r="L17" s="4">
        <v>0</v>
      </c>
      <c r="M17" s="4">
        <v>0</v>
      </c>
      <c r="N17" s="4">
        <v>0</v>
      </c>
      <c r="O17" s="4">
        <v>0</v>
      </c>
      <c r="P17" s="4">
        <v>0</v>
      </c>
      <c r="Q17" s="4">
        <v>0</v>
      </c>
      <c r="R17" s="4">
        <v>0</v>
      </c>
      <c r="S17" s="4">
        <v>0</v>
      </c>
    </row>
    <row r="18" spans="1:19" ht="26.4" x14ac:dyDescent="0.25">
      <c r="A18" s="6" t="s">
        <v>269</v>
      </c>
      <c r="B18" s="7" t="s">
        <v>361</v>
      </c>
      <c r="C18" s="6" t="s">
        <v>121</v>
      </c>
      <c r="D18" s="6" t="s">
        <v>116</v>
      </c>
      <c r="E18" s="4">
        <v>0</v>
      </c>
      <c r="F18" s="4">
        <v>0</v>
      </c>
      <c r="G18" s="4">
        <v>0</v>
      </c>
      <c r="H18" s="4">
        <v>0</v>
      </c>
      <c r="I18" s="4">
        <v>0</v>
      </c>
      <c r="J18" s="4">
        <v>0</v>
      </c>
      <c r="K18" s="4">
        <v>0</v>
      </c>
      <c r="L18" s="4">
        <v>0</v>
      </c>
      <c r="M18" s="4">
        <v>0</v>
      </c>
      <c r="N18" s="4">
        <v>1</v>
      </c>
      <c r="O18" s="4">
        <v>0</v>
      </c>
      <c r="P18" s="4">
        <v>1</v>
      </c>
      <c r="Q18" s="4">
        <v>0</v>
      </c>
      <c r="R18" s="4">
        <v>1</v>
      </c>
      <c r="S18" s="4">
        <v>0</v>
      </c>
    </row>
    <row r="19" spans="1:19" ht="26.4" x14ac:dyDescent="0.25">
      <c r="A19" s="6" t="s">
        <v>270</v>
      </c>
      <c r="B19" s="7" t="s">
        <v>362</v>
      </c>
      <c r="C19" s="6" t="s">
        <v>121</v>
      </c>
      <c r="D19" s="6" t="s">
        <v>123</v>
      </c>
      <c r="E19" s="4">
        <v>1</v>
      </c>
      <c r="F19" s="4">
        <v>0</v>
      </c>
      <c r="G19" s="4">
        <v>0</v>
      </c>
      <c r="H19" s="4">
        <v>0</v>
      </c>
      <c r="I19" s="4">
        <v>0</v>
      </c>
      <c r="J19" s="4">
        <v>0</v>
      </c>
      <c r="K19" s="4">
        <v>0</v>
      </c>
      <c r="L19" s="4">
        <v>0</v>
      </c>
      <c r="M19" s="4">
        <v>0</v>
      </c>
      <c r="N19" s="4">
        <v>0</v>
      </c>
      <c r="O19" s="4">
        <v>0</v>
      </c>
      <c r="P19" s="4">
        <v>0</v>
      </c>
      <c r="Q19" s="4">
        <v>0</v>
      </c>
      <c r="R19" s="4">
        <v>0</v>
      </c>
      <c r="S19" s="4">
        <v>0</v>
      </c>
    </row>
    <row r="20" spans="1:19" ht="26.4" x14ac:dyDescent="0.25">
      <c r="A20" s="6" t="s">
        <v>271</v>
      </c>
      <c r="B20" s="7" t="s">
        <v>363</v>
      </c>
      <c r="C20" s="6" t="s">
        <v>121</v>
      </c>
      <c r="D20" s="6" t="s">
        <v>116</v>
      </c>
      <c r="E20" s="4">
        <v>0</v>
      </c>
      <c r="F20" s="4">
        <v>1</v>
      </c>
      <c r="G20" s="4">
        <v>0</v>
      </c>
      <c r="H20" s="4">
        <v>0</v>
      </c>
      <c r="I20" s="4">
        <v>0</v>
      </c>
      <c r="J20" s="4">
        <v>0</v>
      </c>
      <c r="K20" s="4">
        <v>1</v>
      </c>
      <c r="L20" s="4">
        <v>0</v>
      </c>
      <c r="M20" s="4">
        <v>0</v>
      </c>
      <c r="N20" s="4">
        <v>0</v>
      </c>
      <c r="O20" s="4">
        <v>0</v>
      </c>
      <c r="P20" s="4">
        <v>0</v>
      </c>
      <c r="Q20" s="4">
        <v>0</v>
      </c>
      <c r="R20" s="4">
        <v>0</v>
      </c>
      <c r="S20" s="4">
        <v>0</v>
      </c>
    </row>
    <row r="21" spans="1:19" ht="26.4" x14ac:dyDescent="0.25">
      <c r="A21" s="6" t="s">
        <v>272</v>
      </c>
      <c r="B21" s="7" t="s">
        <v>364</v>
      </c>
      <c r="C21" s="6" t="s">
        <v>121</v>
      </c>
      <c r="D21" s="6" t="s">
        <v>123</v>
      </c>
      <c r="E21" s="4">
        <v>0</v>
      </c>
      <c r="F21" s="4">
        <v>0</v>
      </c>
      <c r="G21" s="4">
        <v>0</v>
      </c>
      <c r="H21" s="4">
        <v>0</v>
      </c>
      <c r="I21" s="4">
        <v>0</v>
      </c>
      <c r="J21" s="4">
        <v>0</v>
      </c>
      <c r="K21" s="4">
        <v>0</v>
      </c>
      <c r="L21" s="4">
        <v>0</v>
      </c>
      <c r="M21" s="4">
        <v>0</v>
      </c>
      <c r="N21" s="4">
        <v>1</v>
      </c>
      <c r="O21" s="4">
        <v>0</v>
      </c>
      <c r="P21" s="4">
        <v>0</v>
      </c>
      <c r="Q21" s="4">
        <v>1</v>
      </c>
      <c r="R21" s="4">
        <v>0</v>
      </c>
      <c r="S21" s="4">
        <v>0</v>
      </c>
    </row>
    <row r="22" spans="1:19" ht="26.4" x14ac:dyDescent="0.25">
      <c r="A22" s="6" t="s">
        <v>273</v>
      </c>
      <c r="B22" s="7" t="s">
        <v>365</v>
      </c>
      <c r="C22" s="6" t="s">
        <v>121</v>
      </c>
      <c r="D22" s="6" t="s">
        <v>123</v>
      </c>
      <c r="E22" s="4">
        <v>0</v>
      </c>
      <c r="F22" s="4">
        <v>0</v>
      </c>
      <c r="G22" s="4">
        <v>0</v>
      </c>
      <c r="H22" s="4">
        <v>0</v>
      </c>
      <c r="I22" s="4">
        <v>0</v>
      </c>
      <c r="J22" s="4">
        <v>0</v>
      </c>
      <c r="K22" s="4">
        <v>0</v>
      </c>
      <c r="L22" s="4">
        <v>0</v>
      </c>
      <c r="M22" s="4">
        <v>0</v>
      </c>
      <c r="N22" s="4">
        <v>1</v>
      </c>
      <c r="O22" s="4">
        <v>0</v>
      </c>
      <c r="P22" s="4">
        <v>0</v>
      </c>
      <c r="Q22" s="4">
        <v>0</v>
      </c>
      <c r="R22" s="4">
        <v>1</v>
      </c>
      <c r="S22" s="4">
        <v>0</v>
      </c>
    </row>
    <row r="23" spans="1:19" ht="26.4" x14ac:dyDescent="0.25">
      <c r="A23" s="6" t="s">
        <v>274</v>
      </c>
      <c r="B23" s="7" t="s">
        <v>366</v>
      </c>
      <c r="C23" s="6" t="s">
        <v>121</v>
      </c>
      <c r="D23" s="6" t="s">
        <v>116</v>
      </c>
      <c r="E23" s="4">
        <v>0</v>
      </c>
      <c r="F23" s="4">
        <v>0</v>
      </c>
      <c r="G23" s="4">
        <v>0</v>
      </c>
      <c r="H23" s="4">
        <v>0</v>
      </c>
      <c r="I23" s="4">
        <v>0</v>
      </c>
      <c r="J23" s="4">
        <v>0</v>
      </c>
      <c r="K23" s="4">
        <v>0</v>
      </c>
      <c r="L23" s="4">
        <v>0</v>
      </c>
      <c r="M23" s="4">
        <v>0</v>
      </c>
      <c r="N23" s="4">
        <v>1</v>
      </c>
      <c r="O23" s="4">
        <v>0</v>
      </c>
      <c r="P23" s="4">
        <v>0</v>
      </c>
      <c r="Q23" s="4">
        <v>1</v>
      </c>
      <c r="R23" s="4">
        <v>0</v>
      </c>
      <c r="S23" s="4">
        <v>0</v>
      </c>
    </row>
    <row r="24" spans="1:19" x14ac:dyDescent="0.25">
      <c r="A24" s="6" t="s">
        <v>275</v>
      </c>
      <c r="B24" s="7" t="s">
        <v>367</v>
      </c>
      <c r="C24" s="6" t="s">
        <v>138</v>
      </c>
      <c r="D24" s="6" t="s">
        <v>105</v>
      </c>
      <c r="E24" s="4">
        <v>0</v>
      </c>
      <c r="F24" s="4">
        <v>1</v>
      </c>
      <c r="G24" s="4">
        <v>1</v>
      </c>
      <c r="H24" s="4">
        <v>0</v>
      </c>
      <c r="I24" s="4">
        <v>1</v>
      </c>
      <c r="J24" s="4">
        <v>0</v>
      </c>
      <c r="K24" s="4">
        <v>0</v>
      </c>
      <c r="L24" s="4">
        <v>0</v>
      </c>
      <c r="M24" s="4">
        <v>0</v>
      </c>
      <c r="N24" s="4">
        <v>0</v>
      </c>
      <c r="O24" s="4">
        <v>0</v>
      </c>
      <c r="P24" s="4">
        <v>0</v>
      </c>
      <c r="Q24" s="4">
        <v>0</v>
      </c>
      <c r="R24" s="4">
        <v>0</v>
      </c>
      <c r="S24" s="4">
        <v>0</v>
      </c>
    </row>
    <row r="25" spans="1:19" x14ac:dyDescent="0.25">
      <c r="A25" s="6" t="s">
        <v>276</v>
      </c>
      <c r="B25" s="7" t="s">
        <v>368</v>
      </c>
      <c r="C25" s="6" t="s">
        <v>138</v>
      </c>
      <c r="D25" s="6" t="s">
        <v>114</v>
      </c>
      <c r="E25" s="4">
        <v>1</v>
      </c>
      <c r="F25" s="4">
        <v>0</v>
      </c>
      <c r="G25" s="4">
        <v>0</v>
      </c>
      <c r="H25" s="4">
        <v>0</v>
      </c>
      <c r="I25" s="4">
        <v>0</v>
      </c>
      <c r="J25" s="4">
        <v>0</v>
      </c>
      <c r="K25" s="4">
        <v>0</v>
      </c>
      <c r="L25" s="4">
        <v>0</v>
      </c>
      <c r="M25" s="4">
        <v>0</v>
      </c>
      <c r="N25" s="4">
        <v>0</v>
      </c>
      <c r="O25" s="4">
        <v>0</v>
      </c>
      <c r="P25" s="4">
        <v>0</v>
      </c>
      <c r="Q25" s="4">
        <v>0</v>
      </c>
      <c r="R25" s="4">
        <v>0</v>
      </c>
      <c r="S25" s="4">
        <v>0</v>
      </c>
    </row>
    <row r="26" spans="1:19" x14ac:dyDescent="0.25">
      <c r="A26" s="6" t="s">
        <v>277</v>
      </c>
      <c r="B26" s="7" t="s">
        <v>369</v>
      </c>
      <c r="C26" s="6" t="s">
        <v>138</v>
      </c>
      <c r="D26" s="6" t="s">
        <v>105</v>
      </c>
      <c r="E26" s="4">
        <v>0</v>
      </c>
      <c r="F26" s="4">
        <v>1</v>
      </c>
      <c r="G26" s="4">
        <v>0</v>
      </c>
      <c r="H26" s="4">
        <v>1</v>
      </c>
      <c r="I26" s="4">
        <v>1</v>
      </c>
      <c r="J26" s="4">
        <v>1</v>
      </c>
      <c r="K26" s="4">
        <v>1</v>
      </c>
      <c r="L26" s="4">
        <v>0</v>
      </c>
      <c r="M26" s="4">
        <v>0</v>
      </c>
      <c r="N26" s="4">
        <v>0</v>
      </c>
      <c r="O26" s="4">
        <v>0</v>
      </c>
      <c r="P26" s="4">
        <v>0</v>
      </c>
      <c r="Q26" s="4">
        <v>0</v>
      </c>
      <c r="R26" s="4">
        <v>0</v>
      </c>
      <c r="S26" s="4">
        <v>0</v>
      </c>
    </row>
    <row r="27" spans="1:19" x14ac:dyDescent="0.25">
      <c r="A27" s="6" t="s">
        <v>278</v>
      </c>
      <c r="B27" s="7" t="s">
        <v>370</v>
      </c>
      <c r="C27" s="6" t="s">
        <v>138</v>
      </c>
      <c r="D27" s="6" t="s">
        <v>123</v>
      </c>
      <c r="E27" s="4">
        <v>0</v>
      </c>
      <c r="F27" s="4">
        <v>1</v>
      </c>
      <c r="G27" s="4">
        <v>0</v>
      </c>
      <c r="H27" s="4">
        <v>0</v>
      </c>
      <c r="I27" s="4">
        <v>0</v>
      </c>
      <c r="J27" s="4">
        <v>0</v>
      </c>
      <c r="K27" s="4">
        <v>0</v>
      </c>
      <c r="L27" s="4">
        <v>0</v>
      </c>
      <c r="M27" s="4">
        <v>0</v>
      </c>
      <c r="N27" s="4">
        <v>0</v>
      </c>
      <c r="O27" s="4">
        <v>0</v>
      </c>
      <c r="P27" s="4">
        <v>0</v>
      </c>
      <c r="Q27" s="4">
        <v>0</v>
      </c>
      <c r="R27" s="4">
        <v>0</v>
      </c>
      <c r="S27" s="4">
        <v>0</v>
      </c>
    </row>
    <row r="28" spans="1:19" x14ac:dyDescent="0.25">
      <c r="A28" s="6" t="s">
        <v>279</v>
      </c>
      <c r="B28" s="7" t="s">
        <v>371</v>
      </c>
      <c r="C28" s="6" t="s">
        <v>138</v>
      </c>
      <c r="D28" s="6" t="s">
        <v>105</v>
      </c>
      <c r="E28" s="4">
        <v>0</v>
      </c>
      <c r="F28" s="4">
        <v>1</v>
      </c>
      <c r="G28" s="4">
        <v>0</v>
      </c>
      <c r="H28" s="4">
        <v>0</v>
      </c>
      <c r="I28" s="4">
        <v>0</v>
      </c>
      <c r="J28" s="4">
        <v>0</v>
      </c>
      <c r="K28" s="4">
        <v>1</v>
      </c>
      <c r="L28" s="4">
        <v>0</v>
      </c>
      <c r="M28" s="4">
        <v>0</v>
      </c>
      <c r="N28" s="4">
        <v>0</v>
      </c>
      <c r="O28" s="4">
        <v>0</v>
      </c>
      <c r="P28" s="4">
        <v>0</v>
      </c>
      <c r="Q28" s="4">
        <v>0</v>
      </c>
      <c r="R28" s="4">
        <v>0</v>
      </c>
      <c r="S28" s="4">
        <v>0</v>
      </c>
    </row>
    <row r="29" spans="1:19" x14ac:dyDescent="0.25">
      <c r="A29" s="6" t="s">
        <v>280</v>
      </c>
      <c r="B29" s="7" t="s">
        <v>372</v>
      </c>
      <c r="C29" s="6" t="s">
        <v>138</v>
      </c>
      <c r="D29" s="6" t="s">
        <v>105</v>
      </c>
      <c r="E29" s="4">
        <v>0</v>
      </c>
      <c r="F29" s="4">
        <v>1</v>
      </c>
      <c r="G29" s="4">
        <v>0</v>
      </c>
      <c r="H29" s="4">
        <v>1</v>
      </c>
      <c r="I29" s="4">
        <v>0</v>
      </c>
      <c r="J29" s="4">
        <v>0</v>
      </c>
      <c r="K29" s="4">
        <v>0</v>
      </c>
      <c r="L29" s="4">
        <v>0</v>
      </c>
      <c r="M29" s="4">
        <v>1</v>
      </c>
      <c r="N29" s="4">
        <v>0</v>
      </c>
      <c r="O29" s="4">
        <v>0</v>
      </c>
      <c r="P29" s="4">
        <v>0</v>
      </c>
      <c r="Q29" s="4">
        <v>0</v>
      </c>
      <c r="R29" s="4">
        <v>0</v>
      </c>
      <c r="S29" s="4">
        <v>0</v>
      </c>
    </row>
    <row r="30" spans="1:19" x14ac:dyDescent="0.25">
      <c r="A30" s="6" t="s">
        <v>281</v>
      </c>
      <c r="B30" s="7" t="s">
        <v>373</v>
      </c>
      <c r="C30" s="6" t="s">
        <v>138</v>
      </c>
      <c r="D30" s="6" t="s">
        <v>116</v>
      </c>
      <c r="E30" s="4">
        <v>0</v>
      </c>
      <c r="F30" s="4">
        <v>1</v>
      </c>
      <c r="G30" s="4">
        <v>1</v>
      </c>
      <c r="H30" s="4">
        <v>0</v>
      </c>
      <c r="I30" s="4">
        <v>0</v>
      </c>
      <c r="J30" s="4">
        <v>0</v>
      </c>
      <c r="K30" s="4">
        <v>0</v>
      </c>
      <c r="L30" s="4">
        <v>0</v>
      </c>
      <c r="M30" s="4">
        <v>0</v>
      </c>
      <c r="N30" s="4">
        <v>0</v>
      </c>
      <c r="O30" s="4">
        <v>0</v>
      </c>
      <c r="P30" s="4">
        <v>0</v>
      </c>
      <c r="Q30" s="4">
        <v>0</v>
      </c>
      <c r="R30" s="4">
        <v>0</v>
      </c>
      <c r="S30" s="4">
        <v>0</v>
      </c>
    </row>
    <row r="31" spans="1:19" x14ac:dyDescent="0.25">
      <c r="A31" s="6" t="s">
        <v>282</v>
      </c>
      <c r="B31" s="7" t="s">
        <v>374</v>
      </c>
      <c r="C31" s="6" t="s">
        <v>138</v>
      </c>
      <c r="D31" s="6" t="s">
        <v>118</v>
      </c>
      <c r="E31" s="4">
        <v>1</v>
      </c>
      <c r="F31" s="4">
        <v>0</v>
      </c>
      <c r="G31" s="4">
        <v>0</v>
      </c>
      <c r="H31" s="4">
        <v>0</v>
      </c>
      <c r="I31" s="4">
        <v>0</v>
      </c>
      <c r="J31" s="4">
        <v>0</v>
      </c>
      <c r="K31" s="4">
        <v>0</v>
      </c>
      <c r="L31" s="4">
        <v>0</v>
      </c>
      <c r="M31" s="4">
        <v>0</v>
      </c>
      <c r="N31" s="4">
        <v>0</v>
      </c>
      <c r="O31" s="4">
        <v>0</v>
      </c>
      <c r="P31" s="4">
        <v>0</v>
      </c>
      <c r="Q31" s="4">
        <v>0</v>
      </c>
      <c r="R31" s="4">
        <v>0</v>
      </c>
      <c r="S31" s="4">
        <v>0</v>
      </c>
    </row>
    <row r="32" spans="1:19" x14ac:dyDescent="0.25">
      <c r="A32" s="6" t="s">
        <v>283</v>
      </c>
      <c r="B32" s="7" t="s">
        <v>375</v>
      </c>
      <c r="C32" s="6" t="s">
        <v>138</v>
      </c>
      <c r="D32" s="6" t="s">
        <v>105</v>
      </c>
      <c r="E32" s="4">
        <v>0</v>
      </c>
      <c r="F32" s="4">
        <v>1</v>
      </c>
      <c r="G32" s="4">
        <v>1</v>
      </c>
      <c r="H32" s="4">
        <v>0</v>
      </c>
      <c r="I32" s="4">
        <v>0</v>
      </c>
      <c r="J32" s="4">
        <v>0</v>
      </c>
      <c r="K32" s="4">
        <v>1</v>
      </c>
      <c r="L32" s="4">
        <v>0</v>
      </c>
      <c r="M32" s="4">
        <v>0</v>
      </c>
      <c r="N32" s="4">
        <v>0</v>
      </c>
      <c r="O32" s="4">
        <v>0</v>
      </c>
      <c r="P32" s="4">
        <v>0</v>
      </c>
      <c r="Q32" s="4">
        <v>0</v>
      </c>
      <c r="R32" s="4">
        <v>0</v>
      </c>
      <c r="S32" s="4">
        <v>0</v>
      </c>
    </row>
    <row r="33" spans="1:19" x14ac:dyDescent="0.25">
      <c r="A33" s="6" t="s">
        <v>284</v>
      </c>
      <c r="B33" s="7" t="s">
        <v>376</v>
      </c>
      <c r="C33" s="6" t="s">
        <v>138</v>
      </c>
      <c r="D33" s="6" t="s">
        <v>105</v>
      </c>
      <c r="E33" s="4">
        <v>0</v>
      </c>
      <c r="F33" s="4">
        <v>0</v>
      </c>
      <c r="G33" s="4">
        <v>0</v>
      </c>
      <c r="H33" s="4">
        <v>0</v>
      </c>
      <c r="I33" s="4">
        <v>0</v>
      </c>
      <c r="J33" s="4">
        <v>0</v>
      </c>
      <c r="K33" s="4">
        <v>0</v>
      </c>
      <c r="L33" s="4">
        <v>0</v>
      </c>
      <c r="M33" s="4">
        <v>0</v>
      </c>
      <c r="N33" s="4">
        <v>1</v>
      </c>
      <c r="O33" s="4">
        <v>0</v>
      </c>
      <c r="P33" s="4">
        <v>0</v>
      </c>
      <c r="Q33" s="4">
        <v>1</v>
      </c>
      <c r="R33" s="4">
        <v>0</v>
      </c>
      <c r="S33" s="4">
        <v>0</v>
      </c>
    </row>
    <row r="34" spans="1:19" x14ac:dyDescent="0.25">
      <c r="A34" s="6" t="s">
        <v>285</v>
      </c>
      <c r="B34" s="7" t="s">
        <v>377</v>
      </c>
      <c r="C34" s="6" t="s">
        <v>138</v>
      </c>
      <c r="D34" s="6" t="s">
        <v>116</v>
      </c>
      <c r="E34" s="4">
        <v>0</v>
      </c>
      <c r="F34" s="4">
        <v>1</v>
      </c>
      <c r="G34" s="4">
        <v>0</v>
      </c>
      <c r="H34" s="4">
        <v>0</v>
      </c>
      <c r="I34" s="4">
        <v>0</v>
      </c>
      <c r="J34" s="4">
        <v>0</v>
      </c>
      <c r="K34" s="4">
        <v>1</v>
      </c>
      <c r="L34" s="4">
        <v>0</v>
      </c>
      <c r="M34" s="4">
        <v>0</v>
      </c>
      <c r="N34" s="4">
        <v>0</v>
      </c>
      <c r="O34" s="4">
        <v>0</v>
      </c>
      <c r="P34" s="4">
        <v>0</v>
      </c>
      <c r="Q34" s="4">
        <v>0</v>
      </c>
      <c r="R34" s="4">
        <v>0</v>
      </c>
      <c r="S34" s="4">
        <v>0</v>
      </c>
    </row>
    <row r="35" spans="1:19" x14ac:dyDescent="0.25">
      <c r="A35" s="6" t="s">
        <v>286</v>
      </c>
      <c r="B35" s="7" t="s">
        <v>378</v>
      </c>
      <c r="C35" s="6" t="s">
        <v>138</v>
      </c>
      <c r="D35" s="6" t="s">
        <v>105</v>
      </c>
      <c r="E35" s="4">
        <v>0</v>
      </c>
      <c r="F35" s="4">
        <v>1</v>
      </c>
      <c r="G35" s="4">
        <v>0</v>
      </c>
      <c r="H35" s="4">
        <v>0</v>
      </c>
      <c r="I35" s="4">
        <v>0</v>
      </c>
      <c r="J35" s="4">
        <v>0</v>
      </c>
      <c r="K35" s="4">
        <v>0</v>
      </c>
      <c r="L35" s="4">
        <v>1</v>
      </c>
      <c r="M35" s="4">
        <v>0</v>
      </c>
      <c r="N35" s="4">
        <v>0</v>
      </c>
      <c r="O35" s="4">
        <v>0</v>
      </c>
      <c r="P35" s="4">
        <v>0</v>
      </c>
      <c r="Q35" s="4">
        <v>0</v>
      </c>
      <c r="R35" s="4">
        <v>0</v>
      </c>
      <c r="S35" s="4">
        <v>0</v>
      </c>
    </row>
    <row r="36" spans="1:19" x14ac:dyDescent="0.25">
      <c r="A36" s="6" t="s">
        <v>287</v>
      </c>
      <c r="B36" s="7" t="s">
        <v>379</v>
      </c>
      <c r="C36" s="6" t="s">
        <v>138</v>
      </c>
      <c r="D36" s="6" t="s">
        <v>105</v>
      </c>
      <c r="E36" s="4">
        <v>0</v>
      </c>
      <c r="F36" s="4">
        <v>1</v>
      </c>
      <c r="G36" s="4">
        <v>0</v>
      </c>
      <c r="H36" s="4">
        <v>0</v>
      </c>
      <c r="I36" s="4">
        <v>0</v>
      </c>
      <c r="J36" s="4">
        <v>0</v>
      </c>
      <c r="K36" s="4">
        <v>0</v>
      </c>
      <c r="L36" s="4">
        <v>0</v>
      </c>
      <c r="M36" s="4">
        <v>0</v>
      </c>
      <c r="N36" s="4">
        <v>0</v>
      </c>
      <c r="O36" s="4">
        <v>0</v>
      </c>
      <c r="P36" s="4">
        <v>0</v>
      </c>
      <c r="Q36" s="4">
        <v>0</v>
      </c>
      <c r="R36" s="4">
        <v>0</v>
      </c>
      <c r="S36" s="4">
        <v>0</v>
      </c>
    </row>
    <row r="37" spans="1:19" x14ac:dyDescent="0.25">
      <c r="A37" s="6" t="s">
        <v>288</v>
      </c>
      <c r="B37" s="7" t="s">
        <v>380</v>
      </c>
      <c r="C37" s="6" t="s">
        <v>138</v>
      </c>
      <c r="D37" s="6" t="s">
        <v>105</v>
      </c>
      <c r="E37" s="4">
        <v>0</v>
      </c>
      <c r="F37" s="4">
        <v>1</v>
      </c>
      <c r="G37" s="4">
        <v>0</v>
      </c>
      <c r="H37" s="4">
        <v>0</v>
      </c>
      <c r="I37" s="4">
        <v>0</v>
      </c>
      <c r="J37" s="4">
        <v>0</v>
      </c>
      <c r="K37" s="4">
        <v>0</v>
      </c>
      <c r="L37" s="4">
        <v>0</v>
      </c>
      <c r="M37" s="4">
        <v>1</v>
      </c>
      <c r="N37" s="4">
        <v>0</v>
      </c>
      <c r="O37" s="4">
        <v>0</v>
      </c>
      <c r="P37" s="4">
        <v>0</v>
      </c>
      <c r="Q37" s="4">
        <v>0</v>
      </c>
      <c r="R37" s="4">
        <v>0</v>
      </c>
      <c r="S37" s="4">
        <v>0</v>
      </c>
    </row>
    <row r="38" spans="1:19" x14ac:dyDescent="0.25">
      <c r="A38" s="6" t="s">
        <v>289</v>
      </c>
      <c r="B38" s="7" t="s">
        <v>381</v>
      </c>
      <c r="C38" s="6" t="s">
        <v>138</v>
      </c>
      <c r="D38" s="6" t="s">
        <v>114</v>
      </c>
      <c r="E38" s="4">
        <v>1</v>
      </c>
      <c r="F38" s="4">
        <v>0</v>
      </c>
      <c r="G38" s="4">
        <v>0</v>
      </c>
      <c r="H38" s="4">
        <v>0</v>
      </c>
      <c r="I38" s="4">
        <v>0</v>
      </c>
      <c r="J38" s="4">
        <v>0</v>
      </c>
      <c r="K38" s="4">
        <v>0</v>
      </c>
      <c r="L38" s="4">
        <v>0</v>
      </c>
      <c r="M38" s="4">
        <v>0</v>
      </c>
      <c r="N38" s="4">
        <v>0</v>
      </c>
      <c r="O38" s="4">
        <v>0</v>
      </c>
      <c r="P38" s="4">
        <v>0</v>
      </c>
      <c r="Q38" s="4">
        <v>0</v>
      </c>
      <c r="R38" s="4">
        <v>0</v>
      </c>
      <c r="S38" s="4">
        <v>0</v>
      </c>
    </row>
    <row r="39" spans="1:19" x14ac:dyDescent="0.25">
      <c r="A39" s="6" t="s">
        <v>290</v>
      </c>
      <c r="B39" s="7" t="s">
        <v>382</v>
      </c>
      <c r="C39" s="6" t="s">
        <v>138</v>
      </c>
      <c r="D39" s="6" t="s">
        <v>114</v>
      </c>
      <c r="E39" s="4">
        <v>0</v>
      </c>
      <c r="F39" s="4">
        <v>1</v>
      </c>
      <c r="G39" s="4">
        <v>0</v>
      </c>
      <c r="H39" s="4">
        <v>0</v>
      </c>
      <c r="I39" s="4">
        <v>0</v>
      </c>
      <c r="J39" s="4">
        <v>0</v>
      </c>
      <c r="K39" s="4">
        <v>0</v>
      </c>
      <c r="L39" s="4">
        <v>1</v>
      </c>
      <c r="M39" s="4">
        <v>0</v>
      </c>
      <c r="N39" s="4">
        <v>0</v>
      </c>
      <c r="O39" s="4">
        <v>0</v>
      </c>
      <c r="P39" s="4">
        <v>0</v>
      </c>
      <c r="Q39" s="4">
        <v>0</v>
      </c>
      <c r="R39" s="4">
        <v>0</v>
      </c>
      <c r="S39" s="4">
        <v>0</v>
      </c>
    </row>
    <row r="40" spans="1:19" x14ac:dyDescent="0.25">
      <c r="A40" s="6" t="s">
        <v>291</v>
      </c>
      <c r="B40" s="7" t="s">
        <v>383</v>
      </c>
      <c r="C40" s="6" t="s">
        <v>138</v>
      </c>
      <c r="D40" s="6" t="s">
        <v>105</v>
      </c>
      <c r="E40" s="4">
        <v>0</v>
      </c>
      <c r="F40" s="4">
        <v>1</v>
      </c>
      <c r="G40" s="4">
        <v>1</v>
      </c>
      <c r="H40" s="4">
        <v>0</v>
      </c>
      <c r="I40" s="4">
        <v>0</v>
      </c>
      <c r="J40" s="4">
        <v>0</v>
      </c>
      <c r="K40" s="4">
        <v>0</v>
      </c>
      <c r="L40" s="4">
        <v>0</v>
      </c>
      <c r="M40" s="4">
        <v>0</v>
      </c>
      <c r="N40" s="4">
        <v>0</v>
      </c>
      <c r="O40" s="4">
        <v>0</v>
      </c>
      <c r="P40" s="4">
        <v>0</v>
      </c>
      <c r="Q40" s="4">
        <v>0</v>
      </c>
      <c r="R40" s="4">
        <v>0</v>
      </c>
      <c r="S40" s="4">
        <v>0</v>
      </c>
    </row>
    <row r="41" spans="1:19" x14ac:dyDescent="0.25">
      <c r="A41" s="6" t="s">
        <v>292</v>
      </c>
      <c r="B41" s="7" t="s">
        <v>384</v>
      </c>
      <c r="C41" s="6" t="s">
        <v>138</v>
      </c>
      <c r="D41" s="6" t="s">
        <v>105</v>
      </c>
      <c r="E41" s="4">
        <v>0</v>
      </c>
      <c r="F41" s="4">
        <v>1</v>
      </c>
      <c r="G41" s="4">
        <v>0</v>
      </c>
      <c r="H41" s="4">
        <v>0</v>
      </c>
      <c r="I41" s="4">
        <v>0</v>
      </c>
      <c r="J41" s="4">
        <v>0</v>
      </c>
      <c r="K41" s="4">
        <v>0</v>
      </c>
      <c r="L41" s="4">
        <v>0</v>
      </c>
      <c r="M41" s="4">
        <v>0</v>
      </c>
      <c r="N41" s="4">
        <v>0</v>
      </c>
      <c r="O41" s="4">
        <v>0</v>
      </c>
      <c r="P41" s="4">
        <v>0</v>
      </c>
      <c r="Q41" s="4">
        <v>0</v>
      </c>
      <c r="R41" s="4">
        <v>0</v>
      </c>
      <c r="S41" s="4">
        <v>0</v>
      </c>
    </row>
    <row r="42" spans="1:19" x14ac:dyDescent="0.25">
      <c r="A42" s="6" t="s">
        <v>293</v>
      </c>
      <c r="B42" s="7" t="s">
        <v>385</v>
      </c>
      <c r="C42" s="6" t="s">
        <v>138</v>
      </c>
      <c r="D42" s="6" t="s">
        <v>116</v>
      </c>
      <c r="E42" s="4">
        <v>0</v>
      </c>
      <c r="F42" s="4">
        <v>1</v>
      </c>
      <c r="G42" s="4">
        <v>0</v>
      </c>
      <c r="H42" s="4">
        <v>0</v>
      </c>
      <c r="I42" s="4">
        <v>1</v>
      </c>
      <c r="J42" s="4">
        <v>1</v>
      </c>
      <c r="K42" s="4">
        <v>0</v>
      </c>
      <c r="L42" s="4">
        <v>0</v>
      </c>
      <c r="M42" s="4">
        <v>0</v>
      </c>
      <c r="N42" s="4">
        <v>0</v>
      </c>
      <c r="O42" s="4">
        <v>0</v>
      </c>
      <c r="P42" s="4">
        <v>0</v>
      </c>
      <c r="Q42" s="4">
        <v>0</v>
      </c>
      <c r="R42" s="4">
        <v>0</v>
      </c>
      <c r="S42" s="4">
        <v>0</v>
      </c>
    </row>
    <row r="43" spans="1:19" x14ac:dyDescent="0.25">
      <c r="A43" s="6" t="s">
        <v>294</v>
      </c>
      <c r="B43" s="7" t="s">
        <v>386</v>
      </c>
      <c r="C43" s="6" t="s">
        <v>138</v>
      </c>
      <c r="D43" s="6" t="s">
        <v>105</v>
      </c>
      <c r="E43" s="4">
        <v>0</v>
      </c>
      <c r="F43" s="4">
        <v>1</v>
      </c>
      <c r="G43" s="4">
        <v>0</v>
      </c>
      <c r="H43" s="4">
        <v>0</v>
      </c>
      <c r="I43" s="4">
        <v>1</v>
      </c>
      <c r="J43" s="4">
        <v>0</v>
      </c>
      <c r="K43" s="4">
        <v>0</v>
      </c>
      <c r="L43" s="4">
        <v>0</v>
      </c>
      <c r="M43" s="4">
        <v>0</v>
      </c>
      <c r="N43" s="4">
        <v>0</v>
      </c>
      <c r="O43" s="4">
        <v>0</v>
      </c>
      <c r="P43" s="4">
        <v>0</v>
      </c>
      <c r="Q43" s="4">
        <v>0</v>
      </c>
      <c r="R43" s="4">
        <v>0</v>
      </c>
      <c r="S43" s="4">
        <v>0</v>
      </c>
    </row>
    <row r="44" spans="1:19" x14ac:dyDescent="0.25">
      <c r="A44" s="6" t="s">
        <v>295</v>
      </c>
      <c r="B44" s="7" t="s">
        <v>387</v>
      </c>
      <c r="C44" s="6" t="s">
        <v>138</v>
      </c>
      <c r="D44" s="6" t="s">
        <v>118</v>
      </c>
      <c r="E44" s="4">
        <v>0</v>
      </c>
      <c r="F44" s="4">
        <v>1</v>
      </c>
      <c r="G44" s="4">
        <v>0</v>
      </c>
      <c r="H44" s="4">
        <v>1</v>
      </c>
      <c r="I44" s="4">
        <v>1</v>
      </c>
      <c r="J44" s="4">
        <v>0</v>
      </c>
      <c r="K44" s="4">
        <v>0</v>
      </c>
      <c r="L44" s="4">
        <v>0</v>
      </c>
      <c r="M44" s="4">
        <v>0</v>
      </c>
      <c r="N44" s="4">
        <v>0</v>
      </c>
      <c r="O44" s="4">
        <v>0</v>
      </c>
      <c r="P44" s="4">
        <v>0</v>
      </c>
      <c r="Q44" s="4">
        <v>0</v>
      </c>
      <c r="R44" s="4">
        <v>0</v>
      </c>
      <c r="S44" s="4">
        <v>0</v>
      </c>
    </row>
    <row r="45" spans="1:19" x14ac:dyDescent="0.25">
      <c r="A45" s="6" t="s">
        <v>296</v>
      </c>
      <c r="B45" s="7" t="s">
        <v>388</v>
      </c>
      <c r="C45" s="6" t="s">
        <v>138</v>
      </c>
      <c r="D45" s="6" t="s">
        <v>105</v>
      </c>
      <c r="E45" s="4">
        <v>0</v>
      </c>
      <c r="F45" s="4">
        <v>1</v>
      </c>
      <c r="G45" s="4">
        <v>1</v>
      </c>
      <c r="H45" s="4">
        <v>0</v>
      </c>
      <c r="I45" s="4">
        <v>0</v>
      </c>
      <c r="J45" s="4">
        <v>0</v>
      </c>
      <c r="K45" s="4">
        <v>0</v>
      </c>
      <c r="L45" s="4">
        <v>0</v>
      </c>
      <c r="M45" s="4">
        <v>0</v>
      </c>
      <c r="N45" s="4">
        <v>0</v>
      </c>
      <c r="O45" s="4">
        <v>0</v>
      </c>
      <c r="P45" s="4">
        <v>0</v>
      </c>
      <c r="Q45" s="4">
        <v>0</v>
      </c>
      <c r="R45" s="4">
        <v>0</v>
      </c>
      <c r="S45" s="4">
        <v>0</v>
      </c>
    </row>
    <row r="46" spans="1:19" x14ac:dyDescent="0.25">
      <c r="A46" s="6" t="s">
        <v>297</v>
      </c>
      <c r="B46" s="7" t="s">
        <v>389</v>
      </c>
      <c r="C46" s="6" t="s">
        <v>138</v>
      </c>
      <c r="D46" s="6" t="s">
        <v>105</v>
      </c>
      <c r="E46" s="4">
        <v>1</v>
      </c>
      <c r="F46" s="4">
        <v>0</v>
      </c>
      <c r="G46" s="4">
        <v>0</v>
      </c>
      <c r="H46" s="4">
        <v>0</v>
      </c>
      <c r="I46" s="4">
        <v>0</v>
      </c>
      <c r="J46" s="4">
        <v>0</v>
      </c>
      <c r="K46" s="4">
        <v>0</v>
      </c>
      <c r="L46" s="4">
        <v>0</v>
      </c>
      <c r="M46" s="4">
        <v>0</v>
      </c>
      <c r="N46" s="4">
        <v>0</v>
      </c>
      <c r="O46" s="4">
        <v>0</v>
      </c>
      <c r="P46" s="4">
        <v>0</v>
      </c>
      <c r="Q46" s="4">
        <v>0</v>
      </c>
      <c r="R46" s="4">
        <v>0</v>
      </c>
      <c r="S46" s="4">
        <v>0</v>
      </c>
    </row>
    <row r="47" spans="1:19" x14ac:dyDescent="0.25">
      <c r="A47" s="6" t="s">
        <v>298</v>
      </c>
      <c r="B47" s="7" t="s">
        <v>390</v>
      </c>
      <c r="C47" s="6" t="s">
        <v>164</v>
      </c>
      <c r="D47" s="6" t="s">
        <v>118</v>
      </c>
      <c r="E47" s="4">
        <v>0</v>
      </c>
      <c r="F47" s="4">
        <v>1</v>
      </c>
      <c r="G47" s="4">
        <v>0</v>
      </c>
      <c r="H47" s="4">
        <v>0</v>
      </c>
      <c r="I47" s="4">
        <v>0</v>
      </c>
      <c r="J47" s="4">
        <v>0</v>
      </c>
      <c r="K47" s="4">
        <v>0</v>
      </c>
      <c r="L47" s="4">
        <v>1</v>
      </c>
      <c r="M47" s="4">
        <v>0</v>
      </c>
      <c r="N47" s="4">
        <v>0</v>
      </c>
      <c r="O47" s="4">
        <v>0</v>
      </c>
      <c r="P47" s="4">
        <v>0</v>
      </c>
      <c r="Q47" s="4">
        <v>0</v>
      </c>
      <c r="R47" s="4">
        <v>0</v>
      </c>
      <c r="S47" s="4">
        <v>0</v>
      </c>
    </row>
    <row r="48" spans="1:19" x14ac:dyDescent="0.25">
      <c r="A48" s="6" t="s">
        <v>299</v>
      </c>
      <c r="B48" s="7" t="s">
        <v>391</v>
      </c>
      <c r="C48" s="6" t="s">
        <v>164</v>
      </c>
      <c r="D48" s="6" t="s">
        <v>123</v>
      </c>
      <c r="E48" s="4">
        <v>0</v>
      </c>
      <c r="F48" s="4">
        <v>1</v>
      </c>
      <c r="G48" s="4">
        <v>0</v>
      </c>
      <c r="H48" s="4">
        <v>1</v>
      </c>
      <c r="I48" s="4">
        <v>0</v>
      </c>
      <c r="J48" s="4">
        <v>1</v>
      </c>
      <c r="K48" s="4">
        <v>0</v>
      </c>
      <c r="L48" s="4">
        <v>1</v>
      </c>
      <c r="M48" s="4">
        <v>0</v>
      </c>
      <c r="N48" s="4">
        <v>0</v>
      </c>
      <c r="O48" s="4">
        <v>0</v>
      </c>
      <c r="P48" s="4">
        <v>0</v>
      </c>
      <c r="Q48" s="4">
        <v>0</v>
      </c>
      <c r="R48" s="4">
        <v>0</v>
      </c>
      <c r="S48" s="4">
        <v>0</v>
      </c>
    </row>
    <row r="49" spans="1:19" x14ac:dyDescent="0.25">
      <c r="A49" s="6" t="s">
        <v>300</v>
      </c>
      <c r="B49" s="7" t="s">
        <v>392</v>
      </c>
      <c r="C49" s="6" t="s">
        <v>164</v>
      </c>
      <c r="D49" s="6" t="s">
        <v>105</v>
      </c>
      <c r="E49" s="4">
        <v>1</v>
      </c>
      <c r="F49" s="4">
        <v>0</v>
      </c>
      <c r="G49" s="4">
        <v>0</v>
      </c>
      <c r="H49" s="4">
        <v>0</v>
      </c>
      <c r="I49" s="4">
        <v>0</v>
      </c>
      <c r="J49" s="4">
        <v>0</v>
      </c>
      <c r="K49" s="4">
        <v>0</v>
      </c>
      <c r="L49" s="4">
        <v>0</v>
      </c>
      <c r="M49" s="4">
        <v>0</v>
      </c>
      <c r="N49" s="4">
        <v>0</v>
      </c>
      <c r="O49" s="4">
        <v>0</v>
      </c>
      <c r="P49" s="4">
        <v>0</v>
      </c>
      <c r="Q49" s="4">
        <v>0</v>
      </c>
      <c r="R49" s="4">
        <v>0</v>
      </c>
      <c r="S49" s="4">
        <v>0</v>
      </c>
    </row>
    <row r="50" spans="1:19" x14ac:dyDescent="0.25">
      <c r="A50" s="6" t="s">
        <v>301</v>
      </c>
      <c r="B50" s="7" t="s">
        <v>393</v>
      </c>
      <c r="C50" s="6" t="s">
        <v>164</v>
      </c>
      <c r="D50" s="6" t="s">
        <v>116</v>
      </c>
      <c r="E50" s="4">
        <v>1</v>
      </c>
      <c r="F50" s="4">
        <v>0</v>
      </c>
      <c r="G50" s="4">
        <v>0</v>
      </c>
      <c r="H50" s="4">
        <v>0</v>
      </c>
      <c r="I50" s="4">
        <v>0</v>
      </c>
      <c r="J50" s="4">
        <v>0</v>
      </c>
      <c r="K50" s="4">
        <v>0</v>
      </c>
      <c r="L50" s="4">
        <v>0</v>
      </c>
      <c r="M50" s="4">
        <v>0</v>
      </c>
      <c r="N50" s="4">
        <v>0</v>
      </c>
      <c r="O50" s="4">
        <v>0</v>
      </c>
      <c r="P50" s="4">
        <v>0</v>
      </c>
      <c r="Q50" s="4">
        <v>0</v>
      </c>
      <c r="R50" s="4">
        <v>0</v>
      </c>
      <c r="S50" s="4">
        <v>0</v>
      </c>
    </row>
    <row r="51" spans="1:19" x14ac:dyDescent="0.25">
      <c r="A51" s="6" t="s">
        <v>302</v>
      </c>
      <c r="B51" s="7" t="s">
        <v>394</v>
      </c>
      <c r="C51" s="6" t="s">
        <v>164</v>
      </c>
      <c r="D51" s="6" t="s">
        <v>123</v>
      </c>
      <c r="E51" s="4">
        <v>0</v>
      </c>
      <c r="F51" s="4">
        <v>1</v>
      </c>
      <c r="G51" s="4">
        <v>0</v>
      </c>
      <c r="H51" s="4">
        <v>1</v>
      </c>
      <c r="I51" s="4">
        <v>0</v>
      </c>
      <c r="J51" s="4">
        <v>0</v>
      </c>
      <c r="K51" s="4">
        <v>0</v>
      </c>
      <c r="L51" s="4">
        <v>0</v>
      </c>
      <c r="M51" s="4">
        <v>0</v>
      </c>
      <c r="N51" s="4">
        <v>0</v>
      </c>
      <c r="O51" s="4">
        <v>0</v>
      </c>
      <c r="P51" s="4">
        <v>0</v>
      </c>
      <c r="Q51" s="4">
        <v>0</v>
      </c>
      <c r="R51" s="4">
        <v>0</v>
      </c>
      <c r="S51" s="4">
        <v>0</v>
      </c>
    </row>
    <row r="52" spans="1:19" x14ac:dyDescent="0.25">
      <c r="A52" s="6" t="s">
        <v>303</v>
      </c>
      <c r="B52" s="7" t="s">
        <v>395</v>
      </c>
      <c r="C52" s="6" t="s">
        <v>164</v>
      </c>
      <c r="D52" s="6" t="s">
        <v>114</v>
      </c>
      <c r="E52" s="4">
        <v>0</v>
      </c>
      <c r="F52" s="4">
        <v>1</v>
      </c>
      <c r="G52" s="4">
        <v>1</v>
      </c>
      <c r="H52" s="4">
        <v>0</v>
      </c>
      <c r="I52" s="4">
        <v>0</v>
      </c>
      <c r="J52" s="4">
        <v>0</v>
      </c>
      <c r="K52" s="4">
        <v>0</v>
      </c>
      <c r="L52" s="4">
        <v>0</v>
      </c>
      <c r="M52" s="4">
        <v>1</v>
      </c>
      <c r="N52" s="4">
        <v>0</v>
      </c>
      <c r="O52" s="4">
        <v>0</v>
      </c>
      <c r="P52" s="4">
        <v>0</v>
      </c>
      <c r="Q52" s="4">
        <v>0</v>
      </c>
      <c r="R52" s="4">
        <v>0</v>
      </c>
      <c r="S52" s="4">
        <v>0</v>
      </c>
    </row>
    <row r="53" spans="1:19" x14ac:dyDescent="0.25">
      <c r="A53" s="6" t="s">
        <v>304</v>
      </c>
      <c r="B53" s="7" t="s">
        <v>396</v>
      </c>
      <c r="C53" s="6" t="s">
        <v>164</v>
      </c>
      <c r="D53" s="6" t="s">
        <v>114</v>
      </c>
      <c r="E53" s="4">
        <v>0</v>
      </c>
      <c r="F53" s="4">
        <v>1</v>
      </c>
      <c r="G53" s="4">
        <v>0</v>
      </c>
      <c r="H53" s="4">
        <v>0</v>
      </c>
      <c r="I53" s="4">
        <v>0</v>
      </c>
      <c r="J53" s="4">
        <v>0</v>
      </c>
      <c r="K53" s="4">
        <v>0</v>
      </c>
      <c r="L53" s="4">
        <v>0</v>
      </c>
      <c r="M53" s="4">
        <v>0</v>
      </c>
      <c r="N53" s="4">
        <v>0</v>
      </c>
      <c r="O53" s="4">
        <v>0</v>
      </c>
      <c r="P53" s="4">
        <v>0</v>
      </c>
      <c r="Q53" s="4">
        <v>0</v>
      </c>
      <c r="R53" s="4">
        <v>0</v>
      </c>
      <c r="S53" s="4">
        <v>0</v>
      </c>
    </row>
    <row r="54" spans="1:19" x14ac:dyDescent="0.25">
      <c r="A54" s="6" t="s">
        <v>305</v>
      </c>
      <c r="B54" s="7" t="s">
        <v>397</v>
      </c>
      <c r="C54" s="6" t="s">
        <v>164</v>
      </c>
      <c r="D54" s="6" t="s">
        <v>114</v>
      </c>
      <c r="E54" s="4">
        <v>0</v>
      </c>
      <c r="F54" s="4">
        <v>1</v>
      </c>
      <c r="G54" s="4">
        <v>0</v>
      </c>
      <c r="H54" s="4">
        <v>0</v>
      </c>
      <c r="I54" s="4">
        <v>0</v>
      </c>
      <c r="J54" s="4">
        <v>0</v>
      </c>
      <c r="K54" s="4">
        <v>0</v>
      </c>
      <c r="L54" s="4">
        <v>0</v>
      </c>
      <c r="M54" s="4">
        <v>0</v>
      </c>
      <c r="N54" s="4">
        <v>0</v>
      </c>
      <c r="O54" s="4">
        <v>0</v>
      </c>
      <c r="P54" s="4">
        <v>0</v>
      </c>
      <c r="Q54" s="4">
        <v>0</v>
      </c>
      <c r="R54" s="4">
        <v>0</v>
      </c>
      <c r="S54" s="4">
        <v>0</v>
      </c>
    </row>
    <row r="55" spans="1:19" x14ac:dyDescent="0.25">
      <c r="A55" s="6" t="s">
        <v>306</v>
      </c>
      <c r="B55" s="7" t="s">
        <v>398</v>
      </c>
      <c r="C55" s="6" t="s">
        <v>164</v>
      </c>
      <c r="D55" s="6" t="s">
        <v>116</v>
      </c>
      <c r="E55" s="4">
        <v>0</v>
      </c>
      <c r="F55" s="4">
        <v>1</v>
      </c>
      <c r="G55" s="4">
        <v>1</v>
      </c>
      <c r="H55" s="4">
        <v>0</v>
      </c>
      <c r="I55" s="4">
        <v>0</v>
      </c>
      <c r="J55" s="4">
        <v>0</v>
      </c>
      <c r="K55" s="4">
        <v>0</v>
      </c>
      <c r="L55" s="4">
        <v>0</v>
      </c>
      <c r="M55" s="4">
        <v>0</v>
      </c>
      <c r="N55" s="4">
        <v>0</v>
      </c>
      <c r="O55" s="4">
        <v>0</v>
      </c>
      <c r="P55" s="4">
        <v>0</v>
      </c>
      <c r="Q55" s="4">
        <v>0</v>
      </c>
      <c r="R55" s="4">
        <v>0</v>
      </c>
      <c r="S55" s="4">
        <v>0</v>
      </c>
    </row>
    <row r="56" spans="1:19" x14ac:dyDescent="0.25">
      <c r="A56" s="6" t="s">
        <v>307</v>
      </c>
      <c r="B56" s="7" t="s">
        <v>399</v>
      </c>
      <c r="C56" s="6" t="s">
        <v>164</v>
      </c>
      <c r="D56" s="6" t="s">
        <v>114</v>
      </c>
      <c r="E56" s="4">
        <v>0</v>
      </c>
      <c r="F56" s="4">
        <v>1</v>
      </c>
      <c r="G56" s="4">
        <v>0</v>
      </c>
      <c r="H56" s="4">
        <v>0</v>
      </c>
      <c r="I56" s="4">
        <v>0</v>
      </c>
      <c r="J56" s="4">
        <v>0</v>
      </c>
      <c r="K56" s="4">
        <v>0</v>
      </c>
      <c r="L56" s="4">
        <v>0</v>
      </c>
      <c r="M56" s="4">
        <v>0</v>
      </c>
      <c r="N56" s="4">
        <v>0</v>
      </c>
      <c r="O56" s="4">
        <v>0</v>
      </c>
      <c r="P56" s="4">
        <v>0</v>
      </c>
      <c r="Q56" s="4">
        <v>0</v>
      </c>
      <c r="R56" s="4">
        <v>0</v>
      </c>
      <c r="S56" s="4">
        <v>0</v>
      </c>
    </row>
    <row r="57" spans="1:19" ht="26.4" x14ac:dyDescent="0.25">
      <c r="A57" s="6" t="s">
        <v>308</v>
      </c>
      <c r="B57" s="7" t="s">
        <v>400</v>
      </c>
      <c r="C57" s="6" t="s">
        <v>175</v>
      </c>
      <c r="D57" s="6" t="s">
        <v>116</v>
      </c>
      <c r="E57" s="4">
        <v>0</v>
      </c>
      <c r="F57" s="4">
        <v>1</v>
      </c>
      <c r="G57" s="4">
        <v>0</v>
      </c>
      <c r="H57" s="4">
        <v>1</v>
      </c>
      <c r="I57" s="4">
        <v>0</v>
      </c>
      <c r="J57" s="4">
        <v>0</v>
      </c>
      <c r="K57" s="4">
        <v>0</v>
      </c>
      <c r="L57" s="4">
        <v>0</v>
      </c>
      <c r="M57" s="4">
        <v>0</v>
      </c>
      <c r="N57" s="4">
        <v>0</v>
      </c>
      <c r="O57" s="4">
        <v>0</v>
      </c>
      <c r="P57" s="4">
        <v>0</v>
      </c>
      <c r="Q57" s="4">
        <v>0</v>
      </c>
      <c r="R57" s="4">
        <v>0</v>
      </c>
      <c r="S57" s="4">
        <v>0</v>
      </c>
    </row>
    <row r="58" spans="1:19" ht="26.4" x14ac:dyDescent="0.25">
      <c r="A58" s="6" t="s">
        <v>309</v>
      </c>
      <c r="B58" s="7" t="s">
        <v>401</v>
      </c>
      <c r="C58" s="6" t="s">
        <v>175</v>
      </c>
      <c r="D58" s="6" t="s">
        <v>123</v>
      </c>
      <c r="E58" s="4">
        <v>0</v>
      </c>
      <c r="F58" s="4">
        <v>0</v>
      </c>
      <c r="G58" s="4">
        <v>0</v>
      </c>
      <c r="H58" s="4">
        <v>0</v>
      </c>
      <c r="I58" s="4">
        <v>0</v>
      </c>
      <c r="J58" s="4">
        <v>0</v>
      </c>
      <c r="K58" s="4">
        <v>0</v>
      </c>
      <c r="L58" s="4">
        <v>0</v>
      </c>
      <c r="M58" s="4">
        <v>0</v>
      </c>
      <c r="N58" s="4">
        <v>1</v>
      </c>
      <c r="O58" s="4">
        <v>0</v>
      </c>
      <c r="P58" s="4">
        <v>0</v>
      </c>
      <c r="Q58" s="4">
        <v>0</v>
      </c>
      <c r="R58" s="4">
        <v>1</v>
      </c>
      <c r="S58" s="4">
        <v>0</v>
      </c>
    </row>
    <row r="59" spans="1:19" ht="26.4" x14ac:dyDescent="0.25">
      <c r="A59" s="6" t="s">
        <v>310</v>
      </c>
      <c r="B59" s="7" t="s">
        <v>402</v>
      </c>
      <c r="C59" s="6" t="s">
        <v>175</v>
      </c>
      <c r="D59" s="6" t="s">
        <v>116</v>
      </c>
      <c r="E59" s="4">
        <v>0</v>
      </c>
      <c r="F59" s="4">
        <v>1</v>
      </c>
      <c r="G59" s="4">
        <v>0</v>
      </c>
      <c r="H59" s="4">
        <v>0</v>
      </c>
      <c r="I59" s="4">
        <v>0</v>
      </c>
      <c r="J59" s="4">
        <v>0</v>
      </c>
      <c r="K59" s="4">
        <v>0</v>
      </c>
      <c r="L59" s="4">
        <v>0</v>
      </c>
      <c r="M59" s="4">
        <v>0</v>
      </c>
      <c r="N59" s="4">
        <v>0</v>
      </c>
      <c r="O59" s="4">
        <v>0</v>
      </c>
      <c r="P59" s="4">
        <v>0</v>
      </c>
      <c r="Q59" s="4">
        <v>0</v>
      </c>
      <c r="R59" s="4">
        <v>0</v>
      </c>
      <c r="S59" s="4">
        <v>0</v>
      </c>
    </row>
    <row r="60" spans="1:19" ht="26.4" x14ac:dyDescent="0.25">
      <c r="A60" s="6" t="s">
        <v>311</v>
      </c>
      <c r="B60" s="7" t="s">
        <v>403</v>
      </c>
      <c r="C60" s="6" t="s">
        <v>175</v>
      </c>
      <c r="D60" s="6" t="s">
        <v>118</v>
      </c>
      <c r="E60" s="4">
        <v>0</v>
      </c>
      <c r="F60" s="4">
        <v>1</v>
      </c>
      <c r="G60" s="4">
        <v>1</v>
      </c>
      <c r="H60" s="4">
        <v>0</v>
      </c>
      <c r="I60" s="4">
        <v>0</v>
      </c>
      <c r="J60" s="4">
        <v>0</v>
      </c>
      <c r="K60" s="4">
        <v>0</v>
      </c>
      <c r="L60" s="4">
        <v>0</v>
      </c>
      <c r="M60" s="4">
        <v>1</v>
      </c>
      <c r="N60" s="4">
        <v>0</v>
      </c>
      <c r="O60" s="4">
        <v>0</v>
      </c>
      <c r="P60" s="4">
        <v>0</v>
      </c>
      <c r="Q60" s="4">
        <v>0</v>
      </c>
      <c r="R60" s="4">
        <v>0</v>
      </c>
      <c r="S60" s="4">
        <v>0</v>
      </c>
    </row>
    <row r="61" spans="1:19" ht="26.4" x14ac:dyDescent="0.25">
      <c r="A61" s="6" t="s">
        <v>312</v>
      </c>
      <c r="B61" s="7" t="s">
        <v>404</v>
      </c>
      <c r="C61" s="6" t="s">
        <v>175</v>
      </c>
      <c r="D61" s="6" t="s">
        <v>116</v>
      </c>
      <c r="E61" s="4">
        <v>1</v>
      </c>
      <c r="F61" s="4">
        <v>0</v>
      </c>
      <c r="G61" s="4">
        <v>0</v>
      </c>
      <c r="H61" s="4">
        <v>0</v>
      </c>
      <c r="I61" s="4">
        <v>0</v>
      </c>
      <c r="J61" s="4">
        <v>0</v>
      </c>
      <c r="K61" s="4">
        <v>0</v>
      </c>
      <c r="L61" s="4">
        <v>0</v>
      </c>
      <c r="M61" s="4">
        <v>0</v>
      </c>
      <c r="N61" s="4">
        <v>0</v>
      </c>
      <c r="O61" s="4">
        <v>0</v>
      </c>
      <c r="P61" s="4">
        <v>0</v>
      </c>
      <c r="Q61" s="4">
        <v>0</v>
      </c>
      <c r="R61" s="4">
        <v>0</v>
      </c>
      <c r="S61" s="4">
        <v>0</v>
      </c>
    </row>
    <row r="62" spans="1:19" ht="26.4" x14ac:dyDescent="0.25">
      <c r="A62" s="6" t="s">
        <v>313</v>
      </c>
      <c r="B62" s="7" t="s">
        <v>405</v>
      </c>
      <c r="C62" s="6" t="s">
        <v>175</v>
      </c>
      <c r="D62" s="6" t="s">
        <v>114</v>
      </c>
      <c r="E62" s="4">
        <v>0</v>
      </c>
      <c r="F62" s="4">
        <v>1</v>
      </c>
      <c r="G62" s="4">
        <v>0</v>
      </c>
      <c r="H62" s="4">
        <v>0</v>
      </c>
      <c r="I62" s="4">
        <v>0</v>
      </c>
      <c r="J62" s="4">
        <v>0</v>
      </c>
      <c r="K62" s="4">
        <v>0</v>
      </c>
      <c r="L62" s="4">
        <v>0</v>
      </c>
      <c r="M62" s="4">
        <v>1</v>
      </c>
      <c r="N62" s="4">
        <v>0</v>
      </c>
      <c r="O62" s="4">
        <v>0</v>
      </c>
      <c r="P62" s="4">
        <v>0</v>
      </c>
      <c r="Q62" s="4">
        <v>0</v>
      </c>
      <c r="R62" s="4">
        <v>0</v>
      </c>
      <c r="S62" s="4">
        <v>0</v>
      </c>
    </row>
    <row r="63" spans="1:19" ht="26.4" x14ac:dyDescent="0.25">
      <c r="A63" s="6" t="s">
        <v>314</v>
      </c>
      <c r="B63" s="7" t="s">
        <v>406</v>
      </c>
      <c r="C63" s="6" t="s">
        <v>175</v>
      </c>
      <c r="D63" s="6" t="s">
        <v>114</v>
      </c>
      <c r="E63" s="4">
        <v>0</v>
      </c>
      <c r="F63" s="4">
        <v>1</v>
      </c>
      <c r="G63" s="4">
        <v>0</v>
      </c>
      <c r="H63" s="4">
        <v>0</v>
      </c>
      <c r="I63" s="4">
        <v>0</v>
      </c>
      <c r="J63" s="4">
        <v>0</v>
      </c>
      <c r="K63" s="4">
        <v>1</v>
      </c>
      <c r="L63" s="4">
        <v>0</v>
      </c>
      <c r="M63" s="4">
        <v>0</v>
      </c>
      <c r="N63" s="4">
        <v>0</v>
      </c>
      <c r="O63" s="4">
        <v>0</v>
      </c>
      <c r="P63" s="4">
        <v>0</v>
      </c>
      <c r="Q63" s="4">
        <v>0</v>
      </c>
      <c r="R63" s="4">
        <v>0</v>
      </c>
      <c r="S63" s="4">
        <v>0</v>
      </c>
    </row>
    <row r="64" spans="1:19" ht="26.4" x14ac:dyDescent="0.25">
      <c r="A64" s="6" t="s">
        <v>315</v>
      </c>
      <c r="B64" s="7" t="s">
        <v>407</v>
      </c>
      <c r="C64" s="6" t="s">
        <v>175</v>
      </c>
      <c r="D64" s="6" t="s">
        <v>105</v>
      </c>
      <c r="E64" s="4">
        <v>0</v>
      </c>
      <c r="F64" s="4">
        <v>1</v>
      </c>
      <c r="G64" s="4">
        <v>0</v>
      </c>
      <c r="H64" s="4">
        <v>0</v>
      </c>
      <c r="I64" s="4">
        <v>0</v>
      </c>
      <c r="J64" s="4">
        <v>0</v>
      </c>
      <c r="K64" s="4">
        <v>0</v>
      </c>
      <c r="L64" s="4">
        <v>0</v>
      </c>
      <c r="M64" s="4">
        <v>0</v>
      </c>
      <c r="N64" s="4">
        <v>0</v>
      </c>
      <c r="O64" s="4">
        <v>0</v>
      </c>
      <c r="P64" s="4">
        <v>0</v>
      </c>
      <c r="Q64" s="4">
        <v>0</v>
      </c>
      <c r="R64" s="4">
        <v>0</v>
      </c>
      <c r="S64" s="4">
        <v>0</v>
      </c>
    </row>
    <row r="65" spans="1:19" ht="26.4" x14ac:dyDescent="0.25">
      <c r="A65" s="6" t="s">
        <v>316</v>
      </c>
      <c r="B65" s="7" t="s">
        <v>408</v>
      </c>
      <c r="C65" s="6" t="s">
        <v>175</v>
      </c>
      <c r="D65" s="6" t="s">
        <v>128</v>
      </c>
      <c r="E65" s="4">
        <v>0</v>
      </c>
      <c r="F65" s="4">
        <v>1</v>
      </c>
      <c r="G65" s="4">
        <v>0</v>
      </c>
      <c r="H65" s="4">
        <v>0</v>
      </c>
      <c r="I65" s="4">
        <v>0</v>
      </c>
      <c r="J65" s="4">
        <v>0</v>
      </c>
      <c r="K65" s="4">
        <v>1</v>
      </c>
      <c r="L65" s="4">
        <v>0</v>
      </c>
      <c r="M65" s="4">
        <v>0</v>
      </c>
      <c r="N65" s="4">
        <v>0</v>
      </c>
      <c r="O65" s="4">
        <v>0</v>
      </c>
      <c r="P65" s="4">
        <v>0</v>
      </c>
      <c r="Q65" s="4">
        <v>0</v>
      </c>
      <c r="R65" s="4">
        <v>0</v>
      </c>
      <c r="S65" s="4">
        <v>0</v>
      </c>
    </row>
    <row r="66" spans="1:19" ht="26.4" x14ac:dyDescent="0.25">
      <c r="A66" s="6" t="s">
        <v>317</v>
      </c>
      <c r="B66" s="7" t="s">
        <v>409</v>
      </c>
      <c r="C66" s="6" t="s">
        <v>175</v>
      </c>
      <c r="D66" s="6" t="s">
        <v>128</v>
      </c>
      <c r="E66" s="4">
        <v>0</v>
      </c>
      <c r="F66" s="4">
        <v>1</v>
      </c>
      <c r="G66" s="4">
        <v>0</v>
      </c>
      <c r="H66" s="4">
        <v>0</v>
      </c>
      <c r="I66" s="4">
        <v>0</v>
      </c>
      <c r="J66" s="4">
        <v>0</v>
      </c>
      <c r="K66" s="4">
        <v>1</v>
      </c>
      <c r="L66" s="4">
        <v>0</v>
      </c>
      <c r="M66" s="4">
        <v>0</v>
      </c>
      <c r="N66" s="4">
        <v>0</v>
      </c>
      <c r="O66" s="4">
        <v>0</v>
      </c>
      <c r="P66" s="4">
        <v>0</v>
      </c>
      <c r="Q66" s="4">
        <v>0</v>
      </c>
      <c r="R66" s="4">
        <v>0</v>
      </c>
      <c r="S66" s="4">
        <v>0</v>
      </c>
    </row>
    <row r="67" spans="1:19" ht="26.4" x14ac:dyDescent="0.25">
      <c r="A67" s="6" t="s">
        <v>318</v>
      </c>
      <c r="B67" s="7" t="s">
        <v>410</v>
      </c>
      <c r="C67" s="6" t="s">
        <v>175</v>
      </c>
      <c r="D67" s="6" t="s">
        <v>123</v>
      </c>
      <c r="E67" s="4">
        <v>0</v>
      </c>
      <c r="F67" s="4">
        <v>0</v>
      </c>
      <c r="G67" s="4">
        <v>0</v>
      </c>
      <c r="H67" s="4">
        <v>0</v>
      </c>
      <c r="I67" s="4">
        <v>0</v>
      </c>
      <c r="J67" s="4">
        <v>0</v>
      </c>
      <c r="K67" s="4">
        <v>0</v>
      </c>
      <c r="L67" s="4">
        <v>0</v>
      </c>
      <c r="M67" s="4">
        <v>0</v>
      </c>
      <c r="N67" s="4">
        <v>1</v>
      </c>
      <c r="O67" s="4">
        <v>0</v>
      </c>
      <c r="P67" s="4">
        <v>0</v>
      </c>
      <c r="Q67" s="4">
        <v>1</v>
      </c>
      <c r="R67" s="4">
        <v>0</v>
      </c>
      <c r="S67" s="4">
        <v>0</v>
      </c>
    </row>
    <row r="68" spans="1:19" ht="26.4" x14ac:dyDescent="0.25">
      <c r="A68" s="6" t="s">
        <v>319</v>
      </c>
      <c r="B68" s="7" t="s">
        <v>411</v>
      </c>
      <c r="C68" s="6" t="s">
        <v>175</v>
      </c>
      <c r="D68" s="6" t="s">
        <v>116</v>
      </c>
      <c r="E68" s="4">
        <v>0</v>
      </c>
      <c r="F68" s="4">
        <v>1</v>
      </c>
      <c r="G68" s="4">
        <v>0</v>
      </c>
      <c r="H68" s="4">
        <v>0</v>
      </c>
      <c r="I68" s="4">
        <v>0</v>
      </c>
      <c r="J68" s="4">
        <v>0</v>
      </c>
      <c r="K68" s="4">
        <v>0</v>
      </c>
      <c r="L68" s="4">
        <v>0</v>
      </c>
      <c r="M68" s="4">
        <v>1</v>
      </c>
      <c r="N68" s="4">
        <v>0</v>
      </c>
      <c r="O68" s="4">
        <v>0</v>
      </c>
      <c r="P68" s="4">
        <v>0</v>
      </c>
      <c r="Q68" s="4">
        <v>0</v>
      </c>
      <c r="R68" s="4">
        <v>0</v>
      </c>
      <c r="S68" s="4">
        <v>0</v>
      </c>
    </row>
    <row r="69" spans="1:19" ht="26.4" x14ac:dyDescent="0.25">
      <c r="A69" s="6" t="s">
        <v>320</v>
      </c>
      <c r="B69" s="7" t="s">
        <v>412</v>
      </c>
      <c r="C69" s="6" t="s">
        <v>175</v>
      </c>
      <c r="D69" s="6" t="s">
        <v>116</v>
      </c>
      <c r="E69" s="4">
        <v>0</v>
      </c>
      <c r="F69" s="4">
        <v>0</v>
      </c>
      <c r="G69" s="4">
        <v>0</v>
      </c>
      <c r="H69" s="4">
        <v>0</v>
      </c>
      <c r="I69" s="4">
        <v>0</v>
      </c>
      <c r="J69" s="4">
        <v>0</v>
      </c>
      <c r="K69" s="4">
        <v>0</v>
      </c>
      <c r="L69" s="4">
        <v>0</v>
      </c>
      <c r="M69" s="4">
        <v>0</v>
      </c>
      <c r="N69" s="4">
        <v>0</v>
      </c>
      <c r="O69" s="4">
        <v>0</v>
      </c>
      <c r="P69" s="4">
        <v>0</v>
      </c>
      <c r="Q69" s="4">
        <v>0</v>
      </c>
      <c r="R69" s="4">
        <v>0</v>
      </c>
      <c r="S69" s="4">
        <v>1</v>
      </c>
    </row>
    <row r="70" spans="1:19" ht="26.4" x14ac:dyDescent="0.25">
      <c r="A70" s="6" t="s">
        <v>321</v>
      </c>
      <c r="B70" s="7" t="s">
        <v>413</v>
      </c>
      <c r="C70" s="6" t="s">
        <v>175</v>
      </c>
      <c r="D70" s="6" t="s">
        <v>128</v>
      </c>
      <c r="E70" s="4">
        <v>0</v>
      </c>
      <c r="F70" s="4">
        <v>1</v>
      </c>
      <c r="G70" s="4">
        <v>0</v>
      </c>
      <c r="H70" s="4">
        <v>0</v>
      </c>
      <c r="I70" s="4">
        <v>0</v>
      </c>
      <c r="J70" s="4">
        <v>0</v>
      </c>
      <c r="K70" s="4">
        <v>0</v>
      </c>
      <c r="L70" s="4">
        <v>1</v>
      </c>
      <c r="M70" s="4">
        <v>0</v>
      </c>
      <c r="N70" s="4">
        <v>0</v>
      </c>
      <c r="O70" s="4">
        <v>0</v>
      </c>
      <c r="P70" s="4">
        <v>0</v>
      </c>
      <c r="Q70" s="4">
        <v>0</v>
      </c>
      <c r="R70" s="4">
        <v>0</v>
      </c>
      <c r="S70" s="4">
        <v>0</v>
      </c>
    </row>
    <row r="71" spans="1:19" ht="26.4" x14ac:dyDescent="0.25">
      <c r="A71" s="6" t="s">
        <v>322</v>
      </c>
      <c r="B71" s="7" t="s">
        <v>414</v>
      </c>
      <c r="C71" s="6" t="s">
        <v>175</v>
      </c>
      <c r="D71" s="6" t="s">
        <v>116</v>
      </c>
      <c r="E71" s="4">
        <v>0</v>
      </c>
      <c r="F71" s="4">
        <v>0</v>
      </c>
      <c r="G71" s="4">
        <v>0</v>
      </c>
      <c r="H71" s="4">
        <v>0</v>
      </c>
      <c r="I71" s="4">
        <v>0</v>
      </c>
      <c r="J71" s="4">
        <v>0</v>
      </c>
      <c r="K71" s="4">
        <v>0</v>
      </c>
      <c r="L71" s="4">
        <v>0</v>
      </c>
      <c r="M71" s="4">
        <v>0</v>
      </c>
      <c r="N71" s="4">
        <v>0</v>
      </c>
      <c r="O71" s="4">
        <v>0</v>
      </c>
      <c r="P71" s="4">
        <v>0</v>
      </c>
      <c r="Q71" s="4">
        <v>0</v>
      </c>
      <c r="R71" s="4">
        <v>0</v>
      </c>
      <c r="S71" s="4">
        <v>1</v>
      </c>
    </row>
    <row r="72" spans="1:19" ht="26.4" x14ac:dyDescent="0.25">
      <c r="A72" s="6" t="s">
        <v>323</v>
      </c>
      <c r="B72" s="7" t="s">
        <v>415</v>
      </c>
      <c r="C72" s="6" t="s">
        <v>175</v>
      </c>
      <c r="D72" s="6" t="s">
        <v>105</v>
      </c>
      <c r="E72" s="4">
        <v>0</v>
      </c>
      <c r="F72" s="4">
        <v>1</v>
      </c>
      <c r="G72" s="4">
        <v>0</v>
      </c>
      <c r="H72" s="4">
        <v>1</v>
      </c>
      <c r="I72" s="4">
        <v>0</v>
      </c>
      <c r="J72" s="4">
        <v>0</v>
      </c>
      <c r="K72" s="4">
        <v>0</v>
      </c>
      <c r="L72" s="4">
        <v>0</v>
      </c>
      <c r="M72" s="4">
        <v>0</v>
      </c>
      <c r="N72" s="4">
        <v>0</v>
      </c>
      <c r="O72" s="4">
        <v>0</v>
      </c>
      <c r="P72" s="4">
        <v>0</v>
      </c>
      <c r="Q72" s="4">
        <v>0</v>
      </c>
      <c r="R72" s="4">
        <v>0</v>
      </c>
      <c r="S72" s="4">
        <v>0</v>
      </c>
    </row>
    <row r="73" spans="1:19" ht="26.4" x14ac:dyDescent="0.25">
      <c r="A73" s="6" t="s">
        <v>324</v>
      </c>
      <c r="B73" s="7" t="s">
        <v>416</v>
      </c>
      <c r="C73" s="6" t="s">
        <v>175</v>
      </c>
      <c r="D73" s="6" t="s">
        <v>114</v>
      </c>
      <c r="E73" s="4">
        <v>1</v>
      </c>
      <c r="F73" s="4">
        <v>0</v>
      </c>
      <c r="G73" s="4">
        <v>0</v>
      </c>
      <c r="H73" s="4">
        <v>0</v>
      </c>
      <c r="I73" s="4">
        <v>0</v>
      </c>
      <c r="J73" s="4">
        <v>0</v>
      </c>
      <c r="K73" s="4">
        <v>0</v>
      </c>
      <c r="L73" s="4">
        <v>0</v>
      </c>
      <c r="M73" s="4">
        <v>0</v>
      </c>
      <c r="N73" s="4">
        <v>0</v>
      </c>
      <c r="O73" s="4">
        <v>0</v>
      </c>
      <c r="P73" s="4">
        <v>0</v>
      </c>
      <c r="Q73" s="4">
        <v>0</v>
      </c>
      <c r="R73" s="4">
        <v>0</v>
      </c>
      <c r="S73" s="4">
        <v>0</v>
      </c>
    </row>
    <row r="74" spans="1:19" ht="26.4" x14ac:dyDescent="0.25">
      <c r="A74" s="6" t="s">
        <v>325</v>
      </c>
      <c r="B74" s="7" t="s">
        <v>417</v>
      </c>
      <c r="C74" s="6" t="s">
        <v>175</v>
      </c>
      <c r="D74" s="6" t="s">
        <v>116</v>
      </c>
      <c r="E74" s="4">
        <v>1</v>
      </c>
      <c r="F74" s="4">
        <v>0</v>
      </c>
      <c r="G74" s="4">
        <v>0</v>
      </c>
      <c r="H74" s="4">
        <v>0</v>
      </c>
      <c r="I74" s="4">
        <v>0</v>
      </c>
      <c r="J74" s="4">
        <v>0</v>
      </c>
      <c r="K74" s="4">
        <v>0</v>
      </c>
      <c r="L74" s="4">
        <v>0</v>
      </c>
      <c r="M74" s="4">
        <v>0</v>
      </c>
      <c r="N74" s="4">
        <v>0</v>
      </c>
      <c r="O74" s="4">
        <v>0</v>
      </c>
      <c r="P74" s="4">
        <v>0</v>
      </c>
      <c r="Q74" s="4">
        <v>0</v>
      </c>
      <c r="R74" s="4">
        <v>0</v>
      </c>
      <c r="S74" s="4">
        <v>0</v>
      </c>
    </row>
    <row r="75" spans="1:19" ht="26.4" x14ac:dyDescent="0.25">
      <c r="A75" s="6" t="s">
        <v>326</v>
      </c>
      <c r="B75" s="7" t="s">
        <v>418</v>
      </c>
      <c r="C75" s="6" t="s">
        <v>175</v>
      </c>
      <c r="D75" s="6" t="s">
        <v>116</v>
      </c>
      <c r="E75" s="4">
        <v>0</v>
      </c>
      <c r="F75" s="4">
        <v>1</v>
      </c>
      <c r="G75" s="4">
        <v>0</v>
      </c>
      <c r="H75" s="4">
        <v>0</v>
      </c>
      <c r="I75" s="4">
        <v>1</v>
      </c>
      <c r="J75" s="4">
        <v>0</v>
      </c>
      <c r="K75" s="4">
        <v>0</v>
      </c>
      <c r="L75" s="4">
        <v>0</v>
      </c>
      <c r="M75" s="4">
        <v>0</v>
      </c>
      <c r="N75" s="4">
        <v>0</v>
      </c>
      <c r="O75" s="4">
        <v>0</v>
      </c>
      <c r="P75" s="4">
        <v>0</v>
      </c>
      <c r="Q75" s="4">
        <v>0</v>
      </c>
      <c r="R75" s="4">
        <v>0</v>
      </c>
      <c r="S75" s="4">
        <v>0</v>
      </c>
    </row>
    <row r="76" spans="1:19" ht="26.4" x14ac:dyDescent="0.25">
      <c r="A76" s="6" t="s">
        <v>327</v>
      </c>
      <c r="B76" s="7" t="s">
        <v>419</v>
      </c>
      <c r="C76" s="6" t="s">
        <v>175</v>
      </c>
      <c r="D76" s="6" t="s">
        <v>118</v>
      </c>
      <c r="E76" s="4">
        <v>0</v>
      </c>
      <c r="F76" s="4">
        <v>0</v>
      </c>
      <c r="G76" s="4">
        <v>0</v>
      </c>
      <c r="H76" s="4">
        <v>0</v>
      </c>
      <c r="I76" s="4">
        <v>0</v>
      </c>
      <c r="J76" s="4">
        <v>0</v>
      </c>
      <c r="K76" s="4">
        <v>0</v>
      </c>
      <c r="L76" s="4">
        <v>0</v>
      </c>
      <c r="M76" s="4">
        <v>0</v>
      </c>
      <c r="N76" s="4">
        <v>1</v>
      </c>
      <c r="O76" s="4">
        <v>0</v>
      </c>
      <c r="P76" s="4">
        <v>0</v>
      </c>
      <c r="Q76" s="4">
        <v>1</v>
      </c>
      <c r="R76" s="4">
        <v>1</v>
      </c>
      <c r="S76" s="4">
        <v>0</v>
      </c>
    </row>
    <row r="77" spans="1:19" ht="26.4" x14ac:dyDescent="0.25">
      <c r="A77" s="6" t="s">
        <v>328</v>
      </c>
      <c r="B77" s="7" t="s">
        <v>420</v>
      </c>
      <c r="C77" s="6" t="s">
        <v>175</v>
      </c>
      <c r="D77" s="6" t="s">
        <v>116</v>
      </c>
      <c r="E77" s="4">
        <v>1</v>
      </c>
      <c r="F77" s="4">
        <v>0</v>
      </c>
      <c r="G77" s="4">
        <v>0</v>
      </c>
      <c r="H77" s="4">
        <v>0</v>
      </c>
      <c r="I77" s="4">
        <v>0</v>
      </c>
      <c r="J77" s="4">
        <v>0</v>
      </c>
      <c r="K77" s="4">
        <v>0</v>
      </c>
      <c r="L77" s="4">
        <v>0</v>
      </c>
      <c r="M77" s="4">
        <v>0</v>
      </c>
      <c r="N77" s="4">
        <v>0</v>
      </c>
      <c r="O77" s="4">
        <v>0</v>
      </c>
      <c r="P77" s="4">
        <v>0</v>
      </c>
      <c r="Q77" s="4">
        <v>0</v>
      </c>
      <c r="R77" s="4">
        <v>0</v>
      </c>
      <c r="S77" s="4">
        <v>0</v>
      </c>
    </row>
    <row r="78" spans="1:19" ht="26.4" x14ac:dyDescent="0.25">
      <c r="A78" s="6" t="s">
        <v>329</v>
      </c>
      <c r="B78" s="7" t="s">
        <v>421</v>
      </c>
      <c r="C78" s="6" t="s">
        <v>175</v>
      </c>
      <c r="D78" s="6" t="s">
        <v>118</v>
      </c>
      <c r="E78" s="4">
        <v>0</v>
      </c>
      <c r="F78" s="4">
        <v>1</v>
      </c>
      <c r="G78" s="4">
        <v>1</v>
      </c>
      <c r="H78" s="4">
        <v>0</v>
      </c>
      <c r="I78" s="4">
        <v>0</v>
      </c>
      <c r="J78" s="4">
        <v>0</v>
      </c>
      <c r="K78" s="4">
        <v>0</v>
      </c>
      <c r="L78" s="4">
        <v>0</v>
      </c>
      <c r="M78" s="4">
        <v>0</v>
      </c>
      <c r="N78" s="4">
        <v>0</v>
      </c>
      <c r="O78" s="4">
        <v>0</v>
      </c>
      <c r="P78" s="4">
        <v>0</v>
      </c>
      <c r="Q78" s="4">
        <v>0</v>
      </c>
      <c r="R78" s="4">
        <v>0</v>
      </c>
      <c r="S78" s="4">
        <v>0</v>
      </c>
    </row>
    <row r="79" spans="1:19" ht="26.4" x14ac:dyDescent="0.25">
      <c r="A79" s="6" t="s">
        <v>330</v>
      </c>
      <c r="B79" s="7" t="s">
        <v>422</v>
      </c>
      <c r="C79" s="6" t="s">
        <v>175</v>
      </c>
      <c r="D79" s="6" t="s">
        <v>128</v>
      </c>
      <c r="E79" s="4">
        <v>0</v>
      </c>
      <c r="F79" s="4">
        <v>1</v>
      </c>
      <c r="G79" s="4">
        <v>0</v>
      </c>
      <c r="H79" s="4">
        <v>1</v>
      </c>
      <c r="I79" s="4">
        <v>1</v>
      </c>
      <c r="J79" s="4">
        <v>0</v>
      </c>
      <c r="K79" s="4">
        <v>0</v>
      </c>
      <c r="L79" s="4">
        <v>0</v>
      </c>
      <c r="M79" s="4">
        <v>0</v>
      </c>
      <c r="N79" s="4">
        <v>0</v>
      </c>
      <c r="O79" s="4">
        <v>0</v>
      </c>
      <c r="P79" s="4">
        <v>0</v>
      </c>
      <c r="Q79" s="4">
        <v>0</v>
      </c>
      <c r="R79" s="4">
        <v>0</v>
      </c>
      <c r="S79" s="4">
        <v>0</v>
      </c>
    </row>
    <row r="80" spans="1:19" ht="26.4" x14ac:dyDescent="0.25">
      <c r="A80" s="6" t="s">
        <v>331</v>
      </c>
      <c r="B80" s="7" t="s">
        <v>423</v>
      </c>
      <c r="C80" s="6" t="s">
        <v>175</v>
      </c>
      <c r="D80" s="6" t="s">
        <v>123</v>
      </c>
      <c r="E80" s="4">
        <v>0</v>
      </c>
      <c r="F80" s="4">
        <v>0</v>
      </c>
      <c r="G80" s="4">
        <v>0</v>
      </c>
      <c r="H80" s="4">
        <v>0</v>
      </c>
      <c r="I80" s="4">
        <v>0</v>
      </c>
      <c r="J80" s="4">
        <v>0</v>
      </c>
      <c r="K80" s="4">
        <v>0</v>
      </c>
      <c r="L80" s="4">
        <v>0</v>
      </c>
      <c r="M80" s="4">
        <v>0</v>
      </c>
      <c r="N80" s="4">
        <v>0</v>
      </c>
      <c r="O80" s="4">
        <v>0</v>
      </c>
      <c r="P80" s="4">
        <v>0</v>
      </c>
      <c r="Q80" s="4">
        <v>0</v>
      </c>
      <c r="R80" s="4">
        <v>0</v>
      </c>
      <c r="S80" s="4">
        <v>1</v>
      </c>
    </row>
    <row r="81" spans="1:19" ht="26.4" x14ac:dyDescent="0.25">
      <c r="A81" s="6" t="s">
        <v>332</v>
      </c>
      <c r="B81" s="7" t="s">
        <v>424</v>
      </c>
      <c r="C81" s="6" t="s">
        <v>175</v>
      </c>
      <c r="D81" s="6" t="s">
        <v>116</v>
      </c>
      <c r="E81" s="4">
        <v>0</v>
      </c>
      <c r="F81" s="4">
        <v>1</v>
      </c>
      <c r="G81" s="4">
        <v>1</v>
      </c>
      <c r="H81" s="4">
        <v>0</v>
      </c>
      <c r="I81" s="4">
        <v>0</v>
      </c>
      <c r="J81" s="4">
        <v>0</v>
      </c>
      <c r="K81" s="4">
        <v>0</v>
      </c>
      <c r="L81" s="4">
        <v>0</v>
      </c>
      <c r="M81" s="4">
        <v>0</v>
      </c>
      <c r="N81" s="4">
        <v>0</v>
      </c>
      <c r="O81" s="4">
        <v>0</v>
      </c>
      <c r="P81" s="4">
        <v>0</v>
      </c>
      <c r="Q81" s="4">
        <v>0</v>
      </c>
      <c r="R81" s="4">
        <v>0</v>
      </c>
      <c r="S81" s="4">
        <v>0</v>
      </c>
    </row>
    <row r="82" spans="1:19" ht="26.4" x14ac:dyDescent="0.25">
      <c r="A82" s="6" t="s">
        <v>333</v>
      </c>
      <c r="B82" s="7" t="s">
        <v>425</v>
      </c>
      <c r="C82" s="6" t="s">
        <v>175</v>
      </c>
      <c r="D82" s="6" t="s">
        <v>114</v>
      </c>
      <c r="E82" s="4">
        <v>0</v>
      </c>
      <c r="F82" s="4">
        <v>1</v>
      </c>
      <c r="G82" s="4">
        <v>0</v>
      </c>
      <c r="H82" s="4">
        <v>0</v>
      </c>
      <c r="I82" s="4">
        <v>0</v>
      </c>
      <c r="J82" s="4">
        <v>0</v>
      </c>
      <c r="K82" s="4">
        <v>1</v>
      </c>
      <c r="L82" s="4">
        <v>0</v>
      </c>
      <c r="M82" s="4">
        <v>0</v>
      </c>
      <c r="N82" s="4">
        <v>0</v>
      </c>
      <c r="O82" s="4">
        <v>0</v>
      </c>
      <c r="P82" s="4">
        <v>0</v>
      </c>
      <c r="Q82" s="4">
        <v>0</v>
      </c>
      <c r="R82" s="4">
        <v>0</v>
      </c>
      <c r="S82" s="4">
        <v>0</v>
      </c>
    </row>
    <row r="83" spans="1:19" ht="26.4" x14ac:dyDescent="0.25">
      <c r="A83" s="6" t="s">
        <v>334</v>
      </c>
      <c r="B83" s="7" t="s">
        <v>426</v>
      </c>
      <c r="C83" s="6" t="s">
        <v>175</v>
      </c>
      <c r="D83" s="6" t="s">
        <v>123</v>
      </c>
      <c r="E83" s="4">
        <v>1</v>
      </c>
      <c r="F83" s="4">
        <v>0</v>
      </c>
      <c r="G83" s="4">
        <v>0</v>
      </c>
      <c r="H83" s="4">
        <v>0</v>
      </c>
      <c r="I83" s="4">
        <v>0</v>
      </c>
      <c r="J83" s="4">
        <v>0</v>
      </c>
      <c r="K83" s="4">
        <v>0</v>
      </c>
      <c r="L83" s="4">
        <v>0</v>
      </c>
      <c r="M83" s="4">
        <v>0</v>
      </c>
      <c r="N83" s="4">
        <v>0</v>
      </c>
      <c r="O83" s="4">
        <v>0</v>
      </c>
      <c r="P83" s="4">
        <v>0</v>
      </c>
      <c r="Q83" s="4">
        <v>0</v>
      </c>
      <c r="R83" s="4">
        <v>0</v>
      </c>
      <c r="S83" s="4">
        <v>0</v>
      </c>
    </row>
    <row r="84" spans="1:19" ht="26.4" x14ac:dyDescent="0.25">
      <c r="A84" s="6" t="s">
        <v>335</v>
      </c>
      <c r="B84" s="7" t="s">
        <v>427</v>
      </c>
      <c r="C84" s="6" t="s">
        <v>175</v>
      </c>
      <c r="D84" s="6" t="s">
        <v>123</v>
      </c>
      <c r="E84" s="4">
        <v>1</v>
      </c>
      <c r="F84" s="4">
        <v>0</v>
      </c>
      <c r="G84" s="4">
        <v>0</v>
      </c>
      <c r="H84" s="4">
        <v>0</v>
      </c>
      <c r="I84" s="4">
        <v>0</v>
      </c>
      <c r="J84" s="4">
        <v>0</v>
      </c>
      <c r="K84" s="4">
        <v>0</v>
      </c>
      <c r="L84" s="4">
        <v>0</v>
      </c>
      <c r="M84" s="4">
        <v>0</v>
      </c>
      <c r="N84" s="4">
        <v>0</v>
      </c>
      <c r="O84" s="4">
        <v>0</v>
      </c>
      <c r="P84" s="4">
        <v>0</v>
      </c>
      <c r="Q84" s="4">
        <v>0</v>
      </c>
      <c r="R84" s="4">
        <v>0</v>
      </c>
      <c r="S84" s="4">
        <v>0</v>
      </c>
    </row>
    <row r="85" spans="1:19" ht="26.4" x14ac:dyDescent="0.25">
      <c r="A85" s="6" t="s">
        <v>336</v>
      </c>
      <c r="B85" s="7" t="s">
        <v>428</v>
      </c>
      <c r="C85" s="6" t="s">
        <v>113</v>
      </c>
      <c r="D85" s="6" t="s">
        <v>114</v>
      </c>
      <c r="E85" s="4">
        <v>0</v>
      </c>
      <c r="F85" s="4">
        <v>1</v>
      </c>
      <c r="G85" s="4">
        <v>0</v>
      </c>
      <c r="H85" s="4">
        <v>0</v>
      </c>
      <c r="I85" s="4">
        <v>0</v>
      </c>
      <c r="J85" s="4">
        <v>0</v>
      </c>
      <c r="K85" s="4">
        <v>1</v>
      </c>
      <c r="L85" s="4">
        <v>0</v>
      </c>
      <c r="M85" s="4">
        <v>0</v>
      </c>
      <c r="N85" s="4">
        <v>0</v>
      </c>
      <c r="O85" s="4">
        <v>0</v>
      </c>
      <c r="P85" s="4">
        <v>0</v>
      </c>
      <c r="Q85" s="4">
        <v>0</v>
      </c>
      <c r="R85" s="4">
        <v>0</v>
      </c>
      <c r="S85" s="4">
        <v>0</v>
      </c>
    </row>
    <row r="86" spans="1:19" ht="26.4" x14ac:dyDescent="0.25">
      <c r="A86" s="6" t="s">
        <v>337</v>
      </c>
      <c r="B86" s="7" t="s">
        <v>429</v>
      </c>
      <c r="C86" s="6" t="s">
        <v>175</v>
      </c>
      <c r="D86" s="6" t="s">
        <v>114</v>
      </c>
      <c r="E86" s="4">
        <v>0</v>
      </c>
      <c r="F86" s="4">
        <v>0</v>
      </c>
      <c r="G86" s="4">
        <v>0</v>
      </c>
      <c r="H86" s="4">
        <v>0</v>
      </c>
      <c r="I86" s="4">
        <v>0</v>
      </c>
      <c r="J86" s="4">
        <v>0</v>
      </c>
      <c r="K86" s="4">
        <v>0</v>
      </c>
      <c r="L86" s="4">
        <v>0</v>
      </c>
      <c r="M86" s="4">
        <v>0</v>
      </c>
      <c r="N86" s="4">
        <v>0</v>
      </c>
      <c r="O86" s="4">
        <v>0</v>
      </c>
      <c r="P86" s="4">
        <v>0</v>
      </c>
      <c r="Q86" s="4">
        <v>0</v>
      </c>
      <c r="R86" s="4">
        <v>0</v>
      </c>
      <c r="S86" s="4">
        <v>1</v>
      </c>
    </row>
    <row r="87" spans="1:19" ht="26.4" x14ac:dyDescent="0.25">
      <c r="A87" s="6" t="s">
        <v>338</v>
      </c>
      <c r="B87" s="7" t="s">
        <v>430</v>
      </c>
      <c r="C87" s="6" t="s">
        <v>175</v>
      </c>
      <c r="D87" s="6" t="s">
        <v>116</v>
      </c>
      <c r="E87" s="4">
        <v>0</v>
      </c>
      <c r="F87" s="4">
        <v>0</v>
      </c>
      <c r="G87" s="4">
        <v>0</v>
      </c>
      <c r="H87" s="4">
        <v>0</v>
      </c>
      <c r="I87" s="4">
        <v>0</v>
      </c>
      <c r="J87" s="4">
        <v>0</v>
      </c>
      <c r="K87" s="4">
        <v>0</v>
      </c>
      <c r="L87" s="4">
        <v>0</v>
      </c>
      <c r="M87" s="4">
        <v>0</v>
      </c>
      <c r="N87" s="4">
        <v>1</v>
      </c>
      <c r="O87" s="4">
        <v>0</v>
      </c>
      <c r="P87" s="4">
        <v>0</v>
      </c>
      <c r="Q87" s="4">
        <v>0</v>
      </c>
      <c r="R87" s="4">
        <v>1</v>
      </c>
      <c r="S87" s="4">
        <v>0</v>
      </c>
    </row>
    <row r="88" spans="1:19" ht="26.4" x14ac:dyDescent="0.25">
      <c r="A88" s="6" t="s">
        <v>339</v>
      </c>
      <c r="B88" s="7" t="s">
        <v>431</v>
      </c>
      <c r="C88" s="6" t="s">
        <v>175</v>
      </c>
      <c r="D88" s="6" t="s">
        <v>116</v>
      </c>
      <c r="E88" s="4">
        <v>1</v>
      </c>
      <c r="F88" s="4">
        <v>0</v>
      </c>
      <c r="G88" s="4">
        <v>0</v>
      </c>
      <c r="H88" s="4">
        <v>0</v>
      </c>
      <c r="I88" s="4">
        <v>0</v>
      </c>
      <c r="J88" s="4">
        <v>0</v>
      </c>
      <c r="K88" s="4">
        <v>0</v>
      </c>
      <c r="L88" s="4">
        <v>0</v>
      </c>
      <c r="M88" s="4">
        <v>0</v>
      </c>
      <c r="N88" s="4">
        <v>0</v>
      </c>
      <c r="O88" s="4">
        <v>0</v>
      </c>
      <c r="P88" s="4">
        <v>0</v>
      </c>
      <c r="Q88" s="4">
        <v>0</v>
      </c>
      <c r="R88" s="4">
        <v>0</v>
      </c>
      <c r="S88" s="4">
        <v>0</v>
      </c>
    </row>
    <row r="89" spans="1:19" ht="26.4" x14ac:dyDescent="0.25">
      <c r="A89" s="6" t="s">
        <v>340</v>
      </c>
      <c r="B89" s="7" t="s">
        <v>432</v>
      </c>
      <c r="C89" s="6" t="s">
        <v>175</v>
      </c>
      <c r="D89" s="6" t="s">
        <v>118</v>
      </c>
      <c r="E89" s="4">
        <v>0</v>
      </c>
      <c r="F89" s="4">
        <v>1</v>
      </c>
      <c r="G89" s="4">
        <v>1</v>
      </c>
      <c r="H89" s="4">
        <v>0</v>
      </c>
      <c r="I89" s="4">
        <v>0</v>
      </c>
      <c r="J89" s="4">
        <v>0</v>
      </c>
      <c r="K89" s="4">
        <v>0</v>
      </c>
      <c r="L89" s="4">
        <v>0</v>
      </c>
      <c r="M89" s="4">
        <v>0</v>
      </c>
      <c r="N89" s="4">
        <v>0</v>
      </c>
      <c r="O89" s="4">
        <v>0</v>
      </c>
      <c r="P89" s="4">
        <v>0</v>
      </c>
      <c r="Q89" s="4">
        <v>0</v>
      </c>
      <c r="R89" s="4">
        <v>0</v>
      </c>
      <c r="S89" s="4">
        <v>0</v>
      </c>
    </row>
    <row r="90" spans="1:19" ht="26.4" x14ac:dyDescent="0.25">
      <c r="A90" s="6" t="s">
        <v>341</v>
      </c>
      <c r="B90" s="7" t="s">
        <v>433</v>
      </c>
      <c r="C90" s="6" t="s">
        <v>175</v>
      </c>
      <c r="D90" s="6" t="s">
        <v>116</v>
      </c>
      <c r="E90" s="4">
        <v>0</v>
      </c>
      <c r="F90" s="4">
        <v>0</v>
      </c>
      <c r="G90" s="4">
        <v>0</v>
      </c>
      <c r="H90" s="4">
        <v>0</v>
      </c>
      <c r="I90" s="4">
        <v>0</v>
      </c>
      <c r="J90" s="4">
        <v>0</v>
      </c>
      <c r="K90" s="4">
        <v>0</v>
      </c>
      <c r="L90" s="4">
        <v>0</v>
      </c>
      <c r="M90" s="4">
        <v>0</v>
      </c>
      <c r="N90" s="4">
        <v>1</v>
      </c>
      <c r="O90" s="4">
        <v>0</v>
      </c>
      <c r="P90" s="4">
        <v>0</v>
      </c>
      <c r="Q90" s="4">
        <v>1</v>
      </c>
      <c r="R90" s="4">
        <v>0</v>
      </c>
      <c r="S90" s="4">
        <v>0</v>
      </c>
    </row>
    <row r="91" spans="1:19" x14ac:dyDescent="0.25">
      <c r="A91" s="6" t="s">
        <v>342</v>
      </c>
      <c r="B91" s="7" t="s">
        <v>434</v>
      </c>
      <c r="C91" s="6" t="s">
        <v>343</v>
      </c>
      <c r="D91" s="6" t="s">
        <v>118</v>
      </c>
      <c r="E91" s="4">
        <v>0</v>
      </c>
      <c r="F91" s="4">
        <v>1</v>
      </c>
      <c r="G91" s="4">
        <v>0</v>
      </c>
      <c r="H91" s="4">
        <v>0</v>
      </c>
      <c r="I91" s="4">
        <v>0</v>
      </c>
      <c r="J91" s="4">
        <v>0</v>
      </c>
      <c r="K91" s="4">
        <v>0</v>
      </c>
      <c r="L91" s="4">
        <v>0</v>
      </c>
      <c r="M91" s="4">
        <v>1</v>
      </c>
      <c r="N91" s="4">
        <v>0</v>
      </c>
      <c r="O91" s="4">
        <v>0</v>
      </c>
      <c r="P91" s="4">
        <v>0</v>
      </c>
      <c r="Q91" s="4">
        <v>0</v>
      </c>
      <c r="R91" s="4">
        <v>0</v>
      </c>
      <c r="S91" s="4">
        <v>0</v>
      </c>
    </row>
    <row r="92" spans="1:19" x14ac:dyDescent="0.25">
      <c r="A92" s="6" t="s">
        <v>344</v>
      </c>
      <c r="B92" s="7" t="s">
        <v>435</v>
      </c>
      <c r="C92" s="6" t="s">
        <v>343</v>
      </c>
      <c r="D92" s="6" t="s">
        <v>116</v>
      </c>
      <c r="E92" s="4">
        <v>1</v>
      </c>
      <c r="F92" s="4">
        <v>0</v>
      </c>
      <c r="G92" s="4">
        <v>0</v>
      </c>
      <c r="H92" s="4">
        <v>0</v>
      </c>
      <c r="I92" s="4">
        <v>0</v>
      </c>
      <c r="J92" s="4">
        <v>0</v>
      </c>
      <c r="K92" s="4">
        <v>0</v>
      </c>
      <c r="L92" s="4">
        <v>0</v>
      </c>
      <c r="M92" s="4">
        <v>0</v>
      </c>
      <c r="N92" s="4">
        <v>0</v>
      </c>
      <c r="O92" s="4">
        <v>0</v>
      </c>
      <c r="P92" s="4">
        <v>0</v>
      </c>
      <c r="Q92" s="4">
        <v>0</v>
      </c>
      <c r="R92" s="4">
        <v>0</v>
      </c>
      <c r="S92" s="4">
        <v>0</v>
      </c>
    </row>
    <row r="93" spans="1:19" x14ac:dyDescent="0.25">
      <c r="A93" s="29"/>
      <c r="B93" s="30"/>
      <c r="C93" s="29"/>
      <c r="D93" s="29"/>
      <c r="E93" s="31"/>
      <c r="F93" s="31"/>
      <c r="G93" s="31"/>
      <c r="H93" s="31"/>
      <c r="I93" s="31"/>
      <c r="J93" s="31"/>
      <c r="K93" s="31"/>
      <c r="L93" s="31"/>
      <c r="M93" s="31"/>
      <c r="N93" s="31"/>
      <c r="O93" s="31"/>
      <c r="P93" s="31"/>
      <c r="Q93" s="31"/>
      <c r="R93" s="31"/>
      <c r="S93" s="31"/>
    </row>
    <row r="94" spans="1:19" x14ac:dyDescent="0.25">
      <c r="B94" s="8" t="s">
        <v>222</v>
      </c>
    </row>
    <row r="95" spans="1:19" x14ac:dyDescent="0.25">
      <c r="B95" s="9" t="s">
        <v>218</v>
      </c>
    </row>
    <row r="96" spans="1:19" x14ac:dyDescent="0.25">
      <c r="B96" s="10" t="s">
        <v>219</v>
      </c>
    </row>
    <row r="97" spans="2:2" x14ac:dyDescent="0.25">
      <c r="B97" s="11" t="s">
        <v>220</v>
      </c>
    </row>
    <row r="98" spans="2:2" ht="26.4" x14ac:dyDescent="0.25">
      <c r="B98" s="12" t="s">
        <v>221</v>
      </c>
    </row>
  </sheetData>
  <autoFilter ref="A1:AJ1" xr:uid="{DC703CCE-402F-4047-83AA-6563E7C1A008}"/>
  <pageMargins left="0.7" right="0.7" top="0.75" bottom="0.75" header="0.3" footer="0.3"/>
  <pageSetup scale="80" orientation="landscape" r:id="rId1"/>
  <headerFooter>
    <oddHeader>&amp;LISQM 2_Q4(a) - Respondent by Theme</oddHeader>
    <oddFooter>&amp;R&amp;P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B0C1C-222E-4BB8-ABC4-AFE89DA76871}">
  <dimension ref="A1:F21"/>
  <sheetViews>
    <sheetView tabSelected="1" view="pageBreakPreview" zoomScale="80" zoomScaleNormal="80" zoomScaleSheetLayoutView="80" workbookViewId="0">
      <pane xSplit="1" ySplit="12" topLeftCell="B14" activePane="bottomRight" state="frozen"/>
      <selection pane="topRight" activeCell="B1" sqref="B1"/>
      <selection pane="bottomLeft" activeCell="A11" sqref="A11"/>
      <selection pane="bottomRight" activeCell="D8" sqref="D8"/>
    </sheetView>
  </sheetViews>
  <sheetFormatPr defaultRowHeight="13.2" x14ac:dyDescent="0.25"/>
  <cols>
    <col min="1" max="1" width="52.6640625" style="3" bestFit="1" customWidth="1"/>
    <col min="2" max="2" width="13.21875" style="3" bestFit="1" customWidth="1"/>
    <col min="3" max="3" width="27.6640625" style="3" bestFit="1" customWidth="1"/>
    <col min="4" max="4" width="15.6640625" style="3" bestFit="1" customWidth="1"/>
    <col min="5" max="5" width="36.21875" style="3" bestFit="1" customWidth="1"/>
    <col min="6" max="6" width="12.21875" style="3" bestFit="1" customWidth="1"/>
    <col min="7" max="16384" width="8.88671875" style="3"/>
  </cols>
  <sheetData>
    <row r="1" spans="1:6" ht="39.6" x14ac:dyDescent="0.25">
      <c r="A1" s="2" t="s">
        <v>460</v>
      </c>
    </row>
    <row r="2" spans="1:6" x14ac:dyDescent="0.25">
      <c r="A2" s="2"/>
    </row>
    <row r="3" spans="1:6" x14ac:dyDescent="0.25">
      <c r="A3" s="8" t="s">
        <v>222</v>
      </c>
    </row>
    <row r="4" spans="1:6" x14ac:dyDescent="0.25">
      <c r="A4" s="9" t="s">
        <v>218</v>
      </c>
    </row>
    <row r="5" spans="1:6" x14ac:dyDescent="0.25">
      <c r="A5" s="45" t="s">
        <v>219</v>
      </c>
    </row>
    <row r="6" spans="1:6" x14ac:dyDescent="0.25">
      <c r="A6" s="11" t="s">
        <v>220</v>
      </c>
    </row>
    <row r="7" spans="1:6" ht="26.4" x14ac:dyDescent="0.25">
      <c r="A7" s="12" t="s">
        <v>473</v>
      </c>
    </row>
    <row r="9" spans="1:6" x14ac:dyDescent="0.25">
      <c r="A9" s="8" t="s">
        <v>471</v>
      </c>
      <c r="B9" s="28">
        <f>GETPIVOTDATA("Sum of Agree",$A$12)/GETPIVOTDATA("Sum of Total",$A$12)</f>
        <v>0.17582417582417584</v>
      </c>
      <c r="C9" s="28">
        <f>GETPIVOTDATA("Sum of Agree but with further comments",$A$12)/GETPIVOTDATA("Sum of Total",$A$12)</f>
        <v>0.38461538461538464</v>
      </c>
      <c r="D9" s="28">
        <f>GETPIVOTDATA("Sum of Disagree",$A$12)/GETPIVOTDATA("Sum of Total",$A$12)</f>
        <v>0.2857142857142857</v>
      </c>
      <c r="E9" s="28">
        <f>GETPIVOTDATA("Sum of Unclear or no specific response or refer to other respondent's views",$A$12)/GETPIVOTDATA("Sum of Total",$A$12)</f>
        <v>0.15384615384615385</v>
      </c>
      <c r="F9" s="28">
        <f>SUM(B9:E9)</f>
        <v>1</v>
      </c>
    </row>
    <row r="11" spans="1:6" s="2" customFormat="1" x14ac:dyDescent="0.25">
      <c r="A11" s="5" t="s">
        <v>228</v>
      </c>
      <c r="B11" s="15" t="s">
        <v>482</v>
      </c>
      <c r="C11" s="15" t="s">
        <v>483</v>
      </c>
      <c r="D11" s="15" t="s">
        <v>484</v>
      </c>
      <c r="E11" s="15" t="s">
        <v>485</v>
      </c>
      <c r="F11" s="44" t="s">
        <v>241</v>
      </c>
    </row>
    <row r="12" spans="1:6" s="2" customFormat="1" ht="39.6" x14ac:dyDescent="0.25">
      <c r="A12" s="34" t="s">
        <v>101</v>
      </c>
      <c r="B12" s="35" t="s">
        <v>223</v>
      </c>
      <c r="C12" s="46" t="s">
        <v>225</v>
      </c>
      <c r="D12" s="36" t="s">
        <v>226</v>
      </c>
      <c r="E12" s="37" t="s">
        <v>227</v>
      </c>
      <c r="F12" s="38" t="s">
        <v>242</v>
      </c>
    </row>
    <row r="13" spans="1:6" x14ac:dyDescent="0.25">
      <c r="A13" s="32" t="s">
        <v>104</v>
      </c>
      <c r="B13" s="33">
        <v>0</v>
      </c>
      <c r="C13" s="33">
        <v>1</v>
      </c>
      <c r="D13" s="33">
        <v>0</v>
      </c>
      <c r="E13" s="33">
        <v>3</v>
      </c>
      <c r="F13" s="33">
        <v>4</v>
      </c>
    </row>
    <row r="14" spans="1:6" x14ac:dyDescent="0.25">
      <c r="A14" s="32" t="s">
        <v>110</v>
      </c>
      <c r="B14" s="33">
        <v>0</v>
      </c>
      <c r="C14" s="33">
        <v>0</v>
      </c>
      <c r="D14" s="33">
        <v>0</v>
      </c>
      <c r="E14" s="33">
        <v>1</v>
      </c>
      <c r="F14" s="33">
        <v>1</v>
      </c>
    </row>
    <row r="15" spans="1:6" x14ac:dyDescent="0.25">
      <c r="A15" s="32" t="s">
        <v>113</v>
      </c>
      <c r="B15" s="33">
        <v>0</v>
      </c>
      <c r="C15" s="33">
        <v>3</v>
      </c>
      <c r="D15" s="33">
        <v>1</v>
      </c>
      <c r="E15" s="33">
        <v>1</v>
      </c>
      <c r="F15" s="33">
        <v>5</v>
      </c>
    </row>
    <row r="16" spans="1:6" x14ac:dyDescent="0.25">
      <c r="A16" s="32" t="s">
        <v>121</v>
      </c>
      <c r="B16" s="33">
        <v>1</v>
      </c>
      <c r="C16" s="33">
        <v>4</v>
      </c>
      <c r="D16" s="33">
        <v>6</v>
      </c>
      <c r="E16" s="33">
        <v>2</v>
      </c>
      <c r="F16" s="33">
        <v>13</v>
      </c>
    </row>
    <row r="17" spans="1:6" x14ac:dyDescent="0.25">
      <c r="A17" s="32" t="s">
        <v>138</v>
      </c>
      <c r="B17" s="33">
        <v>3</v>
      </c>
      <c r="C17" s="33">
        <v>13</v>
      </c>
      <c r="D17" s="33">
        <v>6</v>
      </c>
      <c r="E17" s="33">
        <v>1</v>
      </c>
      <c r="F17" s="33">
        <v>23</v>
      </c>
    </row>
    <row r="18" spans="1:6" x14ac:dyDescent="0.25">
      <c r="A18" s="32" t="s">
        <v>164</v>
      </c>
      <c r="B18" s="33">
        <v>7</v>
      </c>
      <c r="C18" s="33">
        <v>2</v>
      </c>
      <c r="D18" s="33">
        <v>1</v>
      </c>
      <c r="E18" s="33">
        <v>0</v>
      </c>
      <c r="F18" s="33">
        <v>10</v>
      </c>
    </row>
    <row r="19" spans="1:6" x14ac:dyDescent="0.25">
      <c r="A19" s="32" t="s">
        <v>175</v>
      </c>
      <c r="B19" s="33">
        <v>4</v>
      </c>
      <c r="C19" s="33">
        <v>11</v>
      </c>
      <c r="D19" s="33">
        <v>12</v>
      </c>
      <c r="E19" s="33">
        <v>6</v>
      </c>
      <c r="F19" s="33">
        <v>33</v>
      </c>
    </row>
    <row r="20" spans="1:6" x14ac:dyDescent="0.25">
      <c r="A20" s="32" t="s">
        <v>343</v>
      </c>
      <c r="B20" s="33">
        <v>1</v>
      </c>
      <c r="C20" s="33">
        <v>1</v>
      </c>
      <c r="D20" s="33">
        <v>0</v>
      </c>
      <c r="E20" s="33">
        <v>0</v>
      </c>
      <c r="F20" s="33">
        <v>2</v>
      </c>
    </row>
    <row r="21" spans="1:6" x14ac:dyDescent="0.25">
      <c r="A21" s="32" t="s">
        <v>224</v>
      </c>
      <c r="B21" s="33">
        <v>16</v>
      </c>
      <c r="C21" s="33">
        <v>35</v>
      </c>
      <c r="D21" s="33">
        <v>26</v>
      </c>
      <c r="E21" s="33">
        <v>14</v>
      </c>
      <c r="F21" s="33">
        <v>91</v>
      </c>
    </row>
  </sheetData>
  <pageMargins left="0.7" right="0.7" top="0.75" bottom="0.75" header="0.3" footer="0.3"/>
  <pageSetup scale="80" orientation="landscape" r:id="rId2"/>
  <headerFooter>
    <oddHeader>&amp;C&amp;"Arial,Regular"&amp;8Proposed ISQM 2: NVivo MS Excel Report by Category – ED-ISQM 2_Question 4(b)
IAASB Main Agenda (September 2019)&amp;R&amp;"Arial,Bold"&amp;18Agenda Item 7–A.5</oddHeader>
    <oddFooter>&amp;R&amp;P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A3DB-E4EF-42F3-A70D-05F69A8FD238}">
  <dimension ref="A1:I98"/>
  <sheetViews>
    <sheetView zoomScale="80" zoomScaleNormal="80" workbookViewId="0">
      <pane xSplit="4" ySplit="1" topLeftCell="E82" activePane="bottomRight" state="frozen"/>
      <selection pane="topRight" activeCell="E1" sqref="E1"/>
      <selection pane="bottomLeft" activeCell="A2" sqref="A2"/>
      <selection pane="bottomRight" activeCell="C85" sqref="C85"/>
    </sheetView>
  </sheetViews>
  <sheetFormatPr defaultColWidth="30.77734375" defaultRowHeight="13.2" outlineLevelCol="1" x14ac:dyDescent="0.25"/>
  <cols>
    <col min="1" max="1" width="50.77734375" style="2" hidden="1" customWidth="1" outlineLevel="1"/>
    <col min="2" max="2" width="30.77734375" style="3" collapsed="1"/>
    <col min="3" max="4" width="30.77734375" style="2" customWidth="1" outlineLevel="1"/>
    <col min="5" max="5" width="6.21875" style="3" bestFit="1" customWidth="1"/>
    <col min="6" max="6" width="30.5546875" style="3" bestFit="1" customWidth="1"/>
    <col min="7" max="7" width="8.77734375" style="3" bestFit="1" customWidth="1"/>
    <col min="8" max="8" width="31.6640625" style="3" bestFit="1" customWidth="1"/>
    <col min="9" max="9" width="5.44140625" style="3" bestFit="1" customWidth="1"/>
    <col min="10" max="16384" width="30.77734375" style="2"/>
  </cols>
  <sheetData>
    <row r="1" spans="1:9" s="1" customFormat="1" ht="26.4" x14ac:dyDescent="0.25">
      <c r="A1" s="5" t="s">
        <v>100</v>
      </c>
      <c r="B1" s="13" t="s">
        <v>436</v>
      </c>
      <c r="C1" s="5" t="s">
        <v>101</v>
      </c>
      <c r="D1" s="5" t="s">
        <v>102</v>
      </c>
      <c r="E1" s="21" t="s">
        <v>218</v>
      </c>
      <c r="F1" s="22" t="s">
        <v>219</v>
      </c>
      <c r="G1" s="23" t="s">
        <v>220</v>
      </c>
      <c r="H1" s="24" t="s">
        <v>221</v>
      </c>
      <c r="I1" s="25" t="s">
        <v>63</v>
      </c>
    </row>
    <row r="2" spans="1:9" x14ac:dyDescent="0.25">
      <c r="A2" s="6" t="s">
        <v>253</v>
      </c>
      <c r="B2" s="7" t="s">
        <v>345</v>
      </c>
      <c r="C2" s="6" t="s">
        <v>104</v>
      </c>
      <c r="D2" s="6" t="s">
        <v>105</v>
      </c>
      <c r="E2" s="4">
        <v>0</v>
      </c>
      <c r="F2" s="4">
        <v>0</v>
      </c>
      <c r="G2" s="4">
        <v>0</v>
      </c>
      <c r="H2" s="4">
        <v>1</v>
      </c>
      <c r="I2" s="26">
        <f>SUM(E2:H2)</f>
        <v>1</v>
      </c>
    </row>
    <row r="3" spans="1:9" x14ac:dyDescent="0.25">
      <c r="A3" s="6" t="s">
        <v>254</v>
      </c>
      <c r="B3" s="7" t="s">
        <v>346</v>
      </c>
      <c r="C3" s="6" t="s">
        <v>104</v>
      </c>
      <c r="D3" s="6" t="s">
        <v>105</v>
      </c>
      <c r="E3" s="4">
        <v>0</v>
      </c>
      <c r="F3" s="4">
        <v>0</v>
      </c>
      <c r="G3" s="4">
        <v>0</v>
      </c>
      <c r="H3" s="4">
        <v>1</v>
      </c>
      <c r="I3" s="26">
        <f t="shared" ref="I3:I66" si="0">SUM(E3:H3)</f>
        <v>1</v>
      </c>
    </row>
    <row r="4" spans="1:9" x14ac:dyDescent="0.25">
      <c r="A4" s="6" t="s">
        <v>255</v>
      </c>
      <c r="B4" s="7" t="s">
        <v>347</v>
      </c>
      <c r="C4" s="6" t="s">
        <v>104</v>
      </c>
      <c r="D4" s="6" t="s">
        <v>105</v>
      </c>
      <c r="E4" s="4">
        <v>0</v>
      </c>
      <c r="F4" s="4">
        <v>0</v>
      </c>
      <c r="G4" s="4">
        <v>0</v>
      </c>
      <c r="H4" s="4">
        <v>1</v>
      </c>
      <c r="I4" s="26">
        <f t="shared" si="0"/>
        <v>1</v>
      </c>
    </row>
    <row r="5" spans="1:9" x14ac:dyDescent="0.25">
      <c r="A5" s="6" t="s">
        <v>256</v>
      </c>
      <c r="B5" s="7" t="s">
        <v>348</v>
      </c>
      <c r="C5" s="6" t="s">
        <v>104</v>
      </c>
      <c r="D5" s="6" t="s">
        <v>105</v>
      </c>
      <c r="E5" s="4">
        <v>0</v>
      </c>
      <c r="F5" s="4">
        <v>1</v>
      </c>
      <c r="G5" s="4">
        <v>0</v>
      </c>
      <c r="H5" s="4">
        <v>0</v>
      </c>
      <c r="I5" s="26">
        <f t="shared" si="0"/>
        <v>1</v>
      </c>
    </row>
    <row r="6" spans="1:9" x14ac:dyDescent="0.25">
      <c r="A6" s="6" t="s">
        <v>257</v>
      </c>
      <c r="B6" s="7" t="s">
        <v>349</v>
      </c>
      <c r="C6" s="6" t="s">
        <v>110</v>
      </c>
      <c r="D6" s="6" t="s">
        <v>105</v>
      </c>
      <c r="E6" s="4">
        <v>0</v>
      </c>
      <c r="F6" s="4">
        <v>0</v>
      </c>
      <c r="G6" s="4">
        <v>0</v>
      </c>
      <c r="H6" s="4">
        <v>1</v>
      </c>
      <c r="I6" s="26">
        <f t="shared" si="0"/>
        <v>1</v>
      </c>
    </row>
    <row r="7" spans="1:9" ht="26.4" x14ac:dyDescent="0.25">
      <c r="A7" s="6" t="s">
        <v>258</v>
      </c>
      <c r="B7" s="7" t="s">
        <v>350</v>
      </c>
      <c r="C7" s="6" t="s">
        <v>113</v>
      </c>
      <c r="D7" s="6" t="s">
        <v>114</v>
      </c>
      <c r="E7" s="4">
        <v>0</v>
      </c>
      <c r="F7" s="4">
        <v>0</v>
      </c>
      <c r="G7" s="4">
        <v>0</v>
      </c>
      <c r="H7" s="4">
        <v>1</v>
      </c>
      <c r="I7" s="26">
        <f t="shared" si="0"/>
        <v>1</v>
      </c>
    </row>
    <row r="8" spans="1:9" ht="26.4" x14ac:dyDescent="0.25">
      <c r="A8" s="6" t="s">
        <v>259</v>
      </c>
      <c r="B8" s="7" t="s">
        <v>351</v>
      </c>
      <c r="C8" s="6" t="s">
        <v>113</v>
      </c>
      <c r="D8" s="6" t="s">
        <v>116</v>
      </c>
      <c r="E8" s="4">
        <v>0</v>
      </c>
      <c r="F8" s="4">
        <v>1</v>
      </c>
      <c r="G8" s="4">
        <v>0</v>
      </c>
      <c r="H8" s="4">
        <v>0</v>
      </c>
      <c r="I8" s="26">
        <f t="shared" si="0"/>
        <v>1</v>
      </c>
    </row>
    <row r="9" spans="1:9" ht="26.4" x14ac:dyDescent="0.25">
      <c r="A9" s="6" t="s">
        <v>260</v>
      </c>
      <c r="B9" s="7" t="s">
        <v>352</v>
      </c>
      <c r="C9" s="6" t="s">
        <v>113</v>
      </c>
      <c r="D9" s="6" t="s">
        <v>118</v>
      </c>
      <c r="E9" s="4">
        <v>0</v>
      </c>
      <c r="F9" s="4">
        <v>1</v>
      </c>
      <c r="G9" s="4">
        <v>0</v>
      </c>
      <c r="H9" s="4">
        <v>0</v>
      </c>
      <c r="I9" s="26">
        <f t="shared" si="0"/>
        <v>1</v>
      </c>
    </row>
    <row r="10" spans="1:9" ht="26.4" x14ac:dyDescent="0.25">
      <c r="A10" s="6" t="s">
        <v>261</v>
      </c>
      <c r="B10" s="7" t="s">
        <v>353</v>
      </c>
      <c r="C10" s="6" t="s">
        <v>113</v>
      </c>
      <c r="D10" s="6" t="s">
        <v>116</v>
      </c>
      <c r="E10" s="4">
        <v>0</v>
      </c>
      <c r="F10" s="4">
        <v>1</v>
      </c>
      <c r="G10" s="4">
        <v>0</v>
      </c>
      <c r="H10" s="4">
        <v>0</v>
      </c>
      <c r="I10" s="26">
        <f t="shared" si="0"/>
        <v>1</v>
      </c>
    </row>
    <row r="11" spans="1:9" ht="26.4" x14ac:dyDescent="0.25">
      <c r="A11" s="6" t="s">
        <v>262</v>
      </c>
      <c r="B11" s="7" t="s">
        <v>354</v>
      </c>
      <c r="C11" s="6" t="s">
        <v>121</v>
      </c>
      <c r="D11" s="6" t="s">
        <v>114</v>
      </c>
      <c r="E11" s="4">
        <v>0</v>
      </c>
      <c r="F11" s="4">
        <v>0</v>
      </c>
      <c r="G11" s="4">
        <v>1</v>
      </c>
      <c r="H11" s="4">
        <v>0</v>
      </c>
      <c r="I11" s="26">
        <f t="shared" si="0"/>
        <v>1</v>
      </c>
    </row>
    <row r="12" spans="1:9" ht="26.4" x14ac:dyDescent="0.25">
      <c r="A12" s="6" t="s">
        <v>263</v>
      </c>
      <c r="B12" s="7" t="s">
        <v>355</v>
      </c>
      <c r="C12" s="6" t="s">
        <v>121</v>
      </c>
      <c r="D12" s="6" t="s">
        <v>123</v>
      </c>
      <c r="E12" s="4">
        <v>0</v>
      </c>
      <c r="F12" s="4">
        <v>0</v>
      </c>
      <c r="G12" s="4">
        <v>1</v>
      </c>
      <c r="H12" s="4">
        <v>0</v>
      </c>
      <c r="I12" s="26">
        <f t="shared" si="0"/>
        <v>1</v>
      </c>
    </row>
    <row r="13" spans="1:9" ht="26.4" x14ac:dyDescent="0.25">
      <c r="A13" s="6" t="s">
        <v>264</v>
      </c>
      <c r="B13" s="7" t="s">
        <v>356</v>
      </c>
      <c r="C13" s="6" t="s">
        <v>121</v>
      </c>
      <c r="D13" s="6" t="s">
        <v>114</v>
      </c>
      <c r="E13" s="4">
        <v>0</v>
      </c>
      <c r="F13" s="4">
        <v>0</v>
      </c>
      <c r="G13" s="4">
        <v>0</v>
      </c>
      <c r="H13" s="4">
        <v>1</v>
      </c>
      <c r="I13" s="26">
        <f t="shared" si="0"/>
        <v>1</v>
      </c>
    </row>
    <row r="14" spans="1:9" ht="26.4" x14ac:dyDescent="0.25">
      <c r="A14" s="6" t="s">
        <v>265</v>
      </c>
      <c r="B14" s="7" t="s">
        <v>357</v>
      </c>
      <c r="C14" s="6" t="s">
        <v>121</v>
      </c>
      <c r="D14" s="6" t="s">
        <v>123</v>
      </c>
      <c r="E14" s="4">
        <v>0</v>
      </c>
      <c r="F14" s="4">
        <v>0</v>
      </c>
      <c r="G14" s="4">
        <v>0</v>
      </c>
      <c r="H14" s="4">
        <v>1</v>
      </c>
      <c r="I14" s="26">
        <f t="shared" si="0"/>
        <v>1</v>
      </c>
    </row>
    <row r="15" spans="1:9" ht="26.4" x14ac:dyDescent="0.25">
      <c r="A15" s="6" t="s">
        <v>266</v>
      </c>
      <c r="B15" s="7" t="s">
        <v>358</v>
      </c>
      <c r="C15" s="6" t="s">
        <v>121</v>
      </c>
      <c r="D15" s="6" t="s">
        <v>116</v>
      </c>
      <c r="E15" s="4">
        <v>1</v>
      </c>
      <c r="F15" s="4">
        <v>0</v>
      </c>
      <c r="G15" s="4">
        <v>0</v>
      </c>
      <c r="H15" s="4">
        <v>0</v>
      </c>
      <c r="I15" s="26">
        <f t="shared" si="0"/>
        <v>1</v>
      </c>
    </row>
    <row r="16" spans="1:9" ht="26.4" x14ac:dyDescent="0.25">
      <c r="A16" s="6" t="s">
        <v>267</v>
      </c>
      <c r="B16" s="7" t="s">
        <v>359</v>
      </c>
      <c r="C16" s="6" t="s">
        <v>121</v>
      </c>
      <c r="D16" s="6" t="s">
        <v>128</v>
      </c>
      <c r="E16" s="4">
        <v>0</v>
      </c>
      <c r="F16" s="4">
        <v>1</v>
      </c>
      <c r="G16" s="4">
        <v>0</v>
      </c>
      <c r="H16" s="4">
        <v>0</v>
      </c>
      <c r="I16" s="26">
        <f t="shared" si="0"/>
        <v>1</v>
      </c>
    </row>
    <row r="17" spans="1:9" ht="26.4" x14ac:dyDescent="0.25">
      <c r="A17" s="6" t="s">
        <v>268</v>
      </c>
      <c r="B17" s="7" t="s">
        <v>360</v>
      </c>
      <c r="C17" s="6" t="s">
        <v>121</v>
      </c>
      <c r="D17" s="6" t="s">
        <v>123</v>
      </c>
      <c r="E17" s="4">
        <v>0</v>
      </c>
      <c r="F17" s="4">
        <v>1</v>
      </c>
      <c r="G17" s="4">
        <v>0</v>
      </c>
      <c r="H17" s="4">
        <v>0</v>
      </c>
      <c r="I17" s="26">
        <f t="shared" si="0"/>
        <v>1</v>
      </c>
    </row>
    <row r="18" spans="1:9" ht="26.4" x14ac:dyDescent="0.25">
      <c r="A18" s="6" t="s">
        <v>269</v>
      </c>
      <c r="B18" s="7" t="s">
        <v>361</v>
      </c>
      <c r="C18" s="6" t="s">
        <v>121</v>
      </c>
      <c r="D18" s="6" t="s">
        <v>116</v>
      </c>
      <c r="E18" s="4">
        <v>0</v>
      </c>
      <c r="F18" s="4">
        <v>0</v>
      </c>
      <c r="G18" s="4">
        <v>1</v>
      </c>
      <c r="H18" s="4">
        <v>0</v>
      </c>
      <c r="I18" s="26">
        <f t="shared" si="0"/>
        <v>1</v>
      </c>
    </row>
    <row r="19" spans="1:9" ht="26.4" x14ac:dyDescent="0.25">
      <c r="A19" s="6" t="s">
        <v>270</v>
      </c>
      <c r="B19" s="7" t="s">
        <v>362</v>
      </c>
      <c r="C19" s="6" t="s">
        <v>121</v>
      </c>
      <c r="D19" s="6" t="s">
        <v>123</v>
      </c>
      <c r="E19" s="4">
        <v>0</v>
      </c>
      <c r="F19" s="4">
        <v>1</v>
      </c>
      <c r="G19" s="4">
        <v>0</v>
      </c>
      <c r="H19" s="4">
        <v>0</v>
      </c>
      <c r="I19" s="26">
        <f t="shared" si="0"/>
        <v>1</v>
      </c>
    </row>
    <row r="20" spans="1:9" ht="26.4" x14ac:dyDescent="0.25">
      <c r="A20" s="6" t="s">
        <v>271</v>
      </c>
      <c r="B20" s="7" t="s">
        <v>363</v>
      </c>
      <c r="C20" s="6" t="s">
        <v>121</v>
      </c>
      <c r="D20" s="6" t="s">
        <v>116</v>
      </c>
      <c r="E20" s="4">
        <v>0</v>
      </c>
      <c r="F20" s="4">
        <v>1</v>
      </c>
      <c r="G20" s="4">
        <v>0</v>
      </c>
      <c r="H20" s="4">
        <v>0</v>
      </c>
      <c r="I20" s="26">
        <f t="shared" si="0"/>
        <v>1</v>
      </c>
    </row>
    <row r="21" spans="1:9" ht="26.4" x14ac:dyDescent="0.25">
      <c r="A21" s="6" t="s">
        <v>272</v>
      </c>
      <c r="B21" s="7" t="s">
        <v>364</v>
      </c>
      <c r="C21" s="6" t="s">
        <v>121</v>
      </c>
      <c r="D21" s="6" t="s">
        <v>123</v>
      </c>
      <c r="E21" s="4">
        <v>0</v>
      </c>
      <c r="F21" s="4">
        <v>0</v>
      </c>
      <c r="G21" s="4">
        <v>1</v>
      </c>
      <c r="H21" s="4">
        <v>0</v>
      </c>
      <c r="I21" s="26">
        <f t="shared" si="0"/>
        <v>1</v>
      </c>
    </row>
    <row r="22" spans="1:9" ht="26.4" x14ac:dyDescent="0.25">
      <c r="A22" s="6" t="s">
        <v>273</v>
      </c>
      <c r="B22" s="7" t="s">
        <v>365</v>
      </c>
      <c r="C22" s="6" t="s">
        <v>121</v>
      </c>
      <c r="D22" s="6" t="s">
        <v>123</v>
      </c>
      <c r="E22" s="4">
        <v>0</v>
      </c>
      <c r="F22" s="4">
        <v>0</v>
      </c>
      <c r="G22" s="4">
        <v>1</v>
      </c>
      <c r="H22" s="4">
        <v>0</v>
      </c>
      <c r="I22" s="26">
        <f t="shared" si="0"/>
        <v>1</v>
      </c>
    </row>
    <row r="23" spans="1:9" ht="26.4" x14ac:dyDescent="0.25">
      <c r="A23" s="6" t="s">
        <v>274</v>
      </c>
      <c r="B23" s="7" t="s">
        <v>366</v>
      </c>
      <c r="C23" s="6" t="s">
        <v>121</v>
      </c>
      <c r="D23" s="6" t="s">
        <v>116</v>
      </c>
      <c r="E23" s="4">
        <v>0</v>
      </c>
      <c r="F23" s="4">
        <v>0</v>
      </c>
      <c r="G23" s="4">
        <v>1</v>
      </c>
      <c r="H23" s="4">
        <v>0</v>
      </c>
      <c r="I23" s="26">
        <f t="shared" si="0"/>
        <v>1</v>
      </c>
    </row>
    <row r="24" spans="1:9" x14ac:dyDescent="0.25">
      <c r="A24" s="6" t="s">
        <v>275</v>
      </c>
      <c r="B24" s="7" t="s">
        <v>367</v>
      </c>
      <c r="C24" s="6" t="s">
        <v>138</v>
      </c>
      <c r="D24" s="6" t="s">
        <v>105</v>
      </c>
      <c r="E24" s="4">
        <v>0</v>
      </c>
      <c r="F24" s="4">
        <v>1</v>
      </c>
      <c r="G24" s="4">
        <v>0</v>
      </c>
      <c r="H24" s="4">
        <v>0</v>
      </c>
      <c r="I24" s="26">
        <f t="shared" si="0"/>
        <v>1</v>
      </c>
    </row>
    <row r="25" spans="1:9" x14ac:dyDescent="0.25">
      <c r="A25" s="6" t="s">
        <v>276</v>
      </c>
      <c r="B25" s="7" t="s">
        <v>368</v>
      </c>
      <c r="C25" s="6" t="s">
        <v>138</v>
      </c>
      <c r="D25" s="6" t="s">
        <v>114</v>
      </c>
      <c r="E25" s="4">
        <v>0</v>
      </c>
      <c r="F25" s="4">
        <v>1</v>
      </c>
      <c r="G25" s="4">
        <v>0</v>
      </c>
      <c r="H25" s="4">
        <v>0</v>
      </c>
      <c r="I25" s="26">
        <f t="shared" si="0"/>
        <v>1</v>
      </c>
    </row>
    <row r="26" spans="1:9" x14ac:dyDescent="0.25">
      <c r="A26" s="6" t="s">
        <v>277</v>
      </c>
      <c r="B26" s="7" t="s">
        <v>369</v>
      </c>
      <c r="C26" s="6" t="s">
        <v>138</v>
      </c>
      <c r="D26" s="6" t="s">
        <v>105</v>
      </c>
      <c r="E26" s="4">
        <v>0</v>
      </c>
      <c r="F26" s="4">
        <v>1</v>
      </c>
      <c r="G26" s="4">
        <v>0</v>
      </c>
      <c r="H26" s="4">
        <v>0</v>
      </c>
      <c r="I26" s="26">
        <f t="shared" si="0"/>
        <v>1</v>
      </c>
    </row>
    <row r="27" spans="1:9" x14ac:dyDescent="0.25">
      <c r="A27" s="6" t="s">
        <v>278</v>
      </c>
      <c r="B27" s="7" t="s">
        <v>370</v>
      </c>
      <c r="C27" s="6" t="s">
        <v>138</v>
      </c>
      <c r="D27" s="6" t="s">
        <v>123</v>
      </c>
      <c r="E27" s="4">
        <v>0</v>
      </c>
      <c r="F27" s="4">
        <v>0</v>
      </c>
      <c r="G27" s="4">
        <v>0</v>
      </c>
      <c r="H27" s="4">
        <v>1</v>
      </c>
      <c r="I27" s="26">
        <f t="shared" si="0"/>
        <v>1</v>
      </c>
    </row>
    <row r="28" spans="1:9" x14ac:dyDescent="0.25">
      <c r="A28" s="6" t="s">
        <v>279</v>
      </c>
      <c r="B28" s="7" t="s">
        <v>371</v>
      </c>
      <c r="C28" s="6" t="s">
        <v>138</v>
      </c>
      <c r="D28" s="6" t="s">
        <v>105</v>
      </c>
      <c r="E28" s="4">
        <v>0</v>
      </c>
      <c r="F28" s="4">
        <v>1</v>
      </c>
      <c r="G28" s="4">
        <v>0</v>
      </c>
      <c r="H28" s="4">
        <v>0</v>
      </c>
      <c r="I28" s="26">
        <f t="shared" si="0"/>
        <v>1</v>
      </c>
    </row>
    <row r="29" spans="1:9" x14ac:dyDescent="0.25">
      <c r="A29" s="6" t="s">
        <v>280</v>
      </c>
      <c r="B29" s="7" t="s">
        <v>372</v>
      </c>
      <c r="C29" s="6" t="s">
        <v>138</v>
      </c>
      <c r="D29" s="6" t="s">
        <v>105</v>
      </c>
      <c r="E29" s="4">
        <v>0</v>
      </c>
      <c r="F29" s="4">
        <v>0</v>
      </c>
      <c r="G29" s="4">
        <v>1</v>
      </c>
      <c r="H29" s="4">
        <v>0</v>
      </c>
      <c r="I29" s="26">
        <f t="shared" si="0"/>
        <v>1</v>
      </c>
    </row>
    <row r="30" spans="1:9" x14ac:dyDescent="0.25">
      <c r="A30" s="6" t="s">
        <v>281</v>
      </c>
      <c r="B30" s="7" t="s">
        <v>373</v>
      </c>
      <c r="C30" s="6" t="s">
        <v>138</v>
      </c>
      <c r="D30" s="6" t="s">
        <v>116</v>
      </c>
      <c r="E30" s="4">
        <v>0</v>
      </c>
      <c r="F30" s="4">
        <v>1</v>
      </c>
      <c r="G30" s="4">
        <v>0</v>
      </c>
      <c r="H30" s="4">
        <v>0</v>
      </c>
      <c r="I30" s="26">
        <f t="shared" si="0"/>
        <v>1</v>
      </c>
    </row>
    <row r="31" spans="1:9" x14ac:dyDescent="0.25">
      <c r="A31" s="6" t="s">
        <v>282</v>
      </c>
      <c r="B31" s="7" t="s">
        <v>374</v>
      </c>
      <c r="C31" s="6" t="s">
        <v>138</v>
      </c>
      <c r="D31" s="6" t="s">
        <v>118</v>
      </c>
      <c r="E31" s="4">
        <v>0</v>
      </c>
      <c r="F31" s="4">
        <v>0</v>
      </c>
      <c r="G31" s="4">
        <v>1</v>
      </c>
      <c r="H31" s="4">
        <v>0</v>
      </c>
      <c r="I31" s="26">
        <f t="shared" si="0"/>
        <v>1</v>
      </c>
    </row>
    <row r="32" spans="1:9" x14ac:dyDescent="0.25">
      <c r="A32" s="6" t="s">
        <v>283</v>
      </c>
      <c r="B32" s="7" t="s">
        <v>375</v>
      </c>
      <c r="C32" s="6" t="s">
        <v>138</v>
      </c>
      <c r="D32" s="6" t="s">
        <v>105</v>
      </c>
      <c r="E32" s="4">
        <v>0</v>
      </c>
      <c r="F32" s="4">
        <v>0</v>
      </c>
      <c r="G32" s="4">
        <v>1</v>
      </c>
      <c r="H32" s="4">
        <v>0</v>
      </c>
      <c r="I32" s="26">
        <f t="shared" si="0"/>
        <v>1</v>
      </c>
    </row>
    <row r="33" spans="1:9" x14ac:dyDescent="0.25">
      <c r="A33" s="6" t="s">
        <v>284</v>
      </c>
      <c r="B33" s="7" t="s">
        <v>376</v>
      </c>
      <c r="C33" s="6" t="s">
        <v>138</v>
      </c>
      <c r="D33" s="6" t="s">
        <v>105</v>
      </c>
      <c r="E33" s="4">
        <v>0</v>
      </c>
      <c r="F33" s="4">
        <v>0</v>
      </c>
      <c r="G33" s="4">
        <v>1</v>
      </c>
      <c r="H33" s="4">
        <v>0</v>
      </c>
      <c r="I33" s="26">
        <f t="shared" si="0"/>
        <v>1</v>
      </c>
    </row>
    <row r="34" spans="1:9" x14ac:dyDescent="0.25">
      <c r="A34" s="6" t="s">
        <v>285</v>
      </c>
      <c r="B34" s="7" t="s">
        <v>377</v>
      </c>
      <c r="C34" s="6" t="s">
        <v>138</v>
      </c>
      <c r="D34" s="6" t="s">
        <v>116</v>
      </c>
      <c r="E34" s="4">
        <v>1</v>
      </c>
      <c r="F34" s="4">
        <v>0</v>
      </c>
      <c r="G34" s="4">
        <v>0</v>
      </c>
      <c r="H34" s="4">
        <v>0</v>
      </c>
      <c r="I34" s="26">
        <f t="shared" si="0"/>
        <v>1</v>
      </c>
    </row>
    <row r="35" spans="1:9" x14ac:dyDescent="0.25">
      <c r="A35" s="6" t="s">
        <v>286</v>
      </c>
      <c r="B35" s="7" t="s">
        <v>378</v>
      </c>
      <c r="C35" s="6" t="s">
        <v>138</v>
      </c>
      <c r="D35" s="6" t="s">
        <v>105</v>
      </c>
      <c r="E35" s="4">
        <v>0</v>
      </c>
      <c r="F35" s="4">
        <v>1</v>
      </c>
      <c r="G35" s="4">
        <v>0</v>
      </c>
      <c r="H35" s="4">
        <v>0</v>
      </c>
      <c r="I35" s="26">
        <f t="shared" si="0"/>
        <v>1</v>
      </c>
    </row>
    <row r="36" spans="1:9" x14ac:dyDescent="0.25">
      <c r="A36" s="6" t="s">
        <v>287</v>
      </c>
      <c r="B36" s="7" t="s">
        <v>379</v>
      </c>
      <c r="C36" s="6" t="s">
        <v>138</v>
      </c>
      <c r="D36" s="6" t="s">
        <v>105</v>
      </c>
      <c r="E36" s="4">
        <v>0</v>
      </c>
      <c r="F36" s="4">
        <v>1</v>
      </c>
      <c r="G36" s="4">
        <v>0</v>
      </c>
      <c r="H36" s="4">
        <v>0</v>
      </c>
      <c r="I36" s="26">
        <f t="shared" si="0"/>
        <v>1</v>
      </c>
    </row>
    <row r="37" spans="1:9" x14ac:dyDescent="0.25">
      <c r="A37" s="6" t="s">
        <v>288</v>
      </c>
      <c r="B37" s="7" t="s">
        <v>380</v>
      </c>
      <c r="C37" s="6" t="s">
        <v>138</v>
      </c>
      <c r="D37" s="6" t="s">
        <v>105</v>
      </c>
      <c r="E37" s="4">
        <v>0</v>
      </c>
      <c r="F37" s="4">
        <v>1</v>
      </c>
      <c r="G37" s="4">
        <v>0</v>
      </c>
      <c r="H37" s="4">
        <v>0</v>
      </c>
      <c r="I37" s="26">
        <f t="shared" si="0"/>
        <v>1</v>
      </c>
    </row>
    <row r="38" spans="1:9" x14ac:dyDescent="0.25">
      <c r="A38" s="6" t="s">
        <v>289</v>
      </c>
      <c r="B38" s="7" t="s">
        <v>381</v>
      </c>
      <c r="C38" s="6" t="s">
        <v>138</v>
      </c>
      <c r="D38" s="6" t="s">
        <v>114</v>
      </c>
      <c r="E38" s="4">
        <v>0</v>
      </c>
      <c r="F38" s="4">
        <v>1</v>
      </c>
      <c r="G38" s="4">
        <v>0</v>
      </c>
      <c r="H38" s="4">
        <v>0</v>
      </c>
      <c r="I38" s="26">
        <f t="shared" si="0"/>
        <v>1</v>
      </c>
    </row>
    <row r="39" spans="1:9" x14ac:dyDescent="0.25">
      <c r="A39" s="6" t="s">
        <v>290</v>
      </c>
      <c r="B39" s="7" t="s">
        <v>382</v>
      </c>
      <c r="C39" s="6" t="s">
        <v>138</v>
      </c>
      <c r="D39" s="6" t="s">
        <v>114</v>
      </c>
      <c r="E39" s="4">
        <v>0</v>
      </c>
      <c r="F39" s="4">
        <v>1</v>
      </c>
      <c r="G39" s="4">
        <v>0</v>
      </c>
      <c r="H39" s="4">
        <v>0</v>
      </c>
      <c r="I39" s="26">
        <f t="shared" si="0"/>
        <v>1</v>
      </c>
    </row>
    <row r="40" spans="1:9" x14ac:dyDescent="0.25">
      <c r="A40" s="6" t="s">
        <v>291</v>
      </c>
      <c r="B40" s="7" t="s">
        <v>383</v>
      </c>
      <c r="C40" s="6" t="s">
        <v>138</v>
      </c>
      <c r="D40" s="6" t="s">
        <v>105</v>
      </c>
      <c r="E40" s="4">
        <v>0</v>
      </c>
      <c r="F40" s="4">
        <v>1</v>
      </c>
      <c r="G40" s="4">
        <v>0</v>
      </c>
      <c r="H40" s="4">
        <v>0</v>
      </c>
      <c r="I40" s="26">
        <f t="shared" si="0"/>
        <v>1</v>
      </c>
    </row>
    <row r="41" spans="1:9" x14ac:dyDescent="0.25">
      <c r="A41" s="6" t="s">
        <v>292</v>
      </c>
      <c r="B41" s="7" t="s">
        <v>384</v>
      </c>
      <c r="C41" s="6" t="s">
        <v>138</v>
      </c>
      <c r="D41" s="6" t="s">
        <v>105</v>
      </c>
      <c r="E41" s="4">
        <v>0</v>
      </c>
      <c r="F41" s="4">
        <v>1</v>
      </c>
      <c r="G41" s="4">
        <v>0</v>
      </c>
      <c r="H41" s="4">
        <v>0</v>
      </c>
      <c r="I41" s="26">
        <f t="shared" si="0"/>
        <v>1</v>
      </c>
    </row>
    <row r="42" spans="1:9" x14ac:dyDescent="0.25">
      <c r="A42" s="6" t="s">
        <v>293</v>
      </c>
      <c r="B42" s="7" t="s">
        <v>385</v>
      </c>
      <c r="C42" s="6" t="s">
        <v>138</v>
      </c>
      <c r="D42" s="6" t="s">
        <v>116</v>
      </c>
      <c r="E42" s="4">
        <v>0</v>
      </c>
      <c r="F42" s="4">
        <v>0</v>
      </c>
      <c r="G42" s="4">
        <v>1</v>
      </c>
      <c r="H42" s="4">
        <v>0</v>
      </c>
      <c r="I42" s="26">
        <f t="shared" si="0"/>
        <v>1</v>
      </c>
    </row>
    <row r="43" spans="1:9" x14ac:dyDescent="0.25">
      <c r="A43" s="6" t="s">
        <v>294</v>
      </c>
      <c r="B43" s="7" t="s">
        <v>386</v>
      </c>
      <c r="C43" s="6" t="s">
        <v>138</v>
      </c>
      <c r="D43" s="6" t="s">
        <v>105</v>
      </c>
      <c r="E43" s="4">
        <v>0</v>
      </c>
      <c r="F43" s="4">
        <v>1</v>
      </c>
      <c r="G43" s="4">
        <v>0</v>
      </c>
      <c r="H43" s="4">
        <v>0</v>
      </c>
      <c r="I43" s="26">
        <f t="shared" si="0"/>
        <v>1</v>
      </c>
    </row>
    <row r="44" spans="1:9" x14ac:dyDescent="0.25">
      <c r="A44" s="6" t="s">
        <v>295</v>
      </c>
      <c r="B44" s="7" t="s">
        <v>387</v>
      </c>
      <c r="C44" s="6" t="s">
        <v>138</v>
      </c>
      <c r="D44" s="6" t="s">
        <v>118</v>
      </c>
      <c r="E44" s="4">
        <v>1</v>
      </c>
      <c r="F44" s="4">
        <v>0</v>
      </c>
      <c r="G44" s="4">
        <v>0</v>
      </c>
      <c r="H44" s="4">
        <v>0</v>
      </c>
      <c r="I44" s="26">
        <f t="shared" si="0"/>
        <v>1</v>
      </c>
    </row>
    <row r="45" spans="1:9" x14ac:dyDescent="0.25">
      <c r="A45" s="6" t="s">
        <v>296</v>
      </c>
      <c r="B45" s="7" t="s">
        <v>388</v>
      </c>
      <c r="C45" s="6" t="s">
        <v>138</v>
      </c>
      <c r="D45" s="6" t="s">
        <v>105</v>
      </c>
      <c r="E45" s="4">
        <v>0</v>
      </c>
      <c r="F45" s="4">
        <v>0</v>
      </c>
      <c r="G45" s="4">
        <v>1</v>
      </c>
      <c r="H45" s="4">
        <v>0</v>
      </c>
      <c r="I45" s="26">
        <f t="shared" si="0"/>
        <v>1</v>
      </c>
    </row>
    <row r="46" spans="1:9" x14ac:dyDescent="0.25">
      <c r="A46" s="6" t="s">
        <v>297</v>
      </c>
      <c r="B46" s="7" t="s">
        <v>389</v>
      </c>
      <c r="C46" s="6" t="s">
        <v>138</v>
      </c>
      <c r="D46" s="6" t="s">
        <v>105</v>
      </c>
      <c r="E46" s="4">
        <v>1</v>
      </c>
      <c r="F46" s="4">
        <v>0</v>
      </c>
      <c r="G46" s="4">
        <v>0</v>
      </c>
      <c r="H46" s="4">
        <v>0</v>
      </c>
      <c r="I46" s="26">
        <f t="shared" si="0"/>
        <v>1</v>
      </c>
    </row>
    <row r="47" spans="1:9" x14ac:dyDescent="0.25">
      <c r="A47" s="6" t="s">
        <v>298</v>
      </c>
      <c r="B47" s="7" t="s">
        <v>390</v>
      </c>
      <c r="C47" s="6" t="s">
        <v>164</v>
      </c>
      <c r="D47" s="6" t="s">
        <v>118</v>
      </c>
      <c r="E47" s="4">
        <v>1</v>
      </c>
      <c r="F47" s="4">
        <v>0</v>
      </c>
      <c r="G47" s="4">
        <v>0</v>
      </c>
      <c r="H47" s="4">
        <v>0</v>
      </c>
      <c r="I47" s="26">
        <f t="shared" si="0"/>
        <v>1</v>
      </c>
    </row>
    <row r="48" spans="1:9" x14ac:dyDescent="0.25">
      <c r="A48" s="6" t="s">
        <v>299</v>
      </c>
      <c r="B48" s="7" t="s">
        <v>391</v>
      </c>
      <c r="C48" s="6" t="s">
        <v>164</v>
      </c>
      <c r="D48" s="6" t="s">
        <v>123</v>
      </c>
      <c r="E48" s="4">
        <v>1</v>
      </c>
      <c r="F48" s="4">
        <v>0</v>
      </c>
      <c r="G48" s="4">
        <v>0</v>
      </c>
      <c r="H48" s="4">
        <v>0</v>
      </c>
      <c r="I48" s="26">
        <f t="shared" si="0"/>
        <v>1</v>
      </c>
    </row>
    <row r="49" spans="1:9" x14ac:dyDescent="0.25">
      <c r="A49" s="6" t="s">
        <v>300</v>
      </c>
      <c r="B49" s="7" t="s">
        <v>392</v>
      </c>
      <c r="C49" s="6" t="s">
        <v>164</v>
      </c>
      <c r="D49" s="6" t="s">
        <v>105</v>
      </c>
      <c r="E49" s="4">
        <v>1</v>
      </c>
      <c r="F49" s="4">
        <v>0</v>
      </c>
      <c r="G49" s="4">
        <v>0</v>
      </c>
      <c r="H49" s="4">
        <v>0</v>
      </c>
      <c r="I49" s="26">
        <f t="shared" si="0"/>
        <v>1</v>
      </c>
    </row>
    <row r="50" spans="1:9" x14ac:dyDescent="0.25">
      <c r="A50" s="6" t="s">
        <v>301</v>
      </c>
      <c r="B50" s="7" t="s">
        <v>393</v>
      </c>
      <c r="C50" s="6" t="s">
        <v>164</v>
      </c>
      <c r="D50" s="6" t="s">
        <v>116</v>
      </c>
      <c r="E50" s="4">
        <v>1</v>
      </c>
      <c r="F50" s="4">
        <v>0</v>
      </c>
      <c r="G50" s="4">
        <v>0</v>
      </c>
      <c r="H50" s="4">
        <v>0</v>
      </c>
      <c r="I50" s="26">
        <f t="shared" si="0"/>
        <v>1</v>
      </c>
    </row>
    <row r="51" spans="1:9" x14ac:dyDescent="0.25">
      <c r="A51" s="6" t="s">
        <v>302</v>
      </c>
      <c r="B51" s="7" t="s">
        <v>394</v>
      </c>
      <c r="C51" s="6" t="s">
        <v>164</v>
      </c>
      <c r="D51" s="6" t="s">
        <v>123</v>
      </c>
      <c r="E51" s="4">
        <v>0</v>
      </c>
      <c r="F51" s="4">
        <v>0</v>
      </c>
      <c r="G51" s="4">
        <v>1</v>
      </c>
      <c r="H51" s="4">
        <v>0</v>
      </c>
      <c r="I51" s="26">
        <f t="shared" si="0"/>
        <v>1</v>
      </c>
    </row>
    <row r="52" spans="1:9" x14ac:dyDescent="0.25">
      <c r="A52" s="6" t="s">
        <v>303</v>
      </c>
      <c r="B52" s="7" t="s">
        <v>395</v>
      </c>
      <c r="C52" s="6" t="s">
        <v>164</v>
      </c>
      <c r="D52" s="6" t="s">
        <v>114</v>
      </c>
      <c r="E52" s="4">
        <v>0</v>
      </c>
      <c r="F52" s="4">
        <v>1</v>
      </c>
      <c r="G52" s="4">
        <v>0</v>
      </c>
      <c r="H52" s="4">
        <v>0</v>
      </c>
      <c r="I52" s="26">
        <f t="shared" si="0"/>
        <v>1</v>
      </c>
    </row>
    <row r="53" spans="1:9" x14ac:dyDescent="0.25">
      <c r="A53" s="6" t="s">
        <v>304</v>
      </c>
      <c r="B53" s="7" t="s">
        <v>396</v>
      </c>
      <c r="C53" s="6" t="s">
        <v>164</v>
      </c>
      <c r="D53" s="6" t="s">
        <v>114</v>
      </c>
      <c r="E53" s="4">
        <v>0</v>
      </c>
      <c r="F53" s="4">
        <v>1</v>
      </c>
      <c r="G53" s="4">
        <v>0</v>
      </c>
      <c r="H53" s="4">
        <v>0</v>
      </c>
      <c r="I53" s="26">
        <f t="shared" si="0"/>
        <v>1</v>
      </c>
    </row>
    <row r="54" spans="1:9" x14ac:dyDescent="0.25">
      <c r="A54" s="6" t="s">
        <v>305</v>
      </c>
      <c r="B54" s="7" t="s">
        <v>397</v>
      </c>
      <c r="C54" s="6" t="s">
        <v>164</v>
      </c>
      <c r="D54" s="6" t="s">
        <v>114</v>
      </c>
      <c r="E54" s="4">
        <v>1</v>
      </c>
      <c r="F54" s="4">
        <v>0</v>
      </c>
      <c r="G54" s="4">
        <v>0</v>
      </c>
      <c r="H54" s="4">
        <v>0</v>
      </c>
      <c r="I54" s="26">
        <f t="shared" si="0"/>
        <v>1</v>
      </c>
    </row>
    <row r="55" spans="1:9" x14ac:dyDescent="0.25">
      <c r="A55" s="6" t="s">
        <v>306</v>
      </c>
      <c r="B55" s="7" t="s">
        <v>398</v>
      </c>
      <c r="C55" s="6" t="s">
        <v>164</v>
      </c>
      <c r="D55" s="6" t="s">
        <v>116</v>
      </c>
      <c r="E55" s="4">
        <v>1</v>
      </c>
      <c r="F55" s="4">
        <v>0</v>
      </c>
      <c r="G55" s="4">
        <v>0</v>
      </c>
      <c r="H55" s="4">
        <v>0</v>
      </c>
      <c r="I55" s="26">
        <f t="shared" si="0"/>
        <v>1</v>
      </c>
    </row>
    <row r="56" spans="1:9" x14ac:dyDescent="0.25">
      <c r="A56" s="6" t="s">
        <v>307</v>
      </c>
      <c r="B56" s="7" t="s">
        <v>399</v>
      </c>
      <c r="C56" s="6" t="s">
        <v>164</v>
      </c>
      <c r="D56" s="6" t="s">
        <v>114</v>
      </c>
      <c r="E56" s="4">
        <v>1</v>
      </c>
      <c r="F56" s="4">
        <v>0</v>
      </c>
      <c r="G56" s="4">
        <v>0</v>
      </c>
      <c r="H56" s="4">
        <v>0</v>
      </c>
      <c r="I56" s="26">
        <f t="shared" si="0"/>
        <v>1</v>
      </c>
    </row>
    <row r="57" spans="1:9" ht="26.4" x14ac:dyDescent="0.25">
      <c r="A57" s="6" t="s">
        <v>308</v>
      </c>
      <c r="B57" s="7" t="s">
        <v>400</v>
      </c>
      <c r="C57" s="6" t="s">
        <v>175</v>
      </c>
      <c r="D57" s="6" t="s">
        <v>116</v>
      </c>
      <c r="E57" s="4">
        <v>0</v>
      </c>
      <c r="F57" s="4">
        <v>0</v>
      </c>
      <c r="G57" s="4">
        <v>1</v>
      </c>
      <c r="H57" s="4">
        <v>0</v>
      </c>
      <c r="I57" s="26">
        <f t="shared" si="0"/>
        <v>1</v>
      </c>
    </row>
    <row r="58" spans="1:9" ht="26.4" x14ac:dyDescent="0.25">
      <c r="A58" s="6" t="s">
        <v>309</v>
      </c>
      <c r="B58" s="7" t="s">
        <v>401</v>
      </c>
      <c r="C58" s="6" t="s">
        <v>175</v>
      </c>
      <c r="D58" s="6" t="s">
        <v>123</v>
      </c>
      <c r="E58" s="4">
        <v>0</v>
      </c>
      <c r="F58" s="4">
        <v>0</v>
      </c>
      <c r="G58" s="4">
        <v>1</v>
      </c>
      <c r="H58" s="4">
        <v>0</v>
      </c>
      <c r="I58" s="26">
        <f t="shared" si="0"/>
        <v>1</v>
      </c>
    </row>
    <row r="59" spans="1:9" ht="26.4" x14ac:dyDescent="0.25">
      <c r="A59" s="6" t="s">
        <v>310</v>
      </c>
      <c r="B59" s="7" t="s">
        <v>402</v>
      </c>
      <c r="C59" s="6" t="s">
        <v>175</v>
      </c>
      <c r="D59" s="6" t="s">
        <v>116</v>
      </c>
      <c r="E59" s="4">
        <v>0</v>
      </c>
      <c r="F59" s="4">
        <v>0</v>
      </c>
      <c r="G59" s="4">
        <v>0</v>
      </c>
      <c r="H59" s="4">
        <v>1</v>
      </c>
      <c r="I59" s="26">
        <f t="shared" si="0"/>
        <v>1</v>
      </c>
    </row>
    <row r="60" spans="1:9" ht="26.4" x14ac:dyDescent="0.25">
      <c r="A60" s="6" t="s">
        <v>311</v>
      </c>
      <c r="B60" s="7" t="s">
        <v>403</v>
      </c>
      <c r="C60" s="6" t="s">
        <v>175</v>
      </c>
      <c r="D60" s="6" t="s">
        <v>118</v>
      </c>
      <c r="E60" s="4">
        <v>0</v>
      </c>
      <c r="F60" s="4">
        <v>1</v>
      </c>
      <c r="G60" s="4">
        <v>0</v>
      </c>
      <c r="H60" s="4">
        <v>0</v>
      </c>
      <c r="I60" s="26">
        <f t="shared" si="0"/>
        <v>1</v>
      </c>
    </row>
    <row r="61" spans="1:9" ht="26.4" x14ac:dyDescent="0.25">
      <c r="A61" s="6" t="s">
        <v>312</v>
      </c>
      <c r="B61" s="7" t="s">
        <v>404</v>
      </c>
      <c r="C61" s="6" t="s">
        <v>175</v>
      </c>
      <c r="D61" s="6" t="s">
        <v>116</v>
      </c>
      <c r="E61" s="4">
        <v>0</v>
      </c>
      <c r="F61" s="4">
        <v>0</v>
      </c>
      <c r="G61" s="4">
        <v>1</v>
      </c>
      <c r="H61" s="4">
        <v>0</v>
      </c>
      <c r="I61" s="26">
        <f t="shared" si="0"/>
        <v>1</v>
      </c>
    </row>
    <row r="62" spans="1:9" ht="26.4" x14ac:dyDescent="0.25">
      <c r="A62" s="6" t="s">
        <v>313</v>
      </c>
      <c r="B62" s="7" t="s">
        <v>405</v>
      </c>
      <c r="C62" s="6" t="s">
        <v>175</v>
      </c>
      <c r="D62" s="6" t="s">
        <v>114</v>
      </c>
      <c r="E62" s="4">
        <v>0</v>
      </c>
      <c r="F62" s="4">
        <v>1</v>
      </c>
      <c r="G62" s="4">
        <v>0</v>
      </c>
      <c r="H62" s="4">
        <v>0</v>
      </c>
      <c r="I62" s="26">
        <f t="shared" si="0"/>
        <v>1</v>
      </c>
    </row>
    <row r="63" spans="1:9" ht="26.4" x14ac:dyDescent="0.25">
      <c r="A63" s="6" t="s">
        <v>314</v>
      </c>
      <c r="B63" s="7" t="s">
        <v>406</v>
      </c>
      <c r="C63" s="6" t="s">
        <v>175</v>
      </c>
      <c r="D63" s="6" t="s">
        <v>114</v>
      </c>
      <c r="E63" s="4">
        <v>0</v>
      </c>
      <c r="F63" s="4">
        <v>1</v>
      </c>
      <c r="G63" s="4">
        <v>0</v>
      </c>
      <c r="H63" s="4">
        <v>0</v>
      </c>
      <c r="I63" s="26">
        <f t="shared" si="0"/>
        <v>1</v>
      </c>
    </row>
    <row r="64" spans="1:9" ht="26.4" x14ac:dyDescent="0.25">
      <c r="A64" s="6" t="s">
        <v>315</v>
      </c>
      <c r="B64" s="7" t="s">
        <v>407</v>
      </c>
      <c r="C64" s="6" t="s">
        <v>175</v>
      </c>
      <c r="D64" s="6" t="s">
        <v>105</v>
      </c>
      <c r="E64" s="4">
        <v>0</v>
      </c>
      <c r="F64" s="4">
        <v>0</v>
      </c>
      <c r="G64" s="4">
        <v>1</v>
      </c>
      <c r="H64" s="4">
        <v>0</v>
      </c>
      <c r="I64" s="26">
        <f t="shared" si="0"/>
        <v>1</v>
      </c>
    </row>
    <row r="65" spans="1:9" ht="26.4" x14ac:dyDescent="0.25">
      <c r="A65" s="6" t="s">
        <v>316</v>
      </c>
      <c r="B65" s="7" t="s">
        <v>408</v>
      </c>
      <c r="C65" s="6" t="s">
        <v>175</v>
      </c>
      <c r="D65" s="6" t="s">
        <v>128</v>
      </c>
      <c r="E65" s="4">
        <v>0</v>
      </c>
      <c r="F65" s="4">
        <v>1</v>
      </c>
      <c r="G65" s="4">
        <v>0</v>
      </c>
      <c r="H65" s="4">
        <v>0</v>
      </c>
      <c r="I65" s="26">
        <f t="shared" si="0"/>
        <v>1</v>
      </c>
    </row>
    <row r="66" spans="1:9" ht="26.4" x14ac:dyDescent="0.25">
      <c r="A66" s="6" t="s">
        <v>317</v>
      </c>
      <c r="B66" s="7" t="s">
        <v>409</v>
      </c>
      <c r="C66" s="6" t="s">
        <v>175</v>
      </c>
      <c r="D66" s="6" t="s">
        <v>128</v>
      </c>
      <c r="E66" s="4">
        <v>0</v>
      </c>
      <c r="F66" s="4">
        <v>1</v>
      </c>
      <c r="G66" s="4">
        <v>0</v>
      </c>
      <c r="H66" s="4">
        <v>0</v>
      </c>
      <c r="I66" s="26">
        <f t="shared" si="0"/>
        <v>1</v>
      </c>
    </row>
    <row r="67" spans="1:9" ht="26.4" x14ac:dyDescent="0.25">
      <c r="A67" s="6" t="s">
        <v>318</v>
      </c>
      <c r="B67" s="7" t="s">
        <v>410</v>
      </c>
      <c r="C67" s="6" t="s">
        <v>175</v>
      </c>
      <c r="D67" s="6" t="s">
        <v>123</v>
      </c>
      <c r="E67" s="4">
        <v>0</v>
      </c>
      <c r="F67" s="4">
        <v>0</v>
      </c>
      <c r="G67" s="4">
        <v>1</v>
      </c>
      <c r="H67" s="4">
        <v>0</v>
      </c>
      <c r="I67" s="26">
        <f t="shared" ref="I67:I92" si="1">SUM(E67:H67)</f>
        <v>1</v>
      </c>
    </row>
    <row r="68" spans="1:9" ht="26.4" x14ac:dyDescent="0.25">
      <c r="A68" s="6" t="s">
        <v>319</v>
      </c>
      <c r="B68" s="7" t="s">
        <v>411</v>
      </c>
      <c r="C68" s="6" t="s">
        <v>175</v>
      </c>
      <c r="D68" s="6" t="s">
        <v>116</v>
      </c>
      <c r="E68" s="4">
        <v>0</v>
      </c>
      <c r="F68" s="4">
        <v>0</v>
      </c>
      <c r="G68" s="4">
        <v>1</v>
      </c>
      <c r="H68" s="4">
        <v>0</v>
      </c>
      <c r="I68" s="26">
        <f t="shared" si="1"/>
        <v>1</v>
      </c>
    </row>
    <row r="69" spans="1:9" ht="26.4" x14ac:dyDescent="0.25">
      <c r="A69" s="6" t="s">
        <v>320</v>
      </c>
      <c r="B69" s="7" t="s">
        <v>412</v>
      </c>
      <c r="C69" s="6" t="s">
        <v>175</v>
      </c>
      <c r="D69" s="6" t="s">
        <v>116</v>
      </c>
      <c r="E69" s="4">
        <v>0</v>
      </c>
      <c r="F69" s="4">
        <v>0</v>
      </c>
      <c r="G69" s="4">
        <v>0</v>
      </c>
      <c r="H69" s="4">
        <v>1</v>
      </c>
      <c r="I69" s="26">
        <f t="shared" si="1"/>
        <v>1</v>
      </c>
    </row>
    <row r="70" spans="1:9" ht="26.4" x14ac:dyDescent="0.25">
      <c r="A70" s="6" t="s">
        <v>321</v>
      </c>
      <c r="B70" s="7" t="s">
        <v>413</v>
      </c>
      <c r="C70" s="6" t="s">
        <v>175</v>
      </c>
      <c r="D70" s="6" t="s">
        <v>128</v>
      </c>
      <c r="E70" s="4">
        <v>0</v>
      </c>
      <c r="F70" s="4">
        <v>0</v>
      </c>
      <c r="G70" s="4">
        <v>1</v>
      </c>
      <c r="H70" s="4">
        <v>0</v>
      </c>
      <c r="I70" s="26">
        <f t="shared" si="1"/>
        <v>1</v>
      </c>
    </row>
    <row r="71" spans="1:9" ht="26.4" x14ac:dyDescent="0.25">
      <c r="A71" s="6" t="s">
        <v>322</v>
      </c>
      <c r="B71" s="7" t="s">
        <v>414</v>
      </c>
      <c r="C71" s="6" t="s">
        <v>175</v>
      </c>
      <c r="D71" s="6" t="s">
        <v>116</v>
      </c>
      <c r="E71" s="4">
        <v>0</v>
      </c>
      <c r="F71" s="4">
        <v>0</v>
      </c>
      <c r="G71" s="4">
        <v>0</v>
      </c>
      <c r="H71" s="4">
        <v>1</v>
      </c>
      <c r="I71" s="26">
        <f t="shared" si="1"/>
        <v>1</v>
      </c>
    </row>
    <row r="72" spans="1:9" ht="26.4" x14ac:dyDescent="0.25">
      <c r="A72" s="6" t="s">
        <v>323</v>
      </c>
      <c r="B72" s="7" t="s">
        <v>415</v>
      </c>
      <c r="C72" s="6" t="s">
        <v>175</v>
      </c>
      <c r="D72" s="6" t="s">
        <v>105</v>
      </c>
      <c r="E72" s="4">
        <v>1</v>
      </c>
      <c r="F72" s="4">
        <v>0</v>
      </c>
      <c r="G72" s="4">
        <v>0</v>
      </c>
      <c r="H72" s="4">
        <v>0</v>
      </c>
      <c r="I72" s="26">
        <f t="shared" si="1"/>
        <v>1</v>
      </c>
    </row>
    <row r="73" spans="1:9" ht="26.4" x14ac:dyDescent="0.25">
      <c r="A73" s="6" t="s">
        <v>324</v>
      </c>
      <c r="B73" s="7" t="s">
        <v>416</v>
      </c>
      <c r="C73" s="6" t="s">
        <v>175</v>
      </c>
      <c r="D73" s="6" t="s">
        <v>114</v>
      </c>
      <c r="E73" s="4">
        <v>0</v>
      </c>
      <c r="F73" s="4">
        <v>0</v>
      </c>
      <c r="G73" s="4">
        <v>0</v>
      </c>
      <c r="H73" s="4">
        <v>1</v>
      </c>
      <c r="I73" s="26">
        <f t="shared" si="1"/>
        <v>1</v>
      </c>
    </row>
    <row r="74" spans="1:9" ht="26.4" x14ac:dyDescent="0.25">
      <c r="A74" s="6" t="s">
        <v>325</v>
      </c>
      <c r="B74" s="7" t="s">
        <v>417</v>
      </c>
      <c r="C74" s="6" t="s">
        <v>175</v>
      </c>
      <c r="D74" s="6" t="s">
        <v>116</v>
      </c>
      <c r="E74" s="4">
        <v>0</v>
      </c>
      <c r="F74" s="4">
        <v>1</v>
      </c>
      <c r="G74" s="4">
        <v>0</v>
      </c>
      <c r="H74" s="4">
        <v>0</v>
      </c>
      <c r="I74" s="26">
        <f t="shared" si="1"/>
        <v>1</v>
      </c>
    </row>
    <row r="75" spans="1:9" ht="26.4" x14ac:dyDescent="0.25">
      <c r="A75" s="6" t="s">
        <v>326</v>
      </c>
      <c r="B75" s="7" t="s">
        <v>418</v>
      </c>
      <c r="C75" s="6" t="s">
        <v>175</v>
      </c>
      <c r="D75" s="6" t="s">
        <v>116</v>
      </c>
      <c r="E75" s="4">
        <v>0</v>
      </c>
      <c r="F75" s="4">
        <v>1</v>
      </c>
      <c r="G75" s="4">
        <v>0</v>
      </c>
      <c r="H75" s="4">
        <v>0</v>
      </c>
      <c r="I75" s="26">
        <f t="shared" si="1"/>
        <v>1</v>
      </c>
    </row>
    <row r="76" spans="1:9" ht="26.4" x14ac:dyDescent="0.25">
      <c r="A76" s="6" t="s">
        <v>327</v>
      </c>
      <c r="B76" s="7" t="s">
        <v>419</v>
      </c>
      <c r="C76" s="6" t="s">
        <v>175</v>
      </c>
      <c r="D76" s="6" t="s">
        <v>118</v>
      </c>
      <c r="E76" s="4">
        <v>0</v>
      </c>
      <c r="F76" s="4">
        <v>0</v>
      </c>
      <c r="G76" s="4">
        <v>1</v>
      </c>
      <c r="H76" s="4">
        <v>0</v>
      </c>
      <c r="I76" s="26">
        <f t="shared" si="1"/>
        <v>1</v>
      </c>
    </row>
    <row r="77" spans="1:9" ht="26.4" x14ac:dyDescent="0.25">
      <c r="A77" s="6" t="s">
        <v>328</v>
      </c>
      <c r="B77" s="7" t="s">
        <v>420</v>
      </c>
      <c r="C77" s="6" t="s">
        <v>175</v>
      </c>
      <c r="D77" s="6" t="s">
        <v>116</v>
      </c>
      <c r="E77" s="4">
        <v>0</v>
      </c>
      <c r="F77" s="4">
        <v>0</v>
      </c>
      <c r="G77" s="4">
        <v>1</v>
      </c>
      <c r="H77" s="4">
        <v>0</v>
      </c>
      <c r="I77" s="26">
        <f t="shared" si="1"/>
        <v>1</v>
      </c>
    </row>
    <row r="78" spans="1:9" ht="26.4" x14ac:dyDescent="0.25">
      <c r="A78" s="6" t="s">
        <v>329</v>
      </c>
      <c r="B78" s="7" t="s">
        <v>421</v>
      </c>
      <c r="C78" s="6" t="s">
        <v>175</v>
      </c>
      <c r="D78" s="6" t="s">
        <v>118</v>
      </c>
      <c r="E78" s="4">
        <v>1</v>
      </c>
      <c r="F78" s="4">
        <v>0</v>
      </c>
      <c r="G78" s="4">
        <v>0</v>
      </c>
      <c r="H78" s="4">
        <v>0</v>
      </c>
      <c r="I78" s="26">
        <f t="shared" si="1"/>
        <v>1</v>
      </c>
    </row>
    <row r="79" spans="1:9" ht="26.4" x14ac:dyDescent="0.25">
      <c r="A79" s="6" t="s">
        <v>330</v>
      </c>
      <c r="B79" s="7" t="s">
        <v>422</v>
      </c>
      <c r="C79" s="6" t="s">
        <v>175</v>
      </c>
      <c r="D79" s="6" t="s">
        <v>128</v>
      </c>
      <c r="E79" s="4">
        <v>0</v>
      </c>
      <c r="F79" s="4">
        <v>1</v>
      </c>
      <c r="G79" s="4">
        <v>0</v>
      </c>
      <c r="H79" s="4">
        <v>0</v>
      </c>
      <c r="I79" s="26">
        <f t="shared" si="1"/>
        <v>1</v>
      </c>
    </row>
    <row r="80" spans="1:9" ht="26.4" x14ac:dyDescent="0.25">
      <c r="A80" s="6" t="s">
        <v>331</v>
      </c>
      <c r="B80" s="7" t="s">
        <v>423</v>
      </c>
      <c r="C80" s="6" t="s">
        <v>175</v>
      </c>
      <c r="D80" s="6" t="s">
        <v>123</v>
      </c>
      <c r="E80" s="4">
        <v>0</v>
      </c>
      <c r="F80" s="4">
        <v>0</v>
      </c>
      <c r="G80" s="4">
        <v>0</v>
      </c>
      <c r="H80" s="4">
        <v>1</v>
      </c>
      <c r="I80" s="26">
        <f t="shared" si="1"/>
        <v>1</v>
      </c>
    </row>
    <row r="81" spans="1:9" ht="26.4" x14ac:dyDescent="0.25">
      <c r="A81" s="6" t="s">
        <v>332</v>
      </c>
      <c r="B81" s="7" t="s">
        <v>424</v>
      </c>
      <c r="C81" s="6" t="s">
        <v>175</v>
      </c>
      <c r="D81" s="6" t="s">
        <v>116</v>
      </c>
      <c r="E81" s="4">
        <v>1</v>
      </c>
      <c r="F81" s="4">
        <v>0</v>
      </c>
      <c r="G81" s="4">
        <v>0</v>
      </c>
      <c r="H81" s="4">
        <v>0</v>
      </c>
      <c r="I81" s="26">
        <f t="shared" si="1"/>
        <v>1</v>
      </c>
    </row>
    <row r="82" spans="1:9" ht="26.4" x14ac:dyDescent="0.25">
      <c r="A82" s="6" t="s">
        <v>333</v>
      </c>
      <c r="B82" s="7" t="s">
        <v>425</v>
      </c>
      <c r="C82" s="6" t="s">
        <v>175</v>
      </c>
      <c r="D82" s="6" t="s">
        <v>114</v>
      </c>
      <c r="E82" s="4">
        <v>0</v>
      </c>
      <c r="F82" s="4">
        <v>1</v>
      </c>
      <c r="G82" s="4">
        <v>0</v>
      </c>
      <c r="H82" s="4">
        <v>0</v>
      </c>
      <c r="I82" s="26">
        <f t="shared" si="1"/>
        <v>1</v>
      </c>
    </row>
    <row r="83" spans="1:9" ht="26.4" x14ac:dyDescent="0.25">
      <c r="A83" s="6" t="s">
        <v>334</v>
      </c>
      <c r="B83" s="7" t="s">
        <v>426</v>
      </c>
      <c r="C83" s="6" t="s">
        <v>175</v>
      </c>
      <c r="D83" s="6" t="s">
        <v>123</v>
      </c>
      <c r="E83" s="4">
        <v>1</v>
      </c>
      <c r="F83" s="4">
        <v>0</v>
      </c>
      <c r="G83" s="4">
        <v>0</v>
      </c>
      <c r="H83" s="4">
        <v>0</v>
      </c>
      <c r="I83" s="26">
        <f t="shared" si="1"/>
        <v>1</v>
      </c>
    </row>
    <row r="84" spans="1:9" ht="26.4" x14ac:dyDescent="0.25">
      <c r="A84" s="6" t="s">
        <v>335</v>
      </c>
      <c r="B84" s="7" t="s">
        <v>427</v>
      </c>
      <c r="C84" s="6" t="s">
        <v>175</v>
      </c>
      <c r="D84" s="6" t="s">
        <v>123</v>
      </c>
      <c r="E84" s="4">
        <v>0</v>
      </c>
      <c r="F84" s="4">
        <v>0</v>
      </c>
      <c r="G84" s="4">
        <v>1</v>
      </c>
      <c r="H84" s="4">
        <v>0</v>
      </c>
      <c r="I84" s="26">
        <f t="shared" si="1"/>
        <v>1</v>
      </c>
    </row>
    <row r="85" spans="1:9" ht="26.4" x14ac:dyDescent="0.25">
      <c r="A85" s="6" t="s">
        <v>336</v>
      </c>
      <c r="B85" s="7" t="s">
        <v>428</v>
      </c>
      <c r="C85" s="6" t="s">
        <v>113</v>
      </c>
      <c r="D85" s="6" t="s">
        <v>114</v>
      </c>
      <c r="E85" s="4">
        <v>0</v>
      </c>
      <c r="F85" s="4">
        <v>0</v>
      </c>
      <c r="G85" s="4">
        <v>1</v>
      </c>
      <c r="H85" s="4">
        <v>0</v>
      </c>
      <c r="I85" s="26">
        <f t="shared" si="1"/>
        <v>1</v>
      </c>
    </row>
    <row r="86" spans="1:9" ht="26.4" x14ac:dyDescent="0.25">
      <c r="A86" s="6" t="s">
        <v>337</v>
      </c>
      <c r="B86" s="7" t="s">
        <v>429</v>
      </c>
      <c r="C86" s="6" t="s">
        <v>175</v>
      </c>
      <c r="D86" s="6" t="s">
        <v>114</v>
      </c>
      <c r="E86" s="4">
        <v>0</v>
      </c>
      <c r="F86" s="4">
        <v>0</v>
      </c>
      <c r="G86" s="4">
        <v>0</v>
      </c>
      <c r="H86" s="4">
        <v>1</v>
      </c>
      <c r="I86" s="26">
        <f t="shared" si="1"/>
        <v>1</v>
      </c>
    </row>
    <row r="87" spans="1:9" ht="26.4" x14ac:dyDescent="0.25">
      <c r="A87" s="6" t="s">
        <v>338</v>
      </c>
      <c r="B87" s="7" t="s">
        <v>430</v>
      </c>
      <c r="C87" s="6" t="s">
        <v>175</v>
      </c>
      <c r="D87" s="6" t="s">
        <v>116</v>
      </c>
      <c r="E87" s="4">
        <v>0</v>
      </c>
      <c r="F87" s="4">
        <v>0</v>
      </c>
      <c r="G87" s="4">
        <v>1</v>
      </c>
      <c r="H87" s="4">
        <v>0</v>
      </c>
      <c r="I87" s="26">
        <f t="shared" si="1"/>
        <v>1</v>
      </c>
    </row>
    <row r="88" spans="1:9" ht="26.4" x14ac:dyDescent="0.25">
      <c r="A88" s="6" t="s">
        <v>339</v>
      </c>
      <c r="B88" s="7" t="s">
        <v>431</v>
      </c>
      <c r="C88" s="6" t="s">
        <v>175</v>
      </c>
      <c r="D88" s="6" t="s">
        <v>116</v>
      </c>
      <c r="E88" s="4">
        <v>0</v>
      </c>
      <c r="F88" s="4">
        <v>1</v>
      </c>
      <c r="G88" s="4">
        <v>0</v>
      </c>
      <c r="H88" s="4">
        <v>0</v>
      </c>
      <c r="I88" s="26">
        <f t="shared" si="1"/>
        <v>1</v>
      </c>
    </row>
    <row r="89" spans="1:9" ht="26.4" x14ac:dyDescent="0.25">
      <c r="A89" s="6" t="s">
        <v>340</v>
      </c>
      <c r="B89" s="7" t="s">
        <v>432</v>
      </c>
      <c r="C89" s="6" t="s">
        <v>175</v>
      </c>
      <c r="D89" s="6" t="s">
        <v>118</v>
      </c>
      <c r="E89" s="4">
        <v>0</v>
      </c>
      <c r="F89" s="4">
        <v>1</v>
      </c>
      <c r="G89" s="4">
        <v>0</v>
      </c>
      <c r="H89" s="4">
        <v>0</v>
      </c>
      <c r="I89" s="26">
        <f t="shared" si="1"/>
        <v>1</v>
      </c>
    </row>
    <row r="90" spans="1:9" ht="26.4" x14ac:dyDescent="0.25">
      <c r="A90" s="6" t="s">
        <v>341</v>
      </c>
      <c r="B90" s="7" t="s">
        <v>433</v>
      </c>
      <c r="C90" s="6" t="s">
        <v>175</v>
      </c>
      <c r="D90" s="6" t="s">
        <v>116</v>
      </c>
      <c r="E90" s="4">
        <v>0</v>
      </c>
      <c r="F90" s="4">
        <v>0</v>
      </c>
      <c r="G90" s="4">
        <v>1</v>
      </c>
      <c r="H90" s="4">
        <v>0</v>
      </c>
      <c r="I90" s="26">
        <f t="shared" si="1"/>
        <v>1</v>
      </c>
    </row>
    <row r="91" spans="1:9" x14ac:dyDescent="0.25">
      <c r="A91" s="6" t="s">
        <v>342</v>
      </c>
      <c r="B91" s="7" t="s">
        <v>434</v>
      </c>
      <c r="C91" s="6" t="s">
        <v>343</v>
      </c>
      <c r="D91" s="6" t="s">
        <v>118</v>
      </c>
      <c r="E91" s="4">
        <v>0</v>
      </c>
      <c r="F91" s="4">
        <v>1</v>
      </c>
      <c r="G91" s="4">
        <v>0</v>
      </c>
      <c r="H91" s="4">
        <v>0</v>
      </c>
      <c r="I91" s="26">
        <f t="shared" si="1"/>
        <v>1</v>
      </c>
    </row>
    <row r="92" spans="1:9" x14ac:dyDescent="0.25">
      <c r="A92" s="6" t="s">
        <v>344</v>
      </c>
      <c r="B92" s="7" t="s">
        <v>435</v>
      </c>
      <c r="C92" s="6" t="s">
        <v>343</v>
      </c>
      <c r="D92" s="6" t="s">
        <v>116</v>
      </c>
      <c r="E92" s="4">
        <v>1</v>
      </c>
      <c r="F92" s="4">
        <v>0</v>
      </c>
      <c r="G92" s="4">
        <v>0</v>
      </c>
      <c r="H92" s="4">
        <v>0</v>
      </c>
      <c r="I92" s="26">
        <f t="shared" si="1"/>
        <v>1</v>
      </c>
    </row>
    <row r="94" spans="1:9" x14ac:dyDescent="0.25">
      <c r="B94" s="8" t="s">
        <v>222</v>
      </c>
    </row>
    <row r="95" spans="1:9" x14ac:dyDescent="0.25">
      <c r="B95" s="9" t="s">
        <v>218</v>
      </c>
    </row>
    <row r="96" spans="1:9" x14ac:dyDescent="0.25">
      <c r="B96" s="10" t="s">
        <v>219</v>
      </c>
    </row>
    <row r="97" spans="2:2" x14ac:dyDescent="0.25">
      <c r="B97" s="11" t="s">
        <v>220</v>
      </c>
    </row>
    <row r="98" spans="2:2" ht="26.4" x14ac:dyDescent="0.25">
      <c r="B98" s="12" t="s">
        <v>221</v>
      </c>
    </row>
  </sheetData>
  <autoFilter ref="A1:I92" xr:uid="{F82D2FAE-B3F3-4ACD-8979-99DC9DE374E8}"/>
  <pageMargins left="0.7" right="0.7" top="0.75" bottom="0.75" header="0.3" footer="0.3"/>
  <pageSetup scale="80" orientation="landscape" r:id="rId1"/>
  <headerFooter>
    <oddHeader>&amp;LISQM 2_Q4(b) - Respondent by Category</oddHeader>
    <oddFooter>&amp;R&amp;P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3F24A-583D-47A3-AA7D-39B17452B6CE}">
  <dimension ref="A1:K18"/>
  <sheetViews>
    <sheetView view="pageBreakPreview" zoomScale="80" zoomScaleNormal="80" zoomScaleSheetLayoutView="80" workbookViewId="0">
      <pane xSplit="1" ySplit="9" topLeftCell="B10" activePane="bottomRight" state="frozen"/>
      <selection pane="topRight" activeCell="B1" sqref="B1"/>
      <selection pane="bottomLeft" activeCell="A4" sqref="A4"/>
      <selection pane="bottomRight" activeCell="A9" sqref="A9"/>
    </sheetView>
  </sheetViews>
  <sheetFormatPr defaultRowHeight="13.2" x14ac:dyDescent="0.25"/>
  <cols>
    <col min="1" max="1" width="52.6640625" style="3" bestFit="1" customWidth="1"/>
    <col min="2" max="2" width="13.21875" style="3" bestFit="1" customWidth="1"/>
    <col min="3" max="3" width="27.6640625" style="3" bestFit="1" customWidth="1"/>
    <col min="4" max="4" width="30.21875" style="3" bestFit="1" customWidth="1"/>
    <col min="5" max="5" width="34.6640625" style="3" bestFit="1" customWidth="1"/>
    <col min="6" max="6" width="15.6640625" style="3" bestFit="1" customWidth="1"/>
    <col min="7" max="8" width="27.6640625" style="3" bestFit="1" customWidth="1"/>
    <col min="9" max="9" width="26.77734375" style="3" bestFit="1" customWidth="1"/>
    <col min="10" max="10" width="27.44140625" style="3" bestFit="1" customWidth="1"/>
    <col min="11" max="14" width="30.77734375" style="3" customWidth="1"/>
    <col min="15" max="16384" width="8.88671875" style="3"/>
  </cols>
  <sheetData>
    <row r="1" spans="1:11" ht="39.6" x14ac:dyDescent="0.25">
      <c r="A1" s="2" t="s">
        <v>460</v>
      </c>
    </row>
    <row r="2" spans="1:11" x14ac:dyDescent="0.25">
      <c r="A2" s="2"/>
    </row>
    <row r="3" spans="1:11" x14ac:dyDescent="0.25">
      <c r="A3" s="8" t="s">
        <v>222</v>
      </c>
    </row>
    <row r="4" spans="1:11" x14ac:dyDescent="0.25">
      <c r="A4" s="9" t="s">
        <v>218</v>
      </c>
    </row>
    <row r="5" spans="1:11" x14ac:dyDescent="0.25">
      <c r="A5" s="45" t="s">
        <v>219</v>
      </c>
    </row>
    <row r="6" spans="1:11" x14ac:dyDescent="0.25">
      <c r="A6" s="11" t="s">
        <v>220</v>
      </c>
    </row>
    <row r="7" spans="1:11" ht="26.4" x14ac:dyDescent="0.25">
      <c r="A7" s="12" t="s">
        <v>473</v>
      </c>
    </row>
    <row r="9" spans="1:11" s="27" customFormat="1" ht="52.8" x14ac:dyDescent="0.25">
      <c r="A9" s="40" t="s">
        <v>101</v>
      </c>
      <c r="B9" s="41" t="s">
        <v>223</v>
      </c>
      <c r="C9" s="48" t="s">
        <v>225</v>
      </c>
      <c r="D9" s="50" t="s">
        <v>466</v>
      </c>
      <c r="E9" s="50" t="s">
        <v>467</v>
      </c>
      <c r="F9" s="42" t="s">
        <v>226</v>
      </c>
      <c r="G9" s="49" t="s">
        <v>468</v>
      </c>
      <c r="H9" s="49" t="s">
        <v>469</v>
      </c>
      <c r="I9" s="49" t="s">
        <v>470</v>
      </c>
      <c r="J9" s="43" t="s">
        <v>227</v>
      </c>
    </row>
    <row r="10" spans="1:11" x14ac:dyDescent="0.25">
      <c r="A10" s="32" t="s">
        <v>104</v>
      </c>
      <c r="B10" s="33">
        <v>0</v>
      </c>
      <c r="C10" s="33">
        <v>1</v>
      </c>
      <c r="D10" s="33">
        <v>0</v>
      </c>
      <c r="E10" s="33">
        <v>1</v>
      </c>
      <c r="F10" s="33">
        <v>0</v>
      </c>
      <c r="G10" s="33">
        <v>0</v>
      </c>
      <c r="H10" s="33">
        <v>0</v>
      </c>
      <c r="I10" s="33">
        <v>0</v>
      </c>
      <c r="J10" s="33">
        <v>3</v>
      </c>
    </row>
    <row r="11" spans="1:11" x14ac:dyDescent="0.25">
      <c r="A11" s="32" t="s">
        <v>110</v>
      </c>
      <c r="B11" s="33">
        <v>0</v>
      </c>
      <c r="C11" s="33">
        <v>0</v>
      </c>
      <c r="D11" s="33">
        <v>0</v>
      </c>
      <c r="E11" s="33">
        <v>0</v>
      </c>
      <c r="F11" s="33">
        <v>0</v>
      </c>
      <c r="G11" s="33">
        <v>0</v>
      </c>
      <c r="H11" s="33">
        <v>0</v>
      </c>
      <c r="I11" s="33">
        <v>0</v>
      </c>
      <c r="J11" s="33">
        <v>1</v>
      </c>
    </row>
    <row r="12" spans="1:11" x14ac:dyDescent="0.25">
      <c r="A12" s="32" t="s">
        <v>113</v>
      </c>
      <c r="B12" s="33">
        <v>0</v>
      </c>
      <c r="C12" s="33">
        <v>3</v>
      </c>
      <c r="D12" s="33">
        <v>1</v>
      </c>
      <c r="E12" s="33">
        <v>2</v>
      </c>
      <c r="F12" s="33">
        <v>1</v>
      </c>
      <c r="G12" s="33">
        <v>1</v>
      </c>
      <c r="H12" s="33">
        <v>0</v>
      </c>
      <c r="I12" s="33">
        <v>0</v>
      </c>
      <c r="J12" s="33">
        <v>1</v>
      </c>
    </row>
    <row r="13" spans="1:11" x14ac:dyDescent="0.25">
      <c r="A13" s="32" t="s">
        <v>121</v>
      </c>
      <c r="B13" s="33">
        <v>1</v>
      </c>
      <c r="C13" s="33">
        <v>4</v>
      </c>
      <c r="D13" s="33">
        <v>2</v>
      </c>
      <c r="E13" s="33">
        <v>2</v>
      </c>
      <c r="F13" s="33">
        <v>6</v>
      </c>
      <c r="G13" s="33">
        <v>4</v>
      </c>
      <c r="H13" s="33">
        <v>1</v>
      </c>
      <c r="I13" s="33">
        <v>1</v>
      </c>
      <c r="J13" s="33">
        <v>2</v>
      </c>
    </row>
    <row r="14" spans="1:11" x14ac:dyDescent="0.25">
      <c r="A14" s="32" t="s">
        <v>138</v>
      </c>
      <c r="B14" s="33">
        <v>3</v>
      </c>
      <c r="C14" s="33">
        <v>13</v>
      </c>
      <c r="D14" s="33">
        <v>2</v>
      </c>
      <c r="E14" s="33">
        <v>11</v>
      </c>
      <c r="F14" s="33">
        <v>6</v>
      </c>
      <c r="G14" s="33">
        <v>5</v>
      </c>
      <c r="H14" s="33">
        <v>1</v>
      </c>
      <c r="I14" s="33">
        <v>0</v>
      </c>
      <c r="J14" s="33">
        <v>1</v>
      </c>
      <c r="K14" s="2"/>
    </row>
    <row r="15" spans="1:11" x14ac:dyDescent="0.25">
      <c r="A15" s="32" t="s">
        <v>164</v>
      </c>
      <c r="B15" s="33">
        <v>7</v>
      </c>
      <c r="C15" s="33">
        <v>2</v>
      </c>
      <c r="D15" s="33">
        <v>2</v>
      </c>
      <c r="E15" s="33">
        <v>0</v>
      </c>
      <c r="F15" s="33">
        <v>1</v>
      </c>
      <c r="G15" s="33">
        <v>1</v>
      </c>
      <c r="H15" s="33">
        <v>0</v>
      </c>
      <c r="I15" s="33">
        <v>0</v>
      </c>
      <c r="J15" s="33">
        <v>0</v>
      </c>
    </row>
    <row r="16" spans="1:11" x14ac:dyDescent="0.25">
      <c r="A16" s="32" t="s">
        <v>175</v>
      </c>
      <c r="B16" s="33">
        <v>4</v>
      </c>
      <c r="C16" s="33">
        <v>11</v>
      </c>
      <c r="D16" s="33">
        <v>2</v>
      </c>
      <c r="E16" s="33">
        <v>9</v>
      </c>
      <c r="F16" s="33">
        <v>12</v>
      </c>
      <c r="G16" s="33">
        <v>8</v>
      </c>
      <c r="H16" s="33">
        <v>3</v>
      </c>
      <c r="I16" s="33">
        <v>1</v>
      </c>
      <c r="J16" s="33">
        <v>6</v>
      </c>
    </row>
    <row r="17" spans="1:10" x14ac:dyDescent="0.25">
      <c r="A17" s="32" t="s">
        <v>343</v>
      </c>
      <c r="B17" s="33">
        <v>1</v>
      </c>
      <c r="C17" s="33">
        <v>1</v>
      </c>
      <c r="D17" s="33">
        <v>0</v>
      </c>
      <c r="E17" s="33">
        <v>1</v>
      </c>
      <c r="F17" s="33">
        <v>0</v>
      </c>
      <c r="G17" s="33">
        <v>0</v>
      </c>
      <c r="H17" s="33">
        <v>0</v>
      </c>
      <c r="I17" s="33">
        <v>0</v>
      </c>
      <c r="J17" s="33">
        <v>0</v>
      </c>
    </row>
    <row r="18" spans="1:10" x14ac:dyDescent="0.25">
      <c r="A18" s="32" t="s">
        <v>224</v>
      </c>
      <c r="B18" s="33">
        <v>16</v>
      </c>
      <c r="C18" s="33">
        <v>35</v>
      </c>
      <c r="D18" s="33">
        <v>9</v>
      </c>
      <c r="E18" s="33">
        <v>26</v>
      </c>
      <c r="F18" s="33">
        <v>26</v>
      </c>
      <c r="G18" s="33">
        <v>19</v>
      </c>
      <c r="H18" s="33">
        <v>5</v>
      </c>
      <c r="I18" s="33">
        <v>2</v>
      </c>
      <c r="J18" s="33">
        <v>14</v>
      </c>
    </row>
  </sheetData>
  <pageMargins left="0.7" right="0.7" top="0.75" bottom="0.75" header="0.3" footer="0.3"/>
  <pageSetup scale="80" orientation="landscape" r:id="rId2"/>
  <headerFooter>
    <oddHeader>&amp;C&amp;"Arial,Regular"&amp;8Proposed ISQM 2: NVivo MS Excel Report by Theme – ED-ISQM 2_Question 4(b)
IAASB Main Agenda (September 2019)&amp;R&amp;"Arial,Bold"&amp;18Agenda Item 7–A.6</oddHeader>
    <oddFooter>&amp;R&amp;P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5F707-47A3-483A-B031-07AA3C52255A}">
  <dimension ref="A1:M98"/>
  <sheetViews>
    <sheetView zoomScale="80" zoomScaleNormal="80" workbookViewId="0">
      <pane xSplit="4" ySplit="1" topLeftCell="E84" activePane="bottomRight" state="frozen"/>
      <selection pane="topRight" activeCell="E1" sqref="E1"/>
      <selection pane="bottomLeft" activeCell="A2" sqref="A2"/>
      <selection pane="bottomRight" activeCell="C85" sqref="C85"/>
    </sheetView>
  </sheetViews>
  <sheetFormatPr defaultColWidth="30.77734375" defaultRowHeight="13.2" outlineLevelCol="2" x14ac:dyDescent="0.25"/>
  <cols>
    <col min="1" max="1" width="50.77734375" style="2" hidden="1" customWidth="1" outlineLevel="1"/>
    <col min="2" max="2" width="30.77734375" style="3" collapsed="1"/>
    <col min="3" max="4" width="30.77734375" style="2" customWidth="1" outlineLevel="2"/>
    <col min="5" max="5" width="6.21875" style="3" bestFit="1" customWidth="1"/>
    <col min="6" max="6" width="30.5546875" style="3" bestFit="1" customWidth="1"/>
    <col min="7" max="7" width="23.33203125" style="3" bestFit="1" customWidth="1"/>
    <col min="8" max="8" width="34.5546875" style="3" bestFit="1" customWidth="1"/>
    <col min="9" max="9" width="8.77734375" style="3" bestFit="1" customWidth="1"/>
    <col min="10" max="11" width="30.33203125" style="3" bestFit="1" customWidth="1"/>
    <col min="12" max="12" width="27" style="3" bestFit="1" customWidth="1"/>
    <col min="13" max="13" width="29.33203125" style="3" bestFit="1" customWidth="1"/>
    <col min="14" max="16384" width="30.77734375" style="2"/>
  </cols>
  <sheetData>
    <row r="1" spans="1:13" s="1" customFormat="1" ht="39.6" x14ac:dyDescent="0.25">
      <c r="A1" s="5" t="s">
        <v>100</v>
      </c>
      <c r="B1" s="13" t="s">
        <v>436</v>
      </c>
      <c r="C1" s="5" t="s">
        <v>101</v>
      </c>
      <c r="D1" s="5" t="s">
        <v>102</v>
      </c>
      <c r="E1" s="21" t="s">
        <v>218</v>
      </c>
      <c r="F1" s="22" t="s">
        <v>219</v>
      </c>
      <c r="G1" s="22" t="s">
        <v>461</v>
      </c>
      <c r="H1" s="22" t="s">
        <v>462</v>
      </c>
      <c r="I1" s="23" t="s">
        <v>220</v>
      </c>
      <c r="J1" s="23" t="s">
        <v>463</v>
      </c>
      <c r="K1" s="23" t="s">
        <v>464</v>
      </c>
      <c r="L1" s="23" t="s">
        <v>465</v>
      </c>
      <c r="M1" s="24" t="s">
        <v>221</v>
      </c>
    </row>
    <row r="2" spans="1:13" x14ac:dyDescent="0.25">
      <c r="A2" s="6" t="s">
        <v>253</v>
      </c>
      <c r="B2" s="7" t="s">
        <v>345</v>
      </c>
      <c r="C2" s="6" t="s">
        <v>104</v>
      </c>
      <c r="D2" s="6" t="s">
        <v>105</v>
      </c>
      <c r="E2" s="4">
        <v>0</v>
      </c>
      <c r="F2" s="4">
        <v>0</v>
      </c>
      <c r="G2" s="4">
        <v>0</v>
      </c>
      <c r="H2" s="4">
        <v>0</v>
      </c>
      <c r="I2" s="4">
        <v>0</v>
      </c>
      <c r="J2" s="4">
        <v>0</v>
      </c>
      <c r="K2" s="4">
        <v>0</v>
      </c>
      <c r="L2" s="4">
        <v>0</v>
      </c>
      <c r="M2" s="4">
        <v>1</v>
      </c>
    </row>
    <row r="3" spans="1:13" x14ac:dyDescent="0.25">
      <c r="A3" s="6" t="s">
        <v>254</v>
      </c>
      <c r="B3" s="7" t="s">
        <v>346</v>
      </c>
      <c r="C3" s="6" t="s">
        <v>104</v>
      </c>
      <c r="D3" s="6" t="s">
        <v>105</v>
      </c>
      <c r="E3" s="4">
        <v>0</v>
      </c>
      <c r="F3" s="4">
        <v>0</v>
      </c>
      <c r="G3" s="4">
        <v>0</v>
      </c>
      <c r="H3" s="4">
        <v>0</v>
      </c>
      <c r="I3" s="4">
        <v>0</v>
      </c>
      <c r="J3" s="4">
        <v>0</v>
      </c>
      <c r="K3" s="4">
        <v>0</v>
      </c>
      <c r="L3" s="4">
        <v>0</v>
      </c>
      <c r="M3" s="4">
        <v>1</v>
      </c>
    </row>
    <row r="4" spans="1:13" x14ac:dyDescent="0.25">
      <c r="A4" s="6" t="s">
        <v>255</v>
      </c>
      <c r="B4" s="7" t="s">
        <v>347</v>
      </c>
      <c r="C4" s="6" t="s">
        <v>104</v>
      </c>
      <c r="D4" s="6" t="s">
        <v>105</v>
      </c>
      <c r="E4" s="4">
        <v>0</v>
      </c>
      <c r="F4" s="4">
        <v>0</v>
      </c>
      <c r="G4" s="4">
        <v>0</v>
      </c>
      <c r="H4" s="4">
        <v>0</v>
      </c>
      <c r="I4" s="4">
        <v>0</v>
      </c>
      <c r="J4" s="4">
        <v>0</v>
      </c>
      <c r="K4" s="4">
        <v>0</v>
      </c>
      <c r="L4" s="4">
        <v>0</v>
      </c>
      <c r="M4" s="4">
        <v>1</v>
      </c>
    </row>
    <row r="5" spans="1:13" x14ac:dyDescent="0.25">
      <c r="A5" s="6" t="s">
        <v>256</v>
      </c>
      <c r="B5" s="7" t="s">
        <v>348</v>
      </c>
      <c r="C5" s="6" t="s">
        <v>104</v>
      </c>
      <c r="D5" s="6" t="s">
        <v>105</v>
      </c>
      <c r="E5" s="4">
        <v>0</v>
      </c>
      <c r="F5" s="4">
        <v>1</v>
      </c>
      <c r="G5" s="4">
        <v>0</v>
      </c>
      <c r="H5" s="4">
        <v>1</v>
      </c>
      <c r="I5" s="4">
        <v>0</v>
      </c>
      <c r="J5" s="4">
        <v>0</v>
      </c>
      <c r="K5" s="4">
        <v>0</v>
      </c>
      <c r="L5" s="4">
        <v>0</v>
      </c>
      <c r="M5" s="4">
        <v>0</v>
      </c>
    </row>
    <row r="6" spans="1:13" x14ac:dyDescent="0.25">
      <c r="A6" s="6" t="s">
        <v>257</v>
      </c>
      <c r="B6" s="7" t="s">
        <v>349</v>
      </c>
      <c r="C6" s="6" t="s">
        <v>110</v>
      </c>
      <c r="D6" s="6" t="s">
        <v>105</v>
      </c>
      <c r="E6" s="4">
        <v>0</v>
      </c>
      <c r="F6" s="4">
        <v>0</v>
      </c>
      <c r="G6" s="4">
        <v>0</v>
      </c>
      <c r="H6" s="4">
        <v>0</v>
      </c>
      <c r="I6" s="4">
        <v>0</v>
      </c>
      <c r="J6" s="4">
        <v>0</v>
      </c>
      <c r="K6" s="4">
        <v>0</v>
      </c>
      <c r="L6" s="4">
        <v>0</v>
      </c>
      <c r="M6" s="4">
        <v>1</v>
      </c>
    </row>
    <row r="7" spans="1:13" ht="26.4" x14ac:dyDescent="0.25">
      <c r="A7" s="6" t="s">
        <v>258</v>
      </c>
      <c r="B7" s="7" t="s">
        <v>350</v>
      </c>
      <c r="C7" s="6" t="s">
        <v>113</v>
      </c>
      <c r="D7" s="6" t="s">
        <v>114</v>
      </c>
      <c r="E7" s="4">
        <v>0</v>
      </c>
      <c r="F7" s="4">
        <v>0</v>
      </c>
      <c r="G7" s="4">
        <v>0</v>
      </c>
      <c r="H7" s="4">
        <v>0</v>
      </c>
      <c r="I7" s="4">
        <v>0</v>
      </c>
      <c r="J7" s="4">
        <v>0</v>
      </c>
      <c r="K7" s="4">
        <v>0</v>
      </c>
      <c r="L7" s="4">
        <v>0</v>
      </c>
      <c r="M7" s="4">
        <v>1</v>
      </c>
    </row>
    <row r="8" spans="1:13" ht="26.4" x14ac:dyDescent="0.25">
      <c r="A8" s="6" t="s">
        <v>259</v>
      </c>
      <c r="B8" s="7" t="s">
        <v>351</v>
      </c>
      <c r="C8" s="6" t="s">
        <v>113</v>
      </c>
      <c r="D8" s="6" t="s">
        <v>116</v>
      </c>
      <c r="E8" s="4">
        <v>0</v>
      </c>
      <c r="F8" s="4">
        <v>1</v>
      </c>
      <c r="G8" s="4">
        <v>0</v>
      </c>
      <c r="H8" s="4">
        <v>1</v>
      </c>
      <c r="I8" s="4">
        <v>0</v>
      </c>
      <c r="J8" s="4">
        <v>0</v>
      </c>
      <c r="K8" s="4">
        <v>0</v>
      </c>
      <c r="L8" s="4">
        <v>0</v>
      </c>
      <c r="M8" s="4">
        <v>0</v>
      </c>
    </row>
    <row r="9" spans="1:13" ht="26.4" x14ac:dyDescent="0.25">
      <c r="A9" s="6" t="s">
        <v>260</v>
      </c>
      <c r="B9" s="7" t="s">
        <v>352</v>
      </c>
      <c r="C9" s="6" t="s">
        <v>113</v>
      </c>
      <c r="D9" s="6" t="s">
        <v>118</v>
      </c>
      <c r="E9" s="4">
        <v>0</v>
      </c>
      <c r="F9" s="4">
        <v>1</v>
      </c>
      <c r="G9" s="4">
        <v>0</v>
      </c>
      <c r="H9" s="4">
        <v>1</v>
      </c>
      <c r="I9" s="4">
        <v>0</v>
      </c>
      <c r="J9" s="4">
        <v>0</v>
      </c>
      <c r="K9" s="4">
        <v>0</v>
      </c>
      <c r="L9" s="4">
        <v>0</v>
      </c>
      <c r="M9" s="4">
        <v>0</v>
      </c>
    </row>
    <row r="10" spans="1:13" ht="26.4" x14ac:dyDescent="0.25">
      <c r="A10" s="6" t="s">
        <v>261</v>
      </c>
      <c r="B10" s="7" t="s">
        <v>353</v>
      </c>
      <c r="C10" s="6" t="s">
        <v>113</v>
      </c>
      <c r="D10" s="6" t="s">
        <v>116</v>
      </c>
      <c r="E10" s="4">
        <v>0</v>
      </c>
      <c r="F10" s="4">
        <v>1</v>
      </c>
      <c r="G10" s="4">
        <v>1</v>
      </c>
      <c r="H10" s="4">
        <v>0</v>
      </c>
      <c r="I10" s="4">
        <v>0</v>
      </c>
      <c r="J10" s="4">
        <v>0</v>
      </c>
      <c r="K10" s="4">
        <v>0</v>
      </c>
      <c r="L10" s="4">
        <v>0</v>
      </c>
      <c r="M10" s="4">
        <v>0</v>
      </c>
    </row>
    <row r="11" spans="1:13" ht="26.4" x14ac:dyDescent="0.25">
      <c r="A11" s="6" t="s">
        <v>262</v>
      </c>
      <c r="B11" s="7" t="s">
        <v>354</v>
      </c>
      <c r="C11" s="6" t="s">
        <v>121</v>
      </c>
      <c r="D11" s="6" t="s">
        <v>114</v>
      </c>
      <c r="E11" s="4">
        <v>0</v>
      </c>
      <c r="F11" s="4">
        <v>0</v>
      </c>
      <c r="G11" s="4">
        <v>0</v>
      </c>
      <c r="H11" s="4">
        <v>0</v>
      </c>
      <c r="I11" s="4">
        <v>1</v>
      </c>
      <c r="J11" s="4">
        <v>0</v>
      </c>
      <c r="K11" s="4">
        <v>0</v>
      </c>
      <c r="L11" s="4">
        <v>1</v>
      </c>
      <c r="M11" s="4">
        <v>0</v>
      </c>
    </row>
    <row r="12" spans="1:13" ht="26.4" x14ac:dyDescent="0.25">
      <c r="A12" s="6" t="s">
        <v>263</v>
      </c>
      <c r="B12" s="7" t="s">
        <v>355</v>
      </c>
      <c r="C12" s="6" t="s">
        <v>121</v>
      </c>
      <c r="D12" s="6" t="s">
        <v>123</v>
      </c>
      <c r="E12" s="4">
        <v>0</v>
      </c>
      <c r="F12" s="4">
        <v>0</v>
      </c>
      <c r="G12" s="4">
        <v>0</v>
      </c>
      <c r="H12" s="4">
        <v>0</v>
      </c>
      <c r="I12" s="4">
        <v>1</v>
      </c>
      <c r="J12" s="4">
        <v>1</v>
      </c>
      <c r="K12" s="4">
        <v>0</v>
      </c>
      <c r="L12" s="4">
        <v>0</v>
      </c>
      <c r="M12" s="4">
        <v>0</v>
      </c>
    </row>
    <row r="13" spans="1:13" ht="26.4" x14ac:dyDescent="0.25">
      <c r="A13" s="6" t="s">
        <v>264</v>
      </c>
      <c r="B13" s="7" t="s">
        <v>356</v>
      </c>
      <c r="C13" s="6" t="s">
        <v>121</v>
      </c>
      <c r="D13" s="6" t="s">
        <v>114</v>
      </c>
      <c r="E13" s="4">
        <v>0</v>
      </c>
      <c r="F13" s="4">
        <v>0</v>
      </c>
      <c r="G13" s="4">
        <v>0</v>
      </c>
      <c r="H13" s="4">
        <v>0</v>
      </c>
      <c r="I13" s="4">
        <v>0</v>
      </c>
      <c r="J13" s="4">
        <v>0</v>
      </c>
      <c r="K13" s="4">
        <v>0</v>
      </c>
      <c r="L13" s="4">
        <v>0</v>
      </c>
      <c r="M13" s="4">
        <v>1</v>
      </c>
    </row>
    <row r="14" spans="1:13" ht="26.4" x14ac:dyDescent="0.25">
      <c r="A14" s="6" t="s">
        <v>265</v>
      </c>
      <c r="B14" s="7" t="s">
        <v>357</v>
      </c>
      <c r="C14" s="6" t="s">
        <v>121</v>
      </c>
      <c r="D14" s="6" t="s">
        <v>123</v>
      </c>
      <c r="E14" s="4">
        <v>0</v>
      </c>
      <c r="F14" s="4">
        <v>0</v>
      </c>
      <c r="G14" s="4">
        <v>0</v>
      </c>
      <c r="H14" s="4">
        <v>0</v>
      </c>
      <c r="I14" s="4">
        <v>0</v>
      </c>
      <c r="J14" s="4">
        <v>0</v>
      </c>
      <c r="K14" s="4">
        <v>0</v>
      </c>
      <c r="L14" s="4">
        <v>0</v>
      </c>
      <c r="M14" s="4">
        <v>1</v>
      </c>
    </row>
    <row r="15" spans="1:13" ht="26.4" x14ac:dyDescent="0.25">
      <c r="A15" s="6" t="s">
        <v>266</v>
      </c>
      <c r="B15" s="7" t="s">
        <v>358</v>
      </c>
      <c r="C15" s="6" t="s">
        <v>121</v>
      </c>
      <c r="D15" s="6" t="s">
        <v>116</v>
      </c>
      <c r="E15" s="4">
        <v>1</v>
      </c>
      <c r="F15" s="4">
        <v>0</v>
      </c>
      <c r="G15" s="4">
        <v>0</v>
      </c>
      <c r="H15" s="4">
        <v>0</v>
      </c>
      <c r="I15" s="4">
        <v>0</v>
      </c>
      <c r="J15" s="4">
        <v>0</v>
      </c>
      <c r="K15" s="4">
        <v>0</v>
      </c>
      <c r="L15" s="4">
        <v>0</v>
      </c>
      <c r="M15" s="4">
        <v>0</v>
      </c>
    </row>
    <row r="16" spans="1:13" ht="26.4" x14ac:dyDescent="0.25">
      <c r="A16" s="6" t="s">
        <v>267</v>
      </c>
      <c r="B16" s="7" t="s">
        <v>359</v>
      </c>
      <c r="C16" s="6" t="s">
        <v>121</v>
      </c>
      <c r="D16" s="6" t="s">
        <v>128</v>
      </c>
      <c r="E16" s="4">
        <v>0</v>
      </c>
      <c r="F16" s="4">
        <v>1</v>
      </c>
      <c r="G16" s="4">
        <v>0</v>
      </c>
      <c r="H16" s="4">
        <v>1</v>
      </c>
      <c r="I16" s="4">
        <v>0</v>
      </c>
      <c r="J16" s="4">
        <v>0</v>
      </c>
      <c r="K16" s="4">
        <v>0</v>
      </c>
      <c r="L16" s="4">
        <v>0</v>
      </c>
      <c r="M16" s="4">
        <v>0</v>
      </c>
    </row>
    <row r="17" spans="1:13" ht="26.4" x14ac:dyDescent="0.25">
      <c r="A17" s="6" t="s">
        <v>268</v>
      </c>
      <c r="B17" s="7" t="s">
        <v>360</v>
      </c>
      <c r="C17" s="6" t="s">
        <v>121</v>
      </c>
      <c r="D17" s="6" t="s">
        <v>123</v>
      </c>
      <c r="E17" s="4">
        <v>0</v>
      </c>
      <c r="F17" s="4">
        <v>1</v>
      </c>
      <c r="G17" s="4">
        <v>1</v>
      </c>
      <c r="H17" s="4">
        <v>0</v>
      </c>
      <c r="I17" s="4">
        <v>0</v>
      </c>
      <c r="J17" s="4">
        <v>0</v>
      </c>
      <c r="K17" s="4">
        <v>0</v>
      </c>
      <c r="L17" s="4">
        <v>0</v>
      </c>
      <c r="M17" s="4">
        <v>0</v>
      </c>
    </row>
    <row r="18" spans="1:13" ht="26.4" x14ac:dyDescent="0.25">
      <c r="A18" s="6" t="s">
        <v>269</v>
      </c>
      <c r="B18" s="7" t="s">
        <v>361</v>
      </c>
      <c r="C18" s="6" t="s">
        <v>121</v>
      </c>
      <c r="D18" s="6" t="s">
        <v>116</v>
      </c>
      <c r="E18" s="4">
        <v>0</v>
      </c>
      <c r="F18" s="4">
        <v>0</v>
      </c>
      <c r="G18" s="4">
        <v>0</v>
      </c>
      <c r="H18" s="4">
        <v>0</v>
      </c>
      <c r="I18" s="4">
        <v>1</v>
      </c>
      <c r="J18" s="4">
        <v>0</v>
      </c>
      <c r="K18" s="4">
        <v>1</v>
      </c>
      <c r="L18" s="4">
        <v>0</v>
      </c>
      <c r="M18" s="4">
        <v>0</v>
      </c>
    </row>
    <row r="19" spans="1:13" ht="26.4" x14ac:dyDescent="0.25">
      <c r="A19" s="6" t="s">
        <v>270</v>
      </c>
      <c r="B19" s="7" t="s">
        <v>362</v>
      </c>
      <c r="C19" s="6" t="s">
        <v>121</v>
      </c>
      <c r="D19" s="6" t="s">
        <v>123</v>
      </c>
      <c r="E19" s="4">
        <v>0</v>
      </c>
      <c r="F19" s="4">
        <v>1</v>
      </c>
      <c r="G19" s="4">
        <v>1</v>
      </c>
      <c r="H19" s="4">
        <v>0</v>
      </c>
      <c r="I19" s="4">
        <v>0</v>
      </c>
      <c r="J19" s="4">
        <v>0</v>
      </c>
      <c r="K19" s="4">
        <v>0</v>
      </c>
      <c r="L19" s="4">
        <v>0</v>
      </c>
      <c r="M19" s="4">
        <v>0</v>
      </c>
    </row>
    <row r="20" spans="1:13" ht="26.4" x14ac:dyDescent="0.25">
      <c r="A20" s="6" t="s">
        <v>271</v>
      </c>
      <c r="B20" s="7" t="s">
        <v>363</v>
      </c>
      <c r="C20" s="6" t="s">
        <v>121</v>
      </c>
      <c r="D20" s="6" t="s">
        <v>116</v>
      </c>
      <c r="E20" s="4">
        <v>0</v>
      </c>
      <c r="F20" s="4">
        <v>1</v>
      </c>
      <c r="G20" s="4">
        <v>0</v>
      </c>
      <c r="H20" s="4">
        <v>1</v>
      </c>
      <c r="I20" s="4">
        <v>0</v>
      </c>
      <c r="J20" s="4">
        <v>0</v>
      </c>
      <c r="K20" s="4">
        <v>0</v>
      </c>
      <c r="L20" s="4">
        <v>0</v>
      </c>
      <c r="M20" s="4">
        <v>0</v>
      </c>
    </row>
    <row r="21" spans="1:13" ht="26.4" x14ac:dyDescent="0.25">
      <c r="A21" s="6" t="s">
        <v>272</v>
      </c>
      <c r="B21" s="7" t="s">
        <v>364</v>
      </c>
      <c r="C21" s="6" t="s">
        <v>121</v>
      </c>
      <c r="D21" s="6" t="s">
        <v>123</v>
      </c>
      <c r="E21" s="4">
        <v>0</v>
      </c>
      <c r="F21" s="4">
        <v>0</v>
      </c>
      <c r="G21" s="4">
        <v>0</v>
      </c>
      <c r="H21" s="4">
        <v>0</v>
      </c>
      <c r="I21" s="4">
        <v>1</v>
      </c>
      <c r="J21" s="4">
        <v>1</v>
      </c>
      <c r="K21" s="4">
        <v>0</v>
      </c>
      <c r="L21" s="4">
        <v>0</v>
      </c>
      <c r="M21" s="4">
        <v>0</v>
      </c>
    </row>
    <row r="22" spans="1:13" ht="26.4" x14ac:dyDescent="0.25">
      <c r="A22" s="6" t="s">
        <v>273</v>
      </c>
      <c r="B22" s="7" t="s">
        <v>365</v>
      </c>
      <c r="C22" s="6" t="s">
        <v>121</v>
      </c>
      <c r="D22" s="6" t="s">
        <v>123</v>
      </c>
      <c r="E22" s="4">
        <v>0</v>
      </c>
      <c r="F22" s="4">
        <v>0</v>
      </c>
      <c r="G22" s="4">
        <v>0</v>
      </c>
      <c r="H22" s="4">
        <v>0</v>
      </c>
      <c r="I22" s="4">
        <v>1</v>
      </c>
      <c r="J22" s="4">
        <v>1</v>
      </c>
      <c r="K22" s="4">
        <v>0</v>
      </c>
      <c r="L22" s="4">
        <v>0</v>
      </c>
      <c r="M22" s="4">
        <v>0</v>
      </c>
    </row>
    <row r="23" spans="1:13" ht="26.4" x14ac:dyDescent="0.25">
      <c r="A23" s="6" t="s">
        <v>274</v>
      </c>
      <c r="B23" s="7" t="s">
        <v>366</v>
      </c>
      <c r="C23" s="6" t="s">
        <v>121</v>
      </c>
      <c r="D23" s="6" t="s">
        <v>116</v>
      </c>
      <c r="E23" s="4">
        <v>0</v>
      </c>
      <c r="F23" s="4">
        <v>0</v>
      </c>
      <c r="G23" s="4">
        <v>0</v>
      </c>
      <c r="H23" s="4">
        <v>0</v>
      </c>
      <c r="I23" s="4">
        <v>1</v>
      </c>
      <c r="J23" s="4">
        <v>1</v>
      </c>
      <c r="K23" s="4">
        <v>0</v>
      </c>
      <c r="L23" s="4">
        <v>0</v>
      </c>
      <c r="M23" s="4">
        <v>0</v>
      </c>
    </row>
    <row r="24" spans="1:13" x14ac:dyDescent="0.25">
      <c r="A24" s="6" t="s">
        <v>275</v>
      </c>
      <c r="B24" s="7" t="s">
        <v>367</v>
      </c>
      <c r="C24" s="6" t="s">
        <v>138</v>
      </c>
      <c r="D24" s="6" t="s">
        <v>105</v>
      </c>
      <c r="E24" s="4">
        <v>0</v>
      </c>
      <c r="F24" s="4">
        <v>1</v>
      </c>
      <c r="G24" s="4">
        <v>0</v>
      </c>
      <c r="H24" s="4">
        <v>1</v>
      </c>
      <c r="I24" s="4">
        <v>0</v>
      </c>
      <c r="J24" s="4">
        <v>0</v>
      </c>
      <c r="K24" s="4">
        <v>0</v>
      </c>
      <c r="L24" s="4">
        <v>0</v>
      </c>
      <c r="M24" s="4">
        <v>0</v>
      </c>
    </row>
    <row r="25" spans="1:13" x14ac:dyDescent="0.25">
      <c r="A25" s="6" t="s">
        <v>276</v>
      </c>
      <c r="B25" s="7" t="s">
        <v>368</v>
      </c>
      <c r="C25" s="6" t="s">
        <v>138</v>
      </c>
      <c r="D25" s="6" t="s">
        <v>114</v>
      </c>
      <c r="E25" s="4">
        <v>0</v>
      </c>
      <c r="F25" s="4">
        <v>1</v>
      </c>
      <c r="G25" s="4">
        <v>0</v>
      </c>
      <c r="H25" s="4">
        <v>1</v>
      </c>
      <c r="I25" s="4">
        <v>0</v>
      </c>
      <c r="J25" s="4">
        <v>0</v>
      </c>
      <c r="K25" s="4">
        <v>0</v>
      </c>
      <c r="L25" s="4">
        <v>0</v>
      </c>
      <c r="M25" s="4">
        <v>0</v>
      </c>
    </row>
    <row r="26" spans="1:13" x14ac:dyDescent="0.25">
      <c r="A26" s="6" t="s">
        <v>277</v>
      </c>
      <c r="B26" s="7" t="s">
        <v>369</v>
      </c>
      <c r="C26" s="6" t="s">
        <v>138</v>
      </c>
      <c r="D26" s="6" t="s">
        <v>105</v>
      </c>
      <c r="E26" s="4">
        <v>0</v>
      </c>
      <c r="F26" s="4">
        <v>1</v>
      </c>
      <c r="G26" s="4">
        <v>0</v>
      </c>
      <c r="H26" s="4">
        <v>1</v>
      </c>
      <c r="I26" s="4">
        <v>0</v>
      </c>
      <c r="J26" s="4">
        <v>0</v>
      </c>
      <c r="K26" s="4">
        <v>0</v>
      </c>
      <c r="L26" s="4">
        <v>0</v>
      </c>
      <c r="M26" s="4">
        <v>0</v>
      </c>
    </row>
    <row r="27" spans="1:13" x14ac:dyDescent="0.25">
      <c r="A27" s="6" t="s">
        <v>278</v>
      </c>
      <c r="B27" s="7" t="s">
        <v>370</v>
      </c>
      <c r="C27" s="6" t="s">
        <v>138</v>
      </c>
      <c r="D27" s="6" t="s">
        <v>123</v>
      </c>
      <c r="E27" s="4">
        <v>0</v>
      </c>
      <c r="F27" s="4">
        <v>0</v>
      </c>
      <c r="G27" s="4">
        <v>0</v>
      </c>
      <c r="H27" s="4">
        <v>0</v>
      </c>
      <c r="I27" s="4">
        <v>0</v>
      </c>
      <c r="J27" s="4">
        <v>0</v>
      </c>
      <c r="K27" s="4">
        <v>0</v>
      </c>
      <c r="L27" s="4">
        <v>0</v>
      </c>
      <c r="M27" s="4">
        <v>1</v>
      </c>
    </row>
    <row r="28" spans="1:13" x14ac:dyDescent="0.25">
      <c r="A28" s="6" t="s">
        <v>279</v>
      </c>
      <c r="B28" s="7" t="s">
        <v>371</v>
      </c>
      <c r="C28" s="6" t="s">
        <v>138</v>
      </c>
      <c r="D28" s="6" t="s">
        <v>105</v>
      </c>
      <c r="E28" s="4">
        <v>0</v>
      </c>
      <c r="F28" s="4">
        <v>1</v>
      </c>
      <c r="G28" s="4">
        <v>0</v>
      </c>
      <c r="H28" s="4">
        <v>1</v>
      </c>
      <c r="I28" s="4">
        <v>0</v>
      </c>
      <c r="J28" s="4">
        <v>0</v>
      </c>
      <c r="K28" s="4">
        <v>0</v>
      </c>
      <c r="L28" s="4">
        <v>0</v>
      </c>
      <c r="M28" s="4">
        <v>0</v>
      </c>
    </row>
    <row r="29" spans="1:13" x14ac:dyDescent="0.25">
      <c r="A29" s="6" t="s">
        <v>280</v>
      </c>
      <c r="B29" s="7" t="s">
        <v>372</v>
      </c>
      <c r="C29" s="6" t="s">
        <v>138</v>
      </c>
      <c r="D29" s="6" t="s">
        <v>105</v>
      </c>
      <c r="E29" s="4">
        <v>0</v>
      </c>
      <c r="F29" s="4">
        <v>0</v>
      </c>
      <c r="G29" s="4">
        <v>0</v>
      </c>
      <c r="H29" s="4">
        <v>0</v>
      </c>
      <c r="I29" s="4">
        <v>1</v>
      </c>
      <c r="J29" s="4">
        <v>1</v>
      </c>
      <c r="K29" s="4">
        <v>0</v>
      </c>
      <c r="L29" s="4">
        <v>0</v>
      </c>
      <c r="M29" s="4">
        <v>0</v>
      </c>
    </row>
    <row r="30" spans="1:13" x14ac:dyDescent="0.25">
      <c r="A30" s="6" t="s">
        <v>281</v>
      </c>
      <c r="B30" s="7" t="s">
        <v>373</v>
      </c>
      <c r="C30" s="6" t="s">
        <v>138</v>
      </c>
      <c r="D30" s="6" t="s">
        <v>116</v>
      </c>
      <c r="E30" s="4">
        <v>0</v>
      </c>
      <c r="F30" s="4">
        <v>1</v>
      </c>
      <c r="G30" s="4">
        <v>1</v>
      </c>
      <c r="H30" s="4">
        <v>0</v>
      </c>
      <c r="I30" s="4">
        <v>0</v>
      </c>
      <c r="J30" s="4">
        <v>0</v>
      </c>
      <c r="K30" s="4">
        <v>0</v>
      </c>
      <c r="L30" s="4">
        <v>0</v>
      </c>
      <c r="M30" s="4">
        <v>0</v>
      </c>
    </row>
    <row r="31" spans="1:13" x14ac:dyDescent="0.25">
      <c r="A31" s="6" t="s">
        <v>282</v>
      </c>
      <c r="B31" s="7" t="s">
        <v>374</v>
      </c>
      <c r="C31" s="6" t="s">
        <v>138</v>
      </c>
      <c r="D31" s="6" t="s">
        <v>118</v>
      </c>
      <c r="E31" s="4">
        <v>0</v>
      </c>
      <c r="F31" s="4">
        <v>0</v>
      </c>
      <c r="G31" s="4">
        <v>0</v>
      </c>
      <c r="H31" s="4">
        <v>0</v>
      </c>
      <c r="I31" s="4">
        <v>1</v>
      </c>
      <c r="J31" s="4">
        <v>1</v>
      </c>
      <c r="K31" s="4">
        <v>0</v>
      </c>
      <c r="L31" s="4">
        <v>0</v>
      </c>
      <c r="M31" s="4">
        <v>0</v>
      </c>
    </row>
    <row r="32" spans="1:13" x14ac:dyDescent="0.25">
      <c r="A32" s="6" t="s">
        <v>283</v>
      </c>
      <c r="B32" s="7" t="s">
        <v>375</v>
      </c>
      <c r="C32" s="6" t="s">
        <v>138</v>
      </c>
      <c r="D32" s="6" t="s">
        <v>105</v>
      </c>
      <c r="E32" s="4">
        <v>0</v>
      </c>
      <c r="F32" s="4">
        <v>0</v>
      </c>
      <c r="G32" s="4">
        <v>0</v>
      </c>
      <c r="H32" s="4">
        <v>0</v>
      </c>
      <c r="I32" s="4">
        <v>1</v>
      </c>
      <c r="J32" s="4">
        <v>1</v>
      </c>
      <c r="K32" s="4">
        <v>0</v>
      </c>
      <c r="L32" s="4">
        <v>0</v>
      </c>
      <c r="M32" s="4">
        <v>0</v>
      </c>
    </row>
    <row r="33" spans="1:13" x14ac:dyDescent="0.25">
      <c r="A33" s="6" t="s">
        <v>284</v>
      </c>
      <c r="B33" s="7" t="s">
        <v>376</v>
      </c>
      <c r="C33" s="6" t="s">
        <v>138</v>
      </c>
      <c r="D33" s="6" t="s">
        <v>105</v>
      </c>
      <c r="E33" s="4">
        <v>0</v>
      </c>
      <c r="F33" s="4">
        <v>0</v>
      </c>
      <c r="G33" s="4">
        <v>0</v>
      </c>
      <c r="H33" s="4">
        <v>0</v>
      </c>
      <c r="I33" s="4">
        <v>1</v>
      </c>
      <c r="J33" s="4">
        <v>1</v>
      </c>
      <c r="K33" s="4">
        <v>0</v>
      </c>
      <c r="L33" s="4">
        <v>0</v>
      </c>
      <c r="M33" s="4">
        <v>0</v>
      </c>
    </row>
    <row r="34" spans="1:13" x14ac:dyDescent="0.25">
      <c r="A34" s="6" t="s">
        <v>285</v>
      </c>
      <c r="B34" s="7" t="s">
        <v>377</v>
      </c>
      <c r="C34" s="6" t="s">
        <v>138</v>
      </c>
      <c r="D34" s="6" t="s">
        <v>116</v>
      </c>
      <c r="E34" s="4">
        <v>1</v>
      </c>
      <c r="F34" s="4">
        <v>0</v>
      </c>
      <c r="G34" s="4">
        <v>0</v>
      </c>
      <c r="H34" s="4">
        <v>0</v>
      </c>
      <c r="I34" s="4">
        <v>0</v>
      </c>
      <c r="J34" s="4">
        <v>0</v>
      </c>
      <c r="K34" s="4">
        <v>0</v>
      </c>
      <c r="L34" s="4">
        <v>0</v>
      </c>
      <c r="M34" s="4">
        <v>0</v>
      </c>
    </row>
    <row r="35" spans="1:13" x14ac:dyDescent="0.25">
      <c r="A35" s="6" t="s">
        <v>286</v>
      </c>
      <c r="B35" s="7" t="s">
        <v>378</v>
      </c>
      <c r="C35" s="6" t="s">
        <v>138</v>
      </c>
      <c r="D35" s="6" t="s">
        <v>105</v>
      </c>
      <c r="E35" s="4">
        <v>0</v>
      </c>
      <c r="F35" s="4">
        <v>1</v>
      </c>
      <c r="G35" s="4">
        <v>0</v>
      </c>
      <c r="H35" s="4">
        <v>1</v>
      </c>
      <c r="I35" s="4">
        <v>0</v>
      </c>
      <c r="J35" s="4">
        <v>0</v>
      </c>
      <c r="K35" s="4">
        <v>0</v>
      </c>
      <c r="L35" s="4">
        <v>0</v>
      </c>
      <c r="M35" s="4">
        <v>0</v>
      </c>
    </row>
    <row r="36" spans="1:13" x14ac:dyDescent="0.25">
      <c r="A36" s="6" t="s">
        <v>287</v>
      </c>
      <c r="B36" s="7" t="s">
        <v>379</v>
      </c>
      <c r="C36" s="6" t="s">
        <v>138</v>
      </c>
      <c r="D36" s="6" t="s">
        <v>105</v>
      </c>
      <c r="E36" s="4">
        <v>0</v>
      </c>
      <c r="F36" s="4">
        <v>1</v>
      </c>
      <c r="G36" s="4">
        <v>0</v>
      </c>
      <c r="H36" s="4">
        <v>1</v>
      </c>
      <c r="I36" s="4">
        <v>0</v>
      </c>
      <c r="J36" s="4">
        <v>0</v>
      </c>
      <c r="K36" s="4">
        <v>0</v>
      </c>
      <c r="L36" s="4">
        <v>0</v>
      </c>
      <c r="M36" s="4">
        <v>0</v>
      </c>
    </row>
    <row r="37" spans="1:13" x14ac:dyDescent="0.25">
      <c r="A37" s="6" t="s">
        <v>288</v>
      </c>
      <c r="B37" s="7" t="s">
        <v>380</v>
      </c>
      <c r="C37" s="6" t="s">
        <v>138</v>
      </c>
      <c r="D37" s="6" t="s">
        <v>105</v>
      </c>
      <c r="E37" s="4">
        <v>0</v>
      </c>
      <c r="F37" s="4">
        <v>1</v>
      </c>
      <c r="G37" s="4">
        <v>0</v>
      </c>
      <c r="H37" s="4">
        <v>1</v>
      </c>
      <c r="I37" s="4">
        <v>0</v>
      </c>
      <c r="J37" s="4">
        <v>0</v>
      </c>
      <c r="K37" s="4">
        <v>0</v>
      </c>
      <c r="L37" s="4">
        <v>0</v>
      </c>
      <c r="M37" s="4">
        <v>0</v>
      </c>
    </row>
    <row r="38" spans="1:13" x14ac:dyDescent="0.25">
      <c r="A38" s="6" t="s">
        <v>289</v>
      </c>
      <c r="B38" s="7" t="s">
        <v>381</v>
      </c>
      <c r="C38" s="6" t="s">
        <v>138</v>
      </c>
      <c r="D38" s="6" t="s">
        <v>114</v>
      </c>
      <c r="E38" s="4">
        <v>0</v>
      </c>
      <c r="F38" s="4">
        <v>1</v>
      </c>
      <c r="G38" s="4">
        <v>0</v>
      </c>
      <c r="H38" s="4">
        <v>1</v>
      </c>
      <c r="I38" s="4">
        <v>0</v>
      </c>
      <c r="J38" s="4">
        <v>0</v>
      </c>
      <c r="K38" s="4">
        <v>0</v>
      </c>
      <c r="L38" s="4">
        <v>0</v>
      </c>
      <c r="M38" s="4">
        <v>0</v>
      </c>
    </row>
    <row r="39" spans="1:13" x14ac:dyDescent="0.25">
      <c r="A39" s="6" t="s">
        <v>290</v>
      </c>
      <c r="B39" s="7" t="s">
        <v>382</v>
      </c>
      <c r="C39" s="6" t="s">
        <v>138</v>
      </c>
      <c r="D39" s="6" t="s">
        <v>114</v>
      </c>
      <c r="E39" s="4">
        <v>0</v>
      </c>
      <c r="F39" s="4">
        <v>1</v>
      </c>
      <c r="G39" s="4">
        <v>0</v>
      </c>
      <c r="H39" s="4">
        <v>1</v>
      </c>
      <c r="I39" s="4">
        <v>0</v>
      </c>
      <c r="J39" s="4">
        <v>0</v>
      </c>
      <c r="K39" s="4">
        <v>0</v>
      </c>
      <c r="L39" s="4">
        <v>0</v>
      </c>
      <c r="M39" s="4">
        <v>0</v>
      </c>
    </row>
    <row r="40" spans="1:13" x14ac:dyDescent="0.25">
      <c r="A40" s="6" t="s">
        <v>291</v>
      </c>
      <c r="B40" s="7" t="s">
        <v>383</v>
      </c>
      <c r="C40" s="6" t="s">
        <v>138</v>
      </c>
      <c r="D40" s="6" t="s">
        <v>105</v>
      </c>
      <c r="E40" s="4">
        <v>0</v>
      </c>
      <c r="F40" s="4">
        <v>1</v>
      </c>
      <c r="G40" s="4">
        <v>0</v>
      </c>
      <c r="H40" s="4">
        <v>1</v>
      </c>
      <c r="I40" s="4">
        <v>0</v>
      </c>
      <c r="J40" s="4">
        <v>0</v>
      </c>
      <c r="K40" s="4">
        <v>0</v>
      </c>
      <c r="L40" s="4">
        <v>0</v>
      </c>
      <c r="M40" s="4">
        <v>0</v>
      </c>
    </row>
    <row r="41" spans="1:13" x14ac:dyDescent="0.25">
      <c r="A41" s="6" t="s">
        <v>292</v>
      </c>
      <c r="B41" s="7" t="s">
        <v>384</v>
      </c>
      <c r="C41" s="6" t="s">
        <v>138</v>
      </c>
      <c r="D41" s="6" t="s">
        <v>105</v>
      </c>
      <c r="E41" s="4">
        <v>0</v>
      </c>
      <c r="F41" s="4">
        <v>1</v>
      </c>
      <c r="G41" s="4">
        <v>0</v>
      </c>
      <c r="H41" s="4">
        <v>1</v>
      </c>
      <c r="I41" s="4">
        <v>0</v>
      </c>
      <c r="J41" s="4">
        <v>0</v>
      </c>
      <c r="K41" s="4">
        <v>0</v>
      </c>
      <c r="L41" s="4">
        <v>0</v>
      </c>
      <c r="M41" s="4">
        <v>0</v>
      </c>
    </row>
    <row r="42" spans="1:13" x14ac:dyDescent="0.25">
      <c r="A42" s="6" t="s">
        <v>293</v>
      </c>
      <c r="B42" s="7" t="s">
        <v>385</v>
      </c>
      <c r="C42" s="6" t="s">
        <v>138</v>
      </c>
      <c r="D42" s="6" t="s">
        <v>116</v>
      </c>
      <c r="E42" s="4">
        <v>0</v>
      </c>
      <c r="F42" s="4">
        <v>0</v>
      </c>
      <c r="G42" s="4">
        <v>0</v>
      </c>
      <c r="H42" s="4">
        <v>0</v>
      </c>
      <c r="I42" s="4">
        <v>1</v>
      </c>
      <c r="J42" s="4">
        <v>1</v>
      </c>
      <c r="K42" s="4">
        <v>0</v>
      </c>
      <c r="L42" s="4">
        <v>0</v>
      </c>
      <c r="M42" s="4">
        <v>0</v>
      </c>
    </row>
    <row r="43" spans="1:13" x14ac:dyDescent="0.25">
      <c r="A43" s="6" t="s">
        <v>294</v>
      </c>
      <c r="B43" s="7" t="s">
        <v>386</v>
      </c>
      <c r="C43" s="6" t="s">
        <v>138</v>
      </c>
      <c r="D43" s="6" t="s">
        <v>105</v>
      </c>
      <c r="E43" s="4">
        <v>0</v>
      </c>
      <c r="F43" s="4">
        <v>1</v>
      </c>
      <c r="G43" s="4">
        <v>1</v>
      </c>
      <c r="H43" s="4">
        <v>0</v>
      </c>
      <c r="I43" s="4">
        <v>0</v>
      </c>
      <c r="J43" s="4">
        <v>0</v>
      </c>
      <c r="K43" s="4">
        <v>0</v>
      </c>
      <c r="L43" s="4">
        <v>0</v>
      </c>
      <c r="M43" s="4">
        <v>0</v>
      </c>
    </row>
    <row r="44" spans="1:13" x14ac:dyDescent="0.25">
      <c r="A44" s="6" t="s">
        <v>295</v>
      </c>
      <c r="B44" s="7" t="s">
        <v>387</v>
      </c>
      <c r="C44" s="6" t="s">
        <v>138</v>
      </c>
      <c r="D44" s="6" t="s">
        <v>118</v>
      </c>
      <c r="E44" s="4">
        <v>1</v>
      </c>
      <c r="F44" s="4">
        <v>0</v>
      </c>
      <c r="G44" s="4">
        <v>0</v>
      </c>
      <c r="H44" s="4">
        <v>0</v>
      </c>
      <c r="I44" s="4">
        <v>0</v>
      </c>
      <c r="J44" s="4">
        <v>0</v>
      </c>
      <c r="K44" s="4">
        <v>0</v>
      </c>
      <c r="L44" s="4">
        <v>0</v>
      </c>
      <c r="M44" s="4">
        <v>0</v>
      </c>
    </row>
    <row r="45" spans="1:13" x14ac:dyDescent="0.25">
      <c r="A45" s="6" t="s">
        <v>296</v>
      </c>
      <c r="B45" s="7" t="s">
        <v>388</v>
      </c>
      <c r="C45" s="6" t="s">
        <v>138</v>
      </c>
      <c r="D45" s="6" t="s">
        <v>105</v>
      </c>
      <c r="E45" s="4">
        <v>0</v>
      </c>
      <c r="F45" s="4">
        <v>0</v>
      </c>
      <c r="G45" s="4">
        <v>0</v>
      </c>
      <c r="H45" s="4">
        <v>0</v>
      </c>
      <c r="I45" s="4">
        <v>1</v>
      </c>
      <c r="J45" s="4">
        <v>0</v>
      </c>
      <c r="K45" s="4">
        <v>1</v>
      </c>
      <c r="L45" s="4">
        <v>0</v>
      </c>
      <c r="M45" s="4">
        <v>0</v>
      </c>
    </row>
    <row r="46" spans="1:13" x14ac:dyDescent="0.25">
      <c r="A46" s="6" t="s">
        <v>297</v>
      </c>
      <c r="B46" s="7" t="s">
        <v>389</v>
      </c>
      <c r="C46" s="6" t="s">
        <v>138</v>
      </c>
      <c r="D46" s="6" t="s">
        <v>105</v>
      </c>
      <c r="E46" s="4">
        <v>1</v>
      </c>
      <c r="F46" s="4">
        <v>0</v>
      </c>
      <c r="G46" s="4">
        <v>0</v>
      </c>
      <c r="H46" s="4">
        <v>0</v>
      </c>
      <c r="I46" s="4">
        <v>0</v>
      </c>
      <c r="J46" s="4">
        <v>0</v>
      </c>
      <c r="K46" s="4">
        <v>0</v>
      </c>
      <c r="L46" s="4">
        <v>0</v>
      </c>
      <c r="M46" s="4">
        <v>0</v>
      </c>
    </row>
    <row r="47" spans="1:13" x14ac:dyDescent="0.25">
      <c r="A47" s="6" t="s">
        <v>298</v>
      </c>
      <c r="B47" s="7" t="s">
        <v>390</v>
      </c>
      <c r="C47" s="6" t="s">
        <v>164</v>
      </c>
      <c r="D47" s="6" t="s">
        <v>118</v>
      </c>
      <c r="E47" s="4">
        <v>1</v>
      </c>
      <c r="F47" s="4">
        <v>0</v>
      </c>
      <c r="G47" s="4">
        <v>0</v>
      </c>
      <c r="H47" s="4">
        <v>0</v>
      </c>
      <c r="I47" s="4">
        <v>0</v>
      </c>
      <c r="J47" s="4">
        <v>0</v>
      </c>
      <c r="K47" s="4">
        <v>0</v>
      </c>
      <c r="L47" s="4">
        <v>0</v>
      </c>
      <c r="M47" s="4">
        <v>0</v>
      </c>
    </row>
    <row r="48" spans="1:13" x14ac:dyDescent="0.25">
      <c r="A48" s="6" t="s">
        <v>299</v>
      </c>
      <c r="B48" s="7" t="s">
        <v>391</v>
      </c>
      <c r="C48" s="6" t="s">
        <v>164</v>
      </c>
      <c r="D48" s="6" t="s">
        <v>123</v>
      </c>
      <c r="E48" s="4">
        <v>1</v>
      </c>
      <c r="F48" s="4">
        <v>0</v>
      </c>
      <c r="G48" s="4">
        <v>0</v>
      </c>
      <c r="H48" s="4">
        <v>0</v>
      </c>
      <c r="I48" s="4">
        <v>0</v>
      </c>
      <c r="J48" s="4">
        <v>0</v>
      </c>
      <c r="K48" s="4">
        <v>0</v>
      </c>
      <c r="L48" s="4">
        <v>0</v>
      </c>
      <c r="M48" s="4">
        <v>0</v>
      </c>
    </row>
    <row r="49" spans="1:13" x14ac:dyDescent="0.25">
      <c r="A49" s="6" t="s">
        <v>300</v>
      </c>
      <c r="B49" s="7" t="s">
        <v>392</v>
      </c>
      <c r="C49" s="6" t="s">
        <v>164</v>
      </c>
      <c r="D49" s="6" t="s">
        <v>105</v>
      </c>
      <c r="E49" s="4">
        <v>1</v>
      </c>
      <c r="F49" s="4">
        <v>0</v>
      </c>
      <c r="G49" s="4">
        <v>0</v>
      </c>
      <c r="H49" s="4">
        <v>0</v>
      </c>
      <c r="I49" s="4">
        <v>0</v>
      </c>
      <c r="J49" s="4">
        <v>0</v>
      </c>
      <c r="K49" s="4">
        <v>0</v>
      </c>
      <c r="L49" s="4">
        <v>0</v>
      </c>
      <c r="M49" s="4">
        <v>0</v>
      </c>
    </row>
    <row r="50" spans="1:13" x14ac:dyDescent="0.25">
      <c r="A50" s="6" t="s">
        <v>301</v>
      </c>
      <c r="B50" s="7" t="s">
        <v>393</v>
      </c>
      <c r="C50" s="6" t="s">
        <v>164</v>
      </c>
      <c r="D50" s="6" t="s">
        <v>116</v>
      </c>
      <c r="E50" s="4">
        <v>1</v>
      </c>
      <c r="F50" s="4">
        <v>0</v>
      </c>
      <c r="G50" s="4">
        <v>0</v>
      </c>
      <c r="H50" s="4">
        <v>0</v>
      </c>
      <c r="I50" s="4">
        <v>0</v>
      </c>
      <c r="J50" s="4">
        <v>0</v>
      </c>
      <c r="K50" s="4">
        <v>0</v>
      </c>
      <c r="L50" s="4">
        <v>0</v>
      </c>
      <c r="M50" s="4">
        <v>0</v>
      </c>
    </row>
    <row r="51" spans="1:13" x14ac:dyDescent="0.25">
      <c r="A51" s="6" t="s">
        <v>302</v>
      </c>
      <c r="B51" s="7" t="s">
        <v>394</v>
      </c>
      <c r="C51" s="6" t="s">
        <v>164</v>
      </c>
      <c r="D51" s="6" t="s">
        <v>123</v>
      </c>
      <c r="E51" s="4">
        <v>0</v>
      </c>
      <c r="F51" s="4">
        <v>0</v>
      </c>
      <c r="G51" s="4">
        <v>0</v>
      </c>
      <c r="H51" s="4">
        <v>0</v>
      </c>
      <c r="I51" s="4">
        <v>1</v>
      </c>
      <c r="J51" s="4">
        <v>1</v>
      </c>
      <c r="K51" s="4">
        <v>0</v>
      </c>
      <c r="L51" s="4">
        <v>0</v>
      </c>
      <c r="M51" s="4">
        <v>0</v>
      </c>
    </row>
    <row r="52" spans="1:13" x14ac:dyDescent="0.25">
      <c r="A52" s="6" t="s">
        <v>303</v>
      </c>
      <c r="B52" s="7" t="s">
        <v>395</v>
      </c>
      <c r="C52" s="6" t="s">
        <v>164</v>
      </c>
      <c r="D52" s="6" t="s">
        <v>114</v>
      </c>
      <c r="E52" s="4">
        <v>0</v>
      </c>
      <c r="F52" s="4">
        <v>1</v>
      </c>
      <c r="G52" s="4">
        <v>1</v>
      </c>
      <c r="H52" s="4">
        <v>0</v>
      </c>
      <c r="I52" s="4">
        <v>0</v>
      </c>
      <c r="J52" s="4">
        <v>0</v>
      </c>
      <c r="K52" s="4">
        <v>0</v>
      </c>
      <c r="L52" s="4">
        <v>0</v>
      </c>
      <c r="M52" s="4">
        <v>0</v>
      </c>
    </row>
    <row r="53" spans="1:13" x14ac:dyDescent="0.25">
      <c r="A53" s="6" t="s">
        <v>304</v>
      </c>
      <c r="B53" s="7" t="s">
        <v>396</v>
      </c>
      <c r="C53" s="6" t="s">
        <v>164</v>
      </c>
      <c r="D53" s="6" t="s">
        <v>114</v>
      </c>
      <c r="E53" s="4">
        <v>0</v>
      </c>
      <c r="F53" s="4">
        <v>1</v>
      </c>
      <c r="G53" s="4">
        <v>1</v>
      </c>
      <c r="H53" s="4">
        <v>0</v>
      </c>
      <c r="I53" s="4">
        <v>0</v>
      </c>
      <c r="J53" s="4">
        <v>0</v>
      </c>
      <c r="K53" s="4">
        <v>0</v>
      </c>
      <c r="L53" s="4">
        <v>0</v>
      </c>
      <c r="M53" s="4">
        <v>0</v>
      </c>
    </row>
    <row r="54" spans="1:13" x14ac:dyDescent="0.25">
      <c r="A54" s="6" t="s">
        <v>305</v>
      </c>
      <c r="B54" s="7" t="s">
        <v>397</v>
      </c>
      <c r="C54" s="6" t="s">
        <v>164</v>
      </c>
      <c r="D54" s="6" t="s">
        <v>114</v>
      </c>
      <c r="E54" s="4">
        <v>1</v>
      </c>
      <c r="F54" s="4">
        <v>0</v>
      </c>
      <c r="G54" s="4">
        <v>0</v>
      </c>
      <c r="H54" s="4">
        <v>0</v>
      </c>
      <c r="I54" s="4">
        <v>0</v>
      </c>
      <c r="J54" s="4">
        <v>0</v>
      </c>
      <c r="K54" s="4">
        <v>0</v>
      </c>
      <c r="L54" s="4">
        <v>0</v>
      </c>
      <c r="M54" s="4">
        <v>0</v>
      </c>
    </row>
    <row r="55" spans="1:13" x14ac:dyDescent="0.25">
      <c r="A55" s="6" t="s">
        <v>306</v>
      </c>
      <c r="B55" s="7" t="s">
        <v>398</v>
      </c>
      <c r="C55" s="6" t="s">
        <v>164</v>
      </c>
      <c r="D55" s="6" t="s">
        <v>116</v>
      </c>
      <c r="E55" s="4">
        <v>1</v>
      </c>
      <c r="F55" s="4">
        <v>0</v>
      </c>
      <c r="G55" s="4">
        <v>0</v>
      </c>
      <c r="H55" s="4">
        <v>0</v>
      </c>
      <c r="I55" s="4">
        <v>0</v>
      </c>
      <c r="J55" s="4">
        <v>0</v>
      </c>
      <c r="K55" s="4">
        <v>0</v>
      </c>
      <c r="L55" s="4">
        <v>0</v>
      </c>
      <c r="M55" s="4">
        <v>0</v>
      </c>
    </row>
    <row r="56" spans="1:13" x14ac:dyDescent="0.25">
      <c r="A56" s="6" t="s">
        <v>307</v>
      </c>
      <c r="B56" s="7" t="s">
        <v>399</v>
      </c>
      <c r="C56" s="6" t="s">
        <v>164</v>
      </c>
      <c r="D56" s="6" t="s">
        <v>114</v>
      </c>
      <c r="E56" s="4">
        <v>1</v>
      </c>
      <c r="F56" s="4">
        <v>0</v>
      </c>
      <c r="G56" s="4">
        <v>0</v>
      </c>
      <c r="H56" s="4">
        <v>0</v>
      </c>
      <c r="I56" s="4">
        <v>0</v>
      </c>
      <c r="J56" s="4">
        <v>0</v>
      </c>
      <c r="K56" s="4">
        <v>0</v>
      </c>
      <c r="L56" s="4">
        <v>0</v>
      </c>
      <c r="M56" s="4">
        <v>0</v>
      </c>
    </row>
    <row r="57" spans="1:13" ht="26.4" x14ac:dyDescent="0.25">
      <c r="A57" s="6" t="s">
        <v>308</v>
      </c>
      <c r="B57" s="7" t="s">
        <v>400</v>
      </c>
      <c r="C57" s="6" t="s">
        <v>175</v>
      </c>
      <c r="D57" s="6" t="s">
        <v>116</v>
      </c>
      <c r="E57" s="4">
        <v>0</v>
      </c>
      <c r="F57" s="4">
        <v>0</v>
      </c>
      <c r="G57" s="4">
        <v>0</v>
      </c>
      <c r="H57" s="4">
        <v>0</v>
      </c>
      <c r="I57" s="4">
        <v>1</v>
      </c>
      <c r="J57" s="4">
        <v>1</v>
      </c>
      <c r="K57" s="4">
        <v>0</v>
      </c>
      <c r="L57" s="4">
        <v>0</v>
      </c>
      <c r="M57" s="4">
        <v>0</v>
      </c>
    </row>
    <row r="58" spans="1:13" ht="26.4" x14ac:dyDescent="0.25">
      <c r="A58" s="6" t="s">
        <v>309</v>
      </c>
      <c r="B58" s="7" t="s">
        <v>401</v>
      </c>
      <c r="C58" s="6" t="s">
        <v>175</v>
      </c>
      <c r="D58" s="6" t="s">
        <v>123</v>
      </c>
      <c r="E58" s="4">
        <v>0</v>
      </c>
      <c r="F58" s="4">
        <v>0</v>
      </c>
      <c r="G58" s="4">
        <v>0</v>
      </c>
      <c r="H58" s="4">
        <v>0</v>
      </c>
      <c r="I58" s="4">
        <v>1</v>
      </c>
      <c r="J58" s="4">
        <v>0</v>
      </c>
      <c r="K58" s="4">
        <v>1</v>
      </c>
      <c r="L58" s="4">
        <v>0</v>
      </c>
      <c r="M58" s="4">
        <v>0</v>
      </c>
    </row>
    <row r="59" spans="1:13" ht="26.4" x14ac:dyDescent="0.25">
      <c r="A59" s="6" t="s">
        <v>310</v>
      </c>
      <c r="B59" s="7" t="s">
        <v>402</v>
      </c>
      <c r="C59" s="6" t="s">
        <v>175</v>
      </c>
      <c r="D59" s="6" t="s">
        <v>116</v>
      </c>
      <c r="E59" s="4">
        <v>0</v>
      </c>
      <c r="F59" s="4">
        <v>0</v>
      </c>
      <c r="G59" s="4">
        <v>0</v>
      </c>
      <c r="H59" s="4">
        <v>0</v>
      </c>
      <c r="I59" s="4">
        <v>0</v>
      </c>
      <c r="J59" s="4">
        <v>0</v>
      </c>
      <c r="K59" s="4">
        <v>0</v>
      </c>
      <c r="L59" s="4">
        <v>0</v>
      </c>
      <c r="M59" s="4">
        <v>1</v>
      </c>
    </row>
    <row r="60" spans="1:13" ht="26.4" x14ac:dyDescent="0.25">
      <c r="A60" s="6" t="s">
        <v>311</v>
      </c>
      <c r="B60" s="7" t="s">
        <v>403</v>
      </c>
      <c r="C60" s="6" t="s">
        <v>175</v>
      </c>
      <c r="D60" s="6" t="s">
        <v>118</v>
      </c>
      <c r="E60" s="4">
        <v>0</v>
      </c>
      <c r="F60" s="4">
        <v>1</v>
      </c>
      <c r="G60" s="4">
        <v>0</v>
      </c>
      <c r="H60" s="4">
        <v>1</v>
      </c>
      <c r="I60" s="4">
        <v>0</v>
      </c>
      <c r="J60" s="4">
        <v>0</v>
      </c>
      <c r="K60" s="4">
        <v>0</v>
      </c>
      <c r="L60" s="4">
        <v>0</v>
      </c>
      <c r="M60" s="4">
        <v>0</v>
      </c>
    </row>
    <row r="61" spans="1:13" ht="26.4" x14ac:dyDescent="0.25">
      <c r="A61" s="6" t="s">
        <v>312</v>
      </c>
      <c r="B61" s="7" t="s">
        <v>404</v>
      </c>
      <c r="C61" s="6" t="s">
        <v>175</v>
      </c>
      <c r="D61" s="6" t="s">
        <v>116</v>
      </c>
      <c r="E61" s="4">
        <v>0</v>
      </c>
      <c r="F61" s="4">
        <v>0</v>
      </c>
      <c r="G61" s="4">
        <v>0</v>
      </c>
      <c r="H61" s="4">
        <v>0</v>
      </c>
      <c r="I61" s="4">
        <v>1</v>
      </c>
      <c r="J61" s="4">
        <v>1</v>
      </c>
      <c r="K61" s="4">
        <v>0</v>
      </c>
      <c r="L61" s="4">
        <v>0</v>
      </c>
      <c r="M61" s="4">
        <v>0</v>
      </c>
    </row>
    <row r="62" spans="1:13" ht="26.4" x14ac:dyDescent="0.25">
      <c r="A62" s="6" t="s">
        <v>313</v>
      </c>
      <c r="B62" s="7" t="s">
        <v>405</v>
      </c>
      <c r="C62" s="6" t="s">
        <v>175</v>
      </c>
      <c r="D62" s="6" t="s">
        <v>114</v>
      </c>
      <c r="E62" s="4">
        <v>0</v>
      </c>
      <c r="F62" s="4">
        <v>1</v>
      </c>
      <c r="G62" s="4">
        <v>1</v>
      </c>
      <c r="H62" s="4">
        <v>0</v>
      </c>
      <c r="I62" s="4">
        <v>0</v>
      </c>
      <c r="J62" s="4">
        <v>0</v>
      </c>
      <c r="K62" s="4">
        <v>0</v>
      </c>
      <c r="L62" s="4">
        <v>0</v>
      </c>
      <c r="M62" s="4">
        <v>0</v>
      </c>
    </row>
    <row r="63" spans="1:13" ht="26.4" x14ac:dyDescent="0.25">
      <c r="A63" s="6" t="s">
        <v>314</v>
      </c>
      <c r="B63" s="7" t="s">
        <v>406</v>
      </c>
      <c r="C63" s="6" t="s">
        <v>175</v>
      </c>
      <c r="D63" s="6" t="s">
        <v>114</v>
      </c>
      <c r="E63" s="4">
        <v>0</v>
      </c>
      <c r="F63" s="4">
        <v>1</v>
      </c>
      <c r="G63" s="4">
        <v>0</v>
      </c>
      <c r="H63" s="4">
        <v>1</v>
      </c>
      <c r="I63" s="4">
        <v>0</v>
      </c>
      <c r="J63" s="4">
        <v>0</v>
      </c>
      <c r="K63" s="4">
        <v>0</v>
      </c>
      <c r="L63" s="4">
        <v>0</v>
      </c>
      <c r="M63" s="4">
        <v>0</v>
      </c>
    </row>
    <row r="64" spans="1:13" ht="26.4" x14ac:dyDescent="0.25">
      <c r="A64" s="6" t="s">
        <v>315</v>
      </c>
      <c r="B64" s="7" t="s">
        <v>407</v>
      </c>
      <c r="C64" s="6" t="s">
        <v>175</v>
      </c>
      <c r="D64" s="6" t="s">
        <v>105</v>
      </c>
      <c r="E64" s="4">
        <v>0</v>
      </c>
      <c r="F64" s="4">
        <v>0</v>
      </c>
      <c r="G64" s="4">
        <v>0</v>
      </c>
      <c r="H64" s="4">
        <v>0</v>
      </c>
      <c r="I64" s="4">
        <v>1</v>
      </c>
      <c r="J64" s="4">
        <v>1</v>
      </c>
      <c r="K64" s="4">
        <v>0</v>
      </c>
      <c r="L64" s="4">
        <v>0</v>
      </c>
      <c r="M64" s="4">
        <v>0</v>
      </c>
    </row>
    <row r="65" spans="1:13" ht="26.4" x14ac:dyDescent="0.25">
      <c r="A65" s="6" t="s">
        <v>316</v>
      </c>
      <c r="B65" s="7" t="s">
        <v>408</v>
      </c>
      <c r="C65" s="6" t="s">
        <v>175</v>
      </c>
      <c r="D65" s="6" t="s">
        <v>128</v>
      </c>
      <c r="E65" s="4">
        <v>0</v>
      </c>
      <c r="F65" s="4">
        <v>1</v>
      </c>
      <c r="G65" s="4">
        <v>0</v>
      </c>
      <c r="H65" s="4">
        <v>1</v>
      </c>
      <c r="I65" s="4">
        <v>0</v>
      </c>
      <c r="J65" s="4">
        <v>0</v>
      </c>
      <c r="K65" s="4">
        <v>0</v>
      </c>
      <c r="L65" s="4">
        <v>0</v>
      </c>
      <c r="M65" s="4">
        <v>0</v>
      </c>
    </row>
    <row r="66" spans="1:13" ht="26.4" x14ac:dyDescent="0.25">
      <c r="A66" s="6" t="s">
        <v>317</v>
      </c>
      <c r="B66" s="7" t="s">
        <v>409</v>
      </c>
      <c r="C66" s="6" t="s">
        <v>175</v>
      </c>
      <c r="D66" s="6" t="s">
        <v>128</v>
      </c>
      <c r="E66" s="4">
        <v>0</v>
      </c>
      <c r="F66" s="4">
        <v>1</v>
      </c>
      <c r="G66" s="4">
        <v>0</v>
      </c>
      <c r="H66" s="4">
        <v>1</v>
      </c>
      <c r="I66" s="4">
        <v>0</v>
      </c>
      <c r="J66" s="4">
        <v>0</v>
      </c>
      <c r="K66" s="4">
        <v>0</v>
      </c>
      <c r="L66" s="4">
        <v>0</v>
      </c>
      <c r="M66" s="4">
        <v>0</v>
      </c>
    </row>
    <row r="67" spans="1:13" ht="26.4" x14ac:dyDescent="0.25">
      <c r="A67" s="6" t="s">
        <v>318</v>
      </c>
      <c r="B67" s="7" t="s">
        <v>410</v>
      </c>
      <c r="C67" s="6" t="s">
        <v>175</v>
      </c>
      <c r="D67" s="6" t="s">
        <v>123</v>
      </c>
      <c r="E67" s="4">
        <v>0</v>
      </c>
      <c r="F67" s="4">
        <v>0</v>
      </c>
      <c r="G67" s="4">
        <v>0</v>
      </c>
      <c r="H67" s="4">
        <v>0</v>
      </c>
      <c r="I67" s="4">
        <v>1</v>
      </c>
      <c r="J67" s="4">
        <v>1</v>
      </c>
      <c r="K67" s="4">
        <v>0</v>
      </c>
      <c r="L67" s="4">
        <v>0</v>
      </c>
      <c r="M67" s="4">
        <v>0</v>
      </c>
    </row>
    <row r="68" spans="1:13" ht="26.4" x14ac:dyDescent="0.25">
      <c r="A68" s="6" t="s">
        <v>319</v>
      </c>
      <c r="B68" s="7" t="s">
        <v>411</v>
      </c>
      <c r="C68" s="6" t="s">
        <v>175</v>
      </c>
      <c r="D68" s="6" t="s">
        <v>116</v>
      </c>
      <c r="E68" s="4">
        <v>0</v>
      </c>
      <c r="F68" s="4">
        <v>0</v>
      </c>
      <c r="G68" s="4">
        <v>0</v>
      </c>
      <c r="H68" s="4">
        <v>0</v>
      </c>
      <c r="I68" s="4">
        <v>1</v>
      </c>
      <c r="J68" s="4">
        <v>1</v>
      </c>
      <c r="K68" s="4">
        <v>0</v>
      </c>
      <c r="L68" s="4">
        <v>0</v>
      </c>
      <c r="M68" s="4">
        <v>0</v>
      </c>
    </row>
    <row r="69" spans="1:13" ht="26.4" x14ac:dyDescent="0.25">
      <c r="A69" s="6" t="s">
        <v>320</v>
      </c>
      <c r="B69" s="7" t="s">
        <v>412</v>
      </c>
      <c r="C69" s="6" t="s">
        <v>175</v>
      </c>
      <c r="D69" s="6" t="s">
        <v>116</v>
      </c>
      <c r="E69" s="4">
        <v>0</v>
      </c>
      <c r="F69" s="4">
        <v>0</v>
      </c>
      <c r="G69" s="4">
        <v>0</v>
      </c>
      <c r="H69" s="4">
        <v>0</v>
      </c>
      <c r="I69" s="4">
        <v>0</v>
      </c>
      <c r="J69" s="4">
        <v>0</v>
      </c>
      <c r="K69" s="4">
        <v>0</v>
      </c>
      <c r="L69" s="4">
        <v>0</v>
      </c>
      <c r="M69" s="4">
        <v>1</v>
      </c>
    </row>
    <row r="70" spans="1:13" ht="26.4" x14ac:dyDescent="0.25">
      <c r="A70" s="6" t="s">
        <v>321</v>
      </c>
      <c r="B70" s="7" t="s">
        <v>413</v>
      </c>
      <c r="C70" s="6" t="s">
        <v>175</v>
      </c>
      <c r="D70" s="6" t="s">
        <v>128</v>
      </c>
      <c r="E70" s="4">
        <v>0</v>
      </c>
      <c r="F70" s="4">
        <v>0</v>
      </c>
      <c r="G70" s="4">
        <v>0</v>
      </c>
      <c r="H70" s="4">
        <v>0</v>
      </c>
      <c r="I70" s="4">
        <v>1</v>
      </c>
      <c r="J70" s="4">
        <v>1</v>
      </c>
      <c r="K70" s="4">
        <v>0</v>
      </c>
      <c r="L70" s="4">
        <v>0</v>
      </c>
      <c r="M70" s="4">
        <v>0</v>
      </c>
    </row>
    <row r="71" spans="1:13" ht="26.4" x14ac:dyDescent="0.25">
      <c r="A71" s="6" t="s">
        <v>322</v>
      </c>
      <c r="B71" s="7" t="s">
        <v>414</v>
      </c>
      <c r="C71" s="6" t="s">
        <v>175</v>
      </c>
      <c r="D71" s="6" t="s">
        <v>116</v>
      </c>
      <c r="E71" s="4">
        <v>0</v>
      </c>
      <c r="F71" s="4">
        <v>0</v>
      </c>
      <c r="G71" s="4">
        <v>0</v>
      </c>
      <c r="H71" s="4">
        <v>0</v>
      </c>
      <c r="I71" s="4">
        <v>0</v>
      </c>
      <c r="J71" s="4">
        <v>0</v>
      </c>
      <c r="K71" s="4">
        <v>0</v>
      </c>
      <c r="L71" s="4">
        <v>0</v>
      </c>
      <c r="M71" s="4">
        <v>1</v>
      </c>
    </row>
    <row r="72" spans="1:13" ht="26.4" x14ac:dyDescent="0.25">
      <c r="A72" s="6" t="s">
        <v>323</v>
      </c>
      <c r="B72" s="7" t="s">
        <v>415</v>
      </c>
      <c r="C72" s="6" t="s">
        <v>175</v>
      </c>
      <c r="D72" s="6" t="s">
        <v>105</v>
      </c>
      <c r="E72" s="4">
        <v>1</v>
      </c>
      <c r="F72" s="4">
        <v>0</v>
      </c>
      <c r="G72" s="4">
        <v>0</v>
      </c>
      <c r="H72" s="4">
        <v>0</v>
      </c>
      <c r="I72" s="4">
        <v>0</v>
      </c>
      <c r="J72" s="4">
        <v>0</v>
      </c>
      <c r="K72" s="4">
        <v>0</v>
      </c>
      <c r="L72" s="4">
        <v>0</v>
      </c>
      <c r="M72" s="4">
        <v>0</v>
      </c>
    </row>
    <row r="73" spans="1:13" ht="26.4" x14ac:dyDescent="0.25">
      <c r="A73" s="6" t="s">
        <v>324</v>
      </c>
      <c r="B73" s="7" t="s">
        <v>416</v>
      </c>
      <c r="C73" s="6" t="s">
        <v>175</v>
      </c>
      <c r="D73" s="6" t="s">
        <v>114</v>
      </c>
      <c r="E73" s="4">
        <v>0</v>
      </c>
      <c r="F73" s="4">
        <v>0</v>
      </c>
      <c r="G73" s="4">
        <v>0</v>
      </c>
      <c r="H73" s="4">
        <v>0</v>
      </c>
      <c r="I73" s="4">
        <v>0</v>
      </c>
      <c r="J73" s="4">
        <v>0</v>
      </c>
      <c r="K73" s="4">
        <v>0</v>
      </c>
      <c r="L73" s="4">
        <v>0</v>
      </c>
      <c r="M73" s="4">
        <v>1</v>
      </c>
    </row>
    <row r="74" spans="1:13" ht="26.4" x14ac:dyDescent="0.25">
      <c r="A74" s="6" t="s">
        <v>325</v>
      </c>
      <c r="B74" s="7" t="s">
        <v>417</v>
      </c>
      <c r="C74" s="6" t="s">
        <v>175</v>
      </c>
      <c r="D74" s="6" t="s">
        <v>116</v>
      </c>
      <c r="E74" s="4">
        <v>0</v>
      </c>
      <c r="F74" s="4">
        <v>1</v>
      </c>
      <c r="G74" s="4">
        <v>1</v>
      </c>
      <c r="H74" s="4">
        <v>0</v>
      </c>
      <c r="I74" s="4">
        <v>0</v>
      </c>
      <c r="J74" s="4">
        <v>0</v>
      </c>
      <c r="K74" s="4">
        <v>0</v>
      </c>
      <c r="L74" s="4">
        <v>0</v>
      </c>
      <c r="M74" s="4">
        <v>0</v>
      </c>
    </row>
    <row r="75" spans="1:13" ht="26.4" x14ac:dyDescent="0.25">
      <c r="A75" s="6" t="s">
        <v>326</v>
      </c>
      <c r="B75" s="7" t="s">
        <v>418</v>
      </c>
      <c r="C75" s="6" t="s">
        <v>175</v>
      </c>
      <c r="D75" s="6" t="s">
        <v>116</v>
      </c>
      <c r="E75" s="4">
        <v>0</v>
      </c>
      <c r="F75" s="4">
        <v>1</v>
      </c>
      <c r="G75" s="4">
        <v>0</v>
      </c>
      <c r="H75" s="4">
        <v>1</v>
      </c>
      <c r="I75" s="4">
        <v>0</v>
      </c>
      <c r="J75" s="4">
        <v>0</v>
      </c>
      <c r="K75" s="4">
        <v>0</v>
      </c>
      <c r="L75" s="4">
        <v>0</v>
      </c>
      <c r="M75" s="4">
        <v>0</v>
      </c>
    </row>
    <row r="76" spans="1:13" ht="26.4" x14ac:dyDescent="0.25">
      <c r="A76" s="6" t="s">
        <v>327</v>
      </c>
      <c r="B76" s="7" t="s">
        <v>419</v>
      </c>
      <c r="C76" s="6" t="s">
        <v>175</v>
      </c>
      <c r="D76" s="6" t="s">
        <v>118</v>
      </c>
      <c r="E76" s="4">
        <v>0</v>
      </c>
      <c r="F76" s="4">
        <v>0</v>
      </c>
      <c r="G76" s="4">
        <v>0</v>
      </c>
      <c r="H76" s="4">
        <v>0</v>
      </c>
      <c r="I76" s="4">
        <v>1</v>
      </c>
      <c r="J76" s="4">
        <v>0</v>
      </c>
      <c r="K76" s="4">
        <v>1</v>
      </c>
      <c r="L76" s="4">
        <v>0</v>
      </c>
      <c r="M76" s="4">
        <v>0</v>
      </c>
    </row>
    <row r="77" spans="1:13" ht="26.4" x14ac:dyDescent="0.25">
      <c r="A77" s="6" t="s">
        <v>328</v>
      </c>
      <c r="B77" s="7" t="s">
        <v>420</v>
      </c>
      <c r="C77" s="6" t="s">
        <v>175</v>
      </c>
      <c r="D77" s="6" t="s">
        <v>116</v>
      </c>
      <c r="E77" s="4">
        <v>0</v>
      </c>
      <c r="F77" s="4">
        <v>0</v>
      </c>
      <c r="G77" s="4">
        <v>0</v>
      </c>
      <c r="H77" s="4">
        <v>0</v>
      </c>
      <c r="I77" s="4">
        <v>1</v>
      </c>
      <c r="J77" s="4">
        <v>1</v>
      </c>
      <c r="K77" s="4">
        <v>0</v>
      </c>
      <c r="L77" s="4">
        <v>0</v>
      </c>
      <c r="M77" s="4">
        <v>0</v>
      </c>
    </row>
    <row r="78" spans="1:13" ht="26.4" x14ac:dyDescent="0.25">
      <c r="A78" s="6" t="s">
        <v>329</v>
      </c>
      <c r="B78" s="7" t="s">
        <v>421</v>
      </c>
      <c r="C78" s="6" t="s">
        <v>175</v>
      </c>
      <c r="D78" s="6" t="s">
        <v>118</v>
      </c>
      <c r="E78" s="4">
        <v>1</v>
      </c>
      <c r="F78" s="4">
        <v>0</v>
      </c>
      <c r="G78" s="4">
        <v>0</v>
      </c>
      <c r="H78" s="4">
        <v>0</v>
      </c>
      <c r="I78" s="4">
        <v>0</v>
      </c>
      <c r="J78" s="4">
        <v>0</v>
      </c>
      <c r="K78" s="4">
        <v>0</v>
      </c>
      <c r="L78" s="4">
        <v>0</v>
      </c>
      <c r="M78" s="4">
        <v>0</v>
      </c>
    </row>
    <row r="79" spans="1:13" ht="26.4" x14ac:dyDescent="0.25">
      <c r="A79" s="6" t="s">
        <v>330</v>
      </c>
      <c r="B79" s="7" t="s">
        <v>422</v>
      </c>
      <c r="C79" s="6" t="s">
        <v>175</v>
      </c>
      <c r="D79" s="6" t="s">
        <v>128</v>
      </c>
      <c r="E79" s="4">
        <v>0</v>
      </c>
      <c r="F79" s="4">
        <v>1</v>
      </c>
      <c r="G79" s="4">
        <v>0</v>
      </c>
      <c r="H79" s="4">
        <v>1</v>
      </c>
      <c r="I79" s="4">
        <v>0</v>
      </c>
      <c r="J79" s="4">
        <v>0</v>
      </c>
      <c r="K79" s="4">
        <v>0</v>
      </c>
      <c r="L79" s="4">
        <v>0</v>
      </c>
      <c r="M79" s="4">
        <v>0</v>
      </c>
    </row>
    <row r="80" spans="1:13" ht="26.4" x14ac:dyDescent="0.25">
      <c r="A80" s="6" t="s">
        <v>331</v>
      </c>
      <c r="B80" s="7" t="s">
        <v>423</v>
      </c>
      <c r="C80" s="6" t="s">
        <v>175</v>
      </c>
      <c r="D80" s="6" t="s">
        <v>123</v>
      </c>
      <c r="E80" s="4">
        <v>0</v>
      </c>
      <c r="F80" s="4">
        <v>0</v>
      </c>
      <c r="G80" s="4">
        <v>0</v>
      </c>
      <c r="H80" s="4">
        <v>0</v>
      </c>
      <c r="I80" s="4">
        <v>0</v>
      </c>
      <c r="J80" s="4">
        <v>0</v>
      </c>
      <c r="K80" s="4">
        <v>0</v>
      </c>
      <c r="L80" s="4">
        <v>0</v>
      </c>
      <c r="M80" s="4">
        <v>1</v>
      </c>
    </row>
    <row r="81" spans="1:13" ht="26.4" x14ac:dyDescent="0.25">
      <c r="A81" s="6" t="s">
        <v>332</v>
      </c>
      <c r="B81" s="7" t="s">
        <v>424</v>
      </c>
      <c r="C81" s="6" t="s">
        <v>175</v>
      </c>
      <c r="D81" s="6" t="s">
        <v>116</v>
      </c>
      <c r="E81" s="4">
        <v>1</v>
      </c>
      <c r="F81" s="4">
        <v>0</v>
      </c>
      <c r="G81" s="4">
        <v>0</v>
      </c>
      <c r="H81" s="4">
        <v>0</v>
      </c>
      <c r="I81" s="4">
        <v>0</v>
      </c>
      <c r="J81" s="4">
        <v>0</v>
      </c>
      <c r="K81" s="4">
        <v>0</v>
      </c>
      <c r="L81" s="4">
        <v>0</v>
      </c>
      <c r="M81" s="4">
        <v>0</v>
      </c>
    </row>
    <row r="82" spans="1:13" ht="26.4" x14ac:dyDescent="0.25">
      <c r="A82" s="6" t="s">
        <v>333</v>
      </c>
      <c r="B82" s="7" t="s">
        <v>425</v>
      </c>
      <c r="C82" s="6" t="s">
        <v>175</v>
      </c>
      <c r="D82" s="6" t="s">
        <v>114</v>
      </c>
      <c r="E82" s="4">
        <v>0</v>
      </c>
      <c r="F82" s="4">
        <v>1</v>
      </c>
      <c r="G82" s="4">
        <v>0</v>
      </c>
      <c r="H82" s="4">
        <v>1</v>
      </c>
      <c r="I82" s="4">
        <v>0</v>
      </c>
      <c r="J82" s="4">
        <v>0</v>
      </c>
      <c r="K82" s="4">
        <v>0</v>
      </c>
      <c r="L82" s="4">
        <v>0</v>
      </c>
      <c r="M82" s="4">
        <v>0</v>
      </c>
    </row>
    <row r="83" spans="1:13" ht="26.4" x14ac:dyDescent="0.25">
      <c r="A83" s="6" t="s">
        <v>334</v>
      </c>
      <c r="B83" s="7" t="s">
        <v>426</v>
      </c>
      <c r="C83" s="6" t="s">
        <v>175</v>
      </c>
      <c r="D83" s="6" t="s">
        <v>123</v>
      </c>
      <c r="E83" s="4">
        <v>1</v>
      </c>
      <c r="F83" s="4">
        <v>0</v>
      </c>
      <c r="G83" s="4">
        <v>0</v>
      </c>
      <c r="H83" s="4">
        <v>0</v>
      </c>
      <c r="I83" s="4">
        <v>0</v>
      </c>
      <c r="J83" s="4">
        <v>0</v>
      </c>
      <c r="K83" s="4">
        <v>0</v>
      </c>
      <c r="L83" s="4">
        <v>0</v>
      </c>
      <c r="M83" s="4">
        <v>0</v>
      </c>
    </row>
    <row r="84" spans="1:13" ht="26.4" x14ac:dyDescent="0.25">
      <c r="A84" s="6" t="s">
        <v>335</v>
      </c>
      <c r="B84" s="7" t="s">
        <v>427</v>
      </c>
      <c r="C84" s="6" t="s">
        <v>175</v>
      </c>
      <c r="D84" s="6" t="s">
        <v>123</v>
      </c>
      <c r="E84" s="4">
        <v>0</v>
      </c>
      <c r="F84" s="4">
        <v>0</v>
      </c>
      <c r="G84" s="4">
        <v>0</v>
      </c>
      <c r="H84" s="4">
        <v>0</v>
      </c>
      <c r="I84" s="4">
        <v>1</v>
      </c>
      <c r="J84" s="4">
        <v>1</v>
      </c>
      <c r="K84" s="4">
        <v>0</v>
      </c>
      <c r="L84" s="4">
        <v>0</v>
      </c>
      <c r="M84" s="4">
        <v>0</v>
      </c>
    </row>
    <row r="85" spans="1:13" ht="26.4" x14ac:dyDescent="0.25">
      <c r="A85" s="6" t="s">
        <v>336</v>
      </c>
      <c r="B85" s="7" t="s">
        <v>428</v>
      </c>
      <c r="C85" s="6" t="s">
        <v>113</v>
      </c>
      <c r="D85" s="6" t="s">
        <v>114</v>
      </c>
      <c r="E85" s="4">
        <v>0</v>
      </c>
      <c r="F85" s="4">
        <v>0</v>
      </c>
      <c r="G85" s="4">
        <v>0</v>
      </c>
      <c r="H85" s="4">
        <v>0</v>
      </c>
      <c r="I85" s="4">
        <v>1</v>
      </c>
      <c r="J85" s="4">
        <v>1</v>
      </c>
      <c r="K85" s="4">
        <v>0</v>
      </c>
      <c r="L85" s="4">
        <v>0</v>
      </c>
      <c r="M85" s="4">
        <v>0</v>
      </c>
    </row>
    <row r="86" spans="1:13" ht="26.4" x14ac:dyDescent="0.25">
      <c r="A86" s="6" t="s">
        <v>337</v>
      </c>
      <c r="B86" s="7" t="s">
        <v>429</v>
      </c>
      <c r="C86" s="6" t="s">
        <v>175</v>
      </c>
      <c r="D86" s="6" t="s">
        <v>114</v>
      </c>
      <c r="E86" s="4">
        <v>0</v>
      </c>
      <c r="F86" s="4">
        <v>0</v>
      </c>
      <c r="G86" s="4">
        <v>0</v>
      </c>
      <c r="H86" s="4">
        <v>0</v>
      </c>
      <c r="I86" s="4">
        <v>0</v>
      </c>
      <c r="J86" s="4">
        <v>0</v>
      </c>
      <c r="K86" s="4">
        <v>0</v>
      </c>
      <c r="L86" s="4">
        <v>0</v>
      </c>
      <c r="M86" s="4">
        <v>1</v>
      </c>
    </row>
    <row r="87" spans="1:13" ht="26.4" x14ac:dyDescent="0.25">
      <c r="A87" s="6" t="s">
        <v>338</v>
      </c>
      <c r="B87" s="7" t="s">
        <v>430</v>
      </c>
      <c r="C87" s="6" t="s">
        <v>175</v>
      </c>
      <c r="D87" s="6" t="s">
        <v>116</v>
      </c>
      <c r="E87" s="4">
        <v>0</v>
      </c>
      <c r="F87" s="4">
        <v>0</v>
      </c>
      <c r="G87" s="4">
        <v>0</v>
      </c>
      <c r="H87" s="4">
        <v>0</v>
      </c>
      <c r="I87" s="4">
        <v>1</v>
      </c>
      <c r="J87" s="4">
        <v>0</v>
      </c>
      <c r="K87" s="4">
        <v>1</v>
      </c>
      <c r="L87" s="4">
        <v>0</v>
      </c>
      <c r="M87" s="4">
        <v>0</v>
      </c>
    </row>
    <row r="88" spans="1:13" ht="26.4" x14ac:dyDescent="0.25">
      <c r="A88" s="6" t="s">
        <v>339</v>
      </c>
      <c r="B88" s="7" t="s">
        <v>431</v>
      </c>
      <c r="C88" s="6" t="s">
        <v>175</v>
      </c>
      <c r="D88" s="6" t="s">
        <v>116</v>
      </c>
      <c r="E88" s="4">
        <v>0</v>
      </c>
      <c r="F88" s="4">
        <v>1</v>
      </c>
      <c r="G88" s="4">
        <v>0</v>
      </c>
      <c r="H88" s="4">
        <v>1</v>
      </c>
      <c r="I88" s="4">
        <v>0</v>
      </c>
      <c r="J88" s="4">
        <v>0</v>
      </c>
      <c r="K88" s="4">
        <v>0</v>
      </c>
      <c r="L88" s="4">
        <v>0</v>
      </c>
      <c r="M88" s="4">
        <v>0</v>
      </c>
    </row>
    <row r="89" spans="1:13" ht="26.4" x14ac:dyDescent="0.25">
      <c r="A89" s="6" t="s">
        <v>340</v>
      </c>
      <c r="B89" s="7" t="s">
        <v>432</v>
      </c>
      <c r="C89" s="6" t="s">
        <v>175</v>
      </c>
      <c r="D89" s="6" t="s">
        <v>118</v>
      </c>
      <c r="E89" s="4">
        <v>0</v>
      </c>
      <c r="F89" s="4">
        <v>1</v>
      </c>
      <c r="G89" s="4">
        <v>0</v>
      </c>
      <c r="H89" s="4">
        <v>1</v>
      </c>
      <c r="I89" s="4">
        <v>0</v>
      </c>
      <c r="J89" s="4">
        <v>0</v>
      </c>
      <c r="K89" s="4">
        <v>0</v>
      </c>
      <c r="L89" s="4">
        <v>0</v>
      </c>
      <c r="M89" s="4">
        <v>0</v>
      </c>
    </row>
    <row r="90" spans="1:13" ht="26.4" x14ac:dyDescent="0.25">
      <c r="A90" s="6" t="s">
        <v>341</v>
      </c>
      <c r="B90" s="7" t="s">
        <v>433</v>
      </c>
      <c r="C90" s="6" t="s">
        <v>175</v>
      </c>
      <c r="D90" s="6" t="s">
        <v>116</v>
      </c>
      <c r="E90" s="4">
        <v>0</v>
      </c>
      <c r="F90" s="4">
        <v>0</v>
      </c>
      <c r="G90" s="4">
        <v>0</v>
      </c>
      <c r="H90" s="4">
        <v>0</v>
      </c>
      <c r="I90" s="4">
        <v>1</v>
      </c>
      <c r="J90" s="4">
        <v>0</v>
      </c>
      <c r="K90" s="4">
        <v>0</v>
      </c>
      <c r="L90" s="4">
        <v>1</v>
      </c>
      <c r="M90" s="4">
        <v>0</v>
      </c>
    </row>
    <row r="91" spans="1:13" x14ac:dyDescent="0.25">
      <c r="A91" s="6" t="s">
        <v>342</v>
      </c>
      <c r="B91" s="7" t="s">
        <v>434</v>
      </c>
      <c r="C91" s="6" t="s">
        <v>343</v>
      </c>
      <c r="D91" s="6" t="s">
        <v>118</v>
      </c>
      <c r="E91" s="4">
        <v>0</v>
      </c>
      <c r="F91" s="4">
        <v>1</v>
      </c>
      <c r="G91" s="4">
        <v>0</v>
      </c>
      <c r="H91" s="4">
        <v>1</v>
      </c>
      <c r="I91" s="4">
        <v>0</v>
      </c>
      <c r="J91" s="4">
        <v>0</v>
      </c>
      <c r="K91" s="4">
        <v>0</v>
      </c>
      <c r="L91" s="4">
        <v>0</v>
      </c>
      <c r="M91" s="4">
        <v>0</v>
      </c>
    </row>
    <row r="92" spans="1:13" x14ac:dyDescent="0.25">
      <c r="A92" s="6" t="s">
        <v>344</v>
      </c>
      <c r="B92" s="7" t="s">
        <v>435</v>
      </c>
      <c r="C92" s="6" t="s">
        <v>343</v>
      </c>
      <c r="D92" s="6" t="s">
        <v>116</v>
      </c>
      <c r="E92" s="4">
        <v>1</v>
      </c>
      <c r="F92" s="4">
        <v>0</v>
      </c>
      <c r="G92" s="4">
        <v>0</v>
      </c>
      <c r="H92" s="4">
        <v>0</v>
      </c>
      <c r="I92" s="4">
        <v>0</v>
      </c>
      <c r="J92" s="4">
        <v>0</v>
      </c>
      <c r="K92" s="4">
        <v>0</v>
      </c>
      <c r="L92" s="4">
        <v>0</v>
      </c>
      <c r="M92" s="4">
        <v>0</v>
      </c>
    </row>
    <row r="94" spans="1:13" x14ac:dyDescent="0.25">
      <c r="B94" s="8" t="s">
        <v>222</v>
      </c>
    </row>
    <row r="95" spans="1:13" x14ac:dyDescent="0.25">
      <c r="B95" s="9" t="s">
        <v>218</v>
      </c>
    </row>
    <row r="96" spans="1:13" x14ac:dyDescent="0.25">
      <c r="B96" s="10" t="s">
        <v>219</v>
      </c>
    </row>
    <row r="97" spans="2:2" x14ac:dyDescent="0.25">
      <c r="B97" s="11" t="s">
        <v>220</v>
      </c>
    </row>
    <row r="98" spans="2:2" ht="26.4" x14ac:dyDescent="0.25">
      <c r="B98" s="12" t="s">
        <v>221</v>
      </c>
    </row>
  </sheetData>
  <pageMargins left="0.7" right="0.7" top="0.75" bottom="0.75" header="0.3" footer="0.3"/>
  <pageSetup scale="80" orientation="landscape" r:id="rId1"/>
  <headerFooter>
    <oddHeader>&amp;LISQM 2_Q4(b) - Respondent by Theme</oddHeader>
    <oddFooter>&amp;R&amp;P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Agenda Item 7-A.1_Q11-Category</vt:lpstr>
      <vt:lpstr>Q11-Respondent by Category</vt:lpstr>
      <vt:lpstr>Agenda Item 7-A.2_Q11 Theme</vt:lpstr>
      <vt:lpstr>Q11-Respondent by Theme</vt:lpstr>
      <vt:lpstr>Agenda Item 7-A.3_Q4(a)Category</vt:lpstr>
      <vt:lpstr>Q4(a)-Respondent by Category</vt:lpstr>
      <vt:lpstr>Agenda Item 7-A.4_Q4(a)Theme</vt:lpstr>
      <vt:lpstr>Q4(a)-Respondent by Theme</vt:lpstr>
      <vt:lpstr>Agenda Item 7-A.5_Q4(b)Category</vt:lpstr>
      <vt:lpstr>Q4(b)-Respondent by Category</vt:lpstr>
      <vt:lpstr>Agenda Item 7-A.6_Q4(b)Theme</vt:lpstr>
      <vt:lpstr>Q4(b)-Respondent by Theme</vt:lpstr>
      <vt:lpstr>'Agenda Item 7-A.1_Q11-Category'!Print_Titles</vt:lpstr>
      <vt:lpstr>'Agenda Item 7-A.2_Q11 Theme'!Print_Titles</vt:lpstr>
      <vt:lpstr>'Agenda Item 7-A.3_Q4(a)Category'!Print_Titles</vt:lpstr>
      <vt:lpstr>'Agenda Item 7-A.4_Q4(a)Theme'!Print_Titles</vt:lpstr>
      <vt:lpstr>'Agenda Item 7-A.5_Q4(b)Category'!Print_Titles</vt:lpstr>
      <vt:lpstr>'Agenda Item 7-A.6_Q4(b)Theme'!Print_Titles</vt:lpstr>
      <vt:lpstr>'Q11-Respondent by Category'!Print_Titles</vt:lpstr>
      <vt:lpstr>'Q11-Respondent by Theme'!Print_Titles</vt:lpstr>
      <vt:lpstr>'Q4(a)-Respondent by Category'!Print_Titles</vt:lpstr>
      <vt:lpstr>'Q4(a)-Respondent by Theme'!Print_Titles</vt:lpstr>
      <vt:lpstr>'Q4(b)-Respondent by Category'!Print_Titles</vt:lpstr>
      <vt:lpstr>'Q4(b)-Respondent by Theme'!Print_Titles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Jane Talatala</cp:lastModifiedBy>
  <cp:lastPrinted>2019-08-29T16:05:35Z</cp:lastPrinted>
  <dcterms:created xsi:type="dcterms:W3CDTF">2019-08-11T00:59:47Z</dcterms:created>
  <dcterms:modified xsi:type="dcterms:W3CDTF">2019-08-29T19:03:49Z</dcterms:modified>
</cp:coreProperties>
</file>